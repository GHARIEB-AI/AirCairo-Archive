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63D9DB7-F39E-44DA-BCDD-2D6088012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HBE" sheetId="3" r:id="rId3"/>
    <sheet name="MED-HBE LF LEGACY" sheetId="4" r:id="rId4"/>
    <sheet name="MED-ATZ" sheetId="5" r:id="rId5"/>
    <sheet name="MED-ATZ LF LEGAC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6" l="1"/>
  <c r="E17" i="6"/>
  <c r="G17" i="6"/>
  <c r="H17" i="6"/>
  <c r="I17" i="6"/>
  <c r="J17" i="6"/>
  <c r="M17" i="6"/>
  <c r="N17" i="6"/>
  <c r="O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C22" i="4"/>
  <c r="E22" i="4"/>
  <c r="G22" i="4"/>
  <c r="H22" i="4"/>
  <c r="I22" i="4"/>
  <c r="J22" i="4"/>
  <c r="M22" i="4"/>
  <c r="N22" i="4"/>
  <c r="O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C30" i="2"/>
  <c r="E30" i="2"/>
  <c r="G30" i="2"/>
  <c r="H30" i="2"/>
  <c r="I30" i="2"/>
  <c r="J30" i="2"/>
  <c r="M30" i="2"/>
  <c r="N30" i="2"/>
  <c r="O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</calcChain>
</file>

<file path=xl/sharedStrings.xml><?xml version="1.0" encoding="utf-8"?>
<sst xmlns="http://schemas.openxmlformats.org/spreadsheetml/2006/main" count="2583" uniqueCount="339">
  <si>
    <t>COMPREHENSIVE REPORT</t>
  </si>
  <si>
    <t>MED-CAI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</si>
  <si>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</si>
  <si>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</si>
  <si>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</si>
  <si>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</si>
  <si>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</si>
  <si>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</si>
  <si>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</si>
  <si>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</si>
  <si>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</si>
  <si>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</si>
  <si>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</si>
  <si>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</si>
  <si>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</si>
  <si>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</si>
  <si>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</si>
  <si>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</si>
  <si>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</si>
  <si>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</si>
  <si>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</si>
  <si>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</si>
  <si>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</si>
  <si>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</si>
  <si>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</si>
  <si>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</si>
  <si>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</si>
  <si>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</si>
  <si>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</si>
  <si>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SM494</t>
  </si>
  <si>
    <t>30KG + 7KG CABIN</t>
  </si>
  <si>
    <t>FULLY BOOKED</t>
  </si>
  <si>
    <t>2025-11-16 00:00:00</t>
  </si>
  <si>
    <t>CLOSED</t>
  </si>
  <si>
    <t>K6 &amp; G10 &amp; S21 &amp; T5 &amp; X11 &amp; U8 &amp; O9 &amp; I17 &amp; P86 &amp; N6</t>
  </si>
  <si>
    <t>SM496</t>
  </si>
  <si>
    <t>HIGH DEMAND</t>
  </si>
  <si>
    <t>2025-11-04 00:00:00</t>
  </si>
  <si>
    <t>V8</t>
  </si>
  <si>
    <t>L1 &amp; I4 &amp; E44 &amp; P114</t>
  </si>
  <si>
    <t>SM488</t>
  </si>
  <si>
    <t>SEATS AVAILABLE</t>
  </si>
  <si>
    <t>2025-11-22 00:00:00</t>
  </si>
  <si>
    <t>G7</t>
  </si>
  <si>
    <t>L4 &amp; G19 &amp; S9 &amp; W10 &amp; T10 &amp; X10 &amp; U10 &amp; O10 &amp; I10</t>
  </si>
  <si>
    <t>LAST SEATS</t>
  </si>
  <si>
    <t>2025-11-19 00:00:00</t>
  </si>
  <si>
    <t>Y2</t>
  </si>
  <si>
    <t>Q2 &amp; K5 &amp; V4 &amp; S11 &amp; X3 &amp; U5 &amp; O8 &amp; I17 &amp; P122</t>
  </si>
  <si>
    <t>2025-11-20 00:00:00</t>
  </si>
  <si>
    <t>B4</t>
  </si>
  <si>
    <t>V7 &amp; L2 &amp; S1 &amp; U6 &amp; O9 &amp; I17 &amp; P128 &amp; N1</t>
  </si>
  <si>
    <t>2025-11-09 00:00:00</t>
  </si>
  <si>
    <t>G2 &amp; S12 &amp; I22 &amp; P133 &amp; N4</t>
  </si>
  <si>
    <t>2025-11-14 00:00:00</t>
  </si>
  <si>
    <t>M5</t>
  </si>
  <si>
    <t>L4 &amp; G3 &amp; S4 &amp; W4 &amp; T4 &amp; X4 &amp; U4 &amp; O4 &amp; I4 &amp; P133</t>
  </si>
  <si>
    <t>2025-11-13 00:00:00</t>
  </si>
  <si>
    <t>K6</t>
  </si>
  <si>
    <t>S6 &amp; X9 &amp; U8 &amp; O8 &amp; I17 &amp; E29 &amp; P90 &amp; N1</t>
  </si>
  <si>
    <t>V9</t>
  </si>
  <si>
    <t>L10 &amp; G10 &amp; S10 &amp; W10 &amp; T10 &amp; X10 &amp; U10 &amp; O10 &amp; I10 &amp; P41</t>
  </si>
  <si>
    <t>2025-11-10 00:00:00</t>
  </si>
  <si>
    <t>S5 &amp; O9 &amp; I17 &amp; E46 &amp; P90 &amp; N2</t>
  </si>
  <si>
    <t>Y3 &amp; S4 &amp; U1 &amp; O9 &amp; I17 &amp; P135</t>
  </si>
  <si>
    <t>S1 &amp; X1 &amp; U8 &amp; O9 &amp; I17 &amp; P137 &amp; N2</t>
  </si>
  <si>
    <t>G3 &amp; S4 &amp; W4 &amp; T4 &amp; X4 &amp; U6 &amp; O4 &amp; I4 &amp; P145</t>
  </si>
  <si>
    <t>2025-11-21 00:00:00</t>
  </si>
  <si>
    <t>S1 &amp; X2 &amp; U8 &amp; O8 &amp; I17 &amp; P132</t>
  </si>
  <si>
    <t>G7 &amp; S16 &amp; W4 &amp; T10 &amp; X10 &amp; U10 &amp; O10 &amp; I10 &amp; P91</t>
  </si>
  <si>
    <t>S4 &amp; U8 &amp; O6 &amp; I19 &amp; E40 &amp; P89 &amp; N4</t>
  </si>
  <si>
    <t>S6 &amp; U1 &amp; O9 &amp; I17 &amp; P135 &amp; N2</t>
  </si>
  <si>
    <t>S7 &amp; X16 &amp; U19 &amp; O20 &amp; I21 &amp; P90 &amp; N1</t>
  </si>
  <si>
    <t>O4 &amp; I6 &amp; P159</t>
  </si>
  <si>
    <t>W1</t>
  </si>
  <si>
    <t>S5 &amp; W7 &amp; T8 &amp; X9 &amp; U8 &amp; O8 &amp; I17 &amp; P96 &amp; N4</t>
  </si>
  <si>
    <t>W4</t>
  </si>
  <si>
    <t>S2 &amp; W6 &amp; T10 &amp; X10 &amp; U10 &amp; O10 &amp; I10 &amp; P90 &amp; N4</t>
  </si>
  <si>
    <t>2025-11-15 00:00:00</t>
  </si>
  <si>
    <t>U7 &amp; O9 &amp; I17 &amp; P135</t>
  </si>
  <si>
    <t>S3</t>
  </si>
  <si>
    <t>S3 &amp; W8 &amp; T9 &amp; X8 &amp; U8 &amp; O9 &amp; I17 &amp; P102 &amp; N1</t>
  </si>
  <si>
    <t>G6</t>
  </si>
  <si>
    <t>S9 &amp; W8 &amp; T9 &amp; X8 &amp; U8 &amp; O9 &amp; I17 &amp; P90 &amp; N4</t>
  </si>
  <si>
    <t>2025-11-07 00:00:00</t>
  </si>
  <si>
    <t>2025-11-18 00:00:00</t>
  </si>
  <si>
    <t>S2 &amp; X6 &amp; U8 &amp; O8 &amp; I17 &amp; P135</t>
  </si>
  <si>
    <t>S1 &amp; U6 &amp; O9 &amp; I17 &amp; P135</t>
  </si>
  <si>
    <t>S6 &amp; W7 &amp; T9 &amp; X8 &amp; U8 &amp; O9 &amp; I17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</si>
  <si>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</si>
  <si>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</si>
  <si>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</si>
  <si>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</si>
  <si>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</si>
  <si>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</si>
  <si>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</si>
  <si>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</si>
  <si>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</si>
  <si>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</si>
  <si>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</si>
  <si>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</si>
  <si>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</si>
  <si>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</si>
  <si>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</si>
  <si>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</si>
  <si>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</si>
  <si>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</si>
  <si>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</si>
  <si>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</si>
  <si>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</si>
  <si>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</si>
  <si>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</si>
  <si>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</si>
  <si>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</si>
  <si>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</si>
  <si>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</si>
  <si>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</si>
  <si>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</si>
  <si>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</si>
  <si>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21:40</t>
  </si>
  <si>
    <t>320</t>
  </si>
  <si>
    <t>UPCOMING</t>
  </si>
  <si>
    <t>G10</t>
  </si>
  <si>
    <t>S21</t>
  </si>
  <si>
    <t>T5</t>
  </si>
  <si>
    <t>X11</t>
  </si>
  <si>
    <t>U8</t>
  </si>
  <si>
    <t>O9</t>
  </si>
  <si>
    <t>I17</t>
  </si>
  <si>
    <t>P86</t>
  </si>
  <si>
    <t>N6</t>
  </si>
  <si>
    <t>TUESDAY</t>
  </si>
  <si>
    <t>01:10</t>
  </si>
  <si>
    <t>L1</t>
  </si>
  <si>
    <t>I4</t>
  </si>
  <si>
    <t>E44</t>
  </si>
  <si>
    <t>P114</t>
  </si>
  <si>
    <t>06:40</t>
  </si>
  <si>
    <t>L4</t>
  </si>
  <si>
    <t>G19</t>
  </si>
  <si>
    <t>S9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</si>
  <si>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</si>
  <si>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</si>
  <si>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</si>
  <si>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</si>
  <si>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</si>
  <si>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</si>
  <si>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</si>
  <si>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</si>
  <si>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</si>
  <si>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</si>
  <si>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</si>
  <si>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</si>
  <si>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</si>
  <si>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O8</t>
  </si>
  <si>
    <t>P122</t>
  </si>
  <si>
    <t>THURSDAY</t>
  </si>
  <si>
    <t>12:55</t>
  </si>
  <si>
    <t>V7</t>
  </si>
  <si>
    <t>L2</t>
  </si>
  <si>
    <t>S1</t>
  </si>
  <si>
    <t>U6</t>
  </si>
  <si>
    <t>P128</t>
  </si>
  <si>
    <t>N1</t>
  </si>
  <si>
    <t>SATURDAY</t>
  </si>
  <si>
    <t>09:30</t>
  </si>
  <si>
    <t>G2</t>
  </si>
  <si>
    <t>S12</t>
  </si>
  <si>
    <t>I22</t>
  </si>
  <si>
    <t>P133</t>
  </si>
  <si>
    <t>N4</t>
  </si>
  <si>
    <t>G3</t>
  </si>
  <si>
    <t>S4</t>
  </si>
  <si>
    <t>T4</t>
  </si>
  <si>
    <t>X4</t>
  </si>
  <si>
    <t>U4</t>
  </si>
  <si>
    <t>O4</t>
  </si>
  <si>
    <t>S6</t>
  </si>
  <si>
    <t>X9</t>
  </si>
  <si>
    <t>E29</t>
  </si>
  <si>
    <t>P90</t>
  </si>
  <si>
    <t>L10</t>
  </si>
  <si>
    <t>S10</t>
  </si>
  <si>
    <t>P41</t>
  </si>
  <si>
    <t>S5</t>
  </si>
  <si>
    <t>E46</t>
  </si>
  <si>
    <t>N2</t>
  </si>
  <si>
    <t>Y3</t>
  </si>
  <si>
    <t>U1</t>
  </si>
  <si>
    <t>P135</t>
  </si>
  <si>
    <t>X1</t>
  </si>
  <si>
    <t>P137</t>
  </si>
  <si>
    <t>P145</t>
  </si>
  <si>
    <t>X2</t>
  </si>
  <si>
    <t>P132</t>
  </si>
  <si>
    <t>S16</t>
  </si>
  <si>
    <t>P91</t>
  </si>
  <si>
    <t>O6</t>
  </si>
  <si>
    <t>I19</t>
  </si>
  <si>
    <t>E40</t>
  </si>
  <si>
    <t>P89</t>
  </si>
  <si>
    <t>S7</t>
  </si>
  <si>
    <t>X16</t>
  </si>
  <si>
    <t>U19</t>
  </si>
  <si>
    <t>O20</t>
  </si>
  <si>
    <t>I21</t>
  </si>
  <si>
    <t>I6</t>
  </si>
  <si>
    <t>P159</t>
  </si>
  <si>
    <t>W7</t>
  </si>
  <si>
    <t>T8</t>
  </si>
  <si>
    <t>P96</t>
  </si>
  <si>
    <t>S2</t>
  </si>
  <si>
    <t>W6</t>
  </si>
  <si>
    <t>U7</t>
  </si>
  <si>
    <t>W8</t>
  </si>
  <si>
    <t>T9</t>
  </si>
  <si>
    <t>X8</t>
  </si>
  <si>
    <t>P102</t>
  </si>
  <si>
    <t>X6</t>
  </si>
  <si>
    <t>MED-HBE</t>
  </si>
  <si>
    <t>SM486</t>
  </si>
  <si>
    <t>Q7 &amp; P172</t>
  </si>
  <si>
    <t>H3</t>
  </si>
  <si>
    <t>Q3 &amp; K4 &amp; V2 &amp; L6 &amp; X8 &amp; P153</t>
  </si>
  <si>
    <t>H5</t>
  </si>
  <si>
    <t>Q3 &amp; S2 &amp; X7 &amp; U8 &amp; O8 &amp; I6 &amp; P135</t>
  </si>
  <si>
    <t>M4</t>
  </si>
  <si>
    <t>V1 &amp; L6 &amp; S29 &amp; T8 &amp; X10 &amp; P121</t>
  </si>
  <si>
    <t>B9</t>
  </si>
  <si>
    <t>H3 &amp; S14 &amp; X9 &amp; P144</t>
  </si>
  <si>
    <t>2025-11-17 00:00:00</t>
  </si>
  <si>
    <t>S3 &amp; O7 &amp; I8 &amp; P161</t>
  </si>
  <si>
    <t>S2 &amp; I4 &amp; P173</t>
  </si>
  <si>
    <t>Y6</t>
  </si>
  <si>
    <t>L7 &amp; S9 &amp; U4 &amp; O10 &amp; I9 &amp; P130</t>
  </si>
  <si>
    <t>G4</t>
  </si>
  <si>
    <t>G4 &amp; S6 &amp; X1 &amp; U6 &amp; O10 &amp; I10 &amp; P134</t>
  </si>
  <si>
    <t>G8 &amp; S2 &amp; I5 &amp; P160</t>
  </si>
  <si>
    <t>P2</t>
  </si>
  <si>
    <t>L3 &amp; G4 &amp; S4 &amp; W4 &amp; T8 &amp; X8 &amp; P133</t>
  </si>
  <si>
    <t>L3</t>
  </si>
  <si>
    <t>G2 &amp; S8 &amp; W3 &amp; T5 &amp; X8 &amp; U8 &amp; O8 &amp; I8 &amp; P126</t>
  </si>
  <si>
    <t>S4 &amp; X2 &amp; U7 &amp; O10 &amp; I10 &amp; P135</t>
  </si>
  <si>
    <t>G9</t>
  </si>
  <si>
    <t>G21 &amp; P146</t>
  </si>
  <si>
    <t>S23 &amp; X9 &amp; P137</t>
  </si>
  <si>
    <t>T3</t>
  </si>
  <si>
    <t>S11 &amp; T7 &amp; X10 &amp; P136</t>
  </si>
  <si>
    <t>W2</t>
  </si>
  <si>
    <t>S4 &amp; W3 &amp; T10 &amp; X10 &amp; P139</t>
  </si>
  <si>
    <t>P180</t>
  </si>
  <si>
    <t>G6 &amp; S6 &amp; T10 &amp; X10 &amp; P135</t>
  </si>
  <si>
    <t>S3 &amp; T7 &amp; X9 &amp; P155</t>
  </si>
  <si>
    <t>09:40</t>
  </si>
  <si>
    <t>Q7</t>
  </si>
  <si>
    <t>P172</t>
  </si>
  <si>
    <t>07:50</t>
  </si>
  <si>
    <t>Q3</t>
  </si>
  <si>
    <t>K4</t>
  </si>
  <si>
    <t>V2</t>
  </si>
  <si>
    <t>L6</t>
  </si>
  <si>
    <t>P153</t>
  </si>
  <si>
    <t>WEDNESDAY</t>
  </si>
  <si>
    <t>22:40</t>
  </si>
  <si>
    <t>X7</t>
  </si>
  <si>
    <t>15:30</t>
  </si>
  <si>
    <t>V1</t>
  </si>
  <si>
    <t>S29</t>
  </si>
  <si>
    <t>P121</t>
  </si>
  <si>
    <t>S14</t>
  </si>
  <si>
    <t>P144</t>
  </si>
  <si>
    <t>O7</t>
  </si>
  <si>
    <t>I8</t>
  </si>
  <si>
    <t>P161</t>
  </si>
  <si>
    <t>P173</t>
  </si>
  <si>
    <t>L7</t>
  </si>
  <si>
    <t>I9</t>
  </si>
  <si>
    <t>P130</t>
  </si>
  <si>
    <t>P134</t>
  </si>
  <si>
    <t>G8</t>
  </si>
  <si>
    <t>I5</t>
  </si>
  <si>
    <t>P160</t>
  </si>
  <si>
    <t>S8</t>
  </si>
  <si>
    <t>W3</t>
  </si>
  <si>
    <t>P126</t>
  </si>
  <si>
    <t>G21</t>
  </si>
  <si>
    <t>P146</t>
  </si>
  <si>
    <t>S23</t>
  </si>
  <si>
    <t>T7</t>
  </si>
  <si>
    <t>P136</t>
  </si>
  <si>
    <t>P139</t>
  </si>
  <si>
    <t>P155</t>
  </si>
  <si>
    <t>MED-ATZ</t>
  </si>
  <si>
    <t>S8 &amp; X12 &amp; U20 &amp; O20 &amp; I30 &amp; P54</t>
  </si>
  <si>
    <t>SM490</t>
  </si>
  <si>
    <t>S11 &amp; X7 &amp; U20 &amp; O25 &amp; I25 &amp; P50</t>
  </si>
  <si>
    <t>S8 &amp; X6 &amp; U32 &amp; O30 &amp; I18</t>
  </si>
  <si>
    <t>S3 &amp; X18 &amp; U5 &amp; O3 &amp; I9 &amp; P86</t>
  </si>
  <si>
    <t>S5 &amp; X7 &amp; U8 &amp; O9 &amp; I23 &amp; P79</t>
  </si>
  <si>
    <t>LOW DEMAND</t>
  </si>
  <si>
    <t>O1</t>
  </si>
  <si>
    <t>X1 &amp; O9 &amp; I20</t>
  </si>
  <si>
    <t>S4 &amp; X7 &amp; U5 &amp; O3 &amp; I9 &amp; P52</t>
  </si>
  <si>
    <t>S2 &amp; X1 &amp; U8 &amp; O13 &amp; I17 &amp; P49</t>
  </si>
  <si>
    <t>S1 &amp; X5 &amp; U5 &amp; O3 &amp; I9</t>
  </si>
  <si>
    <t>S1 &amp; U1 &amp; O4 &amp; I8</t>
  </si>
  <si>
    <t>I1</t>
  </si>
  <si>
    <t>S2 &amp; I16 &amp; E45</t>
  </si>
  <si>
    <t>O5 &amp; I5</t>
  </si>
  <si>
    <t>I3</t>
  </si>
  <si>
    <t>S3 &amp; I14 &amp; P90</t>
  </si>
  <si>
    <t>MONDAY</t>
  </si>
  <si>
    <t>19:20</t>
  </si>
  <si>
    <t>X12</t>
  </si>
  <si>
    <t>U20</t>
  </si>
  <si>
    <t>I30</t>
  </si>
  <si>
    <t>P54</t>
  </si>
  <si>
    <t>14:50</t>
  </si>
  <si>
    <t>O25</t>
  </si>
  <si>
    <t>I25</t>
  </si>
  <si>
    <t>P50</t>
  </si>
  <si>
    <t>22:55</t>
  </si>
  <si>
    <t>U32</t>
  </si>
  <si>
    <t>O30</t>
  </si>
  <si>
    <t>I18</t>
  </si>
  <si>
    <t>X18</t>
  </si>
  <si>
    <t>O3</t>
  </si>
  <si>
    <t>I23</t>
  </si>
  <si>
    <t>P79</t>
  </si>
  <si>
    <t>I20</t>
  </si>
  <si>
    <t>P52</t>
  </si>
  <si>
    <t>O13</t>
  </si>
  <si>
    <t>P49</t>
  </si>
  <si>
    <t>X5</t>
  </si>
  <si>
    <t>I16</t>
  </si>
  <si>
    <t>E45</t>
  </si>
  <si>
    <t>O5</t>
  </si>
  <si>
    <t>I14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</si>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</sst>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8" xfId="0" applyNumberFormat="1" applyFont="1" applyFill="1" applyBorder="1" applyAlignment="1">
      <alignment horizontal="center" vertical="center"/>
    </xf>
    <xf numFmtId="168" fontId="14" fillId="10" borderId="9" xfId="0" applyNumberFormat="1" applyFont="1" applyFill="1" applyBorder="1" applyAlignment="1">
      <alignment horizontal="center" vertical="center"/>
    </xf>
    <xf numFmtId="1" fontId="13" fillId="10" borderId="9" xfId="0" applyNumberFormat="1" applyFont="1" applyFill="1" applyBorder="1" applyAlignment="1">
      <alignment horizontal="center" vertical="center"/>
    </xf>
    <xf numFmtId="16" fontId="13" fillId="10" borderId="9" xfId="0" applyNumberFormat="1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49" fontId="17" fillId="11" borderId="2" xfId="0" applyNumberFormat="1" applyFont="1" applyFill="1" applyBorder="1" applyAlignment="1">
      <alignment horizontal="center" vertical="center"/>
    </xf>
    <xf numFmtId="167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168" fontId="18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/>
    </xf>
    <xf numFmtId="16" fontId="13" fillId="11" borderId="9" xfId="0" applyNumberFormat="1" applyFont="1" applyFill="1" applyBorder="1" applyAlignment="1">
      <alignment horizontal="center" vertical="center"/>
    </xf>
    <xf numFmtId="49" fontId="15" fillId="11" borderId="9" xfId="0" applyNumberFormat="1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167" fontId="17" fillId="12" borderId="11" xfId="0" applyNumberFormat="1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168" fontId="14" fillId="13" borderId="9" xfId="0" applyNumberFormat="1" applyFont="1" applyFill="1" applyBorder="1" applyAlignment="1">
      <alignment horizontal="center" vertical="center"/>
    </xf>
    <xf numFmtId="1" fontId="13" fillId="13" borderId="9" xfId="0" applyNumberFormat="1" applyFont="1" applyFill="1" applyBorder="1" applyAlignment="1">
      <alignment horizontal="center" vertical="center"/>
    </xf>
    <xf numFmtId="16" fontId="13" fillId="13" borderId="9" xfId="0" applyNumberFormat="1" applyFont="1" applyFill="1" applyBorder="1" applyAlignment="1">
      <alignment horizontal="center" vertical="center"/>
    </xf>
    <xf numFmtId="49" fontId="15" fillId="13" borderId="9" xfId="0" applyNumberFormat="1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49" fontId="17" fillId="14" borderId="2" xfId="0" applyNumberFormat="1" applyFont="1" applyFill="1" applyBorder="1" applyAlignment="1">
      <alignment horizontal="center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horizontal="center" vertical="center"/>
    </xf>
    <xf numFmtId="1" fontId="13" fillId="14" borderId="9" xfId="0" applyNumberFormat="1" applyFont="1" applyFill="1" applyBorder="1" applyAlignment="1">
      <alignment horizontal="center" vertical="center"/>
    </xf>
    <xf numFmtId="16" fontId="13" fillId="14" borderId="9" xfId="0" applyNumberFormat="1" applyFont="1" applyFill="1" applyBorder="1" applyAlignment="1">
      <alignment horizontal="center" vertical="center"/>
    </xf>
    <xf numFmtId="49" fontId="15" fillId="14" borderId="9" xfId="0" applyNumberFormat="1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167" fontId="17" fillId="15" borderId="11" xfId="0" applyNumberFormat="1" applyFont="1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168" fontId="14" fillId="14" borderId="9" xfId="0" applyNumberFormat="1" applyFont="1" applyFill="1" applyBorder="1" applyAlignment="1">
      <alignment horizontal="center" vertical="center"/>
    </xf>
    <xf numFmtId="49" fontId="17" fillId="8" borderId="11" xfId="0" applyNumberFormat="1" applyFont="1" applyFill="1" applyBorder="1" applyAlignment="1">
      <alignment horizontal="center" vertical="center"/>
    </xf>
    <xf numFmtId="167" fontId="17" fillId="8" borderId="11" xfId="0" applyNumberFormat="1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3" fillId="12" borderId="8" xfId="0" applyNumberFormat="1" applyFont="1" applyFill="1" applyBorder="1" applyAlignment="1">
      <alignment horizontal="center" vertical="center"/>
    </xf>
    <xf numFmtId="168" fontId="14" fillId="12" borderId="9" xfId="0" applyNumberFormat="1" applyFont="1" applyFill="1" applyBorder="1" applyAlignment="1">
      <alignment horizontal="center" vertical="center"/>
    </xf>
    <xf numFmtId="1" fontId="13" fillId="12" borderId="9" xfId="0" applyNumberFormat="1" applyFont="1" applyFill="1" applyBorder="1" applyAlignment="1">
      <alignment horizontal="center" vertical="center"/>
    </xf>
    <xf numFmtId="16" fontId="13" fillId="12" borderId="9" xfId="0" applyNumberFormat="1" applyFont="1" applyFill="1" applyBorder="1" applyAlignment="1">
      <alignment horizontal="center" vertical="center"/>
    </xf>
    <xf numFmtId="49" fontId="15" fillId="12" borderId="9" xfId="0" applyNumberFormat="1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49" fontId="17" fillId="13" borderId="2" xfId="0" applyNumberFormat="1" applyFont="1" applyFill="1" applyBorder="1" applyAlignment="1">
      <alignment horizontal="center" vertical="center"/>
    </xf>
    <xf numFmtId="167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49" fontId="17" fillId="10" borderId="11" xfId="0" applyNumberFormat="1" applyFont="1" applyFill="1" applyBorder="1" applyAlignment="1">
      <alignment horizontal="center" vertical="center"/>
    </xf>
    <xf numFmtId="167" fontId="17" fillId="10" borderId="11" xfId="0" applyNumberFormat="1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49" fontId="13" fillId="8" borderId="8" xfId="0" applyNumberFormat="1" applyFont="1" applyFill="1" applyBorder="1" applyAlignment="1">
      <alignment horizontal="center" vertical="center"/>
    </xf>
    <xf numFmtId="168" fontId="14" fillId="8" borderId="9" xfId="0" applyNumberFormat="1" applyFont="1" applyFill="1" applyBorder="1" applyAlignment="1">
      <alignment horizontal="center" vertical="center"/>
    </xf>
    <xf numFmtId="1" fontId="13" fillId="8" borderId="9" xfId="0" applyNumberFormat="1" applyFont="1" applyFill="1" applyBorder="1" applyAlignment="1">
      <alignment horizontal="center" vertical="center"/>
    </xf>
    <xf numFmtId="16" fontId="13" fillId="8" borderId="9" xfId="0" applyNumberFormat="1" applyFont="1" applyFill="1" applyBorder="1" applyAlignment="1">
      <alignment horizontal="center" vertical="center"/>
    </xf>
    <xf numFmtId="49" fontId="15" fillId="8" borderId="9" xfId="0" applyNumberFormat="1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49" fontId="17" fillId="16" borderId="11" xfId="0" applyNumberFormat="1" applyFont="1" applyFill="1" applyBorder="1" applyAlignment="1">
      <alignment horizontal="center" vertical="center"/>
    </xf>
    <xf numFmtId="167" fontId="17" fillId="16" borderId="11" xfId="0" applyNumberFormat="1" applyFont="1" applyFill="1" applyBorder="1" applyAlignment="1">
      <alignment horizontal="center" vertical="center"/>
    </xf>
    <xf numFmtId="0" fontId="17" fillId="16" borderId="11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168" fontId="18" fillId="15" borderId="6" xfId="0" applyNumberFormat="1" applyFont="1" applyFill="1" applyBorder="1" applyAlignment="1">
      <alignment horizontal="center" vertical="center"/>
    </xf>
    <xf numFmtId="168" fontId="18" fillId="16" borderId="6" xfId="0" applyNumberFormat="1" applyFont="1" applyFill="1" applyBorder="1" applyAlignment="1">
      <alignment horizontal="center" vertical="center"/>
    </xf>
    <xf numFmtId="168" fontId="18" fillId="11" borderId="6" xfId="0" applyNumberFormat="1" applyFont="1" applyFill="1" applyBorder="1" applyAlignment="1">
      <alignment horizontal="center" vertical="center"/>
    </xf>
    <xf numFmtId="168" fontId="18" fillId="10" borderId="6" xfId="0" applyNumberFormat="1" applyFont="1" applyFill="1" applyBorder="1" applyAlignment="1">
      <alignment horizontal="center" vertical="center"/>
    </xf>
    <xf numFmtId="168" fontId="18" fillId="13" borderId="6" xfId="0" applyNumberFormat="1" applyFont="1" applyFill="1" applyBorder="1" applyAlignment="1">
      <alignment horizontal="center" vertical="center"/>
    </xf>
    <xf numFmtId="168" fontId="18" fillId="12" borderId="6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0" fontId="0" fillId="0" borderId="14" xfId="0" applyBorder="1"/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30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D_HBE_LF_LEGACY" displayName="MED_HBE_LF_LEGACY" ref="A1:AJ22" totalsRowCount="1" headerRowDxfId="149" dataDxfId="112" totalsRowDxfId="75">
  <tableColumns count="36">
    <tableColumn id="1" xr3:uid="{00000000-0010-0000-0100-000001000000}" name="Day" totalsRowLabel="TOTAL" dataDxfId="148" totalsRowDxfId="111"/>
    <tableColumn id="2" xr3:uid="{00000000-0010-0000-0100-000002000000}" name="Flt Dt" dataDxfId="147" totalsRowDxfId="110"/>
    <tableColumn id="3" xr3:uid="{00000000-0010-0000-0100-000003000000}" name="Flt" totalsRowFunction="count" dataDxfId="146" totalsRowDxfId="109"/>
    <tableColumn id="4" xr3:uid="{00000000-0010-0000-0100-000004000000}" name="DEP" dataDxfId="145" totalsRowDxfId="108"/>
    <tableColumn id="5" xr3:uid="{00000000-0010-0000-0100-000005000000}" name="Brd-Off" totalsRowFunction="count" dataDxfId="144" totalsRowDxfId="107"/>
    <tableColumn id="6" xr3:uid="{00000000-0010-0000-0100-000006000000}" name="Eqp" dataDxfId="143" totalsRowDxfId="106"/>
    <tableColumn id="7" xr3:uid="{00000000-0010-0000-0100-000007000000}" name="LF%" totalsRowFunction="average" dataDxfId="142" totalsRowDxfId="105"/>
    <tableColumn id="8" xr3:uid="{00000000-0010-0000-0100-000008000000}" name="CAP" totalsRowFunction="sum" dataDxfId="141" totalsRowDxfId="104"/>
    <tableColumn id="9" xr3:uid="{00000000-0010-0000-0100-000009000000}" name="BKG(Y)" totalsRowFunction="sum" dataDxfId="140" totalsRowDxfId="103"/>
    <tableColumn id="10" xr3:uid="{00000000-0010-0000-0100-00000A000000}" name="GRP(Y)" totalsRowFunction="sum" dataDxfId="139" totalsRowDxfId="102"/>
    <tableColumn id="11" xr3:uid="{00000000-0010-0000-0100-00000B000000}" name="FLT ST" dataDxfId="138" totalsRowDxfId="101"/>
    <tableColumn id="12" xr3:uid="{00000000-0010-0000-0100-00000C000000}" name="LST-SOLD" dataDxfId="137" totalsRowDxfId="100"/>
    <tableColumn id="13" xr3:uid="{00000000-0010-0000-0100-00000D000000}" name="TO-DAY" totalsRowFunction="sum" dataDxfId="136" totalsRowDxfId="99"/>
    <tableColumn id="14" xr3:uid="{00000000-0010-0000-0100-00000E000000}" name="Y-DAY" totalsRowFunction="sum" dataDxfId="135" totalsRowDxfId="98"/>
    <tableColumn id="15" xr3:uid="{00000000-0010-0000-0100-00000F000000}" name="WEEKLY" totalsRowFunction="sum" dataDxfId="134" totalsRowDxfId="97"/>
    <tableColumn id="16" xr3:uid="{00000000-0010-0000-0100-000010000000}" name="LOWEST AVAIL" dataDxfId="133" totalsRowDxfId="96"/>
    <tableColumn id="17" xr3:uid="{00000000-0010-0000-0100-000011000000}" name="Y" totalsRowFunction="sum" dataDxfId="132" totalsRowDxfId="95"/>
    <tableColumn id="18" xr3:uid="{00000000-0010-0000-0100-000012000000}" name="B" totalsRowFunction="sum" dataDxfId="131" totalsRowDxfId="94"/>
    <tableColumn id="19" xr3:uid="{00000000-0010-0000-0100-000013000000}" name="M" totalsRowFunction="sum" dataDxfId="130" totalsRowDxfId="93"/>
    <tableColumn id="20" xr3:uid="{00000000-0010-0000-0100-000014000000}" name="H" totalsRowFunction="sum" dataDxfId="129" totalsRowDxfId="92"/>
    <tableColumn id="21" xr3:uid="{00000000-0010-0000-0100-000015000000}" name="Q" totalsRowFunction="sum" dataDxfId="128" totalsRowDxfId="91"/>
    <tableColumn id="22" xr3:uid="{00000000-0010-0000-0100-000016000000}" name="K" totalsRowFunction="sum" dataDxfId="127" totalsRowDxfId="90"/>
    <tableColumn id="23" xr3:uid="{00000000-0010-0000-0100-000017000000}" name="V" totalsRowFunction="sum" dataDxfId="126" totalsRowDxfId="89"/>
    <tableColumn id="24" xr3:uid="{00000000-0010-0000-0100-000018000000}" name="L" totalsRowFunction="sum" dataDxfId="125" totalsRowDxfId="88"/>
    <tableColumn id="25" xr3:uid="{00000000-0010-0000-0100-000019000000}" name="G" totalsRowFunction="sum" dataDxfId="124" totalsRowDxfId="87"/>
    <tableColumn id="26" xr3:uid="{00000000-0010-0000-0100-00001A000000}" name="S" totalsRowFunction="sum" dataDxfId="123" totalsRowDxfId="86"/>
    <tableColumn id="27" xr3:uid="{00000000-0010-0000-0100-00001B000000}" name="W" totalsRowFunction="sum" dataDxfId="122" totalsRowDxfId="85"/>
    <tableColumn id="28" xr3:uid="{00000000-0010-0000-0100-00001C000000}" name="T" totalsRowFunction="sum" dataDxfId="121" totalsRowDxfId="84"/>
    <tableColumn id="29" xr3:uid="{00000000-0010-0000-0100-00001D000000}" name="X" totalsRowFunction="sum" dataDxfId="120" totalsRowDxfId="83"/>
    <tableColumn id="30" xr3:uid="{00000000-0010-0000-0100-00001E000000}" name="U" totalsRowFunction="sum" dataDxfId="119" totalsRowDxfId="82"/>
    <tableColumn id="31" xr3:uid="{00000000-0010-0000-0100-00001F000000}" name="O" totalsRowFunction="sum" dataDxfId="118" totalsRowDxfId="81"/>
    <tableColumn id="32" xr3:uid="{00000000-0010-0000-0100-000020000000}" name="I" totalsRowFunction="sum" dataDxfId="117" totalsRowDxfId="80"/>
    <tableColumn id="33" xr3:uid="{00000000-0010-0000-0100-000021000000}" name="E" totalsRowFunction="sum" dataDxfId="116" totalsRowDxfId="79"/>
    <tableColumn id="34" xr3:uid="{00000000-0010-0000-0100-000022000000}" name="A" totalsRowFunction="sum" dataDxfId="115" totalsRowDxfId="78"/>
    <tableColumn id="35" xr3:uid="{00000000-0010-0000-0100-000023000000}" name="P" totalsRowFunction="sum" dataDxfId="114" totalsRowDxfId="77"/>
    <tableColumn id="36" xr3:uid="{00000000-0010-0000-0100-000024000000}" name="N" totalsRowFunction="count" dataDxfId="113" totalsRow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_ATZ_LF_LEGACY" displayName="MED_ATZ_LF_LEGACY" ref="A1:AJ17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9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6.109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7.5546875" bestFit="1" customWidth="1"/>
  </cols>
  <sheetData>
    <row r="1" spans="1:92" ht="28.8" customHeight="1" x14ac:dyDescent="0.3">
      <c r="A1" s="181" t="s">
        <v>0</v>
      </c>
      <c r="B1" s="180"/>
      <c r="C1" s="180"/>
      <c r="D1" s="180"/>
      <c r="E1" s="180"/>
      <c r="F1" s="1" t="s">
        <v>1</v>
      </c>
      <c r="G1" s="2" t="s">
        <v>2</v>
      </c>
      <c r="H1" s="179" t="s">
        <v>3</v>
      </c>
      <c r="I1" s="180"/>
      <c r="J1" s="180"/>
      <c r="K1" s="180"/>
      <c r="L1" s="180"/>
      <c r="M1" s="1" t="s">
        <v>4</v>
      </c>
      <c r="N1" s="187" t="s">
        <v>5</v>
      </c>
      <c r="O1" s="180"/>
      <c r="P1" s="180"/>
      <c r="Q1" s="180"/>
      <c r="R1" s="180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6</v>
      </c>
      <c r="B2" s="180"/>
      <c r="C2" s="180"/>
      <c r="D2" s="180"/>
      <c r="E2" s="180"/>
      <c r="F2" s="180"/>
      <c r="G2" s="186">
        <v>45984.227258733808</v>
      </c>
      <c r="H2" s="180"/>
      <c r="I2" s="180"/>
      <c r="J2" s="180"/>
      <c r="K2" s="188">
        <v>45984.227258741383</v>
      </c>
      <c r="L2" s="180"/>
      <c r="M2" s="180"/>
      <c r="N2" s="180"/>
      <c r="O2" s="180"/>
      <c r="P2" s="180"/>
      <c r="Q2" s="180"/>
      <c r="R2" s="1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0" t="s">
        <v>7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1" t="s">
        <v>8</v>
      </c>
      <c r="B4" s="175"/>
      <c r="C4" s="175"/>
      <c r="D4" s="175"/>
      <c r="E4" s="175"/>
      <c r="F4" s="176"/>
      <c r="G4" s="4">
        <v>45984</v>
      </c>
      <c r="H4" s="189" t="s">
        <v>9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0.90277777777777779</v>
      </c>
      <c r="D6" s="8" t="s">
        <v>30</v>
      </c>
      <c r="E6" s="10"/>
      <c r="F6" s="8" t="s">
        <v>31</v>
      </c>
      <c r="G6" s="183"/>
      <c r="H6" s="11" t="s">
        <v>29</v>
      </c>
      <c r="I6" s="12">
        <v>1</v>
      </c>
      <c r="J6" s="13">
        <v>179</v>
      </c>
      <c r="K6" s="14" t="s">
        <v>32</v>
      </c>
      <c r="L6" s="13">
        <v>1</v>
      </c>
      <c r="M6" s="13">
        <v>0</v>
      </c>
      <c r="N6" s="13">
        <v>0</v>
      </c>
      <c r="O6" s="15" t="s">
        <v>33</v>
      </c>
      <c r="P6" s="16">
        <v>0.90277777777777779</v>
      </c>
      <c r="Q6" s="13">
        <v>179</v>
      </c>
      <c r="R6" s="17" t="s">
        <v>34</v>
      </c>
    </row>
    <row r="7" spans="1:92" ht="17.399999999999999" customHeight="1" thickBot="1" x14ac:dyDescent="0.35">
      <c r="A7" s="206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8"/>
    </row>
    <row r="8" spans="1:92" ht="22.05" customHeight="1" thickTop="1" thickBot="1" x14ac:dyDescent="0.35">
      <c r="A8" s="182" t="s">
        <v>8</v>
      </c>
      <c r="B8" s="175"/>
      <c r="C8" s="175"/>
      <c r="D8" s="175"/>
      <c r="E8" s="175"/>
      <c r="F8" s="176"/>
      <c r="G8" s="18">
        <v>45986</v>
      </c>
      <c r="H8" s="174" t="s">
        <v>9</v>
      </c>
      <c r="I8" s="175"/>
      <c r="J8" s="175"/>
      <c r="K8" s="175"/>
      <c r="L8" s="175"/>
      <c r="M8" s="175"/>
      <c r="N8" s="175"/>
      <c r="O8" s="175"/>
      <c r="P8" s="175"/>
      <c r="Q8" s="175"/>
      <c r="R8" s="176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x14ac:dyDescent="0.3">
      <c r="A10" s="26" t="s">
        <v>28</v>
      </c>
      <c r="B10" s="26" t="s">
        <v>35</v>
      </c>
      <c r="C10" s="27">
        <v>4.8611111111111112E-2</v>
      </c>
      <c r="D10" s="26" t="s">
        <v>30</v>
      </c>
      <c r="E10" s="28"/>
      <c r="F10" s="26" t="s">
        <v>36</v>
      </c>
      <c r="G10" s="177"/>
      <c r="H10" s="29" t="s">
        <v>35</v>
      </c>
      <c r="I10" s="30">
        <v>0.91059999999999997</v>
      </c>
      <c r="J10" s="31">
        <v>163</v>
      </c>
      <c r="K10" s="32" t="s">
        <v>37</v>
      </c>
      <c r="L10" s="31">
        <v>0</v>
      </c>
      <c r="M10" s="31">
        <v>0</v>
      </c>
      <c r="N10" s="31">
        <v>0</v>
      </c>
      <c r="O10" s="33" t="s">
        <v>38</v>
      </c>
      <c r="P10" s="34">
        <v>4.8611111111111112E-2</v>
      </c>
      <c r="Q10" s="31">
        <v>179</v>
      </c>
      <c r="R10" s="35" t="s">
        <v>39</v>
      </c>
    </row>
    <row r="11" spans="1:92" ht="49.95" customHeight="1" x14ac:dyDescent="0.3">
      <c r="A11" s="36" t="s">
        <v>28</v>
      </c>
      <c r="B11" s="36" t="s">
        <v>40</v>
      </c>
      <c r="C11" s="37">
        <v>0.27777777777777779</v>
      </c>
      <c r="D11" s="36" t="s">
        <v>30</v>
      </c>
      <c r="E11" s="38"/>
      <c r="F11" s="36" t="s">
        <v>41</v>
      </c>
      <c r="G11" s="184"/>
      <c r="H11" s="39" t="s">
        <v>40</v>
      </c>
      <c r="I11" s="40">
        <v>0.54759999999999998</v>
      </c>
      <c r="J11" s="41">
        <v>92</v>
      </c>
      <c r="K11" s="42" t="s">
        <v>42</v>
      </c>
      <c r="L11" s="41">
        <v>18</v>
      </c>
      <c r="M11" s="41">
        <v>0</v>
      </c>
      <c r="N11" s="41">
        <v>5</v>
      </c>
      <c r="O11" s="43" t="s">
        <v>43</v>
      </c>
      <c r="P11" s="44">
        <v>0.27777777777777779</v>
      </c>
      <c r="Q11" s="41">
        <v>168</v>
      </c>
      <c r="R11" s="45" t="s">
        <v>44</v>
      </c>
    </row>
    <row r="12" spans="1:92" ht="49.95" customHeight="1" thickBot="1" x14ac:dyDescent="0.35">
      <c r="A12" s="46" t="s">
        <v>28</v>
      </c>
      <c r="B12" s="46" t="s">
        <v>29</v>
      </c>
      <c r="C12" s="47">
        <v>0.97916666666666663</v>
      </c>
      <c r="D12" s="46" t="s">
        <v>30</v>
      </c>
      <c r="E12" s="48"/>
      <c r="F12" s="46" t="s">
        <v>45</v>
      </c>
      <c r="G12" s="178"/>
      <c r="H12" s="49" t="s">
        <v>29</v>
      </c>
      <c r="I12" s="50">
        <v>0.98880000000000001</v>
      </c>
      <c r="J12" s="51">
        <v>177</v>
      </c>
      <c r="K12" s="52" t="s">
        <v>46</v>
      </c>
      <c r="L12" s="51">
        <v>2</v>
      </c>
      <c r="M12" s="51">
        <v>0</v>
      </c>
      <c r="N12" s="51">
        <v>0</v>
      </c>
      <c r="O12" s="53" t="s">
        <v>47</v>
      </c>
      <c r="P12" s="54">
        <v>0.97916666666666663</v>
      </c>
      <c r="Q12" s="51">
        <v>179</v>
      </c>
      <c r="R12" s="55" t="s">
        <v>48</v>
      </c>
    </row>
    <row r="13" spans="1:92" ht="17.399999999999999" customHeight="1" thickBot="1" x14ac:dyDescent="0.35">
      <c r="A13" s="206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8"/>
    </row>
    <row r="14" spans="1:92" ht="22.05" customHeight="1" thickTop="1" thickBot="1" x14ac:dyDescent="0.35">
      <c r="A14" s="182" t="s">
        <v>8</v>
      </c>
      <c r="B14" s="175"/>
      <c r="C14" s="175"/>
      <c r="D14" s="175"/>
      <c r="E14" s="175"/>
      <c r="F14" s="176"/>
      <c r="G14" s="18">
        <v>45988</v>
      </c>
      <c r="H14" s="174" t="s">
        <v>9</v>
      </c>
      <c r="I14" s="175"/>
      <c r="J14" s="175"/>
      <c r="K14" s="175"/>
      <c r="L14" s="175"/>
      <c r="M14" s="175"/>
      <c r="N14" s="175"/>
      <c r="O14" s="175"/>
      <c r="P14" s="175"/>
      <c r="Q14" s="175"/>
      <c r="R14" s="176"/>
    </row>
    <row r="15" spans="1:92" ht="24" customHeight="1" x14ac:dyDescent="0.3">
      <c r="A15" s="19" t="s">
        <v>10</v>
      </c>
      <c r="B15" s="19" t="s">
        <v>11</v>
      </c>
      <c r="C15" s="20" t="s">
        <v>12</v>
      </c>
      <c r="D15" s="19" t="s">
        <v>13</v>
      </c>
      <c r="E15" s="19" t="s">
        <v>14</v>
      </c>
      <c r="F15" s="21" t="s">
        <v>15</v>
      </c>
      <c r="G15" s="22" t="s">
        <v>16</v>
      </c>
      <c r="H15" s="19" t="s">
        <v>17</v>
      </c>
      <c r="I15" s="23" t="s">
        <v>18</v>
      </c>
      <c r="J15" s="24" t="s">
        <v>19</v>
      </c>
      <c r="K15" s="25" t="s">
        <v>20</v>
      </c>
      <c r="L15" s="24" t="s">
        <v>21</v>
      </c>
      <c r="M15" s="24" t="s">
        <v>22</v>
      </c>
      <c r="N15" s="24" t="s">
        <v>23</v>
      </c>
      <c r="O15" s="19" t="s">
        <v>24</v>
      </c>
      <c r="P15" s="20" t="s">
        <v>25</v>
      </c>
      <c r="Q15" s="24" t="s">
        <v>26</v>
      </c>
      <c r="R15" s="19" t="s">
        <v>27</v>
      </c>
    </row>
    <row r="16" spans="1:92" ht="49.95" customHeight="1" thickTop="1" thickBot="1" x14ac:dyDescent="0.5">
      <c r="A16" s="56" t="s">
        <v>28</v>
      </c>
      <c r="B16" s="56" t="s">
        <v>29</v>
      </c>
      <c r="C16" s="57">
        <v>0.53819444444444442</v>
      </c>
      <c r="D16" s="56" t="s">
        <v>30</v>
      </c>
      <c r="E16" s="58"/>
      <c r="F16" s="56" t="s">
        <v>45</v>
      </c>
      <c r="G16" s="183"/>
      <c r="H16" s="49" t="s">
        <v>29</v>
      </c>
      <c r="I16" s="50">
        <v>0.98280000000000001</v>
      </c>
      <c r="J16" s="51">
        <v>171</v>
      </c>
      <c r="K16" s="52" t="s">
        <v>49</v>
      </c>
      <c r="L16" s="51">
        <v>6</v>
      </c>
      <c r="M16" s="51">
        <v>0</v>
      </c>
      <c r="N16" s="51">
        <v>0</v>
      </c>
      <c r="O16" s="53" t="s">
        <v>50</v>
      </c>
      <c r="P16" s="54">
        <v>0.53819444444444442</v>
      </c>
      <c r="Q16" s="51">
        <v>174</v>
      </c>
      <c r="R16" s="55" t="s">
        <v>51</v>
      </c>
    </row>
    <row r="17" spans="1:18" ht="17.399999999999999" customHeight="1" thickBot="1" x14ac:dyDescent="0.35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8"/>
    </row>
    <row r="18" spans="1:18" ht="22.05" customHeight="1" thickTop="1" thickBot="1" x14ac:dyDescent="0.35">
      <c r="A18" s="182" t="s">
        <v>8</v>
      </c>
      <c r="B18" s="175"/>
      <c r="C18" s="175"/>
      <c r="D18" s="175"/>
      <c r="E18" s="175"/>
      <c r="F18" s="176"/>
      <c r="G18" s="18">
        <v>45990</v>
      </c>
      <c r="H18" s="174" t="s">
        <v>9</v>
      </c>
      <c r="I18" s="175"/>
      <c r="J18" s="175"/>
      <c r="K18" s="175"/>
      <c r="L18" s="175"/>
      <c r="M18" s="175"/>
      <c r="N18" s="175"/>
      <c r="O18" s="175"/>
      <c r="P18" s="175"/>
      <c r="Q18" s="175"/>
      <c r="R18" s="176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thickTop="1" thickBot="1" x14ac:dyDescent="0.35">
      <c r="A20" s="59" t="s">
        <v>28</v>
      </c>
      <c r="B20" s="59" t="s">
        <v>29</v>
      </c>
      <c r="C20" s="60">
        <v>0.39583333333333331</v>
      </c>
      <c r="D20" s="59" t="s">
        <v>30</v>
      </c>
      <c r="E20" s="61"/>
      <c r="F20" s="59" t="s">
        <v>31</v>
      </c>
      <c r="G20" s="177"/>
      <c r="H20" s="62" t="s">
        <v>29</v>
      </c>
      <c r="I20" s="63">
        <v>1.0298</v>
      </c>
      <c r="J20" s="64">
        <v>173</v>
      </c>
      <c r="K20" s="65" t="s">
        <v>52</v>
      </c>
      <c r="L20" s="64">
        <v>0</v>
      </c>
      <c r="M20" s="64">
        <v>0</v>
      </c>
      <c r="N20" s="64">
        <v>0</v>
      </c>
      <c r="O20" s="66" t="s">
        <v>33</v>
      </c>
      <c r="P20" s="67">
        <v>0.39583333333333331</v>
      </c>
      <c r="Q20" s="64">
        <v>168</v>
      </c>
      <c r="R20" s="68" t="s">
        <v>53</v>
      </c>
    </row>
    <row r="21" spans="1:18" ht="17.399999999999999" customHeight="1" thickBot="1" x14ac:dyDescent="0.35">
      <c r="A21" s="206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8"/>
    </row>
    <row r="22" spans="1:18" ht="22.05" customHeight="1" thickTop="1" thickBot="1" x14ac:dyDescent="0.35">
      <c r="A22" s="182" t="s">
        <v>8</v>
      </c>
      <c r="B22" s="175"/>
      <c r="C22" s="175"/>
      <c r="D22" s="175"/>
      <c r="E22" s="175"/>
      <c r="F22" s="176"/>
      <c r="G22" s="18">
        <v>45991</v>
      </c>
      <c r="H22" s="174" t="s">
        <v>9</v>
      </c>
      <c r="I22" s="175"/>
      <c r="J22" s="175"/>
      <c r="K22" s="175"/>
      <c r="L22" s="175"/>
      <c r="M22" s="175"/>
      <c r="N22" s="175"/>
      <c r="O22" s="175"/>
      <c r="P22" s="175"/>
      <c r="Q22" s="175"/>
      <c r="R22" s="176"/>
    </row>
    <row r="23" spans="1:18" ht="24" customHeight="1" x14ac:dyDescent="0.3">
      <c r="A23" s="19" t="s">
        <v>10</v>
      </c>
      <c r="B23" s="19" t="s">
        <v>11</v>
      </c>
      <c r="C23" s="20" t="s">
        <v>12</v>
      </c>
      <c r="D23" s="19" t="s">
        <v>13</v>
      </c>
      <c r="E23" s="19" t="s">
        <v>14</v>
      </c>
      <c r="F23" s="21" t="s">
        <v>15</v>
      </c>
      <c r="G23" s="22" t="s">
        <v>16</v>
      </c>
      <c r="H23" s="19" t="s">
        <v>17</v>
      </c>
      <c r="I23" s="23" t="s">
        <v>18</v>
      </c>
      <c r="J23" s="24" t="s">
        <v>19</v>
      </c>
      <c r="K23" s="25" t="s">
        <v>20</v>
      </c>
      <c r="L23" s="24" t="s">
        <v>21</v>
      </c>
      <c r="M23" s="24" t="s">
        <v>22</v>
      </c>
      <c r="N23" s="24" t="s">
        <v>23</v>
      </c>
      <c r="O23" s="19" t="s">
        <v>24</v>
      </c>
      <c r="P23" s="20" t="s">
        <v>25</v>
      </c>
      <c r="Q23" s="24" t="s">
        <v>26</v>
      </c>
      <c r="R23" s="19" t="s">
        <v>27</v>
      </c>
    </row>
    <row r="24" spans="1:18" ht="49.95" customHeight="1" thickTop="1" thickBot="1" x14ac:dyDescent="0.35">
      <c r="A24" s="69" t="s">
        <v>28</v>
      </c>
      <c r="B24" s="69" t="s">
        <v>29</v>
      </c>
      <c r="C24" s="70">
        <v>0.90277777777777779</v>
      </c>
      <c r="D24" s="69" t="s">
        <v>30</v>
      </c>
      <c r="E24" s="71"/>
      <c r="F24" s="69" t="s">
        <v>45</v>
      </c>
      <c r="G24" s="177"/>
      <c r="H24" s="72" t="s">
        <v>29</v>
      </c>
      <c r="I24" s="73">
        <v>0.96550000000000002</v>
      </c>
      <c r="J24" s="74">
        <v>168</v>
      </c>
      <c r="K24" s="75" t="s">
        <v>54</v>
      </c>
      <c r="L24" s="74">
        <v>0</v>
      </c>
      <c r="M24" s="74">
        <v>0</v>
      </c>
      <c r="N24" s="74">
        <v>0</v>
      </c>
      <c r="O24" s="76" t="s">
        <v>55</v>
      </c>
      <c r="P24" s="77">
        <v>0.90277777777777779</v>
      </c>
      <c r="Q24" s="74">
        <v>174</v>
      </c>
      <c r="R24" s="78" t="s">
        <v>56</v>
      </c>
    </row>
    <row r="25" spans="1:18" ht="17.399999999999999" customHeight="1" thickBot="1" x14ac:dyDescent="0.35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8"/>
    </row>
    <row r="26" spans="1:18" ht="22.05" customHeight="1" thickTop="1" thickBot="1" x14ac:dyDescent="0.35">
      <c r="A26" s="182" t="s">
        <v>8</v>
      </c>
      <c r="B26" s="175"/>
      <c r="C26" s="175"/>
      <c r="D26" s="175"/>
      <c r="E26" s="175"/>
      <c r="F26" s="176"/>
      <c r="G26" s="18">
        <v>45993</v>
      </c>
      <c r="H26" s="174" t="s">
        <v>9</v>
      </c>
      <c r="I26" s="175"/>
      <c r="J26" s="175"/>
      <c r="K26" s="175"/>
      <c r="L26" s="175"/>
      <c r="M26" s="175"/>
      <c r="N26" s="175"/>
      <c r="O26" s="175"/>
      <c r="P26" s="175"/>
      <c r="Q26" s="175"/>
      <c r="R26" s="176"/>
    </row>
    <row r="27" spans="1:18" ht="24" customHeight="1" x14ac:dyDescent="0.3">
      <c r="A27" s="19" t="s">
        <v>10</v>
      </c>
      <c r="B27" s="19" t="s">
        <v>11</v>
      </c>
      <c r="C27" s="20" t="s">
        <v>12</v>
      </c>
      <c r="D27" s="19" t="s">
        <v>13</v>
      </c>
      <c r="E27" s="19" t="s">
        <v>14</v>
      </c>
      <c r="F27" s="21" t="s">
        <v>15</v>
      </c>
      <c r="G27" s="22" t="s">
        <v>16</v>
      </c>
      <c r="H27" s="19" t="s">
        <v>17</v>
      </c>
      <c r="I27" s="23" t="s">
        <v>18</v>
      </c>
      <c r="J27" s="24" t="s">
        <v>19</v>
      </c>
      <c r="K27" s="25" t="s">
        <v>20</v>
      </c>
      <c r="L27" s="24" t="s">
        <v>21</v>
      </c>
      <c r="M27" s="24" t="s">
        <v>22</v>
      </c>
      <c r="N27" s="24" t="s">
        <v>23</v>
      </c>
      <c r="O27" s="19" t="s">
        <v>24</v>
      </c>
      <c r="P27" s="20" t="s">
        <v>25</v>
      </c>
      <c r="Q27" s="24" t="s">
        <v>26</v>
      </c>
      <c r="R27" s="19" t="s">
        <v>27</v>
      </c>
    </row>
    <row r="28" spans="1:18" ht="49.95" customHeight="1" x14ac:dyDescent="0.3">
      <c r="A28" s="59" t="s">
        <v>28</v>
      </c>
      <c r="B28" s="59" t="s">
        <v>35</v>
      </c>
      <c r="C28" s="60">
        <v>4.8611111111111112E-2</v>
      </c>
      <c r="D28" s="59" t="s">
        <v>30</v>
      </c>
      <c r="E28" s="61"/>
      <c r="F28" s="59" t="s">
        <v>45</v>
      </c>
      <c r="G28" s="177"/>
      <c r="H28" s="79" t="s">
        <v>35</v>
      </c>
      <c r="I28" s="80">
        <v>0.96</v>
      </c>
      <c r="J28" s="81">
        <v>168</v>
      </c>
      <c r="K28" s="82" t="s">
        <v>57</v>
      </c>
      <c r="L28" s="81">
        <v>0</v>
      </c>
      <c r="M28" s="81">
        <v>0</v>
      </c>
      <c r="N28" s="81">
        <v>0</v>
      </c>
      <c r="O28" s="83" t="s">
        <v>58</v>
      </c>
      <c r="P28" s="84">
        <v>4.8611111111111112E-2</v>
      </c>
      <c r="Q28" s="81">
        <v>175</v>
      </c>
      <c r="R28" s="85" t="s">
        <v>59</v>
      </c>
    </row>
    <row r="29" spans="1:18" ht="49.95" customHeight="1" x14ac:dyDescent="0.3">
      <c r="A29" s="86" t="s">
        <v>28</v>
      </c>
      <c r="B29" s="86" t="s">
        <v>40</v>
      </c>
      <c r="C29" s="87">
        <v>0.27777777777777779</v>
      </c>
      <c r="D29" s="86" t="s">
        <v>30</v>
      </c>
      <c r="E29" s="88"/>
      <c r="F29" s="86" t="s">
        <v>41</v>
      </c>
      <c r="G29" s="184"/>
      <c r="H29" s="89" t="s">
        <v>40</v>
      </c>
      <c r="I29" s="90">
        <v>0.77980000000000005</v>
      </c>
      <c r="J29" s="91">
        <v>131</v>
      </c>
      <c r="K29" s="92" t="s">
        <v>49</v>
      </c>
      <c r="L29" s="91">
        <v>57</v>
      </c>
      <c r="M29" s="91">
        <v>0</v>
      </c>
      <c r="N29" s="91">
        <v>0</v>
      </c>
      <c r="O29" s="93" t="s">
        <v>60</v>
      </c>
      <c r="P29" s="94">
        <v>0.27777777777777779</v>
      </c>
      <c r="Q29" s="91">
        <v>168</v>
      </c>
      <c r="R29" s="95" t="s">
        <v>61</v>
      </c>
    </row>
    <row r="30" spans="1:18" ht="49.95" customHeight="1" thickBot="1" x14ac:dyDescent="0.35">
      <c r="A30" s="96" t="s">
        <v>28</v>
      </c>
      <c r="B30" s="96" t="s">
        <v>29</v>
      </c>
      <c r="C30" s="97">
        <v>0.97916666666666663</v>
      </c>
      <c r="D30" s="96" t="s">
        <v>30</v>
      </c>
      <c r="E30" s="98"/>
      <c r="F30" s="96" t="s">
        <v>31</v>
      </c>
      <c r="G30" s="178"/>
      <c r="H30" s="99" t="s">
        <v>29</v>
      </c>
      <c r="I30" s="100">
        <v>1.006</v>
      </c>
      <c r="J30" s="101">
        <v>169</v>
      </c>
      <c r="K30" s="102" t="s">
        <v>62</v>
      </c>
      <c r="L30" s="101">
        <v>0</v>
      </c>
      <c r="M30" s="101">
        <v>0</v>
      </c>
      <c r="N30" s="101">
        <v>0</v>
      </c>
      <c r="O30" s="103" t="s">
        <v>33</v>
      </c>
      <c r="P30" s="104">
        <v>0.97916666666666663</v>
      </c>
      <c r="Q30" s="101">
        <v>168</v>
      </c>
      <c r="R30" s="105" t="s">
        <v>63</v>
      </c>
    </row>
    <row r="31" spans="1:18" ht="17.399999999999999" customHeight="1" thickBot="1" x14ac:dyDescent="0.35">
      <c r="A31" s="206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8"/>
    </row>
    <row r="32" spans="1:18" ht="22.05" customHeight="1" thickTop="1" thickBot="1" x14ac:dyDescent="0.35">
      <c r="A32" s="182" t="s">
        <v>8</v>
      </c>
      <c r="B32" s="175"/>
      <c r="C32" s="175"/>
      <c r="D32" s="175"/>
      <c r="E32" s="175"/>
      <c r="F32" s="176"/>
      <c r="G32" s="18">
        <v>45995</v>
      </c>
      <c r="H32" s="174" t="s">
        <v>9</v>
      </c>
      <c r="I32" s="175"/>
      <c r="J32" s="175"/>
      <c r="K32" s="175"/>
      <c r="L32" s="175"/>
      <c r="M32" s="175"/>
      <c r="N32" s="175"/>
      <c r="O32" s="175"/>
      <c r="P32" s="175"/>
      <c r="Q32" s="175"/>
      <c r="R32" s="176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9" t="s">
        <v>28</v>
      </c>
      <c r="B34" s="59" t="s">
        <v>29</v>
      </c>
      <c r="C34" s="60">
        <v>0.53819444444444442</v>
      </c>
      <c r="D34" s="59" t="s">
        <v>30</v>
      </c>
      <c r="E34" s="61"/>
      <c r="F34" s="59" t="s">
        <v>31</v>
      </c>
      <c r="G34" s="183"/>
      <c r="H34" s="62" t="s">
        <v>29</v>
      </c>
      <c r="I34" s="63">
        <v>1.006</v>
      </c>
      <c r="J34" s="64">
        <v>169</v>
      </c>
      <c r="K34" s="65" t="s">
        <v>49</v>
      </c>
      <c r="L34" s="64">
        <v>1</v>
      </c>
      <c r="M34" s="64">
        <v>0</v>
      </c>
      <c r="N34" s="64">
        <v>0</v>
      </c>
      <c r="O34" s="66" t="s">
        <v>33</v>
      </c>
      <c r="P34" s="67">
        <v>0.53819444444444442</v>
      </c>
      <c r="Q34" s="64">
        <v>168</v>
      </c>
      <c r="R34" s="68" t="s">
        <v>64</v>
      </c>
    </row>
    <row r="35" spans="1:18" ht="17.399999999999999" customHeight="1" thickBot="1" x14ac:dyDescent="0.35">
      <c r="A35" s="206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</row>
    <row r="36" spans="1:18" ht="22.05" customHeight="1" thickTop="1" thickBot="1" x14ac:dyDescent="0.35">
      <c r="A36" s="182" t="s">
        <v>8</v>
      </c>
      <c r="B36" s="175"/>
      <c r="C36" s="175"/>
      <c r="D36" s="175"/>
      <c r="E36" s="175"/>
      <c r="F36" s="176"/>
      <c r="G36" s="18">
        <v>45997</v>
      </c>
      <c r="H36" s="174" t="s">
        <v>9</v>
      </c>
      <c r="I36" s="175"/>
      <c r="J36" s="175"/>
      <c r="K36" s="175"/>
      <c r="L36" s="175"/>
      <c r="M36" s="175"/>
      <c r="N36" s="175"/>
      <c r="O36" s="175"/>
      <c r="P36" s="175"/>
      <c r="Q36" s="175"/>
      <c r="R36" s="176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29</v>
      </c>
      <c r="C38" s="9">
        <v>0.39583333333333331</v>
      </c>
      <c r="D38" s="8" t="s">
        <v>30</v>
      </c>
      <c r="E38" s="10"/>
      <c r="F38" s="8" t="s">
        <v>31</v>
      </c>
      <c r="G38" s="177"/>
      <c r="H38" s="11" t="s">
        <v>29</v>
      </c>
      <c r="I38" s="12">
        <v>1.0417000000000001</v>
      </c>
      <c r="J38" s="13">
        <v>175</v>
      </c>
      <c r="K38" s="14" t="s">
        <v>46</v>
      </c>
      <c r="L38" s="13">
        <v>8</v>
      </c>
      <c r="M38" s="13">
        <v>0</v>
      </c>
      <c r="N38" s="13">
        <v>0</v>
      </c>
      <c r="O38" s="15" t="s">
        <v>33</v>
      </c>
      <c r="P38" s="16">
        <v>0.39583333333333331</v>
      </c>
      <c r="Q38" s="13">
        <v>168</v>
      </c>
      <c r="R38" s="17" t="s">
        <v>65</v>
      </c>
    </row>
    <row r="39" spans="1:18" ht="17.399999999999999" customHeight="1" thickBot="1" x14ac:dyDescent="0.35">
      <c r="A39" s="206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8"/>
    </row>
    <row r="40" spans="1:18" ht="22.05" customHeight="1" thickTop="1" thickBot="1" x14ac:dyDescent="0.35">
      <c r="A40" s="182" t="s">
        <v>8</v>
      </c>
      <c r="B40" s="175"/>
      <c r="C40" s="175"/>
      <c r="D40" s="175"/>
      <c r="E40" s="175"/>
      <c r="F40" s="176"/>
      <c r="G40" s="18">
        <v>45998</v>
      </c>
      <c r="H40" s="174" t="s">
        <v>9</v>
      </c>
      <c r="I40" s="175"/>
      <c r="J40" s="175"/>
      <c r="K40" s="175"/>
      <c r="L40" s="175"/>
      <c r="M40" s="175"/>
      <c r="N40" s="175"/>
      <c r="O40" s="175"/>
      <c r="P40" s="175"/>
      <c r="Q40" s="175"/>
      <c r="R40" s="176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106" t="s">
        <v>28</v>
      </c>
      <c r="B42" s="106" t="s">
        <v>29</v>
      </c>
      <c r="C42" s="107">
        <v>0.90277777777777779</v>
      </c>
      <c r="D42" s="106" t="s">
        <v>30</v>
      </c>
      <c r="E42" s="108"/>
      <c r="F42" s="106" t="s">
        <v>31</v>
      </c>
      <c r="G42" s="177"/>
      <c r="H42" s="109" t="s">
        <v>29</v>
      </c>
      <c r="I42" s="110">
        <v>1.0595000000000001</v>
      </c>
      <c r="J42" s="111">
        <v>178</v>
      </c>
      <c r="K42" s="112" t="s">
        <v>46</v>
      </c>
      <c r="L42" s="111">
        <v>11</v>
      </c>
      <c r="M42" s="111">
        <v>0</v>
      </c>
      <c r="N42" s="111">
        <v>0</v>
      </c>
      <c r="O42" s="113" t="s">
        <v>33</v>
      </c>
      <c r="P42" s="114">
        <v>0.90277777777777779</v>
      </c>
      <c r="Q42" s="111">
        <v>168</v>
      </c>
      <c r="R42" s="115" t="s">
        <v>66</v>
      </c>
    </row>
    <row r="43" spans="1:18" ht="17.399999999999999" customHeight="1" thickBot="1" x14ac:dyDescent="0.35">
      <c r="A43" s="206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8"/>
    </row>
    <row r="44" spans="1:18" ht="22.05" customHeight="1" thickTop="1" thickBot="1" x14ac:dyDescent="0.35">
      <c r="A44" s="182" t="s">
        <v>8</v>
      </c>
      <c r="B44" s="175"/>
      <c r="C44" s="175"/>
      <c r="D44" s="175"/>
      <c r="E44" s="175"/>
      <c r="F44" s="176"/>
      <c r="G44" s="18">
        <v>46000</v>
      </c>
      <c r="H44" s="174" t="s">
        <v>9</v>
      </c>
      <c r="I44" s="175"/>
      <c r="J44" s="175"/>
      <c r="K44" s="175"/>
      <c r="L44" s="175"/>
      <c r="M44" s="175"/>
      <c r="N44" s="175"/>
      <c r="O44" s="175"/>
      <c r="P44" s="175"/>
      <c r="Q44" s="175"/>
      <c r="R44" s="176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x14ac:dyDescent="0.3">
      <c r="A46" s="26" t="s">
        <v>28</v>
      </c>
      <c r="B46" s="26" t="s">
        <v>35</v>
      </c>
      <c r="C46" s="27">
        <v>4.8611111111111112E-2</v>
      </c>
      <c r="D46" s="26" t="s">
        <v>30</v>
      </c>
      <c r="E46" s="28"/>
      <c r="F46" s="26" t="s">
        <v>31</v>
      </c>
      <c r="G46" s="177"/>
      <c r="H46" s="29" t="s">
        <v>35</v>
      </c>
      <c r="I46" s="30">
        <v>1</v>
      </c>
      <c r="J46" s="31">
        <v>168</v>
      </c>
      <c r="K46" s="32" t="s">
        <v>67</v>
      </c>
      <c r="L46" s="31">
        <v>5</v>
      </c>
      <c r="M46" s="31">
        <v>0</v>
      </c>
      <c r="N46" s="31">
        <v>0</v>
      </c>
      <c r="O46" s="33" t="s">
        <v>33</v>
      </c>
      <c r="P46" s="34">
        <v>4.8611111111111112E-2</v>
      </c>
      <c r="Q46" s="31">
        <v>168</v>
      </c>
      <c r="R46" s="35" t="s">
        <v>68</v>
      </c>
    </row>
    <row r="47" spans="1:18" ht="49.95" customHeight="1" x14ac:dyDescent="0.3">
      <c r="A47" s="86" t="s">
        <v>28</v>
      </c>
      <c r="B47" s="86" t="s">
        <v>40</v>
      </c>
      <c r="C47" s="87">
        <v>0.27777777777777779</v>
      </c>
      <c r="D47" s="86" t="s">
        <v>30</v>
      </c>
      <c r="E47" s="88"/>
      <c r="F47" s="86" t="s">
        <v>31</v>
      </c>
      <c r="G47" s="184"/>
      <c r="H47" s="89" t="s">
        <v>40</v>
      </c>
      <c r="I47" s="116">
        <v>1</v>
      </c>
      <c r="J47" s="91">
        <v>168</v>
      </c>
      <c r="K47" s="92" t="s">
        <v>42</v>
      </c>
      <c r="L47" s="91">
        <v>57</v>
      </c>
      <c r="M47" s="91">
        <v>0</v>
      </c>
      <c r="N47" s="91">
        <v>1</v>
      </c>
      <c r="O47" s="93" t="s">
        <v>33</v>
      </c>
      <c r="P47" s="94">
        <v>0.27777777777777779</v>
      </c>
      <c r="Q47" s="91">
        <v>168</v>
      </c>
      <c r="R47" s="95" t="s">
        <v>69</v>
      </c>
    </row>
    <row r="48" spans="1:18" ht="49.95" customHeight="1" thickBot="1" x14ac:dyDescent="0.35">
      <c r="A48" s="117" t="s">
        <v>28</v>
      </c>
      <c r="B48" s="117" t="s">
        <v>29</v>
      </c>
      <c r="C48" s="118">
        <v>0.97916666666666663</v>
      </c>
      <c r="D48" s="117" t="s">
        <v>30</v>
      </c>
      <c r="E48" s="119"/>
      <c r="F48" s="117" t="s">
        <v>31</v>
      </c>
      <c r="G48" s="178"/>
      <c r="H48" s="11" t="s">
        <v>29</v>
      </c>
      <c r="I48" s="12">
        <v>1.0119</v>
      </c>
      <c r="J48" s="13">
        <v>170</v>
      </c>
      <c r="K48" s="14" t="s">
        <v>46</v>
      </c>
      <c r="L48" s="13">
        <v>44</v>
      </c>
      <c r="M48" s="13">
        <v>0</v>
      </c>
      <c r="N48" s="13">
        <v>0</v>
      </c>
      <c r="O48" s="15" t="s">
        <v>33</v>
      </c>
      <c r="P48" s="16">
        <v>0.97916666666666663</v>
      </c>
      <c r="Q48" s="13">
        <v>168</v>
      </c>
      <c r="R48" s="17" t="s">
        <v>70</v>
      </c>
    </row>
    <row r="49" spans="1:18" ht="17.399999999999999" customHeight="1" thickBot="1" x14ac:dyDescent="0.35">
      <c r="A49" s="206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8"/>
    </row>
    <row r="50" spans="1:18" ht="22.05" customHeight="1" thickTop="1" thickBot="1" x14ac:dyDescent="0.35">
      <c r="A50" s="182" t="s">
        <v>8</v>
      </c>
      <c r="B50" s="175"/>
      <c r="C50" s="175"/>
      <c r="D50" s="175"/>
      <c r="E50" s="175"/>
      <c r="F50" s="176"/>
      <c r="G50" s="18">
        <v>46002</v>
      </c>
      <c r="H50" s="174" t="s">
        <v>9</v>
      </c>
      <c r="I50" s="175"/>
      <c r="J50" s="175"/>
      <c r="K50" s="175"/>
      <c r="L50" s="175"/>
      <c r="M50" s="175"/>
      <c r="N50" s="175"/>
      <c r="O50" s="175"/>
      <c r="P50" s="175"/>
      <c r="Q50" s="175"/>
      <c r="R50" s="176"/>
    </row>
    <row r="51" spans="1:18" ht="24" customHeight="1" x14ac:dyDescent="0.3">
      <c r="A51" s="19" t="s">
        <v>10</v>
      </c>
      <c r="B51" s="19" t="s">
        <v>11</v>
      </c>
      <c r="C51" s="20" t="s">
        <v>12</v>
      </c>
      <c r="D51" s="19" t="s">
        <v>13</v>
      </c>
      <c r="E51" s="19" t="s">
        <v>14</v>
      </c>
      <c r="F51" s="21" t="s">
        <v>15</v>
      </c>
      <c r="G51" s="22" t="s">
        <v>16</v>
      </c>
      <c r="H51" s="19" t="s">
        <v>17</v>
      </c>
      <c r="I51" s="23" t="s">
        <v>18</v>
      </c>
      <c r="J51" s="24" t="s">
        <v>19</v>
      </c>
      <c r="K51" s="25" t="s">
        <v>20</v>
      </c>
      <c r="L51" s="24" t="s">
        <v>21</v>
      </c>
      <c r="M51" s="24" t="s">
        <v>22</v>
      </c>
      <c r="N51" s="24" t="s">
        <v>23</v>
      </c>
      <c r="O51" s="19" t="s">
        <v>24</v>
      </c>
      <c r="P51" s="20" t="s">
        <v>25</v>
      </c>
      <c r="Q51" s="24" t="s">
        <v>26</v>
      </c>
      <c r="R51" s="19" t="s">
        <v>27</v>
      </c>
    </row>
    <row r="52" spans="1:18" ht="49.95" customHeight="1" thickTop="1" thickBot="1" x14ac:dyDescent="0.35">
      <c r="A52" s="69" t="s">
        <v>28</v>
      </c>
      <c r="B52" s="69" t="s">
        <v>29</v>
      </c>
      <c r="C52" s="70">
        <v>0.53819444444444442</v>
      </c>
      <c r="D52" s="69" t="s">
        <v>30</v>
      </c>
      <c r="E52" s="71"/>
      <c r="F52" s="69" t="s">
        <v>31</v>
      </c>
      <c r="G52" s="177"/>
      <c r="H52" s="72" t="s">
        <v>29</v>
      </c>
      <c r="I52" s="73">
        <v>1.0119</v>
      </c>
      <c r="J52" s="74">
        <v>170</v>
      </c>
      <c r="K52" s="75" t="s">
        <v>57</v>
      </c>
      <c r="L52" s="74">
        <v>0</v>
      </c>
      <c r="M52" s="74">
        <v>0</v>
      </c>
      <c r="N52" s="74">
        <v>0</v>
      </c>
      <c r="O52" s="76" t="s">
        <v>33</v>
      </c>
      <c r="P52" s="77">
        <v>0.53819444444444442</v>
      </c>
      <c r="Q52" s="74">
        <v>168</v>
      </c>
      <c r="R52" s="78" t="s">
        <v>71</v>
      </c>
    </row>
    <row r="53" spans="1:18" ht="17.399999999999999" customHeight="1" thickBot="1" x14ac:dyDescent="0.35">
      <c r="A53" s="206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8"/>
    </row>
    <row r="54" spans="1:18" ht="22.05" customHeight="1" thickTop="1" thickBot="1" x14ac:dyDescent="0.35">
      <c r="A54" s="182" t="s">
        <v>8</v>
      </c>
      <c r="B54" s="175"/>
      <c r="C54" s="175"/>
      <c r="D54" s="175"/>
      <c r="E54" s="175"/>
      <c r="F54" s="176"/>
      <c r="G54" s="18">
        <v>46004</v>
      </c>
      <c r="H54" s="174" t="s">
        <v>9</v>
      </c>
      <c r="I54" s="175"/>
      <c r="J54" s="175"/>
      <c r="K54" s="175"/>
      <c r="L54" s="175"/>
      <c r="M54" s="175"/>
      <c r="N54" s="175"/>
      <c r="O54" s="175"/>
      <c r="P54" s="175"/>
      <c r="Q54" s="175"/>
      <c r="R54" s="176"/>
    </row>
    <row r="55" spans="1:18" ht="24" customHeight="1" x14ac:dyDescent="0.3">
      <c r="A55" s="19" t="s">
        <v>10</v>
      </c>
      <c r="B55" s="19" t="s">
        <v>11</v>
      </c>
      <c r="C55" s="20" t="s">
        <v>12</v>
      </c>
      <c r="D55" s="19" t="s">
        <v>13</v>
      </c>
      <c r="E55" s="19" t="s">
        <v>14</v>
      </c>
      <c r="F55" s="21" t="s">
        <v>15</v>
      </c>
      <c r="G55" s="22" t="s">
        <v>16</v>
      </c>
      <c r="H55" s="19" t="s">
        <v>17</v>
      </c>
      <c r="I55" s="23" t="s">
        <v>18</v>
      </c>
      <c r="J55" s="24" t="s">
        <v>19</v>
      </c>
      <c r="K55" s="25" t="s">
        <v>20</v>
      </c>
      <c r="L55" s="24" t="s">
        <v>21</v>
      </c>
      <c r="M55" s="24" t="s">
        <v>22</v>
      </c>
      <c r="N55" s="24" t="s">
        <v>23</v>
      </c>
      <c r="O55" s="19" t="s">
        <v>24</v>
      </c>
      <c r="P55" s="20" t="s">
        <v>25</v>
      </c>
      <c r="Q55" s="24" t="s">
        <v>26</v>
      </c>
      <c r="R55" s="19" t="s">
        <v>27</v>
      </c>
    </row>
    <row r="56" spans="1:18" ht="49.95" customHeight="1" thickTop="1" thickBot="1" x14ac:dyDescent="0.35">
      <c r="A56" s="59" t="s">
        <v>28</v>
      </c>
      <c r="B56" s="59" t="s">
        <v>29</v>
      </c>
      <c r="C56" s="60">
        <v>0.39583333333333331</v>
      </c>
      <c r="D56" s="59" t="s">
        <v>30</v>
      </c>
      <c r="E56" s="61"/>
      <c r="F56" s="59" t="s">
        <v>31</v>
      </c>
      <c r="G56" s="177"/>
      <c r="H56" s="62" t="s">
        <v>29</v>
      </c>
      <c r="I56" s="63">
        <v>1.0357000000000001</v>
      </c>
      <c r="J56" s="64">
        <v>174</v>
      </c>
      <c r="K56" s="65" t="s">
        <v>67</v>
      </c>
      <c r="L56" s="64">
        <v>8</v>
      </c>
      <c r="M56" s="64">
        <v>0</v>
      </c>
      <c r="N56" s="64">
        <v>0</v>
      </c>
      <c r="O56" s="66" t="s">
        <v>33</v>
      </c>
      <c r="P56" s="67">
        <v>0.39583333333333331</v>
      </c>
      <c r="Q56" s="64">
        <v>168</v>
      </c>
      <c r="R56" s="68" t="s">
        <v>72</v>
      </c>
    </row>
    <row r="57" spans="1:18" ht="17.399999999999999" customHeight="1" thickBot="1" x14ac:dyDescent="0.35">
      <c r="A57" s="206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8"/>
    </row>
    <row r="58" spans="1:18" ht="22.05" customHeight="1" thickTop="1" thickBot="1" x14ac:dyDescent="0.35">
      <c r="A58" s="182" t="s">
        <v>8</v>
      </c>
      <c r="B58" s="175"/>
      <c r="C58" s="175"/>
      <c r="D58" s="175"/>
      <c r="E58" s="175"/>
      <c r="F58" s="176"/>
      <c r="G58" s="18">
        <v>46005</v>
      </c>
      <c r="H58" s="174" t="s">
        <v>9</v>
      </c>
      <c r="I58" s="175"/>
      <c r="J58" s="175"/>
      <c r="K58" s="175"/>
      <c r="L58" s="175"/>
      <c r="M58" s="175"/>
      <c r="N58" s="175"/>
      <c r="O58" s="175"/>
      <c r="P58" s="175"/>
      <c r="Q58" s="175"/>
      <c r="R58" s="176"/>
    </row>
    <row r="59" spans="1:18" ht="24" customHeight="1" x14ac:dyDescent="0.3">
      <c r="A59" s="19" t="s">
        <v>10</v>
      </c>
      <c r="B59" s="19" t="s">
        <v>11</v>
      </c>
      <c r="C59" s="20" t="s">
        <v>12</v>
      </c>
      <c r="D59" s="19" t="s">
        <v>13</v>
      </c>
      <c r="E59" s="19" t="s">
        <v>14</v>
      </c>
      <c r="F59" s="21" t="s">
        <v>15</v>
      </c>
      <c r="G59" s="22" t="s">
        <v>16</v>
      </c>
      <c r="H59" s="19" t="s">
        <v>17</v>
      </c>
      <c r="I59" s="23" t="s">
        <v>18</v>
      </c>
      <c r="J59" s="24" t="s">
        <v>19</v>
      </c>
      <c r="K59" s="25" t="s">
        <v>20</v>
      </c>
      <c r="L59" s="24" t="s">
        <v>21</v>
      </c>
      <c r="M59" s="24" t="s">
        <v>22</v>
      </c>
      <c r="N59" s="24" t="s">
        <v>23</v>
      </c>
      <c r="O59" s="19" t="s">
        <v>24</v>
      </c>
      <c r="P59" s="20" t="s">
        <v>25</v>
      </c>
      <c r="Q59" s="24" t="s">
        <v>26</v>
      </c>
      <c r="R59" s="19" t="s">
        <v>27</v>
      </c>
    </row>
    <row r="60" spans="1:18" ht="49.95" customHeight="1" thickTop="1" thickBot="1" x14ac:dyDescent="0.35">
      <c r="A60" s="26" t="s">
        <v>28</v>
      </c>
      <c r="B60" s="26" t="s">
        <v>29</v>
      </c>
      <c r="C60" s="27">
        <v>0.90277777777777779</v>
      </c>
      <c r="D60" s="26" t="s">
        <v>30</v>
      </c>
      <c r="E60" s="28"/>
      <c r="F60" s="26" t="s">
        <v>31</v>
      </c>
      <c r="G60" s="177"/>
      <c r="H60" s="120" t="s">
        <v>29</v>
      </c>
      <c r="I60" s="121">
        <v>1.006</v>
      </c>
      <c r="J60" s="122">
        <v>169</v>
      </c>
      <c r="K60" s="123" t="s">
        <v>57</v>
      </c>
      <c r="L60" s="122">
        <v>0</v>
      </c>
      <c r="M60" s="122">
        <v>0</v>
      </c>
      <c r="N60" s="122">
        <v>0</v>
      </c>
      <c r="O60" s="124" t="s">
        <v>33</v>
      </c>
      <c r="P60" s="125">
        <v>0.90277777777777779</v>
      </c>
      <c r="Q60" s="122">
        <v>168</v>
      </c>
      <c r="R60" s="126" t="s">
        <v>73</v>
      </c>
    </row>
    <row r="61" spans="1:18" ht="17.399999999999999" customHeight="1" thickBot="1" x14ac:dyDescent="0.35">
      <c r="A61" s="206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ht="22.05" customHeight="1" thickTop="1" thickBot="1" x14ac:dyDescent="0.35">
      <c r="A62" s="182" t="s">
        <v>8</v>
      </c>
      <c r="B62" s="175"/>
      <c r="C62" s="175"/>
      <c r="D62" s="175"/>
      <c r="E62" s="175"/>
      <c r="F62" s="176"/>
      <c r="G62" s="18">
        <v>46007</v>
      </c>
      <c r="H62" s="174" t="s">
        <v>9</v>
      </c>
      <c r="I62" s="175"/>
      <c r="J62" s="175"/>
      <c r="K62" s="175"/>
      <c r="L62" s="175"/>
      <c r="M62" s="175"/>
      <c r="N62" s="175"/>
      <c r="O62" s="175"/>
      <c r="P62" s="175"/>
      <c r="Q62" s="175"/>
      <c r="R62" s="176"/>
    </row>
    <row r="63" spans="1:18" ht="24" customHeight="1" x14ac:dyDescent="0.3">
      <c r="A63" s="19" t="s">
        <v>10</v>
      </c>
      <c r="B63" s="19" t="s">
        <v>11</v>
      </c>
      <c r="C63" s="20" t="s">
        <v>12</v>
      </c>
      <c r="D63" s="19" t="s">
        <v>13</v>
      </c>
      <c r="E63" s="19" t="s">
        <v>14</v>
      </c>
      <c r="F63" s="21" t="s">
        <v>15</v>
      </c>
      <c r="G63" s="22" t="s">
        <v>16</v>
      </c>
      <c r="H63" s="19" t="s">
        <v>17</v>
      </c>
      <c r="I63" s="23" t="s">
        <v>18</v>
      </c>
      <c r="J63" s="24" t="s">
        <v>19</v>
      </c>
      <c r="K63" s="25" t="s">
        <v>20</v>
      </c>
      <c r="L63" s="24" t="s">
        <v>21</v>
      </c>
      <c r="M63" s="24" t="s">
        <v>22</v>
      </c>
      <c r="N63" s="24" t="s">
        <v>23</v>
      </c>
      <c r="O63" s="19" t="s">
        <v>24</v>
      </c>
      <c r="P63" s="20" t="s">
        <v>25</v>
      </c>
      <c r="Q63" s="24" t="s">
        <v>26</v>
      </c>
      <c r="R63" s="19" t="s">
        <v>27</v>
      </c>
    </row>
    <row r="64" spans="1:18" ht="49.95" customHeight="1" x14ac:dyDescent="0.3">
      <c r="A64" s="56" t="s">
        <v>28</v>
      </c>
      <c r="B64" s="56" t="s">
        <v>35</v>
      </c>
      <c r="C64" s="57">
        <v>4.8611111111111112E-2</v>
      </c>
      <c r="D64" s="56" t="s">
        <v>30</v>
      </c>
      <c r="E64" s="58"/>
      <c r="F64" s="56" t="s">
        <v>45</v>
      </c>
      <c r="G64" s="177"/>
      <c r="H64" s="127" t="s">
        <v>35</v>
      </c>
      <c r="I64" s="128">
        <v>0.96430000000000005</v>
      </c>
      <c r="J64" s="129">
        <v>162</v>
      </c>
      <c r="K64" s="130" t="s">
        <v>42</v>
      </c>
      <c r="L64" s="129">
        <v>25</v>
      </c>
      <c r="M64" s="129">
        <v>0</v>
      </c>
      <c r="N64" s="129">
        <v>3</v>
      </c>
      <c r="O64" s="131" t="s">
        <v>74</v>
      </c>
      <c r="P64" s="132">
        <v>4.8611111111111112E-2</v>
      </c>
      <c r="Q64" s="129">
        <v>168</v>
      </c>
      <c r="R64" s="133" t="s">
        <v>75</v>
      </c>
    </row>
    <row r="65" spans="1:18" ht="49.95" customHeight="1" x14ac:dyDescent="0.3">
      <c r="A65" s="134" t="s">
        <v>28</v>
      </c>
      <c r="B65" s="134" t="s">
        <v>40</v>
      </c>
      <c r="C65" s="135">
        <v>0.27777777777777779</v>
      </c>
      <c r="D65" s="134" t="s">
        <v>30</v>
      </c>
      <c r="E65" s="136"/>
      <c r="F65" s="134" t="s">
        <v>36</v>
      </c>
      <c r="G65" s="184"/>
      <c r="H65" s="79" t="s">
        <v>40</v>
      </c>
      <c r="I65" s="80">
        <v>0.90480000000000005</v>
      </c>
      <c r="J65" s="81">
        <v>152</v>
      </c>
      <c r="K65" s="82" t="s">
        <v>42</v>
      </c>
      <c r="L65" s="81">
        <v>24</v>
      </c>
      <c r="M65" s="81">
        <v>0</v>
      </c>
      <c r="N65" s="81">
        <v>2</v>
      </c>
      <c r="O65" s="83" t="s">
        <v>76</v>
      </c>
      <c r="P65" s="84">
        <v>0.27777777777777779</v>
      </c>
      <c r="Q65" s="81">
        <v>168</v>
      </c>
      <c r="R65" s="85" t="s">
        <v>77</v>
      </c>
    </row>
    <row r="66" spans="1:18" ht="49.95" customHeight="1" thickBot="1" x14ac:dyDescent="0.35">
      <c r="A66" s="137" t="s">
        <v>28</v>
      </c>
      <c r="B66" s="137" t="s">
        <v>29</v>
      </c>
      <c r="C66" s="138">
        <v>0.97916666666666663</v>
      </c>
      <c r="D66" s="137" t="s">
        <v>30</v>
      </c>
      <c r="E66" s="139"/>
      <c r="F66" s="137" t="s">
        <v>31</v>
      </c>
      <c r="G66" s="178"/>
      <c r="H66" s="120" t="s">
        <v>29</v>
      </c>
      <c r="I66" s="121">
        <v>1</v>
      </c>
      <c r="J66" s="122">
        <v>168</v>
      </c>
      <c r="K66" s="123" t="s">
        <v>78</v>
      </c>
      <c r="L66" s="122">
        <v>0</v>
      </c>
      <c r="M66" s="122">
        <v>0</v>
      </c>
      <c r="N66" s="122">
        <v>0</v>
      </c>
      <c r="O66" s="124" t="s">
        <v>33</v>
      </c>
      <c r="P66" s="125">
        <v>0.97916666666666663</v>
      </c>
      <c r="Q66" s="122">
        <v>168</v>
      </c>
      <c r="R66" s="126" t="s">
        <v>79</v>
      </c>
    </row>
    <row r="67" spans="1:18" ht="17.399999999999999" customHeight="1" thickBot="1" x14ac:dyDescent="0.35">
      <c r="A67" s="206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8"/>
    </row>
    <row r="68" spans="1:18" ht="22.05" customHeight="1" thickTop="1" thickBot="1" x14ac:dyDescent="0.35">
      <c r="A68" s="182" t="s">
        <v>8</v>
      </c>
      <c r="B68" s="175"/>
      <c r="C68" s="175"/>
      <c r="D68" s="175"/>
      <c r="E68" s="175"/>
      <c r="F68" s="176"/>
      <c r="G68" s="18">
        <v>46009</v>
      </c>
      <c r="H68" s="174" t="s">
        <v>9</v>
      </c>
      <c r="I68" s="175"/>
      <c r="J68" s="175"/>
      <c r="K68" s="175"/>
      <c r="L68" s="175"/>
      <c r="M68" s="175"/>
      <c r="N68" s="175"/>
      <c r="O68" s="175"/>
      <c r="P68" s="175"/>
      <c r="Q68" s="175"/>
      <c r="R68" s="176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9" t="s">
        <v>28</v>
      </c>
      <c r="B70" s="69" t="s">
        <v>29</v>
      </c>
      <c r="C70" s="70">
        <v>0.53819444444444442</v>
      </c>
      <c r="D70" s="69" t="s">
        <v>30</v>
      </c>
      <c r="E70" s="71"/>
      <c r="F70" s="69" t="s">
        <v>45</v>
      </c>
      <c r="G70" s="177"/>
      <c r="H70" s="72" t="s">
        <v>29</v>
      </c>
      <c r="I70" s="73">
        <v>0.98209999999999997</v>
      </c>
      <c r="J70" s="74">
        <v>165</v>
      </c>
      <c r="K70" s="75" t="s">
        <v>42</v>
      </c>
      <c r="L70" s="74">
        <v>21</v>
      </c>
      <c r="M70" s="74">
        <v>0</v>
      </c>
      <c r="N70" s="74">
        <v>4</v>
      </c>
      <c r="O70" s="76" t="s">
        <v>80</v>
      </c>
      <c r="P70" s="77">
        <v>0.53819444444444442</v>
      </c>
      <c r="Q70" s="74">
        <v>168</v>
      </c>
      <c r="R70" s="78" t="s">
        <v>81</v>
      </c>
    </row>
    <row r="71" spans="1:18" ht="17.399999999999999" customHeight="1" thickBot="1" x14ac:dyDescent="0.35">
      <c r="A71" s="206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8"/>
    </row>
    <row r="72" spans="1:18" ht="22.05" customHeight="1" thickTop="1" thickBot="1" x14ac:dyDescent="0.35">
      <c r="A72" s="182" t="s">
        <v>8</v>
      </c>
      <c r="B72" s="175"/>
      <c r="C72" s="175"/>
      <c r="D72" s="175"/>
      <c r="E72" s="175"/>
      <c r="F72" s="176"/>
      <c r="G72" s="18">
        <v>46011</v>
      </c>
      <c r="H72" s="174" t="s">
        <v>9</v>
      </c>
      <c r="I72" s="175"/>
      <c r="J72" s="175"/>
      <c r="K72" s="175"/>
      <c r="L72" s="175"/>
      <c r="M72" s="175"/>
      <c r="N72" s="175"/>
      <c r="O72" s="175"/>
      <c r="P72" s="175"/>
      <c r="Q72" s="175"/>
      <c r="R72" s="176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59" t="s">
        <v>28</v>
      </c>
      <c r="B74" s="59" t="s">
        <v>29</v>
      </c>
      <c r="C74" s="60">
        <v>0.39583333333333331</v>
      </c>
      <c r="D74" s="59" t="s">
        <v>30</v>
      </c>
      <c r="E74" s="61"/>
      <c r="F74" s="59" t="s">
        <v>45</v>
      </c>
      <c r="G74" s="177"/>
      <c r="H74" s="62" t="s">
        <v>29</v>
      </c>
      <c r="I74" s="63">
        <v>0.96430000000000005</v>
      </c>
      <c r="J74" s="64">
        <v>162</v>
      </c>
      <c r="K74" s="65" t="s">
        <v>67</v>
      </c>
      <c r="L74" s="64">
        <v>12</v>
      </c>
      <c r="M74" s="64">
        <v>0</v>
      </c>
      <c r="N74" s="64">
        <v>0</v>
      </c>
      <c r="O74" s="66" t="s">
        <v>82</v>
      </c>
      <c r="P74" s="67">
        <v>0.39583333333333331</v>
      </c>
      <c r="Q74" s="64">
        <v>168</v>
      </c>
      <c r="R74" s="68" t="s">
        <v>83</v>
      </c>
    </row>
    <row r="75" spans="1:18" ht="17.399999999999999" customHeight="1" thickBot="1" x14ac:dyDescent="0.35">
      <c r="A75" s="206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8"/>
    </row>
    <row r="76" spans="1:18" ht="22.05" customHeight="1" thickTop="1" thickBot="1" x14ac:dyDescent="0.35">
      <c r="A76" s="182" t="s">
        <v>8</v>
      </c>
      <c r="B76" s="175"/>
      <c r="C76" s="175"/>
      <c r="D76" s="175"/>
      <c r="E76" s="175"/>
      <c r="F76" s="176"/>
      <c r="G76" s="18">
        <v>46012</v>
      </c>
      <c r="H76" s="174" t="s">
        <v>9</v>
      </c>
      <c r="I76" s="175"/>
      <c r="J76" s="175"/>
      <c r="K76" s="175"/>
      <c r="L76" s="175"/>
      <c r="M76" s="175"/>
      <c r="N76" s="175"/>
      <c r="O76" s="175"/>
      <c r="P76" s="175"/>
      <c r="Q76" s="175"/>
      <c r="R76" s="176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26" t="s">
        <v>28</v>
      </c>
      <c r="B78" s="26" t="s">
        <v>29</v>
      </c>
      <c r="C78" s="27">
        <v>0.90277777777777779</v>
      </c>
      <c r="D78" s="26" t="s">
        <v>30</v>
      </c>
      <c r="E78" s="28"/>
      <c r="F78" s="26" t="s">
        <v>31</v>
      </c>
      <c r="G78" s="183"/>
      <c r="H78" s="120" t="s">
        <v>29</v>
      </c>
      <c r="I78" s="121">
        <v>1</v>
      </c>
      <c r="J78" s="122">
        <v>168</v>
      </c>
      <c r="K78" s="123" t="s">
        <v>84</v>
      </c>
      <c r="L78" s="122">
        <v>0</v>
      </c>
      <c r="M78" s="122">
        <v>0</v>
      </c>
      <c r="N78" s="122">
        <v>0</v>
      </c>
      <c r="O78" s="124" t="s">
        <v>33</v>
      </c>
      <c r="P78" s="125">
        <v>0.90277777777777779</v>
      </c>
      <c r="Q78" s="122">
        <v>168</v>
      </c>
      <c r="R78" s="126" t="s">
        <v>79</v>
      </c>
    </row>
    <row r="79" spans="1:18" ht="17.399999999999999" customHeight="1" thickBot="1" x14ac:dyDescent="0.35">
      <c r="A79" s="206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8"/>
    </row>
    <row r="80" spans="1:18" ht="22.05" customHeight="1" thickTop="1" thickBot="1" x14ac:dyDescent="0.35">
      <c r="A80" s="182" t="s">
        <v>8</v>
      </c>
      <c r="B80" s="175"/>
      <c r="C80" s="175"/>
      <c r="D80" s="175"/>
      <c r="E80" s="175"/>
      <c r="F80" s="176"/>
      <c r="G80" s="18">
        <v>46014</v>
      </c>
      <c r="H80" s="174" t="s">
        <v>9</v>
      </c>
      <c r="I80" s="175"/>
      <c r="J80" s="175"/>
      <c r="K80" s="175"/>
      <c r="L80" s="175"/>
      <c r="M80" s="175"/>
      <c r="N80" s="175"/>
      <c r="O80" s="175"/>
      <c r="P80" s="175"/>
      <c r="Q80" s="175"/>
      <c r="R80" s="176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x14ac:dyDescent="0.3">
      <c r="A82" s="8" t="s">
        <v>28</v>
      </c>
      <c r="B82" s="8" t="s">
        <v>35</v>
      </c>
      <c r="C82" s="9">
        <v>4.8611111111111112E-2</v>
      </c>
      <c r="D82" s="8" t="s">
        <v>30</v>
      </c>
      <c r="E82" s="10"/>
      <c r="F82" s="8" t="s">
        <v>31</v>
      </c>
      <c r="G82" s="177"/>
      <c r="H82" s="140" t="s">
        <v>35</v>
      </c>
      <c r="I82" s="141">
        <v>1.0476000000000001</v>
      </c>
      <c r="J82" s="142">
        <v>176</v>
      </c>
      <c r="K82" s="143" t="s">
        <v>85</v>
      </c>
      <c r="L82" s="142">
        <v>6</v>
      </c>
      <c r="M82" s="142">
        <v>0</v>
      </c>
      <c r="N82" s="142">
        <v>0</v>
      </c>
      <c r="O82" s="144" t="s">
        <v>33</v>
      </c>
      <c r="P82" s="145">
        <v>4.8611111111111112E-2</v>
      </c>
      <c r="Q82" s="142">
        <v>168</v>
      </c>
      <c r="R82" s="146" t="s">
        <v>86</v>
      </c>
    </row>
    <row r="83" spans="1:18" ht="49.95" customHeight="1" thickBot="1" x14ac:dyDescent="0.35">
      <c r="A83" s="147" t="s">
        <v>28</v>
      </c>
      <c r="B83" s="147" t="s">
        <v>29</v>
      </c>
      <c r="C83" s="148">
        <v>0.97916666666666663</v>
      </c>
      <c r="D83" s="147" t="s">
        <v>30</v>
      </c>
      <c r="E83" s="149"/>
      <c r="F83" s="147" t="s">
        <v>31</v>
      </c>
      <c r="G83" s="178"/>
      <c r="H83" s="150" t="s">
        <v>29</v>
      </c>
      <c r="I83" s="151">
        <v>1</v>
      </c>
      <c r="J83" s="152">
        <v>168</v>
      </c>
      <c r="K83" s="153" t="s">
        <v>57</v>
      </c>
      <c r="L83" s="152">
        <v>0</v>
      </c>
      <c r="M83" s="152">
        <v>0</v>
      </c>
      <c r="N83" s="152">
        <v>0</v>
      </c>
      <c r="O83" s="154" t="s">
        <v>33</v>
      </c>
      <c r="P83" s="155">
        <v>0.97916666666666663</v>
      </c>
      <c r="Q83" s="152">
        <v>168</v>
      </c>
      <c r="R83" s="156" t="s">
        <v>87</v>
      </c>
    </row>
    <row r="84" spans="1:18" ht="17.399999999999999" customHeight="1" thickBot="1" x14ac:dyDescent="0.35">
      <c r="A84" s="206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8"/>
    </row>
    <row r="85" spans="1:18" ht="22.05" customHeight="1" thickTop="1" thickBot="1" x14ac:dyDescent="0.35">
      <c r="A85" s="182" t="s">
        <v>8</v>
      </c>
      <c r="B85" s="175"/>
      <c r="C85" s="175"/>
      <c r="D85" s="175"/>
      <c r="E85" s="175"/>
      <c r="F85" s="176"/>
      <c r="G85" s="18">
        <v>46016</v>
      </c>
      <c r="H85" s="174" t="s">
        <v>9</v>
      </c>
      <c r="I85" s="175"/>
      <c r="J85" s="175"/>
      <c r="K85" s="175"/>
      <c r="L85" s="175"/>
      <c r="M85" s="175"/>
      <c r="N85" s="175"/>
      <c r="O85" s="175"/>
      <c r="P85" s="175"/>
      <c r="Q85" s="175"/>
      <c r="R85" s="176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thickTop="1" thickBot="1" x14ac:dyDescent="0.5">
      <c r="A87" s="157" t="s">
        <v>28</v>
      </c>
      <c r="B87" s="157" t="s">
        <v>29</v>
      </c>
      <c r="C87" s="158">
        <v>0.53819444444444442</v>
      </c>
      <c r="D87" s="157" t="s">
        <v>30</v>
      </c>
      <c r="E87" s="159"/>
      <c r="F87" s="157" t="s">
        <v>36</v>
      </c>
      <c r="G87" s="183"/>
      <c r="H87" s="150" t="s">
        <v>29</v>
      </c>
      <c r="I87" s="151">
        <v>0.91669999999999996</v>
      </c>
      <c r="J87" s="152">
        <v>154</v>
      </c>
      <c r="K87" s="153" t="s">
        <v>42</v>
      </c>
      <c r="L87" s="152">
        <v>20</v>
      </c>
      <c r="M87" s="152">
        <v>0</v>
      </c>
      <c r="N87" s="152">
        <v>5</v>
      </c>
      <c r="O87" s="154" t="s">
        <v>74</v>
      </c>
      <c r="P87" s="155">
        <v>0.53819444444444442</v>
      </c>
      <c r="Q87" s="152">
        <v>168</v>
      </c>
      <c r="R87" s="156" t="s">
        <v>88</v>
      </c>
    </row>
    <row r="88" spans="1:18" ht="17.399999999999999" customHeight="1" thickBot="1" x14ac:dyDescent="0.35">
      <c r="A88" s="206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8"/>
    </row>
    <row r="89" spans="1:18" ht="15" thickTop="1" x14ac:dyDescent="0.3"/>
  </sheetData>
  <mergeCells count="83">
    <mergeCell ref="G87"/>
    <mergeCell ref="H76:R76"/>
    <mergeCell ref="G24"/>
    <mergeCell ref="A80:F80"/>
    <mergeCell ref="A84:R84"/>
    <mergeCell ref="A75:R75"/>
    <mergeCell ref="H4:R4"/>
    <mergeCell ref="H44:R44"/>
    <mergeCell ref="G60"/>
    <mergeCell ref="A14:F14"/>
    <mergeCell ref="A4:F4"/>
    <mergeCell ref="A13:R13"/>
    <mergeCell ref="G38"/>
    <mergeCell ref="A31:R31"/>
    <mergeCell ref="G78"/>
    <mergeCell ref="G2:J2"/>
    <mergeCell ref="G46:G48"/>
    <mergeCell ref="N1:R1"/>
    <mergeCell ref="G70"/>
    <mergeCell ref="A43:R43"/>
    <mergeCell ref="A68:F68"/>
    <mergeCell ref="K2:R2"/>
    <mergeCell ref="A67:R67"/>
    <mergeCell ref="H22:R22"/>
    <mergeCell ref="G10:G12"/>
    <mergeCell ref="A36:F36"/>
    <mergeCell ref="A25:R25"/>
    <mergeCell ref="G64:G66"/>
    <mergeCell ref="A3:R3"/>
    <mergeCell ref="A2:F2"/>
    <mergeCell ref="A85:F85"/>
    <mergeCell ref="A71:R71"/>
    <mergeCell ref="G56"/>
    <mergeCell ref="A22:F22"/>
    <mergeCell ref="A62:F62"/>
    <mergeCell ref="H36:R36"/>
    <mergeCell ref="H85:R85"/>
    <mergeCell ref="A53:R53"/>
    <mergeCell ref="H80:R80"/>
    <mergeCell ref="A39:R39"/>
    <mergeCell ref="G34"/>
    <mergeCell ref="A49:R49"/>
    <mergeCell ref="G74"/>
    <mergeCell ref="H14:R14"/>
    <mergeCell ref="A54:F54"/>
    <mergeCell ref="A79:R79"/>
    <mergeCell ref="H18:R18"/>
    <mergeCell ref="A61:R61"/>
    <mergeCell ref="A88:R88"/>
    <mergeCell ref="H8:R8"/>
    <mergeCell ref="H54:R54"/>
    <mergeCell ref="A18:F18"/>
    <mergeCell ref="H50:R50"/>
    <mergeCell ref="G20"/>
    <mergeCell ref="A26:F26"/>
    <mergeCell ref="H58:R58"/>
    <mergeCell ref="H40:R40"/>
    <mergeCell ref="A21:R21"/>
    <mergeCell ref="A76:F76"/>
    <mergeCell ref="A57:R57"/>
    <mergeCell ref="H68:R68"/>
    <mergeCell ref="A40:F40"/>
    <mergeCell ref="H32:R32"/>
    <mergeCell ref="G6"/>
    <mergeCell ref="H62:R62"/>
    <mergeCell ref="G28:G30"/>
    <mergeCell ref="A8:F8"/>
    <mergeCell ref="H26:R26"/>
    <mergeCell ref="A7:R7"/>
    <mergeCell ref="G82:G83"/>
    <mergeCell ref="H1:L1"/>
    <mergeCell ref="A1:E1"/>
    <mergeCell ref="A50:F50"/>
    <mergeCell ref="G16"/>
    <mergeCell ref="A32:F32"/>
    <mergeCell ref="G52"/>
    <mergeCell ref="A17:R17"/>
    <mergeCell ref="A72:F72"/>
    <mergeCell ref="G42"/>
    <mergeCell ref="A35:R35"/>
    <mergeCell ref="A44:F44"/>
    <mergeCell ref="A58:F58"/>
    <mergeCell ref="H72:R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0"/>
  <sheetViews>
    <sheetView workbookViewId="0"/>
  </sheetViews>
  <sheetFormatPr defaultRowHeight="15.6" outlineLevelCol="1" x14ac:dyDescent="0.3"/>
  <cols>
    <col min="1" max="1" width="9.88671875" style="193" bestFit="1" customWidth="1"/>
    <col min="2" max="2" width="10.44140625" style="193" bestFit="1" customWidth="1"/>
    <col min="3" max="3" width="6.77734375" style="193" bestFit="1" customWidth="1"/>
    <col min="4" max="4" width="5.5546875" style="193" bestFit="1" customWidth="1"/>
    <col min="5" max="5" width="8.5546875" style="193" bestFit="1" customWidth="1"/>
    <col min="6" max="6" width="4.21875" style="193" bestFit="1" customWidth="1"/>
    <col min="7" max="7" width="10" style="193" bestFit="1" customWidth="1"/>
    <col min="8" max="10" width="8.5546875" style="193" bestFit="1" customWidth="1"/>
    <col min="11" max="11" width="10.5546875" style="193" bestFit="1" customWidth="1"/>
    <col min="12" max="12" width="18.109375" style="193" bestFit="1" customWidth="1"/>
    <col min="13" max="13" width="7.6640625" style="193" bestFit="1" customWidth="1" outlineLevel="1"/>
    <col min="14" max="14" width="6.33203125" style="193" bestFit="1" customWidth="1" outlineLevel="1"/>
    <col min="15" max="15" width="8" style="193" bestFit="1" customWidth="1" outlineLevel="1"/>
    <col min="16" max="16" width="13.6640625" style="193" bestFit="1" customWidth="1"/>
    <col min="17" max="23" width="3.88671875" style="193" bestFit="1" customWidth="1"/>
    <col min="24" max="24" width="4.109375" style="193" bestFit="1" customWidth="1"/>
    <col min="25" max="25" width="4.44140625" style="193" bestFit="1" customWidth="1"/>
    <col min="26" max="26" width="4.109375" style="193" bestFit="1" customWidth="1"/>
    <col min="27" max="27" width="5" style="193" bestFit="1" customWidth="1"/>
    <col min="28" max="29" width="4.21875" style="193" bestFit="1" customWidth="1"/>
    <col min="30" max="31" width="4.5546875" style="193" bestFit="1" customWidth="1"/>
    <col min="32" max="32" width="3.88671875" style="193" bestFit="1" customWidth="1"/>
    <col min="33" max="33" width="4.21875" style="193" bestFit="1" customWidth="1"/>
    <col min="34" max="34" width="3.88671875" style="193" bestFit="1" customWidth="1"/>
    <col min="35" max="35" width="5.21875" style="193" bestFit="1" customWidth="1"/>
    <col min="36" max="36" width="5.44140625" style="193" bestFit="1" customWidth="1"/>
    <col min="37" max="16384" width="8.88671875" style="193"/>
  </cols>
  <sheetData>
    <row r="1" spans="1:36" x14ac:dyDescent="0.3">
      <c r="A1" s="192" t="s">
        <v>89</v>
      </c>
      <c r="B1" s="192" t="s">
        <v>90</v>
      </c>
      <c r="C1" s="192" t="s">
        <v>91</v>
      </c>
      <c r="D1" s="192" t="s">
        <v>25</v>
      </c>
      <c r="E1" s="192" t="s">
        <v>92</v>
      </c>
      <c r="F1" s="192" t="s">
        <v>93</v>
      </c>
      <c r="G1" s="192" t="s">
        <v>18</v>
      </c>
      <c r="H1" s="192" t="s">
        <v>94</v>
      </c>
      <c r="I1" s="192" t="s">
        <v>95</v>
      </c>
      <c r="J1" s="192" t="s">
        <v>96</v>
      </c>
      <c r="K1" s="192" t="s">
        <v>97</v>
      </c>
      <c r="L1" s="192" t="s">
        <v>20</v>
      </c>
      <c r="M1" s="192" t="s">
        <v>22</v>
      </c>
      <c r="N1" s="192" t="s">
        <v>23</v>
      </c>
      <c r="O1" s="192" t="s">
        <v>21</v>
      </c>
      <c r="P1" s="192" t="s">
        <v>24</v>
      </c>
      <c r="Q1" s="192" t="s">
        <v>98</v>
      </c>
      <c r="R1" s="192" t="s">
        <v>99</v>
      </c>
      <c r="S1" s="192" t="s">
        <v>100</v>
      </c>
      <c r="T1" s="192" t="s">
        <v>101</v>
      </c>
      <c r="U1" s="192" t="s">
        <v>102</v>
      </c>
      <c r="V1" s="192" t="s">
        <v>103</v>
      </c>
      <c r="W1" s="192" t="s">
        <v>104</v>
      </c>
      <c r="X1" s="192" t="s">
        <v>105</v>
      </c>
      <c r="Y1" s="192" t="s">
        <v>106</v>
      </c>
      <c r="Z1" s="192" t="s">
        <v>107</v>
      </c>
      <c r="AA1" s="192" t="s">
        <v>108</v>
      </c>
      <c r="AB1" s="192" t="s">
        <v>109</v>
      </c>
      <c r="AC1" s="192" t="s">
        <v>110</v>
      </c>
      <c r="AD1" s="192" t="s">
        <v>111</v>
      </c>
      <c r="AE1" s="192" t="s">
        <v>112</v>
      </c>
      <c r="AF1" s="192" t="s">
        <v>113</v>
      </c>
      <c r="AG1" s="192" t="s">
        <v>114</v>
      </c>
      <c r="AH1" s="192" t="s">
        <v>115</v>
      </c>
      <c r="AI1" s="192" t="s">
        <v>116</v>
      </c>
      <c r="AJ1" s="192" t="s">
        <v>117</v>
      </c>
    </row>
    <row r="2" spans="1:36" x14ac:dyDescent="0.3">
      <c r="A2" s="194" t="s">
        <v>118</v>
      </c>
      <c r="B2" s="195">
        <v>45984</v>
      </c>
      <c r="C2" s="196" t="s">
        <v>29</v>
      </c>
      <c r="D2" s="197" t="s">
        <v>119</v>
      </c>
      <c r="E2" s="196" t="s">
        <v>1</v>
      </c>
      <c r="F2" s="196" t="s">
        <v>120</v>
      </c>
      <c r="G2" s="198">
        <v>1</v>
      </c>
      <c r="H2" s="199">
        <v>179</v>
      </c>
      <c r="I2" s="199">
        <v>179</v>
      </c>
      <c r="J2" s="199">
        <v>86</v>
      </c>
      <c r="K2" s="196" t="s">
        <v>121</v>
      </c>
      <c r="L2" s="200" t="s">
        <v>32</v>
      </c>
      <c r="M2" s="199">
        <v>0</v>
      </c>
      <c r="N2" s="199">
        <v>0</v>
      </c>
      <c r="O2" s="199">
        <v>1</v>
      </c>
      <c r="P2" s="196" t="s">
        <v>33</v>
      </c>
      <c r="Q2" s="192"/>
      <c r="R2" s="192"/>
      <c r="S2" s="192"/>
      <c r="T2" s="192"/>
      <c r="U2" s="192"/>
      <c r="V2" s="199" t="s">
        <v>58</v>
      </c>
      <c r="W2" s="192"/>
      <c r="X2" s="192"/>
      <c r="Y2" s="199" t="s">
        <v>122</v>
      </c>
      <c r="Z2" s="199" t="s">
        <v>123</v>
      </c>
      <c r="AA2" s="192"/>
      <c r="AB2" s="199" t="s">
        <v>124</v>
      </c>
      <c r="AC2" s="199" t="s">
        <v>125</v>
      </c>
      <c r="AD2" s="199" t="s">
        <v>126</v>
      </c>
      <c r="AE2" s="199" t="s">
        <v>127</v>
      </c>
      <c r="AF2" s="199" t="s">
        <v>128</v>
      </c>
      <c r="AG2" s="192"/>
      <c r="AH2" s="192"/>
      <c r="AI2" s="199" t="s">
        <v>129</v>
      </c>
      <c r="AJ2" s="199" t="s">
        <v>130</v>
      </c>
    </row>
    <row r="3" spans="1:36" x14ac:dyDescent="0.3">
      <c r="A3" s="194" t="s">
        <v>131</v>
      </c>
      <c r="B3" s="195">
        <v>45986</v>
      </c>
      <c r="C3" s="196" t="s">
        <v>35</v>
      </c>
      <c r="D3" s="197" t="s">
        <v>132</v>
      </c>
      <c r="E3" s="196" t="s">
        <v>1</v>
      </c>
      <c r="F3" s="196" t="s">
        <v>120</v>
      </c>
      <c r="G3" s="198">
        <v>0.91059999999999997</v>
      </c>
      <c r="H3" s="199">
        <v>179</v>
      </c>
      <c r="I3" s="199">
        <v>163</v>
      </c>
      <c r="J3" s="199">
        <v>158</v>
      </c>
      <c r="K3" s="196" t="s">
        <v>121</v>
      </c>
      <c r="L3" s="200" t="s">
        <v>37</v>
      </c>
      <c r="M3" s="199">
        <v>0</v>
      </c>
      <c r="N3" s="199">
        <v>0</v>
      </c>
      <c r="O3" s="199">
        <v>0</v>
      </c>
      <c r="P3" s="196" t="s">
        <v>38</v>
      </c>
      <c r="Q3" s="192"/>
      <c r="R3" s="192"/>
      <c r="S3" s="192"/>
      <c r="T3" s="192"/>
      <c r="U3" s="192"/>
      <c r="V3" s="192"/>
      <c r="W3" s="192"/>
      <c r="X3" s="199" t="s">
        <v>133</v>
      </c>
      <c r="Y3" s="192"/>
      <c r="Z3" s="192"/>
      <c r="AA3" s="192"/>
      <c r="AB3" s="192"/>
      <c r="AC3" s="192"/>
      <c r="AD3" s="192"/>
      <c r="AE3" s="192"/>
      <c r="AF3" s="199" t="s">
        <v>134</v>
      </c>
      <c r="AG3" s="199" t="s">
        <v>135</v>
      </c>
      <c r="AH3" s="192"/>
      <c r="AI3" s="199" t="s">
        <v>136</v>
      </c>
      <c r="AJ3" s="192"/>
    </row>
    <row r="4" spans="1:36" x14ac:dyDescent="0.3">
      <c r="A4" s="194" t="s">
        <v>131</v>
      </c>
      <c r="B4" s="195">
        <v>45986</v>
      </c>
      <c r="C4" s="196" t="s">
        <v>40</v>
      </c>
      <c r="D4" s="197" t="s">
        <v>137</v>
      </c>
      <c r="E4" s="196" t="s">
        <v>1</v>
      </c>
      <c r="F4" s="196" t="s">
        <v>120</v>
      </c>
      <c r="G4" s="198">
        <v>0.54759999999999998</v>
      </c>
      <c r="H4" s="199">
        <v>168</v>
      </c>
      <c r="I4" s="199">
        <v>92</v>
      </c>
      <c r="J4" s="199">
        <v>0</v>
      </c>
      <c r="K4" s="196" t="s">
        <v>121</v>
      </c>
      <c r="L4" s="200" t="s">
        <v>42</v>
      </c>
      <c r="M4" s="199">
        <v>0</v>
      </c>
      <c r="N4" s="199">
        <v>5</v>
      </c>
      <c r="O4" s="199">
        <v>18</v>
      </c>
      <c r="P4" s="196" t="s">
        <v>43</v>
      </c>
      <c r="Q4" s="192"/>
      <c r="R4" s="192"/>
      <c r="S4" s="192"/>
      <c r="T4" s="192"/>
      <c r="U4" s="192"/>
      <c r="V4" s="192"/>
      <c r="W4" s="192"/>
      <c r="X4" s="199" t="s">
        <v>138</v>
      </c>
      <c r="Y4" s="199" t="s">
        <v>139</v>
      </c>
      <c r="Z4" s="199" t="s">
        <v>140</v>
      </c>
      <c r="AA4" s="199" t="s">
        <v>141</v>
      </c>
      <c r="AB4" s="199" t="s">
        <v>142</v>
      </c>
      <c r="AC4" s="199" t="s">
        <v>143</v>
      </c>
      <c r="AD4" s="199" t="s">
        <v>144</v>
      </c>
      <c r="AE4" s="199" t="s">
        <v>145</v>
      </c>
      <c r="AF4" s="199" t="s">
        <v>146</v>
      </c>
      <c r="AG4" s="192"/>
      <c r="AH4" s="192"/>
      <c r="AI4" s="192"/>
      <c r="AJ4" s="192"/>
    </row>
    <row r="5" spans="1:36" x14ac:dyDescent="0.3">
      <c r="A5" s="194" t="s">
        <v>131</v>
      </c>
      <c r="B5" s="195">
        <v>45986</v>
      </c>
      <c r="C5" s="196" t="s">
        <v>29</v>
      </c>
      <c r="D5" s="197" t="s">
        <v>147</v>
      </c>
      <c r="E5" s="196" t="s">
        <v>1</v>
      </c>
      <c r="F5" s="196" t="s">
        <v>120</v>
      </c>
      <c r="G5" s="198">
        <v>0.98880000000000001</v>
      </c>
      <c r="H5" s="199">
        <v>179</v>
      </c>
      <c r="I5" s="199">
        <v>177</v>
      </c>
      <c r="J5" s="199">
        <v>122</v>
      </c>
      <c r="K5" s="196" t="s">
        <v>121</v>
      </c>
      <c r="L5" s="200" t="s">
        <v>46</v>
      </c>
      <c r="M5" s="199">
        <v>0</v>
      </c>
      <c r="N5" s="199">
        <v>0</v>
      </c>
      <c r="O5" s="199">
        <v>2</v>
      </c>
      <c r="P5" s="196" t="s">
        <v>47</v>
      </c>
      <c r="Q5" s="192"/>
      <c r="R5" s="192"/>
      <c r="S5" s="192"/>
      <c r="T5" s="192"/>
      <c r="U5" s="199" t="s">
        <v>148</v>
      </c>
      <c r="V5" s="199" t="s">
        <v>149</v>
      </c>
      <c r="W5" s="199" t="s">
        <v>150</v>
      </c>
      <c r="X5" s="192"/>
      <c r="Y5" s="192"/>
      <c r="Z5" s="199" t="s">
        <v>151</v>
      </c>
      <c r="AA5" s="192"/>
      <c r="AB5" s="192"/>
      <c r="AC5" s="199" t="s">
        <v>152</v>
      </c>
      <c r="AD5" s="199" t="s">
        <v>153</v>
      </c>
      <c r="AE5" s="199" t="s">
        <v>154</v>
      </c>
      <c r="AF5" s="199" t="s">
        <v>128</v>
      </c>
      <c r="AG5" s="192"/>
      <c r="AH5" s="192"/>
      <c r="AI5" s="199" t="s">
        <v>155</v>
      </c>
      <c r="AJ5" s="192"/>
    </row>
    <row r="6" spans="1:36" x14ac:dyDescent="0.3">
      <c r="A6" s="194" t="s">
        <v>156</v>
      </c>
      <c r="B6" s="195">
        <v>45988</v>
      </c>
      <c r="C6" s="196" t="s">
        <v>29</v>
      </c>
      <c r="D6" s="197" t="s">
        <v>157</v>
      </c>
      <c r="E6" s="196" t="s">
        <v>1</v>
      </c>
      <c r="F6" s="196" t="s">
        <v>120</v>
      </c>
      <c r="G6" s="198">
        <v>0.98280000000000001</v>
      </c>
      <c r="H6" s="199">
        <v>174</v>
      </c>
      <c r="I6" s="199">
        <v>171</v>
      </c>
      <c r="J6" s="199">
        <v>128</v>
      </c>
      <c r="K6" s="196" t="s">
        <v>121</v>
      </c>
      <c r="L6" s="200" t="s">
        <v>49</v>
      </c>
      <c r="M6" s="199">
        <v>0</v>
      </c>
      <c r="N6" s="199">
        <v>0</v>
      </c>
      <c r="O6" s="199">
        <v>6</v>
      </c>
      <c r="P6" s="196" t="s">
        <v>50</v>
      </c>
      <c r="Q6" s="192"/>
      <c r="R6" s="192"/>
      <c r="S6" s="192"/>
      <c r="T6" s="192"/>
      <c r="U6" s="192"/>
      <c r="V6" s="192"/>
      <c r="W6" s="199" t="s">
        <v>158</v>
      </c>
      <c r="X6" s="199" t="s">
        <v>159</v>
      </c>
      <c r="Y6" s="192"/>
      <c r="Z6" s="199" t="s">
        <v>160</v>
      </c>
      <c r="AA6" s="192"/>
      <c r="AB6" s="192"/>
      <c r="AC6" s="192"/>
      <c r="AD6" s="199" t="s">
        <v>161</v>
      </c>
      <c r="AE6" s="199" t="s">
        <v>127</v>
      </c>
      <c r="AF6" s="199" t="s">
        <v>128</v>
      </c>
      <c r="AG6" s="192"/>
      <c r="AH6" s="192"/>
      <c r="AI6" s="199" t="s">
        <v>162</v>
      </c>
      <c r="AJ6" s="199" t="s">
        <v>163</v>
      </c>
    </row>
    <row r="7" spans="1:36" x14ac:dyDescent="0.3">
      <c r="A7" s="194" t="s">
        <v>164</v>
      </c>
      <c r="B7" s="195">
        <v>45990</v>
      </c>
      <c r="C7" s="196" t="s">
        <v>29</v>
      </c>
      <c r="D7" s="197" t="s">
        <v>165</v>
      </c>
      <c r="E7" s="196" t="s">
        <v>1</v>
      </c>
      <c r="F7" s="196" t="s">
        <v>120</v>
      </c>
      <c r="G7" s="198">
        <v>1.0298</v>
      </c>
      <c r="H7" s="199">
        <v>168</v>
      </c>
      <c r="I7" s="199">
        <v>173</v>
      </c>
      <c r="J7" s="199">
        <v>131</v>
      </c>
      <c r="K7" s="196" t="s">
        <v>121</v>
      </c>
      <c r="L7" s="200" t="s">
        <v>52</v>
      </c>
      <c r="M7" s="199">
        <v>0</v>
      </c>
      <c r="N7" s="199">
        <v>0</v>
      </c>
      <c r="O7" s="199">
        <v>0</v>
      </c>
      <c r="P7" s="196" t="s">
        <v>33</v>
      </c>
      <c r="Q7" s="192"/>
      <c r="R7" s="192"/>
      <c r="S7" s="192"/>
      <c r="T7" s="192"/>
      <c r="U7" s="192"/>
      <c r="V7" s="192"/>
      <c r="W7" s="192"/>
      <c r="X7" s="192"/>
      <c r="Y7" s="199" t="s">
        <v>166</v>
      </c>
      <c r="Z7" s="199" t="s">
        <v>167</v>
      </c>
      <c r="AA7" s="192"/>
      <c r="AB7" s="192"/>
      <c r="AC7" s="192"/>
      <c r="AD7" s="192"/>
      <c r="AE7" s="192"/>
      <c r="AF7" s="199" t="s">
        <v>168</v>
      </c>
      <c r="AG7" s="192"/>
      <c r="AH7" s="192"/>
      <c r="AI7" s="199" t="s">
        <v>169</v>
      </c>
      <c r="AJ7" s="199" t="s">
        <v>170</v>
      </c>
    </row>
    <row r="8" spans="1:36" x14ac:dyDescent="0.3">
      <c r="A8" s="194" t="s">
        <v>118</v>
      </c>
      <c r="B8" s="195">
        <v>45991</v>
      </c>
      <c r="C8" s="196" t="s">
        <v>29</v>
      </c>
      <c r="D8" s="197" t="s">
        <v>119</v>
      </c>
      <c r="E8" s="196" t="s">
        <v>1</v>
      </c>
      <c r="F8" s="196" t="s">
        <v>120</v>
      </c>
      <c r="G8" s="198">
        <v>0.96550000000000002</v>
      </c>
      <c r="H8" s="199">
        <v>174</v>
      </c>
      <c r="I8" s="199">
        <v>168</v>
      </c>
      <c r="J8" s="199">
        <v>133</v>
      </c>
      <c r="K8" s="196" t="s">
        <v>121</v>
      </c>
      <c r="L8" s="200" t="s">
        <v>54</v>
      </c>
      <c r="M8" s="199">
        <v>0</v>
      </c>
      <c r="N8" s="199">
        <v>0</v>
      </c>
      <c r="O8" s="199">
        <v>0</v>
      </c>
      <c r="P8" s="196" t="s">
        <v>55</v>
      </c>
      <c r="Q8" s="192"/>
      <c r="R8" s="192"/>
      <c r="S8" s="192"/>
      <c r="T8" s="192"/>
      <c r="U8" s="192"/>
      <c r="V8" s="192"/>
      <c r="W8" s="192"/>
      <c r="X8" s="199" t="s">
        <v>138</v>
      </c>
      <c r="Y8" s="199" t="s">
        <v>171</v>
      </c>
      <c r="Z8" s="199" t="s">
        <v>172</v>
      </c>
      <c r="AA8" s="199" t="s">
        <v>76</v>
      </c>
      <c r="AB8" s="199" t="s">
        <v>173</v>
      </c>
      <c r="AC8" s="199" t="s">
        <v>174</v>
      </c>
      <c r="AD8" s="199" t="s">
        <v>175</v>
      </c>
      <c r="AE8" s="199" t="s">
        <v>176</v>
      </c>
      <c r="AF8" s="199" t="s">
        <v>134</v>
      </c>
      <c r="AG8" s="192"/>
      <c r="AH8" s="192"/>
      <c r="AI8" s="199" t="s">
        <v>169</v>
      </c>
      <c r="AJ8" s="192"/>
    </row>
    <row r="9" spans="1:36" x14ac:dyDescent="0.3">
      <c r="A9" s="194" t="s">
        <v>131</v>
      </c>
      <c r="B9" s="195">
        <v>45993</v>
      </c>
      <c r="C9" s="196" t="s">
        <v>35</v>
      </c>
      <c r="D9" s="197" t="s">
        <v>132</v>
      </c>
      <c r="E9" s="196" t="s">
        <v>1</v>
      </c>
      <c r="F9" s="196" t="s">
        <v>120</v>
      </c>
      <c r="G9" s="198">
        <v>0.96</v>
      </c>
      <c r="H9" s="199">
        <v>175</v>
      </c>
      <c r="I9" s="199">
        <v>168</v>
      </c>
      <c r="J9" s="199">
        <v>120</v>
      </c>
      <c r="K9" s="196" t="s">
        <v>121</v>
      </c>
      <c r="L9" s="200" t="s">
        <v>57</v>
      </c>
      <c r="M9" s="199">
        <v>0</v>
      </c>
      <c r="N9" s="199">
        <v>0</v>
      </c>
      <c r="O9" s="199">
        <v>0</v>
      </c>
      <c r="P9" s="196" t="s">
        <v>58</v>
      </c>
      <c r="Q9" s="192"/>
      <c r="R9" s="192"/>
      <c r="S9" s="192"/>
      <c r="T9" s="192"/>
      <c r="U9" s="192"/>
      <c r="V9" s="192"/>
      <c r="W9" s="192"/>
      <c r="X9" s="192"/>
      <c r="Y9" s="192"/>
      <c r="Z9" s="199" t="s">
        <v>177</v>
      </c>
      <c r="AA9" s="192"/>
      <c r="AB9" s="192"/>
      <c r="AC9" s="199" t="s">
        <v>178</v>
      </c>
      <c r="AD9" s="199" t="s">
        <v>126</v>
      </c>
      <c r="AE9" s="199" t="s">
        <v>154</v>
      </c>
      <c r="AF9" s="199" t="s">
        <v>128</v>
      </c>
      <c r="AG9" s="199" t="s">
        <v>179</v>
      </c>
      <c r="AH9" s="192"/>
      <c r="AI9" s="199" t="s">
        <v>180</v>
      </c>
      <c r="AJ9" s="199" t="s">
        <v>163</v>
      </c>
    </row>
    <row r="10" spans="1:36" x14ac:dyDescent="0.3">
      <c r="A10" s="194" t="s">
        <v>131</v>
      </c>
      <c r="B10" s="195">
        <v>45993</v>
      </c>
      <c r="C10" s="196" t="s">
        <v>40</v>
      </c>
      <c r="D10" s="197" t="s">
        <v>137</v>
      </c>
      <c r="E10" s="196" t="s">
        <v>1</v>
      </c>
      <c r="F10" s="196" t="s">
        <v>120</v>
      </c>
      <c r="G10" s="198">
        <v>0.77980000000000005</v>
      </c>
      <c r="H10" s="199">
        <v>168</v>
      </c>
      <c r="I10" s="199">
        <v>131</v>
      </c>
      <c r="J10" s="199">
        <v>41</v>
      </c>
      <c r="K10" s="196" t="s">
        <v>121</v>
      </c>
      <c r="L10" s="200" t="s">
        <v>49</v>
      </c>
      <c r="M10" s="199">
        <v>0</v>
      </c>
      <c r="N10" s="199">
        <v>0</v>
      </c>
      <c r="O10" s="199">
        <v>57</v>
      </c>
      <c r="P10" s="196" t="s">
        <v>60</v>
      </c>
      <c r="Q10" s="192"/>
      <c r="R10" s="192"/>
      <c r="S10" s="192"/>
      <c r="T10" s="192"/>
      <c r="U10" s="192"/>
      <c r="V10" s="192"/>
      <c r="W10" s="192"/>
      <c r="X10" s="199" t="s">
        <v>181</v>
      </c>
      <c r="Y10" s="199" t="s">
        <v>122</v>
      </c>
      <c r="Z10" s="199" t="s">
        <v>182</v>
      </c>
      <c r="AA10" s="199" t="s">
        <v>141</v>
      </c>
      <c r="AB10" s="199" t="s">
        <v>142</v>
      </c>
      <c r="AC10" s="199" t="s">
        <v>143</v>
      </c>
      <c r="AD10" s="199" t="s">
        <v>144</v>
      </c>
      <c r="AE10" s="199" t="s">
        <v>145</v>
      </c>
      <c r="AF10" s="199" t="s">
        <v>146</v>
      </c>
      <c r="AG10" s="192"/>
      <c r="AH10" s="192"/>
      <c r="AI10" s="199" t="s">
        <v>183</v>
      </c>
      <c r="AJ10" s="192"/>
    </row>
    <row r="11" spans="1:36" x14ac:dyDescent="0.3">
      <c r="A11" s="194" t="s">
        <v>131</v>
      </c>
      <c r="B11" s="195">
        <v>45993</v>
      </c>
      <c r="C11" s="196" t="s">
        <v>29</v>
      </c>
      <c r="D11" s="197" t="s">
        <v>147</v>
      </c>
      <c r="E11" s="196" t="s">
        <v>1</v>
      </c>
      <c r="F11" s="196" t="s">
        <v>120</v>
      </c>
      <c r="G11" s="198">
        <v>1.006</v>
      </c>
      <c r="H11" s="199">
        <v>168</v>
      </c>
      <c r="I11" s="199">
        <v>169</v>
      </c>
      <c r="J11" s="199">
        <v>136</v>
      </c>
      <c r="K11" s="196" t="s">
        <v>121</v>
      </c>
      <c r="L11" s="200" t="s">
        <v>62</v>
      </c>
      <c r="M11" s="199">
        <v>0</v>
      </c>
      <c r="N11" s="199">
        <v>0</v>
      </c>
      <c r="O11" s="199">
        <v>0</v>
      </c>
      <c r="P11" s="196" t="s">
        <v>33</v>
      </c>
      <c r="Q11" s="192"/>
      <c r="R11" s="192"/>
      <c r="S11" s="192"/>
      <c r="T11" s="192"/>
      <c r="U11" s="192"/>
      <c r="V11" s="192"/>
      <c r="W11" s="192"/>
      <c r="X11" s="192"/>
      <c r="Y11" s="192"/>
      <c r="Z11" s="199" t="s">
        <v>184</v>
      </c>
      <c r="AA11" s="192"/>
      <c r="AB11" s="192"/>
      <c r="AC11" s="192"/>
      <c r="AD11" s="192"/>
      <c r="AE11" s="199" t="s">
        <v>127</v>
      </c>
      <c r="AF11" s="199" t="s">
        <v>128</v>
      </c>
      <c r="AG11" s="199" t="s">
        <v>185</v>
      </c>
      <c r="AH11" s="192"/>
      <c r="AI11" s="199" t="s">
        <v>180</v>
      </c>
      <c r="AJ11" s="199" t="s">
        <v>186</v>
      </c>
    </row>
    <row r="12" spans="1:36" x14ac:dyDescent="0.3">
      <c r="A12" s="194" t="s">
        <v>156</v>
      </c>
      <c r="B12" s="195">
        <v>45995</v>
      </c>
      <c r="C12" s="196" t="s">
        <v>29</v>
      </c>
      <c r="D12" s="197" t="s">
        <v>157</v>
      </c>
      <c r="E12" s="196" t="s">
        <v>1</v>
      </c>
      <c r="F12" s="196" t="s">
        <v>120</v>
      </c>
      <c r="G12" s="198">
        <v>1.006</v>
      </c>
      <c r="H12" s="199">
        <v>168</v>
      </c>
      <c r="I12" s="199">
        <v>169</v>
      </c>
      <c r="J12" s="199">
        <v>135</v>
      </c>
      <c r="K12" s="196" t="s">
        <v>121</v>
      </c>
      <c r="L12" s="200" t="s">
        <v>49</v>
      </c>
      <c r="M12" s="199">
        <v>0</v>
      </c>
      <c r="N12" s="199">
        <v>0</v>
      </c>
      <c r="O12" s="199">
        <v>1</v>
      </c>
      <c r="P12" s="196" t="s">
        <v>33</v>
      </c>
      <c r="Q12" s="199" t="s">
        <v>187</v>
      </c>
      <c r="R12" s="192"/>
      <c r="S12" s="192"/>
      <c r="T12" s="192"/>
      <c r="U12" s="192"/>
      <c r="V12" s="192"/>
      <c r="W12" s="192"/>
      <c r="X12" s="192"/>
      <c r="Y12" s="192"/>
      <c r="Z12" s="199" t="s">
        <v>172</v>
      </c>
      <c r="AA12" s="192"/>
      <c r="AB12" s="192"/>
      <c r="AC12" s="192"/>
      <c r="AD12" s="199" t="s">
        <v>188</v>
      </c>
      <c r="AE12" s="199" t="s">
        <v>127</v>
      </c>
      <c r="AF12" s="199" t="s">
        <v>128</v>
      </c>
      <c r="AG12" s="192"/>
      <c r="AH12" s="192"/>
      <c r="AI12" s="199" t="s">
        <v>189</v>
      </c>
      <c r="AJ12" s="192"/>
    </row>
    <row r="13" spans="1:36" x14ac:dyDescent="0.3">
      <c r="A13" s="194" t="s">
        <v>164</v>
      </c>
      <c r="B13" s="195">
        <v>45997</v>
      </c>
      <c r="C13" s="196" t="s">
        <v>29</v>
      </c>
      <c r="D13" s="197" t="s">
        <v>165</v>
      </c>
      <c r="E13" s="196" t="s">
        <v>1</v>
      </c>
      <c r="F13" s="196" t="s">
        <v>120</v>
      </c>
      <c r="G13" s="198">
        <v>1.0417000000000001</v>
      </c>
      <c r="H13" s="199">
        <v>168</v>
      </c>
      <c r="I13" s="199">
        <v>175</v>
      </c>
      <c r="J13" s="199">
        <v>137</v>
      </c>
      <c r="K13" s="196" t="s">
        <v>121</v>
      </c>
      <c r="L13" s="200" t="s">
        <v>46</v>
      </c>
      <c r="M13" s="199">
        <v>0</v>
      </c>
      <c r="N13" s="199">
        <v>0</v>
      </c>
      <c r="O13" s="199">
        <v>8</v>
      </c>
      <c r="P13" s="196" t="s">
        <v>33</v>
      </c>
      <c r="Q13" s="192"/>
      <c r="R13" s="192"/>
      <c r="S13" s="192"/>
      <c r="T13" s="192"/>
      <c r="U13" s="192"/>
      <c r="V13" s="192"/>
      <c r="W13" s="192"/>
      <c r="X13" s="192"/>
      <c r="Y13" s="192"/>
      <c r="Z13" s="199" t="s">
        <v>160</v>
      </c>
      <c r="AA13" s="192"/>
      <c r="AB13" s="192"/>
      <c r="AC13" s="199" t="s">
        <v>190</v>
      </c>
      <c r="AD13" s="199" t="s">
        <v>126</v>
      </c>
      <c r="AE13" s="199" t="s">
        <v>127</v>
      </c>
      <c r="AF13" s="199" t="s">
        <v>128</v>
      </c>
      <c r="AG13" s="192"/>
      <c r="AH13" s="192"/>
      <c r="AI13" s="199" t="s">
        <v>191</v>
      </c>
      <c r="AJ13" s="199" t="s">
        <v>186</v>
      </c>
    </row>
    <row r="14" spans="1:36" x14ac:dyDescent="0.3">
      <c r="A14" s="194" t="s">
        <v>118</v>
      </c>
      <c r="B14" s="195">
        <v>45998</v>
      </c>
      <c r="C14" s="196" t="s">
        <v>29</v>
      </c>
      <c r="D14" s="197" t="s">
        <v>119</v>
      </c>
      <c r="E14" s="196" t="s">
        <v>1</v>
      </c>
      <c r="F14" s="196" t="s">
        <v>120</v>
      </c>
      <c r="G14" s="198">
        <v>1.0595000000000001</v>
      </c>
      <c r="H14" s="199">
        <v>168</v>
      </c>
      <c r="I14" s="199">
        <v>178</v>
      </c>
      <c r="J14" s="199">
        <v>145</v>
      </c>
      <c r="K14" s="196" t="s">
        <v>121</v>
      </c>
      <c r="L14" s="200" t="s">
        <v>46</v>
      </c>
      <c r="M14" s="199">
        <v>0</v>
      </c>
      <c r="N14" s="199">
        <v>0</v>
      </c>
      <c r="O14" s="199">
        <v>11</v>
      </c>
      <c r="P14" s="196" t="s">
        <v>33</v>
      </c>
      <c r="Q14" s="192"/>
      <c r="R14" s="192"/>
      <c r="S14" s="192"/>
      <c r="T14" s="192"/>
      <c r="U14" s="192"/>
      <c r="V14" s="192"/>
      <c r="W14" s="192"/>
      <c r="X14" s="192"/>
      <c r="Y14" s="199" t="s">
        <v>171</v>
      </c>
      <c r="Z14" s="199" t="s">
        <v>172</v>
      </c>
      <c r="AA14" s="199" t="s">
        <v>76</v>
      </c>
      <c r="AB14" s="199" t="s">
        <v>173</v>
      </c>
      <c r="AC14" s="199" t="s">
        <v>174</v>
      </c>
      <c r="AD14" s="199" t="s">
        <v>161</v>
      </c>
      <c r="AE14" s="199" t="s">
        <v>176</v>
      </c>
      <c r="AF14" s="199" t="s">
        <v>134</v>
      </c>
      <c r="AG14" s="192"/>
      <c r="AH14" s="192"/>
      <c r="AI14" s="199" t="s">
        <v>192</v>
      </c>
      <c r="AJ14" s="192"/>
    </row>
    <row r="15" spans="1:36" x14ac:dyDescent="0.3">
      <c r="A15" s="194" t="s">
        <v>131</v>
      </c>
      <c r="B15" s="195">
        <v>46000</v>
      </c>
      <c r="C15" s="196" t="s">
        <v>35</v>
      </c>
      <c r="D15" s="197" t="s">
        <v>132</v>
      </c>
      <c r="E15" s="196" t="s">
        <v>1</v>
      </c>
      <c r="F15" s="196" t="s">
        <v>120</v>
      </c>
      <c r="G15" s="198">
        <v>1</v>
      </c>
      <c r="H15" s="199">
        <v>168</v>
      </c>
      <c r="I15" s="199">
        <v>168</v>
      </c>
      <c r="J15" s="199">
        <v>132</v>
      </c>
      <c r="K15" s="196" t="s">
        <v>121</v>
      </c>
      <c r="L15" s="200" t="s">
        <v>67</v>
      </c>
      <c r="M15" s="199">
        <v>0</v>
      </c>
      <c r="N15" s="199">
        <v>0</v>
      </c>
      <c r="O15" s="199">
        <v>5</v>
      </c>
      <c r="P15" s="196" t="s">
        <v>33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9" t="s">
        <v>160</v>
      </c>
      <c r="AA15" s="192"/>
      <c r="AB15" s="192"/>
      <c r="AC15" s="199" t="s">
        <v>193</v>
      </c>
      <c r="AD15" s="199" t="s">
        <v>126</v>
      </c>
      <c r="AE15" s="199" t="s">
        <v>154</v>
      </c>
      <c r="AF15" s="199" t="s">
        <v>128</v>
      </c>
      <c r="AG15" s="192"/>
      <c r="AH15" s="192"/>
      <c r="AI15" s="199" t="s">
        <v>194</v>
      </c>
      <c r="AJ15" s="192"/>
    </row>
    <row r="16" spans="1:36" x14ac:dyDescent="0.3">
      <c r="A16" s="194" t="s">
        <v>131</v>
      </c>
      <c r="B16" s="195">
        <v>46000</v>
      </c>
      <c r="C16" s="196" t="s">
        <v>40</v>
      </c>
      <c r="D16" s="197" t="s">
        <v>137</v>
      </c>
      <c r="E16" s="196" t="s">
        <v>1</v>
      </c>
      <c r="F16" s="196" t="s">
        <v>120</v>
      </c>
      <c r="G16" s="198">
        <v>1</v>
      </c>
      <c r="H16" s="199">
        <v>168</v>
      </c>
      <c r="I16" s="199">
        <v>168</v>
      </c>
      <c r="J16" s="199">
        <v>91</v>
      </c>
      <c r="K16" s="196" t="s">
        <v>121</v>
      </c>
      <c r="L16" s="200" t="s">
        <v>42</v>
      </c>
      <c r="M16" s="199">
        <v>0</v>
      </c>
      <c r="N16" s="199">
        <v>1</v>
      </c>
      <c r="O16" s="199">
        <v>57</v>
      </c>
      <c r="P16" s="196" t="s">
        <v>33</v>
      </c>
      <c r="Q16" s="192"/>
      <c r="R16" s="192"/>
      <c r="S16" s="192"/>
      <c r="T16" s="192"/>
      <c r="U16" s="192"/>
      <c r="V16" s="192"/>
      <c r="W16" s="192"/>
      <c r="X16" s="192"/>
      <c r="Y16" s="199" t="s">
        <v>43</v>
      </c>
      <c r="Z16" s="199" t="s">
        <v>195</v>
      </c>
      <c r="AA16" s="199" t="s">
        <v>76</v>
      </c>
      <c r="AB16" s="199" t="s">
        <v>142</v>
      </c>
      <c r="AC16" s="199" t="s">
        <v>143</v>
      </c>
      <c r="AD16" s="199" t="s">
        <v>144</v>
      </c>
      <c r="AE16" s="199" t="s">
        <v>145</v>
      </c>
      <c r="AF16" s="199" t="s">
        <v>146</v>
      </c>
      <c r="AG16" s="192"/>
      <c r="AH16" s="192"/>
      <c r="AI16" s="199" t="s">
        <v>196</v>
      </c>
      <c r="AJ16" s="192"/>
    </row>
    <row r="17" spans="1:36" x14ac:dyDescent="0.3">
      <c r="A17" s="194" t="s">
        <v>131</v>
      </c>
      <c r="B17" s="195">
        <v>46000</v>
      </c>
      <c r="C17" s="196" t="s">
        <v>29</v>
      </c>
      <c r="D17" s="197" t="s">
        <v>147</v>
      </c>
      <c r="E17" s="196" t="s">
        <v>1</v>
      </c>
      <c r="F17" s="196" t="s">
        <v>120</v>
      </c>
      <c r="G17" s="198">
        <v>1.0119</v>
      </c>
      <c r="H17" s="199">
        <v>168</v>
      </c>
      <c r="I17" s="199">
        <v>170</v>
      </c>
      <c r="J17" s="199">
        <v>129</v>
      </c>
      <c r="K17" s="196" t="s">
        <v>121</v>
      </c>
      <c r="L17" s="200" t="s">
        <v>46</v>
      </c>
      <c r="M17" s="199">
        <v>0</v>
      </c>
      <c r="N17" s="199">
        <v>0</v>
      </c>
      <c r="O17" s="199">
        <v>44</v>
      </c>
      <c r="P17" s="196" t="s">
        <v>33</v>
      </c>
      <c r="Q17" s="192"/>
      <c r="R17" s="192"/>
      <c r="S17" s="192"/>
      <c r="T17" s="192"/>
      <c r="U17" s="192"/>
      <c r="V17" s="192"/>
      <c r="W17" s="192"/>
      <c r="X17" s="192"/>
      <c r="Y17" s="192"/>
      <c r="Z17" s="199" t="s">
        <v>172</v>
      </c>
      <c r="AA17" s="192"/>
      <c r="AB17" s="192"/>
      <c r="AC17" s="192"/>
      <c r="AD17" s="199" t="s">
        <v>126</v>
      </c>
      <c r="AE17" s="199" t="s">
        <v>197</v>
      </c>
      <c r="AF17" s="199" t="s">
        <v>198</v>
      </c>
      <c r="AG17" s="199" t="s">
        <v>199</v>
      </c>
      <c r="AH17" s="192"/>
      <c r="AI17" s="199" t="s">
        <v>200</v>
      </c>
      <c r="AJ17" s="199" t="s">
        <v>170</v>
      </c>
    </row>
    <row r="18" spans="1:36" x14ac:dyDescent="0.3">
      <c r="A18" s="194" t="s">
        <v>156</v>
      </c>
      <c r="B18" s="195">
        <v>46002</v>
      </c>
      <c r="C18" s="196" t="s">
        <v>29</v>
      </c>
      <c r="D18" s="197" t="s">
        <v>157</v>
      </c>
      <c r="E18" s="196" t="s">
        <v>1</v>
      </c>
      <c r="F18" s="196" t="s">
        <v>120</v>
      </c>
      <c r="G18" s="198">
        <v>1.0119</v>
      </c>
      <c r="H18" s="199">
        <v>168</v>
      </c>
      <c r="I18" s="199">
        <v>170</v>
      </c>
      <c r="J18" s="199">
        <v>135</v>
      </c>
      <c r="K18" s="196" t="s">
        <v>121</v>
      </c>
      <c r="L18" s="200" t="s">
        <v>57</v>
      </c>
      <c r="M18" s="199">
        <v>0</v>
      </c>
      <c r="N18" s="199">
        <v>0</v>
      </c>
      <c r="O18" s="199">
        <v>0</v>
      </c>
      <c r="P18" s="196" t="s">
        <v>33</v>
      </c>
      <c r="Q18" s="192"/>
      <c r="R18" s="192"/>
      <c r="S18" s="192"/>
      <c r="T18" s="192"/>
      <c r="U18" s="192"/>
      <c r="V18" s="192"/>
      <c r="W18" s="192"/>
      <c r="X18" s="192"/>
      <c r="Y18" s="192"/>
      <c r="Z18" s="199" t="s">
        <v>177</v>
      </c>
      <c r="AA18" s="192"/>
      <c r="AB18" s="192"/>
      <c r="AC18" s="192"/>
      <c r="AD18" s="199" t="s">
        <v>188</v>
      </c>
      <c r="AE18" s="199" t="s">
        <v>127</v>
      </c>
      <c r="AF18" s="199" t="s">
        <v>128</v>
      </c>
      <c r="AG18" s="192"/>
      <c r="AH18" s="192"/>
      <c r="AI18" s="199" t="s">
        <v>189</v>
      </c>
      <c r="AJ18" s="199" t="s">
        <v>186</v>
      </c>
    </row>
    <row r="19" spans="1:36" x14ac:dyDescent="0.3">
      <c r="A19" s="194" t="s">
        <v>164</v>
      </c>
      <c r="B19" s="195">
        <v>46004</v>
      </c>
      <c r="C19" s="196" t="s">
        <v>29</v>
      </c>
      <c r="D19" s="197" t="s">
        <v>165</v>
      </c>
      <c r="E19" s="196" t="s">
        <v>1</v>
      </c>
      <c r="F19" s="196" t="s">
        <v>120</v>
      </c>
      <c r="G19" s="198">
        <v>1.0357000000000001</v>
      </c>
      <c r="H19" s="199">
        <v>168</v>
      </c>
      <c r="I19" s="199">
        <v>174</v>
      </c>
      <c r="J19" s="199">
        <v>90</v>
      </c>
      <c r="K19" s="196" t="s">
        <v>121</v>
      </c>
      <c r="L19" s="200" t="s">
        <v>67</v>
      </c>
      <c r="M19" s="199">
        <v>0</v>
      </c>
      <c r="N19" s="199">
        <v>0</v>
      </c>
      <c r="O19" s="199">
        <v>8</v>
      </c>
      <c r="P19" s="196" t="s">
        <v>33</v>
      </c>
      <c r="Q19" s="192"/>
      <c r="R19" s="192"/>
      <c r="S19" s="192"/>
      <c r="T19" s="192"/>
      <c r="U19" s="192"/>
      <c r="V19" s="192"/>
      <c r="W19" s="192"/>
      <c r="X19" s="192"/>
      <c r="Y19" s="192"/>
      <c r="Z19" s="199" t="s">
        <v>201</v>
      </c>
      <c r="AA19" s="192"/>
      <c r="AB19" s="192"/>
      <c r="AC19" s="199" t="s">
        <v>202</v>
      </c>
      <c r="AD19" s="199" t="s">
        <v>203</v>
      </c>
      <c r="AE19" s="199" t="s">
        <v>204</v>
      </c>
      <c r="AF19" s="199" t="s">
        <v>205</v>
      </c>
      <c r="AG19" s="192"/>
      <c r="AH19" s="192"/>
      <c r="AI19" s="199" t="s">
        <v>180</v>
      </c>
      <c r="AJ19" s="199" t="s">
        <v>163</v>
      </c>
    </row>
    <row r="20" spans="1:36" x14ac:dyDescent="0.3">
      <c r="A20" s="194" t="s">
        <v>118</v>
      </c>
      <c r="B20" s="195">
        <v>46005</v>
      </c>
      <c r="C20" s="196" t="s">
        <v>29</v>
      </c>
      <c r="D20" s="197" t="s">
        <v>119</v>
      </c>
      <c r="E20" s="196" t="s">
        <v>1</v>
      </c>
      <c r="F20" s="196" t="s">
        <v>120</v>
      </c>
      <c r="G20" s="198">
        <v>1.006</v>
      </c>
      <c r="H20" s="199">
        <v>168</v>
      </c>
      <c r="I20" s="199">
        <v>169</v>
      </c>
      <c r="J20" s="199">
        <v>159</v>
      </c>
      <c r="K20" s="196" t="s">
        <v>121</v>
      </c>
      <c r="L20" s="200" t="s">
        <v>57</v>
      </c>
      <c r="M20" s="199">
        <v>0</v>
      </c>
      <c r="N20" s="199">
        <v>0</v>
      </c>
      <c r="O20" s="199">
        <v>0</v>
      </c>
      <c r="P20" s="196" t="s">
        <v>33</v>
      </c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9" t="s">
        <v>176</v>
      </c>
      <c r="AF20" s="199" t="s">
        <v>206</v>
      </c>
      <c r="AG20" s="192"/>
      <c r="AH20" s="192"/>
      <c r="AI20" s="199" t="s">
        <v>207</v>
      </c>
      <c r="AJ20" s="192"/>
    </row>
    <row r="21" spans="1:36" x14ac:dyDescent="0.3">
      <c r="A21" s="194" t="s">
        <v>131</v>
      </c>
      <c r="B21" s="195">
        <v>46007</v>
      </c>
      <c r="C21" s="196" t="s">
        <v>35</v>
      </c>
      <c r="D21" s="197" t="s">
        <v>132</v>
      </c>
      <c r="E21" s="196" t="s">
        <v>1</v>
      </c>
      <c r="F21" s="196" t="s">
        <v>120</v>
      </c>
      <c r="G21" s="198">
        <v>0.96430000000000005</v>
      </c>
      <c r="H21" s="199">
        <v>168</v>
      </c>
      <c r="I21" s="199">
        <v>162</v>
      </c>
      <c r="J21" s="199">
        <v>96</v>
      </c>
      <c r="K21" s="196" t="s">
        <v>121</v>
      </c>
      <c r="L21" s="200" t="s">
        <v>42</v>
      </c>
      <c r="M21" s="199">
        <v>0</v>
      </c>
      <c r="N21" s="199">
        <v>3</v>
      </c>
      <c r="O21" s="199">
        <v>25</v>
      </c>
      <c r="P21" s="196" t="s">
        <v>74</v>
      </c>
      <c r="Q21" s="192"/>
      <c r="R21" s="192"/>
      <c r="S21" s="192"/>
      <c r="T21" s="192"/>
      <c r="U21" s="192"/>
      <c r="V21" s="192"/>
      <c r="W21" s="192"/>
      <c r="X21" s="192"/>
      <c r="Y21" s="192"/>
      <c r="Z21" s="199" t="s">
        <v>184</v>
      </c>
      <c r="AA21" s="199" t="s">
        <v>208</v>
      </c>
      <c r="AB21" s="199" t="s">
        <v>209</v>
      </c>
      <c r="AC21" s="199" t="s">
        <v>178</v>
      </c>
      <c r="AD21" s="199" t="s">
        <v>126</v>
      </c>
      <c r="AE21" s="199" t="s">
        <v>154</v>
      </c>
      <c r="AF21" s="199" t="s">
        <v>128</v>
      </c>
      <c r="AG21" s="192"/>
      <c r="AH21" s="192"/>
      <c r="AI21" s="199" t="s">
        <v>210</v>
      </c>
      <c r="AJ21" s="199" t="s">
        <v>170</v>
      </c>
    </row>
    <row r="22" spans="1:36" x14ac:dyDescent="0.3">
      <c r="A22" s="194" t="s">
        <v>131</v>
      </c>
      <c r="B22" s="195">
        <v>46007</v>
      </c>
      <c r="C22" s="196" t="s">
        <v>40</v>
      </c>
      <c r="D22" s="197" t="s">
        <v>137</v>
      </c>
      <c r="E22" s="196" t="s">
        <v>1</v>
      </c>
      <c r="F22" s="196" t="s">
        <v>120</v>
      </c>
      <c r="G22" s="198">
        <v>0.90480000000000005</v>
      </c>
      <c r="H22" s="199">
        <v>168</v>
      </c>
      <c r="I22" s="199">
        <v>152</v>
      </c>
      <c r="J22" s="199">
        <v>90</v>
      </c>
      <c r="K22" s="196" t="s">
        <v>121</v>
      </c>
      <c r="L22" s="200" t="s">
        <v>42</v>
      </c>
      <c r="M22" s="199">
        <v>0</v>
      </c>
      <c r="N22" s="199">
        <v>2</v>
      </c>
      <c r="O22" s="199">
        <v>24</v>
      </c>
      <c r="P22" s="196" t="s">
        <v>76</v>
      </c>
      <c r="Q22" s="192"/>
      <c r="R22" s="192"/>
      <c r="S22" s="192"/>
      <c r="T22" s="192"/>
      <c r="U22" s="192"/>
      <c r="V22" s="192"/>
      <c r="W22" s="192"/>
      <c r="X22" s="192"/>
      <c r="Y22" s="192"/>
      <c r="Z22" s="199" t="s">
        <v>211</v>
      </c>
      <c r="AA22" s="199" t="s">
        <v>212</v>
      </c>
      <c r="AB22" s="199" t="s">
        <v>142</v>
      </c>
      <c r="AC22" s="199" t="s">
        <v>143</v>
      </c>
      <c r="AD22" s="199" t="s">
        <v>144</v>
      </c>
      <c r="AE22" s="199" t="s">
        <v>145</v>
      </c>
      <c r="AF22" s="199" t="s">
        <v>146</v>
      </c>
      <c r="AG22" s="192"/>
      <c r="AH22" s="192"/>
      <c r="AI22" s="199" t="s">
        <v>180</v>
      </c>
      <c r="AJ22" s="199" t="s">
        <v>170</v>
      </c>
    </row>
    <row r="23" spans="1:36" x14ac:dyDescent="0.3">
      <c r="A23" s="194" t="s">
        <v>131</v>
      </c>
      <c r="B23" s="195">
        <v>46007</v>
      </c>
      <c r="C23" s="196" t="s">
        <v>29</v>
      </c>
      <c r="D23" s="197" t="s">
        <v>147</v>
      </c>
      <c r="E23" s="196" t="s">
        <v>1</v>
      </c>
      <c r="F23" s="196" t="s">
        <v>120</v>
      </c>
      <c r="G23" s="198">
        <v>1</v>
      </c>
      <c r="H23" s="199">
        <v>168</v>
      </c>
      <c r="I23" s="199">
        <v>168</v>
      </c>
      <c r="J23" s="199">
        <v>135</v>
      </c>
      <c r="K23" s="196" t="s">
        <v>121</v>
      </c>
      <c r="L23" s="200" t="s">
        <v>78</v>
      </c>
      <c r="M23" s="199">
        <v>0</v>
      </c>
      <c r="N23" s="199">
        <v>0</v>
      </c>
      <c r="O23" s="199">
        <v>0</v>
      </c>
      <c r="P23" s="196" t="s">
        <v>33</v>
      </c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9" t="s">
        <v>213</v>
      </c>
      <c r="AE23" s="199" t="s">
        <v>127</v>
      </c>
      <c r="AF23" s="199" t="s">
        <v>128</v>
      </c>
      <c r="AG23" s="192"/>
      <c r="AH23" s="192"/>
      <c r="AI23" s="199" t="s">
        <v>189</v>
      </c>
      <c r="AJ23" s="192"/>
    </row>
    <row r="24" spans="1:36" x14ac:dyDescent="0.3">
      <c r="A24" s="194" t="s">
        <v>156</v>
      </c>
      <c r="B24" s="195">
        <v>46009</v>
      </c>
      <c r="C24" s="196" t="s">
        <v>29</v>
      </c>
      <c r="D24" s="197" t="s">
        <v>157</v>
      </c>
      <c r="E24" s="196" t="s">
        <v>1</v>
      </c>
      <c r="F24" s="196" t="s">
        <v>120</v>
      </c>
      <c r="G24" s="198">
        <v>0.98209999999999997</v>
      </c>
      <c r="H24" s="199">
        <v>168</v>
      </c>
      <c r="I24" s="199">
        <v>165</v>
      </c>
      <c r="J24" s="199">
        <v>100</v>
      </c>
      <c r="K24" s="196" t="s">
        <v>121</v>
      </c>
      <c r="L24" s="200" t="s">
        <v>42</v>
      </c>
      <c r="M24" s="199">
        <v>0</v>
      </c>
      <c r="N24" s="199">
        <v>4</v>
      </c>
      <c r="O24" s="199">
        <v>21</v>
      </c>
      <c r="P24" s="196" t="s">
        <v>80</v>
      </c>
      <c r="Q24" s="192"/>
      <c r="R24" s="192"/>
      <c r="S24" s="192"/>
      <c r="T24" s="192"/>
      <c r="U24" s="192"/>
      <c r="V24" s="192"/>
      <c r="W24" s="192"/>
      <c r="X24" s="192"/>
      <c r="Y24" s="192"/>
      <c r="Z24" s="199" t="s">
        <v>80</v>
      </c>
      <c r="AA24" s="199" t="s">
        <v>214</v>
      </c>
      <c r="AB24" s="199" t="s">
        <v>215</v>
      </c>
      <c r="AC24" s="199" t="s">
        <v>216</v>
      </c>
      <c r="AD24" s="199" t="s">
        <v>126</v>
      </c>
      <c r="AE24" s="199" t="s">
        <v>127</v>
      </c>
      <c r="AF24" s="199" t="s">
        <v>128</v>
      </c>
      <c r="AG24" s="192"/>
      <c r="AH24" s="192"/>
      <c r="AI24" s="199" t="s">
        <v>217</v>
      </c>
      <c r="AJ24" s="199" t="s">
        <v>163</v>
      </c>
    </row>
    <row r="25" spans="1:36" x14ac:dyDescent="0.3">
      <c r="A25" s="194" t="s">
        <v>164</v>
      </c>
      <c r="B25" s="195">
        <v>46011</v>
      </c>
      <c r="C25" s="196" t="s">
        <v>29</v>
      </c>
      <c r="D25" s="197" t="s">
        <v>165</v>
      </c>
      <c r="E25" s="196" t="s">
        <v>1</v>
      </c>
      <c r="F25" s="196" t="s">
        <v>120</v>
      </c>
      <c r="G25" s="198">
        <v>0.96430000000000005</v>
      </c>
      <c r="H25" s="199">
        <v>168</v>
      </c>
      <c r="I25" s="199">
        <v>162</v>
      </c>
      <c r="J25" s="199">
        <v>90</v>
      </c>
      <c r="K25" s="196" t="s">
        <v>121</v>
      </c>
      <c r="L25" s="200" t="s">
        <v>67</v>
      </c>
      <c r="M25" s="199">
        <v>0</v>
      </c>
      <c r="N25" s="199">
        <v>0</v>
      </c>
      <c r="O25" s="199">
        <v>12</v>
      </c>
      <c r="P25" s="196" t="s">
        <v>82</v>
      </c>
      <c r="Q25" s="192"/>
      <c r="R25" s="192"/>
      <c r="S25" s="192"/>
      <c r="T25" s="192"/>
      <c r="U25" s="192"/>
      <c r="V25" s="192"/>
      <c r="W25" s="192"/>
      <c r="X25" s="192"/>
      <c r="Y25" s="192"/>
      <c r="Z25" s="199" t="s">
        <v>140</v>
      </c>
      <c r="AA25" s="199" t="s">
        <v>214</v>
      </c>
      <c r="AB25" s="199" t="s">
        <v>215</v>
      </c>
      <c r="AC25" s="199" t="s">
        <v>216</v>
      </c>
      <c r="AD25" s="199" t="s">
        <v>126</v>
      </c>
      <c r="AE25" s="199" t="s">
        <v>127</v>
      </c>
      <c r="AF25" s="199" t="s">
        <v>128</v>
      </c>
      <c r="AG25" s="192"/>
      <c r="AH25" s="192"/>
      <c r="AI25" s="199" t="s">
        <v>180</v>
      </c>
      <c r="AJ25" s="199" t="s">
        <v>170</v>
      </c>
    </row>
    <row r="26" spans="1:36" x14ac:dyDescent="0.3">
      <c r="A26" s="194" t="s">
        <v>118</v>
      </c>
      <c r="B26" s="195">
        <v>46012</v>
      </c>
      <c r="C26" s="196" t="s">
        <v>29</v>
      </c>
      <c r="D26" s="197" t="s">
        <v>119</v>
      </c>
      <c r="E26" s="196" t="s">
        <v>1</v>
      </c>
      <c r="F26" s="196" t="s">
        <v>120</v>
      </c>
      <c r="G26" s="198">
        <v>1</v>
      </c>
      <c r="H26" s="199">
        <v>168</v>
      </c>
      <c r="I26" s="199">
        <v>168</v>
      </c>
      <c r="J26" s="199">
        <v>135</v>
      </c>
      <c r="K26" s="196" t="s">
        <v>121</v>
      </c>
      <c r="L26" s="200" t="s">
        <v>84</v>
      </c>
      <c r="M26" s="199">
        <v>0</v>
      </c>
      <c r="N26" s="199">
        <v>0</v>
      </c>
      <c r="O26" s="199">
        <v>0</v>
      </c>
      <c r="P26" s="196" t="s">
        <v>33</v>
      </c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9" t="s">
        <v>213</v>
      </c>
      <c r="AE26" s="199" t="s">
        <v>127</v>
      </c>
      <c r="AF26" s="199" t="s">
        <v>128</v>
      </c>
      <c r="AG26" s="192"/>
      <c r="AH26" s="192"/>
      <c r="AI26" s="199" t="s">
        <v>189</v>
      </c>
      <c r="AJ26" s="192"/>
    </row>
    <row r="27" spans="1:36" x14ac:dyDescent="0.3">
      <c r="A27" s="194" t="s">
        <v>131</v>
      </c>
      <c r="B27" s="195">
        <v>46014</v>
      </c>
      <c r="C27" s="196" t="s">
        <v>35</v>
      </c>
      <c r="D27" s="197" t="s">
        <v>132</v>
      </c>
      <c r="E27" s="196" t="s">
        <v>1</v>
      </c>
      <c r="F27" s="196" t="s">
        <v>120</v>
      </c>
      <c r="G27" s="198">
        <v>1.0476000000000001</v>
      </c>
      <c r="H27" s="199">
        <v>168</v>
      </c>
      <c r="I27" s="199">
        <v>176</v>
      </c>
      <c r="J27" s="199">
        <v>135</v>
      </c>
      <c r="K27" s="196" t="s">
        <v>121</v>
      </c>
      <c r="L27" s="200" t="s">
        <v>85</v>
      </c>
      <c r="M27" s="199">
        <v>0</v>
      </c>
      <c r="N27" s="199">
        <v>0</v>
      </c>
      <c r="O27" s="199">
        <v>6</v>
      </c>
      <c r="P27" s="196" t="s">
        <v>33</v>
      </c>
      <c r="Q27" s="192"/>
      <c r="R27" s="192"/>
      <c r="S27" s="192"/>
      <c r="T27" s="192"/>
      <c r="U27" s="192"/>
      <c r="V27" s="192"/>
      <c r="W27" s="192"/>
      <c r="X27" s="192"/>
      <c r="Y27" s="192"/>
      <c r="Z27" s="199" t="s">
        <v>211</v>
      </c>
      <c r="AA27" s="192"/>
      <c r="AB27" s="192"/>
      <c r="AC27" s="199" t="s">
        <v>218</v>
      </c>
      <c r="AD27" s="199" t="s">
        <v>126</v>
      </c>
      <c r="AE27" s="199" t="s">
        <v>154</v>
      </c>
      <c r="AF27" s="199" t="s">
        <v>128</v>
      </c>
      <c r="AG27" s="192"/>
      <c r="AH27" s="192"/>
      <c r="AI27" s="199" t="s">
        <v>189</v>
      </c>
      <c r="AJ27" s="192"/>
    </row>
    <row r="28" spans="1:36" x14ac:dyDescent="0.3">
      <c r="A28" s="194" t="s">
        <v>131</v>
      </c>
      <c r="B28" s="195">
        <v>46014</v>
      </c>
      <c r="C28" s="196" t="s">
        <v>29</v>
      </c>
      <c r="D28" s="197" t="s">
        <v>147</v>
      </c>
      <c r="E28" s="196" t="s">
        <v>1</v>
      </c>
      <c r="F28" s="196" t="s">
        <v>120</v>
      </c>
      <c r="G28" s="198">
        <v>1</v>
      </c>
      <c r="H28" s="199">
        <v>168</v>
      </c>
      <c r="I28" s="199">
        <v>168</v>
      </c>
      <c r="J28" s="199">
        <v>135</v>
      </c>
      <c r="K28" s="196" t="s">
        <v>121</v>
      </c>
      <c r="L28" s="200" t="s">
        <v>57</v>
      </c>
      <c r="M28" s="199">
        <v>0</v>
      </c>
      <c r="N28" s="199">
        <v>0</v>
      </c>
      <c r="O28" s="199">
        <v>0</v>
      </c>
      <c r="P28" s="196" t="s">
        <v>33</v>
      </c>
      <c r="Q28" s="192"/>
      <c r="R28" s="192"/>
      <c r="S28" s="192"/>
      <c r="T28" s="192"/>
      <c r="U28" s="192"/>
      <c r="V28" s="192"/>
      <c r="W28" s="192"/>
      <c r="X28" s="192"/>
      <c r="Y28" s="192"/>
      <c r="Z28" s="199" t="s">
        <v>160</v>
      </c>
      <c r="AA28" s="192"/>
      <c r="AB28" s="192"/>
      <c r="AC28" s="192"/>
      <c r="AD28" s="199" t="s">
        <v>161</v>
      </c>
      <c r="AE28" s="199" t="s">
        <v>127</v>
      </c>
      <c r="AF28" s="199" t="s">
        <v>128</v>
      </c>
      <c r="AG28" s="192"/>
      <c r="AH28" s="192"/>
      <c r="AI28" s="199" t="s">
        <v>189</v>
      </c>
      <c r="AJ28" s="192"/>
    </row>
    <row r="29" spans="1:36" x14ac:dyDescent="0.3">
      <c r="A29" s="194" t="s">
        <v>156</v>
      </c>
      <c r="B29" s="195">
        <v>46016</v>
      </c>
      <c r="C29" s="196" t="s">
        <v>29</v>
      </c>
      <c r="D29" s="197" t="s">
        <v>157</v>
      </c>
      <c r="E29" s="196" t="s">
        <v>1</v>
      </c>
      <c r="F29" s="196" t="s">
        <v>120</v>
      </c>
      <c r="G29" s="198">
        <v>0.91669999999999996</v>
      </c>
      <c r="H29" s="199">
        <v>168</v>
      </c>
      <c r="I29" s="199">
        <v>154</v>
      </c>
      <c r="J29" s="199">
        <v>90</v>
      </c>
      <c r="K29" s="196" t="s">
        <v>121</v>
      </c>
      <c r="L29" s="200" t="s">
        <v>42</v>
      </c>
      <c r="M29" s="199">
        <v>0</v>
      </c>
      <c r="N29" s="199">
        <v>5</v>
      </c>
      <c r="O29" s="199">
        <v>20</v>
      </c>
      <c r="P29" s="196" t="s">
        <v>74</v>
      </c>
      <c r="Q29" s="192"/>
      <c r="R29" s="192"/>
      <c r="S29" s="192"/>
      <c r="T29" s="192"/>
      <c r="U29" s="192"/>
      <c r="V29" s="192"/>
      <c r="W29" s="192"/>
      <c r="X29" s="192"/>
      <c r="Y29" s="192"/>
      <c r="Z29" s="199" t="s">
        <v>177</v>
      </c>
      <c r="AA29" s="199" t="s">
        <v>208</v>
      </c>
      <c r="AB29" s="199" t="s">
        <v>215</v>
      </c>
      <c r="AC29" s="199" t="s">
        <v>216</v>
      </c>
      <c r="AD29" s="199" t="s">
        <v>126</v>
      </c>
      <c r="AE29" s="199" t="s">
        <v>127</v>
      </c>
      <c r="AF29" s="199" t="s">
        <v>128</v>
      </c>
      <c r="AG29" s="192"/>
      <c r="AH29" s="192"/>
      <c r="AI29" s="199" t="s">
        <v>180</v>
      </c>
      <c r="AJ29" s="192"/>
    </row>
    <row r="30" spans="1:36" ht="21" x14ac:dyDescent="0.3">
      <c r="A30" s="201" t="s">
        <v>338</v>
      </c>
      <c r="B30" s="202"/>
      <c r="C30" s="201">
        <f>SUBTOTAL(103,MED_CAI_LF_LEGACY[Flt])</f>
        <v>28</v>
      </c>
      <c r="D30" s="201"/>
      <c r="E30" s="201">
        <f>SUBTOTAL(103,MED_CAI_LF_LEGACY[Brd-Off])</f>
        <v>28</v>
      </c>
      <c r="F30" s="201"/>
      <c r="G30" s="203">
        <f>SUBTOTAL(101,MED_CAI_LF_LEGACY[LF%])</f>
        <v>0.96869285714285724</v>
      </c>
      <c r="H30" s="204">
        <f>SUBTOTAL(109,MED_CAI_LF_LEGACY[CAP])</f>
        <v>4756</v>
      </c>
      <c r="I30" s="204">
        <f>SUBTOTAL(109,MED_CAI_LF_LEGACY[BKG(Y)])</f>
        <v>4607</v>
      </c>
      <c r="J30" s="204">
        <f>SUBTOTAL(109,MED_CAI_LF_LEGACY[GRP(Y)])</f>
        <v>3214</v>
      </c>
      <c r="K30" s="201"/>
      <c r="L30" s="202"/>
      <c r="M30" s="204">
        <f>SUBTOTAL(109,MED_CAI_LF_LEGACY[TO-DAY])</f>
        <v>0</v>
      </c>
      <c r="N30" s="204">
        <f>SUBTOTAL(109,MED_CAI_LF_LEGACY[Y-DAY])</f>
        <v>20</v>
      </c>
      <c r="O30" s="204">
        <f>SUBTOTAL(109,MED_CAI_LF_LEGACY[WEEKLY])</f>
        <v>326</v>
      </c>
      <c r="P30" s="205"/>
      <c r="Q30" s="204">
        <f>SUBTOTAL(109,MED_CAI_LF_LEGACY[Y])</f>
        <v>0</v>
      </c>
      <c r="R30" s="204">
        <f>SUBTOTAL(109,MED_CAI_LF_LEGACY[B])</f>
        <v>0</v>
      </c>
      <c r="S30" s="204">
        <f>SUBTOTAL(109,MED_CAI_LF_LEGACY[M])</f>
        <v>0</v>
      </c>
      <c r="T30" s="204">
        <f>SUBTOTAL(109,MED_CAI_LF_LEGACY[H])</f>
        <v>0</v>
      </c>
      <c r="U30" s="204">
        <f>SUBTOTAL(109,MED_CAI_LF_LEGACY[Q])</f>
        <v>0</v>
      </c>
      <c r="V30" s="204">
        <f>SUBTOTAL(109,MED_CAI_LF_LEGACY[K])</f>
        <v>0</v>
      </c>
      <c r="W30" s="204">
        <f>SUBTOTAL(109,MED_CAI_LF_LEGACY[V])</f>
        <v>0</v>
      </c>
      <c r="X30" s="204">
        <f>SUBTOTAL(109,MED_CAI_LF_LEGACY[L])</f>
        <v>0</v>
      </c>
      <c r="Y30" s="204">
        <f>SUBTOTAL(109,MED_CAI_LF_LEGACY[G])</f>
        <v>0</v>
      </c>
      <c r="Z30" s="204">
        <f>SUBTOTAL(109,MED_CAI_LF_LEGACY[S])</f>
        <v>0</v>
      </c>
      <c r="AA30" s="204">
        <f>SUBTOTAL(109,MED_CAI_LF_LEGACY[W])</f>
        <v>0</v>
      </c>
      <c r="AB30" s="204">
        <f>SUBTOTAL(109,MED_CAI_LF_LEGACY[T])</f>
        <v>0</v>
      </c>
      <c r="AC30" s="204">
        <f>SUBTOTAL(109,MED_CAI_LF_LEGACY[X])</f>
        <v>0</v>
      </c>
      <c r="AD30" s="204">
        <f>SUBTOTAL(109,MED_CAI_LF_LEGACY[U])</f>
        <v>0</v>
      </c>
      <c r="AE30" s="204">
        <f>SUBTOTAL(109,MED_CAI_LF_LEGACY[O])</f>
        <v>0</v>
      </c>
      <c r="AF30" s="204">
        <f>SUBTOTAL(109,MED_CAI_LF_LEGACY[I])</f>
        <v>0</v>
      </c>
      <c r="AG30" s="204">
        <f>SUBTOTAL(109,MED_CAI_LF_LEGACY[E])</f>
        <v>0</v>
      </c>
      <c r="AH30" s="204">
        <f>SUBTOTAL(109,MED_CAI_LF_LEGACY[A])</f>
        <v>0</v>
      </c>
      <c r="AI30" s="204">
        <f>SUBTOTAL(109,MED_CAI_LF_LEGACY[P])</f>
        <v>0</v>
      </c>
      <c r="AJ30" s="204">
        <f>SUBTOTAL(103,MED_CAI_LF_LEGACY[N])</f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8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2.21875" bestFit="1" customWidth="1"/>
  </cols>
  <sheetData>
    <row r="1" spans="1:92" ht="28.8" customHeight="1" x14ac:dyDescent="0.3">
      <c r="A1" s="181" t="s">
        <v>0</v>
      </c>
      <c r="B1" s="180"/>
      <c r="C1" s="180"/>
      <c r="D1" s="180"/>
      <c r="E1" s="180"/>
      <c r="F1" s="1" t="s">
        <v>219</v>
      </c>
      <c r="G1" s="2" t="s">
        <v>2</v>
      </c>
      <c r="H1" s="179" t="s">
        <v>3</v>
      </c>
      <c r="I1" s="180"/>
      <c r="J1" s="180"/>
      <c r="K1" s="180"/>
      <c r="L1" s="180"/>
      <c r="M1" s="1" t="s">
        <v>4</v>
      </c>
      <c r="N1" s="187" t="s">
        <v>5</v>
      </c>
      <c r="O1" s="180"/>
      <c r="P1" s="180"/>
      <c r="Q1" s="180"/>
      <c r="R1" s="180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6</v>
      </c>
      <c r="B2" s="180"/>
      <c r="C2" s="180"/>
      <c r="D2" s="180"/>
      <c r="E2" s="180"/>
      <c r="F2" s="180"/>
      <c r="G2" s="186">
        <v>45984.228420442443</v>
      </c>
      <c r="H2" s="180"/>
      <c r="I2" s="180"/>
      <c r="J2" s="180"/>
      <c r="K2" s="188">
        <v>45984.228420443018</v>
      </c>
      <c r="L2" s="180"/>
      <c r="M2" s="180"/>
      <c r="N2" s="180"/>
      <c r="O2" s="180"/>
      <c r="P2" s="180"/>
      <c r="Q2" s="180"/>
      <c r="R2" s="1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0" t="s">
        <v>7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1" t="s">
        <v>8</v>
      </c>
      <c r="B4" s="175"/>
      <c r="C4" s="175"/>
      <c r="D4" s="175"/>
      <c r="E4" s="175"/>
      <c r="F4" s="176"/>
      <c r="G4" s="4">
        <v>45984</v>
      </c>
      <c r="H4" s="189" t="s">
        <v>9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9" t="s">
        <v>28</v>
      </c>
      <c r="B6" s="69" t="s">
        <v>220</v>
      </c>
      <c r="C6" s="70">
        <v>0.40277777777777768</v>
      </c>
      <c r="D6" s="69" t="s">
        <v>30</v>
      </c>
      <c r="E6" s="71"/>
      <c r="F6" s="69" t="s">
        <v>31</v>
      </c>
      <c r="G6" s="183"/>
      <c r="H6" s="72" t="s">
        <v>220</v>
      </c>
      <c r="I6" s="73">
        <v>1</v>
      </c>
      <c r="J6" s="74">
        <v>179</v>
      </c>
      <c r="K6" s="75" t="s">
        <v>46</v>
      </c>
      <c r="L6" s="74">
        <v>5</v>
      </c>
      <c r="M6" s="74">
        <v>0</v>
      </c>
      <c r="N6" s="74">
        <v>0</v>
      </c>
      <c r="O6" s="76" t="s">
        <v>33</v>
      </c>
      <c r="P6" s="77">
        <v>0.40277777777777768</v>
      </c>
      <c r="Q6" s="74">
        <v>179</v>
      </c>
      <c r="R6" s="78" t="s">
        <v>221</v>
      </c>
    </row>
    <row r="7" spans="1:92" ht="17.399999999999999" customHeight="1" thickBot="1" x14ac:dyDescent="0.35">
      <c r="A7" s="206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8"/>
    </row>
    <row r="8" spans="1:92" ht="22.05" customHeight="1" thickTop="1" thickBot="1" x14ac:dyDescent="0.35">
      <c r="A8" s="182" t="s">
        <v>8</v>
      </c>
      <c r="B8" s="175"/>
      <c r="C8" s="175"/>
      <c r="D8" s="175"/>
      <c r="E8" s="175"/>
      <c r="F8" s="176"/>
      <c r="G8" s="18">
        <v>45986</v>
      </c>
      <c r="H8" s="174" t="s">
        <v>9</v>
      </c>
      <c r="I8" s="175"/>
      <c r="J8" s="175"/>
      <c r="K8" s="175"/>
      <c r="L8" s="175"/>
      <c r="M8" s="175"/>
      <c r="N8" s="175"/>
      <c r="O8" s="175"/>
      <c r="P8" s="175"/>
      <c r="Q8" s="175"/>
      <c r="R8" s="176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157" t="s">
        <v>28</v>
      </c>
      <c r="B10" s="157" t="s">
        <v>220</v>
      </c>
      <c r="C10" s="158">
        <v>0.3263888888888889</v>
      </c>
      <c r="D10" s="157" t="s">
        <v>30</v>
      </c>
      <c r="E10" s="159"/>
      <c r="F10" s="157" t="s">
        <v>45</v>
      </c>
      <c r="G10" s="177"/>
      <c r="H10" s="150" t="s">
        <v>220</v>
      </c>
      <c r="I10" s="151">
        <v>0.98319999999999996</v>
      </c>
      <c r="J10" s="152">
        <v>176</v>
      </c>
      <c r="K10" s="153" t="s">
        <v>42</v>
      </c>
      <c r="L10" s="152">
        <v>13</v>
      </c>
      <c r="M10" s="152">
        <v>0</v>
      </c>
      <c r="N10" s="152">
        <v>1</v>
      </c>
      <c r="O10" s="154" t="s">
        <v>222</v>
      </c>
      <c r="P10" s="155">
        <v>0.3263888888888889</v>
      </c>
      <c r="Q10" s="152">
        <v>179</v>
      </c>
      <c r="R10" s="156" t="s">
        <v>223</v>
      </c>
    </row>
    <row r="11" spans="1:92" ht="17.399999999999999" customHeight="1" thickBot="1" x14ac:dyDescent="0.35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8"/>
    </row>
    <row r="12" spans="1:92" ht="22.05" customHeight="1" thickTop="1" thickBot="1" x14ac:dyDescent="0.35">
      <c r="A12" s="182" t="s">
        <v>8</v>
      </c>
      <c r="B12" s="175"/>
      <c r="C12" s="175"/>
      <c r="D12" s="175"/>
      <c r="E12" s="175"/>
      <c r="F12" s="176"/>
      <c r="G12" s="18">
        <v>45987</v>
      </c>
      <c r="H12" s="174" t="s">
        <v>9</v>
      </c>
      <c r="I12" s="175"/>
      <c r="J12" s="175"/>
      <c r="K12" s="175"/>
      <c r="L12" s="175"/>
      <c r="M12" s="175"/>
      <c r="N12" s="175"/>
      <c r="O12" s="175"/>
      <c r="P12" s="175"/>
      <c r="Q12" s="175"/>
      <c r="R12" s="176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160" t="s">
        <v>28</v>
      </c>
      <c r="B14" s="160" t="s">
        <v>220</v>
      </c>
      <c r="C14" s="161">
        <v>0.94444444444444453</v>
      </c>
      <c r="D14" s="160" t="s">
        <v>30</v>
      </c>
      <c r="E14" s="162"/>
      <c r="F14" s="160" t="s">
        <v>36</v>
      </c>
      <c r="G14" s="177"/>
      <c r="H14" s="99" t="s">
        <v>220</v>
      </c>
      <c r="I14" s="100">
        <v>0.94410000000000005</v>
      </c>
      <c r="J14" s="101">
        <v>169</v>
      </c>
      <c r="K14" s="102" t="s">
        <v>49</v>
      </c>
      <c r="L14" s="101">
        <v>2</v>
      </c>
      <c r="M14" s="101">
        <v>0</v>
      </c>
      <c r="N14" s="101">
        <v>0</v>
      </c>
      <c r="O14" s="103" t="s">
        <v>224</v>
      </c>
      <c r="P14" s="104">
        <v>0.94444444444444453</v>
      </c>
      <c r="Q14" s="101">
        <v>179</v>
      </c>
      <c r="R14" s="105" t="s">
        <v>225</v>
      </c>
    </row>
    <row r="15" spans="1:92" ht="17.399999999999999" customHeight="1" thickBot="1" x14ac:dyDescent="0.35">
      <c r="A15" s="206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8"/>
    </row>
    <row r="16" spans="1:92" ht="22.05" customHeight="1" thickTop="1" thickBot="1" x14ac:dyDescent="0.35">
      <c r="A16" s="182" t="s">
        <v>8</v>
      </c>
      <c r="B16" s="175"/>
      <c r="C16" s="175"/>
      <c r="D16" s="175"/>
      <c r="E16" s="175"/>
      <c r="F16" s="176"/>
      <c r="G16" s="18">
        <v>45988</v>
      </c>
      <c r="H16" s="174" t="s">
        <v>9</v>
      </c>
      <c r="I16" s="175"/>
      <c r="J16" s="175"/>
      <c r="K16" s="175"/>
      <c r="L16" s="175"/>
      <c r="M16" s="175"/>
      <c r="N16" s="175"/>
      <c r="O16" s="175"/>
      <c r="P16" s="175"/>
      <c r="Q16" s="175"/>
      <c r="R16" s="176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9" t="s">
        <v>28</v>
      </c>
      <c r="B18" s="69" t="s">
        <v>220</v>
      </c>
      <c r="C18" s="70">
        <v>0.64583333333333337</v>
      </c>
      <c r="D18" s="69" t="s">
        <v>30</v>
      </c>
      <c r="E18" s="71"/>
      <c r="F18" s="69" t="s">
        <v>45</v>
      </c>
      <c r="G18" s="177"/>
      <c r="H18" s="72" t="s">
        <v>220</v>
      </c>
      <c r="I18" s="73">
        <v>0.97770000000000001</v>
      </c>
      <c r="J18" s="74">
        <v>175</v>
      </c>
      <c r="K18" s="75" t="s">
        <v>49</v>
      </c>
      <c r="L18" s="74">
        <v>7</v>
      </c>
      <c r="M18" s="74">
        <v>0</v>
      </c>
      <c r="N18" s="74">
        <v>0</v>
      </c>
      <c r="O18" s="76" t="s">
        <v>226</v>
      </c>
      <c r="P18" s="77">
        <v>0.64583333333333337</v>
      </c>
      <c r="Q18" s="74">
        <v>179</v>
      </c>
      <c r="R18" s="78" t="s">
        <v>227</v>
      </c>
    </row>
    <row r="19" spans="1:18" ht="17.399999999999999" customHeight="1" thickBot="1" x14ac:dyDescent="0.35">
      <c r="A19" s="206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8"/>
    </row>
    <row r="20" spans="1:18" ht="22.05" customHeight="1" thickTop="1" thickBot="1" x14ac:dyDescent="0.35">
      <c r="A20" s="182" t="s">
        <v>8</v>
      </c>
      <c r="B20" s="175"/>
      <c r="C20" s="175"/>
      <c r="D20" s="175"/>
      <c r="E20" s="175"/>
      <c r="F20" s="176"/>
      <c r="G20" s="18">
        <v>45991</v>
      </c>
      <c r="H20" s="174" t="s">
        <v>9</v>
      </c>
      <c r="I20" s="175"/>
      <c r="J20" s="175"/>
      <c r="K20" s="175"/>
      <c r="L20" s="175"/>
      <c r="M20" s="175"/>
      <c r="N20" s="175"/>
      <c r="O20" s="175"/>
      <c r="P20" s="175"/>
      <c r="Q20" s="175"/>
      <c r="R20" s="176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9" t="s">
        <v>28</v>
      </c>
      <c r="B22" s="59" t="s">
        <v>220</v>
      </c>
      <c r="C22" s="60">
        <v>0.40277777777777768</v>
      </c>
      <c r="D22" s="59" t="s">
        <v>30</v>
      </c>
      <c r="E22" s="61"/>
      <c r="F22" s="59" t="s">
        <v>36</v>
      </c>
      <c r="G22" s="177"/>
      <c r="H22" s="62" t="s">
        <v>220</v>
      </c>
      <c r="I22" s="63">
        <v>0.94969999999999999</v>
      </c>
      <c r="J22" s="64">
        <v>170</v>
      </c>
      <c r="K22" s="65" t="s">
        <v>49</v>
      </c>
      <c r="L22" s="64">
        <v>6</v>
      </c>
      <c r="M22" s="64">
        <v>0</v>
      </c>
      <c r="N22" s="64">
        <v>0</v>
      </c>
      <c r="O22" s="66" t="s">
        <v>228</v>
      </c>
      <c r="P22" s="67">
        <v>0.40277777777777768</v>
      </c>
      <c r="Q22" s="64">
        <v>179</v>
      </c>
      <c r="R22" s="68" t="s">
        <v>229</v>
      </c>
    </row>
    <row r="23" spans="1:18" ht="17.399999999999999" customHeight="1" thickBot="1" x14ac:dyDescent="0.35">
      <c r="A23" s="206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8"/>
    </row>
    <row r="24" spans="1:18" ht="22.05" customHeight="1" thickTop="1" thickBot="1" x14ac:dyDescent="0.35">
      <c r="A24" s="182" t="s">
        <v>8</v>
      </c>
      <c r="B24" s="175"/>
      <c r="C24" s="175"/>
      <c r="D24" s="175"/>
      <c r="E24" s="175"/>
      <c r="F24" s="176"/>
      <c r="G24" s="18">
        <v>45993</v>
      </c>
      <c r="H24" s="174" t="s">
        <v>9</v>
      </c>
      <c r="I24" s="175"/>
      <c r="J24" s="175"/>
      <c r="K24" s="175"/>
      <c r="L24" s="175"/>
      <c r="M24" s="175"/>
      <c r="N24" s="175"/>
      <c r="O24" s="175"/>
      <c r="P24" s="175"/>
      <c r="Q24" s="175"/>
      <c r="R24" s="176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160" t="s">
        <v>28</v>
      </c>
      <c r="B26" s="160" t="s">
        <v>220</v>
      </c>
      <c r="C26" s="161">
        <v>0.3263888888888889</v>
      </c>
      <c r="D26" s="160" t="s">
        <v>30</v>
      </c>
      <c r="E26" s="162"/>
      <c r="F26" s="160" t="s">
        <v>31</v>
      </c>
      <c r="G26" s="183"/>
      <c r="H26" s="99" t="s">
        <v>220</v>
      </c>
      <c r="I26" s="100">
        <v>1</v>
      </c>
      <c r="J26" s="101">
        <v>179</v>
      </c>
      <c r="K26" s="102" t="s">
        <v>230</v>
      </c>
      <c r="L26" s="101">
        <v>3</v>
      </c>
      <c r="M26" s="101">
        <v>0</v>
      </c>
      <c r="N26" s="101">
        <v>0</v>
      </c>
      <c r="O26" s="103" t="s">
        <v>33</v>
      </c>
      <c r="P26" s="104">
        <v>0.3263888888888889</v>
      </c>
      <c r="Q26" s="101">
        <v>179</v>
      </c>
      <c r="R26" s="105" t="s">
        <v>231</v>
      </c>
    </row>
    <row r="27" spans="1:18" ht="17.399999999999999" customHeight="1" thickBot="1" x14ac:dyDescent="0.35">
      <c r="A27" s="206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8"/>
    </row>
    <row r="28" spans="1:18" ht="22.05" customHeight="1" thickTop="1" thickBot="1" x14ac:dyDescent="0.35">
      <c r="A28" s="182" t="s">
        <v>8</v>
      </c>
      <c r="B28" s="175"/>
      <c r="C28" s="175"/>
      <c r="D28" s="175"/>
      <c r="E28" s="175"/>
      <c r="F28" s="176"/>
      <c r="G28" s="18">
        <v>45994</v>
      </c>
      <c r="H28" s="174" t="s">
        <v>9</v>
      </c>
      <c r="I28" s="175"/>
      <c r="J28" s="175"/>
      <c r="K28" s="175"/>
      <c r="L28" s="175"/>
      <c r="M28" s="175"/>
      <c r="N28" s="175"/>
      <c r="O28" s="175"/>
      <c r="P28" s="175"/>
      <c r="Q28" s="175"/>
      <c r="R28" s="176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9" t="s">
        <v>28</v>
      </c>
      <c r="B30" s="69" t="s">
        <v>220</v>
      </c>
      <c r="C30" s="70">
        <v>0.94444444444444453</v>
      </c>
      <c r="D30" s="69" t="s">
        <v>30</v>
      </c>
      <c r="E30" s="71"/>
      <c r="F30" s="69" t="s">
        <v>31</v>
      </c>
      <c r="G30" s="177"/>
      <c r="H30" s="72" t="s">
        <v>220</v>
      </c>
      <c r="I30" s="73">
        <v>1</v>
      </c>
      <c r="J30" s="74">
        <v>179</v>
      </c>
      <c r="K30" s="75" t="s">
        <v>230</v>
      </c>
      <c r="L30" s="74">
        <v>1</v>
      </c>
      <c r="M30" s="74">
        <v>0</v>
      </c>
      <c r="N30" s="74">
        <v>0</v>
      </c>
      <c r="O30" s="76" t="s">
        <v>33</v>
      </c>
      <c r="P30" s="77">
        <v>0.94444444444444453</v>
      </c>
      <c r="Q30" s="74">
        <v>179</v>
      </c>
      <c r="R30" s="78" t="s">
        <v>232</v>
      </c>
    </row>
    <row r="31" spans="1:18" ht="17.399999999999999" customHeight="1" thickBot="1" x14ac:dyDescent="0.35">
      <c r="A31" s="206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8"/>
    </row>
    <row r="32" spans="1:18" ht="22.05" customHeight="1" thickTop="1" thickBot="1" x14ac:dyDescent="0.35">
      <c r="A32" s="182" t="s">
        <v>8</v>
      </c>
      <c r="B32" s="175"/>
      <c r="C32" s="175"/>
      <c r="D32" s="175"/>
      <c r="E32" s="175"/>
      <c r="F32" s="176"/>
      <c r="G32" s="18">
        <v>45995</v>
      </c>
      <c r="H32" s="174" t="s">
        <v>9</v>
      </c>
      <c r="I32" s="175"/>
      <c r="J32" s="175"/>
      <c r="K32" s="175"/>
      <c r="L32" s="175"/>
      <c r="M32" s="175"/>
      <c r="N32" s="175"/>
      <c r="O32" s="175"/>
      <c r="P32" s="175"/>
      <c r="Q32" s="175"/>
      <c r="R32" s="176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106" t="s">
        <v>28</v>
      </c>
      <c r="B34" s="106" t="s">
        <v>220</v>
      </c>
      <c r="C34" s="107">
        <v>0.64583333333333337</v>
      </c>
      <c r="D34" s="106" t="s">
        <v>30</v>
      </c>
      <c r="E34" s="108"/>
      <c r="F34" s="106" t="s">
        <v>36</v>
      </c>
      <c r="G34" s="183"/>
      <c r="H34" s="109" t="s">
        <v>220</v>
      </c>
      <c r="I34" s="110">
        <v>0.94410000000000005</v>
      </c>
      <c r="J34" s="111">
        <v>169</v>
      </c>
      <c r="K34" s="112" t="s">
        <v>85</v>
      </c>
      <c r="L34" s="111">
        <v>9</v>
      </c>
      <c r="M34" s="111">
        <v>0</v>
      </c>
      <c r="N34" s="111">
        <v>0</v>
      </c>
      <c r="O34" s="113" t="s">
        <v>233</v>
      </c>
      <c r="P34" s="114">
        <v>0.64583333333333337</v>
      </c>
      <c r="Q34" s="111">
        <v>179</v>
      </c>
      <c r="R34" s="115" t="s">
        <v>234</v>
      </c>
    </row>
    <row r="35" spans="1:18" ht="17.399999999999999" customHeight="1" thickBot="1" x14ac:dyDescent="0.35">
      <c r="A35" s="206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</row>
    <row r="36" spans="1:18" ht="22.05" customHeight="1" thickTop="1" thickBot="1" x14ac:dyDescent="0.35">
      <c r="A36" s="182" t="s">
        <v>8</v>
      </c>
      <c r="B36" s="175"/>
      <c r="C36" s="175"/>
      <c r="D36" s="175"/>
      <c r="E36" s="175"/>
      <c r="F36" s="176"/>
      <c r="G36" s="18">
        <v>45998</v>
      </c>
      <c r="H36" s="174" t="s">
        <v>9</v>
      </c>
      <c r="I36" s="175"/>
      <c r="J36" s="175"/>
      <c r="K36" s="175"/>
      <c r="L36" s="175"/>
      <c r="M36" s="175"/>
      <c r="N36" s="175"/>
      <c r="O36" s="175"/>
      <c r="P36" s="175"/>
      <c r="Q36" s="175"/>
      <c r="R36" s="176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56" t="s">
        <v>28</v>
      </c>
      <c r="B38" s="56" t="s">
        <v>220</v>
      </c>
      <c r="C38" s="57">
        <v>0.40277777777777768</v>
      </c>
      <c r="D38" s="56" t="s">
        <v>30</v>
      </c>
      <c r="E38" s="58"/>
      <c r="F38" s="56" t="s">
        <v>45</v>
      </c>
      <c r="G38" s="177"/>
      <c r="H38" s="49" t="s">
        <v>220</v>
      </c>
      <c r="I38" s="50">
        <v>0.95530000000000004</v>
      </c>
      <c r="J38" s="51">
        <v>171</v>
      </c>
      <c r="K38" s="52" t="s">
        <v>49</v>
      </c>
      <c r="L38" s="51">
        <v>6</v>
      </c>
      <c r="M38" s="51">
        <v>0</v>
      </c>
      <c r="N38" s="51">
        <v>0</v>
      </c>
      <c r="O38" s="53" t="s">
        <v>235</v>
      </c>
      <c r="P38" s="54">
        <v>0.40277777777777768</v>
      </c>
      <c r="Q38" s="51">
        <v>179</v>
      </c>
      <c r="R38" s="55" t="s">
        <v>236</v>
      </c>
    </row>
    <row r="39" spans="1:18" ht="17.399999999999999" customHeight="1" thickBot="1" x14ac:dyDescent="0.35">
      <c r="A39" s="206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8"/>
    </row>
    <row r="40" spans="1:18" ht="22.05" customHeight="1" thickTop="1" thickBot="1" x14ac:dyDescent="0.35">
      <c r="A40" s="182" t="s">
        <v>8</v>
      </c>
      <c r="B40" s="175"/>
      <c r="C40" s="175"/>
      <c r="D40" s="175"/>
      <c r="E40" s="175"/>
      <c r="F40" s="176"/>
      <c r="G40" s="18">
        <v>46000</v>
      </c>
      <c r="H40" s="174" t="s">
        <v>9</v>
      </c>
      <c r="I40" s="175"/>
      <c r="J40" s="175"/>
      <c r="K40" s="175"/>
      <c r="L40" s="175"/>
      <c r="M40" s="175"/>
      <c r="N40" s="175"/>
      <c r="O40" s="175"/>
      <c r="P40" s="175"/>
      <c r="Q40" s="175"/>
      <c r="R40" s="176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220</v>
      </c>
      <c r="C42" s="9">
        <v>0.3263888888888889</v>
      </c>
      <c r="D42" s="8" t="s">
        <v>30</v>
      </c>
      <c r="E42" s="10"/>
      <c r="F42" s="8" t="s">
        <v>45</v>
      </c>
      <c r="G42" s="177"/>
      <c r="H42" s="11" t="s">
        <v>220</v>
      </c>
      <c r="I42" s="12">
        <v>0.97770000000000001</v>
      </c>
      <c r="J42" s="13">
        <v>175</v>
      </c>
      <c r="K42" s="14" t="s">
        <v>42</v>
      </c>
      <c r="L42" s="13">
        <v>8</v>
      </c>
      <c r="M42" s="13">
        <v>0</v>
      </c>
      <c r="N42" s="13">
        <v>2</v>
      </c>
      <c r="O42" s="15" t="s">
        <v>235</v>
      </c>
      <c r="P42" s="16">
        <v>0.3263888888888889</v>
      </c>
      <c r="Q42" s="13">
        <v>179</v>
      </c>
      <c r="R42" s="17" t="s">
        <v>237</v>
      </c>
    </row>
    <row r="43" spans="1:18" ht="17.399999999999999" customHeight="1" thickBot="1" x14ac:dyDescent="0.35">
      <c r="A43" s="206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8"/>
    </row>
    <row r="44" spans="1:18" ht="22.05" customHeight="1" thickTop="1" thickBot="1" x14ac:dyDescent="0.35">
      <c r="A44" s="182" t="s">
        <v>8</v>
      </c>
      <c r="B44" s="175"/>
      <c r="C44" s="175"/>
      <c r="D44" s="175"/>
      <c r="E44" s="175"/>
      <c r="F44" s="176"/>
      <c r="G44" s="18">
        <v>46001</v>
      </c>
      <c r="H44" s="174" t="s">
        <v>9</v>
      </c>
      <c r="I44" s="175"/>
      <c r="J44" s="175"/>
      <c r="K44" s="175"/>
      <c r="L44" s="175"/>
      <c r="M44" s="175"/>
      <c r="N44" s="175"/>
      <c r="O44" s="175"/>
      <c r="P44" s="175"/>
      <c r="Q44" s="175"/>
      <c r="R44" s="176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160" t="s">
        <v>28</v>
      </c>
      <c r="B46" s="160" t="s">
        <v>220</v>
      </c>
      <c r="C46" s="161">
        <v>0.94444444444444453</v>
      </c>
      <c r="D46" s="160" t="s">
        <v>30</v>
      </c>
      <c r="E46" s="162"/>
      <c r="F46" s="160" t="s">
        <v>36</v>
      </c>
      <c r="G46" s="177"/>
      <c r="H46" s="99" t="s">
        <v>220</v>
      </c>
      <c r="I46" s="100">
        <v>0.91620000000000001</v>
      </c>
      <c r="J46" s="101">
        <v>164</v>
      </c>
      <c r="K46" s="102" t="s">
        <v>230</v>
      </c>
      <c r="L46" s="101">
        <v>16</v>
      </c>
      <c r="M46" s="101">
        <v>0</v>
      </c>
      <c r="N46" s="101">
        <v>0</v>
      </c>
      <c r="O46" s="103" t="s">
        <v>238</v>
      </c>
      <c r="P46" s="104">
        <v>0.94444444444444453</v>
      </c>
      <c r="Q46" s="101">
        <v>179</v>
      </c>
      <c r="R46" s="105" t="s">
        <v>239</v>
      </c>
    </row>
    <row r="47" spans="1:18" ht="17.399999999999999" customHeight="1" thickBot="1" x14ac:dyDescent="0.35">
      <c r="A47" s="206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8"/>
    </row>
    <row r="48" spans="1:18" ht="22.05" customHeight="1" thickTop="1" thickBot="1" x14ac:dyDescent="0.35">
      <c r="A48" s="182" t="s">
        <v>8</v>
      </c>
      <c r="B48" s="175"/>
      <c r="C48" s="175"/>
      <c r="D48" s="175"/>
      <c r="E48" s="175"/>
      <c r="F48" s="176"/>
      <c r="G48" s="18">
        <v>46002</v>
      </c>
      <c r="H48" s="174" t="s">
        <v>9</v>
      </c>
      <c r="I48" s="175"/>
      <c r="J48" s="175"/>
      <c r="K48" s="175"/>
      <c r="L48" s="175"/>
      <c r="M48" s="175"/>
      <c r="N48" s="175"/>
      <c r="O48" s="175"/>
      <c r="P48" s="175"/>
      <c r="Q48" s="175"/>
      <c r="R48" s="176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106" t="s">
        <v>28</v>
      </c>
      <c r="B50" s="106" t="s">
        <v>220</v>
      </c>
      <c r="C50" s="107">
        <v>0.64583333333333337</v>
      </c>
      <c r="D50" s="106" t="s">
        <v>30</v>
      </c>
      <c r="E50" s="108"/>
      <c r="F50" s="106" t="s">
        <v>45</v>
      </c>
      <c r="G50" s="177"/>
      <c r="H50" s="109" t="s">
        <v>220</v>
      </c>
      <c r="I50" s="110">
        <v>0.98319999999999996</v>
      </c>
      <c r="J50" s="111">
        <v>176</v>
      </c>
      <c r="K50" s="112" t="s">
        <v>32</v>
      </c>
      <c r="L50" s="111">
        <v>1</v>
      </c>
      <c r="M50" s="111">
        <v>0</v>
      </c>
      <c r="N50" s="111">
        <v>0</v>
      </c>
      <c r="O50" s="113" t="s">
        <v>240</v>
      </c>
      <c r="P50" s="114">
        <v>0.64583333333333337</v>
      </c>
      <c r="Q50" s="111">
        <v>179</v>
      </c>
      <c r="R50" s="115" t="s">
        <v>241</v>
      </c>
    </row>
    <row r="51" spans="1:18" ht="17.399999999999999" customHeight="1" thickBot="1" x14ac:dyDescent="0.35">
      <c r="A51" s="206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8"/>
    </row>
    <row r="52" spans="1:18" ht="22.05" customHeight="1" thickTop="1" thickBot="1" x14ac:dyDescent="0.35">
      <c r="A52" s="182" t="s">
        <v>8</v>
      </c>
      <c r="B52" s="175"/>
      <c r="C52" s="175"/>
      <c r="D52" s="175"/>
      <c r="E52" s="175"/>
      <c r="F52" s="176"/>
      <c r="G52" s="18">
        <v>46005</v>
      </c>
      <c r="H52" s="174" t="s">
        <v>9</v>
      </c>
      <c r="I52" s="175"/>
      <c r="J52" s="175"/>
      <c r="K52" s="175"/>
      <c r="L52" s="175"/>
      <c r="M52" s="175"/>
      <c r="N52" s="175"/>
      <c r="O52" s="175"/>
      <c r="P52" s="175"/>
      <c r="Q52" s="175"/>
      <c r="R52" s="176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8" t="s">
        <v>28</v>
      </c>
      <c r="B54" s="8" t="s">
        <v>220</v>
      </c>
      <c r="C54" s="9">
        <v>0.40277777777777768</v>
      </c>
      <c r="D54" s="8" t="s">
        <v>30</v>
      </c>
      <c r="E54" s="10"/>
      <c r="F54" s="8" t="s">
        <v>31</v>
      </c>
      <c r="G54" s="177"/>
      <c r="H54" s="11" t="s">
        <v>220</v>
      </c>
      <c r="I54" s="12">
        <v>0.9385</v>
      </c>
      <c r="J54" s="13">
        <v>168</v>
      </c>
      <c r="K54" s="14" t="s">
        <v>49</v>
      </c>
      <c r="L54" s="13">
        <v>2</v>
      </c>
      <c r="M54" s="13">
        <v>0</v>
      </c>
      <c r="N54" s="13">
        <v>0</v>
      </c>
      <c r="O54" s="15" t="s">
        <v>33</v>
      </c>
      <c r="P54" s="16">
        <v>0.40277777777777768</v>
      </c>
      <c r="Q54" s="13">
        <v>179</v>
      </c>
      <c r="R54" s="17" t="s">
        <v>242</v>
      </c>
    </row>
    <row r="55" spans="1:18" ht="17.399999999999999" customHeight="1" thickBot="1" x14ac:dyDescent="0.35">
      <c r="A55" s="206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8"/>
    </row>
    <row r="56" spans="1:18" ht="22.05" customHeight="1" thickTop="1" thickBot="1" x14ac:dyDescent="0.35">
      <c r="A56" s="182" t="s">
        <v>8</v>
      </c>
      <c r="B56" s="175"/>
      <c r="C56" s="175"/>
      <c r="D56" s="175"/>
      <c r="E56" s="175"/>
      <c r="F56" s="176"/>
      <c r="G56" s="18">
        <v>46007</v>
      </c>
      <c r="H56" s="174" t="s">
        <v>9</v>
      </c>
      <c r="I56" s="175"/>
      <c r="J56" s="175"/>
      <c r="K56" s="175"/>
      <c r="L56" s="175"/>
      <c r="M56" s="175"/>
      <c r="N56" s="175"/>
      <c r="O56" s="175"/>
      <c r="P56" s="175"/>
      <c r="Q56" s="175"/>
      <c r="R56" s="176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56" t="s">
        <v>28</v>
      </c>
      <c r="B58" s="56" t="s">
        <v>220</v>
      </c>
      <c r="C58" s="57">
        <v>0.3263888888888889</v>
      </c>
      <c r="D58" s="56" t="s">
        <v>30</v>
      </c>
      <c r="E58" s="58"/>
      <c r="F58" s="56" t="s">
        <v>36</v>
      </c>
      <c r="G58" s="183"/>
      <c r="H58" s="49" t="s">
        <v>220</v>
      </c>
      <c r="I58" s="50">
        <v>0.93300000000000005</v>
      </c>
      <c r="J58" s="51">
        <v>167</v>
      </c>
      <c r="K58" s="52" t="s">
        <v>42</v>
      </c>
      <c r="L58" s="51">
        <v>15</v>
      </c>
      <c r="M58" s="51">
        <v>0</v>
      </c>
      <c r="N58" s="51">
        <v>5</v>
      </c>
      <c r="O58" s="53" t="s">
        <v>243</v>
      </c>
      <c r="P58" s="54">
        <v>0.3263888888888889</v>
      </c>
      <c r="Q58" s="51">
        <v>179</v>
      </c>
      <c r="R58" s="55" t="s">
        <v>244</v>
      </c>
    </row>
    <row r="59" spans="1:18" ht="17.399999999999999" customHeight="1" thickBot="1" x14ac:dyDescent="0.35">
      <c r="A59" s="206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8"/>
    </row>
    <row r="60" spans="1:18" ht="22.05" customHeight="1" thickTop="1" thickBot="1" x14ac:dyDescent="0.35">
      <c r="A60" s="182" t="s">
        <v>8</v>
      </c>
      <c r="B60" s="175"/>
      <c r="C60" s="175"/>
      <c r="D60" s="175"/>
      <c r="E60" s="175"/>
      <c r="F60" s="176"/>
      <c r="G60" s="18">
        <v>46008</v>
      </c>
      <c r="H60" s="174" t="s">
        <v>9</v>
      </c>
      <c r="I60" s="175"/>
      <c r="J60" s="175"/>
      <c r="K60" s="175"/>
      <c r="L60" s="175"/>
      <c r="M60" s="175"/>
      <c r="N60" s="175"/>
      <c r="O60" s="175"/>
      <c r="P60" s="175"/>
      <c r="Q60" s="175"/>
      <c r="R60" s="176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160" t="s">
        <v>28</v>
      </c>
      <c r="B62" s="160" t="s">
        <v>220</v>
      </c>
      <c r="C62" s="161">
        <v>0.94444444444444453</v>
      </c>
      <c r="D62" s="160" t="s">
        <v>30</v>
      </c>
      <c r="E62" s="162"/>
      <c r="F62" s="160" t="s">
        <v>31</v>
      </c>
      <c r="G62" s="177"/>
      <c r="H62" s="99" t="s">
        <v>220</v>
      </c>
      <c r="I62" s="100">
        <v>0.94410000000000005</v>
      </c>
      <c r="J62" s="101">
        <v>169</v>
      </c>
      <c r="K62" s="102" t="s">
        <v>49</v>
      </c>
      <c r="L62" s="101">
        <v>1</v>
      </c>
      <c r="M62" s="101">
        <v>0</v>
      </c>
      <c r="N62" s="101">
        <v>0</v>
      </c>
      <c r="O62" s="103" t="s">
        <v>33</v>
      </c>
      <c r="P62" s="104">
        <v>0.94444444444444453</v>
      </c>
      <c r="Q62" s="101">
        <v>179</v>
      </c>
      <c r="R62" s="105" t="s">
        <v>245</v>
      </c>
    </row>
    <row r="63" spans="1:18" ht="17.399999999999999" customHeight="1" thickBot="1" x14ac:dyDescent="0.35">
      <c r="A63" s="206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8"/>
    </row>
    <row r="64" spans="1:18" ht="22.05" customHeight="1" thickTop="1" thickBot="1" x14ac:dyDescent="0.35">
      <c r="A64" s="182" t="s">
        <v>8</v>
      </c>
      <c r="B64" s="175"/>
      <c r="C64" s="175"/>
      <c r="D64" s="175"/>
      <c r="E64" s="175"/>
      <c r="F64" s="176"/>
      <c r="G64" s="18">
        <v>46009</v>
      </c>
      <c r="H64" s="174" t="s">
        <v>9</v>
      </c>
      <c r="I64" s="175"/>
      <c r="J64" s="175"/>
      <c r="K64" s="175"/>
      <c r="L64" s="175"/>
      <c r="M64" s="175"/>
      <c r="N64" s="175"/>
      <c r="O64" s="175"/>
      <c r="P64" s="175"/>
      <c r="Q64" s="175"/>
      <c r="R64" s="176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106" t="s">
        <v>28</v>
      </c>
      <c r="B66" s="106" t="s">
        <v>220</v>
      </c>
      <c r="C66" s="107">
        <v>0.64583333333333337</v>
      </c>
      <c r="D66" s="106" t="s">
        <v>30</v>
      </c>
      <c r="E66" s="108"/>
      <c r="F66" s="106" t="s">
        <v>36</v>
      </c>
      <c r="G66" s="177"/>
      <c r="H66" s="109" t="s">
        <v>220</v>
      </c>
      <c r="I66" s="110">
        <v>0.91620000000000001</v>
      </c>
      <c r="J66" s="111">
        <v>164</v>
      </c>
      <c r="K66" s="112" t="s">
        <v>42</v>
      </c>
      <c r="L66" s="111">
        <v>15</v>
      </c>
      <c r="M66" s="111">
        <v>0</v>
      </c>
      <c r="N66" s="111">
        <v>4</v>
      </c>
      <c r="O66" s="113" t="s">
        <v>246</v>
      </c>
      <c r="P66" s="114">
        <v>0.64583333333333337</v>
      </c>
      <c r="Q66" s="111">
        <v>179</v>
      </c>
      <c r="R66" s="115" t="s">
        <v>247</v>
      </c>
    </row>
    <row r="67" spans="1:18" ht="17.399999999999999" customHeight="1" thickBot="1" x14ac:dyDescent="0.35">
      <c r="A67" s="206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8"/>
    </row>
    <row r="68" spans="1:18" ht="22.05" customHeight="1" thickTop="1" thickBot="1" x14ac:dyDescent="0.35">
      <c r="A68" s="182" t="s">
        <v>8</v>
      </c>
      <c r="B68" s="175"/>
      <c r="C68" s="175"/>
      <c r="D68" s="175"/>
      <c r="E68" s="175"/>
      <c r="F68" s="176"/>
      <c r="G68" s="18">
        <v>46012</v>
      </c>
      <c r="H68" s="174" t="s">
        <v>9</v>
      </c>
      <c r="I68" s="175"/>
      <c r="J68" s="175"/>
      <c r="K68" s="175"/>
      <c r="L68" s="175"/>
      <c r="M68" s="175"/>
      <c r="N68" s="175"/>
      <c r="O68" s="175"/>
      <c r="P68" s="175"/>
      <c r="Q68" s="175"/>
      <c r="R68" s="176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9" t="s">
        <v>28</v>
      </c>
      <c r="B70" s="69" t="s">
        <v>220</v>
      </c>
      <c r="C70" s="70">
        <v>0.40277777777777768</v>
      </c>
      <c r="D70" s="69" t="s">
        <v>30</v>
      </c>
      <c r="E70" s="71"/>
      <c r="F70" s="69" t="s">
        <v>36</v>
      </c>
      <c r="G70" s="177"/>
      <c r="H70" s="72" t="s">
        <v>220</v>
      </c>
      <c r="I70" s="73">
        <v>0.9274</v>
      </c>
      <c r="J70" s="74">
        <v>166</v>
      </c>
      <c r="K70" s="75" t="s">
        <v>42</v>
      </c>
      <c r="L70" s="74">
        <v>10</v>
      </c>
      <c r="M70" s="74">
        <v>0</v>
      </c>
      <c r="N70" s="74">
        <v>4</v>
      </c>
      <c r="O70" s="76" t="s">
        <v>248</v>
      </c>
      <c r="P70" s="77">
        <v>0.40277777777777768</v>
      </c>
      <c r="Q70" s="74">
        <v>179</v>
      </c>
      <c r="R70" s="78" t="s">
        <v>249</v>
      </c>
    </row>
    <row r="71" spans="1:18" ht="17.399999999999999" customHeight="1" thickBot="1" x14ac:dyDescent="0.35">
      <c r="A71" s="206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8"/>
    </row>
    <row r="72" spans="1:18" ht="22.05" customHeight="1" thickTop="1" thickBot="1" x14ac:dyDescent="0.35">
      <c r="A72" s="182" t="s">
        <v>8</v>
      </c>
      <c r="B72" s="175"/>
      <c r="C72" s="175"/>
      <c r="D72" s="175"/>
      <c r="E72" s="175"/>
      <c r="F72" s="176"/>
      <c r="G72" s="18">
        <v>46014</v>
      </c>
      <c r="H72" s="174" t="s">
        <v>9</v>
      </c>
      <c r="I72" s="175"/>
      <c r="J72" s="175"/>
      <c r="K72" s="175"/>
      <c r="L72" s="175"/>
      <c r="M72" s="175"/>
      <c r="N72" s="175"/>
      <c r="O72" s="175"/>
      <c r="P72" s="175"/>
      <c r="Q72" s="175"/>
      <c r="R72" s="176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106" t="s">
        <v>28</v>
      </c>
      <c r="B74" s="106" t="s">
        <v>220</v>
      </c>
      <c r="C74" s="107">
        <v>0.3263888888888889</v>
      </c>
      <c r="D74" s="106" t="s">
        <v>30</v>
      </c>
      <c r="E74" s="108"/>
      <c r="F74" s="106" t="s">
        <v>31</v>
      </c>
      <c r="G74" s="177"/>
      <c r="H74" s="109" t="s">
        <v>220</v>
      </c>
      <c r="I74" s="110">
        <v>1.0056</v>
      </c>
      <c r="J74" s="111">
        <v>180</v>
      </c>
      <c r="K74" s="112" t="s">
        <v>85</v>
      </c>
      <c r="L74" s="111">
        <v>1</v>
      </c>
      <c r="M74" s="111">
        <v>0</v>
      </c>
      <c r="N74" s="111">
        <v>0</v>
      </c>
      <c r="O74" s="113" t="s">
        <v>33</v>
      </c>
      <c r="P74" s="114">
        <v>0.3263888888888889</v>
      </c>
      <c r="Q74" s="111">
        <v>179</v>
      </c>
      <c r="R74" s="115" t="s">
        <v>250</v>
      </c>
    </row>
    <row r="75" spans="1:18" ht="17.399999999999999" customHeight="1" thickBot="1" x14ac:dyDescent="0.35">
      <c r="A75" s="206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8"/>
    </row>
    <row r="76" spans="1:18" ht="22.05" customHeight="1" thickTop="1" thickBot="1" x14ac:dyDescent="0.35">
      <c r="A76" s="182" t="s">
        <v>8</v>
      </c>
      <c r="B76" s="175"/>
      <c r="C76" s="175"/>
      <c r="D76" s="175"/>
      <c r="E76" s="175"/>
      <c r="F76" s="176"/>
      <c r="G76" s="18">
        <v>46015</v>
      </c>
      <c r="H76" s="174" t="s">
        <v>9</v>
      </c>
      <c r="I76" s="175"/>
      <c r="J76" s="175"/>
      <c r="K76" s="175"/>
      <c r="L76" s="175"/>
      <c r="M76" s="175"/>
      <c r="N76" s="175"/>
      <c r="O76" s="175"/>
      <c r="P76" s="175"/>
      <c r="Q76" s="175"/>
      <c r="R76" s="176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69" t="s">
        <v>28</v>
      </c>
      <c r="B78" s="69" t="s">
        <v>220</v>
      </c>
      <c r="C78" s="70">
        <v>0.94444444444444453</v>
      </c>
      <c r="D78" s="69" t="s">
        <v>30</v>
      </c>
      <c r="E78" s="71"/>
      <c r="F78" s="69" t="s">
        <v>36</v>
      </c>
      <c r="G78" s="183"/>
      <c r="H78" s="72" t="s">
        <v>220</v>
      </c>
      <c r="I78" s="73">
        <v>0.93300000000000005</v>
      </c>
      <c r="J78" s="74">
        <v>167</v>
      </c>
      <c r="K78" s="75" t="s">
        <v>42</v>
      </c>
      <c r="L78" s="74">
        <v>10</v>
      </c>
      <c r="M78" s="74">
        <v>0</v>
      </c>
      <c r="N78" s="74">
        <v>5</v>
      </c>
      <c r="O78" s="76" t="s">
        <v>74</v>
      </c>
      <c r="P78" s="77">
        <v>0.94444444444444453</v>
      </c>
      <c r="Q78" s="74">
        <v>179</v>
      </c>
      <c r="R78" s="78" t="s">
        <v>251</v>
      </c>
    </row>
    <row r="79" spans="1:18" ht="17.399999999999999" customHeight="1" thickBot="1" x14ac:dyDescent="0.35">
      <c r="A79" s="206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8"/>
    </row>
    <row r="80" spans="1:18" ht="22.05" customHeight="1" thickTop="1" thickBot="1" x14ac:dyDescent="0.35">
      <c r="A80" s="182" t="s">
        <v>8</v>
      </c>
      <c r="B80" s="175"/>
      <c r="C80" s="175"/>
      <c r="D80" s="175"/>
      <c r="E80" s="175"/>
      <c r="F80" s="176"/>
      <c r="G80" s="18">
        <v>46016</v>
      </c>
      <c r="H80" s="174" t="s">
        <v>9</v>
      </c>
      <c r="I80" s="175"/>
      <c r="J80" s="175"/>
      <c r="K80" s="175"/>
      <c r="L80" s="175"/>
      <c r="M80" s="175"/>
      <c r="N80" s="175"/>
      <c r="O80" s="175"/>
      <c r="P80" s="175"/>
      <c r="Q80" s="175"/>
      <c r="R80" s="176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5">
      <c r="A82" s="157" t="s">
        <v>28</v>
      </c>
      <c r="B82" s="157" t="s">
        <v>220</v>
      </c>
      <c r="C82" s="158">
        <v>0.64583333333333337</v>
      </c>
      <c r="D82" s="157" t="s">
        <v>30</v>
      </c>
      <c r="E82" s="159"/>
      <c r="F82" s="157" t="s">
        <v>31</v>
      </c>
      <c r="G82" s="183"/>
      <c r="H82" s="150" t="s">
        <v>220</v>
      </c>
      <c r="I82" s="151">
        <v>0.97209999999999996</v>
      </c>
      <c r="J82" s="152">
        <v>174</v>
      </c>
      <c r="K82" s="153" t="s">
        <v>230</v>
      </c>
      <c r="L82" s="152">
        <v>1</v>
      </c>
      <c r="M82" s="152">
        <v>0</v>
      </c>
      <c r="N82" s="152">
        <v>0</v>
      </c>
      <c r="O82" s="154" t="s">
        <v>33</v>
      </c>
      <c r="P82" s="155">
        <v>0.64583333333333337</v>
      </c>
      <c r="Q82" s="152">
        <v>179</v>
      </c>
      <c r="R82" s="156" t="s">
        <v>252</v>
      </c>
    </row>
    <row r="83" spans="1:18" ht="17.399999999999999" customHeight="1" thickBot="1" x14ac:dyDescent="0.35">
      <c r="A83" s="206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8"/>
    </row>
    <row r="84" spans="1:18" ht="15" thickTop="1" x14ac:dyDescent="0.3"/>
  </sheetData>
  <mergeCells count="87">
    <mergeCell ref="A52:F52"/>
    <mergeCell ref="G38"/>
    <mergeCell ref="A31:R31"/>
    <mergeCell ref="G78"/>
    <mergeCell ref="A15:R15"/>
    <mergeCell ref="A51:R51"/>
    <mergeCell ref="H24:R24"/>
    <mergeCell ref="H76:R76"/>
    <mergeCell ref="A83:R83"/>
    <mergeCell ref="H80:R80"/>
    <mergeCell ref="G18"/>
    <mergeCell ref="A39:R39"/>
    <mergeCell ref="H12:R12"/>
    <mergeCell ref="G34"/>
    <mergeCell ref="G74"/>
    <mergeCell ref="H48:R48"/>
    <mergeCell ref="G58"/>
    <mergeCell ref="A56:F56"/>
    <mergeCell ref="G22"/>
    <mergeCell ref="H40:R40"/>
    <mergeCell ref="A76:F76"/>
    <mergeCell ref="H68:R68"/>
    <mergeCell ref="H60:R60"/>
    <mergeCell ref="A23:R23"/>
    <mergeCell ref="G82"/>
    <mergeCell ref="A48:F48"/>
    <mergeCell ref="G10"/>
    <mergeCell ref="G66"/>
    <mergeCell ref="H28:R28"/>
    <mergeCell ref="G70"/>
    <mergeCell ref="A43:R43"/>
    <mergeCell ref="A68:F68"/>
    <mergeCell ref="H16:R16"/>
    <mergeCell ref="A67:R67"/>
    <mergeCell ref="G62"/>
    <mergeCell ref="A36:F36"/>
    <mergeCell ref="H20:R20"/>
    <mergeCell ref="A80:F80"/>
    <mergeCell ref="A12:F12"/>
    <mergeCell ref="A75:R75"/>
    <mergeCell ref="A79:R79"/>
    <mergeCell ref="G14"/>
    <mergeCell ref="A16:F16"/>
    <mergeCell ref="H8:R8"/>
    <mergeCell ref="G54"/>
    <mergeCell ref="G46"/>
    <mergeCell ref="H56:R56"/>
    <mergeCell ref="A71:R71"/>
    <mergeCell ref="H36:R36"/>
    <mergeCell ref="A28:F28"/>
    <mergeCell ref="A63:R63"/>
    <mergeCell ref="A8:F8"/>
    <mergeCell ref="H44:R44"/>
    <mergeCell ref="A55:R55"/>
    <mergeCell ref="A47:R47"/>
    <mergeCell ref="H64:R6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A2:F2"/>
    <mergeCell ref="G2:J2"/>
    <mergeCell ref="N1:R1"/>
    <mergeCell ref="K2:R2"/>
    <mergeCell ref="H4:R4"/>
    <mergeCell ref="A3:R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2"/>
  <sheetViews>
    <sheetView workbookViewId="0"/>
  </sheetViews>
  <sheetFormatPr defaultRowHeight="15.6" outlineLevelCol="1" x14ac:dyDescent="0.3"/>
  <cols>
    <col min="1" max="1" width="11.5546875" style="193" bestFit="1" customWidth="1"/>
    <col min="2" max="2" width="10.44140625" style="193" bestFit="1" customWidth="1"/>
    <col min="3" max="3" width="6.77734375" style="193" bestFit="1" customWidth="1"/>
    <col min="4" max="4" width="5.5546875" style="193" bestFit="1" customWidth="1"/>
    <col min="5" max="5" width="9.109375" style="193" bestFit="1" customWidth="1"/>
    <col min="6" max="6" width="4.21875" style="193" bestFit="1" customWidth="1"/>
    <col min="7" max="7" width="10" style="193" bestFit="1" customWidth="1"/>
    <col min="8" max="10" width="8.5546875" style="193" bestFit="1" customWidth="1"/>
    <col min="11" max="11" width="10.5546875" style="193" bestFit="1" customWidth="1"/>
    <col min="12" max="12" width="18.109375" style="193" bestFit="1" customWidth="1"/>
    <col min="13" max="13" width="7.6640625" style="193" bestFit="1" customWidth="1" outlineLevel="1"/>
    <col min="14" max="14" width="6.33203125" style="193" bestFit="1" customWidth="1" outlineLevel="1"/>
    <col min="15" max="15" width="8" style="193" bestFit="1" customWidth="1" outlineLevel="1"/>
    <col min="16" max="16" width="13.6640625" style="193" bestFit="1" customWidth="1"/>
    <col min="17" max="24" width="3.88671875" style="193" bestFit="1" customWidth="1"/>
    <col min="25" max="25" width="4.44140625" style="193" bestFit="1" customWidth="1"/>
    <col min="26" max="26" width="4.109375" style="193" bestFit="1" customWidth="1"/>
    <col min="27" max="27" width="4" style="193" bestFit="1" customWidth="1"/>
    <col min="28" max="29" width="4.21875" style="193" bestFit="1" customWidth="1"/>
    <col min="30" max="30" width="3.88671875" style="193" bestFit="1" customWidth="1"/>
    <col min="31" max="31" width="4.5546875" style="193" bestFit="1" customWidth="1"/>
    <col min="32" max="34" width="3.88671875" style="193" bestFit="1" customWidth="1"/>
    <col min="35" max="35" width="5.21875" style="193" bestFit="1" customWidth="1"/>
    <col min="36" max="36" width="3.88671875" style="193" bestFit="1" customWidth="1"/>
    <col min="37" max="16384" width="8.88671875" style="193"/>
  </cols>
  <sheetData>
    <row r="1" spans="1:36" x14ac:dyDescent="0.3">
      <c r="A1" s="192" t="s">
        <v>89</v>
      </c>
      <c r="B1" s="192" t="s">
        <v>90</v>
      </c>
      <c r="C1" s="192" t="s">
        <v>91</v>
      </c>
      <c r="D1" s="192" t="s">
        <v>25</v>
      </c>
      <c r="E1" s="192" t="s">
        <v>92</v>
      </c>
      <c r="F1" s="192" t="s">
        <v>93</v>
      </c>
      <c r="G1" s="192" t="s">
        <v>18</v>
      </c>
      <c r="H1" s="192" t="s">
        <v>94</v>
      </c>
      <c r="I1" s="192" t="s">
        <v>95</v>
      </c>
      <c r="J1" s="192" t="s">
        <v>96</v>
      </c>
      <c r="K1" s="192" t="s">
        <v>97</v>
      </c>
      <c r="L1" s="192" t="s">
        <v>20</v>
      </c>
      <c r="M1" s="192" t="s">
        <v>22</v>
      </c>
      <c r="N1" s="192" t="s">
        <v>23</v>
      </c>
      <c r="O1" s="192" t="s">
        <v>21</v>
      </c>
      <c r="P1" s="192" t="s">
        <v>24</v>
      </c>
      <c r="Q1" s="192" t="s">
        <v>98</v>
      </c>
      <c r="R1" s="192" t="s">
        <v>99</v>
      </c>
      <c r="S1" s="192" t="s">
        <v>100</v>
      </c>
      <c r="T1" s="192" t="s">
        <v>101</v>
      </c>
      <c r="U1" s="192" t="s">
        <v>102</v>
      </c>
      <c r="V1" s="192" t="s">
        <v>103</v>
      </c>
      <c r="W1" s="192" t="s">
        <v>104</v>
      </c>
      <c r="X1" s="192" t="s">
        <v>105</v>
      </c>
      <c r="Y1" s="192" t="s">
        <v>106</v>
      </c>
      <c r="Z1" s="192" t="s">
        <v>107</v>
      </c>
      <c r="AA1" s="192" t="s">
        <v>108</v>
      </c>
      <c r="AB1" s="192" t="s">
        <v>109</v>
      </c>
      <c r="AC1" s="192" t="s">
        <v>110</v>
      </c>
      <c r="AD1" s="192" t="s">
        <v>111</v>
      </c>
      <c r="AE1" s="192" t="s">
        <v>112</v>
      </c>
      <c r="AF1" s="192" t="s">
        <v>113</v>
      </c>
      <c r="AG1" s="192" t="s">
        <v>114</v>
      </c>
      <c r="AH1" s="192" t="s">
        <v>115</v>
      </c>
      <c r="AI1" s="192" t="s">
        <v>116</v>
      </c>
      <c r="AJ1" s="192" t="s">
        <v>117</v>
      </c>
    </row>
    <row r="2" spans="1:36" x14ac:dyDescent="0.3">
      <c r="A2" s="194" t="s">
        <v>118</v>
      </c>
      <c r="B2" s="195">
        <v>45984</v>
      </c>
      <c r="C2" s="196" t="s">
        <v>220</v>
      </c>
      <c r="D2" s="197" t="s">
        <v>253</v>
      </c>
      <c r="E2" s="196" t="s">
        <v>219</v>
      </c>
      <c r="F2" s="196" t="s">
        <v>120</v>
      </c>
      <c r="G2" s="198">
        <v>1</v>
      </c>
      <c r="H2" s="199">
        <v>179</v>
      </c>
      <c r="I2" s="199">
        <v>179</v>
      </c>
      <c r="J2" s="199">
        <v>172</v>
      </c>
      <c r="K2" s="196" t="s">
        <v>121</v>
      </c>
      <c r="L2" s="200" t="s">
        <v>46</v>
      </c>
      <c r="M2" s="199">
        <v>0</v>
      </c>
      <c r="N2" s="199">
        <v>0</v>
      </c>
      <c r="O2" s="199">
        <v>5</v>
      </c>
      <c r="P2" s="196" t="s">
        <v>33</v>
      </c>
      <c r="Q2" s="192"/>
      <c r="R2" s="192"/>
      <c r="S2" s="192"/>
      <c r="T2" s="192"/>
      <c r="U2" s="199" t="s">
        <v>254</v>
      </c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9" t="s">
        <v>255</v>
      </c>
      <c r="AJ2" s="192"/>
    </row>
    <row r="3" spans="1:36" x14ac:dyDescent="0.3">
      <c r="A3" s="194" t="s">
        <v>131</v>
      </c>
      <c r="B3" s="195">
        <v>45986</v>
      </c>
      <c r="C3" s="196" t="s">
        <v>220</v>
      </c>
      <c r="D3" s="197" t="s">
        <v>256</v>
      </c>
      <c r="E3" s="196" t="s">
        <v>219</v>
      </c>
      <c r="F3" s="196" t="s">
        <v>120</v>
      </c>
      <c r="G3" s="198">
        <v>0.98319999999999996</v>
      </c>
      <c r="H3" s="199">
        <v>179</v>
      </c>
      <c r="I3" s="199">
        <v>176</v>
      </c>
      <c r="J3" s="199">
        <v>153</v>
      </c>
      <c r="K3" s="196" t="s">
        <v>121</v>
      </c>
      <c r="L3" s="200" t="s">
        <v>42</v>
      </c>
      <c r="M3" s="199">
        <v>0</v>
      </c>
      <c r="N3" s="199">
        <v>1</v>
      </c>
      <c r="O3" s="199">
        <v>13</v>
      </c>
      <c r="P3" s="196" t="s">
        <v>222</v>
      </c>
      <c r="Q3" s="192"/>
      <c r="R3" s="192"/>
      <c r="S3" s="192"/>
      <c r="T3" s="192"/>
      <c r="U3" s="199" t="s">
        <v>257</v>
      </c>
      <c r="V3" s="199" t="s">
        <v>258</v>
      </c>
      <c r="W3" s="199" t="s">
        <v>259</v>
      </c>
      <c r="X3" s="199" t="s">
        <v>260</v>
      </c>
      <c r="Y3" s="192"/>
      <c r="Z3" s="192"/>
      <c r="AA3" s="192"/>
      <c r="AB3" s="192"/>
      <c r="AC3" s="199" t="s">
        <v>216</v>
      </c>
      <c r="AD3" s="192"/>
      <c r="AE3" s="192"/>
      <c r="AF3" s="192"/>
      <c r="AG3" s="192"/>
      <c r="AH3" s="192"/>
      <c r="AI3" s="199" t="s">
        <v>261</v>
      </c>
      <c r="AJ3" s="192"/>
    </row>
    <row r="4" spans="1:36" x14ac:dyDescent="0.3">
      <c r="A4" s="194" t="s">
        <v>262</v>
      </c>
      <c r="B4" s="195">
        <v>45987</v>
      </c>
      <c r="C4" s="196" t="s">
        <v>220</v>
      </c>
      <c r="D4" s="197" t="s">
        <v>263</v>
      </c>
      <c r="E4" s="196" t="s">
        <v>219</v>
      </c>
      <c r="F4" s="196" t="s">
        <v>120</v>
      </c>
      <c r="G4" s="198">
        <v>0.94410000000000005</v>
      </c>
      <c r="H4" s="199">
        <v>179</v>
      </c>
      <c r="I4" s="199">
        <v>169</v>
      </c>
      <c r="J4" s="199">
        <v>135</v>
      </c>
      <c r="K4" s="196" t="s">
        <v>121</v>
      </c>
      <c r="L4" s="200" t="s">
        <v>49</v>
      </c>
      <c r="M4" s="199">
        <v>0</v>
      </c>
      <c r="N4" s="199">
        <v>0</v>
      </c>
      <c r="O4" s="199">
        <v>2</v>
      </c>
      <c r="P4" s="196" t="s">
        <v>224</v>
      </c>
      <c r="Q4" s="192"/>
      <c r="R4" s="192"/>
      <c r="S4" s="192"/>
      <c r="T4" s="192"/>
      <c r="U4" s="199" t="s">
        <v>257</v>
      </c>
      <c r="V4" s="192"/>
      <c r="W4" s="192"/>
      <c r="X4" s="192"/>
      <c r="Y4" s="192"/>
      <c r="Z4" s="199" t="s">
        <v>211</v>
      </c>
      <c r="AA4" s="192"/>
      <c r="AB4" s="192"/>
      <c r="AC4" s="199" t="s">
        <v>264</v>
      </c>
      <c r="AD4" s="199" t="s">
        <v>126</v>
      </c>
      <c r="AE4" s="199" t="s">
        <v>154</v>
      </c>
      <c r="AF4" s="199" t="s">
        <v>206</v>
      </c>
      <c r="AG4" s="192"/>
      <c r="AH4" s="192"/>
      <c r="AI4" s="199" t="s">
        <v>189</v>
      </c>
      <c r="AJ4" s="192"/>
    </row>
    <row r="5" spans="1:36" x14ac:dyDescent="0.3">
      <c r="A5" s="194" t="s">
        <v>156</v>
      </c>
      <c r="B5" s="195">
        <v>45988</v>
      </c>
      <c r="C5" s="196" t="s">
        <v>220</v>
      </c>
      <c r="D5" s="197" t="s">
        <v>265</v>
      </c>
      <c r="E5" s="196" t="s">
        <v>219</v>
      </c>
      <c r="F5" s="196" t="s">
        <v>120</v>
      </c>
      <c r="G5" s="198">
        <v>0.97770000000000001</v>
      </c>
      <c r="H5" s="199">
        <v>179</v>
      </c>
      <c r="I5" s="199">
        <v>175</v>
      </c>
      <c r="J5" s="199">
        <v>121</v>
      </c>
      <c r="K5" s="196" t="s">
        <v>121</v>
      </c>
      <c r="L5" s="200" t="s">
        <v>49</v>
      </c>
      <c r="M5" s="199">
        <v>0</v>
      </c>
      <c r="N5" s="199">
        <v>0</v>
      </c>
      <c r="O5" s="199">
        <v>7</v>
      </c>
      <c r="P5" s="196" t="s">
        <v>226</v>
      </c>
      <c r="Q5" s="192"/>
      <c r="R5" s="192"/>
      <c r="S5" s="192"/>
      <c r="T5" s="192"/>
      <c r="U5" s="192"/>
      <c r="V5" s="192"/>
      <c r="W5" s="199" t="s">
        <v>266</v>
      </c>
      <c r="X5" s="199" t="s">
        <v>260</v>
      </c>
      <c r="Y5" s="192"/>
      <c r="Z5" s="199" t="s">
        <v>267</v>
      </c>
      <c r="AA5" s="192"/>
      <c r="AB5" s="199" t="s">
        <v>209</v>
      </c>
      <c r="AC5" s="199" t="s">
        <v>143</v>
      </c>
      <c r="AD5" s="192"/>
      <c r="AE5" s="192"/>
      <c r="AF5" s="192"/>
      <c r="AG5" s="192"/>
      <c r="AH5" s="192"/>
      <c r="AI5" s="199" t="s">
        <v>268</v>
      </c>
      <c r="AJ5" s="192"/>
    </row>
    <row r="6" spans="1:36" x14ac:dyDescent="0.3">
      <c r="A6" s="194" t="s">
        <v>118</v>
      </c>
      <c r="B6" s="195">
        <v>45991</v>
      </c>
      <c r="C6" s="196" t="s">
        <v>220</v>
      </c>
      <c r="D6" s="197" t="s">
        <v>253</v>
      </c>
      <c r="E6" s="196" t="s">
        <v>219</v>
      </c>
      <c r="F6" s="196" t="s">
        <v>120</v>
      </c>
      <c r="G6" s="198">
        <v>0.94969999999999999</v>
      </c>
      <c r="H6" s="199">
        <v>179</v>
      </c>
      <c r="I6" s="199">
        <v>170</v>
      </c>
      <c r="J6" s="199">
        <v>144</v>
      </c>
      <c r="K6" s="196" t="s">
        <v>121</v>
      </c>
      <c r="L6" s="200" t="s">
        <v>49</v>
      </c>
      <c r="M6" s="199">
        <v>0</v>
      </c>
      <c r="N6" s="199">
        <v>0</v>
      </c>
      <c r="O6" s="199">
        <v>6</v>
      </c>
      <c r="P6" s="196" t="s">
        <v>228</v>
      </c>
      <c r="Q6" s="192"/>
      <c r="R6" s="192"/>
      <c r="S6" s="192"/>
      <c r="T6" s="199" t="s">
        <v>222</v>
      </c>
      <c r="U6" s="192"/>
      <c r="V6" s="192"/>
      <c r="W6" s="192"/>
      <c r="X6" s="192"/>
      <c r="Y6" s="192"/>
      <c r="Z6" s="199" t="s">
        <v>269</v>
      </c>
      <c r="AA6" s="192"/>
      <c r="AB6" s="192"/>
      <c r="AC6" s="199" t="s">
        <v>178</v>
      </c>
      <c r="AD6" s="192"/>
      <c r="AE6" s="192"/>
      <c r="AF6" s="192"/>
      <c r="AG6" s="192"/>
      <c r="AH6" s="192"/>
      <c r="AI6" s="199" t="s">
        <v>270</v>
      </c>
      <c r="AJ6" s="192"/>
    </row>
    <row r="7" spans="1:36" x14ac:dyDescent="0.3">
      <c r="A7" s="194" t="s">
        <v>131</v>
      </c>
      <c r="B7" s="195">
        <v>45993</v>
      </c>
      <c r="C7" s="196" t="s">
        <v>220</v>
      </c>
      <c r="D7" s="197" t="s">
        <v>256</v>
      </c>
      <c r="E7" s="196" t="s">
        <v>219</v>
      </c>
      <c r="F7" s="196" t="s">
        <v>120</v>
      </c>
      <c r="G7" s="198">
        <v>1</v>
      </c>
      <c r="H7" s="199">
        <v>179</v>
      </c>
      <c r="I7" s="199">
        <v>179</v>
      </c>
      <c r="J7" s="199">
        <v>161</v>
      </c>
      <c r="K7" s="196" t="s">
        <v>121</v>
      </c>
      <c r="L7" s="200" t="s">
        <v>230</v>
      </c>
      <c r="M7" s="199">
        <v>0</v>
      </c>
      <c r="N7" s="199">
        <v>0</v>
      </c>
      <c r="O7" s="199">
        <v>3</v>
      </c>
      <c r="P7" s="196" t="s">
        <v>33</v>
      </c>
      <c r="Q7" s="192"/>
      <c r="R7" s="192"/>
      <c r="S7" s="192"/>
      <c r="T7" s="192"/>
      <c r="U7" s="192"/>
      <c r="V7" s="192"/>
      <c r="W7" s="192"/>
      <c r="X7" s="192"/>
      <c r="Y7" s="192"/>
      <c r="Z7" s="199" t="s">
        <v>80</v>
      </c>
      <c r="AA7" s="192"/>
      <c r="AB7" s="192"/>
      <c r="AC7" s="192"/>
      <c r="AD7" s="192"/>
      <c r="AE7" s="199" t="s">
        <v>271</v>
      </c>
      <c r="AF7" s="199" t="s">
        <v>272</v>
      </c>
      <c r="AG7" s="192"/>
      <c r="AH7" s="192"/>
      <c r="AI7" s="199" t="s">
        <v>273</v>
      </c>
      <c r="AJ7" s="192"/>
    </row>
    <row r="8" spans="1:36" x14ac:dyDescent="0.3">
      <c r="A8" s="194" t="s">
        <v>262</v>
      </c>
      <c r="B8" s="195">
        <v>45994</v>
      </c>
      <c r="C8" s="196" t="s">
        <v>220</v>
      </c>
      <c r="D8" s="197" t="s">
        <v>263</v>
      </c>
      <c r="E8" s="196" t="s">
        <v>219</v>
      </c>
      <c r="F8" s="196" t="s">
        <v>120</v>
      </c>
      <c r="G8" s="198">
        <v>1</v>
      </c>
      <c r="H8" s="199">
        <v>179</v>
      </c>
      <c r="I8" s="199">
        <v>179</v>
      </c>
      <c r="J8" s="199">
        <v>173</v>
      </c>
      <c r="K8" s="196" t="s">
        <v>121</v>
      </c>
      <c r="L8" s="200" t="s">
        <v>230</v>
      </c>
      <c r="M8" s="199">
        <v>0</v>
      </c>
      <c r="N8" s="199">
        <v>0</v>
      </c>
      <c r="O8" s="199">
        <v>1</v>
      </c>
      <c r="P8" s="196" t="s">
        <v>33</v>
      </c>
      <c r="Q8" s="192"/>
      <c r="R8" s="192"/>
      <c r="S8" s="192"/>
      <c r="T8" s="192"/>
      <c r="U8" s="192"/>
      <c r="V8" s="192"/>
      <c r="W8" s="192"/>
      <c r="X8" s="192"/>
      <c r="Y8" s="192"/>
      <c r="Z8" s="199" t="s">
        <v>211</v>
      </c>
      <c r="AA8" s="192"/>
      <c r="AB8" s="192"/>
      <c r="AC8" s="192"/>
      <c r="AD8" s="192"/>
      <c r="AE8" s="192"/>
      <c r="AF8" s="199" t="s">
        <v>134</v>
      </c>
      <c r="AG8" s="192"/>
      <c r="AH8" s="192"/>
      <c r="AI8" s="199" t="s">
        <v>274</v>
      </c>
      <c r="AJ8" s="192"/>
    </row>
    <row r="9" spans="1:36" x14ac:dyDescent="0.3">
      <c r="A9" s="194" t="s">
        <v>156</v>
      </c>
      <c r="B9" s="195">
        <v>45995</v>
      </c>
      <c r="C9" s="196" t="s">
        <v>220</v>
      </c>
      <c r="D9" s="197" t="s">
        <v>265</v>
      </c>
      <c r="E9" s="196" t="s">
        <v>219</v>
      </c>
      <c r="F9" s="196" t="s">
        <v>120</v>
      </c>
      <c r="G9" s="198">
        <v>0.94410000000000005</v>
      </c>
      <c r="H9" s="199">
        <v>179</v>
      </c>
      <c r="I9" s="199">
        <v>169</v>
      </c>
      <c r="J9" s="199">
        <v>130</v>
      </c>
      <c r="K9" s="196" t="s">
        <v>121</v>
      </c>
      <c r="L9" s="200" t="s">
        <v>85</v>
      </c>
      <c r="M9" s="199">
        <v>0</v>
      </c>
      <c r="N9" s="199">
        <v>0</v>
      </c>
      <c r="O9" s="199">
        <v>9</v>
      </c>
      <c r="P9" s="196" t="s">
        <v>233</v>
      </c>
      <c r="Q9" s="192"/>
      <c r="R9" s="192"/>
      <c r="S9" s="192"/>
      <c r="T9" s="192"/>
      <c r="U9" s="192"/>
      <c r="V9" s="192"/>
      <c r="W9" s="192"/>
      <c r="X9" s="199" t="s">
        <v>275</v>
      </c>
      <c r="Y9" s="192"/>
      <c r="Z9" s="199" t="s">
        <v>140</v>
      </c>
      <c r="AA9" s="192"/>
      <c r="AB9" s="192"/>
      <c r="AC9" s="192"/>
      <c r="AD9" s="199" t="s">
        <v>175</v>
      </c>
      <c r="AE9" s="199" t="s">
        <v>145</v>
      </c>
      <c r="AF9" s="199" t="s">
        <v>276</v>
      </c>
      <c r="AG9" s="192"/>
      <c r="AH9" s="192"/>
      <c r="AI9" s="199" t="s">
        <v>277</v>
      </c>
      <c r="AJ9" s="192"/>
    </row>
    <row r="10" spans="1:36" x14ac:dyDescent="0.3">
      <c r="A10" s="194" t="s">
        <v>118</v>
      </c>
      <c r="B10" s="195">
        <v>45998</v>
      </c>
      <c r="C10" s="196" t="s">
        <v>220</v>
      </c>
      <c r="D10" s="197" t="s">
        <v>253</v>
      </c>
      <c r="E10" s="196" t="s">
        <v>219</v>
      </c>
      <c r="F10" s="196" t="s">
        <v>120</v>
      </c>
      <c r="G10" s="198">
        <v>0.95530000000000004</v>
      </c>
      <c r="H10" s="199">
        <v>179</v>
      </c>
      <c r="I10" s="199">
        <v>171</v>
      </c>
      <c r="J10" s="199">
        <v>134</v>
      </c>
      <c r="K10" s="196" t="s">
        <v>121</v>
      </c>
      <c r="L10" s="200" t="s">
        <v>49</v>
      </c>
      <c r="M10" s="199">
        <v>0</v>
      </c>
      <c r="N10" s="199">
        <v>0</v>
      </c>
      <c r="O10" s="199">
        <v>6</v>
      </c>
      <c r="P10" s="196" t="s">
        <v>235</v>
      </c>
      <c r="Q10" s="192"/>
      <c r="R10" s="192"/>
      <c r="S10" s="192"/>
      <c r="T10" s="192"/>
      <c r="U10" s="192"/>
      <c r="V10" s="192"/>
      <c r="W10" s="192"/>
      <c r="X10" s="192"/>
      <c r="Y10" s="199" t="s">
        <v>235</v>
      </c>
      <c r="Z10" s="199" t="s">
        <v>177</v>
      </c>
      <c r="AA10" s="192"/>
      <c r="AB10" s="192"/>
      <c r="AC10" s="199" t="s">
        <v>190</v>
      </c>
      <c r="AD10" s="199" t="s">
        <v>161</v>
      </c>
      <c r="AE10" s="199" t="s">
        <v>145</v>
      </c>
      <c r="AF10" s="199" t="s">
        <v>146</v>
      </c>
      <c r="AG10" s="192"/>
      <c r="AH10" s="192"/>
      <c r="AI10" s="199" t="s">
        <v>278</v>
      </c>
      <c r="AJ10" s="192"/>
    </row>
    <row r="11" spans="1:36" x14ac:dyDescent="0.3">
      <c r="A11" s="194" t="s">
        <v>131</v>
      </c>
      <c r="B11" s="195">
        <v>46000</v>
      </c>
      <c r="C11" s="196" t="s">
        <v>220</v>
      </c>
      <c r="D11" s="197" t="s">
        <v>256</v>
      </c>
      <c r="E11" s="196" t="s">
        <v>219</v>
      </c>
      <c r="F11" s="196" t="s">
        <v>120</v>
      </c>
      <c r="G11" s="198">
        <v>0.97770000000000001</v>
      </c>
      <c r="H11" s="199">
        <v>179</v>
      </c>
      <c r="I11" s="199">
        <v>175</v>
      </c>
      <c r="J11" s="199">
        <v>160</v>
      </c>
      <c r="K11" s="196" t="s">
        <v>121</v>
      </c>
      <c r="L11" s="200" t="s">
        <v>42</v>
      </c>
      <c r="M11" s="199">
        <v>0</v>
      </c>
      <c r="N11" s="199">
        <v>2</v>
      </c>
      <c r="O11" s="199">
        <v>8</v>
      </c>
      <c r="P11" s="196" t="s">
        <v>235</v>
      </c>
      <c r="Q11" s="192"/>
      <c r="R11" s="192"/>
      <c r="S11" s="192"/>
      <c r="T11" s="192"/>
      <c r="U11" s="192"/>
      <c r="V11" s="192"/>
      <c r="W11" s="192"/>
      <c r="X11" s="192"/>
      <c r="Y11" s="199" t="s">
        <v>279</v>
      </c>
      <c r="Z11" s="199" t="s">
        <v>211</v>
      </c>
      <c r="AA11" s="192"/>
      <c r="AB11" s="192"/>
      <c r="AC11" s="192"/>
      <c r="AD11" s="192"/>
      <c r="AE11" s="192"/>
      <c r="AF11" s="199" t="s">
        <v>280</v>
      </c>
      <c r="AG11" s="192"/>
      <c r="AH11" s="192"/>
      <c r="AI11" s="199" t="s">
        <v>281</v>
      </c>
      <c r="AJ11" s="192"/>
    </row>
    <row r="12" spans="1:36" x14ac:dyDescent="0.3">
      <c r="A12" s="194" t="s">
        <v>262</v>
      </c>
      <c r="B12" s="195">
        <v>46001</v>
      </c>
      <c r="C12" s="196" t="s">
        <v>220</v>
      </c>
      <c r="D12" s="197" t="s">
        <v>263</v>
      </c>
      <c r="E12" s="196" t="s">
        <v>219</v>
      </c>
      <c r="F12" s="196" t="s">
        <v>120</v>
      </c>
      <c r="G12" s="198">
        <v>0.91620000000000001</v>
      </c>
      <c r="H12" s="199">
        <v>179</v>
      </c>
      <c r="I12" s="199">
        <v>164</v>
      </c>
      <c r="J12" s="199">
        <v>133</v>
      </c>
      <c r="K12" s="196" t="s">
        <v>121</v>
      </c>
      <c r="L12" s="200" t="s">
        <v>230</v>
      </c>
      <c r="M12" s="199">
        <v>0</v>
      </c>
      <c r="N12" s="199">
        <v>0</v>
      </c>
      <c r="O12" s="199">
        <v>16</v>
      </c>
      <c r="P12" s="196" t="s">
        <v>238</v>
      </c>
      <c r="Q12" s="192"/>
      <c r="R12" s="192"/>
      <c r="S12" s="192"/>
      <c r="T12" s="192"/>
      <c r="U12" s="192"/>
      <c r="V12" s="192"/>
      <c r="W12" s="192"/>
      <c r="X12" s="199" t="s">
        <v>240</v>
      </c>
      <c r="Y12" s="199" t="s">
        <v>235</v>
      </c>
      <c r="Z12" s="199" t="s">
        <v>172</v>
      </c>
      <c r="AA12" s="199" t="s">
        <v>76</v>
      </c>
      <c r="AB12" s="199" t="s">
        <v>209</v>
      </c>
      <c r="AC12" s="199" t="s">
        <v>216</v>
      </c>
      <c r="AD12" s="192"/>
      <c r="AE12" s="192"/>
      <c r="AF12" s="192"/>
      <c r="AG12" s="192"/>
      <c r="AH12" s="192"/>
      <c r="AI12" s="199" t="s">
        <v>169</v>
      </c>
      <c r="AJ12" s="192"/>
    </row>
    <row r="13" spans="1:36" x14ac:dyDescent="0.3">
      <c r="A13" s="194" t="s">
        <v>156</v>
      </c>
      <c r="B13" s="195">
        <v>46002</v>
      </c>
      <c r="C13" s="196" t="s">
        <v>220</v>
      </c>
      <c r="D13" s="197" t="s">
        <v>265</v>
      </c>
      <c r="E13" s="196" t="s">
        <v>219</v>
      </c>
      <c r="F13" s="196" t="s">
        <v>120</v>
      </c>
      <c r="G13" s="198">
        <v>0.98319999999999996</v>
      </c>
      <c r="H13" s="199">
        <v>179</v>
      </c>
      <c r="I13" s="199">
        <v>176</v>
      </c>
      <c r="J13" s="199">
        <v>126</v>
      </c>
      <c r="K13" s="196" t="s">
        <v>121</v>
      </c>
      <c r="L13" s="200" t="s">
        <v>32</v>
      </c>
      <c r="M13" s="199">
        <v>0</v>
      </c>
      <c r="N13" s="199">
        <v>0</v>
      </c>
      <c r="O13" s="199">
        <v>1</v>
      </c>
      <c r="P13" s="196" t="s">
        <v>240</v>
      </c>
      <c r="Q13" s="192"/>
      <c r="R13" s="192"/>
      <c r="S13" s="192"/>
      <c r="T13" s="192"/>
      <c r="U13" s="192"/>
      <c r="V13" s="192"/>
      <c r="W13" s="192"/>
      <c r="X13" s="192"/>
      <c r="Y13" s="199" t="s">
        <v>166</v>
      </c>
      <c r="Z13" s="199" t="s">
        <v>282</v>
      </c>
      <c r="AA13" s="199" t="s">
        <v>283</v>
      </c>
      <c r="AB13" s="199" t="s">
        <v>124</v>
      </c>
      <c r="AC13" s="199" t="s">
        <v>216</v>
      </c>
      <c r="AD13" s="199" t="s">
        <v>126</v>
      </c>
      <c r="AE13" s="199" t="s">
        <v>154</v>
      </c>
      <c r="AF13" s="199" t="s">
        <v>272</v>
      </c>
      <c r="AG13" s="192"/>
      <c r="AH13" s="192"/>
      <c r="AI13" s="199" t="s">
        <v>284</v>
      </c>
      <c r="AJ13" s="192"/>
    </row>
    <row r="14" spans="1:36" x14ac:dyDescent="0.3">
      <c r="A14" s="194" t="s">
        <v>118</v>
      </c>
      <c r="B14" s="195">
        <v>46005</v>
      </c>
      <c r="C14" s="196" t="s">
        <v>220</v>
      </c>
      <c r="D14" s="197" t="s">
        <v>253</v>
      </c>
      <c r="E14" s="196" t="s">
        <v>219</v>
      </c>
      <c r="F14" s="196" t="s">
        <v>120</v>
      </c>
      <c r="G14" s="198">
        <v>0.9385</v>
      </c>
      <c r="H14" s="199">
        <v>179</v>
      </c>
      <c r="I14" s="199">
        <v>168</v>
      </c>
      <c r="J14" s="199">
        <v>135</v>
      </c>
      <c r="K14" s="196" t="s">
        <v>121</v>
      </c>
      <c r="L14" s="200" t="s">
        <v>49</v>
      </c>
      <c r="M14" s="199">
        <v>0</v>
      </c>
      <c r="N14" s="199">
        <v>0</v>
      </c>
      <c r="O14" s="199">
        <v>2</v>
      </c>
      <c r="P14" s="196" t="s">
        <v>33</v>
      </c>
      <c r="Q14" s="192"/>
      <c r="R14" s="192"/>
      <c r="S14" s="192"/>
      <c r="T14" s="192"/>
      <c r="U14" s="192"/>
      <c r="V14" s="192"/>
      <c r="W14" s="192"/>
      <c r="X14" s="192"/>
      <c r="Y14" s="192"/>
      <c r="Z14" s="199" t="s">
        <v>172</v>
      </c>
      <c r="AA14" s="192"/>
      <c r="AB14" s="192"/>
      <c r="AC14" s="199" t="s">
        <v>193</v>
      </c>
      <c r="AD14" s="199" t="s">
        <v>213</v>
      </c>
      <c r="AE14" s="199" t="s">
        <v>145</v>
      </c>
      <c r="AF14" s="199" t="s">
        <v>146</v>
      </c>
      <c r="AG14" s="192"/>
      <c r="AH14" s="192"/>
      <c r="AI14" s="199" t="s">
        <v>189</v>
      </c>
      <c r="AJ14" s="192"/>
    </row>
    <row r="15" spans="1:36" x14ac:dyDescent="0.3">
      <c r="A15" s="194" t="s">
        <v>131</v>
      </c>
      <c r="B15" s="195">
        <v>46007</v>
      </c>
      <c r="C15" s="196" t="s">
        <v>220</v>
      </c>
      <c r="D15" s="197" t="s">
        <v>256</v>
      </c>
      <c r="E15" s="196" t="s">
        <v>219</v>
      </c>
      <c r="F15" s="196" t="s">
        <v>120</v>
      </c>
      <c r="G15" s="198">
        <v>0.93300000000000005</v>
      </c>
      <c r="H15" s="199">
        <v>179</v>
      </c>
      <c r="I15" s="199">
        <v>167</v>
      </c>
      <c r="J15" s="199">
        <v>146</v>
      </c>
      <c r="K15" s="196" t="s">
        <v>121</v>
      </c>
      <c r="L15" s="200" t="s">
        <v>42</v>
      </c>
      <c r="M15" s="199">
        <v>0</v>
      </c>
      <c r="N15" s="199">
        <v>5</v>
      </c>
      <c r="O15" s="199">
        <v>15</v>
      </c>
      <c r="P15" s="196" t="s">
        <v>243</v>
      </c>
      <c r="Q15" s="192"/>
      <c r="R15" s="192"/>
      <c r="S15" s="192"/>
      <c r="T15" s="192"/>
      <c r="U15" s="192"/>
      <c r="V15" s="192"/>
      <c r="W15" s="192"/>
      <c r="X15" s="192"/>
      <c r="Y15" s="199" t="s">
        <v>285</v>
      </c>
      <c r="Z15" s="192"/>
      <c r="AA15" s="192"/>
      <c r="AB15" s="192"/>
      <c r="AC15" s="192"/>
      <c r="AD15" s="192"/>
      <c r="AE15" s="192"/>
      <c r="AF15" s="192"/>
      <c r="AG15" s="192"/>
      <c r="AH15" s="192"/>
      <c r="AI15" s="199" t="s">
        <v>286</v>
      </c>
      <c r="AJ15" s="192"/>
    </row>
    <row r="16" spans="1:36" x14ac:dyDescent="0.3">
      <c r="A16" s="194" t="s">
        <v>262</v>
      </c>
      <c r="B16" s="195">
        <v>46008</v>
      </c>
      <c r="C16" s="196" t="s">
        <v>220</v>
      </c>
      <c r="D16" s="197" t="s">
        <v>263</v>
      </c>
      <c r="E16" s="196" t="s">
        <v>219</v>
      </c>
      <c r="F16" s="196" t="s">
        <v>120</v>
      </c>
      <c r="G16" s="198">
        <v>0.94410000000000005</v>
      </c>
      <c r="H16" s="199">
        <v>179</v>
      </c>
      <c r="I16" s="199">
        <v>169</v>
      </c>
      <c r="J16" s="199">
        <v>137</v>
      </c>
      <c r="K16" s="196" t="s">
        <v>121</v>
      </c>
      <c r="L16" s="200" t="s">
        <v>49</v>
      </c>
      <c r="M16" s="199">
        <v>0</v>
      </c>
      <c r="N16" s="199">
        <v>0</v>
      </c>
      <c r="O16" s="199">
        <v>1</v>
      </c>
      <c r="P16" s="196" t="s">
        <v>33</v>
      </c>
      <c r="Q16" s="192"/>
      <c r="R16" s="192"/>
      <c r="S16" s="192"/>
      <c r="T16" s="192"/>
      <c r="U16" s="192"/>
      <c r="V16" s="192"/>
      <c r="W16" s="192"/>
      <c r="X16" s="192"/>
      <c r="Y16" s="192"/>
      <c r="Z16" s="199" t="s">
        <v>287</v>
      </c>
      <c r="AA16" s="192"/>
      <c r="AB16" s="192"/>
      <c r="AC16" s="199" t="s">
        <v>178</v>
      </c>
      <c r="AD16" s="192"/>
      <c r="AE16" s="192"/>
      <c r="AF16" s="192"/>
      <c r="AG16" s="192"/>
      <c r="AH16" s="192"/>
      <c r="AI16" s="199" t="s">
        <v>191</v>
      </c>
      <c r="AJ16" s="192"/>
    </row>
    <row r="17" spans="1:36" x14ac:dyDescent="0.3">
      <c r="A17" s="194" t="s">
        <v>156</v>
      </c>
      <c r="B17" s="195">
        <v>46009</v>
      </c>
      <c r="C17" s="196" t="s">
        <v>220</v>
      </c>
      <c r="D17" s="197" t="s">
        <v>265</v>
      </c>
      <c r="E17" s="196" t="s">
        <v>219</v>
      </c>
      <c r="F17" s="196" t="s">
        <v>120</v>
      </c>
      <c r="G17" s="198">
        <v>0.91620000000000001</v>
      </c>
      <c r="H17" s="199">
        <v>179</v>
      </c>
      <c r="I17" s="199">
        <v>164</v>
      </c>
      <c r="J17" s="199">
        <v>136</v>
      </c>
      <c r="K17" s="196" t="s">
        <v>121</v>
      </c>
      <c r="L17" s="200" t="s">
        <v>42</v>
      </c>
      <c r="M17" s="199">
        <v>0</v>
      </c>
      <c r="N17" s="199">
        <v>4</v>
      </c>
      <c r="O17" s="199">
        <v>15</v>
      </c>
      <c r="P17" s="196" t="s">
        <v>246</v>
      </c>
      <c r="Q17" s="192"/>
      <c r="R17" s="192"/>
      <c r="S17" s="192"/>
      <c r="T17" s="192"/>
      <c r="U17" s="192"/>
      <c r="V17" s="192"/>
      <c r="W17" s="192"/>
      <c r="X17" s="192"/>
      <c r="Y17" s="192"/>
      <c r="Z17" s="199" t="s">
        <v>151</v>
      </c>
      <c r="AA17" s="192"/>
      <c r="AB17" s="199" t="s">
        <v>288</v>
      </c>
      <c r="AC17" s="199" t="s">
        <v>143</v>
      </c>
      <c r="AD17" s="192"/>
      <c r="AE17" s="192"/>
      <c r="AF17" s="192"/>
      <c r="AG17" s="192"/>
      <c r="AH17" s="192"/>
      <c r="AI17" s="199" t="s">
        <v>289</v>
      </c>
      <c r="AJ17" s="192"/>
    </row>
    <row r="18" spans="1:36" x14ac:dyDescent="0.3">
      <c r="A18" s="194" t="s">
        <v>118</v>
      </c>
      <c r="B18" s="195">
        <v>46012</v>
      </c>
      <c r="C18" s="196" t="s">
        <v>220</v>
      </c>
      <c r="D18" s="197" t="s">
        <v>253</v>
      </c>
      <c r="E18" s="196" t="s">
        <v>219</v>
      </c>
      <c r="F18" s="196" t="s">
        <v>120</v>
      </c>
      <c r="G18" s="198">
        <v>0.9274</v>
      </c>
      <c r="H18" s="199">
        <v>179</v>
      </c>
      <c r="I18" s="199">
        <v>166</v>
      </c>
      <c r="J18" s="199">
        <v>139</v>
      </c>
      <c r="K18" s="196" t="s">
        <v>121</v>
      </c>
      <c r="L18" s="200" t="s">
        <v>42</v>
      </c>
      <c r="M18" s="199">
        <v>0</v>
      </c>
      <c r="N18" s="199">
        <v>4</v>
      </c>
      <c r="O18" s="199">
        <v>10</v>
      </c>
      <c r="P18" s="196" t="s">
        <v>248</v>
      </c>
      <c r="Q18" s="192"/>
      <c r="R18" s="192"/>
      <c r="S18" s="192"/>
      <c r="T18" s="192"/>
      <c r="U18" s="192"/>
      <c r="V18" s="192"/>
      <c r="W18" s="192"/>
      <c r="X18" s="192"/>
      <c r="Y18" s="192"/>
      <c r="Z18" s="199" t="s">
        <v>172</v>
      </c>
      <c r="AA18" s="199" t="s">
        <v>283</v>
      </c>
      <c r="AB18" s="199" t="s">
        <v>142</v>
      </c>
      <c r="AC18" s="199" t="s">
        <v>143</v>
      </c>
      <c r="AD18" s="192"/>
      <c r="AE18" s="192"/>
      <c r="AF18" s="192"/>
      <c r="AG18" s="192"/>
      <c r="AH18" s="192"/>
      <c r="AI18" s="199" t="s">
        <v>290</v>
      </c>
      <c r="AJ18" s="192"/>
    </row>
    <row r="19" spans="1:36" x14ac:dyDescent="0.3">
      <c r="A19" s="194" t="s">
        <v>131</v>
      </c>
      <c r="B19" s="195">
        <v>46014</v>
      </c>
      <c r="C19" s="196" t="s">
        <v>220</v>
      </c>
      <c r="D19" s="197" t="s">
        <v>256</v>
      </c>
      <c r="E19" s="196" t="s">
        <v>219</v>
      </c>
      <c r="F19" s="196" t="s">
        <v>120</v>
      </c>
      <c r="G19" s="198">
        <v>1.0056</v>
      </c>
      <c r="H19" s="199">
        <v>179</v>
      </c>
      <c r="I19" s="199">
        <v>180</v>
      </c>
      <c r="J19" s="199">
        <v>180</v>
      </c>
      <c r="K19" s="196" t="s">
        <v>121</v>
      </c>
      <c r="L19" s="200" t="s">
        <v>85</v>
      </c>
      <c r="M19" s="199">
        <v>0</v>
      </c>
      <c r="N19" s="199">
        <v>0</v>
      </c>
      <c r="O19" s="199">
        <v>1</v>
      </c>
      <c r="P19" s="196" t="s">
        <v>33</v>
      </c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9" t="s">
        <v>250</v>
      </c>
      <c r="AJ19" s="192"/>
    </row>
    <row r="20" spans="1:36" x14ac:dyDescent="0.3">
      <c r="A20" s="194" t="s">
        <v>262</v>
      </c>
      <c r="B20" s="195">
        <v>46015</v>
      </c>
      <c r="C20" s="196" t="s">
        <v>220</v>
      </c>
      <c r="D20" s="197" t="s">
        <v>263</v>
      </c>
      <c r="E20" s="196" t="s">
        <v>219</v>
      </c>
      <c r="F20" s="196" t="s">
        <v>120</v>
      </c>
      <c r="G20" s="198">
        <v>0.93300000000000005</v>
      </c>
      <c r="H20" s="199">
        <v>179</v>
      </c>
      <c r="I20" s="199">
        <v>167</v>
      </c>
      <c r="J20" s="199">
        <v>135</v>
      </c>
      <c r="K20" s="196" t="s">
        <v>121</v>
      </c>
      <c r="L20" s="200" t="s">
        <v>42</v>
      </c>
      <c r="M20" s="199">
        <v>0</v>
      </c>
      <c r="N20" s="199">
        <v>5</v>
      </c>
      <c r="O20" s="199">
        <v>10</v>
      </c>
      <c r="P20" s="196" t="s">
        <v>74</v>
      </c>
      <c r="Q20" s="192"/>
      <c r="R20" s="192"/>
      <c r="S20" s="192"/>
      <c r="T20" s="192"/>
      <c r="U20" s="192"/>
      <c r="V20" s="192"/>
      <c r="W20" s="192"/>
      <c r="X20" s="192"/>
      <c r="Y20" s="199" t="s">
        <v>82</v>
      </c>
      <c r="Z20" s="199" t="s">
        <v>177</v>
      </c>
      <c r="AA20" s="192"/>
      <c r="AB20" s="199" t="s">
        <v>142</v>
      </c>
      <c r="AC20" s="199" t="s">
        <v>143</v>
      </c>
      <c r="AD20" s="192"/>
      <c r="AE20" s="192"/>
      <c r="AF20" s="192"/>
      <c r="AG20" s="192"/>
      <c r="AH20" s="192"/>
      <c r="AI20" s="199" t="s">
        <v>189</v>
      </c>
      <c r="AJ20" s="192"/>
    </row>
    <row r="21" spans="1:36" x14ac:dyDescent="0.3">
      <c r="A21" s="194" t="s">
        <v>156</v>
      </c>
      <c r="B21" s="195">
        <v>46016</v>
      </c>
      <c r="C21" s="196" t="s">
        <v>220</v>
      </c>
      <c r="D21" s="197" t="s">
        <v>265</v>
      </c>
      <c r="E21" s="196" t="s">
        <v>219</v>
      </c>
      <c r="F21" s="196" t="s">
        <v>120</v>
      </c>
      <c r="G21" s="198">
        <v>0.97209999999999996</v>
      </c>
      <c r="H21" s="199">
        <v>179</v>
      </c>
      <c r="I21" s="199">
        <v>174</v>
      </c>
      <c r="J21" s="199">
        <v>155</v>
      </c>
      <c r="K21" s="196" t="s">
        <v>121</v>
      </c>
      <c r="L21" s="200" t="s">
        <v>230</v>
      </c>
      <c r="M21" s="199">
        <v>0</v>
      </c>
      <c r="N21" s="199">
        <v>0</v>
      </c>
      <c r="O21" s="199">
        <v>1</v>
      </c>
      <c r="P21" s="196" t="s">
        <v>33</v>
      </c>
      <c r="Q21" s="192"/>
      <c r="R21" s="192"/>
      <c r="S21" s="192"/>
      <c r="T21" s="192"/>
      <c r="U21" s="192"/>
      <c r="V21" s="192"/>
      <c r="W21" s="192"/>
      <c r="X21" s="192"/>
      <c r="Y21" s="192"/>
      <c r="Z21" s="199" t="s">
        <v>80</v>
      </c>
      <c r="AA21" s="192"/>
      <c r="AB21" s="199" t="s">
        <v>288</v>
      </c>
      <c r="AC21" s="199" t="s">
        <v>178</v>
      </c>
      <c r="AD21" s="192"/>
      <c r="AE21" s="192"/>
      <c r="AF21" s="192"/>
      <c r="AG21" s="192"/>
      <c r="AH21" s="192"/>
      <c r="AI21" s="199" t="s">
        <v>291</v>
      </c>
      <c r="AJ21" s="192"/>
    </row>
    <row r="22" spans="1:36" ht="21" x14ac:dyDescent="0.3">
      <c r="A22" s="201" t="s">
        <v>338</v>
      </c>
      <c r="B22" s="202"/>
      <c r="C22" s="201">
        <f>SUBTOTAL(103,MED_HBE_LF_LEGACY[Flt])</f>
        <v>20</v>
      </c>
      <c r="D22" s="201"/>
      <c r="E22" s="201">
        <f>SUBTOTAL(103,MED_HBE_LF_LEGACY[Brd-Off])</f>
        <v>20</v>
      </c>
      <c r="F22" s="201"/>
      <c r="G22" s="203">
        <f>SUBTOTAL(101,MED_HBE_LF_LEGACY[LF%])</f>
        <v>0.96005499999999999</v>
      </c>
      <c r="H22" s="204">
        <f>SUBTOTAL(109,MED_HBE_LF_LEGACY[CAP])</f>
        <v>3580</v>
      </c>
      <c r="I22" s="204">
        <f>SUBTOTAL(109,MED_HBE_LF_LEGACY[BKG(Y)])</f>
        <v>3437</v>
      </c>
      <c r="J22" s="204">
        <f>SUBTOTAL(109,MED_HBE_LF_LEGACY[GRP(Y)])</f>
        <v>2905</v>
      </c>
      <c r="K22" s="201"/>
      <c r="L22" s="202"/>
      <c r="M22" s="204">
        <f>SUBTOTAL(109,MED_HBE_LF_LEGACY[TO-DAY])</f>
        <v>0</v>
      </c>
      <c r="N22" s="204">
        <f>SUBTOTAL(109,MED_HBE_LF_LEGACY[Y-DAY])</f>
        <v>21</v>
      </c>
      <c r="O22" s="204">
        <f>SUBTOTAL(109,MED_HBE_LF_LEGACY[WEEKLY])</f>
        <v>132</v>
      </c>
      <c r="P22" s="205"/>
      <c r="Q22" s="204">
        <f>SUBTOTAL(109,MED_HBE_LF_LEGACY[Y])</f>
        <v>0</v>
      </c>
      <c r="R22" s="204">
        <f>SUBTOTAL(109,MED_HBE_LF_LEGACY[B])</f>
        <v>0</v>
      </c>
      <c r="S22" s="204">
        <f>SUBTOTAL(109,MED_HBE_LF_LEGACY[M])</f>
        <v>0</v>
      </c>
      <c r="T22" s="204">
        <f>SUBTOTAL(109,MED_HBE_LF_LEGACY[H])</f>
        <v>0</v>
      </c>
      <c r="U22" s="204">
        <f>SUBTOTAL(109,MED_HBE_LF_LEGACY[Q])</f>
        <v>0</v>
      </c>
      <c r="V22" s="204">
        <f>SUBTOTAL(109,MED_HBE_LF_LEGACY[K])</f>
        <v>0</v>
      </c>
      <c r="W22" s="204">
        <f>SUBTOTAL(109,MED_HBE_LF_LEGACY[V])</f>
        <v>0</v>
      </c>
      <c r="X22" s="204">
        <f>SUBTOTAL(109,MED_HBE_LF_LEGACY[L])</f>
        <v>0</v>
      </c>
      <c r="Y22" s="204">
        <f>SUBTOTAL(109,MED_HBE_LF_LEGACY[G])</f>
        <v>0</v>
      </c>
      <c r="Z22" s="204">
        <f>SUBTOTAL(109,MED_HBE_LF_LEGACY[S])</f>
        <v>0</v>
      </c>
      <c r="AA22" s="204">
        <f>SUBTOTAL(109,MED_HBE_LF_LEGACY[W])</f>
        <v>0</v>
      </c>
      <c r="AB22" s="204">
        <f>SUBTOTAL(109,MED_HBE_LF_LEGACY[T])</f>
        <v>0</v>
      </c>
      <c r="AC22" s="204">
        <f>SUBTOTAL(109,MED_HBE_LF_LEGACY[X])</f>
        <v>0</v>
      </c>
      <c r="AD22" s="204">
        <f>SUBTOTAL(109,MED_HBE_LF_LEGACY[U])</f>
        <v>0</v>
      </c>
      <c r="AE22" s="204">
        <f>SUBTOTAL(109,MED_HBE_LF_LEGACY[O])</f>
        <v>0</v>
      </c>
      <c r="AF22" s="204">
        <f>SUBTOTAL(109,MED_HBE_LF_LEGACY[I])</f>
        <v>0</v>
      </c>
      <c r="AG22" s="204">
        <f>SUBTOTAL(109,MED_HBE_LF_LEGACY[E])</f>
        <v>0</v>
      </c>
      <c r="AH22" s="204">
        <f>SUBTOTAL(109,MED_HBE_LF_LEGACY[A])</f>
        <v>0</v>
      </c>
      <c r="AI22" s="204">
        <f>SUBTOTAL(109,MED_HBE_LF_LEGACY[P])</f>
        <v>0</v>
      </c>
      <c r="AJ22" s="204">
        <f>SUBTOTAL(103,MED_HBE_LF_LEGACY[N])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6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8.21875" bestFit="1" customWidth="1"/>
  </cols>
  <sheetData>
    <row r="1" spans="1:92" ht="28.8" customHeight="1" x14ac:dyDescent="0.3">
      <c r="A1" s="181" t="s">
        <v>0</v>
      </c>
      <c r="B1" s="180"/>
      <c r="C1" s="180"/>
      <c r="D1" s="180"/>
      <c r="E1" s="180"/>
      <c r="F1" s="1" t="s">
        <v>292</v>
      </c>
      <c r="G1" s="2" t="s">
        <v>2</v>
      </c>
      <c r="H1" s="179" t="s">
        <v>3</v>
      </c>
      <c r="I1" s="180"/>
      <c r="J1" s="180"/>
      <c r="K1" s="180"/>
      <c r="L1" s="180"/>
      <c r="M1" s="1" t="s">
        <v>4</v>
      </c>
      <c r="N1" s="187" t="s">
        <v>5</v>
      </c>
      <c r="O1" s="180"/>
      <c r="P1" s="180"/>
      <c r="Q1" s="180"/>
      <c r="R1" s="180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6</v>
      </c>
      <c r="B2" s="180"/>
      <c r="C2" s="180"/>
      <c r="D2" s="180"/>
      <c r="E2" s="180"/>
      <c r="F2" s="180"/>
      <c r="G2" s="186">
        <v>45984.228423507637</v>
      </c>
      <c r="H2" s="180"/>
      <c r="I2" s="180"/>
      <c r="J2" s="180"/>
      <c r="K2" s="188">
        <v>45984.228423508161</v>
      </c>
      <c r="L2" s="180"/>
      <c r="M2" s="180"/>
      <c r="N2" s="180"/>
      <c r="O2" s="180"/>
      <c r="P2" s="180"/>
      <c r="Q2" s="180"/>
      <c r="R2" s="1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0" t="s">
        <v>7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1" t="s">
        <v>8</v>
      </c>
      <c r="B4" s="175"/>
      <c r="C4" s="175"/>
      <c r="D4" s="175"/>
      <c r="E4" s="175"/>
      <c r="F4" s="176"/>
      <c r="G4" s="4">
        <v>45985</v>
      </c>
      <c r="H4" s="189" t="s">
        <v>9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160" t="s">
        <v>28</v>
      </c>
      <c r="B6" s="160" t="s">
        <v>40</v>
      </c>
      <c r="C6" s="161">
        <v>0.80555555555555547</v>
      </c>
      <c r="D6" s="160" t="s">
        <v>30</v>
      </c>
      <c r="E6" s="162"/>
      <c r="F6" s="160" t="s">
        <v>36</v>
      </c>
      <c r="G6" s="183"/>
      <c r="H6" s="99" t="s">
        <v>40</v>
      </c>
      <c r="I6" s="100">
        <v>0.85709999999999997</v>
      </c>
      <c r="J6" s="101">
        <v>144</v>
      </c>
      <c r="K6" s="102" t="s">
        <v>42</v>
      </c>
      <c r="L6" s="101">
        <v>41</v>
      </c>
      <c r="M6" s="101">
        <v>0</v>
      </c>
      <c r="N6" s="101">
        <v>13</v>
      </c>
      <c r="O6" s="103" t="s">
        <v>216</v>
      </c>
      <c r="P6" s="104">
        <v>0.80555555555555547</v>
      </c>
      <c r="Q6" s="101">
        <v>168</v>
      </c>
      <c r="R6" s="105" t="s">
        <v>293</v>
      </c>
    </row>
    <row r="7" spans="1:92" ht="17.399999999999999" customHeight="1" thickBot="1" x14ac:dyDescent="0.35">
      <c r="A7" s="206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8"/>
    </row>
    <row r="8" spans="1:92" ht="22.05" customHeight="1" thickTop="1" thickBot="1" x14ac:dyDescent="0.35">
      <c r="A8" s="182" t="s">
        <v>8</v>
      </c>
      <c r="B8" s="175"/>
      <c r="C8" s="175"/>
      <c r="D8" s="175"/>
      <c r="E8" s="175"/>
      <c r="F8" s="176"/>
      <c r="G8" s="18">
        <v>45987</v>
      </c>
      <c r="H8" s="174" t="s">
        <v>9</v>
      </c>
      <c r="I8" s="175"/>
      <c r="J8" s="175"/>
      <c r="K8" s="175"/>
      <c r="L8" s="175"/>
      <c r="M8" s="175"/>
      <c r="N8" s="175"/>
      <c r="O8" s="175"/>
      <c r="P8" s="175"/>
      <c r="Q8" s="175"/>
      <c r="R8" s="176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294</v>
      </c>
      <c r="C10" s="27">
        <v>0.61805555555555558</v>
      </c>
      <c r="D10" s="26" t="s">
        <v>30</v>
      </c>
      <c r="E10" s="28"/>
      <c r="F10" s="26" t="s">
        <v>41</v>
      </c>
      <c r="G10" s="177"/>
      <c r="H10" s="120" t="s">
        <v>294</v>
      </c>
      <c r="I10" s="163">
        <v>0.82140000000000002</v>
      </c>
      <c r="J10" s="122">
        <v>138</v>
      </c>
      <c r="K10" s="123" t="s">
        <v>42</v>
      </c>
      <c r="L10" s="122">
        <v>39</v>
      </c>
      <c r="M10" s="122">
        <v>0</v>
      </c>
      <c r="N10" s="122">
        <v>8</v>
      </c>
      <c r="O10" s="124" t="s">
        <v>216</v>
      </c>
      <c r="P10" s="125">
        <v>0.61805555555555558</v>
      </c>
      <c r="Q10" s="122">
        <v>168</v>
      </c>
      <c r="R10" s="126" t="s">
        <v>295</v>
      </c>
    </row>
    <row r="11" spans="1:92" ht="17.399999999999999" customHeight="1" thickBot="1" x14ac:dyDescent="0.35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8"/>
    </row>
    <row r="12" spans="1:92" ht="22.05" customHeight="1" thickTop="1" thickBot="1" x14ac:dyDescent="0.35">
      <c r="A12" s="182" t="s">
        <v>8</v>
      </c>
      <c r="B12" s="175"/>
      <c r="C12" s="175"/>
      <c r="D12" s="175"/>
      <c r="E12" s="175"/>
      <c r="F12" s="176"/>
      <c r="G12" s="18">
        <v>45990</v>
      </c>
      <c r="H12" s="174" t="s">
        <v>9</v>
      </c>
      <c r="I12" s="175"/>
      <c r="J12" s="175"/>
      <c r="K12" s="175"/>
      <c r="L12" s="175"/>
      <c r="M12" s="175"/>
      <c r="N12" s="175"/>
      <c r="O12" s="175"/>
      <c r="P12" s="175"/>
      <c r="Q12" s="175"/>
      <c r="R12" s="176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9" t="s">
        <v>28</v>
      </c>
      <c r="B14" s="59" t="s">
        <v>40</v>
      </c>
      <c r="C14" s="60">
        <v>0.95486111111111116</v>
      </c>
      <c r="D14" s="59" t="s">
        <v>30</v>
      </c>
      <c r="E14" s="61"/>
      <c r="F14" s="59" t="s">
        <v>41</v>
      </c>
      <c r="G14" s="177"/>
      <c r="H14" s="62" t="s">
        <v>40</v>
      </c>
      <c r="I14" s="164">
        <v>0.5595</v>
      </c>
      <c r="J14" s="64">
        <v>94</v>
      </c>
      <c r="K14" s="65" t="s">
        <v>42</v>
      </c>
      <c r="L14" s="64">
        <v>46</v>
      </c>
      <c r="M14" s="64">
        <v>0</v>
      </c>
      <c r="N14" s="64">
        <v>14</v>
      </c>
      <c r="O14" s="66" t="s">
        <v>178</v>
      </c>
      <c r="P14" s="67">
        <v>0.95486111111111116</v>
      </c>
      <c r="Q14" s="64">
        <v>168</v>
      </c>
      <c r="R14" s="68" t="s">
        <v>296</v>
      </c>
    </row>
    <row r="15" spans="1:92" ht="17.399999999999999" customHeight="1" thickBot="1" x14ac:dyDescent="0.35">
      <c r="A15" s="206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8"/>
    </row>
    <row r="16" spans="1:92" ht="22.05" customHeight="1" thickTop="1" thickBot="1" x14ac:dyDescent="0.35">
      <c r="A16" s="182" t="s">
        <v>8</v>
      </c>
      <c r="B16" s="175"/>
      <c r="C16" s="175"/>
      <c r="D16" s="175"/>
      <c r="E16" s="175"/>
      <c r="F16" s="176"/>
      <c r="G16" s="18">
        <v>45992</v>
      </c>
      <c r="H16" s="174" t="s">
        <v>9</v>
      </c>
      <c r="I16" s="175"/>
      <c r="J16" s="175"/>
      <c r="K16" s="175"/>
      <c r="L16" s="175"/>
      <c r="M16" s="175"/>
      <c r="N16" s="175"/>
      <c r="O16" s="175"/>
      <c r="P16" s="175"/>
      <c r="Q16" s="175"/>
      <c r="R16" s="176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56" t="s">
        <v>28</v>
      </c>
      <c r="B18" s="56" t="s">
        <v>40</v>
      </c>
      <c r="C18" s="57">
        <v>0.80555555555555547</v>
      </c>
      <c r="D18" s="56" t="s">
        <v>30</v>
      </c>
      <c r="E18" s="58"/>
      <c r="F18" s="56" t="s">
        <v>41</v>
      </c>
      <c r="G18" s="177"/>
      <c r="H18" s="49" t="s">
        <v>40</v>
      </c>
      <c r="I18" s="165">
        <v>0.73809999999999998</v>
      </c>
      <c r="J18" s="51">
        <v>124</v>
      </c>
      <c r="K18" s="52" t="s">
        <v>67</v>
      </c>
      <c r="L18" s="51">
        <v>10</v>
      </c>
      <c r="M18" s="51">
        <v>0</v>
      </c>
      <c r="N18" s="51">
        <v>0</v>
      </c>
      <c r="O18" s="53" t="s">
        <v>190</v>
      </c>
      <c r="P18" s="54">
        <v>0.80555555555555547</v>
      </c>
      <c r="Q18" s="51">
        <v>168</v>
      </c>
      <c r="R18" s="55" t="s">
        <v>297</v>
      </c>
    </row>
    <row r="19" spans="1:18" ht="17.399999999999999" customHeight="1" thickBot="1" x14ac:dyDescent="0.35">
      <c r="A19" s="206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8"/>
    </row>
    <row r="20" spans="1:18" ht="22.05" customHeight="1" thickTop="1" thickBot="1" x14ac:dyDescent="0.35">
      <c r="A20" s="182" t="s">
        <v>8</v>
      </c>
      <c r="B20" s="175"/>
      <c r="C20" s="175"/>
      <c r="D20" s="175"/>
      <c r="E20" s="175"/>
      <c r="F20" s="176"/>
      <c r="G20" s="18">
        <v>45994</v>
      </c>
      <c r="H20" s="174" t="s">
        <v>9</v>
      </c>
      <c r="I20" s="175"/>
      <c r="J20" s="175"/>
      <c r="K20" s="175"/>
      <c r="L20" s="175"/>
      <c r="M20" s="175"/>
      <c r="N20" s="175"/>
      <c r="O20" s="175"/>
      <c r="P20" s="175"/>
      <c r="Q20" s="175"/>
      <c r="R20" s="176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160" t="s">
        <v>28</v>
      </c>
      <c r="B22" s="160" t="s">
        <v>294</v>
      </c>
      <c r="C22" s="161">
        <v>0.61805555555555558</v>
      </c>
      <c r="D22" s="160" t="s">
        <v>30</v>
      </c>
      <c r="E22" s="162"/>
      <c r="F22" s="160" t="s">
        <v>41</v>
      </c>
      <c r="G22" s="177"/>
      <c r="H22" s="99" t="s">
        <v>294</v>
      </c>
      <c r="I22" s="166">
        <v>0.77980000000000005</v>
      </c>
      <c r="J22" s="101">
        <v>131</v>
      </c>
      <c r="K22" s="102" t="s">
        <v>42</v>
      </c>
      <c r="L22" s="101">
        <v>16</v>
      </c>
      <c r="M22" s="101">
        <v>0</v>
      </c>
      <c r="N22" s="101">
        <v>4</v>
      </c>
      <c r="O22" s="103" t="s">
        <v>152</v>
      </c>
      <c r="P22" s="104">
        <v>0.61805555555555558</v>
      </c>
      <c r="Q22" s="101">
        <v>168</v>
      </c>
      <c r="R22" s="105" t="s">
        <v>298</v>
      </c>
    </row>
    <row r="23" spans="1:18" ht="17.399999999999999" customHeight="1" thickBot="1" x14ac:dyDescent="0.35">
      <c r="A23" s="206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8"/>
    </row>
    <row r="24" spans="1:18" ht="22.05" customHeight="1" thickTop="1" thickBot="1" x14ac:dyDescent="0.35">
      <c r="A24" s="182" t="s">
        <v>8</v>
      </c>
      <c r="B24" s="175"/>
      <c r="C24" s="175"/>
      <c r="D24" s="175"/>
      <c r="E24" s="175"/>
      <c r="F24" s="176"/>
      <c r="G24" s="18">
        <v>45997</v>
      </c>
      <c r="H24" s="174" t="s">
        <v>9</v>
      </c>
      <c r="I24" s="175"/>
      <c r="J24" s="175"/>
      <c r="K24" s="175"/>
      <c r="L24" s="175"/>
      <c r="M24" s="175"/>
      <c r="N24" s="175"/>
      <c r="O24" s="175"/>
      <c r="P24" s="175"/>
      <c r="Q24" s="175"/>
      <c r="R24" s="176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160" t="s">
        <v>28</v>
      </c>
      <c r="B26" s="160" t="s">
        <v>40</v>
      </c>
      <c r="C26" s="161">
        <v>0.95486111111111116</v>
      </c>
      <c r="D26" s="160" t="s">
        <v>30</v>
      </c>
      <c r="E26" s="162"/>
      <c r="F26" s="160" t="s">
        <v>299</v>
      </c>
      <c r="G26" s="183"/>
      <c r="H26" s="99" t="s">
        <v>40</v>
      </c>
      <c r="I26" s="167">
        <v>0.17860000000000001</v>
      </c>
      <c r="J26" s="101">
        <v>30</v>
      </c>
      <c r="K26" s="102" t="s">
        <v>42</v>
      </c>
      <c r="L26" s="101">
        <v>17</v>
      </c>
      <c r="M26" s="101">
        <v>0</v>
      </c>
      <c r="N26" s="101">
        <v>1</v>
      </c>
      <c r="O26" s="103" t="s">
        <v>300</v>
      </c>
      <c r="P26" s="104">
        <v>0.95486111111111116</v>
      </c>
      <c r="Q26" s="101">
        <v>168</v>
      </c>
      <c r="R26" s="105" t="s">
        <v>301</v>
      </c>
    </row>
    <row r="27" spans="1:18" ht="17.399999999999999" customHeight="1" thickBot="1" x14ac:dyDescent="0.35">
      <c r="A27" s="206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8"/>
    </row>
    <row r="28" spans="1:18" ht="22.05" customHeight="1" thickTop="1" thickBot="1" x14ac:dyDescent="0.35">
      <c r="A28" s="182" t="s">
        <v>8</v>
      </c>
      <c r="B28" s="175"/>
      <c r="C28" s="175"/>
      <c r="D28" s="175"/>
      <c r="E28" s="175"/>
      <c r="F28" s="176"/>
      <c r="G28" s="18">
        <v>45999</v>
      </c>
      <c r="H28" s="174" t="s">
        <v>9</v>
      </c>
      <c r="I28" s="175"/>
      <c r="J28" s="175"/>
      <c r="K28" s="175"/>
      <c r="L28" s="175"/>
      <c r="M28" s="175"/>
      <c r="N28" s="175"/>
      <c r="O28" s="175"/>
      <c r="P28" s="175"/>
      <c r="Q28" s="175"/>
      <c r="R28" s="176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157" t="s">
        <v>28</v>
      </c>
      <c r="B30" s="157" t="s">
        <v>40</v>
      </c>
      <c r="C30" s="158">
        <v>0.80555555555555547</v>
      </c>
      <c r="D30" s="157" t="s">
        <v>30</v>
      </c>
      <c r="E30" s="159"/>
      <c r="F30" s="157" t="s">
        <v>41</v>
      </c>
      <c r="G30" s="177"/>
      <c r="H30" s="150" t="s">
        <v>40</v>
      </c>
      <c r="I30" s="168">
        <v>0.47620000000000001</v>
      </c>
      <c r="J30" s="152">
        <v>80</v>
      </c>
      <c r="K30" s="153" t="s">
        <v>42</v>
      </c>
      <c r="L30" s="152">
        <v>4</v>
      </c>
      <c r="M30" s="152">
        <v>0</v>
      </c>
      <c r="N30" s="152">
        <v>1</v>
      </c>
      <c r="O30" s="154" t="s">
        <v>178</v>
      </c>
      <c r="P30" s="155">
        <v>0.80555555555555547</v>
      </c>
      <c r="Q30" s="152">
        <v>168</v>
      </c>
      <c r="R30" s="156" t="s">
        <v>302</v>
      </c>
    </row>
    <row r="31" spans="1:18" ht="17.399999999999999" customHeight="1" thickBot="1" x14ac:dyDescent="0.35">
      <c r="A31" s="206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8"/>
    </row>
    <row r="32" spans="1:18" ht="22.05" customHeight="1" thickTop="1" thickBot="1" x14ac:dyDescent="0.35">
      <c r="A32" s="182" t="s">
        <v>8</v>
      </c>
      <c r="B32" s="175"/>
      <c r="C32" s="175"/>
      <c r="D32" s="175"/>
      <c r="E32" s="175"/>
      <c r="F32" s="176"/>
      <c r="G32" s="18">
        <v>46001</v>
      </c>
      <c r="H32" s="174" t="s">
        <v>9</v>
      </c>
      <c r="I32" s="175"/>
      <c r="J32" s="175"/>
      <c r="K32" s="175"/>
      <c r="L32" s="175"/>
      <c r="M32" s="175"/>
      <c r="N32" s="175"/>
      <c r="O32" s="175"/>
      <c r="P32" s="175"/>
      <c r="Q32" s="175"/>
      <c r="R32" s="176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157" t="s">
        <v>28</v>
      </c>
      <c r="B34" s="157" t="s">
        <v>294</v>
      </c>
      <c r="C34" s="158">
        <v>0.61805555555555558</v>
      </c>
      <c r="D34" s="157" t="s">
        <v>30</v>
      </c>
      <c r="E34" s="159"/>
      <c r="F34" s="157" t="s">
        <v>41</v>
      </c>
      <c r="G34" s="177"/>
      <c r="H34" s="150" t="s">
        <v>294</v>
      </c>
      <c r="I34" s="168">
        <v>0.53569999999999995</v>
      </c>
      <c r="J34" s="152">
        <v>90</v>
      </c>
      <c r="K34" s="153" t="s">
        <v>42</v>
      </c>
      <c r="L34" s="152">
        <v>13</v>
      </c>
      <c r="M34" s="152">
        <v>0</v>
      </c>
      <c r="N34" s="152">
        <v>1</v>
      </c>
      <c r="O34" s="154" t="s">
        <v>161</v>
      </c>
      <c r="P34" s="155">
        <v>0.61805555555555558</v>
      </c>
      <c r="Q34" s="152">
        <v>168</v>
      </c>
      <c r="R34" s="156" t="s">
        <v>303</v>
      </c>
    </row>
    <row r="35" spans="1:18" ht="17.399999999999999" customHeight="1" thickBot="1" x14ac:dyDescent="0.35">
      <c r="A35" s="206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</row>
    <row r="36" spans="1:18" ht="22.05" customHeight="1" thickTop="1" thickBot="1" x14ac:dyDescent="0.35">
      <c r="A36" s="182" t="s">
        <v>8</v>
      </c>
      <c r="B36" s="175"/>
      <c r="C36" s="175"/>
      <c r="D36" s="175"/>
      <c r="E36" s="175"/>
      <c r="F36" s="176"/>
      <c r="G36" s="18">
        <v>46004</v>
      </c>
      <c r="H36" s="174" t="s">
        <v>9</v>
      </c>
      <c r="I36" s="175"/>
      <c r="J36" s="175"/>
      <c r="K36" s="175"/>
      <c r="L36" s="175"/>
      <c r="M36" s="175"/>
      <c r="N36" s="175"/>
      <c r="O36" s="175"/>
      <c r="P36" s="175"/>
      <c r="Q36" s="175"/>
      <c r="R36" s="176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106" t="s">
        <v>28</v>
      </c>
      <c r="B38" s="106" t="s">
        <v>40</v>
      </c>
      <c r="C38" s="107">
        <v>0.95486111111111116</v>
      </c>
      <c r="D38" s="106" t="s">
        <v>30</v>
      </c>
      <c r="E38" s="108"/>
      <c r="F38" s="106" t="s">
        <v>299</v>
      </c>
      <c r="G38" s="177"/>
      <c r="H38" s="109" t="s">
        <v>40</v>
      </c>
      <c r="I38" s="169">
        <v>0.13689999999999999</v>
      </c>
      <c r="J38" s="111">
        <v>23</v>
      </c>
      <c r="K38" s="112" t="s">
        <v>42</v>
      </c>
      <c r="L38" s="111">
        <v>13</v>
      </c>
      <c r="M38" s="111">
        <v>0</v>
      </c>
      <c r="N38" s="111">
        <v>4</v>
      </c>
      <c r="O38" s="113" t="s">
        <v>174</v>
      </c>
      <c r="P38" s="114">
        <v>0.95486111111111116</v>
      </c>
      <c r="Q38" s="111">
        <v>168</v>
      </c>
      <c r="R38" s="115" t="s">
        <v>304</v>
      </c>
    </row>
    <row r="39" spans="1:18" ht="17.399999999999999" customHeight="1" thickBot="1" x14ac:dyDescent="0.35">
      <c r="A39" s="206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8"/>
    </row>
    <row r="40" spans="1:18" ht="22.05" customHeight="1" thickTop="1" thickBot="1" x14ac:dyDescent="0.35">
      <c r="A40" s="182" t="s">
        <v>8</v>
      </c>
      <c r="B40" s="175"/>
      <c r="C40" s="175"/>
      <c r="D40" s="175"/>
      <c r="E40" s="175"/>
      <c r="F40" s="176"/>
      <c r="G40" s="18">
        <v>46006</v>
      </c>
      <c r="H40" s="174" t="s">
        <v>9</v>
      </c>
      <c r="I40" s="175"/>
      <c r="J40" s="175"/>
      <c r="K40" s="175"/>
      <c r="L40" s="175"/>
      <c r="M40" s="175"/>
      <c r="N40" s="175"/>
      <c r="O40" s="175"/>
      <c r="P40" s="175"/>
      <c r="Q40" s="175"/>
      <c r="R40" s="176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157" t="s">
        <v>28</v>
      </c>
      <c r="B42" s="157" t="s">
        <v>40</v>
      </c>
      <c r="C42" s="158">
        <v>0.80555555555555547</v>
      </c>
      <c r="D42" s="157" t="s">
        <v>30</v>
      </c>
      <c r="E42" s="159"/>
      <c r="F42" s="157" t="s">
        <v>31</v>
      </c>
      <c r="G42" s="177"/>
      <c r="H42" s="150" t="s">
        <v>40</v>
      </c>
      <c r="I42" s="168">
        <v>8.3299999999999999E-2</v>
      </c>
      <c r="J42" s="152">
        <v>14</v>
      </c>
      <c r="K42" s="153" t="s">
        <v>46</v>
      </c>
      <c r="L42" s="152">
        <v>3</v>
      </c>
      <c r="M42" s="152">
        <v>0</v>
      </c>
      <c r="N42" s="152">
        <v>0</v>
      </c>
      <c r="O42" s="154" t="s">
        <v>33</v>
      </c>
      <c r="P42" s="155">
        <v>0.80555555555555547</v>
      </c>
      <c r="Q42" s="152">
        <v>168</v>
      </c>
      <c r="R42" s="156" t="s">
        <v>305</v>
      </c>
    </row>
    <row r="43" spans="1:18" ht="17.399999999999999" customHeight="1" thickBot="1" x14ac:dyDescent="0.35">
      <c r="A43" s="206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8"/>
    </row>
    <row r="44" spans="1:18" ht="22.05" customHeight="1" thickTop="1" thickBot="1" x14ac:dyDescent="0.35">
      <c r="A44" s="182" t="s">
        <v>8</v>
      </c>
      <c r="B44" s="175"/>
      <c r="C44" s="175"/>
      <c r="D44" s="175"/>
      <c r="E44" s="175"/>
      <c r="F44" s="176"/>
      <c r="G44" s="18">
        <v>46008</v>
      </c>
      <c r="H44" s="174" t="s">
        <v>9</v>
      </c>
      <c r="I44" s="175"/>
      <c r="J44" s="175"/>
      <c r="K44" s="175"/>
      <c r="L44" s="175"/>
      <c r="M44" s="175"/>
      <c r="N44" s="175"/>
      <c r="O44" s="175"/>
      <c r="P44" s="175"/>
      <c r="Q44" s="175"/>
      <c r="R44" s="176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294</v>
      </c>
      <c r="C46" s="27">
        <v>0.61805555555555558</v>
      </c>
      <c r="D46" s="26" t="s">
        <v>30</v>
      </c>
      <c r="E46" s="28"/>
      <c r="F46" s="26" t="s">
        <v>41</v>
      </c>
      <c r="G46" s="177"/>
      <c r="H46" s="120" t="s">
        <v>294</v>
      </c>
      <c r="I46" s="170">
        <v>0.375</v>
      </c>
      <c r="J46" s="122">
        <v>63</v>
      </c>
      <c r="K46" s="123" t="s">
        <v>42</v>
      </c>
      <c r="L46" s="122">
        <v>10</v>
      </c>
      <c r="M46" s="122">
        <v>0</v>
      </c>
      <c r="N46" s="122">
        <v>1</v>
      </c>
      <c r="O46" s="124" t="s">
        <v>306</v>
      </c>
      <c r="P46" s="125">
        <v>0.61805555555555558</v>
      </c>
      <c r="Q46" s="122">
        <v>168</v>
      </c>
      <c r="R46" s="126" t="s">
        <v>307</v>
      </c>
    </row>
    <row r="47" spans="1:18" ht="17.399999999999999" customHeight="1" thickBot="1" x14ac:dyDescent="0.35">
      <c r="A47" s="206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8"/>
    </row>
    <row r="48" spans="1:18" ht="22.05" customHeight="1" thickTop="1" thickBot="1" x14ac:dyDescent="0.35">
      <c r="A48" s="182" t="s">
        <v>8</v>
      </c>
      <c r="B48" s="175"/>
      <c r="C48" s="175"/>
      <c r="D48" s="175"/>
      <c r="E48" s="175"/>
      <c r="F48" s="176"/>
      <c r="G48" s="18">
        <v>46011</v>
      </c>
      <c r="H48" s="174" t="s">
        <v>9</v>
      </c>
      <c r="I48" s="175"/>
      <c r="J48" s="175"/>
      <c r="K48" s="175"/>
      <c r="L48" s="175"/>
      <c r="M48" s="175"/>
      <c r="N48" s="175"/>
      <c r="O48" s="175"/>
      <c r="P48" s="175"/>
      <c r="Q48" s="175"/>
      <c r="R48" s="176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9" t="s">
        <v>28</v>
      </c>
      <c r="B50" s="59" t="s">
        <v>40</v>
      </c>
      <c r="C50" s="60">
        <v>0.95486111111111116</v>
      </c>
      <c r="D50" s="59" t="s">
        <v>30</v>
      </c>
      <c r="E50" s="61"/>
      <c r="F50" s="59" t="s">
        <v>299</v>
      </c>
      <c r="G50" s="177"/>
      <c r="H50" s="62" t="s">
        <v>40</v>
      </c>
      <c r="I50" s="171">
        <v>4.7600000000000003E-2</v>
      </c>
      <c r="J50" s="64">
        <v>8</v>
      </c>
      <c r="K50" s="65" t="s">
        <v>67</v>
      </c>
      <c r="L50" s="64">
        <v>6</v>
      </c>
      <c r="M50" s="64">
        <v>0</v>
      </c>
      <c r="N50" s="64">
        <v>0</v>
      </c>
      <c r="O50" s="66" t="s">
        <v>306</v>
      </c>
      <c r="P50" s="67">
        <v>0.95486111111111116</v>
      </c>
      <c r="Q50" s="64">
        <v>168</v>
      </c>
      <c r="R50" s="68" t="s">
        <v>272</v>
      </c>
    </row>
    <row r="51" spans="1:18" ht="17.399999999999999" customHeight="1" thickBot="1" x14ac:dyDescent="0.35">
      <c r="A51" s="206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8"/>
    </row>
    <row r="52" spans="1:18" ht="22.05" customHeight="1" thickTop="1" thickBot="1" x14ac:dyDescent="0.35">
      <c r="A52" s="182" t="s">
        <v>8</v>
      </c>
      <c r="B52" s="175"/>
      <c r="C52" s="175"/>
      <c r="D52" s="175"/>
      <c r="E52" s="175"/>
      <c r="F52" s="176"/>
      <c r="G52" s="18">
        <v>46013</v>
      </c>
      <c r="H52" s="174" t="s">
        <v>9</v>
      </c>
      <c r="I52" s="175"/>
      <c r="J52" s="175"/>
      <c r="K52" s="175"/>
      <c r="L52" s="175"/>
      <c r="M52" s="175"/>
      <c r="N52" s="175"/>
      <c r="O52" s="175"/>
      <c r="P52" s="175"/>
      <c r="Q52" s="175"/>
      <c r="R52" s="176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26" t="s">
        <v>28</v>
      </c>
      <c r="B54" s="26" t="s">
        <v>40</v>
      </c>
      <c r="C54" s="27">
        <v>0.80555555555555547</v>
      </c>
      <c r="D54" s="26" t="s">
        <v>30</v>
      </c>
      <c r="E54" s="28"/>
      <c r="F54" s="26" t="s">
        <v>31</v>
      </c>
      <c r="G54" s="183"/>
      <c r="H54" s="120" t="s">
        <v>40</v>
      </c>
      <c r="I54" s="170">
        <v>5.9499999999999997E-2</v>
      </c>
      <c r="J54" s="122">
        <v>10</v>
      </c>
      <c r="K54" s="123" t="s">
        <v>85</v>
      </c>
      <c r="L54" s="122">
        <v>1</v>
      </c>
      <c r="M54" s="122">
        <v>0</v>
      </c>
      <c r="N54" s="122">
        <v>0</v>
      </c>
      <c r="O54" s="124" t="s">
        <v>33</v>
      </c>
      <c r="P54" s="125">
        <v>0.80555555555555547</v>
      </c>
      <c r="Q54" s="122">
        <v>168</v>
      </c>
      <c r="R54" s="126" t="s">
        <v>308</v>
      </c>
    </row>
    <row r="55" spans="1:18" ht="17.399999999999999" customHeight="1" thickBot="1" x14ac:dyDescent="0.35">
      <c r="A55" s="206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8"/>
    </row>
    <row r="56" spans="1:18" ht="22.05" customHeight="1" thickTop="1" thickBot="1" x14ac:dyDescent="0.35">
      <c r="A56" s="182" t="s">
        <v>8</v>
      </c>
      <c r="B56" s="175"/>
      <c r="C56" s="175"/>
      <c r="D56" s="175"/>
      <c r="E56" s="175"/>
      <c r="F56" s="176"/>
      <c r="G56" s="18">
        <v>46014</v>
      </c>
      <c r="H56" s="174" t="s">
        <v>9</v>
      </c>
      <c r="I56" s="175"/>
      <c r="J56" s="175"/>
      <c r="K56" s="175"/>
      <c r="L56" s="175"/>
      <c r="M56" s="175"/>
      <c r="N56" s="175"/>
      <c r="O56" s="175"/>
      <c r="P56" s="175"/>
      <c r="Q56" s="175"/>
      <c r="R56" s="176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56" t="s">
        <v>28</v>
      </c>
      <c r="B58" s="56" t="s">
        <v>40</v>
      </c>
      <c r="C58" s="57">
        <v>0.27777777777777779</v>
      </c>
      <c r="D58" s="56" t="s">
        <v>30</v>
      </c>
      <c r="E58" s="58"/>
      <c r="F58" s="56" t="s">
        <v>299</v>
      </c>
      <c r="G58" s="177"/>
      <c r="H58" s="49" t="s">
        <v>40</v>
      </c>
      <c r="I58" s="172">
        <v>1.7899999999999999E-2</v>
      </c>
      <c r="J58" s="51">
        <v>3</v>
      </c>
      <c r="K58" s="52" t="s">
        <v>67</v>
      </c>
      <c r="L58" s="51">
        <v>3</v>
      </c>
      <c r="M58" s="51">
        <v>0</v>
      </c>
      <c r="N58" s="51">
        <v>0</v>
      </c>
      <c r="O58" s="53" t="s">
        <v>206</v>
      </c>
      <c r="P58" s="54">
        <v>0.27777777777777779</v>
      </c>
      <c r="Q58" s="51">
        <v>168</v>
      </c>
      <c r="R58" s="55" t="s">
        <v>309</v>
      </c>
    </row>
    <row r="59" spans="1:18" ht="17.399999999999999" customHeight="1" thickBot="1" x14ac:dyDescent="0.35">
      <c r="A59" s="206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8"/>
    </row>
    <row r="60" spans="1:18" ht="22.05" customHeight="1" thickTop="1" thickBot="1" x14ac:dyDescent="0.35">
      <c r="A60" s="182" t="s">
        <v>8</v>
      </c>
      <c r="B60" s="175"/>
      <c r="C60" s="175"/>
      <c r="D60" s="175"/>
      <c r="E60" s="175"/>
      <c r="F60" s="176"/>
      <c r="G60" s="18">
        <v>46015</v>
      </c>
      <c r="H60" s="174" t="s">
        <v>9</v>
      </c>
      <c r="I60" s="175"/>
      <c r="J60" s="175"/>
      <c r="K60" s="175"/>
      <c r="L60" s="175"/>
      <c r="M60" s="175"/>
      <c r="N60" s="175"/>
      <c r="O60" s="175"/>
      <c r="P60" s="175"/>
      <c r="Q60" s="175"/>
      <c r="R60" s="176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106" t="s">
        <v>28</v>
      </c>
      <c r="B62" s="106" t="s">
        <v>294</v>
      </c>
      <c r="C62" s="107">
        <v>0.61805555555555558</v>
      </c>
      <c r="D62" s="106" t="s">
        <v>30</v>
      </c>
      <c r="E62" s="108"/>
      <c r="F62" s="106" t="s">
        <v>41</v>
      </c>
      <c r="G62" s="183"/>
      <c r="H62" s="109" t="s">
        <v>294</v>
      </c>
      <c r="I62" s="173">
        <v>0.63690000000000002</v>
      </c>
      <c r="J62" s="111">
        <v>107</v>
      </c>
      <c r="K62" s="112" t="s">
        <v>85</v>
      </c>
      <c r="L62" s="111">
        <v>1</v>
      </c>
      <c r="M62" s="111">
        <v>0</v>
      </c>
      <c r="N62" s="111">
        <v>0</v>
      </c>
      <c r="O62" s="113" t="s">
        <v>309</v>
      </c>
      <c r="P62" s="114">
        <v>0.61805555555555558</v>
      </c>
      <c r="Q62" s="111">
        <v>168</v>
      </c>
      <c r="R62" s="115" t="s">
        <v>310</v>
      </c>
    </row>
    <row r="63" spans="1:18" ht="17.399999999999999" customHeight="1" thickBot="1" x14ac:dyDescent="0.35">
      <c r="A63" s="206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8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7"/>
  <sheetViews>
    <sheetView workbookViewId="0"/>
  </sheetViews>
  <sheetFormatPr defaultRowHeight="15.6" outlineLevelCol="1" x14ac:dyDescent="0.3"/>
  <cols>
    <col min="1" max="1" width="11.5546875" style="193" bestFit="1" customWidth="1"/>
    <col min="2" max="2" width="10.44140625" style="193" bestFit="1" customWidth="1"/>
    <col min="3" max="3" width="6.77734375" style="193" bestFit="1" customWidth="1"/>
    <col min="4" max="4" width="5.5546875" style="193" bestFit="1" customWidth="1"/>
    <col min="5" max="5" width="8.77734375" style="193" bestFit="1" customWidth="1"/>
    <col min="6" max="6" width="4.21875" style="193" bestFit="1" customWidth="1"/>
    <col min="7" max="7" width="10" style="193" bestFit="1" customWidth="1"/>
    <col min="8" max="9" width="8.5546875" style="193" bestFit="1" customWidth="1"/>
    <col min="10" max="10" width="7" style="193" bestFit="1" customWidth="1"/>
    <col min="11" max="11" width="10.5546875" style="193" bestFit="1" customWidth="1"/>
    <col min="12" max="12" width="18.109375" style="193" bestFit="1" customWidth="1"/>
    <col min="13" max="13" width="7.6640625" style="193" bestFit="1" customWidth="1" outlineLevel="1"/>
    <col min="14" max="14" width="6.33203125" style="193" bestFit="1" customWidth="1" outlineLevel="1"/>
    <col min="15" max="15" width="8" style="193" bestFit="1" customWidth="1" outlineLevel="1"/>
    <col min="16" max="16" width="13.6640625" style="193" bestFit="1" customWidth="1"/>
    <col min="17" max="25" width="3.88671875" style="193" bestFit="1" customWidth="1"/>
    <col min="26" max="26" width="4.109375" style="193" bestFit="1" customWidth="1"/>
    <col min="27" max="28" width="3.88671875" style="193" bestFit="1" customWidth="1"/>
    <col min="29" max="29" width="4.21875" style="193" bestFit="1" customWidth="1"/>
    <col min="30" max="31" width="4.5546875" style="193" bestFit="1" customWidth="1"/>
    <col min="32" max="32" width="3.88671875" style="193" bestFit="1" customWidth="1"/>
    <col min="33" max="33" width="4.21875" style="193" bestFit="1" customWidth="1"/>
    <col min="34" max="34" width="3.88671875" style="193" bestFit="1" customWidth="1"/>
    <col min="35" max="35" width="4.21875" style="193" bestFit="1" customWidth="1"/>
    <col min="36" max="36" width="3.88671875" style="193" bestFit="1" customWidth="1"/>
    <col min="37" max="16384" width="8.88671875" style="193"/>
  </cols>
  <sheetData>
    <row r="1" spans="1:36" x14ac:dyDescent="0.3">
      <c r="A1" s="192" t="s">
        <v>89</v>
      </c>
      <c r="B1" s="192" t="s">
        <v>90</v>
      </c>
      <c r="C1" s="192" t="s">
        <v>91</v>
      </c>
      <c r="D1" s="192" t="s">
        <v>25</v>
      </c>
      <c r="E1" s="192" t="s">
        <v>92</v>
      </c>
      <c r="F1" s="192" t="s">
        <v>93</v>
      </c>
      <c r="G1" s="192" t="s">
        <v>18</v>
      </c>
      <c r="H1" s="192" t="s">
        <v>94</v>
      </c>
      <c r="I1" s="192" t="s">
        <v>95</v>
      </c>
      <c r="J1" s="192" t="s">
        <v>96</v>
      </c>
      <c r="K1" s="192" t="s">
        <v>97</v>
      </c>
      <c r="L1" s="192" t="s">
        <v>20</v>
      </c>
      <c r="M1" s="192" t="s">
        <v>22</v>
      </c>
      <c r="N1" s="192" t="s">
        <v>23</v>
      </c>
      <c r="O1" s="192" t="s">
        <v>21</v>
      </c>
      <c r="P1" s="192" t="s">
        <v>24</v>
      </c>
      <c r="Q1" s="192" t="s">
        <v>98</v>
      </c>
      <c r="R1" s="192" t="s">
        <v>99</v>
      </c>
      <c r="S1" s="192" t="s">
        <v>100</v>
      </c>
      <c r="T1" s="192" t="s">
        <v>101</v>
      </c>
      <c r="U1" s="192" t="s">
        <v>102</v>
      </c>
      <c r="V1" s="192" t="s">
        <v>103</v>
      </c>
      <c r="W1" s="192" t="s">
        <v>104</v>
      </c>
      <c r="X1" s="192" t="s">
        <v>105</v>
      </c>
      <c r="Y1" s="192" t="s">
        <v>106</v>
      </c>
      <c r="Z1" s="192" t="s">
        <v>107</v>
      </c>
      <c r="AA1" s="192" t="s">
        <v>108</v>
      </c>
      <c r="AB1" s="192" t="s">
        <v>109</v>
      </c>
      <c r="AC1" s="192" t="s">
        <v>110</v>
      </c>
      <c r="AD1" s="192" t="s">
        <v>111</v>
      </c>
      <c r="AE1" s="192" t="s">
        <v>112</v>
      </c>
      <c r="AF1" s="192" t="s">
        <v>113</v>
      </c>
      <c r="AG1" s="192" t="s">
        <v>114</v>
      </c>
      <c r="AH1" s="192" t="s">
        <v>115</v>
      </c>
      <c r="AI1" s="192" t="s">
        <v>116</v>
      </c>
      <c r="AJ1" s="192" t="s">
        <v>117</v>
      </c>
    </row>
    <row r="2" spans="1:36" x14ac:dyDescent="0.3">
      <c r="A2" s="194" t="s">
        <v>311</v>
      </c>
      <c r="B2" s="195">
        <v>45985</v>
      </c>
      <c r="C2" s="196" t="s">
        <v>40</v>
      </c>
      <c r="D2" s="197" t="s">
        <v>312</v>
      </c>
      <c r="E2" s="196" t="s">
        <v>292</v>
      </c>
      <c r="F2" s="196" t="s">
        <v>120</v>
      </c>
      <c r="G2" s="198">
        <v>0.85709999999999997</v>
      </c>
      <c r="H2" s="199">
        <v>168</v>
      </c>
      <c r="I2" s="199">
        <v>144</v>
      </c>
      <c r="J2" s="199">
        <v>54</v>
      </c>
      <c r="K2" s="196" t="s">
        <v>121</v>
      </c>
      <c r="L2" s="200" t="s">
        <v>42</v>
      </c>
      <c r="M2" s="199">
        <v>0</v>
      </c>
      <c r="N2" s="199">
        <v>13</v>
      </c>
      <c r="O2" s="199">
        <v>41</v>
      </c>
      <c r="P2" s="196" t="s">
        <v>216</v>
      </c>
      <c r="Q2" s="192"/>
      <c r="R2" s="192"/>
      <c r="S2" s="192"/>
      <c r="T2" s="192"/>
      <c r="U2" s="192"/>
      <c r="V2" s="192"/>
      <c r="W2" s="192"/>
      <c r="X2" s="192"/>
      <c r="Y2" s="192"/>
      <c r="Z2" s="199" t="s">
        <v>282</v>
      </c>
      <c r="AA2" s="192"/>
      <c r="AB2" s="192"/>
      <c r="AC2" s="199" t="s">
        <v>313</v>
      </c>
      <c r="AD2" s="199" t="s">
        <v>314</v>
      </c>
      <c r="AE2" s="199" t="s">
        <v>204</v>
      </c>
      <c r="AF2" s="199" t="s">
        <v>315</v>
      </c>
      <c r="AG2" s="192"/>
      <c r="AH2" s="192"/>
      <c r="AI2" s="199" t="s">
        <v>316</v>
      </c>
      <c r="AJ2" s="192"/>
    </row>
    <row r="3" spans="1:36" x14ac:dyDescent="0.3">
      <c r="A3" s="194" t="s">
        <v>262</v>
      </c>
      <c r="B3" s="195">
        <v>45987</v>
      </c>
      <c r="C3" s="196" t="s">
        <v>294</v>
      </c>
      <c r="D3" s="197" t="s">
        <v>317</v>
      </c>
      <c r="E3" s="196" t="s">
        <v>292</v>
      </c>
      <c r="F3" s="196" t="s">
        <v>120</v>
      </c>
      <c r="G3" s="198">
        <v>0.82140000000000002</v>
      </c>
      <c r="H3" s="199">
        <v>168</v>
      </c>
      <c r="I3" s="199">
        <v>138</v>
      </c>
      <c r="J3" s="199">
        <v>50</v>
      </c>
      <c r="K3" s="196" t="s">
        <v>121</v>
      </c>
      <c r="L3" s="200" t="s">
        <v>42</v>
      </c>
      <c r="M3" s="199">
        <v>0</v>
      </c>
      <c r="N3" s="199">
        <v>8</v>
      </c>
      <c r="O3" s="199">
        <v>39</v>
      </c>
      <c r="P3" s="196" t="s">
        <v>216</v>
      </c>
      <c r="Q3" s="192"/>
      <c r="R3" s="192"/>
      <c r="S3" s="192"/>
      <c r="T3" s="192"/>
      <c r="U3" s="192"/>
      <c r="V3" s="192"/>
      <c r="W3" s="192"/>
      <c r="X3" s="192"/>
      <c r="Y3" s="192"/>
      <c r="Z3" s="199" t="s">
        <v>151</v>
      </c>
      <c r="AA3" s="192"/>
      <c r="AB3" s="192"/>
      <c r="AC3" s="199" t="s">
        <v>264</v>
      </c>
      <c r="AD3" s="199" t="s">
        <v>314</v>
      </c>
      <c r="AE3" s="199" t="s">
        <v>318</v>
      </c>
      <c r="AF3" s="199" t="s">
        <v>319</v>
      </c>
      <c r="AG3" s="192"/>
      <c r="AH3" s="192"/>
      <c r="AI3" s="199" t="s">
        <v>320</v>
      </c>
      <c r="AJ3" s="192"/>
    </row>
    <row r="4" spans="1:36" x14ac:dyDescent="0.3">
      <c r="A4" s="194" t="s">
        <v>164</v>
      </c>
      <c r="B4" s="195">
        <v>45990</v>
      </c>
      <c r="C4" s="196" t="s">
        <v>40</v>
      </c>
      <c r="D4" s="197" t="s">
        <v>321</v>
      </c>
      <c r="E4" s="196" t="s">
        <v>292</v>
      </c>
      <c r="F4" s="196" t="s">
        <v>120</v>
      </c>
      <c r="G4" s="198">
        <v>0.5595</v>
      </c>
      <c r="H4" s="199">
        <v>168</v>
      </c>
      <c r="I4" s="199">
        <v>94</v>
      </c>
      <c r="J4" s="199">
        <v>0</v>
      </c>
      <c r="K4" s="196" t="s">
        <v>121</v>
      </c>
      <c r="L4" s="200" t="s">
        <v>42</v>
      </c>
      <c r="M4" s="199">
        <v>0</v>
      </c>
      <c r="N4" s="199">
        <v>14</v>
      </c>
      <c r="O4" s="199">
        <v>46</v>
      </c>
      <c r="P4" s="196" t="s">
        <v>178</v>
      </c>
      <c r="Q4" s="192"/>
      <c r="R4" s="192"/>
      <c r="S4" s="192"/>
      <c r="T4" s="192"/>
      <c r="U4" s="192"/>
      <c r="V4" s="192"/>
      <c r="W4" s="192"/>
      <c r="X4" s="192"/>
      <c r="Y4" s="192"/>
      <c r="Z4" s="199" t="s">
        <v>282</v>
      </c>
      <c r="AA4" s="192"/>
      <c r="AB4" s="192"/>
      <c r="AC4" s="199" t="s">
        <v>218</v>
      </c>
      <c r="AD4" s="199" t="s">
        <v>322</v>
      </c>
      <c r="AE4" s="199" t="s">
        <v>323</v>
      </c>
      <c r="AF4" s="199" t="s">
        <v>324</v>
      </c>
      <c r="AG4" s="192"/>
      <c r="AH4" s="192"/>
      <c r="AI4" s="192"/>
      <c r="AJ4" s="192"/>
    </row>
    <row r="5" spans="1:36" x14ac:dyDescent="0.3">
      <c r="A5" s="194" t="s">
        <v>311</v>
      </c>
      <c r="B5" s="195">
        <v>45992</v>
      </c>
      <c r="C5" s="196" t="s">
        <v>40</v>
      </c>
      <c r="D5" s="197" t="s">
        <v>312</v>
      </c>
      <c r="E5" s="196" t="s">
        <v>292</v>
      </c>
      <c r="F5" s="196" t="s">
        <v>120</v>
      </c>
      <c r="G5" s="198">
        <v>0.73809999999999998</v>
      </c>
      <c r="H5" s="199">
        <v>168</v>
      </c>
      <c r="I5" s="199">
        <v>124</v>
      </c>
      <c r="J5" s="199">
        <v>86</v>
      </c>
      <c r="K5" s="196" t="s">
        <v>121</v>
      </c>
      <c r="L5" s="200" t="s">
        <v>67</v>
      </c>
      <c r="M5" s="199">
        <v>0</v>
      </c>
      <c r="N5" s="199">
        <v>0</v>
      </c>
      <c r="O5" s="199">
        <v>10</v>
      </c>
      <c r="P5" s="196" t="s">
        <v>190</v>
      </c>
      <c r="Q5" s="192"/>
      <c r="R5" s="192"/>
      <c r="S5" s="192"/>
      <c r="T5" s="192"/>
      <c r="U5" s="192"/>
      <c r="V5" s="192"/>
      <c r="W5" s="192"/>
      <c r="X5" s="192"/>
      <c r="Y5" s="192"/>
      <c r="Z5" s="199" t="s">
        <v>80</v>
      </c>
      <c r="AA5" s="192"/>
      <c r="AB5" s="192"/>
      <c r="AC5" s="199" t="s">
        <v>325</v>
      </c>
      <c r="AD5" s="199" t="s">
        <v>153</v>
      </c>
      <c r="AE5" s="199" t="s">
        <v>326</v>
      </c>
      <c r="AF5" s="199" t="s">
        <v>276</v>
      </c>
      <c r="AG5" s="192"/>
      <c r="AH5" s="192"/>
      <c r="AI5" s="199" t="s">
        <v>129</v>
      </c>
      <c r="AJ5" s="192"/>
    </row>
    <row r="6" spans="1:36" x14ac:dyDescent="0.3">
      <c r="A6" s="194" t="s">
        <v>262</v>
      </c>
      <c r="B6" s="195">
        <v>45994</v>
      </c>
      <c r="C6" s="196" t="s">
        <v>294</v>
      </c>
      <c r="D6" s="197" t="s">
        <v>317</v>
      </c>
      <c r="E6" s="196" t="s">
        <v>292</v>
      </c>
      <c r="F6" s="196" t="s">
        <v>120</v>
      </c>
      <c r="G6" s="198">
        <v>0.77980000000000005</v>
      </c>
      <c r="H6" s="199">
        <v>168</v>
      </c>
      <c r="I6" s="199">
        <v>131</v>
      </c>
      <c r="J6" s="199">
        <v>79</v>
      </c>
      <c r="K6" s="196" t="s">
        <v>121</v>
      </c>
      <c r="L6" s="200" t="s">
        <v>42</v>
      </c>
      <c r="M6" s="199">
        <v>0</v>
      </c>
      <c r="N6" s="199">
        <v>4</v>
      </c>
      <c r="O6" s="199">
        <v>16</v>
      </c>
      <c r="P6" s="196" t="s">
        <v>152</v>
      </c>
      <c r="Q6" s="192"/>
      <c r="R6" s="192"/>
      <c r="S6" s="192"/>
      <c r="T6" s="192"/>
      <c r="U6" s="192"/>
      <c r="V6" s="192"/>
      <c r="W6" s="192"/>
      <c r="X6" s="192"/>
      <c r="Y6" s="192"/>
      <c r="Z6" s="199" t="s">
        <v>184</v>
      </c>
      <c r="AA6" s="192"/>
      <c r="AB6" s="192"/>
      <c r="AC6" s="199" t="s">
        <v>264</v>
      </c>
      <c r="AD6" s="199" t="s">
        <v>126</v>
      </c>
      <c r="AE6" s="199" t="s">
        <v>127</v>
      </c>
      <c r="AF6" s="199" t="s">
        <v>327</v>
      </c>
      <c r="AG6" s="192"/>
      <c r="AH6" s="192"/>
      <c r="AI6" s="199" t="s">
        <v>328</v>
      </c>
      <c r="AJ6" s="192"/>
    </row>
    <row r="7" spans="1:36" x14ac:dyDescent="0.3">
      <c r="A7" s="194" t="s">
        <v>164</v>
      </c>
      <c r="B7" s="195">
        <v>45997</v>
      </c>
      <c r="C7" s="196" t="s">
        <v>40</v>
      </c>
      <c r="D7" s="197" t="s">
        <v>321</v>
      </c>
      <c r="E7" s="196" t="s">
        <v>292</v>
      </c>
      <c r="F7" s="196" t="s">
        <v>120</v>
      </c>
      <c r="G7" s="198">
        <v>0.17860000000000001</v>
      </c>
      <c r="H7" s="199">
        <v>168</v>
      </c>
      <c r="I7" s="199">
        <v>30</v>
      </c>
      <c r="J7" s="199">
        <v>0</v>
      </c>
      <c r="K7" s="196" t="s">
        <v>121</v>
      </c>
      <c r="L7" s="200" t="s">
        <v>42</v>
      </c>
      <c r="M7" s="199">
        <v>0</v>
      </c>
      <c r="N7" s="199">
        <v>1</v>
      </c>
      <c r="O7" s="199">
        <v>17</v>
      </c>
      <c r="P7" s="196" t="s">
        <v>300</v>
      </c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9" t="s">
        <v>190</v>
      </c>
      <c r="AD7" s="192"/>
      <c r="AE7" s="199" t="s">
        <v>127</v>
      </c>
      <c r="AF7" s="199" t="s">
        <v>329</v>
      </c>
      <c r="AG7" s="192"/>
      <c r="AH7" s="192"/>
      <c r="AI7" s="192"/>
      <c r="AJ7" s="192"/>
    </row>
    <row r="8" spans="1:36" x14ac:dyDescent="0.3">
      <c r="A8" s="194" t="s">
        <v>311</v>
      </c>
      <c r="B8" s="195">
        <v>45999</v>
      </c>
      <c r="C8" s="196" t="s">
        <v>40</v>
      </c>
      <c r="D8" s="197" t="s">
        <v>312</v>
      </c>
      <c r="E8" s="196" t="s">
        <v>292</v>
      </c>
      <c r="F8" s="196" t="s">
        <v>120</v>
      </c>
      <c r="G8" s="198">
        <v>0.47620000000000001</v>
      </c>
      <c r="H8" s="199">
        <v>168</v>
      </c>
      <c r="I8" s="199">
        <v>80</v>
      </c>
      <c r="J8" s="199">
        <v>52</v>
      </c>
      <c r="K8" s="196" t="s">
        <v>121</v>
      </c>
      <c r="L8" s="200" t="s">
        <v>42</v>
      </c>
      <c r="M8" s="199">
        <v>0</v>
      </c>
      <c r="N8" s="199">
        <v>1</v>
      </c>
      <c r="O8" s="199">
        <v>4</v>
      </c>
      <c r="P8" s="196" t="s">
        <v>178</v>
      </c>
      <c r="Q8" s="192"/>
      <c r="R8" s="192"/>
      <c r="S8" s="192"/>
      <c r="T8" s="192"/>
      <c r="U8" s="192"/>
      <c r="V8" s="192"/>
      <c r="W8" s="192"/>
      <c r="X8" s="192"/>
      <c r="Y8" s="192"/>
      <c r="Z8" s="199" t="s">
        <v>172</v>
      </c>
      <c r="AA8" s="192"/>
      <c r="AB8" s="192"/>
      <c r="AC8" s="199" t="s">
        <v>264</v>
      </c>
      <c r="AD8" s="199" t="s">
        <v>153</v>
      </c>
      <c r="AE8" s="199" t="s">
        <v>326</v>
      </c>
      <c r="AF8" s="199" t="s">
        <v>276</v>
      </c>
      <c r="AG8" s="192"/>
      <c r="AH8" s="192"/>
      <c r="AI8" s="199" t="s">
        <v>330</v>
      </c>
      <c r="AJ8" s="192"/>
    </row>
    <row r="9" spans="1:36" x14ac:dyDescent="0.3">
      <c r="A9" s="194" t="s">
        <v>262</v>
      </c>
      <c r="B9" s="195">
        <v>46001</v>
      </c>
      <c r="C9" s="196" t="s">
        <v>294</v>
      </c>
      <c r="D9" s="197" t="s">
        <v>317</v>
      </c>
      <c r="E9" s="196" t="s">
        <v>292</v>
      </c>
      <c r="F9" s="196" t="s">
        <v>120</v>
      </c>
      <c r="G9" s="198">
        <v>0.53569999999999995</v>
      </c>
      <c r="H9" s="199">
        <v>168</v>
      </c>
      <c r="I9" s="199">
        <v>90</v>
      </c>
      <c r="J9" s="199">
        <v>49</v>
      </c>
      <c r="K9" s="196" t="s">
        <v>121</v>
      </c>
      <c r="L9" s="200" t="s">
        <v>42</v>
      </c>
      <c r="M9" s="199">
        <v>0</v>
      </c>
      <c r="N9" s="199">
        <v>1</v>
      </c>
      <c r="O9" s="199">
        <v>13</v>
      </c>
      <c r="P9" s="196" t="s">
        <v>161</v>
      </c>
      <c r="Q9" s="192"/>
      <c r="R9" s="192"/>
      <c r="S9" s="192"/>
      <c r="T9" s="192"/>
      <c r="U9" s="192"/>
      <c r="V9" s="192"/>
      <c r="W9" s="192"/>
      <c r="X9" s="192"/>
      <c r="Y9" s="192"/>
      <c r="Z9" s="199" t="s">
        <v>211</v>
      </c>
      <c r="AA9" s="192"/>
      <c r="AB9" s="192"/>
      <c r="AC9" s="199" t="s">
        <v>190</v>
      </c>
      <c r="AD9" s="199" t="s">
        <v>126</v>
      </c>
      <c r="AE9" s="199" t="s">
        <v>331</v>
      </c>
      <c r="AF9" s="199" t="s">
        <v>128</v>
      </c>
      <c r="AG9" s="192"/>
      <c r="AH9" s="192"/>
      <c r="AI9" s="199" t="s">
        <v>332</v>
      </c>
      <c r="AJ9" s="192"/>
    </row>
    <row r="10" spans="1:36" x14ac:dyDescent="0.3">
      <c r="A10" s="194" t="s">
        <v>164</v>
      </c>
      <c r="B10" s="195">
        <v>46004</v>
      </c>
      <c r="C10" s="196" t="s">
        <v>40</v>
      </c>
      <c r="D10" s="197" t="s">
        <v>321</v>
      </c>
      <c r="E10" s="196" t="s">
        <v>292</v>
      </c>
      <c r="F10" s="196" t="s">
        <v>120</v>
      </c>
      <c r="G10" s="198">
        <v>0.13689999999999999</v>
      </c>
      <c r="H10" s="199">
        <v>168</v>
      </c>
      <c r="I10" s="199">
        <v>23</v>
      </c>
      <c r="J10" s="199">
        <v>0</v>
      </c>
      <c r="K10" s="196" t="s">
        <v>121</v>
      </c>
      <c r="L10" s="200" t="s">
        <v>42</v>
      </c>
      <c r="M10" s="199">
        <v>0</v>
      </c>
      <c r="N10" s="199">
        <v>4</v>
      </c>
      <c r="O10" s="199">
        <v>13</v>
      </c>
      <c r="P10" s="196" t="s">
        <v>174</v>
      </c>
      <c r="Q10" s="192"/>
      <c r="R10" s="192"/>
      <c r="S10" s="192"/>
      <c r="T10" s="192"/>
      <c r="U10" s="192"/>
      <c r="V10" s="192"/>
      <c r="W10" s="192"/>
      <c r="X10" s="192"/>
      <c r="Y10" s="192"/>
      <c r="Z10" s="199" t="s">
        <v>160</v>
      </c>
      <c r="AA10" s="192"/>
      <c r="AB10" s="192"/>
      <c r="AC10" s="199" t="s">
        <v>333</v>
      </c>
      <c r="AD10" s="199" t="s">
        <v>153</v>
      </c>
      <c r="AE10" s="199" t="s">
        <v>326</v>
      </c>
      <c r="AF10" s="199" t="s">
        <v>276</v>
      </c>
      <c r="AG10" s="192"/>
      <c r="AH10" s="192"/>
      <c r="AI10" s="192"/>
      <c r="AJ10" s="192"/>
    </row>
    <row r="11" spans="1:36" x14ac:dyDescent="0.3">
      <c r="A11" s="194" t="s">
        <v>311</v>
      </c>
      <c r="B11" s="195">
        <v>46006</v>
      </c>
      <c r="C11" s="196" t="s">
        <v>40</v>
      </c>
      <c r="D11" s="197" t="s">
        <v>312</v>
      </c>
      <c r="E11" s="196" t="s">
        <v>292</v>
      </c>
      <c r="F11" s="196" t="s">
        <v>120</v>
      </c>
      <c r="G11" s="198">
        <v>8.3299999999999999E-2</v>
      </c>
      <c r="H11" s="199">
        <v>168</v>
      </c>
      <c r="I11" s="199">
        <v>14</v>
      </c>
      <c r="J11" s="199">
        <v>0</v>
      </c>
      <c r="K11" s="196" t="s">
        <v>121</v>
      </c>
      <c r="L11" s="200" t="s">
        <v>46</v>
      </c>
      <c r="M11" s="199">
        <v>0</v>
      </c>
      <c r="N11" s="199">
        <v>0</v>
      </c>
      <c r="O11" s="199">
        <v>3</v>
      </c>
      <c r="P11" s="196" t="s">
        <v>33</v>
      </c>
      <c r="Q11" s="192"/>
      <c r="R11" s="192"/>
      <c r="S11" s="192"/>
      <c r="T11" s="192"/>
      <c r="U11" s="192"/>
      <c r="V11" s="192"/>
      <c r="W11" s="192"/>
      <c r="X11" s="192"/>
      <c r="Y11" s="192"/>
      <c r="Z11" s="199" t="s">
        <v>160</v>
      </c>
      <c r="AA11" s="192"/>
      <c r="AB11" s="192"/>
      <c r="AC11" s="192"/>
      <c r="AD11" s="199" t="s">
        <v>188</v>
      </c>
      <c r="AE11" s="199" t="s">
        <v>176</v>
      </c>
      <c r="AF11" s="199" t="s">
        <v>272</v>
      </c>
      <c r="AG11" s="192"/>
      <c r="AH11" s="192"/>
      <c r="AI11" s="192"/>
      <c r="AJ11" s="192"/>
    </row>
    <row r="12" spans="1:36" x14ac:dyDescent="0.3">
      <c r="A12" s="194" t="s">
        <v>262</v>
      </c>
      <c r="B12" s="195">
        <v>46008</v>
      </c>
      <c r="C12" s="196" t="s">
        <v>294</v>
      </c>
      <c r="D12" s="197" t="s">
        <v>317</v>
      </c>
      <c r="E12" s="196" t="s">
        <v>292</v>
      </c>
      <c r="F12" s="196" t="s">
        <v>120</v>
      </c>
      <c r="G12" s="198">
        <v>0.375</v>
      </c>
      <c r="H12" s="199">
        <v>168</v>
      </c>
      <c r="I12" s="199">
        <v>63</v>
      </c>
      <c r="J12" s="199">
        <v>45</v>
      </c>
      <c r="K12" s="196" t="s">
        <v>121</v>
      </c>
      <c r="L12" s="200" t="s">
        <v>42</v>
      </c>
      <c r="M12" s="199">
        <v>0</v>
      </c>
      <c r="N12" s="199">
        <v>1</v>
      </c>
      <c r="O12" s="199">
        <v>10</v>
      </c>
      <c r="P12" s="196" t="s">
        <v>306</v>
      </c>
      <c r="Q12" s="192"/>
      <c r="R12" s="192"/>
      <c r="S12" s="192"/>
      <c r="T12" s="192"/>
      <c r="U12" s="192"/>
      <c r="V12" s="192"/>
      <c r="W12" s="192"/>
      <c r="X12" s="192"/>
      <c r="Y12" s="192"/>
      <c r="Z12" s="199" t="s">
        <v>211</v>
      </c>
      <c r="AA12" s="192"/>
      <c r="AB12" s="192"/>
      <c r="AC12" s="192"/>
      <c r="AD12" s="192"/>
      <c r="AE12" s="192"/>
      <c r="AF12" s="199" t="s">
        <v>334</v>
      </c>
      <c r="AG12" s="199" t="s">
        <v>335</v>
      </c>
      <c r="AH12" s="192"/>
      <c r="AI12" s="192"/>
      <c r="AJ12" s="192"/>
    </row>
    <row r="13" spans="1:36" x14ac:dyDescent="0.3">
      <c r="A13" s="194" t="s">
        <v>164</v>
      </c>
      <c r="B13" s="195">
        <v>46011</v>
      </c>
      <c r="C13" s="196" t="s">
        <v>40</v>
      </c>
      <c r="D13" s="197" t="s">
        <v>321</v>
      </c>
      <c r="E13" s="196" t="s">
        <v>292</v>
      </c>
      <c r="F13" s="196" t="s">
        <v>120</v>
      </c>
      <c r="G13" s="198">
        <v>4.7600000000000003E-2</v>
      </c>
      <c r="H13" s="199">
        <v>168</v>
      </c>
      <c r="I13" s="199">
        <v>8</v>
      </c>
      <c r="J13" s="199">
        <v>0</v>
      </c>
      <c r="K13" s="196" t="s">
        <v>121</v>
      </c>
      <c r="L13" s="200" t="s">
        <v>67</v>
      </c>
      <c r="M13" s="199">
        <v>0</v>
      </c>
      <c r="N13" s="199">
        <v>0</v>
      </c>
      <c r="O13" s="199">
        <v>6</v>
      </c>
      <c r="P13" s="196" t="s">
        <v>306</v>
      </c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9" t="s">
        <v>272</v>
      </c>
      <c r="AG13" s="192"/>
      <c r="AH13" s="192"/>
      <c r="AI13" s="192"/>
      <c r="AJ13" s="192"/>
    </row>
    <row r="14" spans="1:36" x14ac:dyDescent="0.3">
      <c r="A14" s="194" t="s">
        <v>311</v>
      </c>
      <c r="B14" s="195">
        <v>46013</v>
      </c>
      <c r="C14" s="196" t="s">
        <v>40</v>
      </c>
      <c r="D14" s="197" t="s">
        <v>312</v>
      </c>
      <c r="E14" s="196" t="s">
        <v>292</v>
      </c>
      <c r="F14" s="196" t="s">
        <v>120</v>
      </c>
      <c r="G14" s="198">
        <v>5.9499999999999997E-2</v>
      </c>
      <c r="H14" s="199">
        <v>168</v>
      </c>
      <c r="I14" s="199">
        <v>10</v>
      </c>
      <c r="J14" s="199">
        <v>0</v>
      </c>
      <c r="K14" s="196" t="s">
        <v>121</v>
      </c>
      <c r="L14" s="200" t="s">
        <v>85</v>
      </c>
      <c r="M14" s="199">
        <v>0</v>
      </c>
      <c r="N14" s="199">
        <v>0</v>
      </c>
      <c r="O14" s="199">
        <v>1</v>
      </c>
      <c r="P14" s="196" t="s">
        <v>33</v>
      </c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9" t="s">
        <v>336</v>
      </c>
      <c r="AF14" s="199" t="s">
        <v>280</v>
      </c>
      <c r="AG14" s="192"/>
      <c r="AH14" s="192"/>
      <c r="AI14" s="192"/>
      <c r="AJ14" s="192"/>
    </row>
    <row r="15" spans="1:36" x14ac:dyDescent="0.3">
      <c r="A15" s="194" t="s">
        <v>131</v>
      </c>
      <c r="B15" s="195">
        <v>46014</v>
      </c>
      <c r="C15" s="196" t="s">
        <v>40</v>
      </c>
      <c r="D15" s="197" t="s">
        <v>137</v>
      </c>
      <c r="E15" s="196" t="s">
        <v>292</v>
      </c>
      <c r="F15" s="196" t="s">
        <v>120</v>
      </c>
      <c r="G15" s="198">
        <v>1.7899999999999999E-2</v>
      </c>
      <c r="H15" s="199">
        <v>168</v>
      </c>
      <c r="I15" s="199">
        <v>3</v>
      </c>
      <c r="J15" s="199">
        <v>0</v>
      </c>
      <c r="K15" s="196" t="s">
        <v>121</v>
      </c>
      <c r="L15" s="200" t="s">
        <v>67</v>
      </c>
      <c r="M15" s="199">
        <v>0</v>
      </c>
      <c r="N15" s="199">
        <v>0</v>
      </c>
      <c r="O15" s="199">
        <v>3</v>
      </c>
      <c r="P15" s="196" t="s">
        <v>206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9" t="s">
        <v>309</v>
      </c>
      <c r="AG15" s="192"/>
      <c r="AH15" s="192"/>
      <c r="AI15" s="192"/>
      <c r="AJ15" s="192"/>
    </row>
    <row r="16" spans="1:36" x14ac:dyDescent="0.3">
      <c r="A16" s="194" t="s">
        <v>262</v>
      </c>
      <c r="B16" s="195">
        <v>46015</v>
      </c>
      <c r="C16" s="196" t="s">
        <v>294</v>
      </c>
      <c r="D16" s="197" t="s">
        <v>317</v>
      </c>
      <c r="E16" s="196" t="s">
        <v>292</v>
      </c>
      <c r="F16" s="196" t="s">
        <v>120</v>
      </c>
      <c r="G16" s="198">
        <v>0.63690000000000002</v>
      </c>
      <c r="H16" s="199">
        <v>168</v>
      </c>
      <c r="I16" s="199">
        <v>107</v>
      </c>
      <c r="J16" s="199">
        <v>90</v>
      </c>
      <c r="K16" s="196" t="s">
        <v>121</v>
      </c>
      <c r="L16" s="200" t="s">
        <v>85</v>
      </c>
      <c r="M16" s="199">
        <v>0</v>
      </c>
      <c r="N16" s="199">
        <v>0</v>
      </c>
      <c r="O16" s="199">
        <v>1</v>
      </c>
      <c r="P16" s="196" t="s">
        <v>309</v>
      </c>
      <c r="Q16" s="192"/>
      <c r="R16" s="192"/>
      <c r="S16" s="192"/>
      <c r="T16" s="192"/>
      <c r="U16" s="192"/>
      <c r="V16" s="192"/>
      <c r="W16" s="192"/>
      <c r="X16" s="192"/>
      <c r="Y16" s="192"/>
      <c r="Z16" s="199" t="s">
        <v>80</v>
      </c>
      <c r="AA16" s="192"/>
      <c r="AB16" s="192"/>
      <c r="AC16" s="192"/>
      <c r="AD16" s="192"/>
      <c r="AE16" s="192"/>
      <c r="AF16" s="199" t="s">
        <v>337</v>
      </c>
      <c r="AG16" s="192"/>
      <c r="AH16" s="192"/>
      <c r="AI16" s="199" t="s">
        <v>180</v>
      </c>
      <c r="AJ16" s="192"/>
    </row>
    <row r="17" spans="1:36" ht="21" x14ac:dyDescent="0.3">
      <c r="A17" s="201" t="s">
        <v>338</v>
      </c>
      <c r="B17" s="202"/>
      <c r="C17" s="201">
        <f>SUBTOTAL(103,MED_ATZ_LF_LEGACY[Flt])</f>
        <v>15</v>
      </c>
      <c r="D17" s="201"/>
      <c r="E17" s="201">
        <f>SUBTOTAL(103,MED_ATZ_LF_LEGACY[Brd-Off])</f>
        <v>15</v>
      </c>
      <c r="F17" s="201"/>
      <c r="G17" s="203">
        <f>SUBTOTAL(101,MED_ATZ_LF_LEGACY[LF%])</f>
        <v>0.42023333333333329</v>
      </c>
      <c r="H17" s="204">
        <f>SUBTOTAL(109,MED_ATZ_LF_LEGACY[CAP])</f>
        <v>2520</v>
      </c>
      <c r="I17" s="204">
        <f>SUBTOTAL(109,MED_ATZ_LF_LEGACY[BKG(Y)])</f>
        <v>1059</v>
      </c>
      <c r="J17" s="204">
        <f>SUBTOTAL(109,MED_ATZ_LF_LEGACY[GRP(Y)])</f>
        <v>505</v>
      </c>
      <c r="K17" s="201"/>
      <c r="L17" s="202"/>
      <c r="M17" s="204">
        <f>SUBTOTAL(109,MED_ATZ_LF_LEGACY[TO-DAY])</f>
        <v>0</v>
      </c>
      <c r="N17" s="204">
        <f>SUBTOTAL(109,MED_ATZ_LF_LEGACY[Y-DAY])</f>
        <v>47</v>
      </c>
      <c r="O17" s="204">
        <f>SUBTOTAL(109,MED_ATZ_LF_LEGACY[WEEKLY])</f>
        <v>223</v>
      </c>
      <c r="P17" s="205"/>
      <c r="Q17" s="204">
        <f>SUBTOTAL(109,MED_ATZ_LF_LEGACY[Y])</f>
        <v>0</v>
      </c>
      <c r="R17" s="204">
        <f>SUBTOTAL(109,MED_ATZ_LF_LEGACY[B])</f>
        <v>0</v>
      </c>
      <c r="S17" s="204">
        <f>SUBTOTAL(109,MED_ATZ_LF_LEGACY[M])</f>
        <v>0</v>
      </c>
      <c r="T17" s="204">
        <f>SUBTOTAL(109,MED_ATZ_LF_LEGACY[H])</f>
        <v>0</v>
      </c>
      <c r="U17" s="204">
        <f>SUBTOTAL(109,MED_ATZ_LF_LEGACY[Q])</f>
        <v>0</v>
      </c>
      <c r="V17" s="204">
        <f>SUBTOTAL(109,MED_ATZ_LF_LEGACY[K])</f>
        <v>0</v>
      </c>
      <c r="W17" s="204">
        <f>SUBTOTAL(109,MED_ATZ_LF_LEGACY[V])</f>
        <v>0</v>
      </c>
      <c r="X17" s="204">
        <f>SUBTOTAL(109,MED_ATZ_LF_LEGACY[L])</f>
        <v>0</v>
      </c>
      <c r="Y17" s="204">
        <f>SUBTOTAL(109,MED_ATZ_LF_LEGACY[G])</f>
        <v>0</v>
      </c>
      <c r="Z17" s="204">
        <f>SUBTOTAL(109,MED_ATZ_LF_LEGACY[S])</f>
        <v>0</v>
      </c>
      <c r="AA17" s="204">
        <f>SUBTOTAL(109,MED_ATZ_LF_LEGACY[W])</f>
        <v>0</v>
      </c>
      <c r="AB17" s="204">
        <f>SUBTOTAL(109,MED_ATZ_LF_LEGACY[T])</f>
        <v>0</v>
      </c>
      <c r="AC17" s="204">
        <f>SUBTOTAL(109,MED_ATZ_LF_LEGACY[X])</f>
        <v>0</v>
      </c>
      <c r="AD17" s="204">
        <f>SUBTOTAL(109,MED_ATZ_LF_LEGACY[U])</f>
        <v>0</v>
      </c>
      <c r="AE17" s="204">
        <f>SUBTOTAL(109,MED_ATZ_LF_LEGACY[O])</f>
        <v>0</v>
      </c>
      <c r="AF17" s="204">
        <f>SUBTOTAL(109,MED_ATZ_LF_LEGACY[I])</f>
        <v>0</v>
      </c>
      <c r="AG17" s="204">
        <f>SUBTOTAL(109,MED_ATZ_LF_LEGACY[E])</f>
        <v>0</v>
      </c>
      <c r="AH17" s="204">
        <f>SUBTOTAL(109,MED_ATZ_LF_LEGACY[A])</f>
        <v>0</v>
      </c>
      <c r="AI17" s="204">
        <f>SUBTOTAL(109,MED_ATZ_LF_LEGACY[P])</f>
        <v>0</v>
      </c>
      <c r="AJ17" s="204">
        <f>SUBTOTAL(103,MED_ATZ_LF_LEGACY[N])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MED-CAI</vt:lpstr>
      <vt:lpstr>MED-CAI LF LEGACY</vt:lpstr>
      <vt:lpstr>MED-HBE</vt:lpstr>
      <vt:lpstr>MED-HBE LF LEGACY</vt:lpstr>
      <vt:lpstr>MED-ATZ</vt:lpstr>
      <vt:lpstr>MED-ATZ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2025-11-23T02:29:27Z</dcterms:created>
  <dcterms:modified xsi:type="dcterms:W3CDTF">2025-11-23T02:29:40Z</dcterms:modified>
</cp:coreProperties>
</file>