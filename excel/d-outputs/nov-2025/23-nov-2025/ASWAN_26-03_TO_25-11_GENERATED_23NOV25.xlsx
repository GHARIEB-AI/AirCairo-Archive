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A94AAF7-B465-4120-8736-19575AC08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W-JED" sheetId="1" r:id="rId1"/>
    <sheet name="ASW-JED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sharedStrings.xml><?xml version="1.0" encoding="utf-8"?>
<sst xmlns="http://schemas.openxmlformats.org/spreadsheetml/2006/main" count="221" uniqueCount="73">
  <si>
    <t>COMPREHENSIVE REPORT</t>
  </si>
  <si>
    <t>ASW-JED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</si>
  <si>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</si>
  <si>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</si>
  <si>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</si>
  <si>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</si>
  <si>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</si>
  <si>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</si>
  <si>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</si>
  <si>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</si>
  <si>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</si>
  <si>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</si>
  <si>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</si>
  <si>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</si>
  <si>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</si>
  <si>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</si>
  <si>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</si>
  <si>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</si>
  <si>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</si>
  <si>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</si>
  <si>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</si>
  <si>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</si>
  <si>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</si>
  <si>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</si>
  <si>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</si>
  <si>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</si>
  <si>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</si>
  <si>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</si>
  <si>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</si>
  <si>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SM425</t>
  </si>
  <si>
    <t>30KG + 7KG CABIN</t>
  </si>
  <si>
    <t>FULLY BOOKED</t>
  </si>
  <si>
    <t>NIL</t>
  </si>
  <si>
    <t>CLOSED</t>
  </si>
  <si>
    <t>SM949</t>
  </si>
  <si>
    <t>SM985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</si>
  <si>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</si>
  <si>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</si>
  <si>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</si>
  <si>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</si>
  <si>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</si>
  <si>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</si>
  <si>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</si>
  <si>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</si>
  <si>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</si>
  <si>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</si>
  <si>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</si>
  <si>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</si>
  <si>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</si>
  <si>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</si>
  <si>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</si>
  <si>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</si>
  <si>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</si>
  <si>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</si>
  <si>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</si>
  <si>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</si>
  <si>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</si>
  <si>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</si>
  <si>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</si>
  <si>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</si>
  <si>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</si>
  <si>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</si>
  <si>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</si>
  <si>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</si>
  <si>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</si>
  <si>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</si>
  <si>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08:25</t>
  </si>
  <si>
    <t>320</t>
  </si>
  <si>
    <t>UPCOMING</t>
  </si>
  <si>
    <t>19:45</t>
  </si>
  <si>
    <t>TUESDAY</t>
  </si>
  <si>
    <t>11:30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</si>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</sst>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68" fontId="13" fillId="11" borderId="5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5" fillId="12" borderId="7" xfId="0" applyNumberFormat="1" applyFont="1" applyFill="1" applyBorder="1" applyAlignment="1">
      <alignment horizontal="center" vertical="center"/>
    </xf>
    <xf numFmtId="167" fontId="15" fillId="12" borderId="7" xfId="0" applyNumberFormat="1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7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7" fillId="0" borderId="11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15" fontId="19" fillId="13" borderId="0" xfId="0" applyNumberFormat="1" applyFont="1" applyFill="1" applyAlignment="1">
      <alignment horizontal="center" vertical="center"/>
    </xf>
    <xf numFmtId="168" fontId="19" fillId="13" borderId="0" xfId="0" applyNumberFormat="1" applyFont="1" applyFill="1" applyAlignment="1">
      <alignment horizontal="center" vertical="center"/>
    </xf>
    <xf numFmtId="1" fontId="19" fillId="13" borderId="0" xfId="0" applyNumberFormat="1" applyFont="1" applyFill="1" applyAlignment="1">
      <alignment horizontal="center" vertical="center"/>
    </xf>
    <xf numFmtId="0" fontId="19" fillId="13" borderId="0" xfId="0" applyNumberFormat="1" applyFont="1" applyFill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W_JED_LF_LEGACY" displayName="ASW_JED_LF_LEGACY" ref="A1:AJ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441406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69" t="s">
        <v>0</v>
      </c>
      <c r="B1" s="68"/>
      <c r="C1" s="68"/>
      <c r="D1" s="68"/>
      <c r="E1" s="68"/>
      <c r="F1" s="1" t="s">
        <v>1</v>
      </c>
      <c r="G1" s="2" t="s">
        <v>2</v>
      </c>
      <c r="H1" s="67" t="s">
        <v>3</v>
      </c>
      <c r="I1" s="68"/>
      <c r="J1" s="68"/>
      <c r="K1" s="68"/>
      <c r="L1" s="68"/>
      <c r="M1" s="1" t="s">
        <v>4</v>
      </c>
      <c r="N1" s="81" t="s">
        <v>5</v>
      </c>
      <c r="O1" s="68"/>
      <c r="P1" s="68"/>
      <c r="Q1" s="68"/>
      <c r="R1" s="6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4" t="s">
        <v>6</v>
      </c>
      <c r="B2" s="68"/>
      <c r="C2" s="68"/>
      <c r="D2" s="68"/>
      <c r="E2" s="68"/>
      <c r="F2" s="68"/>
      <c r="G2" s="79">
        <v>45984.112439596684</v>
      </c>
      <c r="H2" s="68"/>
      <c r="I2" s="68"/>
      <c r="J2" s="68"/>
      <c r="K2" s="82">
        <v>45984.112439597193</v>
      </c>
      <c r="L2" s="68"/>
      <c r="M2" s="68"/>
      <c r="N2" s="68"/>
      <c r="O2" s="68"/>
      <c r="P2" s="68"/>
      <c r="Q2" s="68"/>
      <c r="R2" s="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75" t="s">
        <v>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80" t="s">
        <v>8</v>
      </c>
      <c r="B4" s="71"/>
      <c r="C4" s="71"/>
      <c r="D4" s="71"/>
      <c r="E4" s="71"/>
      <c r="F4" s="72"/>
      <c r="G4" s="4">
        <v>46062</v>
      </c>
      <c r="H4" s="73" t="s">
        <v>9</v>
      </c>
      <c r="I4" s="71"/>
      <c r="J4" s="71"/>
      <c r="K4" s="71"/>
      <c r="L4" s="71"/>
      <c r="M4" s="71"/>
      <c r="N4" s="71"/>
      <c r="O4" s="71"/>
      <c r="P4" s="71"/>
      <c r="Q4" s="71"/>
      <c r="R4" s="7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0.35069444444444442</v>
      </c>
      <c r="D6" s="8" t="s">
        <v>30</v>
      </c>
      <c r="E6" s="10"/>
      <c r="F6" s="8" t="s">
        <v>31</v>
      </c>
      <c r="G6" s="77"/>
      <c r="H6" s="11" t="s">
        <v>29</v>
      </c>
      <c r="I6" s="12">
        <v>0</v>
      </c>
      <c r="J6" s="13">
        <v>0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0.35069444444444442</v>
      </c>
      <c r="Q6" s="13">
        <v>180</v>
      </c>
      <c r="R6" s="17" t="s">
        <v>32</v>
      </c>
    </row>
    <row r="7" spans="1:92" ht="49.95" customHeight="1" thickBot="1" x14ac:dyDescent="0.35">
      <c r="A7" s="18" t="s">
        <v>28</v>
      </c>
      <c r="B7" s="18" t="s">
        <v>34</v>
      </c>
      <c r="C7" s="19">
        <v>0.82291666666666663</v>
      </c>
      <c r="D7" s="18" t="s">
        <v>30</v>
      </c>
      <c r="E7" s="20"/>
      <c r="F7" s="18" t="s">
        <v>31</v>
      </c>
      <c r="G7" s="78"/>
      <c r="H7" s="21" t="s">
        <v>34</v>
      </c>
      <c r="I7" s="22">
        <v>0</v>
      </c>
      <c r="J7" s="23">
        <v>0</v>
      </c>
      <c r="K7" s="24" t="s">
        <v>32</v>
      </c>
      <c r="L7" s="23">
        <v>0</v>
      </c>
      <c r="M7" s="23">
        <v>0</v>
      </c>
      <c r="N7" s="23">
        <v>0</v>
      </c>
      <c r="O7" s="25" t="s">
        <v>33</v>
      </c>
      <c r="P7" s="26">
        <v>0.82291666666666663</v>
      </c>
      <c r="Q7" s="23">
        <v>180</v>
      </c>
      <c r="R7" s="27" t="s">
        <v>32</v>
      </c>
    </row>
    <row r="8" spans="1:92" ht="17.399999999999999" customHeight="1" thickBot="1" x14ac:dyDescent="0.35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/>
    </row>
    <row r="9" spans="1:92" ht="22.05" customHeight="1" thickTop="1" thickBot="1" x14ac:dyDescent="0.35">
      <c r="A9" s="70" t="s">
        <v>8</v>
      </c>
      <c r="B9" s="71"/>
      <c r="C9" s="71"/>
      <c r="D9" s="71"/>
      <c r="E9" s="71"/>
      <c r="F9" s="72"/>
      <c r="G9" s="28">
        <v>46063</v>
      </c>
      <c r="H9" s="76" t="s">
        <v>9</v>
      </c>
      <c r="I9" s="71"/>
      <c r="J9" s="71"/>
      <c r="K9" s="71"/>
      <c r="L9" s="71"/>
      <c r="M9" s="71"/>
      <c r="N9" s="71"/>
      <c r="O9" s="71"/>
      <c r="P9" s="71"/>
      <c r="Q9" s="71"/>
      <c r="R9" s="72"/>
    </row>
    <row r="10" spans="1:92" ht="24" customHeight="1" x14ac:dyDescent="0.3">
      <c r="A10" s="29" t="s">
        <v>10</v>
      </c>
      <c r="B10" s="29" t="s">
        <v>11</v>
      </c>
      <c r="C10" s="30" t="s">
        <v>12</v>
      </c>
      <c r="D10" s="29" t="s">
        <v>13</v>
      </c>
      <c r="E10" s="29" t="s">
        <v>14</v>
      </c>
      <c r="F10" s="31" t="s">
        <v>15</v>
      </c>
      <c r="G10" s="32" t="s">
        <v>16</v>
      </c>
      <c r="H10" s="29" t="s">
        <v>17</v>
      </c>
      <c r="I10" s="33" t="s">
        <v>18</v>
      </c>
      <c r="J10" s="34" t="s">
        <v>19</v>
      </c>
      <c r="K10" s="35" t="s">
        <v>20</v>
      </c>
      <c r="L10" s="34" t="s">
        <v>21</v>
      </c>
      <c r="M10" s="34" t="s">
        <v>22</v>
      </c>
      <c r="N10" s="34" t="s">
        <v>23</v>
      </c>
      <c r="O10" s="29" t="s">
        <v>24</v>
      </c>
      <c r="P10" s="30" t="s">
        <v>25</v>
      </c>
      <c r="Q10" s="34" t="s">
        <v>26</v>
      </c>
      <c r="R10" s="29" t="s">
        <v>27</v>
      </c>
    </row>
    <row r="11" spans="1:92" ht="49.95" customHeight="1" thickTop="1" thickBot="1" x14ac:dyDescent="0.5">
      <c r="A11" s="36" t="s">
        <v>28</v>
      </c>
      <c r="B11" s="36" t="s">
        <v>35</v>
      </c>
      <c r="C11" s="37">
        <v>0.47916666666666669</v>
      </c>
      <c r="D11" s="36" t="s">
        <v>30</v>
      </c>
      <c r="E11" s="38"/>
      <c r="F11" s="36" t="s">
        <v>31</v>
      </c>
      <c r="G11" s="66"/>
      <c r="H11" s="39" t="s">
        <v>35</v>
      </c>
      <c r="I11" s="40">
        <v>0</v>
      </c>
      <c r="J11" s="41">
        <v>0</v>
      </c>
      <c r="K11" s="42" t="s">
        <v>32</v>
      </c>
      <c r="L11" s="41">
        <v>0</v>
      </c>
      <c r="M11" s="41">
        <v>0</v>
      </c>
      <c r="N11" s="41">
        <v>0</v>
      </c>
      <c r="O11" s="43" t="s">
        <v>33</v>
      </c>
      <c r="P11" s="44">
        <v>0.47916666666666669</v>
      </c>
      <c r="Q11" s="41">
        <v>180</v>
      </c>
      <c r="R11" s="45" t="s">
        <v>32</v>
      </c>
    </row>
    <row r="12" spans="1:92" ht="17.399999999999999" customHeight="1" thickBot="1" x14ac:dyDescent="0.35">
      <c r="A12" s="97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9"/>
    </row>
    <row r="13" spans="1:92" ht="22.05" customHeight="1" thickTop="1" thickBot="1" x14ac:dyDescent="0.35">
      <c r="A13" s="70" t="s">
        <v>8</v>
      </c>
      <c r="B13" s="71"/>
      <c r="C13" s="71"/>
      <c r="D13" s="71"/>
      <c r="E13" s="71"/>
      <c r="F13" s="72"/>
      <c r="G13" s="28">
        <v>46076</v>
      </c>
      <c r="H13" s="76" t="s">
        <v>9</v>
      </c>
      <c r="I13" s="71"/>
      <c r="J13" s="71"/>
      <c r="K13" s="71"/>
      <c r="L13" s="71"/>
      <c r="M13" s="71"/>
      <c r="N13" s="71"/>
      <c r="O13" s="71"/>
      <c r="P13" s="71"/>
      <c r="Q13" s="71"/>
      <c r="R13" s="72"/>
    </row>
    <row r="14" spans="1:92" ht="24" customHeight="1" x14ac:dyDescent="0.3">
      <c r="A14" s="29" t="s">
        <v>10</v>
      </c>
      <c r="B14" s="29" t="s">
        <v>11</v>
      </c>
      <c r="C14" s="30" t="s">
        <v>12</v>
      </c>
      <c r="D14" s="29" t="s">
        <v>13</v>
      </c>
      <c r="E14" s="29" t="s">
        <v>14</v>
      </c>
      <c r="F14" s="31" t="s">
        <v>15</v>
      </c>
      <c r="G14" s="32" t="s">
        <v>16</v>
      </c>
      <c r="H14" s="29" t="s">
        <v>17</v>
      </c>
      <c r="I14" s="33" t="s">
        <v>18</v>
      </c>
      <c r="J14" s="34" t="s">
        <v>19</v>
      </c>
      <c r="K14" s="35" t="s">
        <v>20</v>
      </c>
      <c r="L14" s="34" t="s">
        <v>21</v>
      </c>
      <c r="M14" s="34" t="s">
        <v>22</v>
      </c>
      <c r="N14" s="34" t="s">
        <v>23</v>
      </c>
      <c r="O14" s="29" t="s">
        <v>24</v>
      </c>
      <c r="P14" s="30" t="s">
        <v>25</v>
      </c>
      <c r="Q14" s="34" t="s">
        <v>26</v>
      </c>
      <c r="R14" s="29" t="s">
        <v>27</v>
      </c>
    </row>
    <row r="15" spans="1:92" ht="49.95" customHeight="1" x14ac:dyDescent="0.3">
      <c r="A15" s="36" t="s">
        <v>28</v>
      </c>
      <c r="B15" s="36" t="s">
        <v>29</v>
      </c>
      <c r="C15" s="37">
        <v>0.35069444444444442</v>
      </c>
      <c r="D15" s="36" t="s">
        <v>30</v>
      </c>
      <c r="E15" s="38"/>
      <c r="F15" s="36" t="s">
        <v>31</v>
      </c>
      <c r="G15" s="77"/>
      <c r="H15" s="46" t="s">
        <v>29</v>
      </c>
      <c r="I15" s="47">
        <v>0</v>
      </c>
      <c r="J15" s="48">
        <v>0</v>
      </c>
      <c r="K15" s="49" t="s">
        <v>32</v>
      </c>
      <c r="L15" s="48">
        <v>0</v>
      </c>
      <c r="M15" s="48">
        <v>0</v>
      </c>
      <c r="N15" s="48">
        <v>0</v>
      </c>
      <c r="O15" s="50" t="s">
        <v>33</v>
      </c>
      <c r="P15" s="51">
        <v>0.35069444444444442</v>
      </c>
      <c r="Q15" s="48">
        <v>180</v>
      </c>
      <c r="R15" s="52" t="s">
        <v>32</v>
      </c>
    </row>
    <row r="16" spans="1:92" ht="49.95" customHeight="1" thickBot="1" x14ac:dyDescent="0.35">
      <c r="A16" s="53" t="s">
        <v>28</v>
      </c>
      <c r="B16" s="53" t="s">
        <v>34</v>
      </c>
      <c r="C16" s="54">
        <v>0.82291666666666663</v>
      </c>
      <c r="D16" s="53" t="s">
        <v>30</v>
      </c>
      <c r="E16" s="55"/>
      <c r="F16" s="53" t="s">
        <v>31</v>
      </c>
      <c r="G16" s="78"/>
      <c r="H16" s="56" t="s">
        <v>34</v>
      </c>
      <c r="I16" s="57">
        <v>0</v>
      </c>
      <c r="J16" s="58">
        <v>0</v>
      </c>
      <c r="K16" s="59" t="s">
        <v>32</v>
      </c>
      <c r="L16" s="58">
        <v>0</v>
      </c>
      <c r="M16" s="58">
        <v>0</v>
      </c>
      <c r="N16" s="58">
        <v>0</v>
      </c>
      <c r="O16" s="60" t="s">
        <v>33</v>
      </c>
      <c r="P16" s="61">
        <v>0.82291666666666663</v>
      </c>
      <c r="Q16" s="58">
        <v>180</v>
      </c>
      <c r="R16" s="62" t="s">
        <v>32</v>
      </c>
    </row>
    <row r="17" spans="1:18" ht="17.399999999999999" customHeight="1" thickBot="1" x14ac:dyDescent="0.35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9"/>
    </row>
    <row r="18" spans="1:18" ht="22.05" customHeight="1" thickTop="1" thickBot="1" x14ac:dyDescent="0.35">
      <c r="A18" s="70" t="s">
        <v>8</v>
      </c>
      <c r="B18" s="71"/>
      <c r="C18" s="71"/>
      <c r="D18" s="71"/>
      <c r="E18" s="71"/>
      <c r="F18" s="72"/>
      <c r="G18" s="28">
        <v>46077</v>
      </c>
      <c r="H18" s="76" t="s">
        <v>9</v>
      </c>
      <c r="I18" s="71"/>
      <c r="J18" s="71"/>
      <c r="K18" s="71"/>
      <c r="L18" s="71"/>
      <c r="M18" s="71"/>
      <c r="N18" s="71"/>
      <c r="O18" s="71"/>
      <c r="P18" s="71"/>
      <c r="Q18" s="71"/>
      <c r="R18" s="72"/>
    </row>
    <row r="19" spans="1:18" ht="24" customHeight="1" x14ac:dyDescent="0.3">
      <c r="A19" s="29" t="s">
        <v>10</v>
      </c>
      <c r="B19" s="29" t="s">
        <v>11</v>
      </c>
      <c r="C19" s="30" t="s">
        <v>12</v>
      </c>
      <c r="D19" s="29" t="s">
        <v>13</v>
      </c>
      <c r="E19" s="29" t="s">
        <v>14</v>
      </c>
      <c r="F19" s="31" t="s">
        <v>15</v>
      </c>
      <c r="G19" s="32" t="s">
        <v>16</v>
      </c>
      <c r="H19" s="29" t="s">
        <v>17</v>
      </c>
      <c r="I19" s="33" t="s">
        <v>18</v>
      </c>
      <c r="J19" s="34" t="s">
        <v>19</v>
      </c>
      <c r="K19" s="35" t="s">
        <v>20</v>
      </c>
      <c r="L19" s="34" t="s">
        <v>21</v>
      </c>
      <c r="M19" s="34" t="s">
        <v>22</v>
      </c>
      <c r="N19" s="34" t="s">
        <v>23</v>
      </c>
      <c r="O19" s="29" t="s">
        <v>24</v>
      </c>
      <c r="P19" s="30" t="s">
        <v>25</v>
      </c>
      <c r="Q19" s="34" t="s">
        <v>26</v>
      </c>
      <c r="R19" s="29" t="s">
        <v>27</v>
      </c>
    </row>
    <row r="20" spans="1:18" ht="49.95" customHeight="1" thickTop="1" thickBot="1" x14ac:dyDescent="0.5">
      <c r="A20" s="63" t="s">
        <v>28</v>
      </c>
      <c r="B20" s="63" t="s">
        <v>35</v>
      </c>
      <c r="C20" s="64">
        <v>0.47916666666666669</v>
      </c>
      <c r="D20" s="63" t="s">
        <v>30</v>
      </c>
      <c r="E20" s="65"/>
      <c r="F20" s="63" t="s">
        <v>31</v>
      </c>
      <c r="G20" s="66"/>
      <c r="H20" s="21" t="s">
        <v>35</v>
      </c>
      <c r="I20" s="22">
        <v>0</v>
      </c>
      <c r="J20" s="23">
        <v>0</v>
      </c>
      <c r="K20" s="24" t="s">
        <v>32</v>
      </c>
      <c r="L20" s="23">
        <v>0</v>
      </c>
      <c r="M20" s="23">
        <v>0</v>
      </c>
      <c r="N20" s="23">
        <v>0</v>
      </c>
      <c r="O20" s="25" t="s">
        <v>33</v>
      </c>
      <c r="P20" s="26">
        <v>0.47916666666666669</v>
      </c>
      <c r="Q20" s="23">
        <v>180</v>
      </c>
      <c r="R20" s="27" t="s">
        <v>32</v>
      </c>
    </row>
    <row r="21" spans="1:18" ht="17.399999999999999" customHeight="1" thickBot="1" x14ac:dyDescent="0.35">
      <c r="A21" s="97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9"/>
    </row>
    <row r="22" spans="1:18" ht="15" thickTop="1" x14ac:dyDescent="0.3"/>
  </sheetData>
  <mergeCells count="23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8.6640625" style="84" bestFit="1" customWidth="1"/>
    <col min="2" max="2" width="10.109375" style="84" bestFit="1" customWidth="1"/>
    <col min="3" max="3" width="6.77734375" style="84" bestFit="1" customWidth="1"/>
    <col min="4" max="4" width="5.5546875" style="84" bestFit="1" customWidth="1"/>
    <col min="5" max="5" width="8.5546875" style="84" bestFit="1" customWidth="1"/>
    <col min="6" max="6" width="4.21875" style="84" bestFit="1" customWidth="1"/>
    <col min="7" max="7" width="8.44140625" style="84" bestFit="1" customWidth="1"/>
    <col min="8" max="8" width="8.5546875" style="84" bestFit="1" customWidth="1"/>
    <col min="9" max="10" width="7" style="84" bestFit="1" customWidth="1"/>
    <col min="11" max="11" width="10.5546875" style="84" bestFit="1" customWidth="1"/>
    <col min="12" max="12" width="9" style="84" bestFit="1" customWidth="1"/>
    <col min="13" max="13" width="7.6640625" style="84" bestFit="1" customWidth="1" outlineLevel="1"/>
    <col min="14" max="14" width="6.33203125" style="84" bestFit="1" customWidth="1" outlineLevel="1"/>
    <col min="15" max="15" width="8" style="84" bestFit="1" customWidth="1" outlineLevel="1"/>
    <col min="16" max="16" width="13.6640625" style="84" bestFit="1" customWidth="1"/>
    <col min="17" max="36" width="3.88671875" style="84" bestFit="1" customWidth="1"/>
    <col min="37" max="16384" width="8.88671875" style="84"/>
  </cols>
  <sheetData>
    <row r="1" spans="1:36" x14ac:dyDescent="0.3">
      <c r="A1" s="83" t="s">
        <v>36</v>
      </c>
      <c r="B1" s="83" t="s">
        <v>37</v>
      </c>
      <c r="C1" s="83" t="s">
        <v>38</v>
      </c>
      <c r="D1" s="83" t="s">
        <v>25</v>
      </c>
      <c r="E1" s="83" t="s">
        <v>39</v>
      </c>
      <c r="F1" s="83" t="s">
        <v>40</v>
      </c>
      <c r="G1" s="83" t="s">
        <v>18</v>
      </c>
      <c r="H1" s="83" t="s">
        <v>41</v>
      </c>
      <c r="I1" s="83" t="s">
        <v>42</v>
      </c>
      <c r="J1" s="83" t="s">
        <v>43</v>
      </c>
      <c r="K1" s="83" t="s">
        <v>44</v>
      </c>
      <c r="L1" s="83" t="s">
        <v>20</v>
      </c>
      <c r="M1" s="83" t="s">
        <v>22</v>
      </c>
      <c r="N1" s="83" t="s">
        <v>23</v>
      </c>
      <c r="O1" s="83" t="s">
        <v>21</v>
      </c>
      <c r="P1" s="83" t="s">
        <v>24</v>
      </c>
      <c r="Q1" s="83" t="s">
        <v>45</v>
      </c>
      <c r="R1" s="83" t="s">
        <v>46</v>
      </c>
      <c r="S1" s="83" t="s">
        <v>47</v>
      </c>
      <c r="T1" s="83" t="s">
        <v>48</v>
      </c>
      <c r="U1" s="83" t="s">
        <v>49</v>
      </c>
      <c r="V1" s="83" t="s">
        <v>50</v>
      </c>
      <c r="W1" s="83" t="s">
        <v>51</v>
      </c>
      <c r="X1" s="83" t="s">
        <v>52</v>
      </c>
      <c r="Y1" s="83" t="s">
        <v>53</v>
      </c>
      <c r="Z1" s="83" t="s">
        <v>54</v>
      </c>
      <c r="AA1" s="83" t="s">
        <v>55</v>
      </c>
      <c r="AB1" s="83" t="s">
        <v>56</v>
      </c>
      <c r="AC1" s="83" t="s">
        <v>57</v>
      </c>
      <c r="AD1" s="83" t="s">
        <v>58</v>
      </c>
      <c r="AE1" s="83" t="s">
        <v>59</v>
      </c>
      <c r="AF1" s="83" t="s">
        <v>60</v>
      </c>
      <c r="AG1" s="83" t="s">
        <v>61</v>
      </c>
      <c r="AH1" s="83" t="s">
        <v>62</v>
      </c>
      <c r="AI1" s="83" t="s">
        <v>63</v>
      </c>
      <c r="AJ1" s="83" t="s">
        <v>64</v>
      </c>
    </row>
    <row r="2" spans="1:36" x14ac:dyDescent="0.3">
      <c r="A2" s="85" t="s">
        <v>65</v>
      </c>
      <c r="B2" s="86">
        <v>46062</v>
      </c>
      <c r="C2" s="87" t="s">
        <v>29</v>
      </c>
      <c r="D2" s="88" t="s">
        <v>66</v>
      </c>
      <c r="E2" s="87" t="s">
        <v>1</v>
      </c>
      <c r="F2" s="87" t="s">
        <v>67</v>
      </c>
      <c r="G2" s="89">
        <v>0</v>
      </c>
      <c r="H2" s="90">
        <v>180</v>
      </c>
      <c r="I2" s="90">
        <v>0</v>
      </c>
      <c r="J2" s="90">
        <v>0</v>
      </c>
      <c r="K2" s="87" t="s">
        <v>68</v>
      </c>
      <c r="L2" s="91" t="s">
        <v>32</v>
      </c>
      <c r="M2" s="90">
        <v>0</v>
      </c>
      <c r="N2" s="90">
        <v>0</v>
      </c>
      <c r="O2" s="90">
        <v>0</v>
      </c>
      <c r="P2" s="87" t="s">
        <v>33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</row>
    <row r="3" spans="1:36" x14ac:dyDescent="0.3">
      <c r="A3" s="85" t="s">
        <v>65</v>
      </c>
      <c r="B3" s="86">
        <v>46062</v>
      </c>
      <c r="C3" s="87" t="s">
        <v>34</v>
      </c>
      <c r="D3" s="88" t="s">
        <v>69</v>
      </c>
      <c r="E3" s="87" t="s">
        <v>1</v>
      </c>
      <c r="F3" s="87" t="s">
        <v>67</v>
      </c>
      <c r="G3" s="89">
        <v>0</v>
      </c>
      <c r="H3" s="90">
        <v>180</v>
      </c>
      <c r="I3" s="90">
        <v>0</v>
      </c>
      <c r="J3" s="90">
        <v>0</v>
      </c>
      <c r="K3" s="87" t="s">
        <v>68</v>
      </c>
      <c r="L3" s="91" t="s">
        <v>32</v>
      </c>
      <c r="M3" s="90">
        <v>0</v>
      </c>
      <c r="N3" s="90">
        <v>0</v>
      </c>
      <c r="O3" s="90">
        <v>0</v>
      </c>
      <c r="P3" s="87" t="s">
        <v>33</v>
      </c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</row>
    <row r="4" spans="1:36" x14ac:dyDescent="0.3">
      <c r="A4" s="85" t="s">
        <v>70</v>
      </c>
      <c r="B4" s="86">
        <v>46063</v>
      </c>
      <c r="C4" s="87" t="s">
        <v>35</v>
      </c>
      <c r="D4" s="88" t="s">
        <v>71</v>
      </c>
      <c r="E4" s="87" t="s">
        <v>1</v>
      </c>
      <c r="F4" s="87" t="s">
        <v>67</v>
      </c>
      <c r="G4" s="89">
        <v>0</v>
      </c>
      <c r="H4" s="90">
        <v>180</v>
      </c>
      <c r="I4" s="90">
        <v>0</v>
      </c>
      <c r="J4" s="90">
        <v>0</v>
      </c>
      <c r="K4" s="87" t="s">
        <v>68</v>
      </c>
      <c r="L4" s="91" t="s">
        <v>32</v>
      </c>
      <c r="M4" s="90">
        <v>0</v>
      </c>
      <c r="N4" s="90">
        <v>0</v>
      </c>
      <c r="O4" s="90">
        <v>0</v>
      </c>
      <c r="P4" s="87" t="s">
        <v>33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x14ac:dyDescent="0.3">
      <c r="A5" s="85" t="s">
        <v>65</v>
      </c>
      <c r="B5" s="86">
        <v>46076</v>
      </c>
      <c r="C5" s="87" t="s">
        <v>29</v>
      </c>
      <c r="D5" s="88" t="s">
        <v>66</v>
      </c>
      <c r="E5" s="87" t="s">
        <v>1</v>
      </c>
      <c r="F5" s="87" t="s">
        <v>67</v>
      </c>
      <c r="G5" s="89">
        <v>0</v>
      </c>
      <c r="H5" s="90">
        <v>180</v>
      </c>
      <c r="I5" s="90">
        <v>0</v>
      </c>
      <c r="J5" s="90">
        <v>0</v>
      </c>
      <c r="K5" s="87" t="s">
        <v>68</v>
      </c>
      <c r="L5" s="91" t="s">
        <v>32</v>
      </c>
      <c r="M5" s="90">
        <v>0</v>
      </c>
      <c r="N5" s="90">
        <v>0</v>
      </c>
      <c r="O5" s="90">
        <v>0</v>
      </c>
      <c r="P5" s="87" t="s">
        <v>33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</row>
    <row r="6" spans="1:36" x14ac:dyDescent="0.3">
      <c r="A6" s="85" t="s">
        <v>65</v>
      </c>
      <c r="B6" s="86">
        <v>46076</v>
      </c>
      <c r="C6" s="87" t="s">
        <v>34</v>
      </c>
      <c r="D6" s="88" t="s">
        <v>69</v>
      </c>
      <c r="E6" s="87" t="s">
        <v>1</v>
      </c>
      <c r="F6" s="87" t="s">
        <v>67</v>
      </c>
      <c r="G6" s="89">
        <v>0</v>
      </c>
      <c r="H6" s="90">
        <v>180</v>
      </c>
      <c r="I6" s="90">
        <v>0</v>
      </c>
      <c r="J6" s="90">
        <v>0</v>
      </c>
      <c r="K6" s="87" t="s">
        <v>68</v>
      </c>
      <c r="L6" s="91" t="s">
        <v>32</v>
      </c>
      <c r="M6" s="90">
        <v>0</v>
      </c>
      <c r="N6" s="90">
        <v>0</v>
      </c>
      <c r="O6" s="90">
        <v>0</v>
      </c>
      <c r="P6" s="87" t="s">
        <v>33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x14ac:dyDescent="0.3">
      <c r="A7" s="85" t="s">
        <v>70</v>
      </c>
      <c r="B7" s="86">
        <v>46077</v>
      </c>
      <c r="C7" s="87" t="s">
        <v>35</v>
      </c>
      <c r="D7" s="88" t="s">
        <v>71</v>
      </c>
      <c r="E7" s="87" t="s">
        <v>1</v>
      </c>
      <c r="F7" s="87" t="s">
        <v>67</v>
      </c>
      <c r="G7" s="89">
        <v>0</v>
      </c>
      <c r="H7" s="90">
        <v>180</v>
      </c>
      <c r="I7" s="90">
        <v>0</v>
      </c>
      <c r="J7" s="90">
        <v>0</v>
      </c>
      <c r="K7" s="87" t="s">
        <v>68</v>
      </c>
      <c r="L7" s="91" t="s">
        <v>32</v>
      </c>
      <c r="M7" s="90">
        <v>0</v>
      </c>
      <c r="N7" s="90">
        <v>0</v>
      </c>
      <c r="O7" s="90">
        <v>0</v>
      </c>
      <c r="P7" s="87" t="s">
        <v>33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</row>
    <row r="8" spans="1:36" ht="21" x14ac:dyDescent="0.3">
      <c r="A8" s="92" t="s">
        <v>72</v>
      </c>
      <c r="B8" s="93"/>
      <c r="C8" s="92">
        <f>SUBTOTAL(103,ASW_JED_LF_LEGACY[Flt])</f>
        <v>6</v>
      </c>
      <c r="D8" s="92"/>
      <c r="E8" s="92">
        <f>SUBTOTAL(103,ASW_JED_LF_LEGACY[Brd-Off])</f>
        <v>6</v>
      </c>
      <c r="F8" s="92"/>
      <c r="G8" s="94">
        <f>SUBTOTAL(101,ASW_JED_LF_LEGACY[LF%])</f>
        <v>0</v>
      </c>
      <c r="H8" s="95">
        <f>SUBTOTAL(109,ASW_JED_LF_LEGACY[CAP])</f>
        <v>1080</v>
      </c>
      <c r="I8" s="95">
        <f>SUBTOTAL(109,ASW_JED_LF_LEGACY[BKG(Y)])</f>
        <v>0</v>
      </c>
      <c r="J8" s="95">
        <f>SUBTOTAL(109,ASW_JED_LF_LEGACY[GRP(Y)])</f>
        <v>0</v>
      </c>
      <c r="K8" s="92"/>
      <c r="L8" s="93"/>
      <c r="M8" s="95">
        <f>SUBTOTAL(109,ASW_JED_LF_LEGACY[TO-DAY])</f>
        <v>0</v>
      </c>
      <c r="N8" s="95">
        <f>SUBTOTAL(109,ASW_JED_LF_LEGACY[Y-DAY])</f>
        <v>0</v>
      </c>
      <c r="O8" s="95">
        <f>SUBTOTAL(109,ASW_JED_LF_LEGACY[WEEKLY])</f>
        <v>0</v>
      </c>
      <c r="P8" s="96"/>
      <c r="Q8" s="95">
        <f>SUBTOTAL(109,ASW_JED_LF_LEGACY[Y])</f>
        <v>0</v>
      </c>
      <c r="R8" s="95">
        <f>SUBTOTAL(109,ASW_JED_LF_LEGACY[B])</f>
        <v>0</v>
      </c>
      <c r="S8" s="95">
        <f>SUBTOTAL(109,ASW_JED_LF_LEGACY[M])</f>
        <v>0</v>
      </c>
      <c r="T8" s="95">
        <f>SUBTOTAL(109,ASW_JED_LF_LEGACY[H])</f>
        <v>0</v>
      </c>
      <c r="U8" s="95">
        <f>SUBTOTAL(109,ASW_JED_LF_LEGACY[Q])</f>
        <v>0</v>
      </c>
      <c r="V8" s="95">
        <f>SUBTOTAL(109,ASW_JED_LF_LEGACY[K])</f>
        <v>0</v>
      </c>
      <c r="W8" s="95">
        <f>SUBTOTAL(109,ASW_JED_LF_LEGACY[V])</f>
        <v>0</v>
      </c>
      <c r="X8" s="95">
        <f>SUBTOTAL(109,ASW_JED_LF_LEGACY[L])</f>
        <v>0</v>
      </c>
      <c r="Y8" s="95">
        <f>SUBTOTAL(109,ASW_JED_LF_LEGACY[G])</f>
        <v>0</v>
      </c>
      <c r="Z8" s="95">
        <f>SUBTOTAL(109,ASW_JED_LF_LEGACY[S])</f>
        <v>0</v>
      </c>
      <c r="AA8" s="95">
        <f>SUBTOTAL(109,ASW_JED_LF_LEGACY[W])</f>
        <v>0</v>
      </c>
      <c r="AB8" s="95">
        <f>SUBTOTAL(109,ASW_JED_LF_LEGACY[T])</f>
        <v>0</v>
      </c>
      <c r="AC8" s="95">
        <f>SUBTOTAL(109,ASW_JED_LF_LEGACY[X])</f>
        <v>0</v>
      </c>
      <c r="AD8" s="95">
        <f>SUBTOTAL(109,ASW_JED_LF_LEGACY[U])</f>
        <v>0</v>
      </c>
      <c r="AE8" s="95">
        <f>SUBTOTAL(109,ASW_JED_LF_LEGACY[O])</f>
        <v>0</v>
      </c>
      <c r="AF8" s="95">
        <f>SUBTOTAL(109,ASW_JED_LF_LEGACY[I])</f>
        <v>0</v>
      </c>
      <c r="AG8" s="95">
        <f>SUBTOTAL(109,ASW_JED_LF_LEGACY[E])</f>
        <v>0</v>
      </c>
      <c r="AH8" s="95">
        <f>SUBTOTAL(109,ASW_JED_LF_LEGACY[A])</f>
        <v>0</v>
      </c>
      <c r="AI8" s="95">
        <f>SUBTOTAL(109,ASW_JED_LF_LEGACY[P])</f>
        <v>0</v>
      </c>
      <c r="AJ8" s="95">
        <f>SUBTOTAL(103,ASW_JED_LF_LEGACY[N])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ASW-JED</vt:lpstr>
      <vt:lpstr>ASW-JED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2025-11-22T23:45:05Z</dcterms:created>
  <dcterms:modified xsi:type="dcterms:W3CDTF">2025-11-22T23:45:08Z</dcterms:modified>
</cp:coreProperties>
</file>