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890CC60-6B4C-4AAD-AAC7-73629DB0B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H-CAI" sheetId="1" r:id="rId1"/>
    <sheet name="RUH-CAI LF LEGACY" sheetId="2" r:id="rId2"/>
    <sheet name="RUH-ATZ" sheetId="3" r:id="rId3"/>
    <sheet name="RUH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4" l="1"/>
  <c r="E16" i="4"/>
  <c r="G16" i="4"/>
  <c r="H16" i="4"/>
  <c r="I16" i="4"/>
  <c r="J16" i="4"/>
  <c r="M16" i="4"/>
  <c r="N16" i="4"/>
  <c r="O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C45" i="2"/>
  <c r="E45" i="2"/>
  <c r="G45" i="2"/>
  <c r="H45" i="2"/>
  <c r="I45" i="2"/>
  <c r="J45" i="2"/>
  <c r="M45" i="2"/>
  <c r="N45" i="2"/>
  <c r="O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</calcChain>
</file>

<file path=xl/sharedStrings.xml><?xml version="1.0" encoding="utf-8"?>
<sst xmlns="http://schemas.openxmlformats.org/spreadsheetml/2006/main" count="2009" uniqueCount="152">
  <si>
    <t>COMPREHENSIVE REPORT</t>
  </si>
  <si>
    <t>RUH-CAI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</si>
  <si>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</si>
  <si>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</si>
  <si>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</si>
  <si>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</si>
  <si>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</si>
  <si>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</si>
  <si>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</si>
  <si>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</si>
  <si>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</si>
  <si>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</si>
  <si>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</si>
  <si>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</si>
  <si>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</si>
  <si>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</si>
  <si>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</si>
  <si>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</si>
  <si>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</si>
  <si>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</si>
  <si>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</si>
  <si>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</si>
  <si>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</si>
  <si>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</si>
  <si>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</si>
  <si>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</si>
  <si>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</si>
  <si>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</si>
  <si>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</si>
  <si>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SM462</t>
  </si>
  <si>
    <t>30KG + 7KG CABIN</t>
  </si>
  <si>
    <t>LOW DEMAND</t>
  </si>
  <si>
    <t>2026-11-02 00:00:00</t>
  </si>
  <si>
    <t>O2</t>
  </si>
  <si>
    <t>S1 &amp; T1 &amp; O2</t>
  </si>
  <si>
    <t>SM470</t>
  </si>
  <si>
    <t>2026-11-07 00:00:00</t>
  </si>
  <si>
    <t>O3</t>
  </si>
  <si>
    <t>2026-11-20 00:00:00</t>
  </si>
  <si>
    <t>O4</t>
  </si>
  <si>
    <t>2026-11-06 00:00:00</t>
  </si>
  <si>
    <t>S1 &amp; O2</t>
  </si>
  <si>
    <t>2026-11-05 00:00:00</t>
  </si>
  <si>
    <t>2026-11-13 00:00:00</t>
  </si>
  <si>
    <t>2026-11-04 00:00:00</t>
  </si>
  <si>
    <t>G9</t>
  </si>
  <si>
    <t>G1</t>
  </si>
  <si>
    <t>NO BOOKINGS YET</t>
  </si>
  <si>
    <t>NIL</t>
  </si>
  <si>
    <t>2026-11-15 00:00:00</t>
  </si>
  <si>
    <t>G2</t>
  </si>
  <si>
    <t>G2 &amp; N1</t>
  </si>
  <si>
    <t>G1 &amp; O2</t>
  </si>
  <si>
    <t>2026-10-23 00:00:00</t>
  </si>
  <si>
    <t>2026-11-10 00:00:00</t>
  </si>
  <si>
    <t>2026-11-22 00:00:00</t>
  </si>
  <si>
    <t>O1</t>
  </si>
  <si>
    <t>2026-11-19 00:00:00</t>
  </si>
  <si>
    <t>W8</t>
  </si>
  <si>
    <t>2026-09-24 00:00:00</t>
  </si>
  <si>
    <t>W7</t>
  </si>
  <si>
    <t>S1</t>
  </si>
  <si>
    <t>2026-09-09 00:00:00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</si>
  <si>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</si>
  <si>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</si>
  <si>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</si>
  <si>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</si>
  <si>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</si>
  <si>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</si>
  <si>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</si>
  <si>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</si>
  <si>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</si>
  <si>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</si>
  <si>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</si>
  <si>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</si>
  <si>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</si>
  <si>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</si>
  <si>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</si>
  <si>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</si>
  <si>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</si>
  <si>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</si>
  <si>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</si>
  <si>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</si>
  <si>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</si>
  <si>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</si>
  <si>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</si>
  <si>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</si>
  <si>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</si>
  <si>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</si>
  <si>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</si>
  <si>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</si>
  <si>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</si>
  <si>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</si>
  <si>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14:40</t>
  </si>
  <si>
    <t>320</t>
  </si>
  <si>
    <t>UPCOMING</t>
  </si>
  <si>
    <t>T1</t>
  </si>
  <si>
    <t>22:10</t>
  </si>
  <si>
    <t>THURSDAY</t>
  </si>
  <si>
    <t>FRIDAY</t>
  </si>
  <si>
    <t>14:30</t>
  </si>
  <si>
    <t>SATURDAY</t>
  </si>
  <si>
    <t>SUNDAY</t>
  </si>
  <si>
    <t>15:00</t>
  </si>
  <si>
    <t>MONDAY</t>
  </si>
  <si>
    <t>TUESDAY</t>
  </si>
  <si>
    <t>21:55</t>
  </si>
  <si>
    <t>N1</t>
  </si>
  <si>
    <t>RUH-ATZ</t>
  </si>
  <si>
    <t>SM466</t>
  </si>
  <si>
    <t>X6</t>
  </si>
  <si>
    <t>T1 &amp; X1 &amp; U3 &amp; O9</t>
  </si>
  <si>
    <t>SM464</t>
  </si>
  <si>
    <t>2026-10-28 00:00:00</t>
  </si>
  <si>
    <t>G2 &amp; O3</t>
  </si>
  <si>
    <t>2026-11-16 00:00:00</t>
  </si>
  <si>
    <t>G4</t>
  </si>
  <si>
    <t>G3 &amp; O9</t>
  </si>
  <si>
    <t>G2 &amp; S1 &amp; U1 &amp; O8</t>
  </si>
  <si>
    <t>G6</t>
  </si>
  <si>
    <t>G6 &amp; O4</t>
  </si>
  <si>
    <t>G6 &amp; U1 &amp; O6</t>
  </si>
  <si>
    <t>G3</t>
  </si>
  <si>
    <t>L1 &amp; G1 &amp; U6 &amp; O5</t>
  </si>
  <si>
    <t>G2 &amp; X2 &amp; U4 &amp; O3</t>
  </si>
  <si>
    <t>2026-08-28 00:00:00</t>
  </si>
  <si>
    <t>U5 &amp; O1</t>
  </si>
  <si>
    <t>U3</t>
  </si>
  <si>
    <t>S2 &amp; U3 &amp; O1 &amp; I2</t>
  </si>
  <si>
    <t>U5</t>
  </si>
  <si>
    <t>U1 &amp; O5</t>
  </si>
  <si>
    <t>X2</t>
  </si>
  <si>
    <t>X6 &amp; U5 &amp; O4 &amp; I1</t>
  </si>
  <si>
    <t>S5</t>
  </si>
  <si>
    <t>S1 &amp; W5 &amp; X5</t>
  </si>
  <si>
    <t>14:10</t>
  </si>
  <si>
    <t>X1</t>
  </si>
  <si>
    <t>O9</t>
  </si>
  <si>
    <t>14:45</t>
  </si>
  <si>
    <t>U1</t>
  </si>
  <si>
    <t>O8</t>
  </si>
  <si>
    <t>O6</t>
  </si>
  <si>
    <t>L1</t>
  </si>
  <si>
    <t>U6</t>
  </si>
  <si>
    <t>O5</t>
  </si>
  <si>
    <t>U4</t>
  </si>
  <si>
    <t>S2</t>
  </si>
  <si>
    <t>I2</t>
  </si>
  <si>
    <t>I1</t>
  </si>
  <si>
    <t>W5</t>
  </si>
  <si>
    <t>X5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</si>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</sst>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36549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4" fillId="8" borderId="5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167" fontId="15" fillId="9" borderId="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2" fillId="9" borderId="8" xfId="0" applyNumberFormat="1" applyFont="1" applyFill="1" applyBorder="1" applyAlignment="1">
      <alignment horizontal="center" vertical="center"/>
    </xf>
    <xf numFmtId="168" fontId="13" fillId="9" borderId="9" xfId="0" applyNumberFormat="1" applyFont="1" applyFill="1" applyBorder="1" applyAlignment="1">
      <alignment horizontal="center" vertical="center"/>
    </xf>
    <xf numFmtId="1" fontId="12" fillId="9" borderId="9" xfId="0" applyNumberFormat="1" applyFont="1" applyFill="1" applyBorder="1" applyAlignment="1">
      <alignment horizontal="center" vertical="center"/>
    </xf>
    <xf numFmtId="16" fontId="12" fillId="9" borderId="9" xfId="0" applyNumberFormat="1" applyFont="1" applyFill="1" applyBorder="1" applyAlignment="1">
      <alignment horizontal="center" vertical="center"/>
    </xf>
    <xf numFmtId="49" fontId="14" fillId="9" borderId="9" xfId="0" applyNumberFormat="1" applyFont="1" applyFill="1" applyBorder="1" applyAlignment="1">
      <alignment horizontal="center" vertical="center"/>
    </xf>
    <xf numFmtId="167" fontId="12" fillId="9" borderId="9" xfId="0" applyNumberFormat="1" applyFont="1" applyFill="1" applyBorder="1" applyAlignment="1">
      <alignment horizontal="center" vertical="center"/>
    </xf>
    <xf numFmtId="49" fontId="12" fillId="9" borderId="10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2" fillId="11" borderId="8" xfId="0" applyNumberFormat="1" applyFont="1" applyFill="1" applyBorder="1" applyAlignment="1">
      <alignment horizontal="center" vertical="center"/>
    </xf>
    <xf numFmtId="168" fontId="13" fillId="11" borderId="9" xfId="0" applyNumberFormat="1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6" fontId="12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2" fillId="11" borderId="9" xfId="0" applyNumberFormat="1" applyFont="1" applyFill="1" applyBorder="1" applyAlignment="1">
      <alignment horizontal="center" vertical="center"/>
    </xf>
    <xf numFmtId="49" fontId="12" fillId="11" borderId="10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68" fontId="13" fillId="12" borderId="5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4" fillId="12" borderId="5" xfId="0" applyNumberFormat="1" applyFont="1" applyFill="1" applyBorder="1" applyAlignment="1">
      <alignment horizontal="center" vertical="center"/>
    </xf>
    <xf numFmtId="167" fontId="12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2" fillId="13" borderId="8" xfId="0" applyNumberFormat="1" applyFont="1" applyFill="1" applyBorder="1" applyAlignment="1">
      <alignment horizontal="center" vertical="center"/>
    </xf>
    <xf numFmtId="168" fontId="13" fillId="13" borderId="9" xfId="0" applyNumberFormat="1" applyFont="1" applyFill="1" applyBorder="1" applyAlignment="1">
      <alignment horizontal="center" vertical="center"/>
    </xf>
    <xf numFmtId="1" fontId="12" fillId="13" borderId="9" xfId="0" applyNumberFormat="1" applyFont="1" applyFill="1" applyBorder="1" applyAlignment="1">
      <alignment horizontal="center" vertical="center"/>
    </xf>
    <xf numFmtId="16" fontId="12" fillId="13" borderId="9" xfId="0" applyNumberFormat="1" applyFont="1" applyFill="1" applyBorder="1" applyAlignment="1">
      <alignment horizontal="center" vertical="center"/>
    </xf>
    <xf numFmtId="49" fontId="14" fillId="13" borderId="9" xfId="0" applyNumberFormat="1" applyFont="1" applyFill="1" applyBorder="1" applyAlignment="1">
      <alignment horizontal="center" vertical="center"/>
    </xf>
    <xf numFmtId="167" fontId="12" fillId="13" borderId="9" xfId="0" applyNumberFormat="1" applyFont="1" applyFill="1" applyBorder="1" applyAlignment="1">
      <alignment horizontal="center" vertical="center"/>
    </xf>
    <xf numFmtId="49" fontId="12" fillId="13" borderId="10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2" fillId="14" borderId="8" xfId="0" applyNumberFormat="1" applyFont="1" applyFill="1" applyBorder="1" applyAlignment="1">
      <alignment horizontal="center" vertical="center"/>
    </xf>
    <xf numFmtId="168" fontId="13" fillId="14" borderId="9" xfId="0" applyNumberFormat="1" applyFont="1" applyFill="1" applyBorder="1" applyAlignment="1">
      <alignment horizontal="center" vertical="center"/>
    </xf>
    <xf numFmtId="1" fontId="12" fillId="14" borderId="9" xfId="0" applyNumberFormat="1" applyFont="1" applyFill="1" applyBorder="1" applyAlignment="1">
      <alignment horizontal="center" vertical="center"/>
    </xf>
    <xf numFmtId="16" fontId="12" fillId="14" borderId="9" xfId="0" applyNumberFormat="1" applyFont="1" applyFill="1" applyBorder="1" applyAlignment="1">
      <alignment horizontal="center" vertical="center"/>
    </xf>
    <xf numFmtId="49" fontId="14" fillId="14" borderId="9" xfId="0" applyNumberFormat="1" applyFont="1" applyFill="1" applyBorder="1" applyAlignment="1">
      <alignment horizontal="center" vertical="center"/>
    </xf>
    <xf numFmtId="167" fontId="12" fillId="14" borderId="9" xfId="0" applyNumberFormat="1" applyFont="1" applyFill="1" applyBorder="1" applyAlignment="1">
      <alignment horizontal="center" vertical="center"/>
    </xf>
    <xf numFmtId="49" fontId="12" fillId="14" borderId="10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168" fontId="13" fillId="15" borderId="5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6" fontId="12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167" fontId="12" fillId="15" borderId="5" xfId="0" applyNumberFormat="1" applyFont="1" applyFill="1" applyBorder="1" applyAlignment="1">
      <alignment horizontal="center" vertical="center"/>
    </xf>
    <xf numFmtId="49" fontId="12" fillId="15" borderId="6" xfId="0" applyNumberFormat="1" applyFont="1" applyFill="1" applyBorder="1" applyAlignment="1">
      <alignment horizontal="center" vertical="center"/>
    </xf>
    <xf numFmtId="49" fontId="15" fillId="12" borderId="7" xfId="0" applyNumberFormat="1" applyFont="1" applyFill="1" applyBorder="1" applyAlignment="1">
      <alignment horizontal="center" vertical="center"/>
    </xf>
    <xf numFmtId="167" fontId="15" fillId="12" borderId="7" xfId="0" applyNumberFormat="1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168" fontId="13" fillId="12" borderId="9" xfId="0" applyNumberFormat="1" applyFont="1" applyFill="1" applyBorder="1" applyAlignment="1">
      <alignment horizontal="center" vertical="center"/>
    </xf>
    <xf numFmtId="1" fontId="12" fillId="12" borderId="9" xfId="0" applyNumberFormat="1" applyFont="1" applyFill="1" applyBorder="1" applyAlignment="1">
      <alignment horizontal="center" vertical="center"/>
    </xf>
    <xf numFmtId="16" fontId="12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2" fillId="12" borderId="9" xfId="0" applyNumberFormat="1" applyFont="1" applyFill="1" applyBorder="1" applyAlignment="1">
      <alignment horizontal="center" vertical="center"/>
    </xf>
    <xf numFmtId="49" fontId="12" fillId="12" borderId="10" xfId="0" applyNumberFormat="1" applyFont="1" applyFill="1" applyBorder="1" applyAlignment="1">
      <alignment horizontal="center" vertical="center"/>
    </xf>
    <xf numFmtId="49" fontId="12" fillId="8" borderId="8" xfId="0" applyNumberFormat="1" applyFont="1" applyFill="1" applyBorder="1" applyAlignment="1">
      <alignment horizontal="center" vertical="center"/>
    </xf>
    <xf numFmtId="168" fontId="13" fillId="8" borderId="9" xfId="0" applyNumberFormat="1" applyFont="1" applyFill="1" applyBorder="1" applyAlignment="1">
      <alignment horizontal="center" vertical="center"/>
    </xf>
    <xf numFmtId="1" fontId="12" fillId="8" borderId="9" xfId="0" applyNumberFormat="1" applyFont="1" applyFill="1" applyBorder="1" applyAlignment="1">
      <alignment horizontal="center" vertical="center"/>
    </xf>
    <xf numFmtId="16" fontId="12" fillId="8" borderId="9" xfId="0" applyNumberFormat="1" applyFont="1" applyFill="1" applyBorder="1" applyAlignment="1">
      <alignment horizontal="center" vertical="center"/>
    </xf>
    <xf numFmtId="49" fontId="14" fillId="8" borderId="9" xfId="0" applyNumberFormat="1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49" fontId="12" fillId="8" borderId="10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2" fillId="16" borderId="4" xfId="0" applyNumberFormat="1" applyFont="1" applyFill="1" applyBorder="1" applyAlignment="1">
      <alignment horizontal="center" vertical="center"/>
    </xf>
    <xf numFmtId="168" fontId="13" fillId="16" borderId="5" xfId="0" applyNumberFormat="1" applyFont="1" applyFill="1" applyBorder="1" applyAlignment="1">
      <alignment horizontal="center" vertical="center"/>
    </xf>
    <xf numFmtId="1" fontId="12" fillId="16" borderId="5" xfId="0" applyNumberFormat="1" applyFont="1" applyFill="1" applyBorder="1" applyAlignment="1">
      <alignment horizontal="center" vertical="center"/>
    </xf>
    <xf numFmtId="16" fontId="12" fillId="16" borderId="5" xfId="0" applyNumberFormat="1" applyFont="1" applyFill="1" applyBorder="1" applyAlignment="1">
      <alignment horizontal="center" vertical="center"/>
    </xf>
    <xf numFmtId="49" fontId="14" fillId="16" borderId="5" xfId="0" applyNumberFormat="1" applyFont="1" applyFill="1" applyBorder="1" applyAlignment="1">
      <alignment horizontal="center" vertical="center"/>
    </xf>
    <xf numFmtId="167" fontId="12" fillId="16" borderId="5" xfId="0" applyNumberFormat="1" applyFont="1" applyFill="1" applyBorder="1" applyAlignment="1">
      <alignment horizontal="center" vertical="center"/>
    </xf>
    <xf numFmtId="49" fontId="12" fillId="16" borderId="6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68" fontId="13" fillId="14" borderId="5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4" fillId="14" borderId="5" xfId="0" applyNumberFormat="1" applyFont="1" applyFill="1" applyBorder="1" applyAlignment="1">
      <alignment horizontal="center" vertical="center"/>
    </xf>
    <xf numFmtId="167" fontId="12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49" fontId="15" fillId="15" borderId="7" xfId="0" applyNumberFormat="1" applyFont="1" applyFill="1" applyBorder="1" applyAlignment="1">
      <alignment horizontal="center" vertical="center"/>
    </xf>
    <xf numFmtId="167" fontId="15" fillId="15" borderId="7" xfId="0" applyNumberFormat="1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49" fontId="12" fillId="15" borderId="8" xfId="0" applyNumberFormat="1" applyFont="1" applyFill="1" applyBorder="1" applyAlignment="1">
      <alignment horizontal="center" vertical="center"/>
    </xf>
    <xf numFmtId="168" fontId="13" fillId="15" borderId="9" xfId="0" applyNumberFormat="1" applyFont="1" applyFill="1" applyBorder="1" applyAlignment="1">
      <alignment horizontal="center" vertical="center"/>
    </xf>
    <xf numFmtId="1" fontId="12" fillId="15" borderId="9" xfId="0" applyNumberFormat="1" applyFont="1" applyFill="1" applyBorder="1" applyAlignment="1">
      <alignment horizontal="center" vertical="center"/>
    </xf>
    <xf numFmtId="16" fontId="12" fillId="15" borderId="9" xfId="0" applyNumberFormat="1" applyFont="1" applyFill="1" applyBorder="1" applyAlignment="1">
      <alignment horizontal="center" vertical="center"/>
    </xf>
    <xf numFmtId="49" fontId="14" fillId="15" borderId="9" xfId="0" applyNumberFormat="1" applyFont="1" applyFill="1" applyBorder="1" applyAlignment="1">
      <alignment horizontal="center" vertical="center"/>
    </xf>
    <xf numFmtId="167" fontId="12" fillId="15" borderId="9" xfId="0" applyNumberFormat="1" applyFont="1" applyFill="1" applyBorder="1" applyAlignment="1">
      <alignment horizontal="center" vertical="center"/>
    </xf>
    <xf numFmtId="49" fontId="12" fillId="15" borderId="10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7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68" fontId="13" fillId="11" borderId="5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4" fillId="11" borderId="5" xfId="0" applyNumberFormat="1" applyFont="1" applyFill="1" applyBorder="1" applyAlignment="1">
      <alignment horizontal="center" vertical="center"/>
    </xf>
    <xf numFmtId="167" fontId="12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5" fillId="14" borderId="7" xfId="0" applyNumberFormat="1" applyFont="1" applyFill="1" applyBorder="1" applyAlignment="1">
      <alignment horizontal="center" vertical="center"/>
    </xf>
    <xf numFmtId="167" fontId="15" fillId="14" borderId="7" xfId="0" applyNumberFormat="1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49" fontId="15" fillId="11" borderId="7" xfId="0" applyNumberFormat="1" applyFont="1" applyFill="1" applyBorder="1" applyAlignment="1">
      <alignment horizontal="center" vertical="center"/>
    </xf>
    <xf numFmtId="167" fontId="15" fillId="11" borderId="7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49" fontId="12" fillId="16" borderId="8" xfId="0" applyNumberFormat="1" applyFont="1" applyFill="1" applyBorder="1" applyAlignment="1">
      <alignment horizontal="center" vertical="center"/>
    </xf>
    <xf numFmtId="168" fontId="13" fillId="16" borderId="9" xfId="0" applyNumberFormat="1" applyFont="1" applyFill="1" applyBorder="1" applyAlignment="1">
      <alignment horizontal="center" vertical="center"/>
    </xf>
    <xf numFmtId="1" fontId="12" fillId="16" borderId="9" xfId="0" applyNumberFormat="1" applyFont="1" applyFill="1" applyBorder="1" applyAlignment="1">
      <alignment horizontal="center" vertical="center"/>
    </xf>
    <xf numFmtId="16" fontId="12" fillId="16" borderId="9" xfId="0" applyNumberFormat="1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center" vertical="center"/>
    </xf>
    <xf numFmtId="167" fontId="12" fillId="16" borderId="9" xfId="0" applyNumberFormat="1" applyFont="1" applyFill="1" applyBorder="1" applyAlignment="1">
      <alignment horizontal="center" vertical="center"/>
    </xf>
    <xf numFmtId="49" fontId="12" fillId="16" borderId="10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168" fontId="13" fillId="9" borderId="5" xfId="0" applyNumberFormat="1" applyFont="1" applyFill="1" applyBorder="1" applyAlignment="1">
      <alignment horizontal="center" vertical="center"/>
    </xf>
    <xf numFmtId="1" fontId="12" fillId="9" borderId="5" xfId="0" applyNumberFormat="1" applyFont="1" applyFill="1" applyBorder="1" applyAlignment="1">
      <alignment horizontal="center" vertical="center"/>
    </xf>
    <xf numFmtId="16" fontId="12" fillId="9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167" fontId="12" fillId="9" borderId="5" xfId="0" applyNumberFormat="1" applyFont="1" applyFill="1" applyBorder="1" applyAlignment="1">
      <alignment horizontal="center" vertical="center"/>
    </xf>
    <xf numFmtId="49" fontId="12" fillId="9" borderId="6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17" fillId="0" borderId="11" xfId="0" applyFont="1" applyBorder="1"/>
    <xf numFmtId="49" fontId="6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4" xfId="0" applyBorder="1"/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169" fontId="18" fillId="0" borderId="0" xfId="0" applyNumberFormat="1" applyFont="1" applyAlignment="1">
      <alignment horizontal="center" vertical="center"/>
    </xf>
    <xf numFmtId="15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5" fontId="19" fillId="17" borderId="0" xfId="0" applyNumberFormat="1" applyFont="1" applyFill="1" applyAlignment="1">
      <alignment horizontal="center" vertical="center"/>
    </xf>
    <xf numFmtId="168" fontId="19" fillId="17" borderId="0" xfId="0" applyNumberFormat="1" applyFont="1" applyFill="1" applyAlignment="1">
      <alignment horizontal="center" vertical="center"/>
    </xf>
    <xf numFmtId="1" fontId="19" fillId="17" borderId="0" xfId="0" applyNumberFormat="1" applyFont="1" applyFill="1" applyAlignment="1">
      <alignment horizontal="center" vertical="center"/>
    </xf>
    <xf numFmtId="0" fontId="19" fillId="17" borderId="0" xfId="0" applyNumberFormat="1" applyFont="1" applyFill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H_CAI_LF_LEGACY" displayName="RUH_CAI_LF_LEGACY" ref="A1:AJ45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H_ATZ_LF_LEGACY" displayName="RUH_ATZ_LF_LEGACY" ref="A1:AJ16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44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5.44140625" bestFit="1" customWidth="1"/>
  </cols>
  <sheetData>
    <row r="1" spans="1:92" ht="28.8" customHeight="1" x14ac:dyDescent="0.3">
      <c r="A1" s="168" t="s">
        <v>0</v>
      </c>
      <c r="B1" s="167"/>
      <c r="C1" s="167"/>
      <c r="D1" s="167"/>
      <c r="E1" s="167"/>
      <c r="F1" s="1" t="s">
        <v>1</v>
      </c>
      <c r="G1" s="2" t="s">
        <v>2</v>
      </c>
      <c r="H1" s="166" t="s">
        <v>3</v>
      </c>
      <c r="I1" s="167"/>
      <c r="J1" s="167"/>
      <c r="K1" s="167"/>
      <c r="L1" s="167"/>
      <c r="M1" s="1" t="s">
        <v>4</v>
      </c>
      <c r="N1" s="172" t="s">
        <v>5</v>
      </c>
      <c r="O1" s="167"/>
      <c r="P1" s="167"/>
      <c r="Q1" s="167"/>
      <c r="R1" s="16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0" t="s">
        <v>6</v>
      </c>
      <c r="B2" s="167"/>
      <c r="C2" s="167"/>
      <c r="D2" s="167"/>
      <c r="E2" s="167"/>
      <c r="F2" s="167"/>
      <c r="G2" s="171">
        <v>45984.112367647882</v>
      </c>
      <c r="H2" s="167"/>
      <c r="I2" s="167"/>
      <c r="J2" s="167"/>
      <c r="K2" s="173">
        <v>45984.112367648428</v>
      </c>
      <c r="L2" s="167"/>
      <c r="M2" s="167"/>
      <c r="N2" s="167"/>
      <c r="O2" s="167"/>
      <c r="P2" s="167"/>
      <c r="Q2" s="167"/>
      <c r="R2" s="1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5" t="s">
        <v>7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6" t="s">
        <v>8</v>
      </c>
      <c r="B4" s="161"/>
      <c r="C4" s="161"/>
      <c r="D4" s="161"/>
      <c r="E4" s="161"/>
      <c r="F4" s="162"/>
      <c r="G4" s="4">
        <v>46050</v>
      </c>
      <c r="H4" s="174" t="s">
        <v>9</v>
      </c>
      <c r="I4" s="161"/>
      <c r="J4" s="161"/>
      <c r="K4" s="161"/>
      <c r="L4" s="161"/>
      <c r="M4" s="161"/>
      <c r="N4" s="161"/>
      <c r="O4" s="161"/>
      <c r="P4" s="161"/>
      <c r="Q4" s="161"/>
      <c r="R4" s="16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" t="s">
        <v>28</v>
      </c>
      <c r="B6" s="8" t="s">
        <v>29</v>
      </c>
      <c r="C6" s="9">
        <v>0.61111111111111105</v>
      </c>
      <c r="D6" s="8" t="s">
        <v>30</v>
      </c>
      <c r="E6" s="10"/>
      <c r="F6" s="8" t="s">
        <v>31</v>
      </c>
      <c r="G6" s="163"/>
      <c r="H6" s="11" t="s">
        <v>29</v>
      </c>
      <c r="I6" s="12">
        <v>2.3800000000000002E-2</v>
      </c>
      <c r="J6" s="13">
        <v>4</v>
      </c>
      <c r="K6" s="14" t="s">
        <v>32</v>
      </c>
      <c r="L6" s="13">
        <v>4</v>
      </c>
      <c r="M6" s="13">
        <v>0</v>
      </c>
      <c r="N6" s="13">
        <v>0</v>
      </c>
      <c r="O6" s="15" t="s">
        <v>33</v>
      </c>
      <c r="P6" s="16">
        <v>0.61111111111111105</v>
      </c>
      <c r="Q6" s="13">
        <v>168</v>
      </c>
      <c r="R6" s="17" t="s">
        <v>34</v>
      </c>
    </row>
    <row r="7" spans="1:92" ht="49.95" customHeight="1" thickBot="1" x14ac:dyDescent="0.35">
      <c r="A7" s="18" t="s">
        <v>28</v>
      </c>
      <c r="B7" s="18" t="s">
        <v>35</v>
      </c>
      <c r="C7" s="19">
        <v>0.92361111111111116</v>
      </c>
      <c r="D7" s="18" t="s">
        <v>30</v>
      </c>
      <c r="E7" s="20"/>
      <c r="F7" s="18" t="s">
        <v>31</v>
      </c>
      <c r="G7" s="169"/>
      <c r="H7" s="21" t="s">
        <v>35</v>
      </c>
      <c r="I7" s="22">
        <v>1.7899999999999999E-2</v>
      </c>
      <c r="J7" s="23">
        <v>3</v>
      </c>
      <c r="K7" s="24" t="s">
        <v>36</v>
      </c>
      <c r="L7" s="23">
        <v>3</v>
      </c>
      <c r="M7" s="23">
        <v>0</v>
      </c>
      <c r="N7" s="23">
        <v>0</v>
      </c>
      <c r="O7" s="25" t="s">
        <v>37</v>
      </c>
      <c r="P7" s="26">
        <v>0.92361111111111116</v>
      </c>
      <c r="Q7" s="23">
        <v>168</v>
      </c>
      <c r="R7" s="27" t="s">
        <v>37</v>
      </c>
    </row>
    <row r="8" spans="1:92" ht="17.399999999999999" customHeight="1" thickBot="1" x14ac:dyDescent="0.35">
      <c r="A8" s="191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3"/>
    </row>
    <row r="9" spans="1:92" ht="22.05" customHeight="1" thickTop="1" thickBot="1" x14ac:dyDescent="0.35">
      <c r="A9" s="165" t="s">
        <v>8</v>
      </c>
      <c r="B9" s="161"/>
      <c r="C9" s="161"/>
      <c r="D9" s="161"/>
      <c r="E9" s="161"/>
      <c r="F9" s="162"/>
      <c r="G9" s="28">
        <v>46051</v>
      </c>
      <c r="H9" s="160" t="s">
        <v>9</v>
      </c>
      <c r="I9" s="161"/>
      <c r="J9" s="161"/>
      <c r="K9" s="161"/>
      <c r="L9" s="161"/>
      <c r="M9" s="161"/>
      <c r="N9" s="161"/>
      <c r="O9" s="161"/>
      <c r="P9" s="161"/>
      <c r="Q9" s="161"/>
      <c r="R9" s="162"/>
    </row>
    <row r="10" spans="1:92" ht="24" customHeight="1" x14ac:dyDescent="0.3">
      <c r="A10" s="29" t="s">
        <v>10</v>
      </c>
      <c r="B10" s="29" t="s">
        <v>11</v>
      </c>
      <c r="C10" s="30" t="s">
        <v>12</v>
      </c>
      <c r="D10" s="29" t="s">
        <v>13</v>
      </c>
      <c r="E10" s="29" t="s">
        <v>14</v>
      </c>
      <c r="F10" s="31" t="s">
        <v>15</v>
      </c>
      <c r="G10" s="32" t="s">
        <v>16</v>
      </c>
      <c r="H10" s="29" t="s">
        <v>17</v>
      </c>
      <c r="I10" s="33" t="s">
        <v>18</v>
      </c>
      <c r="J10" s="34" t="s">
        <v>19</v>
      </c>
      <c r="K10" s="35" t="s">
        <v>20</v>
      </c>
      <c r="L10" s="34" t="s">
        <v>21</v>
      </c>
      <c r="M10" s="34" t="s">
        <v>22</v>
      </c>
      <c r="N10" s="34" t="s">
        <v>23</v>
      </c>
      <c r="O10" s="29" t="s">
        <v>24</v>
      </c>
      <c r="P10" s="30" t="s">
        <v>25</v>
      </c>
      <c r="Q10" s="34" t="s">
        <v>26</v>
      </c>
      <c r="R10" s="29" t="s">
        <v>27</v>
      </c>
    </row>
    <row r="11" spans="1:92" ht="49.95" customHeight="1" thickTop="1" thickBot="1" x14ac:dyDescent="0.35">
      <c r="A11" s="36" t="s">
        <v>28</v>
      </c>
      <c r="B11" s="36" t="s">
        <v>29</v>
      </c>
      <c r="C11" s="37">
        <v>0.61111111111111105</v>
      </c>
      <c r="D11" s="36" t="s">
        <v>30</v>
      </c>
      <c r="E11" s="38"/>
      <c r="F11" s="36" t="s">
        <v>31</v>
      </c>
      <c r="G11" s="163"/>
      <c r="H11" s="39" t="s">
        <v>29</v>
      </c>
      <c r="I11" s="40">
        <v>2.3800000000000002E-2</v>
      </c>
      <c r="J11" s="41">
        <v>4</v>
      </c>
      <c r="K11" s="42" t="s">
        <v>38</v>
      </c>
      <c r="L11" s="41">
        <v>4</v>
      </c>
      <c r="M11" s="41">
        <v>0</v>
      </c>
      <c r="N11" s="41">
        <v>0</v>
      </c>
      <c r="O11" s="43" t="s">
        <v>33</v>
      </c>
      <c r="P11" s="44">
        <v>0.61111111111111105</v>
      </c>
      <c r="Q11" s="41">
        <v>168</v>
      </c>
      <c r="R11" s="45" t="s">
        <v>39</v>
      </c>
    </row>
    <row r="12" spans="1:92" ht="17.399999999999999" customHeight="1" thickBot="1" x14ac:dyDescent="0.35">
      <c r="A12" s="191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3"/>
    </row>
    <row r="13" spans="1:92" ht="22.05" customHeight="1" thickTop="1" thickBot="1" x14ac:dyDescent="0.35">
      <c r="A13" s="165" t="s">
        <v>8</v>
      </c>
      <c r="B13" s="161"/>
      <c r="C13" s="161"/>
      <c r="D13" s="161"/>
      <c r="E13" s="161"/>
      <c r="F13" s="162"/>
      <c r="G13" s="28">
        <v>46052</v>
      </c>
      <c r="H13" s="160" t="s">
        <v>9</v>
      </c>
      <c r="I13" s="161"/>
      <c r="J13" s="161"/>
      <c r="K13" s="161"/>
      <c r="L13" s="161"/>
      <c r="M13" s="161"/>
      <c r="N13" s="161"/>
      <c r="O13" s="161"/>
      <c r="P13" s="161"/>
      <c r="Q13" s="161"/>
      <c r="R13" s="162"/>
    </row>
    <row r="14" spans="1:92" ht="24" customHeight="1" x14ac:dyDescent="0.3">
      <c r="A14" s="29" t="s">
        <v>10</v>
      </c>
      <c r="B14" s="29" t="s">
        <v>11</v>
      </c>
      <c r="C14" s="30" t="s">
        <v>12</v>
      </c>
      <c r="D14" s="29" t="s">
        <v>13</v>
      </c>
      <c r="E14" s="29" t="s">
        <v>14</v>
      </c>
      <c r="F14" s="31" t="s">
        <v>15</v>
      </c>
      <c r="G14" s="32" t="s">
        <v>16</v>
      </c>
      <c r="H14" s="29" t="s">
        <v>17</v>
      </c>
      <c r="I14" s="33" t="s">
        <v>18</v>
      </c>
      <c r="J14" s="34" t="s">
        <v>19</v>
      </c>
      <c r="K14" s="35" t="s">
        <v>20</v>
      </c>
      <c r="L14" s="34" t="s">
        <v>21</v>
      </c>
      <c r="M14" s="34" t="s">
        <v>22</v>
      </c>
      <c r="N14" s="34" t="s">
        <v>23</v>
      </c>
      <c r="O14" s="29" t="s">
        <v>24</v>
      </c>
      <c r="P14" s="30" t="s">
        <v>25</v>
      </c>
      <c r="Q14" s="34" t="s">
        <v>26</v>
      </c>
      <c r="R14" s="29" t="s">
        <v>27</v>
      </c>
    </row>
    <row r="15" spans="1:92" ht="49.95" customHeight="1" x14ac:dyDescent="0.3">
      <c r="A15" s="46" t="s">
        <v>28</v>
      </c>
      <c r="B15" s="46" t="s">
        <v>29</v>
      </c>
      <c r="C15" s="47">
        <v>0.60416666666666663</v>
      </c>
      <c r="D15" s="46" t="s">
        <v>30</v>
      </c>
      <c r="E15" s="48"/>
      <c r="F15" s="46" t="s">
        <v>31</v>
      </c>
      <c r="G15" s="163"/>
      <c r="H15" s="49" t="s">
        <v>29</v>
      </c>
      <c r="I15" s="50">
        <v>1.7899999999999999E-2</v>
      </c>
      <c r="J15" s="51">
        <v>3</v>
      </c>
      <c r="K15" s="52" t="s">
        <v>40</v>
      </c>
      <c r="L15" s="51">
        <v>3</v>
      </c>
      <c r="M15" s="51">
        <v>0</v>
      </c>
      <c r="N15" s="51">
        <v>0</v>
      </c>
      <c r="O15" s="53" t="s">
        <v>37</v>
      </c>
      <c r="P15" s="54">
        <v>0.60416666666666663</v>
      </c>
      <c r="Q15" s="51">
        <v>168</v>
      </c>
      <c r="R15" s="55" t="s">
        <v>41</v>
      </c>
    </row>
    <row r="16" spans="1:92" ht="49.95" customHeight="1" thickBot="1" x14ac:dyDescent="0.35">
      <c r="A16" s="18" t="s">
        <v>28</v>
      </c>
      <c r="B16" s="18" t="s">
        <v>35</v>
      </c>
      <c r="C16" s="19">
        <v>0.92361111111111116</v>
      </c>
      <c r="D16" s="18" t="s">
        <v>30</v>
      </c>
      <c r="E16" s="20"/>
      <c r="F16" s="18" t="s">
        <v>31</v>
      </c>
      <c r="G16" s="169"/>
      <c r="H16" s="21" t="s">
        <v>35</v>
      </c>
      <c r="I16" s="22">
        <v>1.1900000000000001E-2</v>
      </c>
      <c r="J16" s="23">
        <v>2</v>
      </c>
      <c r="K16" s="24" t="s">
        <v>42</v>
      </c>
      <c r="L16" s="23">
        <v>2</v>
      </c>
      <c r="M16" s="23">
        <v>0</v>
      </c>
      <c r="N16" s="23">
        <v>0</v>
      </c>
      <c r="O16" s="25" t="s">
        <v>39</v>
      </c>
      <c r="P16" s="26">
        <v>0.92361111111111116</v>
      </c>
      <c r="Q16" s="23">
        <v>168</v>
      </c>
      <c r="R16" s="27" t="s">
        <v>33</v>
      </c>
    </row>
    <row r="17" spans="1:18" ht="17.399999999999999" customHeight="1" thickBot="1" x14ac:dyDescent="0.35">
      <c r="A17" s="191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3"/>
    </row>
    <row r="18" spans="1:18" ht="22.05" customHeight="1" thickTop="1" thickBot="1" x14ac:dyDescent="0.35">
      <c r="A18" s="165" t="s">
        <v>8</v>
      </c>
      <c r="B18" s="161"/>
      <c r="C18" s="161"/>
      <c r="D18" s="161"/>
      <c r="E18" s="161"/>
      <c r="F18" s="162"/>
      <c r="G18" s="28">
        <v>46053</v>
      </c>
      <c r="H18" s="160" t="s">
        <v>9</v>
      </c>
      <c r="I18" s="161"/>
      <c r="J18" s="161"/>
      <c r="K18" s="161"/>
      <c r="L18" s="161"/>
      <c r="M18" s="161"/>
      <c r="N18" s="161"/>
      <c r="O18" s="161"/>
      <c r="P18" s="161"/>
      <c r="Q18" s="161"/>
      <c r="R18" s="162"/>
    </row>
    <row r="19" spans="1:18" ht="24" customHeight="1" x14ac:dyDescent="0.3">
      <c r="A19" s="29" t="s">
        <v>10</v>
      </c>
      <c r="B19" s="29" t="s">
        <v>11</v>
      </c>
      <c r="C19" s="30" t="s">
        <v>12</v>
      </c>
      <c r="D19" s="29" t="s">
        <v>13</v>
      </c>
      <c r="E19" s="29" t="s">
        <v>14</v>
      </c>
      <c r="F19" s="31" t="s">
        <v>15</v>
      </c>
      <c r="G19" s="32" t="s">
        <v>16</v>
      </c>
      <c r="H19" s="29" t="s">
        <v>17</v>
      </c>
      <c r="I19" s="33" t="s">
        <v>18</v>
      </c>
      <c r="J19" s="34" t="s">
        <v>19</v>
      </c>
      <c r="K19" s="35" t="s">
        <v>20</v>
      </c>
      <c r="L19" s="34" t="s">
        <v>21</v>
      </c>
      <c r="M19" s="34" t="s">
        <v>22</v>
      </c>
      <c r="N19" s="34" t="s">
        <v>23</v>
      </c>
      <c r="O19" s="29" t="s">
        <v>24</v>
      </c>
      <c r="P19" s="30" t="s">
        <v>25</v>
      </c>
      <c r="Q19" s="34" t="s">
        <v>26</v>
      </c>
      <c r="R19" s="29" t="s">
        <v>27</v>
      </c>
    </row>
    <row r="20" spans="1:18" ht="49.95" customHeight="1" thickTop="1" thickBot="1" x14ac:dyDescent="0.35">
      <c r="A20" s="56" t="s">
        <v>28</v>
      </c>
      <c r="B20" s="56" t="s">
        <v>29</v>
      </c>
      <c r="C20" s="57">
        <v>0.61111111111111105</v>
      </c>
      <c r="D20" s="56" t="s">
        <v>30</v>
      </c>
      <c r="E20" s="58"/>
      <c r="F20" s="56" t="s">
        <v>31</v>
      </c>
      <c r="G20" s="163"/>
      <c r="H20" s="59" t="s">
        <v>29</v>
      </c>
      <c r="I20" s="60">
        <v>2.3800000000000002E-2</v>
      </c>
      <c r="J20" s="61">
        <v>4</v>
      </c>
      <c r="K20" s="62" t="s">
        <v>43</v>
      </c>
      <c r="L20" s="61">
        <v>4</v>
      </c>
      <c r="M20" s="61">
        <v>0</v>
      </c>
      <c r="N20" s="61">
        <v>0</v>
      </c>
      <c r="O20" s="63" t="s">
        <v>33</v>
      </c>
      <c r="P20" s="64">
        <v>0.61111111111111105</v>
      </c>
      <c r="Q20" s="61">
        <v>168</v>
      </c>
      <c r="R20" s="65" t="s">
        <v>39</v>
      </c>
    </row>
    <row r="21" spans="1:18" ht="17.399999999999999" customHeight="1" thickBot="1" x14ac:dyDescent="0.35">
      <c r="A21" s="191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3"/>
    </row>
    <row r="22" spans="1:18" ht="22.05" customHeight="1" thickTop="1" thickBot="1" x14ac:dyDescent="0.35">
      <c r="A22" s="165" t="s">
        <v>8</v>
      </c>
      <c r="B22" s="161"/>
      <c r="C22" s="161"/>
      <c r="D22" s="161"/>
      <c r="E22" s="161"/>
      <c r="F22" s="162"/>
      <c r="G22" s="28">
        <v>46054</v>
      </c>
      <c r="H22" s="160" t="s">
        <v>9</v>
      </c>
      <c r="I22" s="161"/>
      <c r="J22" s="161"/>
      <c r="K22" s="161"/>
      <c r="L22" s="161"/>
      <c r="M22" s="161"/>
      <c r="N22" s="161"/>
      <c r="O22" s="161"/>
      <c r="P22" s="161"/>
      <c r="Q22" s="161"/>
      <c r="R22" s="162"/>
    </row>
    <row r="23" spans="1:18" ht="24" customHeight="1" x14ac:dyDescent="0.3">
      <c r="A23" s="29" t="s">
        <v>10</v>
      </c>
      <c r="B23" s="29" t="s">
        <v>11</v>
      </c>
      <c r="C23" s="30" t="s">
        <v>12</v>
      </c>
      <c r="D23" s="29" t="s">
        <v>13</v>
      </c>
      <c r="E23" s="29" t="s">
        <v>14</v>
      </c>
      <c r="F23" s="31" t="s">
        <v>15</v>
      </c>
      <c r="G23" s="32" t="s">
        <v>16</v>
      </c>
      <c r="H23" s="29" t="s">
        <v>17</v>
      </c>
      <c r="I23" s="33" t="s">
        <v>18</v>
      </c>
      <c r="J23" s="34" t="s">
        <v>19</v>
      </c>
      <c r="K23" s="35" t="s">
        <v>20</v>
      </c>
      <c r="L23" s="34" t="s">
        <v>21</v>
      </c>
      <c r="M23" s="34" t="s">
        <v>22</v>
      </c>
      <c r="N23" s="34" t="s">
        <v>23</v>
      </c>
      <c r="O23" s="29" t="s">
        <v>24</v>
      </c>
      <c r="P23" s="30" t="s">
        <v>25</v>
      </c>
      <c r="Q23" s="34" t="s">
        <v>26</v>
      </c>
      <c r="R23" s="29" t="s">
        <v>27</v>
      </c>
    </row>
    <row r="24" spans="1:18" ht="49.95" customHeight="1" thickTop="1" thickBot="1" x14ac:dyDescent="0.35">
      <c r="A24" s="56" t="s">
        <v>28</v>
      </c>
      <c r="B24" s="56" t="s">
        <v>29</v>
      </c>
      <c r="C24" s="57">
        <v>0.625</v>
      </c>
      <c r="D24" s="56" t="s">
        <v>30</v>
      </c>
      <c r="E24" s="58"/>
      <c r="F24" s="56" t="s">
        <v>31</v>
      </c>
      <c r="G24" s="163"/>
      <c r="H24" s="59" t="s">
        <v>29</v>
      </c>
      <c r="I24" s="60">
        <v>6.0000000000000001E-3</v>
      </c>
      <c r="J24" s="61">
        <v>1</v>
      </c>
      <c r="K24" s="62" t="s">
        <v>44</v>
      </c>
      <c r="L24" s="61">
        <v>1</v>
      </c>
      <c r="M24" s="61">
        <v>0</v>
      </c>
      <c r="N24" s="61">
        <v>0</v>
      </c>
      <c r="O24" s="63" t="s">
        <v>45</v>
      </c>
      <c r="P24" s="64">
        <v>0.625</v>
      </c>
      <c r="Q24" s="61">
        <v>168</v>
      </c>
      <c r="R24" s="65" t="s">
        <v>46</v>
      </c>
    </row>
    <row r="25" spans="1:18" ht="17.399999999999999" customHeight="1" thickBot="1" x14ac:dyDescent="0.35">
      <c r="A25" s="191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3"/>
    </row>
    <row r="26" spans="1:18" ht="22.05" customHeight="1" thickTop="1" thickBot="1" x14ac:dyDescent="0.35">
      <c r="A26" s="165" t="s">
        <v>8</v>
      </c>
      <c r="B26" s="161"/>
      <c r="C26" s="161"/>
      <c r="D26" s="161"/>
      <c r="E26" s="161"/>
      <c r="F26" s="162"/>
      <c r="G26" s="28">
        <v>46055</v>
      </c>
      <c r="H26" s="160" t="s">
        <v>9</v>
      </c>
      <c r="I26" s="161"/>
      <c r="J26" s="161"/>
      <c r="K26" s="161"/>
      <c r="L26" s="161"/>
      <c r="M26" s="161"/>
      <c r="N26" s="161"/>
      <c r="O26" s="161"/>
      <c r="P26" s="161"/>
      <c r="Q26" s="161"/>
      <c r="R26" s="162"/>
    </row>
    <row r="27" spans="1:18" ht="24" customHeight="1" x14ac:dyDescent="0.3">
      <c r="A27" s="29" t="s">
        <v>10</v>
      </c>
      <c r="B27" s="29" t="s">
        <v>11</v>
      </c>
      <c r="C27" s="30" t="s">
        <v>12</v>
      </c>
      <c r="D27" s="29" t="s">
        <v>13</v>
      </c>
      <c r="E27" s="29" t="s">
        <v>14</v>
      </c>
      <c r="F27" s="31" t="s">
        <v>15</v>
      </c>
      <c r="G27" s="32" t="s">
        <v>16</v>
      </c>
      <c r="H27" s="29" t="s">
        <v>17</v>
      </c>
      <c r="I27" s="33" t="s">
        <v>18</v>
      </c>
      <c r="J27" s="34" t="s">
        <v>19</v>
      </c>
      <c r="K27" s="35" t="s">
        <v>20</v>
      </c>
      <c r="L27" s="34" t="s">
        <v>21</v>
      </c>
      <c r="M27" s="34" t="s">
        <v>22</v>
      </c>
      <c r="N27" s="34" t="s">
        <v>23</v>
      </c>
      <c r="O27" s="29" t="s">
        <v>24</v>
      </c>
      <c r="P27" s="30" t="s">
        <v>25</v>
      </c>
      <c r="Q27" s="34" t="s">
        <v>26</v>
      </c>
      <c r="R27" s="29" t="s">
        <v>27</v>
      </c>
    </row>
    <row r="28" spans="1:18" ht="49.95" customHeight="1" thickTop="1" thickBot="1" x14ac:dyDescent="0.35">
      <c r="A28" s="66" t="s">
        <v>28</v>
      </c>
      <c r="B28" s="66" t="s">
        <v>35</v>
      </c>
      <c r="C28" s="67">
        <v>0.92361111111111116</v>
      </c>
      <c r="D28" s="66" t="s">
        <v>30</v>
      </c>
      <c r="E28" s="68"/>
      <c r="F28" s="66" t="s">
        <v>47</v>
      </c>
      <c r="G28" s="163"/>
      <c r="H28" s="69" t="s">
        <v>35</v>
      </c>
      <c r="I28" s="70">
        <v>0</v>
      </c>
      <c r="J28" s="71">
        <v>0</v>
      </c>
      <c r="K28" s="72" t="s">
        <v>48</v>
      </c>
      <c r="L28" s="71">
        <v>0</v>
      </c>
      <c r="M28" s="71">
        <v>0</v>
      </c>
      <c r="N28" s="71">
        <v>0</v>
      </c>
      <c r="O28" s="73" t="s">
        <v>45</v>
      </c>
      <c r="P28" s="74">
        <v>0.92361111111111116</v>
      </c>
      <c r="Q28" s="71">
        <v>168</v>
      </c>
      <c r="R28" s="75" t="s">
        <v>48</v>
      </c>
    </row>
    <row r="29" spans="1:18" ht="17.399999999999999" customHeight="1" thickBot="1" x14ac:dyDescent="0.35">
      <c r="A29" s="191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3"/>
    </row>
    <row r="30" spans="1:18" ht="22.05" customHeight="1" thickTop="1" thickBot="1" x14ac:dyDescent="0.35">
      <c r="A30" s="165" t="s">
        <v>8</v>
      </c>
      <c r="B30" s="161"/>
      <c r="C30" s="161"/>
      <c r="D30" s="161"/>
      <c r="E30" s="161"/>
      <c r="F30" s="162"/>
      <c r="G30" s="28">
        <v>46056</v>
      </c>
      <c r="H30" s="160" t="s">
        <v>9</v>
      </c>
      <c r="I30" s="161"/>
      <c r="J30" s="161"/>
      <c r="K30" s="161"/>
      <c r="L30" s="161"/>
      <c r="M30" s="161"/>
      <c r="N30" s="161"/>
      <c r="O30" s="161"/>
      <c r="P30" s="161"/>
      <c r="Q30" s="161"/>
      <c r="R30" s="162"/>
    </row>
    <row r="31" spans="1:18" ht="24" customHeight="1" x14ac:dyDescent="0.3">
      <c r="A31" s="29" t="s">
        <v>10</v>
      </c>
      <c r="B31" s="29" t="s">
        <v>11</v>
      </c>
      <c r="C31" s="30" t="s">
        <v>12</v>
      </c>
      <c r="D31" s="29" t="s">
        <v>13</v>
      </c>
      <c r="E31" s="29" t="s">
        <v>14</v>
      </c>
      <c r="F31" s="31" t="s">
        <v>15</v>
      </c>
      <c r="G31" s="32" t="s">
        <v>16</v>
      </c>
      <c r="H31" s="29" t="s">
        <v>17</v>
      </c>
      <c r="I31" s="33" t="s">
        <v>18</v>
      </c>
      <c r="J31" s="34" t="s">
        <v>19</v>
      </c>
      <c r="K31" s="35" t="s">
        <v>20</v>
      </c>
      <c r="L31" s="34" t="s">
        <v>21</v>
      </c>
      <c r="M31" s="34" t="s">
        <v>22</v>
      </c>
      <c r="N31" s="34" t="s">
        <v>23</v>
      </c>
      <c r="O31" s="29" t="s">
        <v>24</v>
      </c>
      <c r="P31" s="30" t="s">
        <v>25</v>
      </c>
      <c r="Q31" s="34" t="s">
        <v>26</v>
      </c>
      <c r="R31" s="29" t="s">
        <v>27</v>
      </c>
    </row>
    <row r="32" spans="1:18" ht="49.95" customHeight="1" thickTop="1" thickBot="1" x14ac:dyDescent="0.5">
      <c r="A32" s="66" t="s">
        <v>28</v>
      </c>
      <c r="B32" s="66" t="s">
        <v>35</v>
      </c>
      <c r="C32" s="67">
        <v>0.91319444444444453</v>
      </c>
      <c r="D32" s="66" t="s">
        <v>30</v>
      </c>
      <c r="E32" s="68"/>
      <c r="F32" s="66" t="s">
        <v>47</v>
      </c>
      <c r="G32" s="164"/>
      <c r="H32" s="69" t="s">
        <v>35</v>
      </c>
      <c r="I32" s="70">
        <v>0</v>
      </c>
      <c r="J32" s="71">
        <v>0</v>
      </c>
      <c r="K32" s="72" t="s">
        <v>48</v>
      </c>
      <c r="L32" s="71">
        <v>0</v>
      </c>
      <c r="M32" s="71">
        <v>0</v>
      </c>
      <c r="N32" s="71">
        <v>0</v>
      </c>
      <c r="O32" s="73" t="s">
        <v>45</v>
      </c>
      <c r="P32" s="74">
        <v>0.91319444444444453</v>
      </c>
      <c r="Q32" s="71">
        <v>168</v>
      </c>
      <c r="R32" s="75" t="s">
        <v>48</v>
      </c>
    </row>
    <row r="33" spans="1:18" ht="17.399999999999999" customHeight="1" thickBot="1" x14ac:dyDescent="0.35">
      <c r="A33" s="191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3"/>
    </row>
    <row r="34" spans="1:18" ht="22.05" customHeight="1" thickTop="1" thickBot="1" x14ac:dyDescent="0.35">
      <c r="A34" s="165" t="s">
        <v>8</v>
      </c>
      <c r="B34" s="161"/>
      <c r="C34" s="161"/>
      <c r="D34" s="161"/>
      <c r="E34" s="161"/>
      <c r="F34" s="162"/>
      <c r="G34" s="28">
        <v>46057</v>
      </c>
      <c r="H34" s="160" t="s">
        <v>9</v>
      </c>
      <c r="I34" s="161"/>
      <c r="J34" s="161"/>
      <c r="K34" s="161"/>
      <c r="L34" s="161"/>
      <c r="M34" s="161"/>
      <c r="N34" s="161"/>
      <c r="O34" s="161"/>
      <c r="P34" s="161"/>
      <c r="Q34" s="161"/>
      <c r="R34" s="162"/>
    </row>
    <row r="35" spans="1:18" ht="24" customHeight="1" x14ac:dyDescent="0.3">
      <c r="A35" s="29" t="s">
        <v>10</v>
      </c>
      <c r="B35" s="29" t="s">
        <v>11</v>
      </c>
      <c r="C35" s="30" t="s">
        <v>12</v>
      </c>
      <c r="D35" s="29" t="s">
        <v>13</v>
      </c>
      <c r="E35" s="29" t="s">
        <v>14</v>
      </c>
      <c r="F35" s="31" t="s">
        <v>15</v>
      </c>
      <c r="G35" s="32" t="s">
        <v>16</v>
      </c>
      <c r="H35" s="29" t="s">
        <v>17</v>
      </c>
      <c r="I35" s="33" t="s">
        <v>18</v>
      </c>
      <c r="J35" s="34" t="s">
        <v>19</v>
      </c>
      <c r="K35" s="35" t="s">
        <v>20</v>
      </c>
      <c r="L35" s="34" t="s">
        <v>21</v>
      </c>
      <c r="M35" s="34" t="s">
        <v>22</v>
      </c>
      <c r="N35" s="34" t="s">
        <v>23</v>
      </c>
      <c r="O35" s="29" t="s">
        <v>24</v>
      </c>
      <c r="P35" s="30" t="s">
        <v>25</v>
      </c>
      <c r="Q35" s="34" t="s">
        <v>26</v>
      </c>
      <c r="R35" s="29" t="s">
        <v>27</v>
      </c>
    </row>
    <row r="36" spans="1:18" ht="49.95" customHeight="1" x14ac:dyDescent="0.3">
      <c r="A36" s="76" t="s">
        <v>28</v>
      </c>
      <c r="B36" s="76" t="s">
        <v>29</v>
      </c>
      <c r="C36" s="77">
        <v>0.61111111111111105</v>
      </c>
      <c r="D36" s="76" t="s">
        <v>30</v>
      </c>
      <c r="E36" s="78"/>
      <c r="F36" s="76" t="s">
        <v>47</v>
      </c>
      <c r="G36" s="163"/>
      <c r="H36" s="79" t="s">
        <v>29</v>
      </c>
      <c r="I36" s="80">
        <v>0</v>
      </c>
      <c r="J36" s="81">
        <v>0</v>
      </c>
      <c r="K36" s="82" t="s">
        <v>48</v>
      </c>
      <c r="L36" s="81">
        <v>0</v>
      </c>
      <c r="M36" s="81">
        <v>0</v>
      </c>
      <c r="N36" s="81">
        <v>0</v>
      </c>
      <c r="O36" s="83" t="s">
        <v>45</v>
      </c>
      <c r="P36" s="84">
        <v>0.61111111111111105</v>
      </c>
      <c r="Q36" s="81">
        <v>168</v>
      </c>
      <c r="R36" s="85" t="s">
        <v>48</v>
      </c>
    </row>
    <row r="37" spans="1:18" ht="49.95" customHeight="1" thickBot="1" x14ac:dyDescent="0.35">
      <c r="A37" s="86" t="s">
        <v>28</v>
      </c>
      <c r="B37" s="86" t="s">
        <v>35</v>
      </c>
      <c r="C37" s="87">
        <v>0.92361111111111116</v>
      </c>
      <c r="D37" s="86" t="s">
        <v>30</v>
      </c>
      <c r="E37" s="88"/>
      <c r="F37" s="86" t="s">
        <v>47</v>
      </c>
      <c r="G37" s="169"/>
      <c r="H37" s="89" t="s">
        <v>35</v>
      </c>
      <c r="I37" s="90">
        <v>0</v>
      </c>
      <c r="J37" s="91">
        <v>0</v>
      </c>
      <c r="K37" s="92" t="s">
        <v>48</v>
      </c>
      <c r="L37" s="91">
        <v>0</v>
      </c>
      <c r="M37" s="91">
        <v>0</v>
      </c>
      <c r="N37" s="91">
        <v>0</v>
      </c>
      <c r="O37" s="93" t="s">
        <v>45</v>
      </c>
      <c r="P37" s="94">
        <v>0.92361111111111116</v>
      </c>
      <c r="Q37" s="91">
        <v>168</v>
      </c>
      <c r="R37" s="95" t="s">
        <v>48</v>
      </c>
    </row>
    <row r="38" spans="1:18" ht="17.399999999999999" customHeight="1" thickBot="1" x14ac:dyDescent="0.35">
      <c r="A38" s="191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3"/>
    </row>
    <row r="39" spans="1:18" ht="22.05" customHeight="1" thickTop="1" thickBot="1" x14ac:dyDescent="0.35">
      <c r="A39" s="165" t="s">
        <v>8</v>
      </c>
      <c r="B39" s="161"/>
      <c r="C39" s="161"/>
      <c r="D39" s="161"/>
      <c r="E39" s="161"/>
      <c r="F39" s="162"/>
      <c r="G39" s="28">
        <v>46058</v>
      </c>
      <c r="H39" s="160" t="s">
        <v>9</v>
      </c>
      <c r="I39" s="161"/>
      <c r="J39" s="161"/>
      <c r="K39" s="161"/>
      <c r="L39" s="161"/>
      <c r="M39" s="161"/>
      <c r="N39" s="161"/>
      <c r="O39" s="161"/>
      <c r="P39" s="161"/>
      <c r="Q39" s="161"/>
      <c r="R39" s="162"/>
    </row>
    <row r="40" spans="1:18" ht="24" customHeight="1" x14ac:dyDescent="0.3">
      <c r="A40" s="29" t="s">
        <v>10</v>
      </c>
      <c r="B40" s="29" t="s">
        <v>11</v>
      </c>
      <c r="C40" s="30" t="s">
        <v>12</v>
      </c>
      <c r="D40" s="29" t="s">
        <v>13</v>
      </c>
      <c r="E40" s="29" t="s">
        <v>14</v>
      </c>
      <c r="F40" s="31" t="s">
        <v>15</v>
      </c>
      <c r="G40" s="32" t="s">
        <v>16</v>
      </c>
      <c r="H40" s="29" t="s">
        <v>17</v>
      </c>
      <c r="I40" s="33" t="s">
        <v>18</v>
      </c>
      <c r="J40" s="34" t="s">
        <v>19</v>
      </c>
      <c r="K40" s="35" t="s">
        <v>20</v>
      </c>
      <c r="L40" s="34" t="s">
        <v>21</v>
      </c>
      <c r="M40" s="34" t="s">
        <v>22</v>
      </c>
      <c r="N40" s="34" t="s">
        <v>23</v>
      </c>
      <c r="O40" s="29" t="s">
        <v>24</v>
      </c>
      <c r="P40" s="30" t="s">
        <v>25</v>
      </c>
      <c r="Q40" s="34" t="s">
        <v>26</v>
      </c>
      <c r="R40" s="29" t="s">
        <v>27</v>
      </c>
    </row>
    <row r="41" spans="1:18" ht="49.95" customHeight="1" thickTop="1" thickBot="1" x14ac:dyDescent="0.35">
      <c r="A41" s="8" t="s">
        <v>28</v>
      </c>
      <c r="B41" s="8" t="s">
        <v>29</v>
      </c>
      <c r="C41" s="9">
        <v>0.61111111111111105</v>
      </c>
      <c r="D41" s="8" t="s">
        <v>30</v>
      </c>
      <c r="E41" s="10"/>
      <c r="F41" s="8" t="s">
        <v>31</v>
      </c>
      <c r="G41" s="163"/>
      <c r="H41" s="96" t="s">
        <v>29</v>
      </c>
      <c r="I41" s="97">
        <v>6.0000000000000001E-3</v>
      </c>
      <c r="J41" s="98">
        <v>1</v>
      </c>
      <c r="K41" s="99" t="s">
        <v>44</v>
      </c>
      <c r="L41" s="98">
        <v>1</v>
      </c>
      <c r="M41" s="98">
        <v>0</v>
      </c>
      <c r="N41" s="98">
        <v>0</v>
      </c>
      <c r="O41" s="100" t="s">
        <v>45</v>
      </c>
      <c r="P41" s="101">
        <v>0.61111111111111105</v>
      </c>
      <c r="Q41" s="98">
        <v>168</v>
      </c>
      <c r="R41" s="102" t="s">
        <v>46</v>
      </c>
    </row>
    <row r="42" spans="1:18" ht="17.399999999999999" customHeight="1" thickBot="1" x14ac:dyDescent="0.35">
      <c r="A42" s="191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3"/>
    </row>
    <row r="43" spans="1:18" ht="22.05" customHeight="1" thickTop="1" thickBot="1" x14ac:dyDescent="0.35">
      <c r="A43" s="165" t="s">
        <v>8</v>
      </c>
      <c r="B43" s="161"/>
      <c r="C43" s="161"/>
      <c r="D43" s="161"/>
      <c r="E43" s="161"/>
      <c r="F43" s="162"/>
      <c r="G43" s="28">
        <v>46059</v>
      </c>
      <c r="H43" s="160" t="s">
        <v>9</v>
      </c>
      <c r="I43" s="161"/>
      <c r="J43" s="161"/>
      <c r="K43" s="161"/>
      <c r="L43" s="161"/>
      <c r="M43" s="161"/>
      <c r="N43" s="161"/>
      <c r="O43" s="161"/>
      <c r="P43" s="161"/>
      <c r="Q43" s="161"/>
      <c r="R43" s="162"/>
    </row>
    <row r="44" spans="1:18" ht="24" customHeight="1" x14ac:dyDescent="0.3">
      <c r="A44" s="29" t="s">
        <v>10</v>
      </c>
      <c r="B44" s="29" t="s">
        <v>11</v>
      </c>
      <c r="C44" s="30" t="s">
        <v>12</v>
      </c>
      <c r="D44" s="29" t="s">
        <v>13</v>
      </c>
      <c r="E44" s="29" t="s">
        <v>14</v>
      </c>
      <c r="F44" s="31" t="s">
        <v>15</v>
      </c>
      <c r="G44" s="32" t="s">
        <v>16</v>
      </c>
      <c r="H44" s="29" t="s">
        <v>17</v>
      </c>
      <c r="I44" s="33" t="s">
        <v>18</v>
      </c>
      <c r="J44" s="34" t="s">
        <v>19</v>
      </c>
      <c r="K44" s="35" t="s">
        <v>20</v>
      </c>
      <c r="L44" s="34" t="s">
        <v>21</v>
      </c>
      <c r="M44" s="34" t="s">
        <v>22</v>
      </c>
      <c r="N44" s="34" t="s">
        <v>23</v>
      </c>
      <c r="O44" s="29" t="s">
        <v>24</v>
      </c>
      <c r="P44" s="30" t="s">
        <v>25</v>
      </c>
      <c r="Q44" s="34" t="s">
        <v>26</v>
      </c>
      <c r="R44" s="29" t="s">
        <v>27</v>
      </c>
    </row>
    <row r="45" spans="1:18" ht="49.95" customHeight="1" x14ac:dyDescent="0.3">
      <c r="A45" s="103" t="s">
        <v>28</v>
      </c>
      <c r="B45" s="103" t="s">
        <v>29</v>
      </c>
      <c r="C45" s="104">
        <v>0.60416666666666663</v>
      </c>
      <c r="D45" s="103" t="s">
        <v>30</v>
      </c>
      <c r="E45" s="105"/>
      <c r="F45" s="103" t="s">
        <v>47</v>
      </c>
      <c r="G45" s="163"/>
      <c r="H45" s="106" t="s">
        <v>29</v>
      </c>
      <c r="I45" s="107">
        <v>0</v>
      </c>
      <c r="J45" s="108">
        <v>0</v>
      </c>
      <c r="K45" s="109" t="s">
        <v>48</v>
      </c>
      <c r="L45" s="108">
        <v>0</v>
      </c>
      <c r="M45" s="108">
        <v>0</v>
      </c>
      <c r="N45" s="108">
        <v>0</v>
      </c>
      <c r="O45" s="110" t="s">
        <v>45</v>
      </c>
      <c r="P45" s="111">
        <v>0.60416666666666663</v>
      </c>
      <c r="Q45" s="108">
        <v>168</v>
      </c>
      <c r="R45" s="112" t="s">
        <v>48</v>
      </c>
    </row>
    <row r="46" spans="1:18" ht="49.95" customHeight="1" thickBot="1" x14ac:dyDescent="0.35">
      <c r="A46" s="86" t="s">
        <v>28</v>
      </c>
      <c r="B46" s="86" t="s">
        <v>35</v>
      </c>
      <c r="C46" s="87">
        <v>0.92361111111111116</v>
      </c>
      <c r="D46" s="86" t="s">
        <v>30</v>
      </c>
      <c r="E46" s="88"/>
      <c r="F46" s="86" t="s">
        <v>47</v>
      </c>
      <c r="G46" s="169"/>
      <c r="H46" s="89" t="s">
        <v>35</v>
      </c>
      <c r="I46" s="90">
        <v>0</v>
      </c>
      <c r="J46" s="91">
        <v>0</v>
      </c>
      <c r="K46" s="92" t="s">
        <v>48</v>
      </c>
      <c r="L46" s="91">
        <v>0</v>
      </c>
      <c r="M46" s="91">
        <v>0</v>
      </c>
      <c r="N46" s="91">
        <v>0</v>
      </c>
      <c r="O46" s="93" t="s">
        <v>45</v>
      </c>
      <c r="P46" s="94">
        <v>0.92361111111111116</v>
      </c>
      <c r="Q46" s="91">
        <v>168</v>
      </c>
      <c r="R46" s="95" t="s">
        <v>48</v>
      </c>
    </row>
    <row r="47" spans="1:18" ht="17.399999999999999" customHeight="1" thickBot="1" x14ac:dyDescent="0.35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3"/>
    </row>
    <row r="48" spans="1:18" ht="22.05" customHeight="1" thickTop="1" thickBot="1" x14ac:dyDescent="0.35">
      <c r="A48" s="165" t="s">
        <v>8</v>
      </c>
      <c r="B48" s="161"/>
      <c r="C48" s="161"/>
      <c r="D48" s="161"/>
      <c r="E48" s="161"/>
      <c r="F48" s="162"/>
      <c r="G48" s="28">
        <v>46060</v>
      </c>
      <c r="H48" s="160" t="s">
        <v>9</v>
      </c>
      <c r="I48" s="161"/>
      <c r="J48" s="161"/>
      <c r="K48" s="161"/>
      <c r="L48" s="161"/>
      <c r="M48" s="161"/>
      <c r="N48" s="161"/>
      <c r="O48" s="161"/>
      <c r="P48" s="161"/>
      <c r="Q48" s="161"/>
      <c r="R48" s="162"/>
    </row>
    <row r="49" spans="1:18" ht="24" customHeight="1" x14ac:dyDescent="0.3">
      <c r="A49" s="29" t="s">
        <v>10</v>
      </c>
      <c r="B49" s="29" t="s">
        <v>11</v>
      </c>
      <c r="C49" s="30" t="s">
        <v>12</v>
      </c>
      <c r="D49" s="29" t="s">
        <v>13</v>
      </c>
      <c r="E49" s="29" t="s">
        <v>14</v>
      </c>
      <c r="F49" s="31" t="s">
        <v>15</v>
      </c>
      <c r="G49" s="32" t="s">
        <v>16</v>
      </c>
      <c r="H49" s="29" t="s">
        <v>17</v>
      </c>
      <c r="I49" s="33" t="s">
        <v>18</v>
      </c>
      <c r="J49" s="34" t="s">
        <v>19</v>
      </c>
      <c r="K49" s="35" t="s">
        <v>20</v>
      </c>
      <c r="L49" s="34" t="s">
        <v>21</v>
      </c>
      <c r="M49" s="34" t="s">
        <v>22</v>
      </c>
      <c r="N49" s="34" t="s">
        <v>23</v>
      </c>
      <c r="O49" s="29" t="s">
        <v>24</v>
      </c>
      <c r="P49" s="30" t="s">
        <v>25</v>
      </c>
      <c r="Q49" s="34" t="s">
        <v>26</v>
      </c>
      <c r="R49" s="29" t="s">
        <v>27</v>
      </c>
    </row>
    <row r="50" spans="1:18" ht="49.95" customHeight="1" thickTop="1" thickBot="1" x14ac:dyDescent="0.35">
      <c r="A50" s="66" t="s">
        <v>28</v>
      </c>
      <c r="B50" s="66" t="s">
        <v>29</v>
      </c>
      <c r="C50" s="67">
        <v>0.61111111111111105</v>
      </c>
      <c r="D50" s="66" t="s">
        <v>30</v>
      </c>
      <c r="E50" s="68"/>
      <c r="F50" s="66" t="s">
        <v>31</v>
      </c>
      <c r="G50" s="163"/>
      <c r="H50" s="69" t="s">
        <v>29</v>
      </c>
      <c r="I50" s="70">
        <v>1.1900000000000001E-2</v>
      </c>
      <c r="J50" s="71">
        <v>2</v>
      </c>
      <c r="K50" s="72" t="s">
        <v>49</v>
      </c>
      <c r="L50" s="71">
        <v>2</v>
      </c>
      <c r="M50" s="71">
        <v>0</v>
      </c>
      <c r="N50" s="71">
        <v>0</v>
      </c>
      <c r="O50" s="73" t="s">
        <v>45</v>
      </c>
      <c r="P50" s="74">
        <v>0.61111111111111105</v>
      </c>
      <c r="Q50" s="71">
        <v>168</v>
      </c>
      <c r="R50" s="75" t="s">
        <v>50</v>
      </c>
    </row>
    <row r="51" spans="1:18" ht="17.399999999999999" customHeight="1" thickBot="1" x14ac:dyDescent="0.35">
      <c r="A51" s="191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3"/>
    </row>
    <row r="52" spans="1:18" ht="22.05" customHeight="1" thickTop="1" thickBot="1" x14ac:dyDescent="0.35">
      <c r="A52" s="165" t="s">
        <v>8</v>
      </c>
      <c r="B52" s="161"/>
      <c r="C52" s="161"/>
      <c r="D52" s="161"/>
      <c r="E52" s="161"/>
      <c r="F52" s="162"/>
      <c r="G52" s="28">
        <v>46061</v>
      </c>
      <c r="H52" s="160" t="s">
        <v>9</v>
      </c>
      <c r="I52" s="161"/>
      <c r="J52" s="161"/>
      <c r="K52" s="161"/>
      <c r="L52" s="161"/>
      <c r="M52" s="161"/>
      <c r="N52" s="161"/>
      <c r="O52" s="161"/>
      <c r="P52" s="161"/>
      <c r="Q52" s="161"/>
      <c r="R52" s="162"/>
    </row>
    <row r="53" spans="1:18" ht="24" customHeight="1" x14ac:dyDescent="0.3">
      <c r="A53" s="29" t="s">
        <v>10</v>
      </c>
      <c r="B53" s="29" t="s">
        <v>11</v>
      </c>
      <c r="C53" s="30" t="s">
        <v>12</v>
      </c>
      <c r="D53" s="29" t="s">
        <v>13</v>
      </c>
      <c r="E53" s="29" t="s">
        <v>14</v>
      </c>
      <c r="F53" s="31" t="s">
        <v>15</v>
      </c>
      <c r="G53" s="32" t="s">
        <v>16</v>
      </c>
      <c r="H53" s="29" t="s">
        <v>17</v>
      </c>
      <c r="I53" s="33" t="s">
        <v>18</v>
      </c>
      <c r="J53" s="34" t="s">
        <v>19</v>
      </c>
      <c r="K53" s="35" t="s">
        <v>20</v>
      </c>
      <c r="L53" s="34" t="s">
        <v>21</v>
      </c>
      <c r="M53" s="34" t="s">
        <v>22</v>
      </c>
      <c r="N53" s="34" t="s">
        <v>23</v>
      </c>
      <c r="O53" s="29" t="s">
        <v>24</v>
      </c>
      <c r="P53" s="30" t="s">
        <v>25</v>
      </c>
      <c r="Q53" s="34" t="s">
        <v>26</v>
      </c>
      <c r="R53" s="29" t="s">
        <v>27</v>
      </c>
    </row>
    <row r="54" spans="1:18" ht="49.95" customHeight="1" thickTop="1" thickBot="1" x14ac:dyDescent="0.35">
      <c r="A54" s="8" t="s">
        <v>28</v>
      </c>
      <c r="B54" s="8" t="s">
        <v>29</v>
      </c>
      <c r="C54" s="9">
        <v>0.625</v>
      </c>
      <c r="D54" s="8" t="s">
        <v>30</v>
      </c>
      <c r="E54" s="10"/>
      <c r="F54" s="8" t="s">
        <v>31</v>
      </c>
      <c r="G54" s="163"/>
      <c r="H54" s="96" t="s">
        <v>29</v>
      </c>
      <c r="I54" s="97">
        <v>1.7899999999999999E-2</v>
      </c>
      <c r="J54" s="98">
        <v>3</v>
      </c>
      <c r="K54" s="99" t="s">
        <v>40</v>
      </c>
      <c r="L54" s="98">
        <v>3</v>
      </c>
      <c r="M54" s="98">
        <v>0</v>
      </c>
      <c r="N54" s="98">
        <v>0</v>
      </c>
      <c r="O54" s="100" t="s">
        <v>45</v>
      </c>
      <c r="P54" s="101">
        <v>0.625</v>
      </c>
      <c r="Q54" s="98">
        <v>168</v>
      </c>
      <c r="R54" s="102" t="s">
        <v>51</v>
      </c>
    </row>
    <row r="55" spans="1:18" ht="17.399999999999999" customHeight="1" thickBot="1" x14ac:dyDescent="0.35">
      <c r="A55" s="191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3"/>
    </row>
    <row r="56" spans="1:18" ht="22.05" customHeight="1" thickTop="1" thickBot="1" x14ac:dyDescent="0.35">
      <c r="A56" s="165" t="s">
        <v>8</v>
      </c>
      <c r="B56" s="161"/>
      <c r="C56" s="161"/>
      <c r="D56" s="161"/>
      <c r="E56" s="161"/>
      <c r="F56" s="162"/>
      <c r="G56" s="28">
        <v>46062</v>
      </c>
      <c r="H56" s="160" t="s">
        <v>9</v>
      </c>
      <c r="I56" s="161"/>
      <c r="J56" s="161"/>
      <c r="K56" s="161"/>
      <c r="L56" s="161"/>
      <c r="M56" s="161"/>
      <c r="N56" s="161"/>
      <c r="O56" s="161"/>
      <c r="P56" s="161"/>
      <c r="Q56" s="161"/>
      <c r="R56" s="162"/>
    </row>
    <row r="57" spans="1:18" ht="24" customHeight="1" x14ac:dyDescent="0.3">
      <c r="A57" s="29" t="s">
        <v>10</v>
      </c>
      <c r="B57" s="29" t="s">
        <v>11</v>
      </c>
      <c r="C57" s="30" t="s">
        <v>12</v>
      </c>
      <c r="D57" s="29" t="s">
        <v>13</v>
      </c>
      <c r="E57" s="29" t="s">
        <v>14</v>
      </c>
      <c r="F57" s="31" t="s">
        <v>15</v>
      </c>
      <c r="G57" s="32" t="s">
        <v>16</v>
      </c>
      <c r="H57" s="29" t="s">
        <v>17</v>
      </c>
      <c r="I57" s="33" t="s">
        <v>18</v>
      </c>
      <c r="J57" s="34" t="s">
        <v>19</v>
      </c>
      <c r="K57" s="35" t="s">
        <v>20</v>
      </c>
      <c r="L57" s="34" t="s">
        <v>21</v>
      </c>
      <c r="M57" s="34" t="s">
        <v>22</v>
      </c>
      <c r="N57" s="34" t="s">
        <v>23</v>
      </c>
      <c r="O57" s="29" t="s">
        <v>24</v>
      </c>
      <c r="P57" s="30" t="s">
        <v>25</v>
      </c>
      <c r="Q57" s="34" t="s">
        <v>26</v>
      </c>
      <c r="R57" s="29" t="s">
        <v>27</v>
      </c>
    </row>
    <row r="58" spans="1:18" ht="49.95" customHeight="1" thickTop="1" thickBot="1" x14ac:dyDescent="0.35">
      <c r="A58" s="46" t="s">
        <v>28</v>
      </c>
      <c r="B58" s="46" t="s">
        <v>35</v>
      </c>
      <c r="C58" s="47">
        <v>0.92361111111111116</v>
      </c>
      <c r="D58" s="46" t="s">
        <v>30</v>
      </c>
      <c r="E58" s="48"/>
      <c r="F58" s="46" t="s">
        <v>47</v>
      </c>
      <c r="G58" s="163"/>
      <c r="H58" s="89" t="s">
        <v>35</v>
      </c>
      <c r="I58" s="90">
        <v>0</v>
      </c>
      <c r="J58" s="91">
        <v>0</v>
      </c>
      <c r="K58" s="92" t="s">
        <v>48</v>
      </c>
      <c r="L58" s="91">
        <v>0</v>
      </c>
      <c r="M58" s="91">
        <v>0</v>
      </c>
      <c r="N58" s="91">
        <v>0</v>
      </c>
      <c r="O58" s="93" t="s">
        <v>45</v>
      </c>
      <c r="P58" s="94">
        <v>0.92361111111111116</v>
      </c>
      <c r="Q58" s="91">
        <v>168</v>
      </c>
      <c r="R58" s="95" t="s">
        <v>48</v>
      </c>
    </row>
    <row r="59" spans="1:18" ht="17.399999999999999" customHeight="1" thickBot="1" x14ac:dyDescent="0.35">
      <c r="A59" s="191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3"/>
    </row>
    <row r="60" spans="1:18" ht="22.05" customHeight="1" thickTop="1" thickBot="1" x14ac:dyDescent="0.35">
      <c r="A60" s="165" t="s">
        <v>8</v>
      </c>
      <c r="B60" s="161"/>
      <c r="C60" s="161"/>
      <c r="D60" s="161"/>
      <c r="E60" s="161"/>
      <c r="F60" s="162"/>
      <c r="G60" s="28">
        <v>46063</v>
      </c>
      <c r="H60" s="160" t="s">
        <v>9</v>
      </c>
      <c r="I60" s="161"/>
      <c r="J60" s="161"/>
      <c r="K60" s="161"/>
      <c r="L60" s="161"/>
      <c r="M60" s="161"/>
      <c r="N60" s="161"/>
      <c r="O60" s="161"/>
      <c r="P60" s="161"/>
      <c r="Q60" s="161"/>
      <c r="R60" s="162"/>
    </row>
    <row r="61" spans="1:18" ht="24" customHeight="1" x14ac:dyDescent="0.3">
      <c r="A61" s="29" t="s">
        <v>10</v>
      </c>
      <c r="B61" s="29" t="s">
        <v>11</v>
      </c>
      <c r="C61" s="30" t="s">
        <v>12</v>
      </c>
      <c r="D61" s="29" t="s">
        <v>13</v>
      </c>
      <c r="E61" s="29" t="s">
        <v>14</v>
      </c>
      <c r="F61" s="31" t="s">
        <v>15</v>
      </c>
      <c r="G61" s="32" t="s">
        <v>16</v>
      </c>
      <c r="H61" s="29" t="s">
        <v>17</v>
      </c>
      <c r="I61" s="33" t="s">
        <v>18</v>
      </c>
      <c r="J61" s="34" t="s">
        <v>19</v>
      </c>
      <c r="K61" s="35" t="s">
        <v>20</v>
      </c>
      <c r="L61" s="34" t="s">
        <v>21</v>
      </c>
      <c r="M61" s="34" t="s">
        <v>22</v>
      </c>
      <c r="N61" s="34" t="s">
        <v>23</v>
      </c>
      <c r="O61" s="29" t="s">
        <v>24</v>
      </c>
      <c r="P61" s="30" t="s">
        <v>25</v>
      </c>
      <c r="Q61" s="34" t="s">
        <v>26</v>
      </c>
      <c r="R61" s="29" t="s">
        <v>27</v>
      </c>
    </row>
    <row r="62" spans="1:18" ht="49.95" customHeight="1" thickTop="1" thickBot="1" x14ac:dyDescent="0.35">
      <c r="A62" s="46" t="s">
        <v>28</v>
      </c>
      <c r="B62" s="46" t="s">
        <v>35</v>
      </c>
      <c r="C62" s="47">
        <v>0.91319444444444453</v>
      </c>
      <c r="D62" s="46" t="s">
        <v>30</v>
      </c>
      <c r="E62" s="48"/>
      <c r="F62" s="46" t="s">
        <v>47</v>
      </c>
      <c r="G62" s="163"/>
      <c r="H62" s="89" t="s">
        <v>35</v>
      </c>
      <c r="I62" s="90">
        <v>0</v>
      </c>
      <c r="J62" s="91">
        <v>0</v>
      </c>
      <c r="K62" s="92" t="s">
        <v>48</v>
      </c>
      <c r="L62" s="91">
        <v>0</v>
      </c>
      <c r="M62" s="91">
        <v>0</v>
      </c>
      <c r="N62" s="91">
        <v>0</v>
      </c>
      <c r="O62" s="93" t="s">
        <v>45</v>
      </c>
      <c r="P62" s="94">
        <v>0.91319444444444453</v>
      </c>
      <c r="Q62" s="91">
        <v>168</v>
      </c>
      <c r="R62" s="95" t="s">
        <v>48</v>
      </c>
    </row>
    <row r="63" spans="1:18" ht="17.399999999999999" customHeight="1" thickBot="1" x14ac:dyDescent="0.35">
      <c r="A63" s="191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3"/>
    </row>
    <row r="64" spans="1:18" ht="22.05" customHeight="1" thickTop="1" thickBot="1" x14ac:dyDescent="0.35">
      <c r="A64" s="165" t="s">
        <v>8</v>
      </c>
      <c r="B64" s="161"/>
      <c r="C64" s="161"/>
      <c r="D64" s="161"/>
      <c r="E64" s="161"/>
      <c r="F64" s="162"/>
      <c r="G64" s="28">
        <v>46064</v>
      </c>
      <c r="H64" s="160" t="s">
        <v>9</v>
      </c>
      <c r="I64" s="161"/>
      <c r="J64" s="161"/>
      <c r="K64" s="161"/>
      <c r="L64" s="161"/>
      <c r="M64" s="161"/>
      <c r="N64" s="161"/>
      <c r="O64" s="161"/>
      <c r="P64" s="161"/>
      <c r="Q64" s="161"/>
      <c r="R64" s="162"/>
    </row>
    <row r="65" spans="1:18" ht="24" customHeight="1" x14ac:dyDescent="0.3">
      <c r="A65" s="29" t="s">
        <v>10</v>
      </c>
      <c r="B65" s="29" t="s">
        <v>11</v>
      </c>
      <c r="C65" s="30" t="s">
        <v>12</v>
      </c>
      <c r="D65" s="29" t="s">
        <v>13</v>
      </c>
      <c r="E65" s="29" t="s">
        <v>14</v>
      </c>
      <c r="F65" s="31" t="s">
        <v>15</v>
      </c>
      <c r="G65" s="32" t="s">
        <v>16</v>
      </c>
      <c r="H65" s="29" t="s">
        <v>17</v>
      </c>
      <c r="I65" s="33" t="s">
        <v>18</v>
      </c>
      <c r="J65" s="34" t="s">
        <v>19</v>
      </c>
      <c r="K65" s="35" t="s">
        <v>20</v>
      </c>
      <c r="L65" s="34" t="s">
        <v>21</v>
      </c>
      <c r="M65" s="34" t="s">
        <v>22</v>
      </c>
      <c r="N65" s="34" t="s">
        <v>23</v>
      </c>
      <c r="O65" s="29" t="s">
        <v>24</v>
      </c>
      <c r="P65" s="30" t="s">
        <v>25</v>
      </c>
      <c r="Q65" s="34" t="s">
        <v>26</v>
      </c>
      <c r="R65" s="29" t="s">
        <v>27</v>
      </c>
    </row>
    <row r="66" spans="1:18" ht="49.95" customHeight="1" x14ac:dyDescent="0.3">
      <c r="A66" s="8" t="s">
        <v>28</v>
      </c>
      <c r="B66" s="8" t="s">
        <v>29</v>
      </c>
      <c r="C66" s="9">
        <v>0.61111111111111105</v>
      </c>
      <c r="D66" s="8" t="s">
        <v>30</v>
      </c>
      <c r="E66" s="10"/>
      <c r="F66" s="8" t="s">
        <v>47</v>
      </c>
      <c r="G66" s="163"/>
      <c r="H66" s="11" t="s">
        <v>29</v>
      </c>
      <c r="I66" s="12">
        <v>0</v>
      </c>
      <c r="J66" s="13">
        <v>0</v>
      </c>
      <c r="K66" s="14" t="s">
        <v>48</v>
      </c>
      <c r="L66" s="13">
        <v>0</v>
      </c>
      <c r="M66" s="13">
        <v>0</v>
      </c>
      <c r="N66" s="13">
        <v>0</v>
      </c>
      <c r="O66" s="15" t="s">
        <v>45</v>
      </c>
      <c r="P66" s="16">
        <v>0.61111111111111105</v>
      </c>
      <c r="Q66" s="13">
        <v>168</v>
      </c>
      <c r="R66" s="17" t="s">
        <v>48</v>
      </c>
    </row>
    <row r="67" spans="1:18" ht="49.95" customHeight="1" thickBot="1" x14ac:dyDescent="0.35">
      <c r="A67" s="18" t="s">
        <v>28</v>
      </c>
      <c r="B67" s="18" t="s">
        <v>35</v>
      </c>
      <c r="C67" s="19">
        <v>0.92361111111111116</v>
      </c>
      <c r="D67" s="18" t="s">
        <v>30</v>
      </c>
      <c r="E67" s="20"/>
      <c r="F67" s="18" t="s">
        <v>47</v>
      </c>
      <c r="G67" s="169"/>
      <c r="H67" s="21" t="s">
        <v>35</v>
      </c>
      <c r="I67" s="22">
        <v>0</v>
      </c>
      <c r="J67" s="23">
        <v>0</v>
      </c>
      <c r="K67" s="24" t="s">
        <v>48</v>
      </c>
      <c r="L67" s="23">
        <v>0</v>
      </c>
      <c r="M67" s="23">
        <v>0</v>
      </c>
      <c r="N67" s="23">
        <v>0</v>
      </c>
      <c r="O67" s="25" t="s">
        <v>45</v>
      </c>
      <c r="P67" s="26">
        <v>0.92361111111111116</v>
      </c>
      <c r="Q67" s="23">
        <v>168</v>
      </c>
      <c r="R67" s="27" t="s">
        <v>48</v>
      </c>
    </row>
    <row r="68" spans="1:18" ht="17.399999999999999" customHeight="1" thickBot="1" x14ac:dyDescent="0.35">
      <c r="A68" s="191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3"/>
    </row>
    <row r="69" spans="1:18" ht="22.05" customHeight="1" thickTop="1" thickBot="1" x14ac:dyDescent="0.35">
      <c r="A69" s="165" t="s">
        <v>8</v>
      </c>
      <c r="B69" s="161"/>
      <c r="C69" s="161"/>
      <c r="D69" s="161"/>
      <c r="E69" s="161"/>
      <c r="F69" s="162"/>
      <c r="G69" s="28">
        <v>46065</v>
      </c>
      <c r="H69" s="160" t="s">
        <v>9</v>
      </c>
      <c r="I69" s="161"/>
      <c r="J69" s="161"/>
      <c r="K69" s="161"/>
      <c r="L69" s="161"/>
      <c r="M69" s="161"/>
      <c r="N69" s="161"/>
      <c r="O69" s="161"/>
      <c r="P69" s="161"/>
      <c r="Q69" s="161"/>
      <c r="R69" s="162"/>
    </row>
    <row r="70" spans="1:18" ht="24" customHeight="1" x14ac:dyDescent="0.3">
      <c r="A70" s="29" t="s">
        <v>10</v>
      </c>
      <c r="B70" s="29" t="s">
        <v>11</v>
      </c>
      <c r="C70" s="30" t="s">
        <v>12</v>
      </c>
      <c r="D70" s="29" t="s">
        <v>13</v>
      </c>
      <c r="E70" s="29" t="s">
        <v>14</v>
      </c>
      <c r="F70" s="31" t="s">
        <v>15</v>
      </c>
      <c r="G70" s="32" t="s">
        <v>16</v>
      </c>
      <c r="H70" s="29" t="s">
        <v>17</v>
      </c>
      <c r="I70" s="33" t="s">
        <v>18</v>
      </c>
      <c r="J70" s="34" t="s">
        <v>19</v>
      </c>
      <c r="K70" s="35" t="s">
        <v>20</v>
      </c>
      <c r="L70" s="34" t="s">
        <v>21</v>
      </c>
      <c r="M70" s="34" t="s">
        <v>22</v>
      </c>
      <c r="N70" s="34" t="s">
        <v>23</v>
      </c>
      <c r="O70" s="29" t="s">
        <v>24</v>
      </c>
      <c r="P70" s="30" t="s">
        <v>25</v>
      </c>
      <c r="Q70" s="34" t="s">
        <v>26</v>
      </c>
      <c r="R70" s="29" t="s">
        <v>27</v>
      </c>
    </row>
    <row r="71" spans="1:18" ht="49.95" customHeight="1" thickTop="1" thickBot="1" x14ac:dyDescent="0.35">
      <c r="A71" s="66" t="s">
        <v>28</v>
      </c>
      <c r="B71" s="66" t="s">
        <v>29</v>
      </c>
      <c r="C71" s="67">
        <v>0.61111111111111105</v>
      </c>
      <c r="D71" s="66" t="s">
        <v>30</v>
      </c>
      <c r="E71" s="68"/>
      <c r="F71" s="66" t="s">
        <v>47</v>
      </c>
      <c r="G71" s="163"/>
      <c r="H71" s="69" t="s">
        <v>29</v>
      </c>
      <c r="I71" s="70">
        <v>0</v>
      </c>
      <c r="J71" s="71">
        <v>0</v>
      </c>
      <c r="K71" s="72" t="s">
        <v>48</v>
      </c>
      <c r="L71" s="71">
        <v>0</v>
      </c>
      <c r="M71" s="71">
        <v>0</v>
      </c>
      <c r="N71" s="71">
        <v>0</v>
      </c>
      <c r="O71" s="73" t="s">
        <v>45</v>
      </c>
      <c r="P71" s="74">
        <v>0.61111111111111105</v>
      </c>
      <c r="Q71" s="71">
        <v>168</v>
      </c>
      <c r="R71" s="75" t="s">
        <v>48</v>
      </c>
    </row>
    <row r="72" spans="1:18" ht="17.399999999999999" customHeight="1" thickBot="1" x14ac:dyDescent="0.35">
      <c r="A72" s="191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3"/>
    </row>
    <row r="73" spans="1:18" ht="22.05" customHeight="1" thickTop="1" thickBot="1" x14ac:dyDescent="0.35">
      <c r="A73" s="165" t="s">
        <v>8</v>
      </c>
      <c r="B73" s="161"/>
      <c r="C73" s="161"/>
      <c r="D73" s="161"/>
      <c r="E73" s="161"/>
      <c r="F73" s="162"/>
      <c r="G73" s="28">
        <v>46066</v>
      </c>
      <c r="H73" s="160" t="s">
        <v>9</v>
      </c>
      <c r="I73" s="161"/>
      <c r="J73" s="161"/>
      <c r="K73" s="161"/>
      <c r="L73" s="161"/>
      <c r="M73" s="161"/>
      <c r="N73" s="161"/>
      <c r="O73" s="161"/>
      <c r="P73" s="161"/>
      <c r="Q73" s="161"/>
      <c r="R73" s="162"/>
    </row>
    <row r="74" spans="1:18" ht="24" customHeight="1" x14ac:dyDescent="0.3">
      <c r="A74" s="29" t="s">
        <v>10</v>
      </c>
      <c r="B74" s="29" t="s">
        <v>11</v>
      </c>
      <c r="C74" s="30" t="s">
        <v>12</v>
      </c>
      <c r="D74" s="29" t="s">
        <v>13</v>
      </c>
      <c r="E74" s="29" t="s">
        <v>14</v>
      </c>
      <c r="F74" s="31" t="s">
        <v>15</v>
      </c>
      <c r="G74" s="32" t="s">
        <v>16</v>
      </c>
      <c r="H74" s="29" t="s">
        <v>17</v>
      </c>
      <c r="I74" s="33" t="s">
        <v>18</v>
      </c>
      <c r="J74" s="34" t="s">
        <v>19</v>
      </c>
      <c r="K74" s="35" t="s">
        <v>20</v>
      </c>
      <c r="L74" s="34" t="s">
        <v>21</v>
      </c>
      <c r="M74" s="34" t="s">
        <v>22</v>
      </c>
      <c r="N74" s="34" t="s">
        <v>23</v>
      </c>
      <c r="O74" s="29" t="s">
        <v>24</v>
      </c>
      <c r="P74" s="30" t="s">
        <v>25</v>
      </c>
      <c r="Q74" s="34" t="s">
        <v>26</v>
      </c>
      <c r="R74" s="29" t="s">
        <v>27</v>
      </c>
    </row>
    <row r="75" spans="1:18" ht="49.95" customHeight="1" x14ac:dyDescent="0.3">
      <c r="A75" s="66" t="s">
        <v>28</v>
      </c>
      <c r="B75" s="66" t="s">
        <v>29</v>
      </c>
      <c r="C75" s="67">
        <v>0.60416666666666663</v>
      </c>
      <c r="D75" s="66" t="s">
        <v>30</v>
      </c>
      <c r="E75" s="68"/>
      <c r="F75" s="66" t="s">
        <v>31</v>
      </c>
      <c r="G75" s="163"/>
      <c r="H75" s="113" t="s">
        <v>29</v>
      </c>
      <c r="I75" s="114">
        <v>1.7899999999999999E-2</v>
      </c>
      <c r="J75" s="115">
        <v>3</v>
      </c>
      <c r="K75" s="116" t="s">
        <v>49</v>
      </c>
      <c r="L75" s="115">
        <v>3</v>
      </c>
      <c r="M75" s="115">
        <v>0</v>
      </c>
      <c r="N75" s="115">
        <v>0</v>
      </c>
      <c r="O75" s="117" t="s">
        <v>45</v>
      </c>
      <c r="P75" s="118">
        <v>0.60416666666666663</v>
      </c>
      <c r="Q75" s="115">
        <v>168</v>
      </c>
      <c r="R75" s="119" t="s">
        <v>52</v>
      </c>
    </row>
    <row r="76" spans="1:18" ht="49.95" customHeight="1" thickBot="1" x14ac:dyDescent="0.35">
      <c r="A76" s="120" t="s">
        <v>28</v>
      </c>
      <c r="B76" s="120" t="s">
        <v>35</v>
      </c>
      <c r="C76" s="121">
        <v>0.92361111111111116</v>
      </c>
      <c r="D76" s="120" t="s">
        <v>30</v>
      </c>
      <c r="E76" s="122"/>
      <c r="F76" s="120" t="s">
        <v>31</v>
      </c>
      <c r="G76" s="169"/>
      <c r="H76" s="123" t="s">
        <v>35</v>
      </c>
      <c r="I76" s="124">
        <v>6.0000000000000001E-3</v>
      </c>
      <c r="J76" s="125">
        <v>1</v>
      </c>
      <c r="K76" s="126" t="s">
        <v>38</v>
      </c>
      <c r="L76" s="125">
        <v>1</v>
      </c>
      <c r="M76" s="125">
        <v>0</v>
      </c>
      <c r="N76" s="125">
        <v>0</v>
      </c>
      <c r="O76" s="127" t="s">
        <v>45</v>
      </c>
      <c r="P76" s="128">
        <v>0.92361111111111116</v>
      </c>
      <c r="Q76" s="125">
        <v>168</v>
      </c>
      <c r="R76" s="129" t="s">
        <v>46</v>
      </c>
    </row>
    <row r="77" spans="1:18" ht="17.399999999999999" customHeight="1" thickBot="1" x14ac:dyDescent="0.35">
      <c r="A77" s="191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3"/>
    </row>
    <row r="78" spans="1:18" ht="22.05" customHeight="1" thickTop="1" thickBot="1" x14ac:dyDescent="0.35">
      <c r="A78" s="165" t="s">
        <v>8</v>
      </c>
      <c r="B78" s="161"/>
      <c r="C78" s="161"/>
      <c r="D78" s="161"/>
      <c r="E78" s="161"/>
      <c r="F78" s="162"/>
      <c r="G78" s="28">
        <v>46067</v>
      </c>
      <c r="H78" s="160" t="s">
        <v>9</v>
      </c>
      <c r="I78" s="161"/>
      <c r="J78" s="161"/>
      <c r="K78" s="161"/>
      <c r="L78" s="161"/>
      <c r="M78" s="161"/>
      <c r="N78" s="161"/>
      <c r="O78" s="161"/>
      <c r="P78" s="161"/>
      <c r="Q78" s="161"/>
      <c r="R78" s="162"/>
    </row>
    <row r="79" spans="1:18" ht="24" customHeight="1" x14ac:dyDescent="0.3">
      <c r="A79" s="29" t="s">
        <v>10</v>
      </c>
      <c r="B79" s="29" t="s">
        <v>11</v>
      </c>
      <c r="C79" s="30" t="s">
        <v>12</v>
      </c>
      <c r="D79" s="29" t="s">
        <v>13</v>
      </c>
      <c r="E79" s="29" t="s">
        <v>14</v>
      </c>
      <c r="F79" s="31" t="s">
        <v>15</v>
      </c>
      <c r="G79" s="32" t="s">
        <v>16</v>
      </c>
      <c r="H79" s="29" t="s">
        <v>17</v>
      </c>
      <c r="I79" s="33" t="s">
        <v>18</v>
      </c>
      <c r="J79" s="34" t="s">
        <v>19</v>
      </c>
      <c r="K79" s="35" t="s">
        <v>20</v>
      </c>
      <c r="L79" s="34" t="s">
        <v>21</v>
      </c>
      <c r="M79" s="34" t="s">
        <v>22</v>
      </c>
      <c r="N79" s="34" t="s">
        <v>23</v>
      </c>
      <c r="O79" s="29" t="s">
        <v>24</v>
      </c>
      <c r="P79" s="30" t="s">
        <v>25</v>
      </c>
      <c r="Q79" s="34" t="s">
        <v>26</v>
      </c>
      <c r="R79" s="29" t="s">
        <v>27</v>
      </c>
    </row>
    <row r="80" spans="1:18" ht="49.95" customHeight="1" thickTop="1" thickBot="1" x14ac:dyDescent="0.35">
      <c r="A80" s="130" t="s">
        <v>28</v>
      </c>
      <c r="B80" s="130" t="s">
        <v>29</v>
      </c>
      <c r="C80" s="131">
        <v>0.61111111111111105</v>
      </c>
      <c r="D80" s="130" t="s">
        <v>30</v>
      </c>
      <c r="E80" s="132"/>
      <c r="F80" s="130" t="s">
        <v>47</v>
      </c>
      <c r="G80" s="163"/>
      <c r="H80" s="21" t="s">
        <v>29</v>
      </c>
      <c r="I80" s="22">
        <v>0</v>
      </c>
      <c r="J80" s="23">
        <v>0</v>
      </c>
      <c r="K80" s="24" t="s">
        <v>48</v>
      </c>
      <c r="L80" s="23">
        <v>0</v>
      </c>
      <c r="M80" s="23">
        <v>0</v>
      </c>
      <c r="N80" s="23">
        <v>0</v>
      </c>
      <c r="O80" s="25" t="s">
        <v>45</v>
      </c>
      <c r="P80" s="26">
        <v>0.61111111111111105</v>
      </c>
      <c r="Q80" s="23">
        <v>168</v>
      </c>
      <c r="R80" s="27" t="s">
        <v>48</v>
      </c>
    </row>
    <row r="81" spans="1:18" ht="17.399999999999999" customHeight="1" thickBot="1" x14ac:dyDescent="0.35">
      <c r="A81" s="191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3"/>
    </row>
    <row r="82" spans="1:18" ht="22.05" customHeight="1" thickTop="1" thickBot="1" x14ac:dyDescent="0.35">
      <c r="A82" s="165" t="s">
        <v>8</v>
      </c>
      <c r="B82" s="161"/>
      <c r="C82" s="161"/>
      <c r="D82" s="161"/>
      <c r="E82" s="161"/>
      <c r="F82" s="162"/>
      <c r="G82" s="28">
        <v>46068</v>
      </c>
      <c r="H82" s="160" t="s">
        <v>9</v>
      </c>
      <c r="I82" s="161"/>
      <c r="J82" s="161"/>
      <c r="K82" s="161"/>
      <c r="L82" s="161"/>
      <c r="M82" s="161"/>
      <c r="N82" s="161"/>
      <c r="O82" s="161"/>
      <c r="P82" s="161"/>
      <c r="Q82" s="161"/>
      <c r="R82" s="162"/>
    </row>
    <row r="83" spans="1:18" ht="24" customHeight="1" x14ac:dyDescent="0.3">
      <c r="A83" s="29" t="s">
        <v>10</v>
      </c>
      <c r="B83" s="29" t="s">
        <v>11</v>
      </c>
      <c r="C83" s="30" t="s">
        <v>12</v>
      </c>
      <c r="D83" s="29" t="s">
        <v>13</v>
      </c>
      <c r="E83" s="29" t="s">
        <v>14</v>
      </c>
      <c r="F83" s="31" t="s">
        <v>15</v>
      </c>
      <c r="G83" s="32" t="s">
        <v>16</v>
      </c>
      <c r="H83" s="29" t="s">
        <v>17</v>
      </c>
      <c r="I83" s="33" t="s">
        <v>18</v>
      </c>
      <c r="J83" s="34" t="s">
        <v>19</v>
      </c>
      <c r="K83" s="35" t="s">
        <v>20</v>
      </c>
      <c r="L83" s="34" t="s">
        <v>21</v>
      </c>
      <c r="M83" s="34" t="s">
        <v>22</v>
      </c>
      <c r="N83" s="34" t="s">
        <v>23</v>
      </c>
      <c r="O83" s="29" t="s">
        <v>24</v>
      </c>
      <c r="P83" s="30" t="s">
        <v>25</v>
      </c>
      <c r="Q83" s="34" t="s">
        <v>26</v>
      </c>
      <c r="R83" s="29" t="s">
        <v>27</v>
      </c>
    </row>
    <row r="84" spans="1:18" ht="49.95" customHeight="1" thickTop="1" thickBot="1" x14ac:dyDescent="0.5">
      <c r="A84" s="46" t="s">
        <v>28</v>
      </c>
      <c r="B84" s="46" t="s">
        <v>29</v>
      </c>
      <c r="C84" s="47">
        <v>0.625</v>
      </c>
      <c r="D84" s="46" t="s">
        <v>30</v>
      </c>
      <c r="E84" s="48"/>
      <c r="F84" s="46" t="s">
        <v>47</v>
      </c>
      <c r="G84" s="164"/>
      <c r="H84" s="89" t="s">
        <v>29</v>
      </c>
      <c r="I84" s="90">
        <v>0</v>
      </c>
      <c r="J84" s="91">
        <v>0</v>
      </c>
      <c r="K84" s="92" t="s">
        <v>48</v>
      </c>
      <c r="L84" s="91">
        <v>0</v>
      </c>
      <c r="M84" s="91">
        <v>0</v>
      </c>
      <c r="N84" s="91">
        <v>0</v>
      </c>
      <c r="O84" s="93" t="s">
        <v>45</v>
      </c>
      <c r="P84" s="94">
        <v>0.625</v>
      </c>
      <c r="Q84" s="91">
        <v>168</v>
      </c>
      <c r="R84" s="95" t="s">
        <v>48</v>
      </c>
    </row>
    <row r="85" spans="1:18" ht="17.399999999999999" customHeight="1" thickBot="1" x14ac:dyDescent="0.35">
      <c r="A85" s="191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3"/>
    </row>
    <row r="86" spans="1:18" ht="22.05" customHeight="1" thickTop="1" thickBot="1" x14ac:dyDescent="0.35">
      <c r="A86" s="165" t="s">
        <v>8</v>
      </c>
      <c r="B86" s="161"/>
      <c r="C86" s="161"/>
      <c r="D86" s="161"/>
      <c r="E86" s="161"/>
      <c r="F86" s="162"/>
      <c r="G86" s="28">
        <v>46069</v>
      </c>
      <c r="H86" s="160" t="s">
        <v>9</v>
      </c>
      <c r="I86" s="161"/>
      <c r="J86" s="161"/>
      <c r="K86" s="161"/>
      <c r="L86" s="161"/>
      <c r="M86" s="161"/>
      <c r="N86" s="161"/>
      <c r="O86" s="161"/>
      <c r="P86" s="161"/>
      <c r="Q86" s="161"/>
      <c r="R86" s="162"/>
    </row>
    <row r="87" spans="1:18" ht="24" customHeight="1" x14ac:dyDescent="0.3">
      <c r="A87" s="29" t="s">
        <v>10</v>
      </c>
      <c r="B87" s="29" t="s">
        <v>11</v>
      </c>
      <c r="C87" s="30" t="s">
        <v>12</v>
      </c>
      <c r="D87" s="29" t="s">
        <v>13</v>
      </c>
      <c r="E87" s="29" t="s">
        <v>14</v>
      </c>
      <c r="F87" s="31" t="s">
        <v>15</v>
      </c>
      <c r="G87" s="32" t="s">
        <v>16</v>
      </c>
      <c r="H87" s="29" t="s">
        <v>17</v>
      </c>
      <c r="I87" s="33" t="s">
        <v>18</v>
      </c>
      <c r="J87" s="34" t="s">
        <v>19</v>
      </c>
      <c r="K87" s="35" t="s">
        <v>20</v>
      </c>
      <c r="L87" s="34" t="s">
        <v>21</v>
      </c>
      <c r="M87" s="34" t="s">
        <v>22</v>
      </c>
      <c r="N87" s="34" t="s">
        <v>23</v>
      </c>
      <c r="O87" s="29" t="s">
        <v>24</v>
      </c>
      <c r="P87" s="30" t="s">
        <v>25</v>
      </c>
      <c r="Q87" s="34" t="s">
        <v>26</v>
      </c>
      <c r="R87" s="29" t="s">
        <v>27</v>
      </c>
    </row>
    <row r="88" spans="1:18" ht="49.95" customHeight="1" thickTop="1" thickBot="1" x14ac:dyDescent="0.35">
      <c r="A88" s="56" t="s">
        <v>28</v>
      </c>
      <c r="B88" s="56" t="s">
        <v>35</v>
      </c>
      <c r="C88" s="57">
        <v>0.92361111111111116</v>
      </c>
      <c r="D88" s="56" t="s">
        <v>30</v>
      </c>
      <c r="E88" s="58"/>
      <c r="F88" s="56" t="s">
        <v>47</v>
      </c>
      <c r="G88" s="163"/>
      <c r="H88" s="59" t="s">
        <v>35</v>
      </c>
      <c r="I88" s="60">
        <v>0</v>
      </c>
      <c r="J88" s="61">
        <v>0</v>
      </c>
      <c r="K88" s="62" t="s">
        <v>48</v>
      </c>
      <c r="L88" s="61">
        <v>0</v>
      </c>
      <c r="M88" s="61">
        <v>0</v>
      </c>
      <c r="N88" s="61">
        <v>0</v>
      </c>
      <c r="O88" s="63" t="s">
        <v>45</v>
      </c>
      <c r="P88" s="64">
        <v>0.92361111111111116</v>
      </c>
      <c r="Q88" s="61">
        <v>168</v>
      </c>
      <c r="R88" s="65" t="s">
        <v>48</v>
      </c>
    </row>
    <row r="89" spans="1:18" ht="17.399999999999999" customHeight="1" thickBot="1" x14ac:dyDescent="0.35">
      <c r="A89" s="191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3"/>
    </row>
    <row r="90" spans="1:18" ht="22.05" customHeight="1" thickTop="1" thickBot="1" x14ac:dyDescent="0.35">
      <c r="A90" s="165" t="s">
        <v>8</v>
      </c>
      <c r="B90" s="161"/>
      <c r="C90" s="161"/>
      <c r="D90" s="161"/>
      <c r="E90" s="161"/>
      <c r="F90" s="162"/>
      <c r="G90" s="28">
        <v>46070</v>
      </c>
      <c r="H90" s="160" t="s">
        <v>9</v>
      </c>
      <c r="I90" s="161"/>
      <c r="J90" s="161"/>
      <c r="K90" s="161"/>
      <c r="L90" s="161"/>
      <c r="M90" s="161"/>
      <c r="N90" s="161"/>
      <c r="O90" s="161"/>
      <c r="P90" s="161"/>
      <c r="Q90" s="161"/>
      <c r="R90" s="162"/>
    </row>
    <row r="91" spans="1:18" ht="24" customHeight="1" x14ac:dyDescent="0.3">
      <c r="A91" s="29" t="s">
        <v>10</v>
      </c>
      <c r="B91" s="29" t="s">
        <v>11</v>
      </c>
      <c r="C91" s="30" t="s">
        <v>12</v>
      </c>
      <c r="D91" s="29" t="s">
        <v>13</v>
      </c>
      <c r="E91" s="29" t="s">
        <v>14</v>
      </c>
      <c r="F91" s="31" t="s">
        <v>15</v>
      </c>
      <c r="G91" s="32" t="s">
        <v>16</v>
      </c>
      <c r="H91" s="29" t="s">
        <v>17</v>
      </c>
      <c r="I91" s="33" t="s">
        <v>18</v>
      </c>
      <c r="J91" s="34" t="s">
        <v>19</v>
      </c>
      <c r="K91" s="35" t="s">
        <v>20</v>
      </c>
      <c r="L91" s="34" t="s">
        <v>21</v>
      </c>
      <c r="M91" s="34" t="s">
        <v>22</v>
      </c>
      <c r="N91" s="34" t="s">
        <v>23</v>
      </c>
      <c r="O91" s="29" t="s">
        <v>24</v>
      </c>
      <c r="P91" s="30" t="s">
        <v>25</v>
      </c>
      <c r="Q91" s="34" t="s">
        <v>26</v>
      </c>
      <c r="R91" s="29" t="s">
        <v>27</v>
      </c>
    </row>
    <row r="92" spans="1:18" ht="49.95" customHeight="1" thickTop="1" thickBot="1" x14ac:dyDescent="0.35">
      <c r="A92" s="76" t="s">
        <v>28</v>
      </c>
      <c r="B92" s="76" t="s">
        <v>35</v>
      </c>
      <c r="C92" s="77">
        <v>0.91319444444444453</v>
      </c>
      <c r="D92" s="76" t="s">
        <v>30</v>
      </c>
      <c r="E92" s="78"/>
      <c r="F92" s="76" t="s">
        <v>47</v>
      </c>
      <c r="G92" s="163"/>
      <c r="H92" s="123" t="s">
        <v>35</v>
      </c>
      <c r="I92" s="124">
        <v>0</v>
      </c>
      <c r="J92" s="125">
        <v>0</v>
      </c>
      <c r="K92" s="126" t="s">
        <v>48</v>
      </c>
      <c r="L92" s="125">
        <v>0</v>
      </c>
      <c r="M92" s="125">
        <v>0</v>
      </c>
      <c r="N92" s="125">
        <v>0</v>
      </c>
      <c r="O92" s="127" t="s">
        <v>45</v>
      </c>
      <c r="P92" s="128">
        <v>0.91319444444444453</v>
      </c>
      <c r="Q92" s="125">
        <v>168</v>
      </c>
      <c r="R92" s="129" t="s">
        <v>48</v>
      </c>
    </row>
    <row r="93" spans="1:18" ht="17.399999999999999" customHeight="1" thickBot="1" x14ac:dyDescent="0.35">
      <c r="A93" s="191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3"/>
    </row>
    <row r="94" spans="1:18" ht="22.05" customHeight="1" thickTop="1" thickBot="1" x14ac:dyDescent="0.35">
      <c r="A94" s="165" t="s">
        <v>8</v>
      </c>
      <c r="B94" s="161"/>
      <c r="C94" s="161"/>
      <c r="D94" s="161"/>
      <c r="E94" s="161"/>
      <c r="F94" s="162"/>
      <c r="G94" s="28">
        <v>46071</v>
      </c>
      <c r="H94" s="160" t="s">
        <v>9</v>
      </c>
      <c r="I94" s="161"/>
      <c r="J94" s="161"/>
      <c r="K94" s="161"/>
      <c r="L94" s="161"/>
      <c r="M94" s="161"/>
      <c r="N94" s="161"/>
      <c r="O94" s="161"/>
      <c r="P94" s="161"/>
      <c r="Q94" s="161"/>
      <c r="R94" s="162"/>
    </row>
    <row r="95" spans="1:18" ht="24" customHeight="1" x14ac:dyDescent="0.3">
      <c r="A95" s="29" t="s">
        <v>10</v>
      </c>
      <c r="B95" s="29" t="s">
        <v>11</v>
      </c>
      <c r="C95" s="30" t="s">
        <v>12</v>
      </c>
      <c r="D95" s="29" t="s">
        <v>13</v>
      </c>
      <c r="E95" s="29" t="s">
        <v>14</v>
      </c>
      <c r="F95" s="31" t="s">
        <v>15</v>
      </c>
      <c r="G95" s="32" t="s">
        <v>16</v>
      </c>
      <c r="H95" s="29" t="s">
        <v>17</v>
      </c>
      <c r="I95" s="33" t="s">
        <v>18</v>
      </c>
      <c r="J95" s="34" t="s">
        <v>19</v>
      </c>
      <c r="K95" s="35" t="s">
        <v>20</v>
      </c>
      <c r="L95" s="34" t="s">
        <v>21</v>
      </c>
      <c r="M95" s="34" t="s">
        <v>22</v>
      </c>
      <c r="N95" s="34" t="s">
        <v>23</v>
      </c>
      <c r="O95" s="29" t="s">
        <v>24</v>
      </c>
      <c r="P95" s="30" t="s">
        <v>25</v>
      </c>
      <c r="Q95" s="34" t="s">
        <v>26</v>
      </c>
      <c r="R95" s="29" t="s">
        <v>27</v>
      </c>
    </row>
    <row r="96" spans="1:18" ht="49.95" customHeight="1" x14ac:dyDescent="0.3">
      <c r="A96" s="36" t="s">
        <v>28</v>
      </c>
      <c r="B96" s="36" t="s">
        <v>29</v>
      </c>
      <c r="C96" s="37">
        <v>0.61111111111111105</v>
      </c>
      <c r="D96" s="36" t="s">
        <v>30</v>
      </c>
      <c r="E96" s="38"/>
      <c r="F96" s="36" t="s">
        <v>47</v>
      </c>
      <c r="G96" s="163"/>
      <c r="H96" s="133" t="s">
        <v>29</v>
      </c>
      <c r="I96" s="134">
        <v>0</v>
      </c>
      <c r="J96" s="135">
        <v>0</v>
      </c>
      <c r="K96" s="136" t="s">
        <v>48</v>
      </c>
      <c r="L96" s="135">
        <v>0</v>
      </c>
      <c r="M96" s="135">
        <v>0</v>
      </c>
      <c r="N96" s="135">
        <v>0</v>
      </c>
      <c r="O96" s="137" t="s">
        <v>45</v>
      </c>
      <c r="P96" s="138">
        <v>0.61111111111111105</v>
      </c>
      <c r="Q96" s="135">
        <v>168</v>
      </c>
      <c r="R96" s="139" t="s">
        <v>48</v>
      </c>
    </row>
    <row r="97" spans="1:18" ht="49.95" customHeight="1" thickBot="1" x14ac:dyDescent="0.35">
      <c r="A97" s="140" t="s">
        <v>28</v>
      </c>
      <c r="B97" s="140" t="s">
        <v>35</v>
      </c>
      <c r="C97" s="141">
        <v>0.92361111111111116</v>
      </c>
      <c r="D97" s="140" t="s">
        <v>30</v>
      </c>
      <c r="E97" s="142"/>
      <c r="F97" s="140" t="s">
        <v>31</v>
      </c>
      <c r="G97" s="169"/>
      <c r="H97" s="69" t="s">
        <v>35</v>
      </c>
      <c r="I97" s="70">
        <v>6.0000000000000001E-3</v>
      </c>
      <c r="J97" s="71">
        <v>1</v>
      </c>
      <c r="K97" s="72" t="s">
        <v>53</v>
      </c>
      <c r="L97" s="71">
        <v>1</v>
      </c>
      <c r="M97" s="71">
        <v>0</v>
      </c>
      <c r="N97" s="71">
        <v>0</v>
      </c>
      <c r="O97" s="73" t="s">
        <v>45</v>
      </c>
      <c r="P97" s="74">
        <v>0.92361111111111116</v>
      </c>
      <c r="Q97" s="71">
        <v>168</v>
      </c>
      <c r="R97" s="75" t="s">
        <v>46</v>
      </c>
    </row>
    <row r="98" spans="1:18" ht="17.399999999999999" customHeight="1" thickBot="1" x14ac:dyDescent="0.35">
      <c r="A98" s="191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3"/>
    </row>
    <row r="99" spans="1:18" ht="22.05" customHeight="1" thickTop="1" thickBot="1" x14ac:dyDescent="0.35">
      <c r="A99" s="165" t="s">
        <v>8</v>
      </c>
      <c r="B99" s="161"/>
      <c r="C99" s="161"/>
      <c r="D99" s="161"/>
      <c r="E99" s="161"/>
      <c r="F99" s="162"/>
      <c r="G99" s="28">
        <v>46072</v>
      </c>
      <c r="H99" s="160" t="s">
        <v>9</v>
      </c>
      <c r="I99" s="161"/>
      <c r="J99" s="161"/>
      <c r="K99" s="161"/>
      <c r="L99" s="161"/>
      <c r="M99" s="161"/>
      <c r="N99" s="161"/>
      <c r="O99" s="161"/>
      <c r="P99" s="161"/>
      <c r="Q99" s="161"/>
      <c r="R99" s="162"/>
    </row>
    <row r="100" spans="1:18" ht="24" customHeight="1" x14ac:dyDescent="0.3">
      <c r="A100" s="29" t="s">
        <v>10</v>
      </c>
      <c r="B100" s="29" t="s">
        <v>11</v>
      </c>
      <c r="C100" s="30" t="s">
        <v>12</v>
      </c>
      <c r="D100" s="29" t="s">
        <v>13</v>
      </c>
      <c r="E100" s="29" t="s">
        <v>14</v>
      </c>
      <c r="F100" s="31" t="s">
        <v>15</v>
      </c>
      <c r="G100" s="32" t="s">
        <v>16</v>
      </c>
      <c r="H100" s="29" t="s">
        <v>17</v>
      </c>
      <c r="I100" s="33" t="s">
        <v>18</v>
      </c>
      <c r="J100" s="34" t="s">
        <v>19</v>
      </c>
      <c r="K100" s="35" t="s">
        <v>20</v>
      </c>
      <c r="L100" s="34" t="s">
        <v>21</v>
      </c>
      <c r="M100" s="34" t="s">
        <v>22</v>
      </c>
      <c r="N100" s="34" t="s">
        <v>23</v>
      </c>
      <c r="O100" s="29" t="s">
        <v>24</v>
      </c>
      <c r="P100" s="30" t="s">
        <v>25</v>
      </c>
      <c r="Q100" s="34" t="s">
        <v>26</v>
      </c>
      <c r="R100" s="29" t="s">
        <v>27</v>
      </c>
    </row>
    <row r="101" spans="1:18" ht="49.95" customHeight="1" thickTop="1" thickBot="1" x14ac:dyDescent="0.35">
      <c r="A101" s="56" t="s">
        <v>28</v>
      </c>
      <c r="B101" s="56" t="s">
        <v>29</v>
      </c>
      <c r="C101" s="57">
        <v>0.61111111111111105</v>
      </c>
      <c r="D101" s="56" t="s">
        <v>30</v>
      </c>
      <c r="E101" s="58"/>
      <c r="F101" s="56" t="s">
        <v>47</v>
      </c>
      <c r="G101" s="163"/>
      <c r="H101" s="59" t="s">
        <v>29</v>
      </c>
      <c r="I101" s="60">
        <v>0</v>
      </c>
      <c r="J101" s="61">
        <v>0</v>
      </c>
      <c r="K101" s="62" t="s">
        <v>48</v>
      </c>
      <c r="L101" s="61">
        <v>0</v>
      </c>
      <c r="M101" s="61">
        <v>0</v>
      </c>
      <c r="N101" s="61">
        <v>0</v>
      </c>
      <c r="O101" s="63" t="s">
        <v>45</v>
      </c>
      <c r="P101" s="64">
        <v>0.61111111111111105</v>
      </c>
      <c r="Q101" s="61">
        <v>168</v>
      </c>
      <c r="R101" s="65" t="s">
        <v>48</v>
      </c>
    </row>
    <row r="102" spans="1:18" ht="17.399999999999999" customHeight="1" thickBot="1" x14ac:dyDescent="0.35">
      <c r="A102" s="191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3"/>
    </row>
    <row r="103" spans="1:18" ht="22.05" customHeight="1" thickTop="1" thickBot="1" x14ac:dyDescent="0.35">
      <c r="A103" s="165" t="s">
        <v>8</v>
      </c>
      <c r="B103" s="161"/>
      <c r="C103" s="161"/>
      <c r="D103" s="161"/>
      <c r="E103" s="161"/>
      <c r="F103" s="162"/>
      <c r="G103" s="28">
        <v>46073</v>
      </c>
      <c r="H103" s="160" t="s">
        <v>9</v>
      </c>
      <c r="I103" s="161"/>
      <c r="J103" s="161"/>
      <c r="K103" s="161"/>
      <c r="L103" s="161"/>
      <c r="M103" s="161"/>
      <c r="N103" s="161"/>
      <c r="O103" s="161"/>
      <c r="P103" s="161"/>
      <c r="Q103" s="161"/>
      <c r="R103" s="162"/>
    </row>
    <row r="104" spans="1:18" ht="24" customHeight="1" x14ac:dyDescent="0.3">
      <c r="A104" s="29" t="s">
        <v>10</v>
      </c>
      <c r="B104" s="29" t="s">
        <v>11</v>
      </c>
      <c r="C104" s="30" t="s">
        <v>12</v>
      </c>
      <c r="D104" s="29" t="s">
        <v>13</v>
      </c>
      <c r="E104" s="29" t="s">
        <v>14</v>
      </c>
      <c r="F104" s="31" t="s">
        <v>15</v>
      </c>
      <c r="G104" s="32" t="s">
        <v>16</v>
      </c>
      <c r="H104" s="29" t="s">
        <v>17</v>
      </c>
      <c r="I104" s="33" t="s">
        <v>18</v>
      </c>
      <c r="J104" s="34" t="s">
        <v>19</v>
      </c>
      <c r="K104" s="35" t="s">
        <v>20</v>
      </c>
      <c r="L104" s="34" t="s">
        <v>21</v>
      </c>
      <c r="M104" s="34" t="s">
        <v>22</v>
      </c>
      <c r="N104" s="34" t="s">
        <v>23</v>
      </c>
      <c r="O104" s="29" t="s">
        <v>24</v>
      </c>
      <c r="P104" s="30" t="s">
        <v>25</v>
      </c>
      <c r="Q104" s="34" t="s">
        <v>26</v>
      </c>
      <c r="R104" s="29" t="s">
        <v>27</v>
      </c>
    </row>
    <row r="105" spans="1:18" ht="49.95" customHeight="1" x14ac:dyDescent="0.3">
      <c r="A105" s="46" t="s">
        <v>28</v>
      </c>
      <c r="B105" s="46" t="s">
        <v>29</v>
      </c>
      <c r="C105" s="47">
        <v>0.60416666666666663</v>
      </c>
      <c r="D105" s="46" t="s">
        <v>30</v>
      </c>
      <c r="E105" s="48"/>
      <c r="F105" s="46" t="s">
        <v>47</v>
      </c>
      <c r="G105" s="163"/>
      <c r="H105" s="49" t="s">
        <v>29</v>
      </c>
      <c r="I105" s="50">
        <v>0</v>
      </c>
      <c r="J105" s="51">
        <v>0</v>
      </c>
      <c r="K105" s="52" t="s">
        <v>48</v>
      </c>
      <c r="L105" s="51">
        <v>0</v>
      </c>
      <c r="M105" s="51">
        <v>0</v>
      </c>
      <c r="N105" s="51">
        <v>0</v>
      </c>
      <c r="O105" s="53" t="s">
        <v>45</v>
      </c>
      <c r="P105" s="54">
        <v>0.60416666666666663</v>
      </c>
      <c r="Q105" s="51">
        <v>168</v>
      </c>
      <c r="R105" s="55" t="s">
        <v>48</v>
      </c>
    </row>
    <row r="106" spans="1:18" ht="49.95" customHeight="1" thickBot="1" x14ac:dyDescent="0.35">
      <c r="A106" s="143" t="s">
        <v>28</v>
      </c>
      <c r="B106" s="143" t="s">
        <v>35</v>
      </c>
      <c r="C106" s="144">
        <v>0.92361111111111116</v>
      </c>
      <c r="D106" s="143" t="s">
        <v>30</v>
      </c>
      <c r="E106" s="145"/>
      <c r="F106" s="143" t="s">
        <v>47</v>
      </c>
      <c r="G106" s="169"/>
      <c r="H106" s="39" t="s">
        <v>35</v>
      </c>
      <c r="I106" s="40">
        <v>0</v>
      </c>
      <c r="J106" s="41">
        <v>0</v>
      </c>
      <c r="K106" s="42" t="s">
        <v>48</v>
      </c>
      <c r="L106" s="41">
        <v>0</v>
      </c>
      <c r="M106" s="41">
        <v>0</v>
      </c>
      <c r="N106" s="41">
        <v>0</v>
      </c>
      <c r="O106" s="43" t="s">
        <v>45</v>
      </c>
      <c r="P106" s="44">
        <v>0.92361111111111116</v>
      </c>
      <c r="Q106" s="41">
        <v>168</v>
      </c>
      <c r="R106" s="45" t="s">
        <v>48</v>
      </c>
    </row>
    <row r="107" spans="1:18" ht="17.399999999999999" customHeight="1" thickBot="1" x14ac:dyDescent="0.35">
      <c r="A107" s="191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3"/>
    </row>
    <row r="108" spans="1:18" ht="22.05" customHeight="1" thickTop="1" thickBot="1" x14ac:dyDescent="0.35">
      <c r="A108" s="165" t="s">
        <v>8</v>
      </c>
      <c r="B108" s="161"/>
      <c r="C108" s="161"/>
      <c r="D108" s="161"/>
      <c r="E108" s="161"/>
      <c r="F108" s="162"/>
      <c r="G108" s="28">
        <v>46074</v>
      </c>
      <c r="H108" s="160" t="s">
        <v>9</v>
      </c>
      <c r="I108" s="161"/>
      <c r="J108" s="161"/>
      <c r="K108" s="161"/>
      <c r="L108" s="161"/>
      <c r="M108" s="161"/>
      <c r="N108" s="161"/>
      <c r="O108" s="161"/>
      <c r="P108" s="161"/>
      <c r="Q108" s="161"/>
      <c r="R108" s="162"/>
    </row>
    <row r="109" spans="1:18" ht="24" customHeight="1" x14ac:dyDescent="0.3">
      <c r="A109" s="29" t="s">
        <v>10</v>
      </c>
      <c r="B109" s="29" t="s">
        <v>11</v>
      </c>
      <c r="C109" s="30" t="s">
        <v>12</v>
      </c>
      <c r="D109" s="29" t="s">
        <v>13</v>
      </c>
      <c r="E109" s="29" t="s">
        <v>14</v>
      </c>
      <c r="F109" s="31" t="s">
        <v>15</v>
      </c>
      <c r="G109" s="32" t="s">
        <v>16</v>
      </c>
      <c r="H109" s="29" t="s">
        <v>17</v>
      </c>
      <c r="I109" s="33" t="s">
        <v>18</v>
      </c>
      <c r="J109" s="34" t="s">
        <v>19</v>
      </c>
      <c r="K109" s="35" t="s">
        <v>20</v>
      </c>
      <c r="L109" s="34" t="s">
        <v>21</v>
      </c>
      <c r="M109" s="34" t="s">
        <v>22</v>
      </c>
      <c r="N109" s="34" t="s">
        <v>23</v>
      </c>
      <c r="O109" s="29" t="s">
        <v>24</v>
      </c>
      <c r="P109" s="30" t="s">
        <v>25</v>
      </c>
      <c r="Q109" s="34" t="s">
        <v>26</v>
      </c>
      <c r="R109" s="29" t="s">
        <v>27</v>
      </c>
    </row>
    <row r="110" spans="1:18" ht="49.95" customHeight="1" thickTop="1" thickBot="1" x14ac:dyDescent="0.35">
      <c r="A110" s="76" t="s">
        <v>28</v>
      </c>
      <c r="B110" s="76" t="s">
        <v>29</v>
      </c>
      <c r="C110" s="77">
        <v>0.61111111111111105</v>
      </c>
      <c r="D110" s="76" t="s">
        <v>30</v>
      </c>
      <c r="E110" s="78"/>
      <c r="F110" s="76" t="s">
        <v>31</v>
      </c>
      <c r="G110" s="163"/>
      <c r="H110" s="123" t="s">
        <v>29</v>
      </c>
      <c r="I110" s="124">
        <v>1.1900000000000001E-2</v>
      </c>
      <c r="J110" s="125">
        <v>2</v>
      </c>
      <c r="K110" s="126" t="s">
        <v>54</v>
      </c>
      <c r="L110" s="125">
        <v>2</v>
      </c>
      <c r="M110" s="125">
        <v>0</v>
      </c>
      <c r="N110" s="125">
        <v>0</v>
      </c>
      <c r="O110" s="127" t="s">
        <v>37</v>
      </c>
      <c r="P110" s="128">
        <v>0.61111111111111105</v>
      </c>
      <c r="Q110" s="125">
        <v>168</v>
      </c>
      <c r="R110" s="129" t="s">
        <v>33</v>
      </c>
    </row>
    <row r="111" spans="1:18" ht="17.399999999999999" customHeight="1" thickBot="1" x14ac:dyDescent="0.35">
      <c r="A111" s="191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3"/>
    </row>
    <row r="112" spans="1:18" ht="22.05" customHeight="1" thickTop="1" thickBot="1" x14ac:dyDescent="0.35">
      <c r="A112" s="165" t="s">
        <v>8</v>
      </c>
      <c r="B112" s="161"/>
      <c r="C112" s="161"/>
      <c r="D112" s="161"/>
      <c r="E112" s="161"/>
      <c r="F112" s="162"/>
      <c r="G112" s="28">
        <v>46075</v>
      </c>
      <c r="H112" s="160" t="s">
        <v>9</v>
      </c>
      <c r="I112" s="161"/>
      <c r="J112" s="161"/>
      <c r="K112" s="161"/>
      <c r="L112" s="161"/>
      <c r="M112" s="161"/>
      <c r="N112" s="161"/>
      <c r="O112" s="161"/>
      <c r="P112" s="161"/>
      <c r="Q112" s="161"/>
      <c r="R112" s="162"/>
    </row>
    <row r="113" spans="1:18" ht="24" customHeight="1" x14ac:dyDescent="0.3">
      <c r="A113" s="29" t="s">
        <v>10</v>
      </c>
      <c r="B113" s="29" t="s">
        <v>11</v>
      </c>
      <c r="C113" s="30" t="s">
        <v>12</v>
      </c>
      <c r="D113" s="29" t="s">
        <v>13</v>
      </c>
      <c r="E113" s="29" t="s">
        <v>14</v>
      </c>
      <c r="F113" s="31" t="s">
        <v>15</v>
      </c>
      <c r="G113" s="32" t="s">
        <v>16</v>
      </c>
      <c r="H113" s="29" t="s">
        <v>17</v>
      </c>
      <c r="I113" s="33" t="s">
        <v>18</v>
      </c>
      <c r="J113" s="34" t="s">
        <v>19</v>
      </c>
      <c r="K113" s="35" t="s">
        <v>20</v>
      </c>
      <c r="L113" s="34" t="s">
        <v>21</v>
      </c>
      <c r="M113" s="34" t="s">
        <v>22</v>
      </c>
      <c r="N113" s="34" t="s">
        <v>23</v>
      </c>
      <c r="O113" s="29" t="s">
        <v>24</v>
      </c>
      <c r="P113" s="30" t="s">
        <v>25</v>
      </c>
      <c r="Q113" s="34" t="s">
        <v>26</v>
      </c>
      <c r="R113" s="29" t="s">
        <v>27</v>
      </c>
    </row>
    <row r="114" spans="1:18" ht="49.95" customHeight="1" thickTop="1" thickBot="1" x14ac:dyDescent="0.35">
      <c r="A114" s="130" t="s">
        <v>28</v>
      </c>
      <c r="B114" s="130" t="s">
        <v>29</v>
      </c>
      <c r="C114" s="131">
        <v>0.625</v>
      </c>
      <c r="D114" s="130" t="s">
        <v>30</v>
      </c>
      <c r="E114" s="132"/>
      <c r="F114" s="130" t="s">
        <v>31</v>
      </c>
      <c r="G114" s="163"/>
      <c r="H114" s="21" t="s">
        <v>29</v>
      </c>
      <c r="I114" s="22">
        <v>6.0000000000000001E-3</v>
      </c>
      <c r="J114" s="23">
        <v>1</v>
      </c>
      <c r="K114" s="24" t="s">
        <v>55</v>
      </c>
      <c r="L114" s="23">
        <v>1</v>
      </c>
      <c r="M114" s="23">
        <v>0</v>
      </c>
      <c r="N114" s="23">
        <v>0</v>
      </c>
      <c r="O114" s="25" t="s">
        <v>39</v>
      </c>
      <c r="P114" s="26">
        <v>0.625</v>
      </c>
      <c r="Q114" s="23">
        <v>168</v>
      </c>
      <c r="R114" s="27" t="s">
        <v>56</v>
      </c>
    </row>
    <row r="115" spans="1:18" ht="17.399999999999999" customHeight="1" thickBot="1" x14ac:dyDescent="0.35">
      <c r="A115" s="191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3"/>
    </row>
    <row r="116" spans="1:18" ht="22.05" customHeight="1" thickTop="1" thickBot="1" x14ac:dyDescent="0.35">
      <c r="A116" s="165" t="s">
        <v>8</v>
      </c>
      <c r="B116" s="161"/>
      <c r="C116" s="161"/>
      <c r="D116" s="161"/>
      <c r="E116" s="161"/>
      <c r="F116" s="162"/>
      <c r="G116" s="28">
        <v>46076</v>
      </c>
      <c r="H116" s="160" t="s">
        <v>9</v>
      </c>
      <c r="I116" s="161"/>
      <c r="J116" s="161"/>
      <c r="K116" s="161"/>
      <c r="L116" s="161"/>
      <c r="M116" s="161"/>
      <c r="N116" s="161"/>
      <c r="O116" s="161"/>
      <c r="P116" s="161"/>
      <c r="Q116" s="161"/>
      <c r="R116" s="162"/>
    </row>
    <row r="117" spans="1:18" ht="24" customHeight="1" x14ac:dyDescent="0.3">
      <c r="A117" s="29" t="s">
        <v>10</v>
      </c>
      <c r="B117" s="29" t="s">
        <v>11</v>
      </c>
      <c r="C117" s="30" t="s">
        <v>12</v>
      </c>
      <c r="D117" s="29" t="s">
        <v>13</v>
      </c>
      <c r="E117" s="29" t="s">
        <v>14</v>
      </c>
      <c r="F117" s="31" t="s">
        <v>15</v>
      </c>
      <c r="G117" s="32" t="s">
        <v>16</v>
      </c>
      <c r="H117" s="29" t="s">
        <v>17</v>
      </c>
      <c r="I117" s="33" t="s">
        <v>18</v>
      </c>
      <c r="J117" s="34" t="s">
        <v>19</v>
      </c>
      <c r="K117" s="35" t="s">
        <v>20</v>
      </c>
      <c r="L117" s="34" t="s">
        <v>21</v>
      </c>
      <c r="M117" s="34" t="s">
        <v>22</v>
      </c>
      <c r="N117" s="34" t="s">
        <v>23</v>
      </c>
      <c r="O117" s="29" t="s">
        <v>24</v>
      </c>
      <c r="P117" s="30" t="s">
        <v>25</v>
      </c>
      <c r="Q117" s="34" t="s">
        <v>26</v>
      </c>
      <c r="R117" s="29" t="s">
        <v>27</v>
      </c>
    </row>
    <row r="118" spans="1:18" ht="49.95" customHeight="1" thickTop="1" thickBot="1" x14ac:dyDescent="0.35">
      <c r="A118" s="8" t="s">
        <v>28</v>
      </c>
      <c r="B118" s="8" t="s">
        <v>35</v>
      </c>
      <c r="C118" s="9">
        <v>0.92361111111111116</v>
      </c>
      <c r="D118" s="8" t="s">
        <v>30</v>
      </c>
      <c r="E118" s="10"/>
      <c r="F118" s="8" t="s">
        <v>31</v>
      </c>
      <c r="G118" s="163"/>
      <c r="H118" s="96" t="s">
        <v>35</v>
      </c>
      <c r="I118" s="97">
        <v>6.0000000000000001E-3</v>
      </c>
      <c r="J118" s="98">
        <v>1</v>
      </c>
      <c r="K118" s="99" t="s">
        <v>57</v>
      </c>
      <c r="L118" s="98">
        <v>1</v>
      </c>
      <c r="M118" s="98">
        <v>0</v>
      </c>
      <c r="N118" s="98">
        <v>0</v>
      </c>
      <c r="O118" s="100" t="s">
        <v>39</v>
      </c>
      <c r="P118" s="101">
        <v>0.92361111111111116</v>
      </c>
      <c r="Q118" s="98">
        <v>168</v>
      </c>
      <c r="R118" s="102" t="s">
        <v>56</v>
      </c>
    </row>
    <row r="119" spans="1:18" ht="17.399999999999999" customHeight="1" thickBot="1" x14ac:dyDescent="0.35">
      <c r="A119" s="191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3"/>
    </row>
    <row r="120" spans="1:18" ht="22.05" customHeight="1" thickTop="1" thickBot="1" x14ac:dyDescent="0.35">
      <c r="A120" s="165" t="s">
        <v>8</v>
      </c>
      <c r="B120" s="161"/>
      <c r="C120" s="161"/>
      <c r="D120" s="161"/>
      <c r="E120" s="161"/>
      <c r="F120" s="162"/>
      <c r="G120" s="28">
        <v>46077</v>
      </c>
      <c r="H120" s="160" t="s">
        <v>9</v>
      </c>
      <c r="I120" s="161"/>
      <c r="J120" s="161"/>
      <c r="K120" s="161"/>
      <c r="L120" s="161"/>
      <c r="M120" s="161"/>
      <c r="N120" s="161"/>
      <c r="O120" s="161"/>
      <c r="P120" s="161"/>
      <c r="Q120" s="161"/>
      <c r="R120" s="162"/>
    </row>
    <row r="121" spans="1:18" ht="24" customHeight="1" x14ac:dyDescent="0.3">
      <c r="A121" s="29" t="s">
        <v>10</v>
      </c>
      <c r="B121" s="29" t="s">
        <v>11</v>
      </c>
      <c r="C121" s="30" t="s">
        <v>12</v>
      </c>
      <c r="D121" s="29" t="s">
        <v>13</v>
      </c>
      <c r="E121" s="29" t="s">
        <v>14</v>
      </c>
      <c r="F121" s="31" t="s">
        <v>15</v>
      </c>
      <c r="G121" s="32" t="s">
        <v>16</v>
      </c>
      <c r="H121" s="29" t="s">
        <v>17</v>
      </c>
      <c r="I121" s="33" t="s">
        <v>18</v>
      </c>
      <c r="J121" s="34" t="s">
        <v>19</v>
      </c>
      <c r="K121" s="35" t="s">
        <v>20</v>
      </c>
      <c r="L121" s="34" t="s">
        <v>21</v>
      </c>
      <c r="M121" s="34" t="s">
        <v>22</v>
      </c>
      <c r="N121" s="34" t="s">
        <v>23</v>
      </c>
      <c r="O121" s="29" t="s">
        <v>24</v>
      </c>
      <c r="P121" s="30" t="s">
        <v>25</v>
      </c>
      <c r="Q121" s="34" t="s">
        <v>26</v>
      </c>
      <c r="R121" s="29" t="s">
        <v>27</v>
      </c>
    </row>
    <row r="122" spans="1:18" ht="49.95" customHeight="1" thickTop="1" thickBot="1" x14ac:dyDescent="0.35">
      <c r="A122" s="103" t="s">
        <v>28</v>
      </c>
      <c r="B122" s="103" t="s">
        <v>35</v>
      </c>
      <c r="C122" s="104">
        <v>0.91319444444444453</v>
      </c>
      <c r="D122" s="103" t="s">
        <v>30</v>
      </c>
      <c r="E122" s="105"/>
      <c r="F122" s="103" t="s">
        <v>31</v>
      </c>
      <c r="G122" s="163"/>
      <c r="H122" s="146" t="s">
        <v>35</v>
      </c>
      <c r="I122" s="147">
        <v>6.0000000000000001E-3</v>
      </c>
      <c r="J122" s="148">
        <v>1</v>
      </c>
      <c r="K122" s="149" t="s">
        <v>38</v>
      </c>
      <c r="L122" s="148">
        <v>1</v>
      </c>
      <c r="M122" s="148">
        <v>0</v>
      </c>
      <c r="N122" s="148">
        <v>0</v>
      </c>
      <c r="O122" s="150" t="s">
        <v>39</v>
      </c>
      <c r="P122" s="151">
        <v>0.91319444444444453</v>
      </c>
      <c r="Q122" s="148">
        <v>168</v>
      </c>
      <c r="R122" s="152" t="s">
        <v>56</v>
      </c>
    </row>
    <row r="123" spans="1:18" ht="17.399999999999999" customHeight="1" thickBot="1" x14ac:dyDescent="0.35">
      <c r="A123" s="191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3"/>
    </row>
    <row r="124" spans="1:18" ht="22.05" customHeight="1" thickTop="1" thickBot="1" x14ac:dyDescent="0.35">
      <c r="A124" s="165" t="s">
        <v>8</v>
      </c>
      <c r="B124" s="161"/>
      <c r="C124" s="161"/>
      <c r="D124" s="161"/>
      <c r="E124" s="161"/>
      <c r="F124" s="162"/>
      <c r="G124" s="28">
        <v>46078</v>
      </c>
      <c r="H124" s="160" t="s">
        <v>9</v>
      </c>
      <c r="I124" s="161"/>
      <c r="J124" s="161"/>
      <c r="K124" s="161"/>
      <c r="L124" s="161"/>
      <c r="M124" s="161"/>
      <c r="N124" s="161"/>
      <c r="O124" s="161"/>
      <c r="P124" s="161"/>
      <c r="Q124" s="161"/>
      <c r="R124" s="162"/>
    </row>
    <row r="125" spans="1:18" ht="24" customHeight="1" x14ac:dyDescent="0.3">
      <c r="A125" s="29" t="s">
        <v>10</v>
      </c>
      <c r="B125" s="29" t="s">
        <v>11</v>
      </c>
      <c r="C125" s="30" t="s">
        <v>12</v>
      </c>
      <c r="D125" s="29" t="s">
        <v>13</v>
      </c>
      <c r="E125" s="29" t="s">
        <v>14</v>
      </c>
      <c r="F125" s="31" t="s">
        <v>15</v>
      </c>
      <c r="G125" s="32" t="s">
        <v>16</v>
      </c>
      <c r="H125" s="29" t="s">
        <v>17</v>
      </c>
      <c r="I125" s="33" t="s">
        <v>18</v>
      </c>
      <c r="J125" s="34" t="s">
        <v>19</v>
      </c>
      <c r="K125" s="35" t="s">
        <v>20</v>
      </c>
      <c r="L125" s="34" t="s">
        <v>21</v>
      </c>
      <c r="M125" s="34" t="s">
        <v>22</v>
      </c>
      <c r="N125" s="34" t="s">
        <v>23</v>
      </c>
      <c r="O125" s="29" t="s">
        <v>24</v>
      </c>
      <c r="P125" s="30" t="s">
        <v>25</v>
      </c>
      <c r="Q125" s="34" t="s">
        <v>26</v>
      </c>
      <c r="R125" s="29" t="s">
        <v>27</v>
      </c>
    </row>
    <row r="126" spans="1:18" ht="49.95" customHeight="1" x14ac:dyDescent="0.3">
      <c r="A126" s="130" t="s">
        <v>28</v>
      </c>
      <c r="B126" s="130" t="s">
        <v>29</v>
      </c>
      <c r="C126" s="131">
        <v>0.61111111111111105</v>
      </c>
      <c r="D126" s="130" t="s">
        <v>30</v>
      </c>
      <c r="E126" s="132"/>
      <c r="F126" s="130" t="s">
        <v>31</v>
      </c>
      <c r="G126" s="163"/>
      <c r="H126" s="153" t="s">
        <v>29</v>
      </c>
      <c r="I126" s="154">
        <v>1.1900000000000001E-2</v>
      </c>
      <c r="J126" s="155">
        <v>2</v>
      </c>
      <c r="K126" s="156" t="s">
        <v>57</v>
      </c>
      <c r="L126" s="155">
        <v>2</v>
      </c>
      <c r="M126" s="155">
        <v>0</v>
      </c>
      <c r="N126" s="155">
        <v>0</v>
      </c>
      <c r="O126" s="157" t="s">
        <v>37</v>
      </c>
      <c r="P126" s="158">
        <v>0.61111111111111105</v>
      </c>
      <c r="Q126" s="155">
        <v>168</v>
      </c>
      <c r="R126" s="159" t="s">
        <v>33</v>
      </c>
    </row>
    <row r="127" spans="1:18" ht="49.95" customHeight="1" thickBot="1" x14ac:dyDescent="0.35">
      <c r="A127" s="140" t="s">
        <v>28</v>
      </c>
      <c r="B127" s="140" t="s">
        <v>35</v>
      </c>
      <c r="C127" s="141">
        <v>0.92361111111111116</v>
      </c>
      <c r="D127" s="140" t="s">
        <v>30</v>
      </c>
      <c r="E127" s="142"/>
      <c r="F127" s="140" t="s">
        <v>31</v>
      </c>
      <c r="G127" s="169"/>
      <c r="H127" s="69" t="s">
        <v>35</v>
      </c>
      <c r="I127" s="70">
        <v>1.1900000000000001E-2</v>
      </c>
      <c r="J127" s="71">
        <v>2</v>
      </c>
      <c r="K127" s="72" t="s">
        <v>57</v>
      </c>
      <c r="L127" s="71">
        <v>2</v>
      </c>
      <c r="M127" s="71">
        <v>0</v>
      </c>
      <c r="N127" s="71">
        <v>0</v>
      </c>
      <c r="O127" s="73" t="s">
        <v>37</v>
      </c>
      <c r="P127" s="74">
        <v>0.92361111111111116</v>
      </c>
      <c r="Q127" s="71">
        <v>168</v>
      </c>
      <c r="R127" s="75" t="s">
        <v>33</v>
      </c>
    </row>
    <row r="128" spans="1:18" ht="17.399999999999999" customHeight="1" thickBot="1" x14ac:dyDescent="0.35">
      <c r="A128" s="191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3"/>
    </row>
    <row r="129" spans="1:18" ht="22.05" customHeight="1" thickTop="1" thickBot="1" x14ac:dyDescent="0.35">
      <c r="A129" s="165" t="s">
        <v>8</v>
      </c>
      <c r="B129" s="161"/>
      <c r="C129" s="161"/>
      <c r="D129" s="161"/>
      <c r="E129" s="161"/>
      <c r="F129" s="162"/>
      <c r="G129" s="28">
        <v>46079</v>
      </c>
      <c r="H129" s="160" t="s">
        <v>9</v>
      </c>
      <c r="I129" s="161"/>
      <c r="J129" s="161"/>
      <c r="K129" s="161"/>
      <c r="L129" s="161"/>
      <c r="M129" s="161"/>
      <c r="N129" s="161"/>
      <c r="O129" s="161"/>
      <c r="P129" s="161"/>
      <c r="Q129" s="161"/>
      <c r="R129" s="162"/>
    </row>
    <row r="130" spans="1:18" ht="24" customHeight="1" x14ac:dyDescent="0.3">
      <c r="A130" s="29" t="s">
        <v>10</v>
      </c>
      <c r="B130" s="29" t="s">
        <v>11</v>
      </c>
      <c r="C130" s="30" t="s">
        <v>12</v>
      </c>
      <c r="D130" s="29" t="s">
        <v>13</v>
      </c>
      <c r="E130" s="29" t="s">
        <v>14</v>
      </c>
      <c r="F130" s="31" t="s">
        <v>15</v>
      </c>
      <c r="G130" s="32" t="s">
        <v>16</v>
      </c>
      <c r="H130" s="29" t="s">
        <v>17</v>
      </c>
      <c r="I130" s="33" t="s">
        <v>18</v>
      </c>
      <c r="J130" s="34" t="s">
        <v>19</v>
      </c>
      <c r="K130" s="35" t="s">
        <v>20</v>
      </c>
      <c r="L130" s="34" t="s">
        <v>21</v>
      </c>
      <c r="M130" s="34" t="s">
        <v>22</v>
      </c>
      <c r="N130" s="34" t="s">
        <v>23</v>
      </c>
      <c r="O130" s="29" t="s">
        <v>24</v>
      </c>
      <c r="P130" s="30" t="s">
        <v>25</v>
      </c>
      <c r="Q130" s="34" t="s">
        <v>26</v>
      </c>
      <c r="R130" s="29" t="s">
        <v>27</v>
      </c>
    </row>
    <row r="131" spans="1:18" ht="49.95" customHeight="1" thickTop="1" thickBot="1" x14ac:dyDescent="0.35">
      <c r="A131" s="8" t="s">
        <v>28</v>
      </c>
      <c r="B131" s="8" t="s">
        <v>29</v>
      </c>
      <c r="C131" s="9">
        <v>0.61111111111111105</v>
      </c>
      <c r="D131" s="8" t="s">
        <v>30</v>
      </c>
      <c r="E131" s="10"/>
      <c r="F131" s="8" t="s">
        <v>47</v>
      </c>
      <c r="G131" s="163"/>
      <c r="H131" s="96" t="s">
        <v>29</v>
      </c>
      <c r="I131" s="97">
        <v>0</v>
      </c>
      <c r="J131" s="98">
        <v>0</v>
      </c>
      <c r="K131" s="99" t="s">
        <v>48</v>
      </c>
      <c r="L131" s="98">
        <v>0</v>
      </c>
      <c r="M131" s="98">
        <v>0</v>
      </c>
      <c r="N131" s="98">
        <v>0</v>
      </c>
      <c r="O131" s="100" t="s">
        <v>58</v>
      </c>
      <c r="P131" s="101">
        <v>0.61111111111111105</v>
      </c>
      <c r="Q131" s="98">
        <v>168</v>
      </c>
      <c r="R131" s="102" t="s">
        <v>48</v>
      </c>
    </row>
    <row r="132" spans="1:18" ht="17.399999999999999" customHeight="1" thickBot="1" x14ac:dyDescent="0.35">
      <c r="A132" s="191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3"/>
    </row>
    <row r="133" spans="1:18" ht="22.05" customHeight="1" thickTop="1" thickBot="1" x14ac:dyDescent="0.35">
      <c r="A133" s="165" t="s">
        <v>8</v>
      </c>
      <c r="B133" s="161"/>
      <c r="C133" s="161"/>
      <c r="D133" s="161"/>
      <c r="E133" s="161"/>
      <c r="F133" s="162"/>
      <c r="G133" s="28">
        <v>46080</v>
      </c>
      <c r="H133" s="160" t="s">
        <v>9</v>
      </c>
      <c r="I133" s="161"/>
      <c r="J133" s="161"/>
      <c r="K133" s="161"/>
      <c r="L133" s="161"/>
      <c r="M133" s="161"/>
      <c r="N133" s="161"/>
      <c r="O133" s="161"/>
      <c r="P133" s="161"/>
      <c r="Q133" s="161"/>
      <c r="R133" s="162"/>
    </row>
    <row r="134" spans="1:18" ht="24" customHeight="1" x14ac:dyDescent="0.3">
      <c r="A134" s="29" t="s">
        <v>10</v>
      </c>
      <c r="B134" s="29" t="s">
        <v>11</v>
      </c>
      <c r="C134" s="30" t="s">
        <v>12</v>
      </c>
      <c r="D134" s="29" t="s">
        <v>13</v>
      </c>
      <c r="E134" s="29" t="s">
        <v>14</v>
      </c>
      <c r="F134" s="31" t="s">
        <v>15</v>
      </c>
      <c r="G134" s="32" t="s">
        <v>16</v>
      </c>
      <c r="H134" s="29" t="s">
        <v>17</v>
      </c>
      <c r="I134" s="33" t="s">
        <v>18</v>
      </c>
      <c r="J134" s="34" t="s">
        <v>19</v>
      </c>
      <c r="K134" s="35" t="s">
        <v>20</v>
      </c>
      <c r="L134" s="34" t="s">
        <v>21</v>
      </c>
      <c r="M134" s="34" t="s">
        <v>22</v>
      </c>
      <c r="N134" s="34" t="s">
        <v>23</v>
      </c>
      <c r="O134" s="29" t="s">
        <v>24</v>
      </c>
      <c r="P134" s="30" t="s">
        <v>25</v>
      </c>
      <c r="Q134" s="34" t="s">
        <v>26</v>
      </c>
      <c r="R134" s="29" t="s">
        <v>27</v>
      </c>
    </row>
    <row r="135" spans="1:18" ht="49.95" customHeight="1" x14ac:dyDescent="0.3">
      <c r="A135" s="46" t="s">
        <v>28</v>
      </c>
      <c r="B135" s="46" t="s">
        <v>29</v>
      </c>
      <c r="C135" s="47">
        <v>0.60416666666666663</v>
      </c>
      <c r="D135" s="46" t="s">
        <v>30</v>
      </c>
      <c r="E135" s="48"/>
      <c r="F135" s="46" t="s">
        <v>47</v>
      </c>
      <c r="G135" s="163"/>
      <c r="H135" s="49" t="s">
        <v>29</v>
      </c>
      <c r="I135" s="50">
        <v>0</v>
      </c>
      <c r="J135" s="51">
        <v>0</v>
      </c>
      <c r="K135" s="52" t="s">
        <v>48</v>
      </c>
      <c r="L135" s="51">
        <v>0</v>
      </c>
      <c r="M135" s="51">
        <v>0</v>
      </c>
      <c r="N135" s="51">
        <v>0</v>
      </c>
      <c r="O135" s="53" t="s">
        <v>58</v>
      </c>
      <c r="P135" s="54">
        <v>0.60416666666666663</v>
      </c>
      <c r="Q135" s="51">
        <v>168</v>
      </c>
      <c r="R135" s="55" t="s">
        <v>48</v>
      </c>
    </row>
    <row r="136" spans="1:18" ht="49.95" customHeight="1" thickBot="1" x14ac:dyDescent="0.35">
      <c r="A136" s="120" t="s">
        <v>28</v>
      </c>
      <c r="B136" s="120" t="s">
        <v>35</v>
      </c>
      <c r="C136" s="121">
        <v>0.92361111111111116</v>
      </c>
      <c r="D136" s="120" t="s">
        <v>30</v>
      </c>
      <c r="E136" s="122"/>
      <c r="F136" s="120" t="s">
        <v>47</v>
      </c>
      <c r="G136" s="169"/>
      <c r="H136" s="123" t="s">
        <v>35</v>
      </c>
      <c r="I136" s="124">
        <v>0</v>
      </c>
      <c r="J136" s="125">
        <v>0</v>
      </c>
      <c r="K136" s="126" t="s">
        <v>48</v>
      </c>
      <c r="L136" s="125">
        <v>0</v>
      </c>
      <c r="M136" s="125">
        <v>0</v>
      </c>
      <c r="N136" s="125">
        <v>0</v>
      </c>
      <c r="O136" s="127" t="s">
        <v>58</v>
      </c>
      <c r="P136" s="128">
        <v>0.92361111111111116</v>
      </c>
      <c r="Q136" s="125">
        <v>168</v>
      </c>
      <c r="R136" s="129" t="s">
        <v>48</v>
      </c>
    </row>
    <row r="137" spans="1:18" ht="17.399999999999999" customHeight="1" thickBot="1" x14ac:dyDescent="0.35">
      <c r="A137" s="191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3"/>
    </row>
    <row r="138" spans="1:18" ht="22.05" customHeight="1" thickTop="1" thickBot="1" x14ac:dyDescent="0.35">
      <c r="A138" s="165" t="s">
        <v>8</v>
      </c>
      <c r="B138" s="161"/>
      <c r="C138" s="161"/>
      <c r="D138" s="161"/>
      <c r="E138" s="161"/>
      <c r="F138" s="162"/>
      <c r="G138" s="28">
        <v>46081</v>
      </c>
      <c r="H138" s="160" t="s">
        <v>9</v>
      </c>
      <c r="I138" s="161"/>
      <c r="J138" s="161"/>
      <c r="K138" s="161"/>
      <c r="L138" s="161"/>
      <c r="M138" s="161"/>
      <c r="N138" s="161"/>
      <c r="O138" s="161"/>
      <c r="P138" s="161"/>
      <c r="Q138" s="161"/>
      <c r="R138" s="162"/>
    </row>
    <row r="139" spans="1:18" ht="24" customHeight="1" x14ac:dyDescent="0.3">
      <c r="A139" s="29" t="s">
        <v>10</v>
      </c>
      <c r="B139" s="29" t="s">
        <v>11</v>
      </c>
      <c r="C139" s="30" t="s">
        <v>12</v>
      </c>
      <c r="D139" s="29" t="s">
        <v>13</v>
      </c>
      <c r="E139" s="29" t="s">
        <v>14</v>
      </c>
      <c r="F139" s="31" t="s">
        <v>15</v>
      </c>
      <c r="G139" s="32" t="s">
        <v>16</v>
      </c>
      <c r="H139" s="29" t="s">
        <v>17</v>
      </c>
      <c r="I139" s="33" t="s">
        <v>18</v>
      </c>
      <c r="J139" s="34" t="s">
        <v>19</v>
      </c>
      <c r="K139" s="35" t="s">
        <v>20</v>
      </c>
      <c r="L139" s="34" t="s">
        <v>21</v>
      </c>
      <c r="M139" s="34" t="s">
        <v>22</v>
      </c>
      <c r="N139" s="34" t="s">
        <v>23</v>
      </c>
      <c r="O139" s="29" t="s">
        <v>24</v>
      </c>
      <c r="P139" s="30" t="s">
        <v>25</v>
      </c>
      <c r="Q139" s="34" t="s">
        <v>26</v>
      </c>
      <c r="R139" s="29" t="s">
        <v>27</v>
      </c>
    </row>
    <row r="140" spans="1:18" ht="49.95" customHeight="1" thickTop="1" thickBot="1" x14ac:dyDescent="0.5">
      <c r="A140" s="130" t="s">
        <v>28</v>
      </c>
      <c r="B140" s="130" t="s">
        <v>29</v>
      </c>
      <c r="C140" s="131">
        <v>0.61111111111111105</v>
      </c>
      <c r="D140" s="130" t="s">
        <v>30</v>
      </c>
      <c r="E140" s="132"/>
      <c r="F140" s="130" t="s">
        <v>31</v>
      </c>
      <c r="G140" s="164"/>
      <c r="H140" s="21" t="s">
        <v>29</v>
      </c>
      <c r="I140" s="22">
        <v>6.0000000000000001E-3</v>
      </c>
      <c r="J140" s="23">
        <v>1</v>
      </c>
      <c r="K140" s="24" t="s">
        <v>59</v>
      </c>
      <c r="L140" s="23">
        <v>1</v>
      </c>
      <c r="M140" s="23">
        <v>0</v>
      </c>
      <c r="N140" s="23">
        <v>0</v>
      </c>
      <c r="O140" s="25" t="s">
        <v>60</v>
      </c>
      <c r="P140" s="26">
        <v>0.61111111111111105</v>
      </c>
      <c r="Q140" s="23">
        <v>168</v>
      </c>
      <c r="R140" s="27" t="s">
        <v>61</v>
      </c>
    </row>
    <row r="141" spans="1:18" ht="17.399999999999999" customHeight="1" thickBot="1" x14ac:dyDescent="0.35">
      <c r="A141" s="191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3"/>
    </row>
    <row r="142" spans="1:18" ht="22.05" customHeight="1" thickTop="1" thickBot="1" x14ac:dyDescent="0.35">
      <c r="A142" s="165" t="s">
        <v>8</v>
      </c>
      <c r="B142" s="161"/>
      <c r="C142" s="161"/>
      <c r="D142" s="161"/>
      <c r="E142" s="161"/>
      <c r="F142" s="162"/>
      <c r="G142" s="28">
        <v>46082</v>
      </c>
      <c r="H142" s="160" t="s">
        <v>9</v>
      </c>
      <c r="I142" s="161"/>
      <c r="J142" s="161"/>
      <c r="K142" s="161"/>
      <c r="L142" s="161"/>
      <c r="M142" s="161"/>
      <c r="N142" s="161"/>
      <c r="O142" s="161"/>
      <c r="P142" s="161"/>
      <c r="Q142" s="161"/>
      <c r="R142" s="162"/>
    </row>
    <row r="143" spans="1:18" ht="24" customHeight="1" x14ac:dyDescent="0.3">
      <c r="A143" s="29" t="s">
        <v>10</v>
      </c>
      <c r="B143" s="29" t="s">
        <v>11</v>
      </c>
      <c r="C143" s="30" t="s">
        <v>12</v>
      </c>
      <c r="D143" s="29" t="s">
        <v>13</v>
      </c>
      <c r="E143" s="29" t="s">
        <v>14</v>
      </c>
      <c r="F143" s="31" t="s">
        <v>15</v>
      </c>
      <c r="G143" s="32" t="s">
        <v>16</v>
      </c>
      <c r="H143" s="29" t="s">
        <v>17</v>
      </c>
      <c r="I143" s="33" t="s">
        <v>18</v>
      </c>
      <c r="J143" s="34" t="s">
        <v>19</v>
      </c>
      <c r="K143" s="35" t="s">
        <v>20</v>
      </c>
      <c r="L143" s="34" t="s">
        <v>21</v>
      </c>
      <c r="M143" s="34" t="s">
        <v>22</v>
      </c>
      <c r="N143" s="34" t="s">
        <v>23</v>
      </c>
      <c r="O143" s="29" t="s">
        <v>24</v>
      </c>
      <c r="P143" s="30" t="s">
        <v>25</v>
      </c>
      <c r="Q143" s="34" t="s">
        <v>26</v>
      </c>
      <c r="R143" s="29" t="s">
        <v>27</v>
      </c>
    </row>
    <row r="144" spans="1:18" ht="49.95" customHeight="1" x14ac:dyDescent="0.45">
      <c r="A144" s="36" t="s">
        <v>28</v>
      </c>
      <c r="B144" s="36" t="s">
        <v>29</v>
      </c>
      <c r="C144" s="37">
        <v>0.625</v>
      </c>
      <c r="D144" s="36" t="s">
        <v>30</v>
      </c>
      <c r="E144" s="38"/>
      <c r="F144" s="36" t="s">
        <v>31</v>
      </c>
      <c r="G144" s="164"/>
      <c r="H144" s="39" t="s">
        <v>29</v>
      </c>
      <c r="I144" s="40">
        <v>6.0000000000000001E-3</v>
      </c>
      <c r="J144" s="41">
        <v>1</v>
      </c>
      <c r="K144" s="42" t="s">
        <v>62</v>
      </c>
      <c r="L144" s="41">
        <v>1</v>
      </c>
      <c r="M144" s="41">
        <v>0</v>
      </c>
      <c r="N144" s="41">
        <v>0</v>
      </c>
      <c r="O144" s="43" t="s">
        <v>60</v>
      </c>
      <c r="P144" s="44">
        <v>0.625</v>
      </c>
      <c r="Q144" s="41">
        <v>168</v>
      </c>
      <c r="R144" s="45" t="s">
        <v>56</v>
      </c>
    </row>
  </sheetData>
  <mergeCells count="138">
    <mergeCell ref="G140"/>
    <mergeCell ref="A47:R47"/>
    <mergeCell ref="H64:R64"/>
    <mergeCell ref="H73:R73"/>
    <mergeCell ref="G11"/>
    <mergeCell ref="A4:F4"/>
    <mergeCell ref="A43:F43"/>
    <mergeCell ref="A52:F52"/>
    <mergeCell ref="A72:R72"/>
    <mergeCell ref="A29:R29"/>
    <mergeCell ref="A81:R81"/>
    <mergeCell ref="A38:R38"/>
    <mergeCell ref="H138:R138"/>
    <mergeCell ref="G135:G136"/>
    <mergeCell ref="H90:R90"/>
    <mergeCell ref="G45:G46"/>
    <mergeCell ref="H99:R99"/>
    <mergeCell ref="G118"/>
    <mergeCell ref="A138:F138"/>
    <mergeCell ref="A51:R51"/>
    <mergeCell ref="A107:R107"/>
    <mergeCell ref="G96:G97"/>
    <mergeCell ref="H124:R124"/>
    <mergeCell ref="G24"/>
    <mergeCell ref="N1:R1"/>
    <mergeCell ref="K2:R2"/>
    <mergeCell ref="A34:F34"/>
    <mergeCell ref="A39:F39"/>
    <mergeCell ref="H22:R22"/>
    <mergeCell ref="G62"/>
    <mergeCell ref="A77:R77"/>
    <mergeCell ref="A94:F94"/>
    <mergeCell ref="A103:F103"/>
    <mergeCell ref="H86:R86"/>
    <mergeCell ref="A78:F78"/>
    <mergeCell ref="H30:R30"/>
    <mergeCell ref="A25:R25"/>
    <mergeCell ref="G66:G67"/>
    <mergeCell ref="H78:R78"/>
    <mergeCell ref="H4:R4"/>
    <mergeCell ref="A3:R3"/>
    <mergeCell ref="A55:R55"/>
    <mergeCell ref="G80"/>
    <mergeCell ref="A69:F69"/>
    <mergeCell ref="A142:F142"/>
    <mergeCell ref="G75:G76"/>
    <mergeCell ref="H48:R48"/>
    <mergeCell ref="G58"/>
    <mergeCell ref="G110"/>
    <mergeCell ref="A90:F90"/>
    <mergeCell ref="G126:G127"/>
    <mergeCell ref="G20"/>
    <mergeCell ref="A128:R128"/>
    <mergeCell ref="H43:R43"/>
    <mergeCell ref="A56:F56"/>
    <mergeCell ref="A26:F26"/>
    <mergeCell ref="A89:R89"/>
    <mergeCell ref="G84"/>
    <mergeCell ref="A129:F129"/>
    <mergeCell ref="A21:R21"/>
    <mergeCell ref="A116:F116"/>
    <mergeCell ref="H60:R60"/>
    <mergeCell ref="A123:R123"/>
    <mergeCell ref="A132:R132"/>
    <mergeCell ref="A119:R119"/>
    <mergeCell ref="G114"/>
    <mergeCell ref="G105:G106"/>
    <mergeCell ref="A120:F120"/>
    <mergeCell ref="A2:F2"/>
    <mergeCell ref="H56:R56"/>
    <mergeCell ref="H34:R34"/>
    <mergeCell ref="A22:F22"/>
    <mergeCell ref="H133:R133"/>
    <mergeCell ref="G71"/>
    <mergeCell ref="A8:R8"/>
    <mergeCell ref="H94:R94"/>
    <mergeCell ref="A112:F112"/>
    <mergeCell ref="H69:R69"/>
    <mergeCell ref="A63:R63"/>
    <mergeCell ref="A9:F9"/>
    <mergeCell ref="A115:R115"/>
    <mergeCell ref="A93:R93"/>
    <mergeCell ref="A68:R68"/>
    <mergeCell ref="A102:R102"/>
    <mergeCell ref="A48:F48"/>
    <mergeCell ref="A111:R111"/>
    <mergeCell ref="A30:F30"/>
    <mergeCell ref="A12:R12"/>
    <mergeCell ref="G6:G7"/>
    <mergeCell ref="G2:J2"/>
    <mergeCell ref="G15:G16"/>
    <mergeCell ref="H112:R112"/>
    <mergeCell ref="H120:R120"/>
    <mergeCell ref="A124:F124"/>
    <mergeCell ref="H18:R18"/>
    <mergeCell ref="G36:G37"/>
    <mergeCell ref="H116:R116"/>
    <mergeCell ref="A99:F99"/>
    <mergeCell ref="A108:F108"/>
    <mergeCell ref="H82:R82"/>
    <mergeCell ref="A137:R137"/>
    <mergeCell ref="A18:F18"/>
    <mergeCell ref="G54"/>
    <mergeCell ref="G32"/>
    <mergeCell ref="G131"/>
    <mergeCell ref="G28"/>
    <mergeCell ref="A64:F64"/>
    <mergeCell ref="H13:R13"/>
    <mergeCell ref="A73:F73"/>
    <mergeCell ref="A82:F82"/>
    <mergeCell ref="A59:R59"/>
    <mergeCell ref="A60:F60"/>
    <mergeCell ref="G92"/>
    <mergeCell ref="A98:R98"/>
    <mergeCell ref="H26:R26"/>
    <mergeCell ref="G88"/>
    <mergeCell ref="G144"/>
    <mergeCell ref="A133:F133"/>
    <mergeCell ref="H1:L1"/>
    <mergeCell ref="A1:E1"/>
    <mergeCell ref="H103:R103"/>
    <mergeCell ref="G41"/>
    <mergeCell ref="G50"/>
    <mergeCell ref="A86:F86"/>
    <mergeCell ref="H9:R9"/>
    <mergeCell ref="H39:R39"/>
    <mergeCell ref="A33:R33"/>
    <mergeCell ref="A85:R85"/>
    <mergeCell ref="A42:R42"/>
    <mergeCell ref="H142:R142"/>
    <mergeCell ref="A17:R17"/>
    <mergeCell ref="H129:R129"/>
    <mergeCell ref="A141:R141"/>
    <mergeCell ref="H52:R52"/>
    <mergeCell ref="H108:R108"/>
    <mergeCell ref="A13:F13"/>
    <mergeCell ref="G122"/>
    <mergeCell ref="G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5"/>
  <sheetViews>
    <sheetView workbookViewId="0"/>
  </sheetViews>
  <sheetFormatPr defaultRowHeight="15.6" outlineLevelCol="1" x14ac:dyDescent="0.3"/>
  <cols>
    <col min="1" max="1" width="11.5546875" style="178" bestFit="1" customWidth="1"/>
    <col min="2" max="2" width="10.109375" style="178" bestFit="1" customWidth="1"/>
    <col min="3" max="3" width="6.77734375" style="178" bestFit="1" customWidth="1"/>
    <col min="4" max="4" width="5.5546875" style="178" bestFit="1" customWidth="1"/>
    <col min="5" max="5" width="8.33203125" style="178" bestFit="1" customWidth="1"/>
    <col min="6" max="6" width="4.21875" style="178" bestFit="1" customWidth="1"/>
    <col min="7" max="7" width="8.44140625" style="178" bestFit="1" customWidth="1"/>
    <col min="8" max="8" width="8.5546875" style="178" bestFit="1" customWidth="1"/>
    <col min="9" max="10" width="7" style="178" bestFit="1" customWidth="1"/>
    <col min="11" max="11" width="10.5546875" style="178" bestFit="1" customWidth="1"/>
    <col min="12" max="12" width="18.109375" style="178" bestFit="1" customWidth="1"/>
    <col min="13" max="13" width="7.6640625" style="178" bestFit="1" customWidth="1" outlineLevel="1"/>
    <col min="14" max="14" width="6.33203125" style="178" bestFit="1" customWidth="1" outlineLevel="1"/>
    <col min="15" max="15" width="8" style="178" bestFit="1" customWidth="1" outlineLevel="1"/>
    <col min="16" max="16" width="13.6640625" style="178" bestFit="1" customWidth="1"/>
    <col min="17" max="36" width="3.88671875" style="178" bestFit="1" customWidth="1"/>
    <col min="37" max="16384" width="8.88671875" style="178"/>
  </cols>
  <sheetData>
    <row r="1" spans="1:36" x14ac:dyDescent="0.3">
      <c r="A1" s="177" t="s">
        <v>63</v>
      </c>
      <c r="B1" s="177" t="s">
        <v>64</v>
      </c>
      <c r="C1" s="177" t="s">
        <v>65</v>
      </c>
      <c r="D1" s="177" t="s">
        <v>25</v>
      </c>
      <c r="E1" s="177" t="s">
        <v>66</v>
      </c>
      <c r="F1" s="177" t="s">
        <v>67</v>
      </c>
      <c r="G1" s="177" t="s">
        <v>18</v>
      </c>
      <c r="H1" s="177" t="s">
        <v>68</v>
      </c>
      <c r="I1" s="177" t="s">
        <v>69</v>
      </c>
      <c r="J1" s="177" t="s">
        <v>70</v>
      </c>
      <c r="K1" s="177" t="s">
        <v>71</v>
      </c>
      <c r="L1" s="177" t="s">
        <v>20</v>
      </c>
      <c r="M1" s="177" t="s">
        <v>22</v>
      </c>
      <c r="N1" s="177" t="s">
        <v>23</v>
      </c>
      <c r="O1" s="177" t="s">
        <v>21</v>
      </c>
      <c r="P1" s="177" t="s">
        <v>24</v>
      </c>
      <c r="Q1" s="177" t="s">
        <v>72</v>
      </c>
      <c r="R1" s="177" t="s">
        <v>73</v>
      </c>
      <c r="S1" s="177" t="s">
        <v>74</v>
      </c>
      <c r="T1" s="177" t="s">
        <v>75</v>
      </c>
      <c r="U1" s="177" t="s">
        <v>76</v>
      </c>
      <c r="V1" s="177" t="s">
        <v>77</v>
      </c>
      <c r="W1" s="177" t="s">
        <v>78</v>
      </c>
      <c r="X1" s="177" t="s">
        <v>79</v>
      </c>
      <c r="Y1" s="177" t="s">
        <v>80</v>
      </c>
      <c r="Z1" s="177" t="s">
        <v>81</v>
      </c>
      <c r="AA1" s="177" t="s">
        <v>82</v>
      </c>
      <c r="AB1" s="177" t="s">
        <v>83</v>
      </c>
      <c r="AC1" s="177" t="s">
        <v>84</v>
      </c>
      <c r="AD1" s="177" t="s">
        <v>85</v>
      </c>
      <c r="AE1" s="177" t="s">
        <v>86</v>
      </c>
      <c r="AF1" s="177" t="s">
        <v>87</v>
      </c>
      <c r="AG1" s="177" t="s">
        <v>88</v>
      </c>
      <c r="AH1" s="177" t="s">
        <v>89</v>
      </c>
      <c r="AI1" s="177" t="s">
        <v>90</v>
      </c>
      <c r="AJ1" s="177" t="s">
        <v>91</v>
      </c>
    </row>
    <row r="2" spans="1:36" x14ac:dyDescent="0.3">
      <c r="A2" s="179" t="s">
        <v>92</v>
      </c>
      <c r="B2" s="180">
        <v>46050</v>
      </c>
      <c r="C2" s="181" t="s">
        <v>29</v>
      </c>
      <c r="D2" s="182" t="s">
        <v>93</v>
      </c>
      <c r="E2" s="181" t="s">
        <v>1</v>
      </c>
      <c r="F2" s="181" t="s">
        <v>94</v>
      </c>
      <c r="G2" s="183">
        <v>2.3800000000000002E-2</v>
      </c>
      <c r="H2" s="184">
        <v>168</v>
      </c>
      <c r="I2" s="184">
        <v>4</v>
      </c>
      <c r="J2" s="184">
        <v>0</v>
      </c>
      <c r="K2" s="181" t="s">
        <v>95</v>
      </c>
      <c r="L2" s="185" t="s">
        <v>32</v>
      </c>
      <c r="M2" s="184">
        <v>0</v>
      </c>
      <c r="N2" s="184">
        <v>0</v>
      </c>
      <c r="O2" s="184">
        <v>4</v>
      </c>
      <c r="P2" s="181" t="s">
        <v>33</v>
      </c>
      <c r="Q2" s="177"/>
      <c r="R2" s="177"/>
      <c r="S2" s="177"/>
      <c r="T2" s="177"/>
      <c r="U2" s="177"/>
      <c r="V2" s="177"/>
      <c r="W2" s="177"/>
      <c r="X2" s="177"/>
      <c r="Y2" s="177"/>
      <c r="Z2" s="184" t="s">
        <v>61</v>
      </c>
      <c r="AA2" s="177"/>
      <c r="AB2" s="184" t="s">
        <v>96</v>
      </c>
      <c r="AC2" s="177"/>
      <c r="AD2" s="177"/>
      <c r="AE2" s="184" t="s">
        <v>33</v>
      </c>
      <c r="AF2" s="177"/>
      <c r="AG2" s="177"/>
      <c r="AH2" s="177"/>
      <c r="AI2" s="177"/>
      <c r="AJ2" s="177"/>
    </row>
    <row r="3" spans="1:36" x14ac:dyDescent="0.3">
      <c r="A3" s="179" t="s">
        <v>92</v>
      </c>
      <c r="B3" s="180">
        <v>46050</v>
      </c>
      <c r="C3" s="181" t="s">
        <v>35</v>
      </c>
      <c r="D3" s="182" t="s">
        <v>97</v>
      </c>
      <c r="E3" s="181" t="s">
        <v>1</v>
      </c>
      <c r="F3" s="181" t="s">
        <v>94</v>
      </c>
      <c r="G3" s="183">
        <v>1.7899999999999999E-2</v>
      </c>
      <c r="H3" s="184">
        <v>168</v>
      </c>
      <c r="I3" s="184">
        <v>3</v>
      </c>
      <c r="J3" s="184">
        <v>0</v>
      </c>
      <c r="K3" s="181" t="s">
        <v>95</v>
      </c>
      <c r="L3" s="185" t="s">
        <v>36</v>
      </c>
      <c r="M3" s="184">
        <v>0</v>
      </c>
      <c r="N3" s="184">
        <v>0</v>
      </c>
      <c r="O3" s="184">
        <v>3</v>
      </c>
      <c r="P3" s="181" t="s">
        <v>37</v>
      </c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84" t="s">
        <v>37</v>
      </c>
      <c r="AF3" s="177"/>
      <c r="AG3" s="177"/>
      <c r="AH3" s="177"/>
      <c r="AI3" s="177"/>
      <c r="AJ3" s="177"/>
    </row>
    <row r="4" spans="1:36" x14ac:dyDescent="0.3">
      <c r="A4" s="179" t="s">
        <v>98</v>
      </c>
      <c r="B4" s="180">
        <v>46051</v>
      </c>
      <c r="C4" s="181" t="s">
        <v>29</v>
      </c>
      <c r="D4" s="182" t="s">
        <v>93</v>
      </c>
      <c r="E4" s="181" t="s">
        <v>1</v>
      </c>
      <c r="F4" s="181" t="s">
        <v>94</v>
      </c>
      <c r="G4" s="183">
        <v>2.3800000000000002E-2</v>
      </c>
      <c r="H4" s="184">
        <v>168</v>
      </c>
      <c r="I4" s="184">
        <v>4</v>
      </c>
      <c r="J4" s="184">
        <v>0</v>
      </c>
      <c r="K4" s="181" t="s">
        <v>95</v>
      </c>
      <c r="L4" s="185" t="s">
        <v>38</v>
      </c>
      <c r="M4" s="184">
        <v>0</v>
      </c>
      <c r="N4" s="184">
        <v>0</v>
      </c>
      <c r="O4" s="184">
        <v>4</v>
      </c>
      <c r="P4" s="181" t="s">
        <v>33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84" t="s">
        <v>39</v>
      </c>
      <c r="AF4" s="177"/>
      <c r="AG4" s="177"/>
      <c r="AH4" s="177"/>
      <c r="AI4" s="177"/>
      <c r="AJ4" s="177"/>
    </row>
    <row r="5" spans="1:36" x14ac:dyDescent="0.3">
      <c r="A5" s="179" t="s">
        <v>99</v>
      </c>
      <c r="B5" s="180">
        <v>46052</v>
      </c>
      <c r="C5" s="181" t="s">
        <v>29</v>
      </c>
      <c r="D5" s="182" t="s">
        <v>100</v>
      </c>
      <c r="E5" s="181" t="s">
        <v>1</v>
      </c>
      <c r="F5" s="181" t="s">
        <v>94</v>
      </c>
      <c r="G5" s="183">
        <v>1.7899999999999999E-2</v>
      </c>
      <c r="H5" s="184">
        <v>168</v>
      </c>
      <c r="I5" s="184">
        <v>3</v>
      </c>
      <c r="J5" s="184">
        <v>0</v>
      </c>
      <c r="K5" s="181" t="s">
        <v>95</v>
      </c>
      <c r="L5" s="185" t="s">
        <v>40</v>
      </c>
      <c r="M5" s="184">
        <v>0</v>
      </c>
      <c r="N5" s="184">
        <v>0</v>
      </c>
      <c r="O5" s="184">
        <v>3</v>
      </c>
      <c r="P5" s="181" t="s">
        <v>37</v>
      </c>
      <c r="Q5" s="177"/>
      <c r="R5" s="177"/>
      <c r="S5" s="177"/>
      <c r="T5" s="177"/>
      <c r="U5" s="177"/>
      <c r="V5" s="177"/>
      <c r="W5" s="177"/>
      <c r="X5" s="177"/>
      <c r="Y5" s="177"/>
      <c r="Z5" s="184" t="s">
        <v>61</v>
      </c>
      <c r="AA5" s="177"/>
      <c r="AB5" s="177"/>
      <c r="AC5" s="177"/>
      <c r="AD5" s="177"/>
      <c r="AE5" s="184" t="s">
        <v>33</v>
      </c>
      <c r="AF5" s="177"/>
      <c r="AG5" s="177"/>
      <c r="AH5" s="177"/>
      <c r="AI5" s="177"/>
      <c r="AJ5" s="177"/>
    </row>
    <row r="6" spans="1:36" x14ac:dyDescent="0.3">
      <c r="A6" s="179" t="s">
        <v>99</v>
      </c>
      <c r="B6" s="180">
        <v>46052</v>
      </c>
      <c r="C6" s="181" t="s">
        <v>35</v>
      </c>
      <c r="D6" s="182" t="s">
        <v>97</v>
      </c>
      <c r="E6" s="181" t="s">
        <v>1</v>
      </c>
      <c r="F6" s="181" t="s">
        <v>94</v>
      </c>
      <c r="G6" s="183">
        <v>1.1900000000000001E-2</v>
      </c>
      <c r="H6" s="184">
        <v>168</v>
      </c>
      <c r="I6" s="184">
        <v>2</v>
      </c>
      <c r="J6" s="184">
        <v>0</v>
      </c>
      <c r="K6" s="181" t="s">
        <v>95</v>
      </c>
      <c r="L6" s="185" t="s">
        <v>42</v>
      </c>
      <c r="M6" s="184">
        <v>0</v>
      </c>
      <c r="N6" s="184">
        <v>0</v>
      </c>
      <c r="O6" s="184">
        <v>2</v>
      </c>
      <c r="P6" s="181" t="s">
        <v>39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84" t="s">
        <v>33</v>
      </c>
      <c r="AF6" s="177"/>
      <c r="AG6" s="177"/>
      <c r="AH6" s="177"/>
      <c r="AI6" s="177"/>
      <c r="AJ6" s="177"/>
    </row>
    <row r="7" spans="1:36" x14ac:dyDescent="0.3">
      <c r="A7" s="179" t="s">
        <v>101</v>
      </c>
      <c r="B7" s="180">
        <v>46053</v>
      </c>
      <c r="C7" s="181" t="s">
        <v>29</v>
      </c>
      <c r="D7" s="182" t="s">
        <v>93</v>
      </c>
      <c r="E7" s="181" t="s">
        <v>1</v>
      </c>
      <c r="F7" s="181" t="s">
        <v>94</v>
      </c>
      <c r="G7" s="183">
        <v>2.3800000000000002E-2</v>
      </c>
      <c r="H7" s="184">
        <v>168</v>
      </c>
      <c r="I7" s="184">
        <v>4</v>
      </c>
      <c r="J7" s="184">
        <v>0</v>
      </c>
      <c r="K7" s="181" t="s">
        <v>95</v>
      </c>
      <c r="L7" s="185" t="s">
        <v>43</v>
      </c>
      <c r="M7" s="184">
        <v>0</v>
      </c>
      <c r="N7" s="184">
        <v>0</v>
      </c>
      <c r="O7" s="184">
        <v>4</v>
      </c>
      <c r="P7" s="181" t="s">
        <v>33</v>
      </c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84" t="s">
        <v>39</v>
      </c>
      <c r="AF7" s="177"/>
      <c r="AG7" s="177"/>
      <c r="AH7" s="177"/>
      <c r="AI7" s="177"/>
      <c r="AJ7" s="177"/>
    </row>
    <row r="8" spans="1:36" x14ac:dyDescent="0.3">
      <c r="A8" s="179" t="s">
        <v>102</v>
      </c>
      <c r="B8" s="180">
        <v>46054</v>
      </c>
      <c r="C8" s="181" t="s">
        <v>29</v>
      </c>
      <c r="D8" s="182" t="s">
        <v>103</v>
      </c>
      <c r="E8" s="181" t="s">
        <v>1</v>
      </c>
      <c r="F8" s="181" t="s">
        <v>94</v>
      </c>
      <c r="G8" s="183">
        <v>6.0000000000000001E-3</v>
      </c>
      <c r="H8" s="184">
        <v>168</v>
      </c>
      <c r="I8" s="184">
        <v>1</v>
      </c>
      <c r="J8" s="184">
        <v>0</v>
      </c>
      <c r="K8" s="181" t="s">
        <v>95</v>
      </c>
      <c r="L8" s="185" t="s">
        <v>44</v>
      </c>
      <c r="M8" s="184">
        <v>0</v>
      </c>
      <c r="N8" s="184">
        <v>0</v>
      </c>
      <c r="O8" s="184">
        <v>1</v>
      </c>
      <c r="P8" s="181" t="s">
        <v>45</v>
      </c>
      <c r="Q8" s="177"/>
      <c r="R8" s="177"/>
      <c r="S8" s="177"/>
      <c r="T8" s="177"/>
      <c r="U8" s="177"/>
      <c r="V8" s="177"/>
      <c r="W8" s="177"/>
      <c r="X8" s="177"/>
      <c r="Y8" s="184" t="s">
        <v>46</v>
      </c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</row>
    <row r="9" spans="1:36" x14ac:dyDescent="0.3">
      <c r="A9" s="179" t="s">
        <v>104</v>
      </c>
      <c r="B9" s="180">
        <v>46055</v>
      </c>
      <c r="C9" s="181" t="s">
        <v>35</v>
      </c>
      <c r="D9" s="182" t="s">
        <v>97</v>
      </c>
      <c r="E9" s="181" t="s">
        <v>1</v>
      </c>
      <c r="F9" s="181" t="s">
        <v>94</v>
      </c>
      <c r="G9" s="183">
        <v>0</v>
      </c>
      <c r="H9" s="184">
        <v>168</v>
      </c>
      <c r="I9" s="184">
        <v>0</v>
      </c>
      <c r="J9" s="184">
        <v>0</v>
      </c>
      <c r="K9" s="181" t="s">
        <v>95</v>
      </c>
      <c r="L9" s="185" t="s">
        <v>48</v>
      </c>
      <c r="M9" s="184">
        <v>0</v>
      </c>
      <c r="N9" s="184">
        <v>0</v>
      </c>
      <c r="O9" s="184">
        <v>0</v>
      </c>
      <c r="P9" s="181" t="s">
        <v>45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</row>
    <row r="10" spans="1:36" x14ac:dyDescent="0.3">
      <c r="A10" s="179" t="s">
        <v>105</v>
      </c>
      <c r="B10" s="180">
        <v>46056</v>
      </c>
      <c r="C10" s="181" t="s">
        <v>35</v>
      </c>
      <c r="D10" s="182" t="s">
        <v>106</v>
      </c>
      <c r="E10" s="181" t="s">
        <v>1</v>
      </c>
      <c r="F10" s="181" t="s">
        <v>94</v>
      </c>
      <c r="G10" s="183">
        <v>0</v>
      </c>
      <c r="H10" s="184">
        <v>168</v>
      </c>
      <c r="I10" s="184">
        <v>0</v>
      </c>
      <c r="J10" s="184">
        <v>0</v>
      </c>
      <c r="K10" s="181" t="s">
        <v>95</v>
      </c>
      <c r="L10" s="185" t="s">
        <v>48</v>
      </c>
      <c r="M10" s="184">
        <v>0</v>
      </c>
      <c r="N10" s="184">
        <v>0</v>
      </c>
      <c r="O10" s="184">
        <v>0</v>
      </c>
      <c r="P10" s="181" t="s">
        <v>45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</row>
    <row r="11" spans="1:36" x14ac:dyDescent="0.3">
      <c r="A11" s="179" t="s">
        <v>92</v>
      </c>
      <c r="B11" s="180">
        <v>46057</v>
      </c>
      <c r="C11" s="181" t="s">
        <v>29</v>
      </c>
      <c r="D11" s="182" t="s">
        <v>93</v>
      </c>
      <c r="E11" s="181" t="s">
        <v>1</v>
      </c>
      <c r="F11" s="181" t="s">
        <v>94</v>
      </c>
      <c r="G11" s="183">
        <v>0</v>
      </c>
      <c r="H11" s="184">
        <v>168</v>
      </c>
      <c r="I11" s="184">
        <v>0</v>
      </c>
      <c r="J11" s="184">
        <v>0</v>
      </c>
      <c r="K11" s="181" t="s">
        <v>95</v>
      </c>
      <c r="L11" s="185" t="s">
        <v>48</v>
      </c>
      <c r="M11" s="184">
        <v>0</v>
      </c>
      <c r="N11" s="184">
        <v>0</v>
      </c>
      <c r="O11" s="184">
        <v>0</v>
      </c>
      <c r="P11" s="181" t="s">
        <v>45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</row>
    <row r="12" spans="1:36" x14ac:dyDescent="0.3">
      <c r="A12" s="179" t="s">
        <v>92</v>
      </c>
      <c r="B12" s="180">
        <v>46057</v>
      </c>
      <c r="C12" s="181" t="s">
        <v>35</v>
      </c>
      <c r="D12" s="182" t="s">
        <v>97</v>
      </c>
      <c r="E12" s="181" t="s">
        <v>1</v>
      </c>
      <c r="F12" s="181" t="s">
        <v>94</v>
      </c>
      <c r="G12" s="183">
        <v>0</v>
      </c>
      <c r="H12" s="184">
        <v>168</v>
      </c>
      <c r="I12" s="184">
        <v>0</v>
      </c>
      <c r="J12" s="184">
        <v>0</v>
      </c>
      <c r="K12" s="181" t="s">
        <v>95</v>
      </c>
      <c r="L12" s="185" t="s">
        <v>48</v>
      </c>
      <c r="M12" s="184">
        <v>0</v>
      </c>
      <c r="N12" s="184">
        <v>0</v>
      </c>
      <c r="O12" s="184">
        <v>0</v>
      </c>
      <c r="P12" s="181" t="s">
        <v>45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</row>
    <row r="13" spans="1:36" x14ac:dyDescent="0.3">
      <c r="A13" s="179" t="s">
        <v>98</v>
      </c>
      <c r="B13" s="180">
        <v>46058</v>
      </c>
      <c r="C13" s="181" t="s">
        <v>29</v>
      </c>
      <c r="D13" s="182" t="s">
        <v>93</v>
      </c>
      <c r="E13" s="181" t="s">
        <v>1</v>
      </c>
      <c r="F13" s="181" t="s">
        <v>94</v>
      </c>
      <c r="G13" s="183">
        <v>6.0000000000000001E-3</v>
      </c>
      <c r="H13" s="184">
        <v>168</v>
      </c>
      <c r="I13" s="184">
        <v>1</v>
      </c>
      <c r="J13" s="184">
        <v>0</v>
      </c>
      <c r="K13" s="181" t="s">
        <v>95</v>
      </c>
      <c r="L13" s="185" t="s">
        <v>44</v>
      </c>
      <c r="M13" s="184">
        <v>0</v>
      </c>
      <c r="N13" s="184">
        <v>0</v>
      </c>
      <c r="O13" s="184">
        <v>1</v>
      </c>
      <c r="P13" s="181" t="s">
        <v>45</v>
      </c>
      <c r="Q13" s="177"/>
      <c r="R13" s="177"/>
      <c r="S13" s="177"/>
      <c r="T13" s="177"/>
      <c r="U13" s="177"/>
      <c r="V13" s="177"/>
      <c r="W13" s="177"/>
      <c r="X13" s="177"/>
      <c r="Y13" s="184" t="s">
        <v>46</v>
      </c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</row>
    <row r="14" spans="1:36" x14ac:dyDescent="0.3">
      <c r="A14" s="179" t="s">
        <v>99</v>
      </c>
      <c r="B14" s="180">
        <v>46059</v>
      </c>
      <c r="C14" s="181" t="s">
        <v>29</v>
      </c>
      <c r="D14" s="182" t="s">
        <v>100</v>
      </c>
      <c r="E14" s="181" t="s">
        <v>1</v>
      </c>
      <c r="F14" s="181" t="s">
        <v>94</v>
      </c>
      <c r="G14" s="183">
        <v>0</v>
      </c>
      <c r="H14" s="184">
        <v>168</v>
      </c>
      <c r="I14" s="184">
        <v>0</v>
      </c>
      <c r="J14" s="184">
        <v>0</v>
      </c>
      <c r="K14" s="181" t="s">
        <v>95</v>
      </c>
      <c r="L14" s="185" t="s">
        <v>48</v>
      </c>
      <c r="M14" s="184">
        <v>0</v>
      </c>
      <c r="N14" s="184">
        <v>0</v>
      </c>
      <c r="O14" s="184">
        <v>0</v>
      </c>
      <c r="P14" s="181" t="s">
        <v>45</v>
      </c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</row>
    <row r="15" spans="1:36" x14ac:dyDescent="0.3">
      <c r="A15" s="179" t="s">
        <v>99</v>
      </c>
      <c r="B15" s="180">
        <v>46059</v>
      </c>
      <c r="C15" s="181" t="s">
        <v>35</v>
      </c>
      <c r="D15" s="182" t="s">
        <v>97</v>
      </c>
      <c r="E15" s="181" t="s">
        <v>1</v>
      </c>
      <c r="F15" s="181" t="s">
        <v>94</v>
      </c>
      <c r="G15" s="183">
        <v>0</v>
      </c>
      <c r="H15" s="184">
        <v>168</v>
      </c>
      <c r="I15" s="184">
        <v>0</v>
      </c>
      <c r="J15" s="184">
        <v>0</v>
      </c>
      <c r="K15" s="181" t="s">
        <v>95</v>
      </c>
      <c r="L15" s="185" t="s">
        <v>48</v>
      </c>
      <c r="M15" s="184">
        <v>0</v>
      </c>
      <c r="N15" s="184">
        <v>0</v>
      </c>
      <c r="O15" s="184">
        <v>0</v>
      </c>
      <c r="P15" s="181" t="s">
        <v>45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</row>
    <row r="16" spans="1:36" x14ac:dyDescent="0.3">
      <c r="A16" s="179" t="s">
        <v>101</v>
      </c>
      <c r="B16" s="180">
        <v>46060</v>
      </c>
      <c r="C16" s="181" t="s">
        <v>29</v>
      </c>
      <c r="D16" s="182" t="s">
        <v>93</v>
      </c>
      <c r="E16" s="181" t="s">
        <v>1</v>
      </c>
      <c r="F16" s="181" t="s">
        <v>94</v>
      </c>
      <c r="G16" s="183">
        <v>1.1900000000000001E-2</v>
      </c>
      <c r="H16" s="184">
        <v>168</v>
      </c>
      <c r="I16" s="184">
        <v>2</v>
      </c>
      <c r="J16" s="184">
        <v>0</v>
      </c>
      <c r="K16" s="181" t="s">
        <v>95</v>
      </c>
      <c r="L16" s="185" t="s">
        <v>49</v>
      </c>
      <c r="M16" s="184">
        <v>0</v>
      </c>
      <c r="N16" s="184">
        <v>0</v>
      </c>
      <c r="O16" s="184">
        <v>2</v>
      </c>
      <c r="P16" s="181" t="s">
        <v>45</v>
      </c>
      <c r="Q16" s="177"/>
      <c r="R16" s="177"/>
      <c r="S16" s="177"/>
      <c r="T16" s="177"/>
      <c r="U16" s="177"/>
      <c r="V16" s="177"/>
      <c r="W16" s="177"/>
      <c r="X16" s="177"/>
      <c r="Y16" s="184" t="s">
        <v>50</v>
      </c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</row>
    <row r="17" spans="1:36" x14ac:dyDescent="0.3">
      <c r="A17" s="179" t="s">
        <v>102</v>
      </c>
      <c r="B17" s="180">
        <v>46061</v>
      </c>
      <c r="C17" s="181" t="s">
        <v>29</v>
      </c>
      <c r="D17" s="182" t="s">
        <v>103</v>
      </c>
      <c r="E17" s="181" t="s">
        <v>1</v>
      </c>
      <c r="F17" s="181" t="s">
        <v>94</v>
      </c>
      <c r="G17" s="183">
        <v>1.7899999999999999E-2</v>
      </c>
      <c r="H17" s="184">
        <v>168</v>
      </c>
      <c r="I17" s="184">
        <v>3</v>
      </c>
      <c r="J17" s="184">
        <v>0</v>
      </c>
      <c r="K17" s="181" t="s">
        <v>95</v>
      </c>
      <c r="L17" s="185" t="s">
        <v>40</v>
      </c>
      <c r="M17" s="184">
        <v>0</v>
      </c>
      <c r="N17" s="184">
        <v>0</v>
      </c>
      <c r="O17" s="184">
        <v>3</v>
      </c>
      <c r="P17" s="181" t="s">
        <v>45</v>
      </c>
      <c r="Q17" s="177"/>
      <c r="R17" s="177"/>
      <c r="S17" s="177"/>
      <c r="T17" s="177"/>
      <c r="U17" s="177"/>
      <c r="V17" s="177"/>
      <c r="W17" s="177"/>
      <c r="X17" s="177"/>
      <c r="Y17" s="184" t="s">
        <v>50</v>
      </c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84" t="s">
        <v>107</v>
      </c>
    </row>
    <row r="18" spans="1:36" x14ac:dyDescent="0.3">
      <c r="A18" s="179" t="s">
        <v>104</v>
      </c>
      <c r="B18" s="180">
        <v>46062</v>
      </c>
      <c r="C18" s="181" t="s">
        <v>35</v>
      </c>
      <c r="D18" s="182" t="s">
        <v>97</v>
      </c>
      <c r="E18" s="181" t="s">
        <v>1</v>
      </c>
      <c r="F18" s="181" t="s">
        <v>94</v>
      </c>
      <c r="G18" s="183">
        <v>0</v>
      </c>
      <c r="H18" s="184">
        <v>168</v>
      </c>
      <c r="I18" s="184">
        <v>0</v>
      </c>
      <c r="J18" s="184">
        <v>0</v>
      </c>
      <c r="K18" s="181" t="s">
        <v>95</v>
      </c>
      <c r="L18" s="185" t="s">
        <v>48</v>
      </c>
      <c r="M18" s="184">
        <v>0</v>
      </c>
      <c r="N18" s="184">
        <v>0</v>
      </c>
      <c r="O18" s="184">
        <v>0</v>
      </c>
      <c r="P18" s="181" t="s">
        <v>45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</row>
    <row r="19" spans="1:36" x14ac:dyDescent="0.3">
      <c r="A19" s="179" t="s">
        <v>105</v>
      </c>
      <c r="B19" s="180">
        <v>46063</v>
      </c>
      <c r="C19" s="181" t="s">
        <v>35</v>
      </c>
      <c r="D19" s="182" t="s">
        <v>106</v>
      </c>
      <c r="E19" s="181" t="s">
        <v>1</v>
      </c>
      <c r="F19" s="181" t="s">
        <v>94</v>
      </c>
      <c r="G19" s="183">
        <v>0</v>
      </c>
      <c r="H19" s="184">
        <v>168</v>
      </c>
      <c r="I19" s="184">
        <v>0</v>
      </c>
      <c r="J19" s="184">
        <v>0</v>
      </c>
      <c r="K19" s="181" t="s">
        <v>95</v>
      </c>
      <c r="L19" s="185" t="s">
        <v>48</v>
      </c>
      <c r="M19" s="184">
        <v>0</v>
      </c>
      <c r="N19" s="184">
        <v>0</v>
      </c>
      <c r="O19" s="184">
        <v>0</v>
      </c>
      <c r="P19" s="181" t="s">
        <v>45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</row>
    <row r="20" spans="1:36" x14ac:dyDescent="0.3">
      <c r="A20" s="179" t="s">
        <v>92</v>
      </c>
      <c r="B20" s="180">
        <v>46064</v>
      </c>
      <c r="C20" s="181" t="s">
        <v>29</v>
      </c>
      <c r="D20" s="182" t="s">
        <v>93</v>
      </c>
      <c r="E20" s="181" t="s">
        <v>1</v>
      </c>
      <c r="F20" s="181" t="s">
        <v>94</v>
      </c>
      <c r="G20" s="183">
        <v>0</v>
      </c>
      <c r="H20" s="184">
        <v>168</v>
      </c>
      <c r="I20" s="184">
        <v>0</v>
      </c>
      <c r="J20" s="184">
        <v>0</v>
      </c>
      <c r="K20" s="181" t="s">
        <v>95</v>
      </c>
      <c r="L20" s="185" t="s">
        <v>48</v>
      </c>
      <c r="M20" s="184">
        <v>0</v>
      </c>
      <c r="N20" s="184">
        <v>0</v>
      </c>
      <c r="O20" s="184">
        <v>0</v>
      </c>
      <c r="P20" s="181" t="s">
        <v>45</v>
      </c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</row>
    <row r="21" spans="1:36" x14ac:dyDescent="0.3">
      <c r="A21" s="179" t="s">
        <v>92</v>
      </c>
      <c r="B21" s="180">
        <v>46064</v>
      </c>
      <c r="C21" s="181" t="s">
        <v>35</v>
      </c>
      <c r="D21" s="182" t="s">
        <v>97</v>
      </c>
      <c r="E21" s="181" t="s">
        <v>1</v>
      </c>
      <c r="F21" s="181" t="s">
        <v>94</v>
      </c>
      <c r="G21" s="183">
        <v>0</v>
      </c>
      <c r="H21" s="184">
        <v>168</v>
      </c>
      <c r="I21" s="184">
        <v>0</v>
      </c>
      <c r="J21" s="184">
        <v>0</v>
      </c>
      <c r="K21" s="181" t="s">
        <v>95</v>
      </c>
      <c r="L21" s="185" t="s">
        <v>48</v>
      </c>
      <c r="M21" s="184">
        <v>0</v>
      </c>
      <c r="N21" s="184">
        <v>0</v>
      </c>
      <c r="O21" s="184">
        <v>0</v>
      </c>
      <c r="P21" s="181" t="s">
        <v>45</v>
      </c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</row>
    <row r="22" spans="1:36" x14ac:dyDescent="0.3">
      <c r="A22" s="179" t="s">
        <v>98</v>
      </c>
      <c r="B22" s="180">
        <v>46065</v>
      </c>
      <c r="C22" s="181" t="s">
        <v>29</v>
      </c>
      <c r="D22" s="182" t="s">
        <v>93</v>
      </c>
      <c r="E22" s="181" t="s">
        <v>1</v>
      </c>
      <c r="F22" s="181" t="s">
        <v>94</v>
      </c>
      <c r="G22" s="183">
        <v>0</v>
      </c>
      <c r="H22" s="184">
        <v>168</v>
      </c>
      <c r="I22" s="184">
        <v>0</v>
      </c>
      <c r="J22" s="184">
        <v>0</v>
      </c>
      <c r="K22" s="181" t="s">
        <v>95</v>
      </c>
      <c r="L22" s="185" t="s">
        <v>48</v>
      </c>
      <c r="M22" s="184">
        <v>0</v>
      </c>
      <c r="N22" s="184">
        <v>0</v>
      </c>
      <c r="O22" s="184">
        <v>0</v>
      </c>
      <c r="P22" s="181" t="s">
        <v>45</v>
      </c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</row>
    <row r="23" spans="1:36" x14ac:dyDescent="0.3">
      <c r="A23" s="179" t="s">
        <v>99</v>
      </c>
      <c r="B23" s="180">
        <v>46066</v>
      </c>
      <c r="C23" s="181" t="s">
        <v>29</v>
      </c>
      <c r="D23" s="182" t="s">
        <v>100</v>
      </c>
      <c r="E23" s="181" t="s">
        <v>1</v>
      </c>
      <c r="F23" s="181" t="s">
        <v>94</v>
      </c>
      <c r="G23" s="183">
        <v>1.7899999999999999E-2</v>
      </c>
      <c r="H23" s="184">
        <v>168</v>
      </c>
      <c r="I23" s="184">
        <v>3</v>
      </c>
      <c r="J23" s="184">
        <v>0</v>
      </c>
      <c r="K23" s="181" t="s">
        <v>95</v>
      </c>
      <c r="L23" s="185" t="s">
        <v>49</v>
      </c>
      <c r="M23" s="184">
        <v>0</v>
      </c>
      <c r="N23" s="184">
        <v>0</v>
      </c>
      <c r="O23" s="184">
        <v>3</v>
      </c>
      <c r="P23" s="181" t="s">
        <v>45</v>
      </c>
      <c r="Q23" s="177"/>
      <c r="R23" s="177"/>
      <c r="S23" s="177"/>
      <c r="T23" s="177"/>
      <c r="U23" s="177"/>
      <c r="V23" s="177"/>
      <c r="W23" s="177"/>
      <c r="X23" s="177"/>
      <c r="Y23" s="184" t="s">
        <v>46</v>
      </c>
      <c r="Z23" s="177"/>
      <c r="AA23" s="177"/>
      <c r="AB23" s="177"/>
      <c r="AC23" s="177"/>
      <c r="AD23" s="177"/>
      <c r="AE23" s="184" t="s">
        <v>33</v>
      </c>
      <c r="AF23" s="177"/>
      <c r="AG23" s="177"/>
      <c r="AH23" s="177"/>
      <c r="AI23" s="177"/>
      <c r="AJ23" s="177"/>
    </row>
    <row r="24" spans="1:36" x14ac:dyDescent="0.3">
      <c r="A24" s="179" t="s">
        <v>99</v>
      </c>
      <c r="B24" s="180">
        <v>46066</v>
      </c>
      <c r="C24" s="181" t="s">
        <v>35</v>
      </c>
      <c r="D24" s="182" t="s">
        <v>97</v>
      </c>
      <c r="E24" s="181" t="s">
        <v>1</v>
      </c>
      <c r="F24" s="181" t="s">
        <v>94</v>
      </c>
      <c r="G24" s="183">
        <v>6.0000000000000001E-3</v>
      </c>
      <c r="H24" s="184">
        <v>168</v>
      </c>
      <c r="I24" s="184">
        <v>1</v>
      </c>
      <c r="J24" s="184">
        <v>0</v>
      </c>
      <c r="K24" s="181" t="s">
        <v>95</v>
      </c>
      <c r="L24" s="185" t="s">
        <v>38</v>
      </c>
      <c r="M24" s="184">
        <v>0</v>
      </c>
      <c r="N24" s="184">
        <v>0</v>
      </c>
      <c r="O24" s="184">
        <v>1</v>
      </c>
      <c r="P24" s="181" t="s">
        <v>45</v>
      </c>
      <c r="Q24" s="177"/>
      <c r="R24" s="177"/>
      <c r="S24" s="177"/>
      <c r="T24" s="177"/>
      <c r="U24" s="177"/>
      <c r="V24" s="177"/>
      <c r="W24" s="177"/>
      <c r="X24" s="177"/>
      <c r="Y24" s="184" t="s">
        <v>46</v>
      </c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</row>
    <row r="25" spans="1:36" x14ac:dyDescent="0.3">
      <c r="A25" s="179" t="s">
        <v>101</v>
      </c>
      <c r="B25" s="180">
        <v>46067</v>
      </c>
      <c r="C25" s="181" t="s">
        <v>29</v>
      </c>
      <c r="D25" s="182" t="s">
        <v>93</v>
      </c>
      <c r="E25" s="181" t="s">
        <v>1</v>
      </c>
      <c r="F25" s="181" t="s">
        <v>94</v>
      </c>
      <c r="G25" s="183">
        <v>0</v>
      </c>
      <c r="H25" s="184">
        <v>168</v>
      </c>
      <c r="I25" s="184">
        <v>0</v>
      </c>
      <c r="J25" s="184">
        <v>0</v>
      </c>
      <c r="K25" s="181" t="s">
        <v>95</v>
      </c>
      <c r="L25" s="185" t="s">
        <v>48</v>
      </c>
      <c r="M25" s="184">
        <v>0</v>
      </c>
      <c r="N25" s="184">
        <v>0</v>
      </c>
      <c r="O25" s="184">
        <v>0</v>
      </c>
      <c r="P25" s="181" t="s">
        <v>45</v>
      </c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</row>
    <row r="26" spans="1:36" x14ac:dyDescent="0.3">
      <c r="A26" s="179" t="s">
        <v>102</v>
      </c>
      <c r="B26" s="180">
        <v>46068</v>
      </c>
      <c r="C26" s="181" t="s">
        <v>29</v>
      </c>
      <c r="D26" s="182" t="s">
        <v>103</v>
      </c>
      <c r="E26" s="181" t="s">
        <v>1</v>
      </c>
      <c r="F26" s="181" t="s">
        <v>94</v>
      </c>
      <c r="G26" s="183">
        <v>0</v>
      </c>
      <c r="H26" s="184">
        <v>168</v>
      </c>
      <c r="I26" s="184">
        <v>0</v>
      </c>
      <c r="J26" s="184">
        <v>0</v>
      </c>
      <c r="K26" s="181" t="s">
        <v>95</v>
      </c>
      <c r="L26" s="185" t="s">
        <v>48</v>
      </c>
      <c r="M26" s="184">
        <v>0</v>
      </c>
      <c r="N26" s="184">
        <v>0</v>
      </c>
      <c r="O26" s="184">
        <v>0</v>
      </c>
      <c r="P26" s="181" t="s">
        <v>45</v>
      </c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</row>
    <row r="27" spans="1:36" x14ac:dyDescent="0.3">
      <c r="A27" s="179" t="s">
        <v>104</v>
      </c>
      <c r="B27" s="180">
        <v>46069</v>
      </c>
      <c r="C27" s="181" t="s">
        <v>35</v>
      </c>
      <c r="D27" s="182" t="s">
        <v>97</v>
      </c>
      <c r="E27" s="181" t="s">
        <v>1</v>
      </c>
      <c r="F27" s="181" t="s">
        <v>94</v>
      </c>
      <c r="G27" s="183">
        <v>0</v>
      </c>
      <c r="H27" s="184">
        <v>168</v>
      </c>
      <c r="I27" s="184">
        <v>0</v>
      </c>
      <c r="J27" s="184">
        <v>0</v>
      </c>
      <c r="K27" s="181" t="s">
        <v>95</v>
      </c>
      <c r="L27" s="185" t="s">
        <v>48</v>
      </c>
      <c r="M27" s="184">
        <v>0</v>
      </c>
      <c r="N27" s="184">
        <v>0</v>
      </c>
      <c r="O27" s="184">
        <v>0</v>
      </c>
      <c r="P27" s="181" t="s">
        <v>45</v>
      </c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</row>
    <row r="28" spans="1:36" x14ac:dyDescent="0.3">
      <c r="A28" s="179" t="s">
        <v>105</v>
      </c>
      <c r="B28" s="180">
        <v>46070</v>
      </c>
      <c r="C28" s="181" t="s">
        <v>35</v>
      </c>
      <c r="D28" s="182" t="s">
        <v>106</v>
      </c>
      <c r="E28" s="181" t="s">
        <v>1</v>
      </c>
      <c r="F28" s="181" t="s">
        <v>94</v>
      </c>
      <c r="G28" s="183">
        <v>0</v>
      </c>
      <c r="H28" s="184">
        <v>168</v>
      </c>
      <c r="I28" s="184">
        <v>0</v>
      </c>
      <c r="J28" s="184">
        <v>0</v>
      </c>
      <c r="K28" s="181" t="s">
        <v>95</v>
      </c>
      <c r="L28" s="185" t="s">
        <v>48</v>
      </c>
      <c r="M28" s="184">
        <v>0</v>
      </c>
      <c r="N28" s="184">
        <v>0</v>
      </c>
      <c r="O28" s="184">
        <v>0</v>
      </c>
      <c r="P28" s="181" t="s">
        <v>45</v>
      </c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</row>
    <row r="29" spans="1:36" x14ac:dyDescent="0.3">
      <c r="A29" s="179" t="s">
        <v>92</v>
      </c>
      <c r="B29" s="180">
        <v>46071</v>
      </c>
      <c r="C29" s="181" t="s">
        <v>29</v>
      </c>
      <c r="D29" s="182" t="s">
        <v>93</v>
      </c>
      <c r="E29" s="181" t="s">
        <v>1</v>
      </c>
      <c r="F29" s="181" t="s">
        <v>94</v>
      </c>
      <c r="G29" s="183">
        <v>0</v>
      </c>
      <c r="H29" s="184">
        <v>168</v>
      </c>
      <c r="I29" s="184">
        <v>0</v>
      </c>
      <c r="J29" s="184">
        <v>0</v>
      </c>
      <c r="K29" s="181" t="s">
        <v>95</v>
      </c>
      <c r="L29" s="185" t="s">
        <v>48</v>
      </c>
      <c r="M29" s="184">
        <v>0</v>
      </c>
      <c r="N29" s="184">
        <v>0</v>
      </c>
      <c r="O29" s="184">
        <v>0</v>
      </c>
      <c r="P29" s="181" t="s">
        <v>45</v>
      </c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</row>
    <row r="30" spans="1:36" x14ac:dyDescent="0.3">
      <c r="A30" s="179" t="s">
        <v>92</v>
      </c>
      <c r="B30" s="180">
        <v>46071</v>
      </c>
      <c r="C30" s="181" t="s">
        <v>35</v>
      </c>
      <c r="D30" s="182" t="s">
        <v>97</v>
      </c>
      <c r="E30" s="181" t="s">
        <v>1</v>
      </c>
      <c r="F30" s="181" t="s">
        <v>94</v>
      </c>
      <c r="G30" s="183">
        <v>6.0000000000000001E-3</v>
      </c>
      <c r="H30" s="184">
        <v>168</v>
      </c>
      <c r="I30" s="184">
        <v>1</v>
      </c>
      <c r="J30" s="184">
        <v>0</v>
      </c>
      <c r="K30" s="181" t="s">
        <v>95</v>
      </c>
      <c r="L30" s="185" t="s">
        <v>53</v>
      </c>
      <c r="M30" s="184">
        <v>0</v>
      </c>
      <c r="N30" s="184">
        <v>0</v>
      </c>
      <c r="O30" s="184">
        <v>1</v>
      </c>
      <c r="P30" s="181" t="s">
        <v>45</v>
      </c>
      <c r="Q30" s="177"/>
      <c r="R30" s="177"/>
      <c r="S30" s="177"/>
      <c r="T30" s="177"/>
      <c r="U30" s="177"/>
      <c r="V30" s="177"/>
      <c r="W30" s="177"/>
      <c r="X30" s="177"/>
      <c r="Y30" s="184" t="s">
        <v>46</v>
      </c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</row>
    <row r="31" spans="1:36" x14ac:dyDescent="0.3">
      <c r="A31" s="179" t="s">
        <v>98</v>
      </c>
      <c r="B31" s="180">
        <v>46072</v>
      </c>
      <c r="C31" s="181" t="s">
        <v>29</v>
      </c>
      <c r="D31" s="182" t="s">
        <v>93</v>
      </c>
      <c r="E31" s="181" t="s">
        <v>1</v>
      </c>
      <c r="F31" s="181" t="s">
        <v>94</v>
      </c>
      <c r="G31" s="183">
        <v>0</v>
      </c>
      <c r="H31" s="184">
        <v>168</v>
      </c>
      <c r="I31" s="184">
        <v>0</v>
      </c>
      <c r="J31" s="184">
        <v>0</v>
      </c>
      <c r="K31" s="181" t="s">
        <v>95</v>
      </c>
      <c r="L31" s="185" t="s">
        <v>48</v>
      </c>
      <c r="M31" s="184">
        <v>0</v>
      </c>
      <c r="N31" s="184">
        <v>0</v>
      </c>
      <c r="O31" s="184">
        <v>0</v>
      </c>
      <c r="P31" s="181" t="s">
        <v>45</v>
      </c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</row>
    <row r="32" spans="1:36" x14ac:dyDescent="0.3">
      <c r="A32" s="179" t="s">
        <v>99</v>
      </c>
      <c r="B32" s="180">
        <v>46073</v>
      </c>
      <c r="C32" s="181" t="s">
        <v>29</v>
      </c>
      <c r="D32" s="182" t="s">
        <v>100</v>
      </c>
      <c r="E32" s="181" t="s">
        <v>1</v>
      </c>
      <c r="F32" s="181" t="s">
        <v>94</v>
      </c>
      <c r="G32" s="183">
        <v>0</v>
      </c>
      <c r="H32" s="184">
        <v>168</v>
      </c>
      <c r="I32" s="184">
        <v>0</v>
      </c>
      <c r="J32" s="184">
        <v>0</v>
      </c>
      <c r="K32" s="181" t="s">
        <v>95</v>
      </c>
      <c r="L32" s="185" t="s">
        <v>48</v>
      </c>
      <c r="M32" s="184">
        <v>0</v>
      </c>
      <c r="N32" s="184">
        <v>0</v>
      </c>
      <c r="O32" s="184">
        <v>0</v>
      </c>
      <c r="P32" s="181" t="s">
        <v>45</v>
      </c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</row>
    <row r="33" spans="1:36" x14ac:dyDescent="0.3">
      <c r="A33" s="179" t="s">
        <v>99</v>
      </c>
      <c r="B33" s="180">
        <v>46073</v>
      </c>
      <c r="C33" s="181" t="s">
        <v>35</v>
      </c>
      <c r="D33" s="182" t="s">
        <v>97</v>
      </c>
      <c r="E33" s="181" t="s">
        <v>1</v>
      </c>
      <c r="F33" s="181" t="s">
        <v>94</v>
      </c>
      <c r="G33" s="183">
        <v>0</v>
      </c>
      <c r="H33" s="184">
        <v>168</v>
      </c>
      <c r="I33" s="184">
        <v>0</v>
      </c>
      <c r="J33" s="184">
        <v>0</v>
      </c>
      <c r="K33" s="181" t="s">
        <v>95</v>
      </c>
      <c r="L33" s="185" t="s">
        <v>48</v>
      </c>
      <c r="M33" s="184">
        <v>0</v>
      </c>
      <c r="N33" s="184">
        <v>0</v>
      </c>
      <c r="O33" s="184">
        <v>0</v>
      </c>
      <c r="P33" s="181" t="s">
        <v>45</v>
      </c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</row>
    <row r="34" spans="1:36" x14ac:dyDescent="0.3">
      <c r="A34" s="179" t="s">
        <v>101</v>
      </c>
      <c r="B34" s="180">
        <v>46074</v>
      </c>
      <c r="C34" s="181" t="s">
        <v>29</v>
      </c>
      <c r="D34" s="182" t="s">
        <v>93</v>
      </c>
      <c r="E34" s="181" t="s">
        <v>1</v>
      </c>
      <c r="F34" s="181" t="s">
        <v>94</v>
      </c>
      <c r="G34" s="183">
        <v>1.1900000000000001E-2</v>
      </c>
      <c r="H34" s="184">
        <v>168</v>
      </c>
      <c r="I34" s="184">
        <v>2</v>
      </c>
      <c r="J34" s="184">
        <v>0</v>
      </c>
      <c r="K34" s="181" t="s">
        <v>95</v>
      </c>
      <c r="L34" s="185" t="s">
        <v>54</v>
      </c>
      <c r="M34" s="184">
        <v>0</v>
      </c>
      <c r="N34" s="184">
        <v>0</v>
      </c>
      <c r="O34" s="184">
        <v>2</v>
      </c>
      <c r="P34" s="181" t="s">
        <v>37</v>
      </c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84" t="s">
        <v>33</v>
      </c>
      <c r="AF34" s="177"/>
      <c r="AG34" s="177"/>
      <c r="AH34" s="177"/>
      <c r="AI34" s="177"/>
      <c r="AJ34" s="177"/>
    </row>
    <row r="35" spans="1:36" x14ac:dyDescent="0.3">
      <c r="A35" s="179" t="s">
        <v>102</v>
      </c>
      <c r="B35" s="180">
        <v>46075</v>
      </c>
      <c r="C35" s="181" t="s">
        <v>29</v>
      </c>
      <c r="D35" s="182" t="s">
        <v>103</v>
      </c>
      <c r="E35" s="181" t="s">
        <v>1</v>
      </c>
      <c r="F35" s="181" t="s">
        <v>94</v>
      </c>
      <c r="G35" s="183">
        <v>6.0000000000000001E-3</v>
      </c>
      <c r="H35" s="184">
        <v>168</v>
      </c>
      <c r="I35" s="184">
        <v>1</v>
      </c>
      <c r="J35" s="184">
        <v>0</v>
      </c>
      <c r="K35" s="181" t="s">
        <v>95</v>
      </c>
      <c r="L35" s="185" t="s">
        <v>55</v>
      </c>
      <c r="M35" s="184">
        <v>0</v>
      </c>
      <c r="N35" s="184">
        <v>0</v>
      </c>
      <c r="O35" s="184">
        <v>1</v>
      </c>
      <c r="P35" s="181" t="s">
        <v>39</v>
      </c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84" t="s">
        <v>56</v>
      </c>
      <c r="AF35" s="177"/>
      <c r="AG35" s="177"/>
      <c r="AH35" s="177"/>
      <c r="AI35" s="177"/>
      <c r="AJ35" s="177"/>
    </row>
    <row r="36" spans="1:36" x14ac:dyDescent="0.3">
      <c r="A36" s="179" t="s">
        <v>104</v>
      </c>
      <c r="B36" s="180">
        <v>46076</v>
      </c>
      <c r="C36" s="181" t="s">
        <v>35</v>
      </c>
      <c r="D36" s="182" t="s">
        <v>97</v>
      </c>
      <c r="E36" s="181" t="s">
        <v>1</v>
      </c>
      <c r="F36" s="181" t="s">
        <v>94</v>
      </c>
      <c r="G36" s="183">
        <v>6.0000000000000001E-3</v>
      </c>
      <c r="H36" s="184">
        <v>168</v>
      </c>
      <c r="I36" s="184">
        <v>1</v>
      </c>
      <c r="J36" s="184">
        <v>0</v>
      </c>
      <c r="K36" s="181" t="s">
        <v>95</v>
      </c>
      <c r="L36" s="185" t="s">
        <v>57</v>
      </c>
      <c r="M36" s="184">
        <v>0</v>
      </c>
      <c r="N36" s="184">
        <v>0</v>
      </c>
      <c r="O36" s="184">
        <v>1</v>
      </c>
      <c r="P36" s="181" t="s">
        <v>39</v>
      </c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84" t="s">
        <v>56</v>
      </c>
      <c r="AF36" s="177"/>
      <c r="AG36" s="177"/>
      <c r="AH36" s="177"/>
      <c r="AI36" s="177"/>
      <c r="AJ36" s="177"/>
    </row>
    <row r="37" spans="1:36" x14ac:dyDescent="0.3">
      <c r="A37" s="179" t="s">
        <v>105</v>
      </c>
      <c r="B37" s="180">
        <v>46077</v>
      </c>
      <c r="C37" s="181" t="s">
        <v>35</v>
      </c>
      <c r="D37" s="182" t="s">
        <v>106</v>
      </c>
      <c r="E37" s="181" t="s">
        <v>1</v>
      </c>
      <c r="F37" s="181" t="s">
        <v>94</v>
      </c>
      <c r="G37" s="183">
        <v>6.0000000000000001E-3</v>
      </c>
      <c r="H37" s="184">
        <v>168</v>
      </c>
      <c r="I37" s="184">
        <v>1</v>
      </c>
      <c r="J37" s="184">
        <v>0</v>
      </c>
      <c r="K37" s="181" t="s">
        <v>95</v>
      </c>
      <c r="L37" s="185" t="s">
        <v>38</v>
      </c>
      <c r="M37" s="184">
        <v>0</v>
      </c>
      <c r="N37" s="184">
        <v>0</v>
      </c>
      <c r="O37" s="184">
        <v>1</v>
      </c>
      <c r="P37" s="181" t="s">
        <v>39</v>
      </c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84" t="s">
        <v>56</v>
      </c>
      <c r="AF37" s="177"/>
      <c r="AG37" s="177"/>
      <c r="AH37" s="177"/>
      <c r="AI37" s="177"/>
      <c r="AJ37" s="177"/>
    </row>
    <row r="38" spans="1:36" x14ac:dyDescent="0.3">
      <c r="A38" s="179" t="s">
        <v>92</v>
      </c>
      <c r="B38" s="180">
        <v>46078</v>
      </c>
      <c r="C38" s="181" t="s">
        <v>29</v>
      </c>
      <c r="D38" s="182" t="s">
        <v>93</v>
      </c>
      <c r="E38" s="181" t="s">
        <v>1</v>
      </c>
      <c r="F38" s="181" t="s">
        <v>94</v>
      </c>
      <c r="G38" s="183">
        <v>1.1900000000000001E-2</v>
      </c>
      <c r="H38" s="184">
        <v>168</v>
      </c>
      <c r="I38" s="184">
        <v>2</v>
      </c>
      <c r="J38" s="184">
        <v>0</v>
      </c>
      <c r="K38" s="181" t="s">
        <v>95</v>
      </c>
      <c r="L38" s="185" t="s">
        <v>57</v>
      </c>
      <c r="M38" s="184">
        <v>0</v>
      </c>
      <c r="N38" s="184">
        <v>0</v>
      </c>
      <c r="O38" s="184">
        <v>2</v>
      </c>
      <c r="P38" s="181" t="s">
        <v>37</v>
      </c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84" t="s">
        <v>33</v>
      </c>
      <c r="AF38" s="177"/>
      <c r="AG38" s="177"/>
      <c r="AH38" s="177"/>
      <c r="AI38" s="177"/>
      <c r="AJ38" s="177"/>
    </row>
    <row r="39" spans="1:36" x14ac:dyDescent="0.3">
      <c r="A39" s="179" t="s">
        <v>92</v>
      </c>
      <c r="B39" s="180">
        <v>46078</v>
      </c>
      <c r="C39" s="181" t="s">
        <v>35</v>
      </c>
      <c r="D39" s="182" t="s">
        <v>97</v>
      </c>
      <c r="E39" s="181" t="s">
        <v>1</v>
      </c>
      <c r="F39" s="181" t="s">
        <v>94</v>
      </c>
      <c r="G39" s="183">
        <v>1.1900000000000001E-2</v>
      </c>
      <c r="H39" s="184">
        <v>168</v>
      </c>
      <c r="I39" s="184">
        <v>2</v>
      </c>
      <c r="J39" s="184">
        <v>0</v>
      </c>
      <c r="K39" s="181" t="s">
        <v>95</v>
      </c>
      <c r="L39" s="185" t="s">
        <v>57</v>
      </c>
      <c r="M39" s="184">
        <v>0</v>
      </c>
      <c r="N39" s="184">
        <v>0</v>
      </c>
      <c r="O39" s="184">
        <v>2</v>
      </c>
      <c r="P39" s="181" t="s">
        <v>37</v>
      </c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84" t="s">
        <v>33</v>
      </c>
      <c r="AF39" s="177"/>
      <c r="AG39" s="177"/>
      <c r="AH39" s="177"/>
      <c r="AI39" s="177"/>
      <c r="AJ39" s="177"/>
    </row>
    <row r="40" spans="1:36" x14ac:dyDescent="0.3">
      <c r="A40" s="179" t="s">
        <v>98</v>
      </c>
      <c r="B40" s="180">
        <v>46079</v>
      </c>
      <c r="C40" s="181" t="s">
        <v>29</v>
      </c>
      <c r="D40" s="182" t="s">
        <v>93</v>
      </c>
      <c r="E40" s="181" t="s">
        <v>1</v>
      </c>
      <c r="F40" s="181" t="s">
        <v>94</v>
      </c>
      <c r="G40" s="183">
        <v>0</v>
      </c>
      <c r="H40" s="184">
        <v>168</v>
      </c>
      <c r="I40" s="184">
        <v>0</v>
      </c>
      <c r="J40" s="184">
        <v>0</v>
      </c>
      <c r="K40" s="181" t="s">
        <v>95</v>
      </c>
      <c r="L40" s="185" t="s">
        <v>48</v>
      </c>
      <c r="M40" s="184">
        <v>0</v>
      </c>
      <c r="N40" s="184">
        <v>0</v>
      </c>
      <c r="O40" s="184">
        <v>0</v>
      </c>
      <c r="P40" s="181" t="s">
        <v>58</v>
      </c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</row>
    <row r="41" spans="1:36" x14ac:dyDescent="0.3">
      <c r="A41" s="179" t="s">
        <v>99</v>
      </c>
      <c r="B41" s="180">
        <v>46080</v>
      </c>
      <c r="C41" s="181" t="s">
        <v>29</v>
      </c>
      <c r="D41" s="182" t="s">
        <v>100</v>
      </c>
      <c r="E41" s="181" t="s">
        <v>1</v>
      </c>
      <c r="F41" s="181" t="s">
        <v>94</v>
      </c>
      <c r="G41" s="183">
        <v>0</v>
      </c>
      <c r="H41" s="184">
        <v>168</v>
      </c>
      <c r="I41" s="184">
        <v>0</v>
      </c>
      <c r="J41" s="184">
        <v>0</v>
      </c>
      <c r="K41" s="181" t="s">
        <v>95</v>
      </c>
      <c r="L41" s="185" t="s">
        <v>48</v>
      </c>
      <c r="M41" s="184">
        <v>0</v>
      </c>
      <c r="N41" s="184">
        <v>0</v>
      </c>
      <c r="O41" s="184">
        <v>0</v>
      </c>
      <c r="P41" s="181" t="s">
        <v>58</v>
      </c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</row>
    <row r="42" spans="1:36" x14ac:dyDescent="0.3">
      <c r="A42" s="179" t="s">
        <v>99</v>
      </c>
      <c r="B42" s="180">
        <v>46080</v>
      </c>
      <c r="C42" s="181" t="s">
        <v>35</v>
      </c>
      <c r="D42" s="182" t="s">
        <v>97</v>
      </c>
      <c r="E42" s="181" t="s">
        <v>1</v>
      </c>
      <c r="F42" s="181" t="s">
        <v>94</v>
      </c>
      <c r="G42" s="183">
        <v>0</v>
      </c>
      <c r="H42" s="184">
        <v>168</v>
      </c>
      <c r="I42" s="184">
        <v>0</v>
      </c>
      <c r="J42" s="184">
        <v>0</v>
      </c>
      <c r="K42" s="181" t="s">
        <v>95</v>
      </c>
      <c r="L42" s="185" t="s">
        <v>48</v>
      </c>
      <c r="M42" s="184">
        <v>0</v>
      </c>
      <c r="N42" s="184">
        <v>0</v>
      </c>
      <c r="O42" s="184">
        <v>0</v>
      </c>
      <c r="P42" s="181" t="s">
        <v>58</v>
      </c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</row>
    <row r="43" spans="1:36" x14ac:dyDescent="0.3">
      <c r="A43" s="179" t="s">
        <v>101</v>
      </c>
      <c r="B43" s="180">
        <v>46081</v>
      </c>
      <c r="C43" s="181" t="s">
        <v>29</v>
      </c>
      <c r="D43" s="182" t="s">
        <v>93</v>
      </c>
      <c r="E43" s="181" t="s">
        <v>1</v>
      </c>
      <c r="F43" s="181" t="s">
        <v>94</v>
      </c>
      <c r="G43" s="183">
        <v>6.0000000000000001E-3</v>
      </c>
      <c r="H43" s="184">
        <v>168</v>
      </c>
      <c r="I43" s="184">
        <v>1</v>
      </c>
      <c r="J43" s="184">
        <v>0</v>
      </c>
      <c r="K43" s="181" t="s">
        <v>95</v>
      </c>
      <c r="L43" s="185" t="s">
        <v>59</v>
      </c>
      <c r="M43" s="184">
        <v>0</v>
      </c>
      <c r="N43" s="184">
        <v>0</v>
      </c>
      <c r="O43" s="184">
        <v>1</v>
      </c>
      <c r="P43" s="181" t="s">
        <v>60</v>
      </c>
      <c r="Q43" s="177"/>
      <c r="R43" s="177"/>
      <c r="S43" s="177"/>
      <c r="T43" s="177"/>
      <c r="U43" s="177"/>
      <c r="V43" s="177"/>
      <c r="W43" s="177"/>
      <c r="X43" s="177"/>
      <c r="Y43" s="177"/>
      <c r="Z43" s="184" t="s">
        <v>61</v>
      </c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</row>
    <row r="44" spans="1:36" x14ac:dyDescent="0.3">
      <c r="A44" s="179" t="s">
        <v>102</v>
      </c>
      <c r="B44" s="180">
        <v>46082</v>
      </c>
      <c r="C44" s="181" t="s">
        <v>29</v>
      </c>
      <c r="D44" s="182" t="s">
        <v>103</v>
      </c>
      <c r="E44" s="181" t="s">
        <v>1</v>
      </c>
      <c r="F44" s="181" t="s">
        <v>94</v>
      </c>
      <c r="G44" s="183">
        <v>6.0000000000000001E-3</v>
      </c>
      <c r="H44" s="184">
        <v>168</v>
      </c>
      <c r="I44" s="184">
        <v>1</v>
      </c>
      <c r="J44" s="184">
        <v>0</v>
      </c>
      <c r="K44" s="181" t="s">
        <v>95</v>
      </c>
      <c r="L44" s="185" t="s">
        <v>62</v>
      </c>
      <c r="M44" s="184">
        <v>0</v>
      </c>
      <c r="N44" s="184">
        <v>0</v>
      </c>
      <c r="O44" s="184">
        <v>1</v>
      </c>
      <c r="P44" s="181" t="s">
        <v>60</v>
      </c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84" t="s">
        <v>56</v>
      </c>
      <c r="AF44" s="177"/>
      <c r="AG44" s="177"/>
      <c r="AH44" s="177"/>
      <c r="AI44" s="177"/>
      <c r="AJ44" s="177"/>
    </row>
    <row r="45" spans="1:36" ht="21" x14ac:dyDescent="0.3">
      <c r="A45" s="186" t="s">
        <v>151</v>
      </c>
      <c r="B45" s="187"/>
      <c r="C45" s="186">
        <f>SUBTOTAL(103,RUH_CAI_LF_LEGACY[Flt])</f>
        <v>43</v>
      </c>
      <c r="D45" s="186"/>
      <c r="E45" s="186">
        <f>SUBTOTAL(103,RUH_CAI_LF_LEGACY[Brd-Off])</f>
        <v>43</v>
      </c>
      <c r="F45" s="186"/>
      <c r="G45" s="188">
        <f>SUBTOTAL(101,RUH_CAI_LF_LEGACY[LF%])</f>
        <v>5.9651162790697676E-3</v>
      </c>
      <c r="H45" s="189">
        <f>SUBTOTAL(109,RUH_CAI_LF_LEGACY[CAP])</f>
        <v>7224</v>
      </c>
      <c r="I45" s="189">
        <f>SUBTOTAL(109,RUH_CAI_LF_LEGACY[BKG(Y)])</f>
        <v>43</v>
      </c>
      <c r="J45" s="189">
        <f>SUBTOTAL(109,RUH_CAI_LF_LEGACY[GRP(Y)])</f>
        <v>0</v>
      </c>
      <c r="K45" s="186"/>
      <c r="L45" s="187"/>
      <c r="M45" s="189">
        <f>SUBTOTAL(109,RUH_CAI_LF_LEGACY[TO-DAY])</f>
        <v>0</v>
      </c>
      <c r="N45" s="189">
        <f>SUBTOTAL(109,RUH_CAI_LF_LEGACY[Y-DAY])</f>
        <v>0</v>
      </c>
      <c r="O45" s="189">
        <f>SUBTOTAL(109,RUH_CAI_LF_LEGACY[WEEKLY])</f>
        <v>43</v>
      </c>
      <c r="P45" s="190"/>
      <c r="Q45" s="189">
        <f>SUBTOTAL(109,RUH_CAI_LF_LEGACY[Y])</f>
        <v>0</v>
      </c>
      <c r="R45" s="189">
        <f>SUBTOTAL(109,RUH_CAI_LF_LEGACY[B])</f>
        <v>0</v>
      </c>
      <c r="S45" s="189">
        <f>SUBTOTAL(109,RUH_CAI_LF_LEGACY[M])</f>
        <v>0</v>
      </c>
      <c r="T45" s="189">
        <f>SUBTOTAL(109,RUH_CAI_LF_LEGACY[H])</f>
        <v>0</v>
      </c>
      <c r="U45" s="189">
        <f>SUBTOTAL(109,RUH_CAI_LF_LEGACY[Q])</f>
        <v>0</v>
      </c>
      <c r="V45" s="189">
        <f>SUBTOTAL(109,RUH_CAI_LF_LEGACY[K])</f>
        <v>0</v>
      </c>
      <c r="W45" s="189">
        <f>SUBTOTAL(109,RUH_CAI_LF_LEGACY[V])</f>
        <v>0</v>
      </c>
      <c r="X45" s="189">
        <f>SUBTOTAL(109,RUH_CAI_LF_LEGACY[L])</f>
        <v>0</v>
      </c>
      <c r="Y45" s="189">
        <f>SUBTOTAL(109,RUH_CAI_LF_LEGACY[G])</f>
        <v>0</v>
      </c>
      <c r="Z45" s="189">
        <f>SUBTOTAL(109,RUH_CAI_LF_LEGACY[S])</f>
        <v>0</v>
      </c>
      <c r="AA45" s="189">
        <f>SUBTOTAL(109,RUH_CAI_LF_LEGACY[W])</f>
        <v>0</v>
      </c>
      <c r="AB45" s="189">
        <f>SUBTOTAL(109,RUH_CAI_LF_LEGACY[T])</f>
        <v>0</v>
      </c>
      <c r="AC45" s="189">
        <f>SUBTOTAL(109,RUH_CAI_LF_LEGACY[X])</f>
        <v>0</v>
      </c>
      <c r="AD45" s="189">
        <f>SUBTOTAL(109,RUH_CAI_LF_LEGACY[U])</f>
        <v>0</v>
      </c>
      <c r="AE45" s="189">
        <f>SUBTOTAL(109,RUH_CAI_LF_LEGACY[O])</f>
        <v>0</v>
      </c>
      <c r="AF45" s="189">
        <f>SUBTOTAL(109,RUH_CAI_LF_LEGACY[I])</f>
        <v>0</v>
      </c>
      <c r="AG45" s="189">
        <f>SUBTOTAL(109,RUH_CAI_LF_LEGACY[E])</f>
        <v>0</v>
      </c>
      <c r="AH45" s="189">
        <f>SUBTOTAL(109,RUH_CAI_LF_LEGACY[A])</f>
        <v>0</v>
      </c>
      <c r="AI45" s="189">
        <f>SUBTOTAL(109,RUH_CAI_LF_LEGACY[P])</f>
        <v>0</v>
      </c>
      <c r="AJ45" s="189">
        <f>SUBTOTAL(103,RUH_CAI_LF_LEGACY[N])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5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" bestFit="1" customWidth="1"/>
    <col min="8" max="8" width="9.44140625" bestFit="1" customWidth="1"/>
    <col min="9" max="9" width="6.777343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21.88671875" bestFit="1" customWidth="1"/>
  </cols>
  <sheetData>
    <row r="1" spans="1:92" ht="28.8" customHeight="1" x14ac:dyDescent="0.3">
      <c r="A1" s="168" t="s">
        <v>0</v>
      </c>
      <c r="B1" s="167"/>
      <c r="C1" s="167"/>
      <c r="D1" s="167"/>
      <c r="E1" s="167"/>
      <c r="F1" s="1" t="s">
        <v>108</v>
      </c>
      <c r="G1" s="2" t="s">
        <v>2</v>
      </c>
      <c r="H1" s="166" t="s">
        <v>3</v>
      </c>
      <c r="I1" s="167"/>
      <c r="J1" s="167"/>
      <c r="K1" s="167"/>
      <c r="L1" s="167"/>
      <c r="M1" s="1" t="s">
        <v>4</v>
      </c>
      <c r="N1" s="172" t="s">
        <v>5</v>
      </c>
      <c r="O1" s="167"/>
      <c r="P1" s="167"/>
      <c r="Q1" s="167"/>
      <c r="R1" s="16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70" t="s">
        <v>6</v>
      </c>
      <c r="B2" s="167"/>
      <c r="C2" s="167"/>
      <c r="D2" s="167"/>
      <c r="E2" s="167"/>
      <c r="F2" s="167"/>
      <c r="G2" s="171">
        <v>45984.112373212731</v>
      </c>
      <c r="H2" s="167"/>
      <c r="I2" s="167"/>
      <c r="J2" s="167"/>
      <c r="K2" s="173">
        <v>45984.112373213313</v>
      </c>
      <c r="L2" s="167"/>
      <c r="M2" s="167"/>
      <c r="N2" s="167"/>
      <c r="O2" s="167"/>
      <c r="P2" s="167"/>
      <c r="Q2" s="167"/>
      <c r="R2" s="1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5" t="s">
        <v>7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76" t="s">
        <v>8</v>
      </c>
      <c r="B4" s="161"/>
      <c r="C4" s="161"/>
      <c r="D4" s="161"/>
      <c r="E4" s="161"/>
      <c r="F4" s="162"/>
      <c r="G4" s="4">
        <v>46050</v>
      </c>
      <c r="H4" s="174" t="s">
        <v>9</v>
      </c>
      <c r="I4" s="161"/>
      <c r="J4" s="161"/>
      <c r="K4" s="161"/>
      <c r="L4" s="161"/>
      <c r="M4" s="161"/>
      <c r="N4" s="161"/>
      <c r="O4" s="161"/>
      <c r="P4" s="161"/>
      <c r="Q4" s="161"/>
      <c r="R4" s="16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56" t="s">
        <v>28</v>
      </c>
      <c r="B6" s="56" t="s">
        <v>109</v>
      </c>
      <c r="C6" s="57">
        <v>0.59027777777777779</v>
      </c>
      <c r="D6" s="56" t="s">
        <v>30</v>
      </c>
      <c r="E6" s="58"/>
      <c r="F6" s="56" t="s">
        <v>31</v>
      </c>
      <c r="G6" s="164"/>
      <c r="H6" s="59" t="s">
        <v>109</v>
      </c>
      <c r="I6" s="60">
        <v>8.3299999999999999E-2</v>
      </c>
      <c r="J6" s="61">
        <v>14</v>
      </c>
      <c r="K6" s="62" t="s">
        <v>38</v>
      </c>
      <c r="L6" s="61">
        <v>14</v>
      </c>
      <c r="M6" s="61">
        <v>0</v>
      </c>
      <c r="N6" s="61">
        <v>0</v>
      </c>
      <c r="O6" s="63" t="s">
        <v>110</v>
      </c>
      <c r="P6" s="64">
        <v>0.59027777777777779</v>
      </c>
      <c r="Q6" s="61">
        <v>168</v>
      </c>
      <c r="R6" s="65" t="s">
        <v>111</v>
      </c>
    </row>
    <row r="7" spans="1:92" ht="17.399999999999999" customHeight="1" thickBot="1" x14ac:dyDescent="0.35">
      <c r="A7" s="191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3"/>
    </row>
    <row r="8" spans="1:92" ht="22.05" customHeight="1" thickTop="1" thickBot="1" x14ac:dyDescent="0.35">
      <c r="A8" s="165" t="s">
        <v>8</v>
      </c>
      <c r="B8" s="161"/>
      <c r="C8" s="161"/>
      <c r="D8" s="161"/>
      <c r="E8" s="161"/>
      <c r="F8" s="162"/>
      <c r="G8" s="28">
        <v>46054</v>
      </c>
      <c r="H8" s="160" t="s">
        <v>9</v>
      </c>
      <c r="I8" s="161"/>
      <c r="J8" s="161"/>
      <c r="K8" s="161"/>
      <c r="L8" s="161"/>
      <c r="M8" s="161"/>
      <c r="N8" s="161"/>
      <c r="O8" s="161"/>
      <c r="P8" s="161"/>
      <c r="Q8" s="161"/>
      <c r="R8" s="162"/>
    </row>
    <row r="9" spans="1:92" ht="24" customHeight="1" x14ac:dyDescent="0.3">
      <c r="A9" s="29" t="s">
        <v>10</v>
      </c>
      <c r="B9" s="29" t="s">
        <v>11</v>
      </c>
      <c r="C9" s="30" t="s">
        <v>12</v>
      </c>
      <c r="D9" s="29" t="s">
        <v>13</v>
      </c>
      <c r="E9" s="29" t="s">
        <v>14</v>
      </c>
      <c r="F9" s="31" t="s">
        <v>15</v>
      </c>
      <c r="G9" s="32" t="s">
        <v>16</v>
      </c>
      <c r="H9" s="29" t="s">
        <v>17</v>
      </c>
      <c r="I9" s="33" t="s">
        <v>18</v>
      </c>
      <c r="J9" s="34" t="s">
        <v>19</v>
      </c>
      <c r="K9" s="35" t="s">
        <v>20</v>
      </c>
      <c r="L9" s="34" t="s">
        <v>21</v>
      </c>
      <c r="M9" s="34" t="s">
        <v>22</v>
      </c>
      <c r="N9" s="34" t="s">
        <v>23</v>
      </c>
      <c r="O9" s="29" t="s">
        <v>24</v>
      </c>
      <c r="P9" s="30" t="s">
        <v>25</v>
      </c>
      <c r="Q9" s="34" t="s">
        <v>26</v>
      </c>
      <c r="R9" s="29" t="s">
        <v>27</v>
      </c>
    </row>
    <row r="10" spans="1:92" ht="49.95" customHeight="1" thickTop="1" thickBot="1" x14ac:dyDescent="0.35">
      <c r="A10" s="76" t="s">
        <v>28</v>
      </c>
      <c r="B10" s="76" t="s">
        <v>112</v>
      </c>
      <c r="C10" s="77">
        <v>0.61111111111111105</v>
      </c>
      <c r="D10" s="76" t="s">
        <v>30</v>
      </c>
      <c r="E10" s="78"/>
      <c r="F10" s="76" t="s">
        <v>31</v>
      </c>
      <c r="G10" s="163"/>
      <c r="H10" s="123" t="s">
        <v>112</v>
      </c>
      <c r="I10" s="124">
        <v>2.98E-2</v>
      </c>
      <c r="J10" s="125">
        <v>5</v>
      </c>
      <c r="K10" s="126" t="s">
        <v>113</v>
      </c>
      <c r="L10" s="125">
        <v>5</v>
      </c>
      <c r="M10" s="125">
        <v>0</v>
      </c>
      <c r="N10" s="125">
        <v>0</v>
      </c>
      <c r="O10" s="127" t="s">
        <v>45</v>
      </c>
      <c r="P10" s="128">
        <v>0.61111111111111105</v>
      </c>
      <c r="Q10" s="125">
        <v>168</v>
      </c>
      <c r="R10" s="129" t="s">
        <v>114</v>
      </c>
    </row>
    <row r="11" spans="1:92" ht="17.399999999999999" customHeight="1" thickBot="1" x14ac:dyDescent="0.35">
      <c r="A11" s="191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3"/>
    </row>
    <row r="12" spans="1:92" ht="22.05" customHeight="1" thickTop="1" thickBot="1" x14ac:dyDescent="0.35">
      <c r="A12" s="165" t="s">
        <v>8</v>
      </c>
      <c r="B12" s="161"/>
      <c r="C12" s="161"/>
      <c r="D12" s="161"/>
      <c r="E12" s="161"/>
      <c r="F12" s="162"/>
      <c r="G12" s="28">
        <v>46056</v>
      </c>
      <c r="H12" s="160" t="s">
        <v>9</v>
      </c>
      <c r="I12" s="161"/>
      <c r="J12" s="161"/>
      <c r="K12" s="161"/>
      <c r="L12" s="161"/>
      <c r="M12" s="161"/>
      <c r="N12" s="161"/>
      <c r="O12" s="161"/>
      <c r="P12" s="161"/>
      <c r="Q12" s="161"/>
      <c r="R12" s="162"/>
    </row>
    <row r="13" spans="1:92" ht="24" customHeight="1" x14ac:dyDescent="0.3">
      <c r="A13" s="29" t="s">
        <v>10</v>
      </c>
      <c r="B13" s="29" t="s">
        <v>11</v>
      </c>
      <c r="C13" s="30" t="s">
        <v>12</v>
      </c>
      <c r="D13" s="29" t="s">
        <v>13</v>
      </c>
      <c r="E13" s="29" t="s">
        <v>14</v>
      </c>
      <c r="F13" s="31" t="s">
        <v>15</v>
      </c>
      <c r="G13" s="32" t="s">
        <v>16</v>
      </c>
      <c r="H13" s="29" t="s">
        <v>17</v>
      </c>
      <c r="I13" s="33" t="s">
        <v>18</v>
      </c>
      <c r="J13" s="34" t="s">
        <v>19</v>
      </c>
      <c r="K13" s="35" t="s">
        <v>20</v>
      </c>
      <c r="L13" s="34" t="s">
        <v>21</v>
      </c>
      <c r="M13" s="34" t="s">
        <v>22</v>
      </c>
      <c r="N13" s="34" t="s">
        <v>23</v>
      </c>
      <c r="O13" s="29" t="s">
        <v>24</v>
      </c>
      <c r="P13" s="30" t="s">
        <v>25</v>
      </c>
      <c r="Q13" s="34" t="s">
        <v>26</v>
      </c>
      <c r="R13" s="29" t="s">
        <v>27</v>
      </c>
    </row>
    <row r="14" spans="1:92" ht="49.95" customHeight="1" thickTop="1" thickBot="1" x14ac:dyDescent="0.35">
      <c r="A14" s="66" t="s">
        <v>28</v>
      </c>
      <c r="B14" s="66" t="s">
        <v>112</v>
      </c>
      <c r="C14" s="67">
        <v>0.61458333333333337</v>
      </c>
      <c r="D14" s="66" t="s">
        <v>30</v>
      </c>
      <c r="E14" s="68"/>
      <c r="F14" s="66" t="s">
        <v>31</v>
      </c>
      <c r="G14" s="163"/>
      <c r="H14" s="69" t="s">
        <v>112</v>
      </c>
      <c r="I14" s="70">
        <v>6.0000000000000001E-3</v>
      </c>
      <c r="J14" s="71">
        <v>1</v>
      </c>
      <c r="K14" s="72" t="s">
        <v>115</v>
      </c>
      <c r="L14" s="71">
        <v>1</v>
      </c>
      <c r="M14" s="71">
        <v>0</v>
      </c>
      <c r="N14" s="71">
        <v>0</v>
      </c>
      <c r="O14" s="73" t="s">
        <v>45</v>
      </c>
      <c r="P14" s="74">
        <v>0.61458333333333337</v>
      </c>
      <c r="Q14" s="71">
        <v>168</v>
      </c>
      <c r="R14" s="75" t="s">
        <v>46</v>
      </c>
    </row>
    <row r="15" spans="1:92" ht="17.399999999999999" customHeight="1" thickBot="1" x14ac:dyDescent="0.35">
      <c r="A15" s="191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3"/>
    </row>
    <row r="16" spans="1:92" ht="22.05" customHeight="1" thickTop="1" thickBot="1" x14ac:dyDescent="0.35">
      <c r="A16" s="165" t="s">
        <v>8</v>
      </c>
      <c r="B16" s="161"/>
      <c r="C16" s="161"/>
      <c r="D16" s="161"/>
      <c r="E16" s="161"/>
      <c r="F16" s="162"/>
      <c r="G16" s="28">
        <v>46057</v>
      </c>
      <c r="H16" s="160" t="s">
        <v>9</v>
      </c>
      <c r="I16" s="161"/>
      <c r="J16" s="161"/>
      <c r="K16" s="161"/>
      <c r="L16" s="161"/>
      <c r="M16" s="161"/>
      <c r="N16" s="161"/>
      <c r="O16" s="161"/>
      <c r="P16" s="161"/>
      <c r="Q16" s="161"/>
      <c r="R16" s="162"/>
    </row>
    <row r="17" spans="1:18" ht="24" customHeight="1" x14ac:dyDescent="0.3">
      <c r="A17" s="29" t="s">
        <v>10</v>
      </c>
      <c r="B17" s="29" t="s">
        <v>11</v>
      </c>
      <c r="C17" s="30" t="s">
        <v>12</v>
      </c>
      <c r="D17" s="29" t="s">
        <v>13</v>
      </c>
      <c r="E17" s="29" t="s">
        <v>14</v>
      </c>
      <c r="F17" s="31" t="s">
        <v>15</v>
      </c>
      <c r="G17" s="32" t="s">
        <v>16</v>
      </c>
      <c r="H17" s="29" t="s">
        <v>17</v>
      </c>
      <c r="I17" s="33" t="s">
        <v>18</v>
      </c>
      <c r="J17" s="34" t="s">
        <v>19</v>
      </c>
      <c r="K17" s="35" t="s">
        <v>20</v>
      </c>
      <c r="L17" s="34" t="s">
        <v>21</v>
      </c>
      <c r="M17" s="34" t="s">
        <v>22</v>
      </c>
      <c r="N17" s="34" t="s">
        <v>23</v>
      </c>
      <c r="O17" s="29" t="s">
        <v>24</v>
      </c>
      <c r="P17" s="30" t="s">
        <v>25</v>
      </c>
      <c r="Q17" s="34" t="s">
        <v>26</v>
      </c>
      <c r="R17" s="29" t="s">
        <v>27</v>
      </c>
    </row>
    <row r="18" spans="1:18" ht="49.95" customHeight="1" thickTop="1" thickBot="1" x14ac:dyDescent="0.35">
      <c r="A18" s="76" t="s">
        <v>28</v>
      </c>
      <c r="B18" s="76" t="s">
        <v>109</v>
      </c>
      <c r="C18" s="77">
        <v>0.59027777777777779</v>
      </c>
      <c r="D18" s="76" t="s">
        <v>30</v>
      </c>
      <c r="E18" s="78"/>
      <c r="F18" s="76" t="s">
        <v>31</v>
      </c>
      <c r="G18" s="163"/>
      <c r="H18" s="123" t="s">
        <v>109</v>
      </c>
      <c r="I18" s="124">
        <v>7.1400000000000005E-2</v>
      </c>
      <c r="J18" s="125">
        <v>12</v>
      </c>
      <c r="K18" s="126" t="s">
        <v>57</v>
      </c>
      <c r="L18" s="125">
        <v>12</v>
      </c>
      <c r="M18" s="125">
        <v>0</v>
      </c>
      <c r="N18" s="125">
        <v>0</v>
      </c>
      <c r="O18" s="127" t="s">
        <v>116</v>
      </c>
      <c r="P18" s="128">
        <v>0.59027777777777779</v>
      </c>
      <c r="Q18" s="125">
        <v>168</v>
      </c>
      <c r="R18" s="129" t="s">
        <v>117</v>
      </c>
    </row>
    <row r="19" spans="1:18" ht="17.399999999999999" customHeight="1" thickBot="1" x14ac:dyDescent="0.35">
      <c r="A19" s="191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3"/>
    </row>
    <row r="20" spans="1:18" ht="22.05" customHeight="1" thickTop="1" thickBot="1" x14ac:dyDescent="0.35">
      <c r="A20" s="165" t="s">
        <v>8</v>
      </c>
      <c r="B20" s="161"/>
      <c r="C20" s="161"/>
      <c r="D20" s="161"/>
      <c r="E20" s="161"/>
      <c r="F20" s="162"/>
      <c r="G20" s="28">
        <v>46061</v>
      </c>
      <c r="H20" s="160" t="s">
        <v>9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2"/>
    </row>
    <row r="21" spans="1:18" ht="24" customHeight="1" x14ac:dyDescent="0.3">
      <c r="A21" s="29" t="s">
        <v>10</v>
      </c>
      <c r="B21" s="29" t="s">
        <v>11</v>
      </c>
      <c r="C21" s="30" t="s">
        <v>12</v>
      </c>
      <c r="D21" s="29" t="s">
        <v>13</v>
      </c>
      <c r="E21" s="29" t="s">
        <v>14</v>
      </c>
      <c r="F21" s="31" t="s">
        <v>15</v>
      </c>
      <c r="G21" s="32" t="s">
        <v>16</v>
      </c>
      <c r="H21" s="29" t="s">
        <v>17</v>
      </c>
      <c r="I21" s="33" t="s">
        <v>18</v>
      </c>
      <c r="J21" s="34" t="s">
        <v>19</v>
      </c>
      <c r="K21" s="35" t="s">
        <v>20</v>
      </c>
      <c r="L21" s="34" t="s">
        <v>21</v>
      </c>
      <c r="M21" s="34" t="s">
        <v>22</v>
      </c>
      <c r="N21" s="34" t="s">
        <v>23</v>
      </c>
      <c r="O21" s="29" t="s">
        <v>24</v>
      </c>
      <c r="P21" s="30" t="s">
        <v>25</v>
      </c>
      <c r="Q21" s="34" t="s">
        <v>26</v>
      </c>
      <c r="R21" s="29" t="s">
        <v>27</v>
      </c>
    </row>
    <row r="22" spans="1:18" ht="49.95" customHeight="1" thickTop="1" thickBot="1" x14ac:dyDescent="0.35">
      <c r="A22" s="56" t="s">
        <v>28</v>
      </c>
      <c r="B22" s="56" t="s">
        <v>112</v>
      </c>
      <c r="C22" s="57">
        <v>0.61111111111111105</v>
      </c>
      <c r="D22" s="56" t="s">
        <v>30</v>
      </c>
      <c r="E22" s="58"/>
      <c r="F22" s="56" t="s">
        <v>31</v>
      </c>
      <c r="G22" s="163"/>
      <c r="H22" s="59" t="s">
        <v>112</v>
      </c>
      <c r="I22" s="60">
        <v>7.1400000000000005E-2</v>
      </c>
      <c r="J22" s="61">
        <v>12</v>
      </c>
      <c r="K22" s="62" t="s">
        <v>43</v>
      </c>
      <c r="L22" s="61">
        <v>12</v>
      </c>
      <c r="M22" s="61">
        <v>0</v>
      </c>
      <c r="N22" s="61">
        <v>0</v>
      </c>
      <c r="O22" s="63" t="s">
        <v>116</v>
      </c>
      <c r="P22" s="64">
        <v>0.61111111111111105</v>
      </c>
      <c r="Q22" s="61">
        <v>168</v>
      </c>
      <c r="R22" s="65" t="s">
        <v>118</v>
      </c>
    </row>
    <row r="23" spans="1:18" ht="17.399999999999999" customHeight="1" thickBot="1" x14ac:dyDescent="0.35">
      <c r="A23" s="191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3"/>
    </row>
    <row r="24" spans="1:18" ht="22.05" customHeight="1" thickTop="1" thickBot="1" x14ac:dyDescent="0.35">
      <c r="A24" s="165" t="s">
        <v>8</v>
      </c>
      <c r="B24" s="161"/>
      <c r="C24" s="161"/>
      <c r="D24" s="161"/>
      <c r="E24" s="161"/>
      <c r="F24" s="162"/>
      <c r="G24" s="28">
        <v>46063</v>
      </c>
      <c r="H24" s="160" t="s">
        <v>9</v>
      </c>
      <c r="I24" s="161"/>
      <c r="J24" s="161"/>
      <c r="K24" s="161"/>
      <c r="L24" s="161"/>
      <c r="M24" s="161"/>
      <c r="N24" s="161"/>
      <c r="O24" s="161"/>
      <c r="P24" s="161"/>
      <c r="Q24" s="161"/>
      <c r="R24" s="162"/>
    </row>
    <row r="25" spans="1:18" ht="24" customHeight="1" x14ac:dyDescent="0.3">
      <c r="A25" s="29" t="s">
        <v>10</v>
      </c>
      <c r="B25" s="29" t="s">
        <v>11</v>
      </c>
      <c r="C25" s="30" t="s">
        <v>12</v>
      </c>
      <c r="D25" s="29" t="s">
        <v>13</v>
      </c>
      <c r="E25" s="29" t="s">
        <v>14</v>
      </c>
      <c r="F25" s="31" t="s">
        <v>15</v>
      </c>
      <c r="G25" s="32" t="s">
        <v>16</v>
      </c>
      <c r="H25" s="29" t="s">
        <v>17</v>
      </c>
      <c r="I25" s="33" t="s">
        <v>18</v>
      </c>
      <c r="J25" s="34" t="s">
        <v>19</v>
      </c>
      <c r="K25" s="35" t="s">
        <v>20</v>
      </c>
      <c r="L25" s="34" t="s">
        <v>21</v>
      </c>
      <c r="M25" s="34" t="s">
        <v>22</v>
      </c>
      <c r="N25" s="34" t="s">
        <v>23</v>
      </c>
      <c r="O25" s="29" t="s">
        <v>24</v>
      </c>
      <c r="P25" s="30" t="s">
        <v>25</v>
      </c>
      <c r="Q25" s="34" t="s">
        <v>26</v>
      </c>
      <c r="R25" s="29" t="s">
        <v>27</v>
      </c>
    </row>
    <row r="26" spans="1:18" ht="49.95" customHeight="1" thickTop="1" thickBot="1" x14ac:dyDescent="0.5">
      <c r="A26" s="8" t="s">
        <v>28</v>
      </c>
      <c r="B26" s="8" t="s">
        <v>112</v>
      </c>
      <c r="C26" s="9">
        <v>0.61458333333333337</v>
      </c>
      <c r="D26" s="8" t="s">
        <v>30</v>
      </c>
      <c r="E26" s="10"/>
      <c r="F26" s="8" t="s">
        <v>31</v>
      </c>
      <c r="G26" s="164"/>
      <c r="H26" s="96" t="s">
        <v>112</v>
      </c>
      <c r="I26" s="97">
        <v>5.9499999999999997E-2</v>
      </c>
      <c r="J26" s="98">
        <v>10</v>
      </c>
      <c r="K26" s="99" t="s">
        <v>55</v>
      </c>
      <c r="L26" s="98">
        <v>10</v>
      </c>
      <c r="M26" s="98">
        <v>0</v>
      </c>
      <c r="N26" s="98">
        <v>0</v>
      </c>
      <c r="O26" s="100" t="s">
        <v>119</v>
      </c>
      <c r="P26" s="101">
        <v>0.61458333333333337</v>
      </c>
      <c r="Q26" s="98">
        <v>168</v>
      </c>
      <c r="R26" s="102" t="s">
        <v>120</v>
      </c>
    </row>
    <row r="27" spans="1:18" ht="17.399999999999999" customHeight="1" thickBot="1" x14ac:dyDescent="0.35">
      <c r="A27" s="191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3"/>
    </row>
    <row r="28" spans="1:18" ht="22.05" customHeight="1" thickTop="1" thickBot="1" x14ac:dyDescent="0.35">
      <c r="A28" s="165" t="s">
        <v>8</v>
      </c>
      <c r="B28" s="161"/>
      <c r="C28" s="161"/>
      <c r="D28" s="161"/>
      <c r="E28" s="161"/>
      <c r="F28" s="162"/>
      <c r="G28" s="28">
        <v>46064</v>
      </c>
      <c r="H28" s="160" t="s">
        <v>9</v>
      </c>
      <c r="I28" s="161"/>
      <c r="J28" s="161"/>
      <c r="K28" s="161"/>
      <c r="L28" s="161"/>
      <c r="M28" s="161"/>
      <c r="N28" s="161"/>
      <c r="O28" s="161"/>
      <c r="P28" s="161"/>
      <c r="Q28" s="161"/>
      <c r="R28" s="162"/>
    </row>
    <row r="29" spans="1:18" ht="24" customHeight="1" x14ac:dyDescent="0.3">
      <c r="A29" s="29" t="s">
        <v>10</v>
      </c>
      <c r="B29" s="29" t="s">
        <v>11</v>
      </c>
      <c r="C29" s="30" t="s">
        <v>12</v>
      </c>
      <c r="D29" s="29" t="s">
        <v>13</v>
      </c>
      <c r="E29" s="29" t="s">
        <v>14</v>
      </c>
      <c r="F29" s="31" t="s">
        <v>15</v>
      </c>
      <c r="G29" s="32" t="s">
        <v>16</v>
      </c>
      <c r="H29" s="29" t="s">
        <v>17</v>
      </c>
      <c r="I29" s="33" t="s">
        <v>18</v>
      </c>
      <c r="J29" s="34" t="s">
        <v>19</v>
      </c>
      <c r="K29" s="35" t="s">
        <v>20</v>
      </c>
      <c r="L29" s="34" t="s">
        <v>21</v>
      </c>
      <c r="M29" s="34" t="s">
        <v>22</v>
      </c>
      <c r="N29" s="34" t="s">
        <v>23</v>
      </c>
      <c r="O29" s="29" t="s">
        <v>24</v>
      </c>
      <c r="P29" s="30" t="s">
        <v>25</v>
      </c>
      <c r="Q29" s="34" t="s">
        <v>26</v>
      </c>
      <c r="R29" s="29" t="s">
        <v>27</v>
      </c>
    </row>
    <row r="30" spans="1:18" ht="49.95" customHeight="1" thickTop="1" thickBot="1" x14ac:dyDescent="0.35">
      <c r="A30" s="130" t="s">
        <v>28</v>
      </c>
      <c r="B30" s="130" t="s">
        <v>109</v>
      </c>
      <c r="C30" s="131">
        <v>0.59027777777777779</v>
      </c>
      <c r="D30" s="130" t="s">
        <v>30</v>
      </c>
      <c r="E30" s="132"/>
      <c r="F30" s="130" t="s">
        <v>31</v>
      </c>
      <c r="G30" s="163"/>
      <c r="H30" s="21" t="s">
        <v>109</v>
      </c>
      <c r="I30" s="22">
        <v>7.7399999999999997E-2</v>
      </c>
      <c r="J30" s="23">
        <v>13</v>
      </c>
      <c r="K30" s="24" t="s">
        <v>49</v>
      </c>
      <c r="L30" s="23">
        <v>13</v>
      </c>
      <c r="M30" s="23">
        <v>0</v>
      </c>
      <c r="N30" s="23">
        <v>0</v>
      </c>
      <c r="O30" s="25" t="s">
        <v>50</v>
      </c>
      <c r="P30" s="26">
        <v>0.59027777777777779</v>
      </c>
      <c r="Q30" s="23">
        <v>168</v>
      </c>
      <c r="R30" s="27" t="s">
        <v>121</v>
      </c>
    </row>
    <row r="31" spans="1:18" ht="17.399999999999999" customHeight="1" thickBot="1" x14ac:dyDescent="0.35">
      <c r="A31" s="191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3"/>
    </row>
    <row r="32" spans="1:18" ht="22.05" customHeight="1" thickTop="1" thickBot="1" x14ac:dyDescent="0.35">
      <c r="A32" s="165" t="s">
        <v>8</v>
      </c>
      <c r="B32" s="161"/>
      <c r="C32" s="161"/>
      <c r="D32" s="161"/>
      <c r="E32" s="161"/>
      <c r="F32" s="162"/>
      <c r="G32" s="28">
        <v>46068</v>
      </c>
      <c r="H32" s="160" t="s">
        <v>9</v>
      </c>
      <c r="I32" s="161"/>
      <c r="J32" s="161"/>
      <c r="K32" s="161"/>
      <c r="L32" s="161"/>
      <c r="M32" s="161"/>
      <c r="N32" s="161"/>
      <c r="O32" s="161"/>
      <c r="P32" s="161"/>
      <c r="Q32" s="161"/>
      <c r="R32" s="162"/>
    </row>
    <row r="33" spans="1:18" ht="24" customHeight="1" x14ac:dyDescent="0.3">
      <c r="A33" s="29" t="s">
        <v>10</v>
      </c>
      <c r="B33" s="29" t="s">
        <v>11</v>
      </c>
      <c r="C33" s="30" t="s">
        <v>12</v>
      </c>
      <c r="D33" s="29" t="s">
        <v>13</v>
      </c>
      <c r="E33" s="29" t="s">
        <v>14</v>
      </c>
      <c r="F33" s="31" t="s">
        <v>15</v>
      </c>
      <c r="G33" s="32" t="s">
        <v>16</v>
      </c>
      <c r="H33" s="29" t="s">
        <v>17</v>
      </c>
      <c r="I33" s="33" t="s">
        <v>18</v>
      </c>
      <c r="J33" s="34" t="s">
        <v>19</v>
      </c>
      <c r="K33" s="35" t="s">
        <v>20</v>
      </c>
      <c r="L33" s="34" t="s">
        <v>21</v>
      </c>
      <c r="M33" s="34" t="s">
        <v>22</v>
      </c>
      <c r="N33" s="34" t="s">
        <v>23</v>
      </c>
      <c r="O33" s="29" t="s">
        <v>24</v>
      </c>
      <c r="P33" s="30" t="s">
        <v>25</v>
      </c>
      <c r="Q33" s="34" t="s">
        <v>26</v>
      </c>
      <c r="R33" s="29" t="s">
        <v>27</v>
      </c>
    </row>
    <row r="34" spans="1:18" ht="49.95" customHeight="1" thickTop="1" thickBot="1" x14ac:dyDescent="0.35">
      <c r="A34" s="103" t="s">
        <v>28</v>
      </c>
      <c r="B34" s="103" t="s">
        <v>112</v>
      </c>
      <c r="C34" s="104">
        <v>0.61111111111111105</v>
      </c>
      <c r="D34" s="103" t="s">
        <v>30</v>
      </c>
      <c r="E34" s="105"/>
      <c r="F34" s="103" t="s">
        <v>31</v>
      </c>
      <c r="G34" s="163"/>
      <c r="H34" s="146" t="s">
        <v>112</v>
      </c>
      <c r="I34" s="147">
        <v>7.7399999999999997E-2</v>
      </c>
      <c r="J34" s="148">
        <v>13</v>
      </c>
      <c r="K34" s="149" t="s">
        <v>55</v>
      </c>
      <c r="L34" s="148">
        <v>12</v>
      </c>
      <c r="M34" s="148">
        <v>0</v>
      </c>
      <c r="N34" s="148">
        <v>0</v>
      </c>
      <c r="O34" s="150" t="s">
        <v>122</v>
      </c>
      <c r="P34" s="151">
        <v>0.61111111111111105</v>
      </c>
      <c r="Q34" s="148">
        <v>168</v>
      </c>
      <c r="R34" s="152" t="s">
        <v>123</v>
      </c>
    </row>
    <row r="35" spans="1:18" ht="17.399999999999999" customHeight="1" thickBot="1" x14ac:dyDescent="0.3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3"/>
    </row>
    <row r="36" spans="1:18" ht="22.05" customHeight="1" thickTop="1" thickBot="1" x14ac:dyDescent="0.35">
      <c r="A36" s="165" t="s">
        <v>8</v>
      </c>
      <c r="B36" s="161"/>
      <c r="C36" s="161"/>
      <c r="D36" s="161"/>
      <c r="E36" s="161"/>
      <c r="F36" s="162"/>
      <c r="G36" s="28">
        <v>46070</v>
      </c>
      <c r="H36" s="160" t="s">
        <v>9</v>
      </c>
      <c r="I36" s="161"/>
      <c r="J36" s="161"/>
      <c r="K36" s="161"/>
      <c r="L36" s="161"/>
      <c r="M36" s="161"/>
      <c r="N36" s="161"/>
      <c r="O36" s="161"/>
      <c r="P36" s="161"/>
      <c r="Q36" s="161"/>
      <c r="R36" s="162"/>
    </row>
    <row r="37" spans="1:18" ht="24" customHeight="1" x14ac:dyDescent="0.3">
      <c r="A37" s="29" t="s">
        <v>10</v>
      </c>
      <c r="B37" s="29" t="s">
        <v>11</v>
      </c>
      <c r="C37" s="30" t="s">
        <v>12</v>
      </c>
      <c r="D37" s="29" t="s">
        <v>13</v>
      </c>
      <c r="E37" s="29" t="s">
        <v>14</v>
      </c>
      <c r="F37" s="31" t="s">
        <v>15</v>
      </c>
      <c r="G37" s="32" t="s">
        <v>16</v>
      </c>
      <c r="H37" s="29" t="s">
        <v>17</v>
      </c>
      <c r="I37" s="33" t="s">
        <v>18</v>
      </c>
      <c r="J37" s="34" t="s">
        <v>19</v>
      </c>
      <c r="K37" s="35" t="s">
        <v>20</v>
      </c>
      <c r="L37" s="34" t="s">
        <v>21</v>
      </c>
      <c r="M37" s="34" t="s">
        <v>22</v>
      </c>
      <c r="N37" s="34" t="s">
        <v>23</v>
      </c>
      <c r="O37" s="29" t="s">
        <v>24</v>
      </c>
      <c r="P37" s="30" t="s">
        <v>25</v>
      </c>
      <c r="Q37" s="34" t="s">
        <v>26</v>
      </c>
      <c r="R37" s="29" t="s">
        <v>27</v>
      </c>
    </row>
    <row r="38" spans="1:18" ht="49.95" customHeight="1" thickTop="1" thickBot="1" x14ac:dyDescent="0.35">
      <c r="A38" s="130" t="s">
        <v>28</v>
      </c>
      <c r="B38" s="130" t="s">
        <v>112</v>
      </c>
      <c r="C38" s="131">
        <v>0.61458333333333337</v>
      </c>
      <c r="D38" s="130" t="s">
        <v>30</v>
      </c>
      <c r="E38" s="132"/>
      <c r="F38" s="130" t="s">
        <v>31</v>
      </c>
      <c r="G38" s="163"/>
      <c r="H38" s="21" t="s">
        <v>112</v>
      </c>
      <c r="I38" s="22">
        <v>6.5500000000000003E-2</v>
      </c>
      <c r="J38" s="23">
        <v>11</v>
      </c>
      <c r="K38" s="24" t="s">
        <v>57</v>
      </c>
      <c r="L38" s="23">
        <v>11</v>
      </c>
      <c r="M38" s="23">
        <v>0</v>
      </c>
      <c r="N38" s="23">
        <v>0</v>
      </c>
      <c r="O38" s="25" t="s">
        <v>116</v>
      </c>
      <c r="P38" s="26">
        <v>0.61458333333333337</v>
      </c>
      <c r="Q38" s="23">
        <v>168</v>
      </c>
      <c r="R38" s="27" t="s">
        <v>124</v>
      </c>
    </row>
    <row r="39" spans="1:18" ht="17.399999999999999" customHeight="1" thickBot="1" x14ac:dyDescent="0.35">
      <c r="A39" s="191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3"/>
    </row>
    <row r="40" spans="1:18" ht="22.05" customHeight="1" thickTop="1" thickBot="1" x14ac:dyDescent="0.35">
      <c r="A40" s="165" t="s">
        <v>8</v>
      </c>
      <c r="B40" s="161"/>
      <c r="C40" s="161"/>
      <c r="D40" s="161"/>
      <c r="E40" s="161"/>
      <c r="F40" s="162"/>
      <c r="G40" s="28">
        <v>46071</v>
      </c>
      <c r="H40" s="160" t="s">
        <v>9</v>
      </c>
      <c r="I40" s="161"/>
      <c r="J40" s="161"/>
      <c r="K40" s="161"/>
      <c r="L40" s="161"/>
      <c r="M40" s="161"/>
      <c r="N40" s="161"/>
      <c r="O40" s="161"/>
      <c r="P40" s="161"/>
      <c r="Q40" s="161"/>
      <c r="R40" s="162"/>
    </row>
    <row r="41" spans="1:18" ht="24" customHeight="1" x14ac:dyDescent="0.3">
      <c r="A41" s="29" t="s">
        <v>10</v>
      </c>
      <c r="B41" s="29" t="s">
        <v>11</v>
      </c>
      <c r="C41" s="30" t="s">
        <v>12</v>
      </c>
      <c r="D41" s="29" t="s">
        <v>13</v>
      </c>
      <c r="E41" s="29" t="s">
        <v>14</v>
      </c>
      <c r="F41" s="31" t="s">
        <v>15</v>
      </c>
      <c r="G41" s="32" t="s">
        <v>16</v>
      </c>
      <c r="H41" s="29" t="s">
        <v>17</v>
      </c>
      <c r="I41" s="33" t="s">
        <v>18</v>
      </c>
      <c r="J41" s="34" t="s">
        <v>19</v>
      </c>
      <c r="K41" s="35" t="s">
        <v>20</v>
      </c>
      <c r="L41" s="34" t="s">
        <v>21</v>
      </c>
      <c r="M41" s="34" t="s">
        <v>22</v>
      </c>
      <c r="N41" s="34" t="s">
        <v>23</v>
      </c>
      <c r="O41" s="29" t="s">
        <v>24</v>
      </c>
      <c r="P41" s="30" t="s">
        <v>25</v>
      </c>
      <c r="Q41" s="34" t="s">
        <v>26</v>
      </c>
      <c r="R41" s="29" t="s">
        <v>27</v>
      </c>
    </row>
    <row r="42" spans="1:18" ht="49.95" customHeight="1" thickTop="1" thickBot="1" x14ac:dyDescent="0.35">
      <c r="A42" s="66" t="s">
        <v>28</v>
      </c>
      <c r="B42" s="66" t="s">
        <v>109</v>
      </c>
      <c r="C42" s="67">
        <v>0.59027777777777779</v>
      </c>
      <c r="D42" s="66" t="s">
        <v>30</v>
      </c>
      <c r="E42" s="68"/>
      <c r="F42" s="66" t="s">
        <v>31</v>
      </c>
      <c r="G42" s="163"/>
      <c r="H42" s="69" t="s">
        <v>109</v>
      </c>
      <c r="I42" s="70">
        <v>3.5700000000000003E-2</v>
      </c>
      <c r="J42" s="71">
        <v>6</v>
      </c>
      <c r="K42" s="72" t="s">
        <v>125</v>
      </c>
      <c r="L42" s="71">
        <v>6</v>
      </c>
      <c r="M42" s="71">
        <v>0</v>
      </c>
      <c r="N42" s="71">
        <v>0</v>
      </c>
      <c r="O42" s="73" t="s">
        <v>45</v>
      </c>
      <c r="P42" s="74">
        <v>0.59027777777777779</v>
      </c>
      <c r="Q42" s="71">
        <v>168</v>
      </c>
      <c r="R42" s="75" t="s">
        <v>126</v>
      </c>
    </row>
    <row r="43" spans="1:18" ht="17.399999999999999" customHeight="1" thickBot="1" x14ac:dyDescent="0.35">
      <c r="A43" s="191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3"/>
    </row>
    <row r="44" spans="1:18" ht="22.05" customHeight="1" thickTop="1" thickBot="1" x14ac:dyDescent="0.35">
      <c r="A44" s="165" t="s">
        <v>8</v>
      </c>
      <c r="B44" s="161"/>
      <c r="C44" s="161"/>
      <c r="D44" s="161"/>
      <c r="E44" s="161"/>
      <c r="F44" s="162"/>
      <c r="G44" s="28">
        <v>46075</v>
      </c>
      <c r="H44" s="160" t="s">
        <v>9</v>
      </c>
      <c r="I44" s="161"/>
      <c r="J44" s="161"/>
      <c r="K44" s="161"/>
      <c r="L44" s="161"/>
      <c r="M44" s="161"/>
      <c r="N44" s="161"/>
      <c r="O44" s="161"/>
      <c r="P44" s="161"/>
      <c r="Q44" s="161"/>
      <c r="R44" s="162"/>
    </row>
    <row r="45" spans="1:18" ht="24" customHeight="1" x14ac:dyDescent="0.3">
      <c r="A45" s="29" t="s">
        <v>10</v>
      </c>
      <c r="B45" s="29" t="s">
        <v>11</v>
      </c>
      <c r="C45" s="30" t="s">
        <v>12</v>
      </c>
      <c r="D45" s="29" t="s">
        <v>13</v>
      </c>
      <c r="E45" s="29" t="s">
        <v>14</v>
      </c>
      <c r="F45" s="31" t="s">
        <v>15</v>
      </c>
      <c r="G45" s="32" t="s">
        <v>16</v>
      </c>
      <c r="H45" s="29" t="s">
        <v>17</v>
      </c>
      <c r="I45" s="33" t="s">
        <v>18</v>
      </c>
      <c r="J45" s="34" t="s">
        <v>19</v>
      </c>
      <c r="K45" s="35" t="s">
        <v>20</v>
      </c>
      <c r="L45" s="34" t="s">
        <v>21</v>
      </c>
      <c r="M45" s="34" t="s">
        <v>22</v>
      </c>
      <c r="N45" s="34" t="s">
        <v>23</v>
      </c>
      <c r="O45" s="29" t="s">
        <v>24</v>
      </c>
      <c r="P45" s="30" t="s">
        <v>25</v>
      </c>
      <c r="Q45" s="34" t="s">
        <v>26</v>
      </c>
      <c r="R45" s="29" t="s">
        <v>27</v>
      </c>
    </row>
    <row r="46" spans="1:18" ht="49.95" customHeight="1" thickTop="1" thickBot="1" x14ac:dyDescent="0.35">
      <c r="A46" s="8" t="s">
        <v>28</v>
      </c>
      <c r="B46" s="8" t="s">
        <v>112</v>
      </c>
      <c r="C46" s="9">
        <v>0.61111111111111105</v>
      </c>
      <c r="D46" s="8" t="s">
        <v>30</v>
      </c>
      <c r="E46" s="10"/>
      <c r="F46" s="8" t="s">
        <v>31</v>
      </c>
      <c r="G46" s="163"/>
      <c r="H46" s="96" t="s">
        <v>112</v>
      </c>
      <c r="I46" s="97">
        <v>4.7600000000000003E-2</v>
      </c>
      <c r="J46" s="98">
        <v>8</v>
      </c>
      <c r="K46" s="99" t="s">
        <v>57</v>
      </c>
      <c r="L46" s="98">
        <v>8</v>
      </c>
      <c r="M46" s="98">
        <v>0</v>
      </c>
      <c r="N46" s="98">
        <v>0</v>
      </c>
      <c r="O46" s="100" t="s">
        <v>127</v>
      </c>
      <c r="P46" s="101">
        <v>0.61111111111111105</v>
      </c>
      <c r="Q46" s="98">
        <v>168</v>
      </c>
      <c r="R46" s="102" t="s">
        <v>128</v>
      </c>
    </row>
    <row r="47" spans="1:18" ht="17.399999999999999" customHeight="1" thickBot="1" x14ac:dyDescent="0.35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3"/>
    </row>
    <row r="48" spans="1:18" ht="22.05" customHeight="1" thickTop="1" thickBot="1" x14ac:dyDescent="0.35">
      <c r="A48" s="165" t="s">
        <v>8</v>
      </c>
      <c r="B48" s="161"/>
      <c r="C48" s="161"/>
      <c r="D48" s="161"/>
      <c r="E48" s="161"/>
      <c r="F48" s="162"/>
      <c r="G48" s="28">
        <v>46077</v>
      </c>
      <c r="H48" s="160" t="s">
        <v>9</v>
      </c>
      <c r="I48" s="161"/>
      <c r="J48" s="161"/>
      <c r="K48" s="161"/>
      <c r="L48" s="161"/>
      <c r="M48" s="161"/>
      <c r="N48" s="161"/>
      <c r="O48" s="161"/>
      <c r="P48" s="161"/>
      <c r="Q48" s="161"/>
      <c r="R48" s="162"/>
    </row>
    <row r="49" spans="1:18" ht="24" customHeight="1" x14ac:dyDescent="0.3">
      <c r="A49" s="29" t="s">
        <v>10</v>
      </c>
      <c r="B49" s="29" t="s">
        <v>11</v>
      </c>
      <c r="C49" s="30" t="s">
        <v>12</v>
      </c>
      <c r="D49" s="29" t="s">
        <v>13</v>
      </c>
      <c r="E49" s="29" t="s">
        <v>14</v>
      </c>
      <c r="F49" s="31" t="s">
        <v>15</v>
      </c>
      <c r="G49" s="32" t="s">
        <v>16</v>
      </c>
      <c r="H49" s="29" t="s">
        <v>17</v>
      </c>
      <c r="I49" s="33" t="s">
        <v>18</v>
      </c>
      <c r="J49" s="34" t="s">
        <v>19</v>
      </c>
      <c r="K49" s="35" t="s">
        <v>20</v>
      </c>
      <c r="L49" s="34" t="s">
        <v>21</v>
      </c>
      <c r="M49" s="34" t="s">
        <v>22</v>
      </c>
      <c r="N49" s="34" t="s">
        <v>23</v>
      </c>
      <c r="O49" s="29" t="s">
        <v>24</v>
      </c>
      <c r="P49" s="30" t="s">
        <v>25</v>
      </c>
      <c r="Q49" s="34" t="s">
        <v>26</v>
      </c>
      <c r="R49" s="29" t="s">
        <v>27</v>
      </c>
    </row>
    <row r="50" spans="1:18" ht="49.95" customHeight="1" thickTop="1" thickBot="1" x14ac:dyDescent="0.35">
      <c r="A50" s="8" t="s">
        <v>28</v>
      </c>
      <c r="B50" s="8" t="s">
        <v>112</v>
      </c>
      <c r="C50" s="9">
        <v>0.61458333333333337</v>
      </c>
      <c r="D50" s="8" t="s">
        <v>30</v>
      </c>
      <c r="E50" s="10"/>
      <c r="F50" s="8" t="s">
        <v>31</v>
      </c>
      <c r="G50" s="163"/>
      <c r="H50" s="96" t="s">
        <v>112</v>
      </c>
      <c r="I50" s="97">
        <v>3.5700000000000003E-2</v>
      </c>
      <c r="J50" s="98">
        <v>6</v>
      </c>
      <c r="K50" s="99" t="s">
        <v>55</v>
      </c>
      <c r="L50" s="98">
        <v>6</v>
      </c>
      <c r="M50" s="98">
        <v>0</v>
      </c>
      <c r="N50" s="98">
        <v>0</v>
      </c>
      <c r="O50" s="100" t="s">
        <v>129</v>
      </c>
      <c r="P50" s="101">
        <v>0.61458333333333337</v>
      </c>
      <c r="Q50" s="98">
        <v>168</v>
      </c>
      <c r="R50" s="102" t="s">
        <v>130</v>
      </c>
    </row>
    <row r="51" spans="1:18" ht="17.399999999999999" customHeight="1" thickBot="1" x14ac:dyDescent="0.35">
      <c r="A51" s="191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3"/>
    </row>
    <row r="52" spans="1:18" ht="22.05" customHeight="1" thickTop="1" thickBot="1" x14ac:dyDescent="0.35">
      <c r="A52" s="165" t="s">
        <v>8</v>
      </c>
      <c r="B52" s="161"/>
      <c r="C52" s="161"/>
      <c r="D52" s="161"/>
      <c r="E52" s="161"/>
      <c r="F52" s="162"/>
      <c r="G52" s="28">
        <v>46078</v>
      </c>
      <c r="H52" s="160" t="s">
        <v>9</v>
      </c>
      <c r="I52" s="161"/>
      <c r="J52" s="161"/>
      <c r="K52" s="161"/>
      <c r="L52" s="161"/>
      <c r="M52" s="161"/>
      <c r="N52" s="161"/>
      <c r="O52" s="161"/>
      <c r="P52" s="161"/>
      <c r="Q52" s="161"/>
      <c r="R52" s="162"/>
    </row>
    <row r="53" spans="1:18" ht="24" customHeight="1" x14ac:dyDescent="0.3">
      <c r="A53" s="29" t="s">
        <v>10</v>
      </c>
      <c r="B53" s="29" t="s">
        <v>11</v>
      </c>
      <c r="C53" s="30" t="s">
        <v>12</v>
      </c>
      <c r="D53" s="29" t="s">
        <v>13</v>
      </c>
      <c r="E53" s="29" t="s">
        <v>14</v>
      </c>
      <c r="F53" s="31" t="s">
        <v>15</v>
      </c>
      <c r="G53" s="32" t="s">
        <v>16</v>
      </c>
      <c r="H53" s="29" t="s">
        <v>17</v>
      </c>
      <c r="I53" s="33" t="s">
        <v>18</v>
      </c>
      <c r="J53" s="34" t="s">
        <v>19</v>
      </c>
      <c r="K53" s="35" t="s">
        <v>20</v>
      </c>
      <c r="L53" s="34" t="s">
        <v>21</v>
      </c>
      <c r="M53" s="34" t="s">
        <v>22</v>
      </c>
      <c r="N53" s="34" t="s">
        <v>23</v>
      </c>
      <c r="O53" s="29" t="s">
        <v>24</v>
      </c>
      <c r="P53" s="30" t="s">
        <v>25</v>
      </c>
      <c r="Q53" s="34" t="s">
        <v>26</v>
      </c>
      <c r="R53" s="29" t="s">
        <v>27</v>
      </c>
    </row>
    <row r="54" spans="1:18" ht="49.95" customHeight="1" thickTop="1" thickBot="1" x14ac:dyDescent="0.5">
      <c r="A54" s="36" t="s">
        <v>28</v>
      </c>
      <c r="B54" s="36" t="s">
        <v>109</v>
      </c>
      <c r="C54" s="37">
        <v>0.59027777777777779</v>
      </c>
      <c r="D54" s="36" t="s">
        <v>30</v>
      </c>
      <c r="E54" s="38"/>
      <c r="F54" s="36" t="s">
        <v>31</v>
      </c>
      <c r="G54" s="164"/>
      <c r="H54" s="39" t="s">
        <v>109</v>
      </c>
      <c r="I54" s="40">
        <v>9.5200000000000007E-2</v>
      </c>
      <c r="J54" s="41">
        <v>16</v>
      </c>
      <c r="K54" s="42" t="s">
        <v>55</v>
      </c>
      <c r="L54" s="41">
        <v>16</v>
      </c>
      <c r="M54" s="41">
        <v>0</v>
      </c>
      <c r="N54" s="41">
        <v>0</v>
      </c>
      <c r="O54" s="43" t="s">
        <v>131</v>
      </c>
      <c r="P54" s="44">
        <v>0.59027777777777779</v>
      </c>
      <c r="Q54" s="41">
        <v>168</v>
      </c>
      <c r="R54" s="45" t="s">
        <v>132</v>
      </c>
    </row>
    <row r="55" spans="1:18" ht="17.399999999999999" customHeight="1" thickBot="1" x14ac:dyDescent="0.35">
      <c r="A55" s="191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3"/>
    </row>
    <row r="56" spans="1:18" ht="22.05" customHeight="1" thickTop="1" thickBot="1" x14ac:dyDescent="0.35">
      <c r="A56" s="165" t="s">
        <v>8</v>
      </c>
      <c r="B56" s="161"/>
      <c r="C56" s="161"/>
      <c r="D56" s="161"/>
      <c r="E56" s="161"/>
      <c r="F56" s="162"/>
      <c r="G56" s="28">
        <v>46082</v>
      </c>
      <c r="H56" s="160" t="s">
        <v>9</v>
      </c>
      <c r="I56" s="161"/>
      <c r="J56" s="161"/>
      <c r="K56" s="161"/>
      <c r="L56" s="161"/>
      <c r="M56" s="161"/>
      <c r="N56" s="161"/>
      <c r="O56" s="161"/>
      <c r="P56" s="161"/>
      <c r="Q56" s="161"/>
      <c r="R56" s="162"/>
    </row>
    <row r="57" spans="1:18" ht="24" customHeight="1" x14ac:dyDescent="0.3">
      <c r="A57" s="29" t="s">
        <v>10</v>
      </c>
      <c r="B57" s="29" t="s">
        <v>11</v>
      </c>
      <c r="C57" s="30" t="s">
        <v>12</v>
      </c>
      <c r="D57" s="29" t="s">
        <v>13</v>
      </c>
      <c r="E57" s="29" t="s">
        <v>14</v>
      </c>
      <c r="F57" s="31" t="s">
        <v>15</v>
      </c>
      <c r="G57" s="32" t="s">
        <v>16</v>
      </c>
      <c r="H57" s="29" t="s">
        <v>17</v>
      </c>
      <c r="I57" s="33" t="s">
        <v>18</v>
      </c>
      <c r="J57" s="34" t="s">
        <v>19</v>
      </c>
      <c r="K57" s="35" t="s">
        <v>20</v>
      </c>
      <c r="L57" s="34" t="s">
        <v>21</v>
      </c>
      <c r="M57" s="34" t="s">
        <v>22</v>
      </c>
      <c r="N57" s="34" t="s">
        <v>23</v>
      </c>
      <c r="O57" s="29" t="s">
        <v>24</v>
      </c>
      <c r="P57" s="30" t="s">
        <v>25</v>
      </c>
      <c r="Q57" s="34" t="s">
        <v>26</v>
      </c>
      <c r="R57" s="29" t="s">
        <v>27</v>
      </c>
    </row>
    <row r="58" spans="1:18" ht="49.95" customHeight="1" x14ac:dyDescent="0.45">
      <c r="A58" s="46" t="s">
        <v>28</v>
      </c>
      <c r="B58" s="46" t="s">
        <v>112</v>
      </c>
      <c r="C58" s="47">
        <v>0.61111111111111105</v>
      </c>
      <c r="D58" s="46" t="s">
        <v>30</v>
      </c>
      <c r="E58" s="48"/>
      <c r="F58" s="46" t="s">
        <v>31</v>
      </c>
      <c r="G58" s="164"/>
      <c r="H58" s="89" t="s">
        <v>112</v>
      </c>
      <c r="I58" s="90">
        <v>6.5500000000000003E-2</v>
      </c>
      <c r="J58" s="91">
        <v>11</v>
      </c>
      <c r="K58" s="92" t="s">
        <v>55</v>
      </c>
      <c r="L58" s="91">
        <v>11</v>
      </c>
      <c r="M58" s="91">
        <v>0</v>
      </c>
      <c r="N58" s="91">
        <v>0</v>
      </c>
      <c r="O58" s="93" t="s">
        <v>133</v>
      </c>
      <c r="P58" s="94">
        <v>0.61111111111111105</v>
      </c>
      <c r="Q58" s="91">
        <v>168</v>
      </c>
      <c r="R58" s="95" t="s">
        <v>134</v>
      </c>
    </row>
  </sheetData>
  <mergeCells count="62">
    <mergeCell ref="G58"/>
    <mergeCell ref="G14"/>
    <mergeCell ref="A36:F36"/>
    <mergeCell ref="G34"/>
    <mergeCell ref="A11:R11"/>
    <mergeCell ref="A51:R51"/>
    <mergeCell ref="H48:R48"/>
    <mergeCell ref="G30"/>
    <mergeCell ref="H24:R2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2:R12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6"/>
  <sheetViews>
    <sheetView workbookViewId="0"/>
  </sheetViews>
  <sheetFormatPr defaultRowHeight="15.6" outlineLevelCol="1" x14ac:dyDescent="0.3"/>
  <cols>
    <col min="1" max="1" width="11.5546875" style="178" bestFit="1" customWidth="1"/>
    <col min="2" max="2" width="10.109375" style="178" bestFit="1" customWidth="1"/>
    <col min="3" max="3" width="6.77734375" style="178" bestFit="1" customWidth="1"/>
    <col min="4" max="4" width="5.5546875" style="178" bestFit="1" customWidth="1"/>
    <col min="5" max="5" width="8.5546875" style="178" bestFit="1" customWidth="1"/>
    <col min="6" max="6" width="4.21875" style="178" bestFit="1" customWidth="1"/>
    <col min="7" max="7" width="8.44140625" style="178" bestFit="1" customWidth="1"/>
    <col min="8" max="8" width="8.5546875" style="178" bestFit="1" customWidth="1"/>
    <col min="9" max="10" width="7" style="178" bestFit="1" customWidth="1"/>
    <col min="11" max="11" width="10.5546875" style="178" bestFit="1" customWidth="1"/>
    <col min="12" max="12" width="18.109375" style="178" bestFit="1" customWidth="1"/>
    <col min="13" max="13" width="7.6640625" style="178" bestFit="1" customWidth="1" outlineLevel="1"/>
    <col min="14" max="14" width="6.33203125" style="178" bestFit="1" customWidth="1" outlineLevel="1"/>
    <col min="15" max="15" width="8" style="178" bestFit="1" customWidth="1" outlineLevel="1"/>
    <col min="16" max="16" width="13.6640625" style="178" bestFit="1" customWidth="1"/>
    <col min="17" max="26" width="3.88671875" style="178" bestFit="1" customWidth="1"/>
    <col min="27" max="27" width="4" style="178" bestFit="1" customWidth="1"/>
    <col min="28" max="36" width="3.88671875" style="178" bestFit="1" customWidth="1"/>
    <col min="37" max="16384" width="8.88671875" style="178"/>
  </cols>
  <sheetData>
    <row r="1" spans="1:36" x14ac:dyDescent="0.3">
      <c r="A1" s="177" t="s">
        <v>63</v>
      </c>
      <c r="B1" s="177" t="s">
        <v>64</v>
      </c>
      <c r="C1" s="177" t="s">
        <v>65</v>
      </c>
      <c r="D1" s="177" t="s">
        <v>25</v>
      </c>
      <c r="E1" s="177" t="s">
        <v>66</v>
      </c>
      <c r="F1" s="177" t="s">
        <v>67</v>
      </c>
      <c r="G1" s="177" t="s">
        <v>18</v>
      </c>
      <c r="H1" s="177" t="s">
        <v>68</v>
      </c>
      <c r="I1" s="177" t="s">
        <v>69</v>
      </c>
      <c r="J1" s="177" t="s">
        <v>70</v>
      </c>
      <c r="K1" s="177" t="s">
        <v>71</v>
      </c>
      <c r="L1" s="177" t="s">
        <v>20</v>
      </c>
      <c r="M1" s="177" t="s">
        <v>22</v>
      </c>
      <c r="N1" s="177" t="s">
        <v>23</v>
      </c>
      <c r="O1" s="177" t="s">
        <v>21</v>
      </c>
      <c r="P1" s="177" t="s">
        <v>24</v>
      </c>
      <c r="Q1" s="177" t="s">
        <v>72</v>
      </c>
      <c r="R1" s="177" t="s">
        <v>73</v>
      </c>
      <c r="S1" s="177" t="s">
        <v>74</v>
      </c>
      <c r="T1" s="177" t="s">
        <v>75</v>
      </c>
      <c r="U1" s="177" t="s">
        <v>76</v>
      </c>
      <c r="V1" s="177" t="s">
        <v>77</v>
      </c>
      <c r="W1" s="177" t="s">
        <v>78</v>
      </c>
      <c r="X1" s="177" t="s">
        <v>79</v>
      </c>
      <c r="Y1" s="177" t="s">
        <v>80</v>
      </c>
      <c r="Z1" s="177" t="s">
        <v>81</v>
      </c>
      <c r="AA1" s="177" t="s">
        <v>82</v>
      </c>
      <c r="AB1" s="177" t="s">
        <v>83</v>
      </c>
      <c r="AC1" s="177" t="s">
        <v>84</v>
      </c>
      <c r="AD1" s="177" t="s">
        <v>85</v>
      </c>
      <c r="AE1" s="177" t="s">
        <v>86</v>
      </c>
      <c r="AF1" s="177" t="s">
        <v>87</v>
      </c>
      <c r="AG1" s="177" t="s">
        <v>88</v>
      </c>
      <c r="AH1" s="177" t="s">
        <v>89</v>
      </c>
      <c r="AI1" s="177" t="s">
        <v>90</v>
      </c>
      <c r="AJ1" s="177" t="s">
        <v>91</v>
      </c>
    </row>
    <row r="2" spans="1:36" x14ac:dyDescent="0.3">
      <c r="A2" s="179" t="s">
        <v>92</v>
      </c>
      <c r="B2" s="180">
        <v>46050</v>
      </c>
      <c r="C2" s="181" t="s">
        <v>109</v>
      </c>
      <c r="D2" s="182" t="s">
        <v>135</v>
      </c>
      <c r="E2" s="181" t="s">
        <v>108</v>
      </c>
      <c r="F2" s="181" t="s">
        <v>94</v>
      </c>
      <c r="G2" s="183">
        <v>8.3299999999999999E-2</v>
      </c>
      <c r="H2" s="184">
        <v>168</v>
      </c>
      <c r="I2" s="184">
        <v>14</v>
      </c>
      <c r="J2" s="184">
        <v>0</v>
      </c>
      <c r="K2" s="181" t="s">
        <v>95</v>
      </c>
      <c r="L2" s="185" t="s">
        <v>38</v>
      </c>
      <c r="M2" s="184">
        <v>0</v>
      </c>
      <c r="N2" s="184">
        <v>0</v>
      </c>
      <c r="O2" s="184">
        <v>14</v>
      </c>
      <c r="P2" s="181" t="s">
        <v>110</v>
      </c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84" t="s">
        <v>96</v>
      </c>
      <c r="AC2" s="184" t="s">
        <v>136</v>
      </c>
      <c r="AD2" s="184" t="s">
        <v>127</v>
      </c>
      <c r="AE2" s="184" t="s">
        <v>137</v>
      </c>
      <c r="AF2" s="177"/>
      <c r="AG2" s="177"/>
      <c r="AH2" s="177"/>
      <c r="AI2" s="177"/>
      <c r="AJ2" s="177"/>
    </row>
    <row r="3" spans="1:36" x14ac:dyDescent="0.3">
      <c r="A3" s="179" t="s">
        <v>102</v>
      </c>
      <c r="B3" s="180">
        <v>46054</v>
      </c>
      <c r="C3" s="181" t="s">
        <v>112</v>
      </c>
      <c r="D3" s="182" t="s">
        <v>93</v>
      </c>
      <c r="E3" s="181" t="s">
        <v>108</v>
      </c>
      <c r="F3" s="181" t="s">
        <v>94</v>
      </c>
      <c r="G3" s="183">
        <v>2.98E-2</v>
      </c>
      <c r="H3" s="184">
        <v>168</v>
      </c>
      <c r="I3" s="184">
        <v>5</v>
      </c>
      <c r="J3" s="184">
        <v>0</v>
      </c>
      <c r="K3" s="181" t="s">
        <v>95</v>
      </c>
      <c r="L3" s="185" t="s">
        <v>113</v>
      </c>
      <c r="M3" s="184">
        <v>0</v>
      </c>
      <c r="N3" s="184">
        <v>0</v>
      </c>
      <c r="O3" s="184">
        <v>5</v>
      </c>
      <c r="P3" s="181" t="s">
        <v>45</v>
      </c>
      <c r="Q3" s="177"/>
      <c r="R3" s="177"/>
      <c r="S3" s="177"/>
      <c r="T3" s="177"/>
      <c r="U3" s="177"/>
      <c r="V3" s="177"/>
      <c r="W3" s="177"/>
      <c r="X3" s="177"/>
      <c r="Y3" s="184" t="s">
        <v>50</v>
      </c>
      <c r="Z3" s="177"/>
      <c r="AA3" s="177"/>
      <c r="AB3" s="177"/>
      <c r="AC3" s="177"/>
      <c r="AD3" s="177"/>
      <c r="AE3" s="184" t="s">
        <v>37</v>
      </c>
      <c r="AF3" s="177"/>
      <c r="AG3" s="177"/>
      <c r="AH3" s="177"/>
      <c r="AI3" s="177"/>
      <c r="AJ3" s="177"/>
    </row>
    <row r="4" spans="1:36" x14ac:dyDescent="0.3">
      <c r="A4" s="179" t="s">
        <v>105</v>
      </c>
      <c r="B4" s="180">
        <v>46056</v>
      </c>
      <c r="C4" s="181" t="s">
        <v>112</v>
      </c>
      <c r="D4" s="182" t="s">
        <v>138</v>
      </c>
      <c r="E4" s="181" t="s">
        <v>108</v>
      </c>
      <c r="F4" s="181" t="s">
        <v>94</v>
      </c>
      <c r="G4" s="183">
        <v>6.0000000000000001E-3</v>
      </c>
      <c r="H4" s="184">
        <v>168</v>
      </c>
      <c r="I4" s="184">
        <v>1</v>
      </c>
      <c r="J4" s="184">
        <v>0</v>
      </c>
      <c r="K4" s="181" t="s">
        <v>95</v>
      </c>
      <c r="L4" s="185" t="s">
        <v>115</v>
      </c>
      <c r="M4" s="184">
        <v>0</v>
      </c>
      <c r="N4" s="184">
        <v>0</v>
      </c>
      <c r="O4" s="184">
        <v>1</v>
      </c>
      <c r="P4" s="181" t="s">
        <v>45</v>
      </c>
      <c r="Q4" s="177"/>
      <c r="R4" s="177"/>
      <c r="S4" s="177"/>
      <c r="T4" s="177"/>
      <c r="U4" s="177"/>
      <c r="V4" s="177"/>
      <c r="W4" s="177"/>
      <c r="X4" s="177"/>
      <c r="Y4" s="184" t="s">
        <v>46</v>
      </c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</row>
    <row r="5" spans="1:36" x14ac:dyDescent="0.3">
      <c r="A5" s="179" t="s">
        <v>92</v>
      </c>
      <c r="B5" s="180">
        <v>46057</v>
      </c>
      <c r="C5" s="181" t="s">
        <v>109</v>
      </c>
      <c r="D5" s="182" t="s">
        <v>135</v>
      </c>
      <c r="E5" s="181" t="s">
        <v>108</v>
      </c>
      <c r="F5" s="181" t="s">
        <v>94</v>
      </c>
      <c r="G5" s="183">
        <v>7.1400000000000005E-2</v>
      </c>
      <c r="H5" s="184">
        <v>168</v>
      </c>
      <c r="I5" s="184">
        <v>12</v>
      </c>
      <c r="J5" s="184">
        <v>0</v>
      </c>
      <c r="K5" s="181" t="s">
        <v>95</v>
      </c>
      <c r="L5" s="185" t="s">
        <v>57</v>
      </c>
      <c r="M5" s="184">
        <v>0</v>
      </c>
      <c r="N5" s="184">
        <v>0</v>
      </c>
      <c r="O5" s="184">
        <v>12</v>
      </c>
      <c r="P5" s="181" t="s">
        <v>116</v>
      </c>
      <c r="Q5" s="177"/>
      <c r="R5" s="177"/>
      <c r="S5" s="177"/>
      <c r="T5" s="177"/>
      <c r="U5" s="177"/>
      <c r="V5" s="177"/>
      <c r="W5" s="177"/>
      <c r="X5" s="177"/>
      <c r="Y5" s="184" t="s">
        <v>122</v>
      </c>
      <c r="Z5" s="177"/>
      <c r="AA5" s="177"/>
      <c r="AB5" s="177"/>
      <c r="AC5" s="177"/>
      <c r="AD5" s="177"/>
      <c r="AE5" s="184" t="s">
        <v>137</v>
      </c>
      <c r="AF5" s="177"/>
      <c r="AG5" s="177"/>
      <c r="AH5" s="177"/>
      <c r="AI5" s="177"/>
      <c r="AJ5" s="177"/>
    </row>
    <row r="6" spans="1:36" x14ac:dyDescent="0.3">
      <c r="A6" s="179" t="s">
        <v>102</v>
      </c>
      <c r="B6" s="180">
        <v>46061</v>
      </c>
      <c r="C6" s="181" t="s">
        <v>112</v>
      </c>
      <c r="D6" s="182" t="s">
        <v>93</v>
      </c>
      <c r="E6" s="181" t="s">
        <v>108</v>
      </c>
      <c r="F6" s="181" t="s">
        <v>94</v>
      </c>
      <c r="G6" s="183">
        <v>7.1400000000000005E-2</v>
      </c>
      <c r="H6" s="184">
        <v>168</v>
      </c>
      <c r="I6" s="184">
        <v>12</v>
      </c>
      <c r="J6" s="184">
        <v>0</v>
      </c>
      <c r="K6" s="181" t="s">
        <v>95</v>
      </c>
      <c r="L6" s="185" t="s">
        <v>43</v>
      </c>
      <c r="M6" s="184">
        <v>0</v>
      </c>
      <c r="N6" s="184">
        <v>0</v>
      </c>
      <c r="O6" s="184">
        <v>12</v>
      </c>
      <c r="P6" s="181" t="s">
        <v>116</v>
      </c>
      <c r="Q6" s="177"/>
      <c r="R6" s="177"/>
      <c r="S6" s="177"/>
      <c r="T6" s="177"/>
      <c r="U6" s="177"/>
      <c r="V6" s="177"/>
      <c r="W6" s="177"/>
      <c r="X6" s="177"/>
      <c r="Y6" s="184" t="s">
        <v>50</v>
      </c>
      <c r="Z6" s="184" t="s">
        <v>61</v>
      </c>
      <c r="AA6" s="177"/>
      <c r="AB6" s="177"/>
      <c r="AC6" s="177"/>
      <c r="AD6" s="184" t="s">
        <v>139</v>
      </c>
      <c r="AE6" s="184" t="s">
        <v>140</v>
      </c>
      <c r="AF6" s="177"/>
      <c r="AG6" s="177"/>
      <c r="AH6" s="177"/>
      <c r="AI6" s="177"/>
      <c r="AJ6" s="177"/>
    </row>
    <row r="7" spans="1:36" x14ac:dyDescent="0.3">
      <c r="A7" s="179" t="s">
        <v>105</v>
      </c>
      <c r="B7" s="180">
        <v>46063</v>
      </c>
      <c r="C7" s="181" t="s">
        <v>112</v>
      </c>
      <c r="D7" s="182" t="s">
        <v>138</v>
      </c>
      <c r="E7" s="181" t="s">
        <v>108</v>
      </c>
      <c r="F7" s="181" t="s">
        <v>94</v>
      </c>
      <c r="G7" s="183">
        <v>5.9499999999999997E-2</v>
      </c>
      <c r="H7" s="184">
        <v>168</v>
      </c>
      <c r="I7" s="184">
        <v>10</v>
      </c>
      <c r="J7" s="184">
        <v>0</v>
      </c>
      <c r="K7" s="181" t="s">
        <v>95</v>
      </c>
      <c r="L7" s="185" t="s">
        <v>55</v>
      </c>
      <c r="M7" s="184">
        <v>0</v>
      </c>
      <c r="N7" s="184">
        <v>0</v>
      </c>
      <c r="O7" s="184">
        <v>10</v>
      </c>
      <c r="P7" s="181" t="s">
        <v>119</v>
      </c>
      <c r="Q7" s="177"/>
      <c r="R7" s="177"/>
      <c r="S7" s="177"/>
      <c r="T7" s="177"/>
      <c r="U7" s="177"/>
      <c r="V7" s="177"/>
      <c r="W7" s="177"/>
      <c r="X7" s="177"/>
      <c r="Y7" s="184" t="s">
        <v>119</v>
      </c>
      <c r="Z7" s="177"/>
      <c r="AA7" s="177"/>
      <c r="AB7" s="177"/>
      <c r="AC7" s="177"/>
      <c r="AD7" s="177"/>
      <c r="AE7" s="184" t="s">
        <v>39</v>
      </c>
      <c r="AF7" s="177"/>
      <c r="AG7" s="177"/>
      <c r="AH7" s="177"/>
      <c r="AI7" s="177"/>
      <c r="AJ7" s="177"/>
    </row>
    <row r="8" spans="1:36" x14ac:dyDescent="0.3">
      <c r="A8" s="179" t="s">
        <v>92</v>
      </c>
      <c r="B8" s="180">
        <v>46064</v>
      </c>
      <c r="C8" s="181" t="s">
        <v>109</v>
      </c>
      <c r="D8" s="182" t="s">
        <v>135</v>
      </c>
      <c r="E8" s="181" t="s">
        <v>108</v>
      </c>
      <c r="F8" s="181" t="s">
        <v>94</v>
      </c>
      <c r="G8" s="183">
        <v>7.7399999999999997E-2</v>
      </c>
      <c r="H8" s="184">
        <v>168</v>
      </c>
      <c r="I8" s="184">
        <v>13</v>
      </c>
      <c r="J8" s="184">
        <v>0</v>
      </c>
      <c r="K8" s="181" t="s">
        <v>95</v>
      </c>
      <c r="L8" s="185" t="s">
        <v>49</v>
      </c>
      <c r="M8" s="184">
        <v>0</v>
      </c>
      <c r="N8" s="184">
        <v>0</v>
      </c>
      <c r="O8" s="184">
        <v>13</v>
      </c>
      <c r="P8" s="181" t="s">
        <v>50</v>
      </c>
      <c r="Q8" s="177"/>
      <c r="R8" s="177"/>
      <c r="S8" s="177"/>
      <c r="T8" s="177"/>
      <c r="U8" s="177"/>
      <c r="V8" s="177"/>
      <c r="W8" s="177"/>
      <c r="X8" s="177"/>
      <c r="Y8" s="184" t="s">
        <v>119</v>
      </c>
      <c r="Z8" s="177"/>
      <c r="AA8" s="177"/>
      <c r="AB8" s="177"/>
      <c r="AC8" s="177"/>
      <c r="AD8" s="184" t="s">
        <v>139</v>
      </c>
      <c r="AE8" s="184" t="s">
        <v>141</v>
      </c>
      <c r="AF8" s="177"/>
      <c r="AG8" s="177"/>
      <c r="AH8" s="177"/>
      <c r="AI8" s="177"/>
      <c r="AJ8" s="177"/>
    </row>
    <row r="9" spans="1:36" x14ac:dyDescent="0.3">
      <c r="A9" s="179" t="s">
        <v>102</v>
      </c>
      <c r="B9" s="180">
        <v>46068</v>
      </c>
      <c r="C9" s="181" t="s">
        <v>112</v>
      </c>
      <c r="D9" s="182" t="s">
        <v>93</v>
      </c>
      <c r="E9" s="181" t="s">
        <v>108</v>
      </c>
      <c r="F9" s="181" t="s">
        <v>94</v>
      </c>
      <c r="G9" s="183">
        <v>7.7399999999999997E-2</v>
      </c>
      <c r="H9" s="184">
        <v>168</v>
      </c>
      <c r="I9" s="184">
        <v>13</v>
      </c>
      <c r="J9" s="184">
        <v>0</v>
      </c>
      <c r="K9" s="181" t="s">
        <v>95</v>
      </c>
      <c r="L9" s="185" t="s">
        <v>55</v>
      </c>
      <c r="M9" s="184">
        <v>0</v>
      </c>
      <c r="N9" s="184">
        <v>0</v>
      </c>
      <c r="O9" s="184">
        <v>12</v>
      </c>
      <c r="P9" s="181" t="s">
        <v>122</v>
      </c>
      <c r="Q9" s="177"/>
      <c r="R9" s="177"/>
      <c r="S9" s="177"/>
      <c r="T9" s="177"/>
      <c r="U9" s="177"/>
      <c r="V9" s="177"/>
      <c r="W9" s="177"/>
      <c r="X9" s="184" t="s">
        <v>142</v>
      </c>
      <c r="Y9" s="184" t="s">
        <v>46</v>
      </c>
      <c r="Z9" s="177"/>
      <c r="AA9" s="177"/>
      <c r="AB9" s="177"/>
      <c r="AC9" s="177"/>
      <c r="AD9" s="184" t="s">
        <v>143</v>
      </c>
      <c r="AE9" s="184" t="s">
        <v>144</v>
      </c>
      <c r="AF9" s="177"/>
      <c r="AG9" s="177"/>
      <c r="AH9" s="177"/>
      <c r="AI9" s="177"/>
      <c r="AJ9" s="177"/>
    </row>
    <row r="10" spans="1:36" x14ac:dyDescent="0.3">
      <c r="A10" s="179" t="s">
        <v>105</v>
      </c>
      <c r="B10" s="180">
        <v>46070</v>
      </c>
      <c r="C10" s="181" t="s">
        <v>112</v>
      </c>
      <c r="D10" s="182" t="s">
        <v>138</v>
      </c>
      <c r="E10" s="181" t="s">
        <v>108</v>
      </c>
      <c r="F10" s="181" t="s">
        <v>94</v>
      </c>
      <c r="G10" s="183">
        <v>6.5500000000000003E-2</v>
      </c>
      <c r="H10" s="184">
        <v>168</v>
      </c>
      <c r="I10" s="184">
        <v>11</v>
      </c>
      <c r="J10" s="184">
        <v>0</v>
      </c>
      <c r="K10" s="181" t="s">
        <v>95</v>
      </c>
      <c r="L10" s="185" t="s">
        <v>57</v>
      </c>
      <c r="M10" s="184">
        <v>0</v>
      </c>
      <c r="N10" s="184">
        <v>0</v>
      </c>
      <c r="O10" s="184">
        <v>11</v>
      </c>
      <c r="P10" s="181" t="s">
        <v>116</v>
      </c>
      <c r="Q10" s="177"/>
      <c r="R10" s="177"/>
      <c r="S10" s="177"/>
      <c r="T10" s="177"/>
      <c r="U10" s="177"/>
      <c r="V10" s="177"/>
      <c r="W10" s="177"/>
      <c r="X10" s="177"/>
      <c r="Y10" s="184" t="s">
        <v>50</v>
      </c>
      <c r="Z10" s="177"/>
      <c r="AA10" s="177"/>
      <c r="AB10" s="177"/>
      <c r="AC10" s="184" t="s">
        <v>131</v>
      </c>
      <c r="AD10" s="184" t="s">
        <v>145</v>
      </c>
      <c r="AE10" s="184" t="s">
        <v>37</v>
      </c>
      <c r="AF10" s="177"/>
      <c r="AG10" s="177"/>
      <c r="AH10" s="177"/>
      <c r="AI10" s="177"/>
      <c r="AJ10" s="177"/>
    </row>
    <row r="11" spans="1:36" x14ac:dyDescent="0.3">
      <c r="A11" s="179" t="s">
        <v>92</v>
      </c>
      <c r="B11" s="180">
        <v>46071</v>
      </c>
      <c r="C11" s="181" t="s">
        <v>109</v>
      </c>
      <c r="D11" s="182" t="s">
        <v>135</v>
      </c>
      <c r="E11" s="181" t="s">
        <v>108</v>
      </c>
      <c r="F11" s="181" t="s">
        <v>94</v>
      </c>
      <c r="G11" s="183">
        <v>3.5700000000000003E-2</v>
      </c>
      <c r="H11" s="184">
        <v>168</v>
      </c>
      <c r="I11" s="184">
        <v>6</v>
      </c>
      <c r="J11" s="184">
        <v>0</v>
      </c>
      <c r="K11" s="181" t="s">
        <v>95</v>
      </c>
      <c r="L11" s="185" t="s">
        <v>125</v>
      </c>
      <c r="M11" s="184">
        <v>0</v>
      </c>
      <c r="N11" s="184">
        <v>0</v>
      </c>
      <c r="O11" s="184">
        <v>6</v>
      </c>
      <c r="P11" s="181" t="s">
        <v>45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84" t="s">
        <v>129</v>
      </c>
      <c r="AE11" s="184" t="s">
        <v>56</v>
      </c>
      <c r="AF11" s="177"/>
      <c r="AG11" s="177"/>
      <c r="AH11" s="177"/>
      <c r="AI11" s="177"/>
      <c r="AJ11" s="177"/>
    </row>
    <row r="12" spans="1:36" x14ac:dyDescent="0.3">
      <c r="A12" s="179" t="s">
        <v>102</v>
      </c>
      <c r="B12" s="180">
        <v>46075</v>
      </c>
      <c r="C12" s="181" t="s">
        <v>112</v>
      </c>
      <c r="D12" s="182" t="s">
        <v>93</v>
      </c>
      <c r="E12" s="181" t="s">
        <v>108</v>
      </c>
      <c r="F12" s="181" t="s">
        <v>94</v>
      </c>
      <c r="G12" s="183">
        <v>4.7600000000000003E-2</v>
      </c>
      <c r="H12" s="184">
        <v>168</v>
      </c>
      <c r="I12" s="184">
        <v>8</v>
      </c>
      <c r="J12" s="184">
        <v>0</v>
      </c>
      <c r="K12" s="181" t="s">
        <v>95</v>
      </c>
      <c r="L12" s="185" t="s">
        <v>57</v>
      </c>
      <c r="M12" s="184">
        <v>0</v>
      </c>
      <c r="N12" s="184">
        <v>0</v>
      </c>
      <c r="O12" s="184">
        <v>8</v>
      </c>
      <c r="P12" s="181" t="s">
        <v>127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84" t="s">
        <v>146</v>
      </c>
      <c r="AA12" s="177"/>
      <c r="AB12" s="177"/>
      <c r="AC12" s="177"/>
      <c r="AD12" s="184" t="s">
        <v>127</v>
      </c>
      <c r="AE12" s="184" t="s">
        <v>56</v>
      </c>
      <c r="AF12" s="184" t="s">
        <v>147</v>
      </c>
      <c r="AG12" s="177"/>
      <c r="AH12" s="177"/>
      <c r="AI12" s="177"/>
      <c r="AJ12" s="177"/>
    </row>
    <row r="13" spans="1:36" x14ac:dyDescent="0.3">
      <c r="A13" s="179" t="s">
        <v>105</v>
      </c>
      <c r="B13" s="180">
        <v>46077</v>
      </c>
      <c r="C13" s="181" t="s">
        <v>112</v>
      </c>
      <c r="D13" s="182" t="s">
        <v>138</v>
      </c>
      <c r="E13" s="181" t="s">
        <v>108</v>
      </c>
      <c r="F13" s="181" t="s">
        <v>94</v>
      </c>
      <c r="G13" s="183">
        <v>3.5700000000000003E-2</v>
      </c>
      <c r="H13" s="184">
        <v>168</v>
      </c>
      <c r="I13" s="184">
        <v>6</v>
      </c>
      <c r="J13" s="184">
        <v>0</v>
      </c>
      <c r="K13" s="181" t="s">
        <v>95</v>
      </c>
      <c r="L13" s="185" t="s">
        <v>55</v>
      </c>
      <c r="M13" s="184">
        <v>0</v>
      </c>
      <c r="N13" s="184">
        <v>0</v>
      </c>
      <c r="O13" s="184">
        <v>6</v>
      </c>
      <c r="P13" s="181" t="s">
        <v>129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84" t="s">
        <v>139</v>
      </c>
      <c r="AE13" s="184" t="s">
        <v>144</v>
      </c>
      <c r="AF13" s="177"/>
      <c r="AG13" s="177"/>
      <c r="AH13" s="177"/>
      <c r="AI13" s="177"/>
      <c r="AJ13" s="177"/>
    </row>
    <row r="14" spans="1:36" x14ac:dyDescent="0.3">
      <c r="A14" s="179" t="s">
        <v>92</v>
      </c>
      <c r="B14" s="180">
        <v>46078</v>
      </c>
      <c r="C14" s="181" t="s">
        <v>109</v>
      </c>
      <c r="D14" s="182" t="s">
        <v>135</v>
      </c>
      <c r="E14" s="181" t="s">
        <v>108</v>
      </c>
      <c r="F14" s="181" t="s">
        <v>94</v>
      </c>
      <c r="G14" s="183">
        <v>9.5200000000000007E-2</v>
      </c>
      <c r="H14" s="184">
        <v>168</v>
      </c>
      <c r="I14" s="184">
        <v>16</v>
      </c>
      <c r="J14" s="184">
        <v>0</v>
      </c>
      <c r="K14" s="181" t="s">
        <v>95</v>
      </c>
      <c r="L14" s="185" t="s">
        <v>55</v>
      </c>
      <c r="M14" s="184">
        <v>0</v>
      </c>
      <c r="N14" s="184">
        <v>0</v>
      </c>
      <c r="O14" s="184">
        <v>16</v>
      </c>
      <c r="P14" s="181" t="s">
        <v>131</v>
      </c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84" t="s">
        <v>110</v>
      </c>
      <c r="AD14" s="184" t="s">
        <v>129</v>
      </c>
      <c r="AE14" s="184" t="s">
        <v>39</v>
      </c>
      <c r="AF14" s="184" t="s">
        <v>148</v>
      </c>
      <c r="AG14" s="177"/>
      <c r="AH14" s="177"/>
      <c r="AI14" s="177"/>
      <c r="AJ14" s="177"/>
    </row>
    <row r="15" spans="1:36" x14ac:dyDescent="0.3">
      <c r="A15" s="179" t="s">
        <v>102</v>
      </c>
      <c r="B15" s="180">
        <v>46082</v>
      </c>
      <c r="C15" s="181" t="s">
        <v>112</v>
      </c>
      <c r="D15" s="182" t="s">
        <v>93</v>
      </c>
      <c r="E15" s="181" t="s">
        <v>108</v>
      </c>
      <c r="F15" s="181" t="s">
        <v>94</v>
      </c>
      <c r="G15" s="183">
        <v>6.5500000000000003E-2</v>
      </c>
      <c r="H15" s="184">
        <v>168</v>
      </c>
      <c r="I15" s="184">
        <v>11</v>
      </c>
      <c r="J15" s="184">
        <v>0</v>
      </c>
      <c r="K15" s="181" t="s">
        <v>95</v>
      </c>
      <c r="L15" s="185" t="s">
        <v>55</v>
      </c>
      <c r="M15" s="184">
        <v>0</v>
      </c>
      <c r="N15" s="184">
        <v>0</v>
      </c>
      <c r="O15" s="184">
        <v>11</v>
      </c>
      <c r="P15" s="181" t="s">
        <v>133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84" t="s">
        <v>61</v>
      </c>
      <c r="AA15" s="184" t="s">
        <v>149</v>
      </c>
      <c r="AB15" s="177"/>
      <c r="AC15" s="184" t="s">
        <v>150</v>
      </c>
      <c r="AD15" s="177"/>
      <c r="AE15" s="177"/>
      <c r="AF15" s="177"/>
      <c r="AG15" s="177"/>
      <c r="AH15" s="177"/>
      <c r="AI15" s="177"/>
      <c r="AJ15" s="177"/>
    </row>
    <row r="16" spans="1:36" ht="21" x14ac:dyDescent="0.3">
      <c r="A16" s="186" t="s">
        <v>151</v>
      </c>
      <c r="B16" s="187"/>
      <c r="C16" s="186">
        <f>SUBTOTAL(103,RUH_ATZ_LF_LEGACY[Flt])</f>
        <v>14</v>
      </c>
      <c r="D16" s="186"/>
      <c r="E16" s="186">
        <f>SUBTOTAL(103,RUH_ATZ_LF_LEGACY[Brd-Off])</f>
        <v>14</v>
      </c>
      <c r="F16" s="186"/>
      <c r="G16" s="188">
        <f>SUBTOTAL(101,RUH_ATZ_LF_LEGACY[LF%])</f>
        <v>5.8671428571428576E-2</v>
      </c>
      <c r="H16" s="189">
        <f>SUBTOTAL(109,RUH_ATZ_LF_LEGACY[CAP])</f>
        <v>2352</v>
      </c>
      <c r="I16" s="189">
        <f>SUBTOTAL(109,RUH_ATZ_LF_LEGACY[BKG(Y)])</f>
        <v>138</v>
      </c>
      <c r="J16" s="189">
        <f>SUBTOTAL(109,RUH_ATZ_LF_LEGACY[GRP(Y)])</f>
        <v>0</v>
      </c>
      <c r="K16" s="186"/>
      <c r="L16" s="187"/>
      <c r="M16" s="189">
        <f>SUBTOTAL(109,RUH_ATZ_LF_LEGACY[TO-DAY])</f>
        <v>0</v>
      </c>
      <c r="N16" s="189">
        <f>SUBTOTAL(109,RUH_ATZ_LF_LEGACY[Y-DAY])</f>
        <v>0</v>
      </c>
      <c r="O16" s="189">
        <f>SUBTOTAL(109,RUH_ATZ_LF_LEGACY[WEEKLY])</f>
        <v>137</v>
      </c>
      <c r="P16" s="190"/>
      <c r="Q16" s="189">
        <f>SUBTOTAL(109,RUH_ATZ_LF_LEGACY[Y])</f>
        <v>0</v>
      </c>
      <c r="R16" s="189">
        <f>SUBTOTAL(109,RUH_ATZ_LF_LEGACY[B])</f>
        <v>0</v>
      </c>
      <c r="S16" s="189">
        <f>SUBTOTAL(109,RUH_ATZ_LF_LEGACY[M])</f>
        <v>0</v>
      </c>
      <c r="T16" s="189">
        <f>SUBTOTAL(109,RUH_ATZ_LF_LEGACY[H])</f>
        <v>0</v>
      </c>
      <c r="U16" s="189">
        <f>SUBTOTAL(109,RUH_ATZ_LF_LEGACY[Q])</f>
        <v>0</v>
      </c>
      <c r="V16" s="189">
        <f>SUBTOTAL(109,RUH_ATZ_LF_LEGACY[K])</f>
        <v>0</v>
      </c>
      <c r="W16" s="189">
        <f>SUBTOTAL(109,RUH_ATZ_LF_LEGACY[V])</f>
        <v>0</v>
      </c>
      <c r="X16" s="189">
        <f>SUBTOTAL(109,RUH_ATZ_LF_LEGACY[L])</f>
        <v>0</v>
      </c>
      <c r="Y16" s="189">
        <f>SUBTOTAL(109,RUH_ATZ_LF_LEGACY[G])</f>
        <v>0</v>
      </c>
      <c r="Z16" s="189">
        <f>SUBTOTAL(109,RUH_ATZ_LF_LEGACY[S])</f>
        <v>0</v>
      </c>
      <c r="AA16" s="189">
        <f>SUBTOTAL(109,RUH_ATZ_LF_LEGACY[W])</f>
        <v>0</v>
      </c>
      <c r="AB16" s="189">
        <f>SUBTOTAL(109,RUH_ATZ_LF_LEGACY[T])</f>
        <v>0</v>
      </c>
      <c r="AC16" s="189">
        <f>SUBTOTAL(109,RUH_ATZ_LF_LEGACY[X])</f>
        <v>0</v>
      </c>
      <c r="AD16" s="189">
        <f>SUBTOTAL(109,RUH_ATZ_LF_LEGACY[U])</f>
        <v>0</v>
      </c>
      <c r="AE16" s="189">
        <f>SUBTOTAL(109,RUH_ATZ_LF_LEGACY[O])</f>
        <v>0</v>
      </c>
      <c r="AF16" s="189">
        <f>SUBTOTAL(109,RUH_ATZ_LF_LEGACY[I])</f>
        <v>0</v>
      </c>
      <c r="AG16" s="189">
        <f>SUBTOTAL(109,RUH_ATZ_LF_LEGACY[E])</f>
        <v>0</v>
      </c>
      <c r="AH16" s="189">
        <f>SUBTOTAL(109,RUH_ATZ_LF_LEGACY[A])</f>
        <v>0</v>
      </c>
      <c r="AI16" s="189">
        <f>SUBTOTAL(109,RUH_ATZ_LF_LEGACY[P])</f>
        <v>0</v>
      </c>
      <c r="AJ16" s="189">
        <f>SUBTOTAL(103,RUH_ATZ_LF_LEGACY[N])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RUH-CAI</vt:lpstr>
      <vt:lpstr>RUH-CAI LF LEGACY</vt:lpstr>
      <vt:lpstr>RUH-ATZ</vt:lpstr>
      <vt:lpstr>RUH-ATZ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2025-11-22T23:43:01Z</dcterms:created>
  <dcterms:modified xsi:type="dcterms:W3CDTF">2025-11-22T23:43:12Z</dcterms:modified>
</cp:coreProperties>
</file>