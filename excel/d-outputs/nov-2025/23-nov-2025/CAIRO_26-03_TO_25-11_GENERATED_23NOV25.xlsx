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4766174-4359-4904-B530-201B566CF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JED" sheetId="3" r:id="rId3"/>
    <sheet name="CAI-JED LF LEGACY" sheetId="4" r:id="rId4"/>
    <sheet name="CAI-RUH" sheetId="5" r:id="rId5"/>
    <sheet name="CAI-RUH LF LEGACY" sheetId="6" r:id="rId6"/>
    <sheet name="CAI-DMM" sheetId="7" r:id="rId7"/>
    <sheet name="CAI-DMM LF LEGACY" sheetId="8" r:id="rId8"/>
    <sheet name="CAI-TUU" sheetId="9" r:id="rId9"/>
    <sheet name="CAI-TUU LF LEGACY" sheetId="10" r:id="rId10"/>
    <sheet name="CAI-AJF" sheetId="11" r:id="rId11"/>
    <sheet name="CAI-AJF LF LEGACY" sheetId="12" r:id="rId12"/>
    <sheet name="CAI-YNB" sheetId="13" r:id="rId13"/>
    <sheet name="CAI-YNB LF LEGACY" sheetId="14" r:id="rId14"/>
    <sheet name="CAI-AHB" sheetId="15" r:id="rId15"/>
    <sheet name="CAI-AHB LF LEGACY" sheetId="16" r:id="rId16"/>
    <sheet name="CAI-ELQ" sheetId="17" r:id="rId17"/>
    <sheet name="CAI-ELQ LF LEGACY" sheetId="18" r:id="rId18"/>
    <sheet name="CAI-GIZ" sheetId="19" r:id="rId19"/>
    <sheet name="CAI-GIZ LF LEGACY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0" l="1"/>
  <c r="E12" i="20"/>
  <c r="G12" i="20"/>
  <c r="H12" i="20"/>
  <c r="I12" i="20"/>
  <c r="J12" i="20"/>
  <c r="M12" i="20"/>
  <c r="N12" i="20"/>
  <c r="O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C17" i="18"/>
  <c r="E17" i="18"/>
  <c r="G17" i="18"/>
  <c r="H17" i="18"/>
  <c r="I17" i="18"/>
  <c r="J17" i="18"/>
  <c r="M17" i="18"/>
  <c r="N17" i="18"/>
  <c r="O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C17" i="16"/>
  <c r="E17" i="16"/>
  <c r="G17" i="16"/>
  <c r="H17" i="16"/>
  <c r="I17" i="16"/>
  <c r="J17" i="16"/>
  <c r="M17" i="16"/>
  <c r="N17" i="16"/>
  <c r="O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C42" i="14"/>
  <c r="E42" i="14"/>
  <c r="G42" i="14"/>
  <c r="H42" i="14"/>
  <c r="I42" i="14"/>
  <c r="J42" i="14"/>
  <c r="M42" i="14"/>
  <c r="N42" i="14"/>
  <c r="O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C16" i="12"/>
  <c r="E16" i="12"/>
  <c r="G16" i="12"/>
  <c r="H16" i="12"/>
  <c r="I16" i="12"/>
  <c r="J16" i="12"/>
  <c r="M16" i="12"/>
  <c r="N16" i="12"/>
  <c r="O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C17" i="10"/>
  <c r="E17" i="10"/>
  <c r="G17" i="10"/>
  <c r="H17" i="10"/>
  <c r="I17" i="10"/>
  <c r="J17" i="10"/>
  <c r="M17" i="10"/>
  <c r="N17" i="10"/>
  <c r="O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C21" i="8"/>
  <c r="E21" i="8"/>
  <c r="G21" i="8"/>
  <c r="H21" i="8"/>
  <c r="I21" i="8"/>
  <c r="J21" i="8"/>
  <c r="M21" i="8"/>
  <c r="N21" i="8"/>
  <c r="O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C45" i="6"/>
  <c r="E45" i="6"/>
  <c r="G45" i="6"/>
  <c r="H45" i="6"/>
  <c r="I45" i="6"/>
  <c r="J45" i="6"/>
  <c r="M45" i="6"/>
  <c r="N45" i="6"/>
  <c r="O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C163" i="4"/>
  <c r="E163" i="4"/>
  <c r="G163" i="4"/>
  <c r="H163" i="4"/>
  <c r="I163" i="4"/>
  <c r="J163" i="4"/>
  <c r="M163" i="4"/>
  <c r="N163" i="4"/>
  <c r="O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C25" i="2"/>
  <c r="E25" i="2"/>
  <c r="G25" i="2"/>
  <c r="H25" i="2"/>
  <c r="I25" i="2"/>
  <c r="J25" i="2"/>
  <c r="M25" i="2"/>
  <c r="N25" i="2"/>
  <c r="O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</calcChain>
</file>

<file path=xl/sharedStrings.xml><?xml version="1.0" encoding="utf-8"?>
<sst xmlns="http://schemas.openxmlformats.org/spreadsheetml/2006/main" count="10723" uniqueCount="378">
  <si>
    <t>COMPREHENSIVE REPORT</t>
  </si>
  <si>
    <t>CAI-MED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</si>
  <si>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</si>
  <si>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</si>
  <si>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</si>
  <si>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</si>
  <si>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</si>
  <si>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</si>
  <si>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</si>
  <si>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</si>
  <si>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</si>
  <si>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</si>
  <si>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</si>
  <si>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</si>
  <si>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</si>
  <si>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</si>
  <si>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</si>
  <si>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</si>
  <si>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</si>
  <si>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</si>
  <si>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</si>
  <si>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</si>
  <si>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</si>
  <si>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</si>
  <si>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</si>
  <si>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</si>
  <si>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</si>
  <si>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</si>
  <si>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</si>
  <si>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SM493</t>
  </si>
  <si>
    <t>30KG + 7KG CABIN</t>
  </si>
  <si>
    <t>LOW DEMAND</t>
  </si>
  <si>
    <t>2026-11-19 00:00:00</t>
  </si>
  <si>
    <t>T6</t>
  </si>
  <si>
    <t>T4</t>
  </si>
  <si>
    <t>NO BOOKINGS YET</t>
  </si>
  <si>
    <t>NIL</t>
  </si>
  <si>
    <t>T9</t>
  </si>
  <si>
    <t>I8</t>
  </si>
  <si>
    <t>O2 &amp; I8 &amp; E40</t>
  </si>
  <si>
    <t>SM495</t>
  </si>
  <si>
    <t>2026-11-02 00:00:00</t>
  </si>
  <si>
    <t>I9</t>
  </si>
  <si>
    <t>O1</t>
  </si>
  <si>
    <t>2026-07-08 00:00:00</t>
  </si>
  <si>
    <t>E25</t>
  </si>
  <si>
    <t>2026-11-11 00:00:00</t>
  </si>
  <si>
    <t>O3 &amp; I2</t>
  </si>
  <si>
    <t>2026-10-11 00:00:00</t>
  </si>
  <si>
    <t>O3 &amp; I4 &amp; E40</t>
  </si>
  <si>
    <t>2026-11-22 00:00:00</t>
  </si>
  <si>
    <t>O1 &amp; I1</t>
  </si>
  <si>
    <t>O6 &amp; I3 &amp; E40</t>
  </si>
  <si>
    <t>2026-11-20 00:00:00</t>
  </si>
  <si>
    <t>I2</t>
  </si>
  <si>
    <t>U5 &amp; O10 &amp; I14</t>
  </si>
  <si>
    <t>U4</t>
  </si>
  <si>
    <t>U7 &amp; O18 &amp; I8</t>
  </si>
  <si>
    <t>SEATS AVAILABLE</t>
  </si>
  <si>
    <t>2026-11-15 00:00:00</t>
  </si>
  <si>
    <t>I3</t>
  </si>
  <si>
    <t>X2 &amp; O16 &amp; I7 &amp; E100</t>
  </si>
  <si>
    <t>O15</t>
  </si>
  <si>
    <t>2026-11-14 00:00:00</t>
  </si>
  <si>
    <t>X2 &amp; O13 &amp; I4 &amp; E25</t>
  </si>
  <si>
    <t>2026-11-21 00:00:00</t>
  </si>
  <si>
    <t>U1</t>
  </si>
  <si>
    <t>G2 &amp; U10 &amp; O12 &amp; I14</t>
  </si>
  <si>
    <t>2026-11-12 00:00:00</t>
  </si>
  <si>
    <t>S2 &amp; X8 &amp; O4 &amp; I7</t>
  </si>
  <si>
    <t>X2 &amp; O12 &amp; I11</t>
  </si>
  <si>
    <t>O2 &amp; I3</t>
  </si>
  <si>
    <t>X2 &amp; O14 &amp; E50</t>
  </si>
  <si>
    <t>X8</t>
  </si>
  <si>
    <t>X3 &amp; U11 &amp; O15 &amp; I11</t>
  </si>
  <si>
    <t>I4</t>
  </si>
  <si>
    <t>S1 &amp; X1 &amp; O11 &amp; I11 &amp; N1</t>
  </si>
  <si>
    <t>2026-10-22 00:00:00</t>
  </si>
  <si>
    <t>X9</t>
  </si>
  <si>
    <t>S3 &amp; E50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</si>
  <si>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</si>
  <si>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</si>
  <si>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</si>
  <si>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</si>
  <si>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</si>
  <si>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</si>
  <si>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</si>
  <si>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</si>
  <si>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</si>
  <si>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</si>
  <si>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</si>
  <si>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</si>
  <si>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</si>
  <si>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</si>
  <si>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</si>
  <si>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</si>
  <si>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</si>
  <si>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</si>
  <si>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</si>
  <si>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</si>
  <si>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</si>
  <si>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</si>
  <si>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</si>
  <si>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</si>
  <si>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</si>
  <si>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</si>
  <si>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</si>
  <si>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</si>
  <si>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</si>
  <si>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</si>
  <si>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09:10</t>
  </si>
  <si>
    <t>320</t>
  </si>
  <si>
    <t>UPCOMING</t>
  </si>
  <si>
    <t>SATURDAY</t>
  </si>
  <si>
    <t>05:40</t>
  </si>
  <si>
    <t>SUNDAY</t>
  </si>
  <si>
    <t>17:50</t>
  </si>
  <si>
    <t>O2</t>
  </si>
  <si>
    <t>E40</t>
  </si>
  <si>
    <t>MONDAY</t>
  </si>
  <si>
    <t>20:50</t>
  </si>
  <si>
    <t>TUESDAY</t>
  </si>
  <si>
    <t>19:40</t>
  </si>
  <si>
    <t>O3</t>
  </si>
  <si>
    <t>I1</t>
  </si>
  <si>
    <t>O6</t>
  </si>
  <si>
    <t>U5</t>
  </si>
  <si>
    <t>O10</t>
  </si>
  <si>
    <t>I14</t>
  </si>
  <si>
    <t>U7</t>
  </si>
  <si>
    <t>O18</t>
  </si>
  <si>
    <t>X2</t>
  </si>
  <si>
    <t>O16</t>
  </si>
  <si>
    <t>I7</t>
  </si>
  <si>
    <t>E100</t>
  </si>
  <si>
    <t>O13</t>
  </si>
  <si>
    <t>G2</t>
  </si>
  <si>
    <t>U10</t>
  </si>
  <si>
    <t>O12</t>
  </si>
  <si>
    <t>S2</t>
  </si>
  <si>
    <t>O4</t>
  </si>
  <si>
    <t>I11</t>
  </si>
  <si>
    <t>O14</t>
  </si>
  <si>
    <t>E50</t>
  </si>
  <si>
    <t>X3</t>
  </si>
  <si>
    <t>U11</t>
  </si>
  <si>
    <t>S1</t>
  </si>
  <si>
    <t>X1</t>
  </si>
  <si>
    <t>O11</t>
  </si>
  <si>
    <t>N1</t>
  </si>
  <si>
    <t>S3</t>
  </si>
  <si>
    <t>CAI-JED</t>
  </si>
  <si>
    <t>SM423</t>
  </si>
  <si>
    <t>2026-10-30 00:00:00</t>
  </si>
  <si>
    <t>SM475</t>
  </si>
  <si>
    <t>U6</t>
  </si>
  <si>
    <t>SM459</t>
  </si>
  <si>
    <t>U2</t>
  </si>
  <si>
    <t>SM477</t>
  </si>
  <si>
    <t>2026-10-28 00:00:00</t>
  </si>
  <si>
    <t>SM471</t>
  </si>
  <si>
    <t>X6</t>
  </si>
  <si>
    <t>X1 &amp; U6</t>
  </si>
  <si>
    <t>SM449</t>
  </si>
  <si>
    <t>SM431</t>
  </si>
  <si>
    <t>2026-11-06 00:00:00</t>
  </si>
  <si>
    <t>X4</t>
  </si>
  <si>
    <t>2026-11-16 00:00:00</t>
  </si>
  <si>
    <t>X7</t>
  </si>
  <si>
    <t>SM479</t>
  </si>
  <si>
    <t>2026-10-29 00:00:00</t>
  </si>
  <si>
    <t>X2 &amp; U9</t>
  </si>
  <si>
    <t>2026-10-12 00:00:00</t>
  </si>
  <si>
    <t>2026-11-08 00:00:00</t>
  </si>
  <si>
    <t>X4 &amp; U6</t>
  </si>
  <si>
    <t>X5</t>
  </si>
  <si>
    <t>S1 &amp; X1 &amp; U7</t>
  </si>
  <si>
    <t>2026-09-29 00:00:00</t>
  </si>
  <si>
    <t>2026-11-13 00:00:00</t>
  </si>
  <si>
    <t>2026-11-17 00:00:00</t>
  </si>
  <si>
    <t>U3</t>
  </si>
  <si>
    <t>U9 &amp; E25</t>
  </si>
  <si>
    <t>2026-11-04 00:00:00</t>
  </si>
  <si>
    <t>U9</t>
  </si>
  <si>
    <t>S1 &amp; U6</t>
  </si>
  <si>
    <t>2026-11-18 00:00:00</t>
  </si>
  <si>
    <t>X1 &amp; U1</t>
  </si>
  <si>
    <t>2026-11-10 00:00:00</t>
  </si>
  <si>
    <t>X3 &amp; U6</t>
  </si>
  <si>
    <t>2026-10-16 00:00:00</t>
  </si>
  <si>
    <t>2026-10-05 00:00:00</t>
  </si>
  <si>
    <t>X1 &amp; U2</t>
  </si>
  <si>
    <t>T5 &amp; X3</t>
  </si>
  <si>
    <t>2026-11-09 00:00:00</t>
  </si>
  <si>
    <t>2026-11-05 00:00:00</t>
  </si>
  <si>
    <t>2026-11-07 00:00:00</t>
  </si>
  <si>
    <t>2026-10-27 00:00:00</t>
  </si>
  <si>
    <t>S6</t>
  </si>
  <si>
    <t>X4 &amp; U3</t>
  </si>
  <si>
    <t>2026-10-10 00:00:00</t>
  </si>
  <si>
    <t>T2 &amp; X9</t>
  </si>
  <si>
    <t>X7 &amp; E40</t>
  </si>
  <si>
    <t>X8 &amp; U5</t>
  </si>
  <si>
    <t>2026-10-24 00:00:00</t>
  </si>
  <si>
    <t>X6 &amp; U6</t>
  </si>
  <si>
    <t>T3 &amp; X9</t>
  </si>
  <si>
    <t>X5 &amp; U6</t>
  </si>
  <si>
    <t>T2 &amp; X10</t>
  </si>
  <si>
    <t>T3 &amp; X10</t>
  </si>
  <si>
    <t>T3</t>
  </si>
  <si>
    <t>T10 &amp; X10 &amp; U4</t>
  </si>
  <si>
    <t>S1 &amp; X10</t>
  </si>
  <si>
    <t>S3 &amp; X6</t>
  </si>
  <si>
    <t>2026-09-08 00:00:00</t>
  </si>
  <si>
    <t>S2 &amp; X4 &amp; U6</t>
  </si>
  <si>
    <t>X2 &amp; U6</t>
  </si>
  <si>
    <t>X10</t>
  </si>
  <si>
    <t>S1 &amp; T5 &amp; X10</t>
  </si>
  <si>
    <t>2026-06-26 00:00:00</t>
  </si>
  <si>
    <t>S2 &amp; X7 &amp; U6</t>
  </si>
  <si>
    <t>S2 &amp; X1 &amp; U6</t>
  </si>
  <si>
    <t>S1 &amp; X1</t>
  </si>
  <si>
    <t>2026-10-25 00:00:00</t>
  </si>
  <si>
    <t>G2 &amp; X2</t>
  </si>
  <si>
    <t>T1 &amp; X10 &amp; U6</t>
  </si>
  <si>
    <t>X7 &amp; U6</t>
  </si>
  <si>
    <t>S2 &amp; X3</t>
  </si>
  <si>
    <t>X6 &amp; E25</t>
  </si>
  <si>
    <t>X1 &amp; U8</t>
  </si>
  <si>
    <t>X1 &amp; U5</t>
  </si>
  <si>
    <t>U8</t>
  </si>
  <si>
    <t>2026-10-21 00:00:00</t>
  </si>
  <si>
    <t>X6 &amp; U10</t>
  </si>
  <si>
    <t>S1 &amp; X1 &amp; U10</t>
  </si>
  <si>
    <t>L9</t>
  </si>
  <si>
    <t>WEDNESDAY</t>
  </si>
  <si>
    <t>05:35</t>
  </si>
  <si>
    <t>07:15</t>
  </si>
  <si>
    <t>08:15</t>
  </si>
  <si>
    <t>10:30</t>
  </si>
  <si>
    <t>22:30</t>
  </si>
  <si>
    <t>01:35</t>
  </si>
  <si>
    <t>03:45</t>
  </si>
  <si>
    <t>04:30</t>
  </si>
  <si>
    <t>09:45</t>
  </si>
  <si>
    <t>13:30</t>
  </si>
  <si>
    <t>FRIDAY</t>
  </si>
  <si>
    <t>03:25</t>
  </si>
  <si>
    <t>06:45</t>
  </si>
  <si>
    <t>13:25</t>
  </si>
  <si>
    <t>18:15</t>
  </si>
  <si>
    <t>01:10</t>
  </si>
  <si>
    <t>12:05</t>
  </si>
  <si>
    <t>21:45</t>
  </si>
  <si>
    <t>08:00</t>
  </si>
  <si>
    <t>10:55</t>
  </si>
  <si>
    <t>19:55</t>
  </si>
  <si>
    <t>05:55</t>
  </si>
  <si>
    <t>19:15</t>
  </si>
  <si>
    <t>01:15</t>
  </si>
  <si>
    <t>13:15</t>
  </si>
  <si>
    <t>18:10</t>
  </si>
  <si>
    <t>19:00</t>
  </si>
  <si>
    <t>T5</t>
  </si>
  <si>
    <t>T2</t>
  </si>
  <si>
    <t>T10</t>
  </si>
  <si>
    <t>T1</t>
  </si>
  <si>
    <t>CAI-RUH</t>
  </si>
  <si>
    <t>SM461</t>
  </si>
  <si>
    <t>SM469</t>
  </si>
  <si>
    <t>U6 &amp; O5</t>
  </si>
  <si>
    <t>U4 &amp; O7</t>
  </si>
  <si>
    <t>W1 &amp; U3 &amp; O6</t>
  </si>
  <si>
    <t>2026-11-03 00:00:00</t>
  </si>
  <si>
    <t>U1 &amp; O1 &amp; I1</t>
  </si>
  <si>
    <t>2026-10-13 00:00:00</t>
  </si>
  <si>
    <t>O7</t>
  </si>
  <si>
    <t>O2 &amp; I2</t>
  </si>
  <si>
    <t>O5</t>
  </si>
  <si>
    <t>O1 &amp; N1</t>
  </si>
  <si>
    <t>O2 &amp; I4</t>
  </si>
  <si>
    <t>G9</t>
  </si>
  <si>
    <t>2026-09-24 00:00:00</t>
  </si>
  <si>
    <t>2026-10-08 00:00:00</t>
  </si>
  <si>
    <t>G1</t>
  </si>
  <si>
    <t>2026-08-01 00:00:00</t>
  </si>
  <si>
    <t>2026-10-15 00:00:00</t>
  </si>
  <si>
    <t>2026-08-13 00:00:00</t>
  </si>
  <si>
    <t>T4 &amp; X8</t>
  </si>
  <si>
    <t>I5</t>
  </si>
  <si>
    <t>I6</t>
  </si>
  <si>
    <t>09:55</t>
  </si>
  <si>
    <t>17:25</t>
  </si>
  <si>
    <t>W1</t>
  </si>
  <si>
    <t>10:15</t>
  </si>
  <si>
    <t>17:10</t>
  </si>
  <si>
    <t>CAI-DMM</t>
  </si>
  <si>
    <t>SM433</t>
  </si>
  <si>
    <t>U8 &amp; O4</t>
  </si>
  <si>
    <t>U1 &amp; O6</t>
  </si>
  <si>
    <t>G1 &amp; S1 &amp; W3 &amp; T5 &amp; X4 &amp; U7 &amp; O3</t>
  </si>
  <si>
    <t>O5 &amp; I2</t>
  </si>
  <si>
    <t>W2 &amp; X2 &amp; U7 &amp; O1 &amp; I3</t>
  </si>
  <si>
    <t>O2 &amp; I5</t>
  </si>
  <si>
    <t>2026-09-14 00:00:00</t>
  </si>
  <si>
    <t>G1 &amp; X1</t>
  </si>
  <si>
    <t>2026-09-12 00:00:00</t>
  </si>
  <si>
    <t>X2 &amp; O3 &amp; I3</t>
  </si>
  <si>
    <t>17:20</t>
  </si>
  <si>
    <t>W3</t>
  </si>
  <si>
    <t>01:40</t>
  </si>
  <si>
    <t>W2</t>
  </si>
  <si>
    <t>CAI-TUU</t>
  </si>
  <si>
    <t>SM325</t>
  </si>
  <si>
    <t>2026-09-21 00:00:00</t>
  </si>
  <si>
    <t>G8</t>
  </si>
  <si>
    <t>17:05</t>
  </si>
  <si>
    <t>20:05</t>
  </si>
  <si>
    <t>CAI-AJF</t>
  </si>
  <si>
    <t>SM321</t>
  </si>
  <si>
    <t>2026-10-18 00:00:00</t>
  </si>
  <si>
    <t>W1 &amp; O1</t>
  </si>
  <si>
    <t>2026-09-30 00:00:00</t>
  </si>
  <si>
    <t>G7</t>
  </si>
  <si>
    <t>18:25</t>
  </si>
  <si>
    <t>17:15</t>
  </si>
  <si>
    <t>07:30</t>
  </si>
  <si>
    <t>CAI-YNB</t>
  </si>
  <si>
    <t>SM441</t>
  </si>
  <si>
    <t>X2 &amp; U1</t>
  </si>
  <si>
    <t>O9</t>
  </si>
  <si>
    <t>2026-11-01 00:00:00</t>
  </si>
  <si>
    <t>T1 &amp; X2</t>
  </si>
  <si>
    <t>T2 &amp; X2</t>
  </si>
  <si>
    <t>2026-10-23 00:00:00</t>
  </si>
  <si>
    <t>T3 &amp; X1</t>
  </si>
  <si>
    <t>SM931</t>
  </si>
  <si>
    <t>FULLY BOOKED</t>
  </si>
  <si>
    <t>CLOSED</t>
  </si>
  <si>
    <t>2026-04-28 00:00:00</t>
  </si>
  <si>
    <t>SM933</t>
  </si>
  <si>
    <t>SM941</t>
  </si>
  <si>
    <t>2026-10-14 00:00:00</t>
  </si>
  <si>
    <t>19:50</t>
  </si>
  <si>
    <t>04:00</t>
  </si>
  <si>
    <t>03:00</t>
  </si>
  <si>
    <t>05:10</t>
  </si>
  <si>
    <t>20:00</t>
  </si>
  <si>
    <t>01:05</t>
  </si>
  <si>
    <t>02:05</t>
  </si>
  <si>
    <t>05:00</t>
  </si>
  <si>
    <t>CAI-AHB</t>
  </si>
  <si>
    <t>SM447</t>
  </si>
  <si>
    <t>SM443</t>
  </si>
  <si>
    <t>W1 &amp; O2</t>
  </si>
  <si>
    <t>W1 &amp; X5 &amp; U3 &amp; O2</t>
  </si>
  <si>
    <t>X4 &amp; O1</t>
  </si>
  <si>
    <t>2026-09-22 00:00:00</t>
  </si>
  <si>
    <t>G5</t>
  </si>
  <si>
    <t>X1 &amp; I4</t>
  </si>
  <si>
    <t>20:15</t>
  </si>
  <si>
    <t>CAI-ELQ</t>
  </si>
  <si>
    <t>SM427</t>
  </si>
  <si>
    <t>G2 &amp; W1 &amp; U4 &amp; O2</t>
  </si>
  <si>
    <t>U1 &amp; O4 &amp; I1</t>
  </si>
  <si>
    <t>O4 &amp; I1</t>
  </si>
  <si>
    <t>2026-10-01 00:00:00</t>
  </si>
  <si>
    <t>O1 &amp; I3</t>
  </si>
  <si>
    <t>2026-09-27 00:00:00</t>
  </si>
  <si>
    <t>15:10</t>
  </si>
  <si>
    <t>CAI-GIZ</t>
  </si>
  <si>
    <t>SM329</t>
  </si>
  <si>
    <t>W2 &amp; X1 &amp; O1</t>
  </si>
  <si>
    <t>O1 &amp; I4</t>
  </si>
  <si>
    <t>2026-09-28 00:00:00</t>
  </si>
  <si>
    <t>2026-09-25 00:00:00</t>
  </si>
  <si>
    <t>19:30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</si>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</sst>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168" fontId="14" fillId="13" borderId="11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>
      <alignment horizontal="center" vertical="center"/>
    </xf>
    <xf numFmtId="16" fontId="13" fillId="13" borderId="11" xfId="0" applyNumberFormat="1" applyFont="1" applyFill="1" applyBorder="1" applyAlignment="1">
      <alignment horizontal="center" vertical="center"/>
    </xf>
    <xf numFmtId="49" fontId="15" fillId="13" borderId="11" xfId="0" applyNumberFormat="1" applyFont="1" applyFill="1" applyBorder="1" applyAlignment="1">
      <alignment horizontal="center" vertical="center"/>
    </xf>
    <xf numFmtId="167" fontId="13" fillId="13" borderId="11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17" fillId="12" borderId="2" xfId="0" applyNumberFormat="1" applyFont="1" applyFill="1" applyBorder="1" applyAlignment="1">
      <alignment horizontal="center" vertical="center"/>
    </xf>
    <xf numFmtId="167" fontId="17" fillId="12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168" fontId="14" fillId="12" borderId="11" xfId="0" applyNumberFormat="1" applyFont="1" applyFill="1" applyBorder="1" applyAlignment="1">
      <alignment horizontal="center" vertical="center"/>
    </xf>
    <xf numFmtId="1" fontId="13" fillId="12" borderId="11" xfId="0" applyNumberFormat="1" applyFont="1" applyFill="1" applyBorder="1" applyAlignment="1">
      <alignment horizontal="center" vertical="center"/>
    </xf>
    <xf numFmtId="16" fontId="13" fillId="12" borderId="11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167" fontId="13" fillId="12" borderId="11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7" fillId="14" borderId="2" xfId="0" applyNumberFormat="1" applyFont="1" applyFill="1" applyBorder="1" applyAlignment="1">
      <alignment horizontal="center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168" fontId="14" fillId="14" borderId="11" xfId="0" applyNumberFormat="1" applyFont="1" applyFill="1" applyBorder="1" applyAlignment="1">
      <alignment horizontal="center" vertical="center"/>
    </xf>
    <xf numFmtId="1" fontId="13" fillId="14" borderId="11" xfId="0" applyNumberFormat="1" applyFont="1" applyFill="1" applyBorder="1" applyAlignment="1">
      <alignment horizontal="center" vertical="center"/>
    </xf>
    <xf numFmtId="16" fontId="13" fillId="14" borderId="11" xfId="0" applyNumberFormat="1" applyFont="1" applyFill="1" applyBorder="1" applyAlignment="1">
      <alignment horizontal="center" vertical="center"/>
    </xf>
    <xf numFmtId="49" fontId="15" fillId="14" borderId="11" xfId="0" applyNumberFormat="1" applyFont="1" applyFill="1" applyBorder="1" applyAlignment="1">
      <alignment horizontal="center" vertical="center"/>
    </xf>
    <xf numFmtId="167" fontId="13" fillId="14" borderId="11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67" fontId="17" fillId="15" borderId="13" xfId="0" applyNumberFormat="1" applyFont="1" applyFill="1" applyBorder="1" applyAlignment="1">
      <alignment horizontal="center" vertical="center"/>
    </xf>
    <xf numFmtId="0" fontId="17" fillId="15" borderId="13" xfId="0" applyFont="1" applyFill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/>
    </xf>
    <xf numFmtId="167" fontId="17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168" fontId="14" fillId="8" borderId="11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/>
    </xf>
    <xf numFmtId="16" fontId="13" fillId="8" borderId="11" xfId="0" applyNumberFormat="1" applyFont="1" applyFill="1" applyBorder="1" applyAlignment="1">
      <alignment horizontal="center" vertical="center"/>
    </xf>
    <xf numFmtId="49" fontId="15" fillId="8" borderId="11" xfId="0" applyNumberFormat="1" applyFont="1" applyFill="1" applyBorder="1" applyAlignment="1">
      <alignment horizontal="center" vertical="center"/>
    </xf>
    <xf numFmtId="167" fontId="13" fillId="8" borderId="11" xfId="0" applyNumberFormat="1" applyFont="1" applyFill="1" applyBorder="1" applyAlignment="1">
      <alignment horizontal="center" vertical="center"/>
    </xf>
    <xf numFmtId="49" fontId="13" fillId="8" borderId="12" xfId="0" applyNumberFormat="1" applyFont="1" applyFill="1" applyBorder="1" applyAlignment="1">
      <alignment horizontal="center" vertical="center"/>
    </xf>
    <xf numFmtId="49" fontId="17" fillId="13" borderId="2" xfId="0" applyNumberFormat="1" applyFont="1" applyFill="1" applyBorder="1" applyAlignment="1">
      <alignment horizontal="center" vertical="center"/>
    </xf>
    <xf numFmtId="167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49" fontId="17" fillId="11" borderId="2" xfId="0" applyNumberFormat="1" applyFont="1" applyFill="1" applyBorder="1" applyAlignment="1">
      <alignment horizontal="center" vertical="center"/>
    </xf>
    <xf numFmtId="167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168" fontId="14" fillId="11" borderId="11" xfId="0" applyNumberFormat="1" applyFont="1" applyFill="1" applyBorder="1" applyAlignment="1">
      <alignment horizontal="center" vertical="center"/>
    </xf>
    <xf numFmtId="1" fontId="13" fillId="11" borderId="11" xfId="0" applyNumberFormat="1" applyFont="1" applyFill="1" applyBorder="1" applyAlignment="1">
      <alignment horizontal="center" vertical="center"/>
    </xf>
    <xf numFmtId="16" fontId="13" fillId="11" borderId="11" xfId="0" applyNumberFormat="1" applyFont="1" applyFill="1" applyBorder="1" applyAlignment="1">
      <alignment horizontal="center" vertical="center"/>
    </xf>
    <xf numFmtId="49" fontId="15" fillId="11" borderId="11" xfId="0" applyNumberFormat="1" applyFont="1" applyFill="1" applyBorder="1" applyAlignment="1">
      <alignment horizontal="center" vertical="center"/>
    </xf>
    <xf numFmtId="167" fontId="13" fillId="11" borderId="11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17" fillId="16" borderId="2" xfId="0" applyNumberFormat="1" applyFont="1" applyFill="1" applyBorder="1" applyAlignment="1">
      <alignment horizontal="center" vertical="center"/>
    </xf>
    <xf numFmtId="167" fontId="17" fillId="16" borderId="2" xfId="0" applyNumberFormat="1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4" fillId="16" borderId="11" xfId="0" applyNumberFormat="1" applyFont="1" applyFill="1" applyBorder="1" applyAlignment="1">
      <alignment horizontal="center" vertical="center"/>
    </xf>
    <xf numFmtId="1" fontId="13" fillId="16" borderId="11" xfId="0" applyNumberFormat="1" applyFont="1" applyFill="1" applyBorder="1" applyAlignment="1">
      <alignment horizontal="center" vertical="center"/>
    </xf>
    <xf numFmtId="16" fontId="13" fillId="16" borderId="11" xfId="0" applyNumberFormat="1" applyFont="1" applyFill="1" applyBorder="1" applyAlignment="1">
      <alignment horizontal="center" vertical="center"/>
    </xf>
    <xf numFmtId="49" fontId="15" fillId="16" borderId="11" xfId="0" applyNumberFormat="1" applyFont="1" applyFill="1" applyBorder="1" applyAlignment="1">
      <alignment horizontal="center" vertical="center"/>
    </xf>
    <xf numFmtId="167" fontId="13" fillId="16" borderId="1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67" fontId="17" fillId="14" borderId="13" xfId="0" applyNumberFormat="1" applyFont="1" applyFill="1" applyBorder="1" applyAlignment="1">
      <alignment horizontal="center" vertical="center"/>
    </xf>
    <xf numFmtId="0" fontId="17" fillId="14" borderId="13" xfId="0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67" fontId="17" fillId="13" borderId="13" xfId="0" applyNumberFormat="1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168" fontId="14" fillId="15" borderId="11" xfId="0" applyNumberFormat="1" applyFont="1" applyFill="1" applyBorder="1" applyAlignment="1">
      <alignment horizontal="center" vertical="center"/>
    </xf>
    <xf numFmtId="1" fontId="13" fillId="15" borderId="11" xfId="0" applyNumberFormat="1" applyFont="1" applyFill="1" applyBorder="1" applyAlignment="1">
      <alignment horizontal="center" vertical="center"/>
    </xf>
    <xf numFmtId="16" fontId="13" fillId="15" borderId="11" xfId="0" applyNumberFormat="1" applyFont="1" applyFill="1" applyBorder="1" applyAlignment="1">
      <alignment horizontal="center" vertical="center"/>
    </xf>
    <xf numFmtId="49" fontId="15" fillId="15" borderId="11" xfId="0" applyNumberFormat="1" applyFont="1" applyFill="1" applyBorder="1" applyAlignment="1">
      <alignment horizontal="center" vertical="center"/>
    </xf>
    <xf numFmtId="167" fontId="13" fillId="15" borderId="11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7" fillId="10" borderId="2" xfId="0" applyNumberFormat="1" applyFont="1" applyFill="1" applyBorder="1" applyAlignment="1">
      <alignment horizontal="center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168" fontId="14" fillId="10" borderId="11" xfId="0" applyNumberFormat="1" applyFont="1" applyFill="1" applyBorder="1" applyAlignment="1">
      <alignment horizontal="center" vertical="center"/>
    </xf>
    <xf numFmtId="1" fontId="13" fillId="10" borderId="11" xfId="0" applyNumberFormat="1" applyFont="1" applyFill="1" applyBorder="1" applyAlignment="1">
      <alignment horizontal="center" vertical="center"/>
    </xf>
    <xf numFmtId="16" fontId="13" fillId="10" borderId="11" xfId="0" applyNumberFormat="1" applyFont="1" applyFill="1" applyBorder="1" applyAlignment="1">
      <alignment horizontal="center" vertical="center"/>
    </xf>
    <xf numFmtId="49" fontId="15" fillId="10" borderId="11" xfId="0" applyNumberFormat="1" applyFont="1" applyFill="1" applyBorder="1" applyAlignment="1">
      <alignment horizontal="center" vertical="center"/>
    </xf>
    <xf numFmtId="167" fontId="13" fillId="10" borderId="1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67" fontId="17" fillId="16" borderId="13" xfId="0" applyNumberFormat="1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49" fontId="17" fillId="15" borderId="2" xfId="0" applyNumberFormat="1" applyFont="1" applyFill="1" applyBorder="1" applyAlignment="1">
      <alignment horizontal="center" vertical="center"/>
    </xf>
    <xf numFmtId="167" fontId="17" fillId="15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67" fontId="17" fillId="10" borderId="13" xfId="0" applyNumberFormat="1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67" fontId="17" fillId="12" borderId="13" xfId="0" applyNumberFormat="1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/>
    </xf>
    <xf numFmtId="49" fontId="17" fillId="8" borderId="13" xfId="0" applyNumberFormat="1" applyFont="1" applyFill="1" applyBorder="1" applyAlignment="1">
      <alignment horizontal="center" vertical="center"/>
    </xf>
    <xf numFmtId="167" fontId="17" fillId="8" borderId="13" xfId="0" applyNumberFormat="1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67" fontId="17" fillId="11" borderId="13" xfId="0" applyNumberFormat="1" applyFont="1" applyFill="1" applyBorder="1" applyAlignment="1">
      <alignment horizontal="center" vertical="center"/>
    </xf>
    <xf numFmtId="0" fontId="17" fillId="11" borderId="13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7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I_MED_LF_LEGACY" displayName="CAI_MED_LF_LEGACY" ref="A1:AJ25" totalsRowCount="1" headerRowDxfId="749" dataDxfId="712" totalsRowDxfId="675">
  <tableColumns count="36">
    <tableColumn id="1" xr3:uid="{00000000-0010-0000-0000-000001000000}" name="Day" totalsRowLabel="TOTAL" dataDxfId="748" totalsRowDxfId="711"/>
    <tableColumn id="2" xr3:uid="{00000000-0010-0000-0000-000002000000}" name="Flt Dt" dataDxfId="747" totalsRowDxfId="710"/>
    <tableColumn id="3" xr3:uid="{00000000-0010-0000-0000-000003000000}" name="Flt" totalsRowFunction="count" dataDxfId="746" totalsRowDxfId="709"/>
    <tableColumn id="4" xr3:uid="{00000000-0010-0000-0000-000004000000}" name="DEP" dataDxfId="745" totalsRowDxfId="708"/>
    <tableColumn id="5" xr3:uid="{00000000-0010-0000-0000-000005000000}" name="Brd-Off" totalsRowFunction="count" dataDxfId="744" totalsRowDxfId="707"/>
    <tableColumn id="6" xr3:uid="{00000000-0010-0000-0000-000006000000}" name="Eqp" dataDxfId="743" totalsRowDxfId="706"/>
    <tableColumn id="7" xr3:uid="{00000000-0010-0000-0000-000007000000}" name="LF%" totalsRowFunction="average" dataDxfId="742" totalsRowDxfId="705"/>
    <tableColumn id="8" xr3:uid="{00000000-0010-0000-0000-000008000000}" name="CAP" totalsRowFunction="sum" dataDxfId="741" totalsRowDxfId="704"/>
    <tableColumn id="9" xr3:uid="{00000000-0010-0000-0000-000009000000}" name="BKG(Y)" totalsRowFunction="sum" dataDxfId="740" totalsRowDxfId="703"/>
    <tableColumn id="10" xr3:uid="{00000000-0010-0000-0000-00000A000000}" name="GRP(Y)" totalsRowFunction="sum" dataDxfId="739" totalsRowDxfId="702"/>
    <tableColumn id="11" xr3:uid="{00000000-0010-0000-0000-00000B000000}" name="FLT ST" dataDxfId="738" totalsRowDxfId="701"/>
    <tableColumn id="12" xr3:uid="{00000000-0010-0000-0000-00000C000000}" name="LST-SOLD" dataDxfId="737" totalsRowDxfId="700"/>
    <tableColumn id="13" xr3:uid="{00000000-0010-0000-0000-00000D000000}" name="TO-DAY" totalsRowFunction="sum" dataDxfId="736" totalsRowDxfId="699"/>
    <tableColumn id="14" xr3:uid="{00000000-0010-0000-0000-00000E000000}" name="Y-DAY" totalsRowFunction="sum" dataDxfId="735" totalsRowDxfId="698"/>
    <tableColumn id="15" xr3:uid="{00000000-0010-0000-0000-00000F000000}" name="WEEKLY" totalsRowFunction="sum" dataDxfId="734" totalsRowDxfId="697"/>
    <tableColumn id="16" xr3:uid="{00000000-0010-0000-0000-000010000000}" name="LOWEST AVAIL" dataDxfId="733" totalsRowDxfId="696"/>
    <tableColumn id="17" xr3:uid="{00000000-0010-0000-0000-000011000000}" name="Y" totalsRowFunction="sum" dataDxfId="732" totalsRowDxfId="695"/>
    <tableColumn id="18" xr3:uid="{00000000-0010-0000-0000-000012000000}" name="B" totalsRowFunction="sum" dataDxfId="731" totalsRowDxfId="694"/>
    <tableColumn id="19" xr3:uid="{00000000-0010-0000-0000-000013000000}" name="M" totalsRowFunction="sum" dataDxfId="730" totalsRowDxfId="693"/>
    <tableColumn id="20" xr3:uid="{00000000-0010-0000-0000-000014000000}" name="H" totalsRowFunction="sum" dataDxfId="729" totalsRowDxfId="692"/>
    <tableColumn id="21" xr3:uid="{00000000-0010-0000-0000-000015000000}" name="Q" totalsRowFunction="sum" dataDxfId="728" totalsRowDxfId="691"/>
    <tableColumn id="22" xr3:uid="{00000000-0010-0000-0000-000016000000}" name="K" totalsRowFunction="sum" dataDxfId="727" totalsRowDxfId="690"/>
    <tableColumn id="23" xr3:uid="{00000000-0010-0000-0000-000017000000}" name="V" totalsRowFunction="sum" dataDxfId="726" totalsRowDxfId="689"/>
    <tableColumn id="24" xr3:uid="{00000000-0010-0000-0000-000018000000}" name="L" totalsRowFunction="sum" dataDxfId="725" totalsRowDxfId="688"/>
    <tableColumn id="25" xr3:uid="{00000000-0010-0000-0000-000019000000}" name="G" totalsRowFunction="sum" dataDxfId="724" totalsRowDxfId="687"/>
    <tableColumn id="26" xr3:uid="{00000000-0010-0000-0000-00001A000000}" name="S" totalsRowFunction="sum" dataDxfId="723" totalsRowDxfId="686"/>
    <tableColumn id="27" xr3:uid="{00000000-0010-0000-0000-00001B000000}" name="W" totalsRowFunction="sum" dataDxfId="722" totalsRowDxfId="685"/>
    <tableColumn id="28" xr3:uid="{00000000-0010-0000-0000-00001C000000}" name="T" totalsRowFunction="sum" dataDxfId="721" totalsRowDxfId="684"/>
    <tableColumn id="29" xr3:uid="{00000000-0010-0000-0000-00001D000000}" name="X" totalsRowFunction="sum" dataDxfId="720" totalsRowDxfId="683"/>
    <tableColumn id="30" xr3:uid="{00000000-0010-0000-0000-00001E000000}" name="U" totalsRowFunction="sum" dataDxfId="719" totalsRowDxfId="682"/>
    <tableColumn id="31" xr3:uid="{00000000-0010-0000-0000-00001F000000}" name="O" totalsRowFunction="sum" dataDxfId="718" totalsRowDxfId="681"/>
    <tableColumn id="32" xr3:uid="{00000000-0010-0000-0000-000020000000}" name="I" totalsRowFunction="sum" dataDxfId="717" totalsRowDxfId="680"/>
    <tableColumn id="33" xr3:uid="{00000000-0010-0000-0000-000021000000}" name="E" totalsRowFunction="sum" dataDxfId="716" totalsRowDxfId="679"/>
    <tableColumn id="34" xr3:uid="{00000000-0010-0000-0000-000022000000}" name="A" totalsRowFunction="sum" dataDxfId="715" totalsRowDxfId="678"/>
    <tableColumn id="35" xr3:uid="{00000000-0010-0000-0000-000023000000}" name="P" totalsRowFunction="sum" dataDxfId="714" totalsRowDxfId="677"/>
    <tableColumn id="36" xr3:uid="{00000000-0010-0000-0000-000024000000}" name="N" totalsRowFunction="count" dataDxfId="713" totalsRowDxfId="6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I_JED_LF_LEGACY" displayName="CAI_JED_LF_LEGACY" ref="A1:AJ163" totalsRowCount="1" headerRowDxfId="674" dataDxfId="637" totalsRowDxfId="600">
  <tableColumns count="36">
    <tableColumn id="1" xr3:uid="{00000000-0010-0000-0100-000001000000}" name="Day" totalsRowLabel="TOTAL" dataDxfId="673" totalsRowDxfId="636"/>
    <tableColumn id="2" xr3:uid="{00000000-0010-0000-0100-000002000000}" name="Flt Dt" dataDxfId="672" totalsRowDxfId="635"/>
    <tableColumn id="3" xr3:uid="{00000000-0010-0000-0100-000003000000}" name="Flt" totalsRowFunction="count" dataDxfId="671" totalsRowDxfId="634"/>
    <tableColumn id="4" xr3:uid="{00000000-0010-0000-0100-000004000000}" name="DEP" dataDxfId="670" totalsRowDxfId="633"/>
    <tableColumn id="5" xr3:uid="{00000000-0010-0000-0100-000005000000}" name="Brd-Off" totalsRowFunction="count" dataDxfId="669" totalsRowDxfId="632"/>
    <tableColumn id="6" xr3:uid="{00000000-0010-0000-0100-000006000000}" name="Eqp" dataDxfId="668" totalsRowDxfId="631"/>
    <tableColumn id="7" xr3:uid="{00000000-0010-0000-0100-000007000000}" name="LF%" totalsRowFunction="average" dataDxfId="667" totalsRowDxfId="630"/>
    <tableColumn id="8" xr3:uid="{00000000-0010-0000-0100-000008000000}" name="CAP" totalsRowFunction="sum" dataDxfId="666" totalsRowDxfId="629"/>
    <tableColumn id="9" xr3:uid="{00000000-0010-0000-0100-000009000000}" name="BKG(Y)" totalsRowFunction="sum" dataDxfId="665" totalsRowDxfId="628"/>
    <tableColumn id="10" xr3:uid="{00000000-0010-0000-0100-00000A000000}" name="GRP(Y)" totalsRowFunction="sum" dataDxfId="664" totalsRowDxfId="627"/>
    <tableColumn id="11" xr3:uid="{00000000-0010-0000-0100-00000B000000}" name="FLT ST" dataDxfId="663" totalsRowDxfId="626"/>
    <tableColumn id="12" xr3:uid="{00000000-0010-0000-0100-00000C000000}" name="LST-SOLD" dataDxfId="662" totalsRowDxfId="625"/>
    <tableColumn id="13" xr3:uid="{00000000-0010-0000-0100-00000D000000}" name="TO-DAY" totalsRowFunction="sum" dataDxfId="661" totalsRowDxfId="624"/>
    <tableColumn id="14" xr3:uid="{00000000-0010-0000-0100-00000E000000}" name="Y-DAY" totalsRowFunction="sum" dataDxfId="660" totalsRowDxfId="623"/>
    <tableColumn id="15" xr3:uid="{00000000-0010-0000-0100-00000F000000}" name="WEEKLY" totalsRowFunction="sum" dataDxfId="659" totalsRowDxfId="622"/>
    <tableColumn id="16" xr3:uid="{00000000-0010-0000-0100-000010000000}" name="LOWEST AVAIL" dataDxfId="658" totalsRowDxfId="621"/>
    <tableColumn id="17" xr3:uid="{00000000-0010-0000-0100-000011000000}" name="Y" totalsRowFunction="sum" dataDxfId="657" totalsRowDxfId="620"/>
    <tableColumn id="18" xr3:uid="{00000000-0010-0000-0100-000012000000}" name="B" totalsRowFunction="sum" dataDxfId="656" totalsRowDxfId="619"/>
    <tableColumn id="19" xr3:uid="{00000000-0010-0000-0100-000013000000}" name="M" totalsRowFunction="sum" dataDxfId="655" totalsRowDxfId="618"/>
    <tableColumn id="20" xr3:uid="{00000000-0010-0000-0100-000014000000}" name="H" totalsRowFunction="sum" dataDxfId="654" totalsRowDxfId="617"/>
    <tableColumn id="21" xr3:uid="{00000000-0010-0000-0100-000015000000}" name="Q" totalsRowFunction="sum" dataDxfId="653" totalsRowDxfId="616"/>
    <tableColumn id="22" xr3:uid="{00000000-0010-0000-0100-000016000000}" name="K" totalsRowFunction="sum" dataDxfId="652" totalsRowDxfId="615"/>
    <tableColumn id="23" xr3:uid="{00000000-0010-0000-0100-000017000000}" name="V" totalsRowFunction="sum" dataDxfId="651" totalsRowDxfId="614"/>
    <tableColumn id="24" xr3:uid="{00000000-0010-0000-0100-000018000000}" name="L" totalsRowFunction="sum" dataDxfId="650" totalsRowDxfId="613"/>
    <tableColumn id="25" xr3:uid="{00000000-0010-0000-0100-000019000000}" name="G" totalsRowFunction="sum" dataDxfId="649" totalsRowDxfId="612"/>
    <tableColumn id="26" xr3:uid="{00000000-0010-0000-0100-00001A000000}" name="S" totalsRowFunction="sum" dataDxfId="648" totalsRowDxfId="611"/>
    <tableColumn id="27" xr3:uid="{00000000-0010-0000-0100-00001B000000}" name="W" totalsRowFunction="sum" dataDxfId="647" totalsRowDxfId="610"/>
    <tableColumn id="28" xr3:uid="{00000000-0010-0000-0100-00001C000000}" name="T" totalsRowFunction="sum" dataDxfId="646" totalsRowDxfId="609"/>
    <tableColumn id="29" xr3:uid="{00000000-0010-0000-0100-00001D000000}" name="X" totalsRowFunction="sum" dataDxfId="645" totalsRowDxfId="608"/>
    <tableColumn id="30" xr3:uid="{00000000-0010-0000-0100-00001E000000}" name="U" totalsRowFunction="sum" dataDxfId="644" totalsRowDxfId="607"/>
    <tableColumn id="31" xr3:uid="{00000000-0010-0000-0100-00001F000000}" name="O" totalsRowFunction="sum" dataDxfId="643" totalsRowDxfId="606"/>
    <tableColumn id="32" xr3:uid="{00000000-0010-0000-0100-000020000000}" name="I" totalsRowFunction="sum" dataDxfId="642" totalsRowDxfId="605"/>
    <tableColumn id="33" xr3:uid="{00000000-0010-0000-0100-000021000000}" name="E" totalsRowFunction="sum" dataDxfId="641" totalsRowDxfId="604"/>
    <tableColumn id="34" xr3:uid="{00000000-0010-0000-0100-000022000000}" name="A" totalsRowFunction="sum" dataDxfId="640" totalsRowDxfId="603"/>
    <tableColumn id="35" xr3:uid="{00000000-0010-0000-0100-000023000000}" name="P" totalsRowFunction="sum" dataDxfId="639" totalsRowDxfId="602"/>
    <tableColumn id="36" xr3:uid="{00000000-0010-0000-0100-000024000000}" name="N" totalsRowFunction="count" dataDxfId="638" totalsRowDxfId="60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I_RUH_LF_LEGACY" displayName="CAI_RUH_LF_LEGACY" ref="A1:AJ45" totalsRowCount="1" headerRowDxfId="599" dataDxfId="562" totalsRowDxfId="525">
  <tableColumns count="36">
    <tableColumn id="1" xr3:uid="{00000000-0010-0000-0200-000001000000}" name="Day" totalsRowLabel="TOTAL" dataDxfId="598" totalsRowDxfId="561"/>
    <tableColumn id="2" xr3:uid="{00000000-0010-0000-0200-000002000000}" name="Flt Dt" dataDxfId="597" totalsRowDxfId="560"/>
    <tableColumn id="3" xr3:uid="{00000000-0010-0000-0200-000003000000}" name="Flt" totalsRowFunction="count" dataDxfId="596" totalsRowDxfId="559"/>
    <tableColumn id="4" xr3:uid="{00000000-0010-0000-0200-000004000000}" name="DEP" dataDxfId="595" totalsRowDxfId="558"/>
    <tableColumn id="5" xr3:uid="{00000000-0010-0000-0200-000005000000}" name="Brd-Off" totalsRowFunction="count" dataDxfId="594" totalsRowDxfId="557"/>
    <tableColumn id="6" xr3:uid="{00000000-0010-0000-0200-000006000000}" name="Eqp" dataDxfId="593" totalsRowDxfId="556"/>
    <tableColumn id="7" xr3:uid="{00000000-0010-0000-0200-000007000000}" name="LF%" totalsRowFunction="average" dataDxfId="592" totalsRowDxfId="555"/>
    <tableColumn id="8" xr3:uid="{00000000-0010-0000-0200-000008000000}" name="CAP" totalsRowFunction="sum" dataDxfId="591" totalsRowDxfId="554"/>
    <tableColumn id="9" xr3:uid="{00000000-0010-0000-0200-000009000000}" name="BKG(Y)" totalsRowFunction="sum" dataDxfId="590" totalsRowDxfId="553"/>
    <tableColumn id="10" xr3:uid="{00000000-0010-0000-0200-00000A000000}" name="GRP(Y)" totalsRowFunction="sum" dataDxfId="589" totalsRowDxfId="552"/>
    <tableColumn id="11" xr3:uid="{00000000-0010-0000-0200-00000B000000}" name="FLT ST" dataDxfId="588" totalsRowDxfId="551"/>
    <tableColumn id="12" xr3:uid="{00000000-0010-0000-0200-00000C000000}" name="LST-SOLD" dataDxfId="587" totalsRowDxfId="550"/>
    <tableColumn id="13" xr3:uid="{00000000-0010-0000-0200-00000D000000}" name="TO-DAY" totalsRowFunction="sum" dataDxfId="586" totalsRowDxfId="549"/>
    <tableColumn id="14" xr3:uid="{00000000-0010-0000-0200-00000E000000}" name="Y-DAY" totalsRowFunction="sum" dataDxfId="585" totalsRowDxfId="548"/>
    <tableColumn id="15" xr3:uid="{00000000-0010-0000-0200-00000F000000}" name="WEEKLY" totalsRowFunction="sum" dataDxfId="584" totalsRowDxfId="547"/>
    <tableColumn id="16" xr3:uid="{00000000-0010-0000-0200-000010000000}" name="LOWEST AVAIL" dataDxfId="583" totalsRowDxfId="546"/>
    <tableColumn id="17" xr3:uid="{00000000-0010-0000-0200-000011000000}" name="Y" totalsRowFunction="sum" dataDxfId="582" totalsRowDxfId="545"/>
    <tableColumn id="18" xr3:uid="{00000000-0010-0000-0200-000012000000}" name="B" totalsRowFunction="sum" dataDxfId="581" totalsRowDxfId="544"/>
    <tableColumn id="19" xr3:uid="{00000000-0010-0000-0200-000013000000}" name="M" totalsRowFunction="sum" dataDxfId="580" totalsRowDxfId="543"/>
    <tableColumn id="20" xr3:uid="{00000000-0010-0000-0200-000014000000}" name="H" totalsRowFunction="sum" dataDxfId="579" totalsRowDxfId="542"/>
    <tableColumn id="21" xr3:uid="{00000000-0010-0000-0200-000015000000}" name="Q" totalsRowFunction="sum" dataDxfId="578" totalsRowDxfId="541"/>
    <tableColumn id="22" xr3:uid="{00000000-0010-0000-0200-000016000000}" name="K" totalsRowFunction="sum" dataDxfId="577" totalsRowDxfId="540"/>
    <tableColumn id="23" xr3:uid="{00000000-0010-0000-0200-000017000000}" name="V" totalsRowFunction="sum" dataDxfId="576" totalsRowDxfId="539"/>
    <tableColumn id="24" xr3:uid="{00000000-0010-0000-0200-000018000000}" name="L" totalsRowFunction="sum" dataDxfId="575" totalsRowDxfId="538"/>
    <tableColumn id="25" xr3:uid="{00000000-0010-0000-0200-000019000000}" name="G" totalsRowFunction="sum" dataDxfId="574" totalsRowDxfId="537"/>
    <tableColumn id="26" xr3:uid="{00000000-0010-0000-0200-00001A000000}" name="S" totalsRowFunction="sum" dataDxfId="573" totalsRowDxfId="536"/>
    <tableColumn id="27" xr3:uid="{00000000-0010-0000-0200-00001B000000}" name="W" totalsRowFunction="sum" dataDxfId="572" totalsRowDxfId="535"/>
    <tableColumn id="28" xr3:uid="{00000000-0010-0000-0200-00001C000000}" name="T" totalsRowFunction="sum" dataDxfId="571" totalsRowDxfId="534"/>
    <tableColumn id="29" xr3:uid="{00000000-0010-0000-0200-00001D000000}" name="X" totalsRowFunction="sum" dataDxfId="570" totalsRowDxfId="533"/>
    <tableColumn id="30" xr3:uid="{00000000-0010-0000-0200-00001E000000}" name="U" totalsRowFunction="sum" dataDxfId="569" totalsRowDxfId="532"/>
    <tableColumn id="31" xr3:uid="{00000000-0010-0000-0200-00001F000000}" name="O" totalsRowFunction="sum" dataDxfId="568" totalsRowDxfId="531"/>
    <tableColumn id="32" xr3:uid="{00000000-0010-0000-0200-000020000000}" name="I" totalsRowFunction="sum" dataDxfId="567" totalsRowDxfId="530"/>
    <tableColumn id="33" xr3:uid="{00000000-0010-0000-0200-000021000000}" name="E" totalsRowFunction="sum" dataDxfId="566" totalsRowDxfId="529"/>
    <tableColumn id="34" xr3:uid="{00000000-0010-0000-0200-000022000000}" name="A" totalsRowFunction="sum" dataDxfId="565" totalsRowDxfId="528"/>
    <tableColumn id="35" xr3:uid="{00000000-0010-0000-0200-000023000000}" name="P" totalsRowFunction="sum" dataDxfId="564" totalsRowDxfId="527"/>
    <tableColumn id="36" xr3:uid="{00000000-0010-0000-0200-000024000000}" name="N" totalsRowFunction="count" dataDxfId="563" totalsRowDxfId="5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I_DMM_LF_LEGACY" displayName="CAI_DMM_LF_LEGACY" ref="A1:AJ21" totalsRowCount="1" headerRowDxfId="524" dataDxfId="487" totalsRowDxfId="450">
  <tableColumns count="36">
    <tableColumn id="1" xr3:uid="{00000000-0010-0000-0300-000001000000}" name="Day" totalsRowLabel="TOTAL" dataDxfId="523" totalsRowDxfId="486"/>
    <tableColumn id="2" xr3:uid="{00000000-0010-0000-0300-000002000000}" name="Flt Dt" dataDxfId="522" totalsRowDxfId="485"/>
    <tableColumn id="3" xr3:uid="{00000000-0010-0000-0300-000003000000}" name="Flt" totalsRowFunction="count" dataDxfId="521" totalsRowDxfId="484"/>
    <tableColumn id="4" xr3:uid="{00000000-0010-0000-0300-000004000000}" name="DEP" dataDxfId="520" totalsRowDxfId="483"/>
    <tableColumn id="5" xr3:uid="{00000000-0010-0000-0300-000005000000}" name="Brd-Off" totalsRowFunction="count" dataDxfId="519" totalsRowDxfId="482"/>
    <tableColumn id="6" xr3:uid="{00000000-0010-0000-0300-000006000000}" name="Eqp" dataDxfId="518" totalsRowDxfId="481"/>
    <tableColumn id="7" xr3:uid="{00000000-0010-0000-0300-000007000000}" name="LF%" totalsRowFunction="average" dataDxfId="517" totalsRowDxfId="480"/>
    <tableColumn id="8" xr3:uid="{00000000-0010-0000-0300-000008000000}" name="CAP" totalsRowFunction="sum" dataDxfId="516" totalsRowDxfId="479"/>
    <tableColumn id="9" xr3:uid="{00000000-0010-0000-0300-000009000000}" name="BKG(Y)" totalsRowFunction="sum" dataDxfId="515" totalsRowDxfId="478"/>
    <tableColumn id="10" xr3:uid="{00000000-0010-0000-0300-00000A000000}" name="GRP(Y)" totalsRowFunction="sum" dataDxfId="514" totalsRowDxfId="477"/>
    <tableColumn id="11" xr3:uid="{00000000-0010-0000-0300-00000B000000}" name="FLT ST" dataDxfId="513" totalsRowDxfId="476"/>
    <tableColumn id="12" xr3:uid="{00000000-0010-0000-0300-00000C000000}" name="LST-SOLD" dataDxfId="512" totalsRowDxfId="475"/>
    <tableColumn id="13" xr3:uid="{00000000-0010-0000-0300-00000D000000}" name="TO-DAY" totalsRowFunction="sum" dataDxfId="511" totalsRowDxfId="474"/>
    <tableColumn id="14" xr3:uid="{00000000-0010-0000-0300-00000E000000}" name="Y-DAY" totalsRowFunction="sum" dataDxfId="510" totalsRowDxfId="473"/>
    <tableColumn id="15" xr3:uid="{00000000-0010-0000-0300-00000F000000}" name="WEEKLY" totalsRowFunction="sum" dataDxfId="509" totalsRowDxfId="472"/>
    <tableColumn id="16" xr3:uid="{00000000-0010-0000-0300-000010000000}" name="LOWEST AVAIL" dataDxfId="508" totalsRowDxfId="471"/>
    <tableColumn id="17" xr3:uid="{00000000-0010-0000-0300-000011000000}" name="Y" totalsRowFunction="sum" dataDxfId="507" totalsRowDxfId="470"/>
    <tableColumn id="18" xr3:uid="{00000000-0010-0000-0300-000012000000}" name="B" totalsRowFunction="sum" dataDxfId="506" totalsRowDxfId="469"/>
    <tableColumn id="19" xr3:uid="{00000000-0010-0000-0300-000013000000}" name="M" totalsRowFunction="sum" dataDxfId="505" totalsRowDxfId="468"/>
    <tableColumn id="20" xr3:uid="{00000000-0010-0000-0300-000014000000}" name="H" totalsRowFunction="sum" dataDxfId="504" totalsRowDxfId="467"/>
    <tableColumn id="21" xr3:uid="{00000000-0010-0000-0300-000015000000}" name="Q" totalsRowFunction="sum" dataDxfId="503" totalsRowDxfId="466"/>
    <tableColumn id="22" xr3:uid="{00000000-0010-0000-0300-000016000000}" name="K" totalsRowFunction="sum" dataDxfId="502" totalsRowDxfId="465"/>
    <tableColumn id="23" xr3:uid="{00000000-0010-0000-0300-000017000000}" name="V" totalsRowFunction="sum" dataDxfId="501" totalsRowDxfId="464"/>
    <tableColumn id="24" xr3:uid="{00000000-0010-0000-0300-000018000000}" name="L" totalsRowFunction="sum" dataDxfId="500" totalsRowDxfId="463"/>
    <tableColumn id="25" xr3:uid="{00000000-0010-0000-0300-000019000000}" name="G" totalsRowFunction="sum" dataDxfId="499" totalsRowDxfId="462"/>
    <tableColumn id="26" xr3:uid="{00000000-0010-0000-0300-00001A000000}" name="S" totalsRowFunction="sum" dataDxfId="498" totalsRowDxfId="461"/>
    <tableColumn id="27" xr3:uid="{00000000-0010-0000-0300-00001B000000}" name="W" totalsRowFunction="sum" dataDxfId="497" totalsRowDxfId="460"/>
    <tableColumn id="28" xr3:uid="{00000000-0010-0000-0300-00001C000000}" name="T" totalsRowFunction="sum" dataDxfId="496" totalsRowDxfId="459"/>
    <tableColumn id="29" xr3:uid="{00000000-0010-0000-0300-00001D000000}" name="X" totalsRowFunction="sum" dataDxfId="495" totalsRowDxfId="458"/>
    <tableColumn id="30" xr3:uid="{00000000-0010-0000-0300-00001E000000}" name="U" totalsRowFunction="sum" dataDxfId="494" totalsRowDxfId="457"/>
    <tableColumn id="31" xr3:uid="{00000000-0010-0000-0300-00001F000000}" name="O" totalsRowFunction="sum" dataDxfId="493" totalsRowDxfId="456"/>
    <tableColumn id="32" xr3:uid="{00000000-0010-0000-0300-000020000000}" name="I" totalsRowFunction="sum" dataDxfId="492" totalsRowDxfId="455"/>
    <tableColumn id="33" xr3:uid="{00000000-0010-0000-0300-000021000000}" name="E" totalsRowFunction="sum" dataDxfId="491" totalsRowDxfId="454"/>
    <tableColumn id="34" xr3:uid="{00000000-0010-0000-0300-000022000000}" name="A" totalsRowFunction="sum" dataDxfId="490" totalsRowDxfId="453"/>
    <tableColumn id="35" xr3:uid="{00000000-0010-0000-0300-000023000000}" name="P" totalsRowFunction="sum" dataDxfId="489" totalsRowDxfId="452"/>
    <tableColumn id="36" xr3:uid="{00000000-0010-0000-0300-000024000000}" name="N" totalsRowFunction="count" dataDxfId="488" totalsRowDxfId="4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I_TUU_LF_LEGACY" displayName="CAI_TUU_LF_LEGACY" ref="A1:AJ17" totalsRowCount="1" headerRowDxfId="449" dataDxfId="412" totalsRowDxfId="375">
  <tableColumns count="36">
    <tableColumn id="1" xr3:uid="{00000000-0010-0000-0400-000001000000}" name="Day" totalsRowLabel="TOTAL" dataDxfId="448" totalsRowDxfId="411"/>
    <tableColumn id="2" xr3:uid="{00000000-0010-0000-0400-000002000000}" name="Flt Dt" dataDxfId="447" totalsRowDxfId="410"/>
    <tableColumn id="3" xr3:uid="{00000000-0010-0000-0400-000003000000}" name="Flt" totalsRowFunction="count" dataDxfId="446" totalsRowDxfId="409"/>
    <tableColumn id="4" xr3:uid="{00000000-0010-0000-0400-000004000000}" name="DEP" dataDxfId="445" totalsRowDxfId="408"/>
    <tableColumn id="5" xr3:uid="{00000000-0010-0000-0400-000005000000}" name="Brd-Off" totalsRowFunction="count" dataDxfId="444" totalsRowDxfId="407"/>
    <tableColumn id="6" xr3:uid="{00000000-0010-0000-0400-000006000000}" name="Eqp" dataDxfId="443" totalsRowDxfId="406"/>
    <tableColumn id="7" xr3:uid="{00000000-0010-0000-0400-000007000000}" name="LF%" totalsRowFunction="average" dataDxfId="442" totalsRowDxfId="405"/>
    <tableColumn id="8" xr3:uid="{00000000-0010-0000-0400-000008000000}" name="CAP" totalsRowFunction="sum" dataDxfId="441" totalsRowDxfId="404"/>
    <tableColumn id="9" xr3:uid="{00000000-0010-0000-0400-000009000000}" name="BKG(Y)" totalsRowFunction="sum" dataDxfId="440" totalsRowDxfId="403"/>
    <tableColumn id="10" xr3:uid="{00000000-0010-0000-0400-00000A000000}" name="GRP(Y)" totalsRowFunction="sum" dataDxfId="439" totalsRowDxfId="402"/>
    <tableColumn id="11" xr3:uid="{00000000-0010-0000-0400-00000B000000}" name="FLT ST" dataDxfId="438" totalsRowDxfId="401"/>
    <tableColumn id="12" xr3:uid="{00000000-0010-0000-0400-00000C000000}" name="LST-SOLD" dataDxfId="437" totalsRowDxfId="400"/>
    <tableColumn id="13" xr3:uid="{00000000-0010-0000-0400-00000D000000}" name="TO-DAY" totalsRowFunction="sum" dataDxfId="436" totalsRowDxfId="399"/>
    <tableColumn id="14" xr3:uid="{00000000-0010-0000-0400-00000E000000}" name="Y-DAY" totalsRowFunction="sum" dataDxfId="435" totalsRowDxfId="398"/>
    <tableColumn id="15" xr3:uid="{00000000-0010-0000-0400-00000F000000}" name="WEEKLY" totalsRowFunction="sum" dataDxfId="434" totalsRowDxfId="397"/>
    <tableColumn id="16" xr3:uid="{00000000-0010-0000-0400-000010000000}" name="LOWEST AVAIL" dataDxfId="433" totalsRowDxfId="396"/>
    <tableColumn id="17" xr3:uid="{00000000-0010-0000-0400-000011000000}" name="Y" totalsRowFunction="sum" dataDxfId="432" totalsRowDxfId="395"/>
    <tableColumn id="18" xr3:uid="{00000000-0010-0000-0400-000012000000}" name="B" totalsRowFunction="sum" dataDxfId="431" totalsRowDxfId="394"/>
    <tableColumn id="19" xr3:uid="{00000000-0010-0000-0400-000013000000}" name="M" totalsRowFunction="sum" dataDxfId="430" totalsRowDxfId="393"/>
    <tableColumn id="20" xr3:uid="{00000000-0010-0000-0400-000014000000}" name="H" totalsRowFunction="sum" dataDxfId="429" totalsRowDxfId="392"/>
    <tableColumn id="21" xr3:uid="{00000000-0010-0000-0400-000015000000}" name="Q" totalsRowFunction="sum" dataDxfId="428" totalsRowDxfId="391"/>
    <tableColumn id="22" xr3:uid="{00000000-0010-0000-0400-000016000000}" name="K" totalsRowFunction="sum" dataDxfId="427" totalsRowDxfId="390"/>
    <tableColumn id="23" xr3:uid="{00000000-0010-0000-0400-000017000000}" name="V" totalsRowFunction="sum" dataDxfId="426" totalsRowDxfId="389"/>
    <tableColumn id="24" xr3:uid="{00000000-0010-0000-0400-000018000000}" name="L" totalsRowFunction="sum" dataDxfId="425" totalsRowDxfId="388"/>
    <tableColumn id="25" xr3:uid="{00000000-0010-0000-0400-000019000000}" name="G" totalsRowFunction="sum" dataDxfId="424" totalsRowDxfId="387"/>
    <tableColumn id="26" xr3:uid="{00000000-0010-0000-0400-00001A000000}" name="S" totalsRowFunction="sum" dataDxfId="423" totalsRowDxfId="386"/>
    <tableColumn id="27" xr3:uid="{00000000-0010-0000-0400-00001B000000}" name="W" totalsRowFunction="sum" dataDxfId="422" totalsRowDxfId="385"/>
    <tableColumn id="28" xr3:uid="{00000000-0010-0000-0400-00001C000000}" name="T" totalsRowFunction="sum" dataDxfId="421" totalsRowDxfId="384"/>
    <tableColumn id="29" xr3:uid="{00000000-0010-0000-0400-00001D000000}" name="X" totalsRowFunction="sum" dataDxfId="420" totalsRowDxfId="383"/>
    <tableColumn id="30" xr3:uid="{00000000-0010-0000-0400-00001E000000}" name="U" totalsRowFunction="sum" dataDxfId="419" totalsRowDxfId="382"/>
    <tableColumn id="31" xr3:uid="{00000000-0010-0000-0400-00001F000000}" name="O" totalsRowFunction="sum" dataDxfId="418" totalsRowDxfId="381"/>
    <tableColumn id="32" xr3:uid="{00000000-0010-0000-0400-000020000000}" name="I" totalsRowFunction="sum" dataDxfId="417" totalsRowDxfId="380"/>
    <tableColumn id="33" xr3:uid="{00000000-0010-0000-0400-000021000000}" name="E" totalsRowFunction="sum" dataDxfId="416" totalsRowDxfId="379"/>
    <tableColumn id="34" xr3:uid="{00000000-0010-0000-0400-000022000000}" name="A" totalsRowFunction="sum" dataDxfId="415" totalsRowDxfId="378"/>
    <tableColumn id="35" xr3:uid="{00000000-0010-0000-0400-000023000000}" name="P" totalsRowFunction="sum" dataDxfId="414" totalsRowDxfId="377"/>
    <tableColumn id="36" xr3:uid="{00000000-0010-0000-0400-000024000000}" name="N" totalsRowFunction="count" dataDxfId="413" totalsRowDxfId="3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I_AJF_LF_LEGACY" displayName="CAI_AJF_LF_LEGACY" ref="A1:AJ16" totalsRowCount="1" headerRowDxfId="374" dataDxfId="337" totalsRowDxfId="300">
  <tableColumns count="36">
    <tableColumn id="1" xr3:uid="{00000000-0010-0000-0500-000001000000}" name="Day" totalsRowLabel="TOTAL" dataDxfId="373" totalsRowDxfId="336"/>
    <tableColumn id="2" xr3:uid="{00000000-0010-0000-0500-000002000000}" name="Flt Dt" dataDxfId="372" totalsRowDxfId="335"/>
    <tableColumn id="3" xr3:uid="{00000000-0010-0000-0500-000003000000}" name="Flt" totalsRowFunction="count" dataDxfId="371" totalsRowDxfId="334"/>
    <tableColumn id="4" xr3:uid="{00000000-0010-0000-0500-000004000000}" name="DEP" dataDxfId="370" totalsRowDxfId="333"/>
    <tableColumn id="5" xr3:uid="{00000000-0010-0000-0500-000005000000}" name="Brd-Off" totalsRowFunction="count" dataDxfId="369" totalsRowDxfId="332"/>
    <tableColumn id="6" xr3:uid="{00000000-0010-0000-0500-000006000000}" name="Eqp" dataDxfId="368" totalsRowDxfId="331"/>
    <tableColumn id="7" xr3:uid="{00000000-0010-0000-0500-000007000000}" name="LF%" totalsRowFunction="average" dataDxfId="367" totalsRowDxfId="330"/>
    <tableColumn id="8" xr3:uid="{00000000-0010-0000-0500-000008000000}" name="CAP" totalsRowFunction="sum" dataDxfId="366" totalsRowDxfId="329"/>
    <tableColumn id="9" xr3:uid="{00000000-0010-0000-0500-000009000000}" name="BKG(Y)" totalsRowFunction="sum" dataDxfId="365" totalsRowDxfId="328"/>
    <tableColumn id="10" xr3:uid="{00000000-0010-0000-0500-00000A000000}" name="GRP(Y)" totalsRowFunction="sum" dataDxfId="364" totalsRowDxfId="327"/>
    <tableColumn id="11" xr3:uid="{00000000-0010-0000-0500-00000B000000}" name="FLT ST" dataDxfId="363" totalsRowDxfId="326"/>
    <tableColumn id="12" xr3:uid="{00000000-0010-0000-0500-00000C000000}" name="LST-SOLD" dataDxfId="362" totalsRowDxfId="325"/>
    <tableColumn id="13" xr3:uid="{00000000-0010-0000-0500-00000D000000}" name="TO-DAY" totalsRowFunction="sum" dataDxfId="361" totalsRowDxfId="324"/>
    <tableColumn id="14" xr3:uid="{00000000-0010-0000-0500-00000E000000}" name="Y-DAY" totalsRowFunction="sum" dataDxfId="360" totalsRowDxfId="323"/>
    <tableColumn id="15" xr3:uid="{00000000-0010-0000-0500-00000F000000}" name="WEEKLY" totalsRowFunction="sum" dataDxfId="359" totalsRowDxfId="322"/>
    <tableColumn id="16" xr3:uid="{00000000-0010-0000-0500-000010000000}" name="LOWEST AVAIL" dataDxfId="358" totalsRowDxfId="321"/>
    <tableColumn id="17" xr3:uid="{00000000-0010-0000-0500-000011000000}" name="Y" totalsRowFunction="sum" dataDxfId="357" totalsRowDxfId="320"/>
    <tableColumn id="18" xr3:uid="{00000000-0010-0000-0500-000012000000}" name="B" totalsRowFunction="sum" dataDxfId="356" totalsRowDxfId="319"/>
    <tableColumn id="19" xr3:uid="{00000000-0010-0000-0500-000013000000}" name="M" totalsRowFunction="sum" dataDxfId="355" totalsRowDxfId="318"/>
    <tableColumn id="20" xr3:uid="{00000000-0010-0000-0500-000014000000}" name="H" totalsRowFunction="sum" dataDxfId="354" totalsRowDxfId="317"/>
    <tableColumn id="21" xr3:uid="{00000000-0010-0000-0500-000015000000}" name="Q" totalsRowFunction="sum" dataDxfId="353" totalsRowDxfId="316"/>
    <tableColumn id="22" xr3:uid="{00000000-0010-0000-0500-000016000000}" name="K" totalsRowFunction="sum" dataDxfId="352" totalsRowDxfId="315"/>
    <tableColumn id="23" xr3:uid="{00000000-0010-0000-0500-000017000000}" name="V" totalsRowFunction="sum" dataDxfId="351" totalsRowDxfId="314"/>
    <tableColumn id="24" xr3:uid="{00000000-0010-0000-0500-000018000000}" name="L" totalsRowFunction="sum" dataDxfId="350" totalsRowDxfId="313"/>
    <tableColumn id="25" xr3:uid="{00000000-0010-0000-0500-000019000000}" name="G" totalsRowFunction="sum" dataDxfId="349" totalsRowDxfId="312"/>
    <tableColumn id="26" xr3:uid="{00000000-0010-0000-0500-00001A000000}" name="S" totalsRowFunction="sum" dataDxfId="348" totalsRowDxfId="311"/>
    <tableColumn id="27" xr3:uid="{00000000-0010-0000-0500-00001B000000}" name="W" totalsRowFunction="sum" dataDxfId="347" totalsRowDxfId="310"/>
    <tableColumn id="28" xr3:uid="{00000000-0010-0000-0500-00001C000000}" name="T" totalsRowFunction="sum" dataDxfId="346" totalsRowDxfId="309"/>
    <tableColumn id="29" xr3:uid="{00000000-0010-0000-0500-00001D000000}" name="X" totalsRowFunction="sum" dataDxfId="345" totalsRowDxfId="308"/>
    <tableColumn id="30" xr3:uid="{00000000-0010-0000-0500-00001E000000}" name="U" totalsRowFunction="sum" dataDxfId="344" totalsRowDxfId="307"/>
    <tableColumn id="31" xr3:uid="{00000000-0010-0000-0500-00001F000000}" name="O" totalsRowFunction="sum" dataDxfId="343" totalsRowDxfId="306"/>
    <tableColumn id="32" xr3:uid="{00000000-0010-0000-0500-000020000000}" name="I" totalsRowFunction="sum" dataDxfId="342" totalsRowDxfId="305"/>
    <tableColumn id="33" xr3:uid="{00000000-0010-0000-0500-000021000000}" name="E" totalsRowFunction="sum" dataDxfId="341" totalsRowDxfId="304"/>
    <tableColumn id="34" xr3:uid="{00000000-0010-0000-0500-000022000000}" name="A" totalsRowFunction="sum" dataDxfId="340" totalsRowDxfId="303"/>
    <tableColumn id="35" xr3:uid="{00000000-0010-0000-0500-000023000000}" name="P" totalsRowFunction="sum" dataDxfId="339" totalsRowDxfId="302"/>
    <tableColumn id="36" xr3:uid="{00000000-0010-0000-0500-000024000000}" name="N" totalsRowFunction="count" dataDxfId="338" totalsRowDxfId="30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I_YNB_LF_LEGACY" displayName="CAI_YNB_LF_LEGACY" ref="A1:AJ42" totalsRowCount="1" headerRowDxfId="299" dataDxfId="262" totalsRowDxfId="225">
  <tableColumns count="36">
    <tableColumn id="1" xr3:uid="{00000000-0010-0000-0600-000001000000}" name="Day" totalsRowLabel="TOTAL" dataDxfId="298" totalsRowDxfId="261"/>
    <tableColumn id="2" xr3:uid="{00000000-0010-0000-0600-000002000000}" name="Flt Dt" dataDxfId="297" totalsRowDxfId="260"/>
    <tableColumn id="3" xr3:uid="{00000000-0010-0000-0600-000003000000}" name="Flt" totalsRowFunction="count" dataDxfId="296" totalsRowDxfId="259"/>
    <tableColumn id="4" xr3:uid="{00000000-0010-0000-0600-000004000000}" name="DEP" dataDxfId="295" totalsRowDxfId="258"/>
    <tableColumn id="5" xr3:uid="{00000000-0010-0000-0600-000005000000}" name="Brd-Off" totalsRowFunction="count" dataDxfId="294" totalsRowDxfId="257"/>
    <tableColumn id="6" xr3:uid="{00000000-0010-0000-0600-000006000000}" name="Eqp" dataDxfId="293" totalsRowDxfId="256"/>
    <tableColumn id="7" xr3:uid="{00000000-0010-0000-0600-000007000000}" name="LF%" totalsRowFunction="average" dataDxfId="292" totalsRowDxfId="255"/>
    <tableColumn id="8" xr3:uid="{00000000-0010-0000-0600-000008000000}" name="CAP" totalsRowFunction="sum" dataDxfId="291" totalsRowDxfId="254"/>
    <tableColumn id="9" xr3:uid="{00000000-0010-0000-0600-000009000000}" name="BKG(Y)" totalsRowFunction="sum" dataDxfId="290" totalsRowDxfId="253"/>
    <tableColumn id="10" xr3:uid="{00000000-0010-0000-0600-00000A000000}" name="GRP(Y)" totalsRowFunction="sum" dataDxfId="289" totalsRowDxfId="252"/>
    <tableColumn id="11" xr3:uid="{00000000-0010-0000-0600-00000B000000}" name="FLT ST" dataDxfId="288" totalsRowDxfId="251"/>
    <tableColumn id="12" xr3:uid="{00000000-0010-0000-0600-00000C000000}" name="LST-SOLD" dataDxfId="287" totalsRowDxfId="250"/>
    <tableColumn id="13" xr3:uid="{00000000-0010-0000-0600-00000D000000}" name="TO-DAY" totalsRowFunction="sum" dataDxfId="286" totalsRowDxfId="249"/>
    <tableColumn id="14" xr3:uid="{00000000-0010-0000-0600-00000E000000}" name="Y-DAY" totalsRowFunction="sum" dataDxfId="285" totalsRowDxfId="248"/>
    <tableColumn id="15" xr3:uid="{00000000-0010-0000-0600-00000F000000}" name="WEEKLY" totalsRowFunction="sum" dataDxfId="284" totalsRowDxfId="247"/>
    <tableColumn id="16" xr3:uid="{00000000-0010-0000-0600-000010000000}" name="LOWEST AVAIL" dataDxfId="283" totalsRowDxfId="246"/>
    <tableColumn id="17" xr3:uid="{00000000-0010-0000-0600-000011000000}" name="Y" totalsRowFunction="sum" dataDxfId="282" totalsRowDxfId="245"/>
    <tableColumn id="18" xr3:uid="{00000000-0010-0000-0600-000012000000}" name="B" totalsRowFunction="sum" dataDxfId="281" totalsRowDxfId="244"/>
    <tableColumn id="19" xr3:uid="{00000000-0010-0000-0600-000013000000}" name="M" totalsRowFunction="sum" dataDxfId="280" totalsRowDxfId="243"/>
    <tableColumn id="20" xr3:uid="{00000000-0010-0000-0600-000014000000}" name="H" totalsRowFunction="sum" dataDxfId="279" totalsRowDxfId="242"/>
    <tableColumn id="21" xr3:uid="{00000000-0010-0000-0600-000015000000}" name="Q" totalsRowFunction="sum" dataDxfId="278" totalsRowDxfId="241"/>
    <tableColumn id="22" xr3:uid="{00000000-0010-0000-0600-000016000000}" name="K" totalsRowFunction="sum" dataDxfId="277" totalsRowDxfId="240"/>
    <tableColumn id="23" xr3:uid="{00000000-0010-0000-0600-000017000000}" name="V" totalsRowFunction="sum" dataDxfId="276" totalsRowDxfId="239"/>
    <tableColumn id="24" xr3:uid="{00000000-0010-0000-0600-000018000000}" name="L" totalsRowFunction="sum" dataDxfId="275" totalsRowDxfId="238"/>
    <tableColumn id="25" xr3:uid="{00000000-0010-0000-0600-000019000000}" name="G" totalsRowFunction="sum" dataDxfId="274" totalsRowDxfId="237"/>
    <tableColumn id="26" xr3:uid="{00000000-0010-0000-0600-00001A000000}" name="S" totalsRowFunction="sum" dataDxfId="273" totalsRowDxfId="236"/>
    <tableColumn id="27" xr3:uid="{00000000-0010-0000-0600-00001B000000}" name="W" totalsRowFunction="sum" dataDxfId="272" totalsRowDxfId="235"/>
    <tableColumn id="28" xr3:uid="{00000000-0010-0000-0600-00001C000000}" name="T" totalsRowFunction="sum" dataDxfId="271" totalsRowDxfId="234"/>
    <tableColumn id="29" xr3:uid="{00000000-0010-0000-0600-00001D000000}" name="X" totalsRowFunction="sum" dataDxfId="270" totalsRowDxfId="233"/>
    <tableColumn id="30" xr3:uid="{00000000-0010-0000-0600-00001E000000}" name="U" totalsRowFunction="sum" dataDxfId="269" totalsRowDxfId="232"/>
    <tableColumn id="31" xr3:uid="{00000000-0010-0000-0600-00001F000000}" name="O" totalsRowFunction="sum" dataDxfId="268" totalsRowDxfId="231"/>
    <tableColumn id="32" xr3:uid="{00000000-0010-0000-0600-000020000000}" name="I" totalsRowFunction="sum" dataDxfId="267" totalsRowDxfId="230"/>
    <tableColumn id="33" xr3:uid="{00000000-0010-0000-0600-000021000000}" name="E" totalsRowFunction="sum" dataDxfId="266" totalsRowDxfId="229"/>
    <tableColumn id="34" xr3:uid="{00000000-0010-0000-0600-000022000000}" name="A" totalsRowFunction="sum" dataDxfId="265" totalsRowDxfId="228"/>
    <tableColumn id="35" xr3:uid="{00000000-0010-0000-0600-000023000000}" name="P" totalsRowFunction="sum" dataDxfId="264" totalsRowDxfId="227"/>
    <tableColumn id="36" xr3:uid="{00000000-0010-0000-0600-000024000000}" name="N" totalsRowFunction="count" dataDxfId="263" totalsRowDxfId="2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I_AHB_LF_LEGACY" displayName="CAI_AHB_LF_LEGACY" ref="A1:AJ17" totalsRowCount="1" headerRowDxfId="224" dataDxfId="187" totalsRowDxfId="150">
  <tableColumns count="36">
    <tableColumn id="1" xr3:uid="{00000000-0010-0000-0700-000001000000}" name="Day" totalsRowLabel="TOTAL" dataDxfId="223" totalsRowDxfId="186"/>
    <tableColumn id="2" xr3:uid="{00000000-0010-0000-0700-000002000000}" name="Flt Dt" dataDxfId="222" totalsRowDxfId="185"/>
    <tableColumn id="3" xr3:uid="{00000000-0010-0000-0700-000003000000}" name="Flt" totalsRowFunction="count" dataDxfId="221" totalsRowDxfId="184"/>
    <tableColumn id="4" xr3:uid="{00000000-0010-0000-0700-000004000000}" name="DEP" dataDxfId="220" totalsRowDxfId="183"/>
    <tableColumn id="5" xr3:uid="{00000000-0010-0000-0700-000005000000}" name="Brd-Off" totalsRowFunction="count" dataDxfId="219" totalsRowDxfId="182"/>
    <tableColumn id="6" xr3:uid="{00000000-0010-0000-0700-000006000000}" name="Eqp" dataDxfId="218" totalsRowDxfId="181"/>
    <tableColumn id="7" xr3:uid="{00000000-0010-0000-0700-000007000000}" name="LF%" totalsRowFunction="average" dataDxfId="217" totalsRowDxfId="180"/>
    <tableColumn id="8" xr3:uid="{00000000-0010-0000-0700-000008000000}" name="CAP" totalsRowFunction="sum" dataDxfId="216" totalsRowDxfId="179"/>
    <tableColumn id="9" xr3:uid="{00000000-0010-0000-0700-000009000000}" name="BKG(Y)" totalsRowFunction="sum" dataDxfId="215" totalsRowDxfId="178"/>
    <tableColumn id="10" xr3:uid="{00000000-0010-0000-0700-00000A000000}" name="GRP(Y)" totalsRowFunction="sum" dataDxfId="214" totalsRowDxfId="177"/>
    <tableColumn id="11" xr3:uid="{00000000-0010-0000-0700-00000B000000}" name="FLT ST" dataDxfId="213" totalsRowDxfId="176"/>
    <tableColumn id="12" xr3:uid="{00000000-0010-0000-0700-00000C000000}" name="LST-SOLD" dataDxfId="212" totalsRowDxfId="175"/>
    <tableColumn id="13" xr3:uid="{00000000-0010-0000-0700-00000D000000}" name="TO-DAY" totalsRowFunction="sum" dataDxfId="211" totalsRowDxfId="174"/>
    <tableColumn id="14" xr3:uid="{00000000-0010-0000-0700-00000E000000}" name="Y-DAY" totalsRowFunction="sum" dataDxfId="210" totalsRowDxfId="173"/>
    <tableColumn id="15" xr3:uid="{00000000-0010-0000-0700-00000F000000}" name="WEEKLY" totalsRowFunction="sum" dataDxfId="209" totalsRowDxfId="172"/>
    <tableColumn id="16" xr3:uid="{00000000-0010-0000-0700-000010000000}" name="LOWEST AVAIL" dataDxfId="208" totalsRowDxfId="171"/>
    <tableColumn id="17" xr3:uid="{00000000-0010-0000-0700-000011000000}" name="Y" totalsRowFunction="sum" dataDxfId="207" totalsRowDxfId="170"/>
    <tableColumn id="18" xr3:uid="{00000000-0010-0000-0700-000012000000}" name="B" totalsRowFunction="sum" dataDxfId="206" totalsRowDxfId="169"/>
    <tableColumn id="19" xr3:uid="{00000000-0010-0000-0700-000013000000}" name="M" totalsRowFunction="sum" dataDxfId="205" totalsRowDxfId="168"/>
    <tableColumn id="20" xr3:uid="{00000000-0010-0000-0700-000014000000}" name="H" totalsRowFunction="sum" dataDxfId="204" totalsRowDxfId="167"/>
    <tableColumn id="21" xr3:uid="{00000000-0010-0000-0700-000015000000}" name="Q" totalsRowFunction="sum" dataDxfId="203" totalsRowDxfId="166"/>
    <tableColumn id="22" xr3:uid="{00000000-0010-0000-0700-000016000000}" name="K" totalsRowFunction="sum" dataDxfId="202" totalsRowDxfId="165"/>
    <tableColumn id="23" xr3:uid="{00000000-0010-0000-0700-000017000000}" name="V" totalsRowFunction="sum" dataDxfId="201" totalsRowDxfId="164"/>
    <tableColumn id="24" xr3:uid="{00000000-0010-0000-0700-000018000000}" name="L" totalsRowFunction="sum" dataDxfId="200" totalsRowDxfId="163"/>
    <tableColumn id="25" xr3:uid="{00000000-0010-0000-0700-000019000000}" name="G" totalsRowFunction="sum" dataDxfId="199" totalsRowDxfId="162"/>
    <tableColumn id="26" xr3:uid="{00000000-0010-0000-0700-00001A000000}" name="S" totalsRowFunction="sum" dataDxfId="198" totalsRowDxfId="161"/>
    <tableColumn id="27" xr3:uid="{00000000-0010-0000-0700-00001B000000}" name="W" totalsRowFunction="sum" dataDxfId="197" totalsRowDxfId="160"/>
    <tableColumn id="28" xr3:uid="{00000000-0010-0000-0700-00001C000000}" name="T" totalsRowFunction="sum" dataDxfId="196" totalsRowDxfId="159"/>
    <tableColumn id="29" xr3:uid="{00000000-0010-0000-0700-00001D000000}" name="X" totalsRowFunction="sum" dataDxfId="195" totalsRowDxfId="158"/>
    <tableColumn id="30" xr3:uid="{00000000-0010-0000-0700-00001E000000}" name="U" totalsRowFunction="sum" dataDxfId="194" totalsRowDxfId="157"/>
    <tableColumn id="31" xr3:uid="{00000000-0010-0000-0700-00001F000000}" name="O" totalsRowFunction="sum" dataDxfId="193" totalsRowDxfId="156"/>
    <tableColumn id="32" xr3:uid="{00000000-0010-0000-0700-000020000000}" name="I" totalsRowFunction="sum" dataDxfId="192" totalsRowDxfId="155"/>
    <tableColumn id="33" xr3:uid="{00000000-0010-0000-0700-000021000000}" name="E" totalsRowFunction="sum" dataDxfId="191" totalsRowDxfId="154"/>
    <tableColumn id="34" xr3:uid="{00000000-0010-0000-0700-000022000000}" name="A" totalsRowFunction="sum" dataDxfId="190" totalsRowDxfId="153"/>
    <tableColumn id="35" xr3:uid="{00000000-0010-0000-0700-000023000000}" name="P" totalsRowFunction="sum" dataDxfId="189" totalsRowDxfId="152"/>
    <tableColumn id="36" xr3:uid="{00000000-0010-0000-0700-000024000000}" name="N" totalsRowFunction="count" dataDxfId="188" totalsRowDxfId="1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I_ELQ_LF_LEGACY" displayName="CAI_ELQ_LF_LEGACY" ref="A1:AJ17" totalsRowCount="1" headerRowDxfId="149" dataDxfId="112" totalsRowDxfId="75">
  <tableColumns count="36">
    <tableColumn id="1" xr3:uid="{00000000-0010-0000-0800-000001000000}" name="Day" totalsRowLabel="TOTAL" dataDxfId="148" totalsRowDxfId="111"/>
    <tableColumn id="2" xr3:uid="{00000000-0010-0000-0800-000002000000}" name="Flt Dt" dataDxfId="147" totalsRowDxfId="110"/>
    <tableColumn id="3" xr3:uid="{00000000-0010-0000-0800-000003000000}" name="Flt" totalsRowFunction="count" dataDxfId="146" totalsRowDxfId="109"/>
    <tableColumn id="4" xr3:uid="{00000000-0010-0000-0800-000004000000}" name="DEP" dataDxfId="145" totalsRowDxfId="108"/>
    <tableColumn id="5" xr3:uid="{00000000-0010-0000-0800-000005000000}" name="Brd-Off" totalsRowFunction="count" dataDxfId="144" totalsRowDxfId="107"/>
    <tableColumn id="6" xr3:uid="{00000000-0010-0000-0800-000006000000}" name="Eqp" dataDxfId="143" totalsRowDxfId="106"/>
    <tableColumn id="7" xr3:uid="{00000000-0010-0000-0800-000007000000}" name="LF%" totalsRowFunction="average" dataDxfId="142" totalsRowDxfId="105"/>
    <tableColumn id="8" xr3:uid="{00000000-0010-0000-0800-000008000000}" name="CAP" totalsRowFunction="sum" dataDxfId="141" totalsRowDxfId="104"/>
    <tableColumn id="9" xr3:uid="{00000000-0010-0000-0800-000009000000}" name="BKG(Y)" totalsRowFunction="sum" dataDxfId="140" totalsRowDxfId="103"/>
    <tableColumn id="10" xr3:uid="{00000000-0010-0000-0800-00000A000000}" name="GRP(Y)" totalsRowFunction="sum" dataDxfId="139" totalsRowDxfId="102"/>
    <tableColumn id="11" xr3:uid="{00000000-0010-0000-0800-00000B000000}" name="FLT ST" dataDxfId="138" totalsRowDxfId="101"/>
    <tableColumn id="12" xr3:uid="{00000000-0010-0000-0800-00000C000000}" name="LST-SOLD" dataDxfId="137" totalsRowDxfId="100"/>
    <tableColumn id="13" xr3:uid="{00000000-0010-0000-0800-00000D000000}" name="TO-DAY" totalsRowFunction="sum" dataDxfId="136" totalsRowDxfId="99"/>
    <tableColumn id="14" xr3:uid="{00000000-0010-0000-0800-00000E000000}" name="Y-DAY" totalsRowFunction="sum" dataDxfId="135" totalsRowDxfId="98"/>
    <tableColumn id="15" xr3:uid="{00000000-0010-0000-0800-00000F000000}" name="WEEKLY" totalsRowFunction="sum" dataDxfId="134" totalsRowDxfId="97"/>
    <tableColumn id="16" xr3:uid="{00000000-0010-0000-0800-000010000000}" name="LOWEST AVAIL" dataDxfId="133" totalsRowDxfId="96"/>
    <tableColumn id="17" xr3:uid="{00000000-0010-0000-0800-000011000000}" name="Y" totalsRowFunction="sum" dataDxfId="132" totalsRowDxfId="95"/>
    <tableColumn id="18" xr3:uid="{00000000-0010-0000-0800-000012000000}" name="B" totalsRowFunction="sum" dataDxfId="131" totalsRowDxfId="94"/>
    <tableColumn id="19" xr3:uid="{00000000-0010-0000-0800-000013000000}" name="M" totalsRowFunction="sum" dataDxfId="130" totalsRowDxfId="93"/>
    <tableColumn id="20" xr3:uid="{00000000-0010-0000-0800-000014000000}" name="H" totalsRowFunction="sum" dataDxfId="129" totalsRowDxfId="92"/>
    <tableColumn id="21" xr3:uid="{00000000-0010-0000-0800-000015000000}" name="Q" totalsRowFunction="sum" dataDxfId="128" totalsRowDxfId="91"/>
    <tableColumn id="22" xr3:uid="{00000000-0010-0000-0800-000016000000}" name="K" totalsRowFunction="sum" dataDxfId="127" totalsRowDxfId="90"/>
    <tableColumn id="23" xr3:uid="{00000000-0010-0000-0800-000017000000}" name="V" totalsRowFunction="sum" dataDxfId="126" totalsRowDxfId="89"/>
    <tableColumn id="24" xr3:uid="{00000000-0010-0000-0800-000018000000}" name="L" totalsRowFunction="sum" dataDxfId="125" totalsRowDxfId="88"/>
    <tableColumn id="25" xr3:uid="{00000000-0010-0000-0800-000019000000}" name="G" totalsRowFunction="sum" dataDxfId="124" totalsRowDxfId="87"/>
    <tableColumn id="26" xr3:uid="{00000000-0010-0000-0800-00001A000000}" name="S" totalsRowFunction="sum" dataDxfId="123" totalsRowDxfId="86"/>
    <tableColumn id="27" xr3:uid="{00000000-0010-0000-0800-00001B000000}" name="W" totalsRowFunction="sum" dataDxfId="122" totalsRowDxfId="85"/>
    <tableColumn id="28" xr3:uid="{00000000-0010-0000-0800-00001C000000}" name="T" totalsRowFunction="sum" dataDxfId="121" totalsRowDxfId="84"/>
    <tableColumn id="29" xr3:uid="{00000000-0010-0000-0800-00001D000000}" name="X" totalsRowFunction="sum" dataDxfId="120" totalsRowDxfId="83"/>
    <tableColumn id="30" xr3:uid="{00000000-0010-0000-0800-00001E000000}" name="U" totalsRowFunction="sum" dataDxfId="119" totalsRowDxfId="82"/>
    <tableColumn id="31" xr3:uid="{00000000-0010-0000-0800-00001F000000}" name="O" totalsRowFunction="sum" dataDxfId="118" totalsRowDxfId="81"/>
    <tableColumn id="32" xr3:uid="{00000000-0010-0000-0800-000020000000}" name="I" totalsRowFunction="sum" dataDxfId="117" totalsRowDxfId="80"/>
    <tableColumn id="33" xr3:uid="{00000000-0010-0000-0800-000021000000}" name="E" totalsRowFunction="sum" dataDxfId="116" totalsRowDxfId="79"/>
    <tableColumn id="34" xr3:uid="{00000000-0010-0000-0800-000022000000}" name="A" totalsRowFunction="sum" dataDxfId="115" totalsRowDxfId="78"/>
    <tableColumn id="35" xr3:uid="{00000000-0010-0000-0800-000023000000}" name="P" totalsRowFunction="sum" dataDxfId="114" totalsRowDxfId="77"/>
    <tableColumn id="36" xr3:uid="{00000000-0010-0000-0800-000024000000}" name="N" totalsRowFunction="count" dataDxfId="113" totalsRowDxfId="7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I_GIZ_LF_LEGACY" displayName="CAI_GIZ_LF_LEGACY" ref="A1:AJ12" totalsRowCount="1" headerRowDxfId="74" dataDxfId="37" totalsRowDxfId="0">
  <tableColumns count="36">
    <tableColumn id="1" xr3:uid="{00000000-0010-0000-0900-000001000000}" name="Day" totalsRowLabel="TOTAL" dataDxfId="73" totalsRowDxfId="36"/>
    <tableColumn id="2" xr3:uid="{00000000-0010-0000-0900-000002000000}" name="Flt Dt" dataDxfId="72" totalsRowDxfId="35"/>
    <tableColumn id="3" xr3:uid="{00000000-0010-0000-0900-000003000000}" name="Flt" totalsRowFunction="count" dataDxfId="71" totalsRowDxfId="34"/>
    <tableColumn id="4" xr3:uid="{00000000-0010-0000-0900-000004000000}" name="DEP" dataDxfId="70" totalsRowDxfId="33"/>
    <tableColumn id="5" xr3:uid="{00000000-0010-0000-0900-000005000000}" name="Brd-Off" totalsRowFunction="count" dataDxfId="69" totalsRowDxfId="32"/>
    <tableColumn id="6" xr3:uid="{00000000-0010-0000-0900-000006000000}" name="Eqp" dataDxfId="68" totalsRowDxfId="31"/>
    <tableColumn id="7" xr3:uid="{00000000-0010-0000-0900-000007000000}" name="LF%" totalsRowFunction="average" dataDxfId="67" totalsRowDxfId="30"/>
    <tableColumn id="8" xr3:uid="{00000000-0010-0000-0900-000008000000}" name="CAP" totalsRowFunction="sum" dataDxfId="66" totalsRowDxfId="29"/>
    <tableColumn id="9" xr3:uid="{00000000-0010-0000-0900-000009000000}" name="BKG(Y)" totalsRowFunction="sum" dataDxfId="65" totalsRowDxfId="28"/>
    <tableColumn id="10" xr3:uid="{00000000-0010-0000-0900-00000A000000}" name="GRP(Y)" totalsRowFunction="sum" dataDxfId="64" totalsRowDxfId="27"/>
    <tableColumn id="11" xr3:uid="{00000000-0010-0000-0900-00000B000000}" name="FLT ST" dataDxfId="63" totalsRowDxfId="26"/>
    <tableColumn id="12" xr3:uid="{00000000-0010-0000-0900-00000C000000}" name="LST-SOLD" dataDxfId="62" totalsRowDxfId="25"/>
    <tableColumn id="13" xr3:uid="{00000000-0010-0000-0900-00000D000000}" name="TO-DAY" totalsRowFunction="sum" dataDxfId="61" totalsRowDxfId="24"/>
    <tableColumn id="14" xr3:uid="{00000000-0010-0000-0900-00000E000000}" name="Y-DAY" totalsRowFunction="sum" dataDxfId="60" totalsRowDxfId="23"/>
    <tableColumn id="15" xr3:uid="{00000000-0010-0000-0900-00000F000000}" name="WEEKLY" totalsRowFunction="sum" dataDxfId="59" totalsRowDxfId="22"/>
    <tableColumn id="16" xr3:uid="{00000000-0010-0000-0900-000010000000}" name="LOWEST AVAIL" dataDxfId="58" totalsRowDxfId="21"/>
    <tableColumn id="17" xr3:uid="{00000000-0010-0000-0900-000011000000}" name="Y" totalsRowFunction="sum" dataDxfId="57" totalsRowDxfId="20"/>
    <tableColumn id="18" xr3:uid="{00000000-0010-0000-0900-000012000000}" name="B" totalsRowFunction="sum" dataDxfId="56" totalsRowDxfId="19"/>
    <tableColumn id="19" xr3:uid="{00000000-0010-0000-0900-000013000000}" name="M" totalsRowFunction="sum" dataDxfId="55" totalsRowDxfId="18"/>
    <tableColumn id="20" xr3:uid="{00000000-0010-0000-0900-000014000000}" name="H" totalsRowFunction="sum" dataDxfId="54" totalsRowDxfId="17"/>
    <tableColumn id="21" xr3:uid="{00000000-0010-0000-0900-000015000000}" name="Q" totalsRowFunction="sum" dataDxfId="53" totalsRowDxfId="16"/>
    <tableColumn id="22" xr3:uid="{00000000-0010-0000-0900-000016000000}" name="K" totalsRowFunction="sum" dataDxfId="52" totalsRowDxfId="15"/>
    <tableColumn id="23" xr3:uid="{00000000-0010-0000-0900-000017000000}" name="V" totalsRowFunction="sum" dataDxfId="51" totalsRowDxfId="14"/>
    <tableColumn id="24" xr3:uid="{00000000-0010-0000-0900-000018000000}" name="L" totalsRowFunction="sum" dataDxfId="50" totalsRowDxfId="13"/>
    <tableColumn id="25" xr3:uid="{00000000-0010-0000-0900-000019000000}" name="G" totalsRowFunction="sum" dataDxfId="49" totalsRowDxfId="12"/>
    <tableColumn id="26" xr3:uid="{00000000-0010-0000-0900-00001A000000}" name="S" totalsRowFunction="sum" dataDxfId="48" totalsRowDxfId="11"/>
    <tableColumn id="27" xr3:uid="{00000000-0010-0000-0900-00001B000000}" name="W" totalsRowFunction="sum" dataDxfId="47" totalsRowDxfId="10"/>
    <tableColumn id="28" xr3:uid="{00000000-0010-0000-0900-00001C000000}" name="T" totalsRowFunction="sum" dataDxfId="46" totalsRowDxfId="9"/>
    <tableColumn id="29" xr3:uid="{00000000-0010-0000-0900-00001D000000}" name="X" totalsRowFunction="sum" dataDxfId="45" totalsRowDxfId="8"/>
    <tableColumn id="30" xr3:uid="{00000000-0010-0000-0900-00001E000000}" name="U" totalsRowFunction="sum" dataDxfId="44" totalsRowDxfId="7"/>
    <tableColumn id="31" xr3:uid="{00000000-0010-0000-0900-00001F000000}" name="O" totalsRowFunction="sum" dataDxfId="43" totalsRowDxfId="6"/>
    <tableColumn id="32" xr3:uid="{00000000-0010-0000-0900-000020000000}" name="I" totalsRowFunction="sum" dataDxfId="42" totalsRowDxfId="5"/>
    <tableColumn id="33" xr3:uid="{00000000-0010-0000-0900-000021000000}" name="E" totalsRowFunction="sum" dataDxfId="41" totalsRowDxfId="4"/>
    <tableColumn id="34" xr3:uid="{00000000-0010-0000-0900-000022000000}" name="A" totalsRowFunction="sum" dataDxfId="40" totalsRowDxfId="3"/>
    <tableColumn id="35" xr3:uid="{00000000-0010-0000-0900-000023000000}" name="P" totalsRowFunction="sum" dataDxfId="39" totalsRowDxfId="2"/>
    <tableColumn id="36" xr3:uid="{00000000-0010-0000-09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9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8.77734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1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45984.11240181794</v>
      </c>
      <c r="H2" s="206"/>
      <c r="I2" s="206"/>
      <c r="J2" s="206"/>
      <c r="K2" s="213">
        <v>45984.112401818507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46051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0.38194444444444442</v>
      </c>
      <c r="D6" s="8" t="s">
        <v>30</v>
      </c>
      <c r="E6" s="10"/>
      <c r="F6" s="8" t="s">
        <v>31</v>
      </c>
      <c r="G6" s="204"/>
      <c r="H6" s="11" t="s">
        <v>29</v>
      </c>
      <c r="I6" s="12">
        <v>2.2200000000000001E-2</v>
      </c>
      <c r="J6" s="13">
        <v>4</v>
      </c>
      <c r="K6" s="14" t="s">
        <v>32</v>
      </c>
      <c r="L6" s="13">
        <v>4</v>
      </c>
      <c r="M6" s="13">
        <v>0</v>
      </c>
      <c r="N6" s="13">
        <v>0</v>
      </c>
      <c r="O6" s="15" t="s">
        <v>33</v>
      </c>
      <c r="P6" s="16">
        <v>0.38194444444444442</v>
      </c>
      <c r="Q6" s="13">
        <v>180</v>
      </c>
      <c r="R6" s="17" t="s">
        <v>34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46053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0.2361111111111111</v>
      </c>
      <c r="D10" s="26" t="s">
        <v>30</v>
      </c>
      <c r="E10" s="28"/>
      <c r="F10" s="26" t="s">
        <v>35</v>
      </c>
      <c r="G10" s="208"/>
      <c r="H10" s="29" t="s">
        <v>29</v>
      </c>
      <c r="I10" s="30">
        <v>0</v>
      </c>
      <c r="J10" s="31">
        <v>0</v>
      </c>
      <c r="K10" s="32" t="s">
        <v>36</v>
      </c>
      <c r="L10" s="31">
        <v>0</v>
      </c>
      <c r="M10" s="31">
        <v>0</v>
      </c>
      <c r="N10" s="31">
        <v>0</v>
      </c>
      <c r="O10" s="33" t="s">
        <v>37</v>
      </c>
      <c r="P10" s="34">
        <v>0.2361111111111111</v>
      </c>
      <c r="Q10" s="31">
        <v>180</v>
      </c>
      <c r="R10" s="35" t="s">
        <v>36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46054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0.74305555555555547</v>
      </c>
      <c r="D14" s="36" t="s">
        <v>30</v>
      </c>
      <c r="E14" s="38"/>
      <c r="F14" s="36" t="s">
        <v>31</v>
      </c>
      <c r="G14" s="208"/>
      <c r="H14" s="39" t="s">
        <v>29</v>
      </c>
      <c r="I14" s="40">
        <v>0.27779999999999999</v>
      </c>
      <c r="J14" s="41">
        <v>50</v>
      </c>
      <c r="K14" s="42" t="s">
        <v>32</v>
      </c>
      <c r="L14" s="41">
        <v>11</v>
      </c>
      <c r="M14" s="41">
        <v>0</v>
      </c>
      <c r="N14" s="41">
        <v>0</v>
      </c>
      <c r="O14" s="43" t="s">
        <v>38</v>
      </c>
      <c r="P14" s="44">
        <v>0.74305555555555547</v>
      </c>
      <c r="Q14" s="41">
        <v>180</v>
      </c>
      <c r="R14" s="45" t="s">
        <v>39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46055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40</v>
      </c>
      <c r="C18" s="47">
        <v>0.86805555555555547</v>
      </c>
      <c r="D18" s="46" t="s">
        <v>30</v>
      </c>
      <c r="E18" s="48"/>
      <c r="F18" s="46" t="s">
        <v>31</v>
      </c>
      <c r="G18" s="208"/>
      <c r="H18" s="49" t="s">
        <v>40</v>
      </c>
      <c r="I18" s="50">
        <v>5.5999999999999999E-3</v>
      </c>
      <c r="J18" s="51">
        <v>1</v>
      </c>
      <c r="K18" s="52" t="s">
        <v>41</v>
      </c>
      <c r="L18" s="51">
        <v>1</v>
      </c>
      <c r="M18" s="51">
        <v>0</v>
      </c>
      <c r="N18" s="51">
        <v>0</v>
      </c>
      <c r="O18" s="53" t="s">
        <v>42</v>
      </c>
      <c r="P18" s="54">
        <v>0.86805555555555547</v>
      </c>
      <c r="Q18" s="51">
        <v>180</v>
      </c>
      <c r="R18" s="55" t="s">
        <v>43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46056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29</v>
      </c>
      <c r="C22" s="37">
        <v>0.81944444444444453</v>
      </c>
      <c r="D22" s="36" t="s">
        <v>30</v>
      </c>
      <c r="E22" s="38"/>
      <c r="F22" s="36" t="s">
        <v>31</v>
      </c>
      <c r="G22" s="208"/>
      <c r="H22" s="39" t="s">
        <v>29</v>
      </c>
      <c r="I22" s="40">
        <v>0.1389</v>
      </c>
      <c r="J22" s="41">
        <v>25</v>
      </c>
      <c r="K22" s="42" t="s">
        <v>44</v>
      </c>
      <c r="L22" s="41">
        <v>1</v>
      </c>
      <c r="M22" s="41">
        <v>0</v>
      </c>
      <c r="N22" s="41">
        <v>0</v>
      </c>
      <c r="O22" s="43" t="s">
        <v>42</v>
      </c>
      <c r="P22" s="44">
        <v>0.81944444444444453</v>
      </c>
      <c r="Q22" s="41">
        <v>180</v>
      </c>
      <c r="R22" s="45" t="s">
        <v>45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46058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29</v>
      </c>
      <c r="C26" s="57">
        <v>0.38194444444444442</v>
      </c>
      <c r="D26" s="56" t="s">
        <v>30</v>
      </c>
      <c r="E26" s="58"/>
      <c r="F26" s="56" t="s">
        <v>35</v>
      </c>
      <c r="G26" s="204"/>
      <c r="H26" s="59" t="s">
        <v>29</v>
      </c>
      <c r="I26" s="60">
        <v>0</v>
      </c>
      <c r="J26" s="61">
        <v>0</v>
      </c>
      <c r="K26" s="62" t="s">
        <v>36</v>
      </c>
      <c r="L26" s="61">
        <v>0</v>
      </c>
      <c r="M26" s="61">
        <v>0</v>
      </c>
      <c r="N26" s="61">
        <v>0</v>
      </c>
      <c r="O26" s="63" t="s">
        <v>42</v>
      </c>
      <c r="P26" s="64">
        <v>0.38194444444444442</v>
      </c>
      <c r="Q26" s="61">
        <v>180</v>
      </c>
      <c r="R26" s="65" t="s">
        <v>36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46060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66" t="s">
        <v>28</v>
      </c>
      <c r="B30" s="66" t="s">
        <v>29</v>
      </c>
      <c r="C30" s="67">
        <v>0.2361111111111111</v>
      </c>
      <c r="D30" s="66" t="s">
        <v>30</v>
      </c>
      <c r="E30" s="68"/>
      <c r="F30" s="66" t="s">
        <v>31</v>
      </c>
      <c r="G30" s="208"/>
      <c r="H30" s="69" t="s">
        <v>29</v>
      </c>
      <c r="I30" s="70">
        <v>2.7799999999999998E-2</v>
      </c>
      <c r="J30" s="71">
        <v>5</v>
      </c>
      <c r="K30" s="72" t="s">
        <v>46</v>
      </c>
      <c r="L30" s="71">
        <v>5</v>
      </c>
      <c r="M30" s="71">
        <v>0</v>
      </c>
      <c r="N30" s="71">
        <v>0</v>
      </c>
      <c r="O30" s="73" t="s">
        <v>42</v>
      </c>
      <c r="P30" s="74">
        <v>0.2361111111111111</v>
      </c>
      <c r="Q30" s="71">
        <v>180</v>
      </c>
      <c r="R30" s="75" t="s">
        <v>47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46061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76" t="s">
        <v>28</v>
      </c>
      <c r="B34" s="76" t="s">
        <v>29</v>
      </c>
      <c r="C34" s="77">
        <v>0.74305555555555547</v>
      </c>
      <c r="D34" s="76" t="s">
        <v>30</v>
      </c>
      <c r="E34" s="78"/>
      <c r="F34" s="76" t="s">
        <v>31</v>
      </c>
      <c r="G34" s="204"/>
      <c r="H34" s="79" t="s">
        <v>29</v>
      </c>
      <c r="I34" s="80">
        <v>0.2611</v>
      </c>
      <c r="J34" s="81">
        <v>47</v>
      </c>
      <c r="K34" s="82" t="s">
        <v>48</v>
      </c>
      <c r="L34" s="81">
        <v>8</v>
      </c>
      <c r="M34" s="81">
        <v>0</v>
      </c>
      <c r="N34" s="81">
        <v>0</v>
      </c>
      <c r="O34" s="83" t="s">
        <v>42</v>
      </c>
      <c r="P34" s="84">
        <v>0.74305555555555547</v>
      </c>
      <c r="Q34" s="81">
        <v>180</v>
      </c>
      <c r="R34" s="85" t="s">
        <v>49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46062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36" t="s">
        <v>28</v>
      </c>
      <c r="B38" s="36" t="s">
        <v>40</v>
      </c>
      <c r="C38" s="37">
        <v>0.86805555555555547</v>
      </c>
      <c r="D38" s="36" t="s">
        <v>30</v>
      </c>
      <c r="E38" s="38"/>
      <c r="F38" s="36" t="s">
        <v>31</v>
      </c>
      <c r="G38" s="208"/>
      <c r="H38" s="39" t="s">
        <v>40</v>
      </c>
      <c r="I38" s="40">
        <v>1.11E-2</v>
      </c>
      <c r="J38" s="41">
        <v>2</v>
      </c>
      <c r="K38" s="42" t="s">
        <v>50</v>
      </c>
      <c r="L38" s="41">
        <v>2</v>
      </c>
      <c r="M38" s="41">
        <v>0</v>
      </c>
      <c r="N38" s="41">
        <v>0</v>
      </c>
      <c r="O38" s="43" t="s">
        <v>42</v>
      </c>
      <c r="P38" s="44">
        <v>0.86805555555555547</v>
      </c>
      <c r="Q38" s="41">
        <v>180</v>
      </c>
      <c r="R38" s="45" t="s">
        <v>51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46063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29</v>
      </c>
      <c r="C42" s="9">
        <v>0.81944444444444453</v>
      </c>
      <c r="D42" s="8" t="s">
        <v>30</v>
      </c>
      <c r="E42" s="10"/>
      <c r="F42" s="8" t="s">
        <v>31</v>
      </c>
      <c r="G42" s="208"/>
      <c r="H42" s="11" t="s">
        <v>29</v>
      </c>
      <c r="I42" s="12">
        <v>0.2722</v>
      </c>
      <c r="J42" s="13">
        <v>49</v>
      </c>
      <c r="K42" s="14" t="s">
        <v>50</v>
      </c>
      <c r="L42" s="13">
        <v>11</v>
      </c>
      <c r="M42" s="13">
        <v>0</v>
      </c>
      <c r="N42" s="13">
        <v>0</v>
      </c>
      <c r="O42" s="15" t="s">
        <v>42</v>
      </c>
      <c r="P42" s="16">
        <v>0.81944444444444453</v>
      </c>
      <c r="Q42" s="13">
        <v>180</v>
      </c>
      <c r="R42" s="17" t="s">
        <v>52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46065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</v>
      </c>
      <c r="C46" s="27">
        <v>0.38194444444444442</v>
      </c>
      <c r="D46" s="26" t="s">
        <v>30</v>
      </c>
      <c r="E46" s="28"/>
      <c r="F46" s="26" t="s">
        <v>31</v>
      </c>
      <c r="G46" s="208"/>
      <c r="H46" s="29" t="s">
        <v>29</v>
      </c>
      <c r="I46" s="30">
        <v>0.16109999999999999</v>
      </c>
      <c r="J46" s="31">
        <v>29</v>
      </c>
      <c r="K46" s="32" t="s">
        <v>53</v>
      </c>
      <c r="L46" s="31">
        <v>29</v>
      </c>
      <c r="M46" s="31">
        <v>0</v>
      </c>
      <c r="N46" s="31">
        <v>0</v>
      </c>
      <c r="O46" s="33" t="s">
        <v>54</v>
      </c>
      <c r="P46" s="34">
        <v>0.38194444444444442</v>
      </c>
      <c r="Q46" s="31">
        <v>180</v>
      </c>
      <c r="R46" s="35" t="s">
        <v>55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46067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6" t="s">
        <v>28</v>
      </c>
      <c r="B50" s="56" t="s">
        <v>29</v>
      </c>
      <c r="C50" s="57">
        <v>0.2361111111111111</v>
      </c>
      <c r="D50" s="56" t="s">
        <v>30</v>
      </c>
      <c r="E50" s="58"/>
      <c r="F50" s="56" t="s">
        <v>31</v>
      </c>
      <c r="G50" s="208"/>
      <c r="H50" s="59" t="s">
        <v>29</v>
      </c>
      <c r="I50" s="60">
        <v>0.18329999999999999</v>
      </c>
      <c r="J50" s="61">
        <v>33</v>
      </c>
      <c r="K50" s="62" t="s">
        <v>32</v>
      </c>
      <c r="L50" s="61">
        <v>34</v>
      </c>
      <c r="M50" s="61">
        <v>0</v>
      </c>
      <c r="N50" s="61">
        <v>0</v>
      </c>
      <c r="O50" s="63" t="s">
        <v>56</v>
      </c>
      <c r="P50" s="64">
        <v>0.2361111111111111</v>
      </c>
      <c r="Q50" s="61">
        <v>180</v>
      </c>
      <c r="R50" s="65" t="s">
        <v>57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46068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36" t="s">
        <v>28</v>
      </c>
      <c r="B54" s="36" t="s">
        <v>29</v>
      </c>
      <c r="C54" s="37">
        <v>0.74305555555555547</v>
      </c>
      <c r="D54" s="36" t="s">
        <v>30</v>
      </c>
      <c r="E54" s="38"/>
      <c r="F54" s="36" t="s">
        <v>58</v>
      </c>
      <c r="G54" s="208"/>
      <c r="H54" s="39" t="s">
        <v>29</v>
      </c>
      <c r="I54" s="86">
        <v>0.69440000000000002</v>
      </c>
      <c r="J54" s="41">
        <v>125</v>
      </c>
      <c r="K54" s="42" t="s">
        <v>59</v>
      </c>
      <c r="L54" s="41">
        <v>28</v>
      </c>
      <c r="M54" s="41">
        <v>0</v>
      </c>
      <c r="N54" s="41">
        <v>0</v>
      </c>
      <c r="O54" s="43" t="s">
        <v>60</v>
      </c>
      <c r="P54" s="44">
        <v>0.74305555555555547</v>
      </c>
      <c r="Q54" s="41">
        <v>180</v>
      </c>
      <c r="R54" s="45" t="s">
        <v>61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46069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36" t="s">
        <v>28</v>
      </c>
      <c r="B58" s="36" t="s">
        <v>40</v>
      </c>
      <c r="C58" s="37">
        <v>0.86805555555555547</v>
      </c>
      <c r="D58" s="36" t="s">
        <v>30</v>
      </c>
      <c r="E58" s="38"/>
      <c r="F58" s="36" t="s">
        <v>31</v>
      </c>
      <c r="G58" s="204"/>
      <c r="H58" s="39" t="s">
        <v>40</v>
      </c>
      <c r="I58" s="40">
        <v>8.3299999999999999E-2</v>
      </c>
      <c r="J58" s="41">
        <v>15</v>
      </c>
      <c r="K58" s="42" t="s">
        <v>59</v>
      </c>
      <c r="L58" s="41">
        <v>15</v>
      </c>
      <c r="M58" s="41">
        <v>0</v>
      </c>
      <c r="N58" s="41">
        <v>0</v>
      </c>
      <c r="O58" s="43" t="s">
        <v>42</v>
      </c>
      <c r="P58" s="44">
        <v>0.86805555555555547</v>
      </c>
      <c r="Q58" s="41">
        <v>180</v>
      </c>
      <c r="R58" s="45" t="s">
        <v>62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46070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76" t="s">
        <v>28</v>
      </c>
      <c r="B62" s="76" t="s">
        <v>29</v>
      </c>
      <c r="C62" s="77">
        <v>0.81944444444444453</v>
      </c>
      <c r="D62" s="76" t="s">
        <v>30</v>
      </c>
      <c r="E62" s="78"/>
      <c r="F62" s="76" t="s">
        <v>31</v>
      </c>
      <c r="G62" s="208"/>
      <c r="H62" s="79" t="s">
        <v>29</v>
      </c>
      <c r="I62" s="80">
        <v>0.24440000000000001</v>
      </c>
      <c r="J62" s="81">
        <v>44</v>
      </c>
      <c r="K62" s="82" t="s">
        <v>63</v>
      </c>
      <c r="L62" s="81">
        <v>21</v>
      </c>
      <c r="M62" s="81">
        <v>0</v>
      </c>
      <c r="N62" s="81">
        <v>0</v>
      </c>
      <c r="O62" s="83" t="s">
        <v>42</v>
      </c>
      <c r="P62" s="84">
        <v>0.81944444444444453</v>
      </c>
      <c r="Q62" s="81">
        <v>180</v>
      </c>
      <c r="R62" s="85" t="s">
        <v>64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2.05" customHeight="1" thickTop="1" thickBot="1" x14ac:dyDescent="0.35">
      <c r="A64" s="201" t="s">
        <v>8</v>
      </c>
      <c r="B64" s="202"/>
      <c r="C64" s="202"/>
      <c r="D64" s="202"/>
      <c r="E64" s="202"/>
      <c r="F64" s="203"/>
      <c r="G64" s="18">
        <v>46072</v>
      </c>
      <c r="H64" s="209" t="s">
        <v>9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56" t="s">
        <v>28</v>
      </c>
      <c r="B66" s="56" t="s">
        <v>29</v>
      </c>
      <c r="C66" s="57">
        <v>0.38194444444444442</v>
      </c>
      <c r="D66" s="56" t="s">
        <v>30</v>
      </c>
      <c r="E66" s="58"/>
      <c r="F66" s="56" t="s">
        <v>31</v>
      </c>
      <c r="G66" s="208"/>
      <c r="H66" s="59" t="s">
        <v>29</v>
      </c>
      <c r="I66" s="60">
        <v>0.21110000000000001</v>
      </c>
      <c r="J66" s="61">
        <v>38</v>
      </c>
      <c r="K66" s="62" t="s">
        <v>65</v>
      </c>
      <c r="L66" s="61">
        <v>38</v>
      </c>
      <c r="M66" s="61">
        <v>0</v>
      </c>
      <c r="N66" s="61">
        <v>0</v>
      </c>
      <c r="O66" s="63" t="s">
        <v>66</v>
      </c>
      <c r="P66" s="64">
        <v>0.38194444444444442</v>
      </c>
      <c r="Q66" s="61">
        <v>180</v>
      </c>
      <c r="R66" s="65" t="s">
        <v>67</v>
      </c>
    </row>
    <row r="67" spans="1:18" ht="17.399999999999999" customHeight="1" thickBot="1" x14ac:dyDescent="0.3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5"/>
    </row>
    <row r="68" spans="1:18" ht="22.05" customHeight="1" thickTop="1" thickBot="1" x14ac:dyDescent="0.35">
      <c r="A68" s="201" t="s">
        <v>8</v>
      </c>
      <c r="B68" s="202"/>
      <c r="C68" s="202"/>
      <c r="D68" s="202"/>
      <c r="E68" s="202"/>
      <c r="F68" s="203"/>
      <c r="G68" s="18">
        <v>46074</v>
      </c>
      <c r="H68" s="209" t="s">
        <v>9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6" t="s">
        <v>28</v>
      </c>
      <c r="B70" s="66" t="s">
        <v>29</v>
      </c>
      <c r="C70" s="67">
        <v>0.2361111111111111</v>
      </c>
      <c r="D70" s="66" t="s">
        <v>30</v>
      </c>
      <c r="E70" s="68"/>
      <c r="F70" s="66" t="s">
        <v>31</v>
      </c>
      <c r="G70" s="208"/>
      <c r="H70" s="69" t="s">
        <v>29</v>
      </c>
      <c r="I70" s="70">
        <v>0.1167</v>
      </c>
      <c r="J70" s="71">
        <v>21</v>
      </c>
      <c r="K70" s="72" t="s">
        <v>68</v>
      </c>
      <c r="L70" s="71">
        <v>22</v>
      </c>
      <c r="M70" s="71">
        <v>0</v>
      </c>
      <c r="N70" s="71">
        <v>0</v>
      </c>
      <c r="O70" s="73" t="s">
        <v>42</v>
      </c>
      <c r="P70" s="74">
        <v>0.2361111111111111</v>
      </c>
      <c r="Q70" s="71">
        <v>180</v>
      </c>
      <c r="R70" s="75" t="s">
        <v>69</v>
      </c>
    </row>
    <row r="71" spans="1:18" ht="17.399999999999999" customHeight="1" thickBot="1" x14ac:dyDescent="0.35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5"/>
    </row>
    <row r="72" spans="1:18" ht="22.05" customHeight="1" thickTop="1" thickBot="1" x14ac:dyDescent="0.35">
      <c r="A72" s="201" t="s">
        <v>8</v>
      </c>
      <c r="B72" s="202"/>
      <c r="C72" s="202"/>
      <c r="D72" s="202"/>
      <c r="E72" s="202"/>
      <c r="F72" s="203"/>
      <c r="G72" s="18">
        <v>46075</v>
      </c>
      <c r="H72" s="209" t="s">
        <v>9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3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56" t="s">
        <v>28</v>
      </c>
      <c r="B74" s="56" t="s">
        <v>29</v>
      </c>
      <c r="C74" s="57">
        <v>0.74305555555555547</v>
      </c>
      <c r="D74" s="56" t="s">
        <v>30</v>
      </c>
      <c r="E74" s="58"/>
      <c r="F74" s="56" t="s">
        <v>31</v>
      </c>
      <c r="G74" s="208"/>
      <c r="H74" s="59" t="s">
        <v>29</v>
      </c>
      <c r="I74" s="60">
        <v>0.1389</v>
      </c>
      <c r="J74" s="61">
        <v>25</v>
      </c>
      <c r="K74" s="62" t="s">
        <v>53</v>
      </c>
      <c r="L74" s="61">
        <v>26</v>
      </c>
      <c r="M74" s="61">
        <v>0</v>
      </c>
      <c r="N74" s="61">
        <v>0</v>
      </c>
      <c r="O74" s="63" t="s">
        <v>60</v>
      </c>
      <c r="P74" s="64">
        <v>0.74305555555555547</v>
      </c>
      <c r="Q74" s="61">
        <v>180</v>
      </c>
      <c r="R74" s="65" t="s">
        <v>70</v>
      </c>
    </row>
    <row r="75" spans="1:18" ht="17.399999999999999" customHeight="1" thickBot="1" x14ac:dyDescent="0.35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46076</v>
      </c>
      <c r="H76" s="209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87" t="s">
        <v>28</v>
      </c>
      <c r="B78" s="87" t="s">
        <v>40</v>
      </c>
      <c r="C78" s="88">
        <v>0.86805555555555547</v>
      </c>
      <c r="D78" s="87" t="s">
        <v>30</v>
      </c>
      <c r="E78" s="89"/>
      <c r="F78" s="87" t="s">
        <v>31</v>
      </c>
      <c r="G78" s="204"/>
      <c r="H78" s="90" t="s">
        <v>40</v>
      </c>
      <c r="I78" s="91">
        <v>2.7799999999999998E-2</v>
      </c>
      <c r="J78" s="92">
        <v>5</v>
      </c>
      <c r="K78" s="93" t="s">
        <v>53</v>
      </c>
      <c r="L78" s="92">
        <v>5</v>
      </c>
      <c r="M78" s="92">
        <v>0</v>
      </c>
      <c r="N78" s="92">
        <v>0</v>
      </c>
      <c r="O78" s="94" t="s">
        <v>42</v>
      </c>
      <c r="P78" s="95">
        <v>0.86805555555555547</v>
      </c>
      <c r="Q78" s="92">
        <v>180</v>
      </c>
      <c r="R78" s="96" t="s">
        <v>71</v>
      </c>
    </row>
    <row r="79" spans="1:18" ht="17.399999999999999" customHeight="1" thickBot="1" x14ac:dyDescent="0.35">
      <c r="A79" s="233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2.05" customHeight="1" thickTop="1" thickBot="1" x14ac:dyDescent="0.35">
      <c r="A80" s="201" t="s">
        <v>8</v>
      </c>
      <c r="B80" s="202"/>
      <c r="C80" s="202"/>
      <c r="D80" s="202"/>
      <c r="E80" s="202"/>
      <c r="F80" s="203"/>
      <c r="G80" s="18">
        <v>46077</v>
      </c>
      <c r="H80" s="209" t="s">
        <v>9</v>
      </c>
      <c r="I80" s="202"/>
      <c r="J80" s="202"/>
      <c r="K80" s="202"/>
      <c r="L80" s="202"/>
      <c r="M80" s="202"/>
      <c r="N80" s="202"/>
      <c r="O80" s="202"/>
      <c r="P80" s="202"/>
      <c r="Q80" s="202"/>
      <c r="R80" s="203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46" t="s">
        <v>28</v>
      </c>
      <c r="B82" s="46" t="s">
        <v>29</v>
      </c>
      <c r="C82" s="47">
        <v>0.81944444444444453</v>
      </c>
      <c r="D82" s="46" t="s">
        <v>30</v>
      </c>
      <c r="E82" s="48"/>
      <c r="F82" s="46" t="s">
        <v>58</v>
      </c>
      <c r="G82" s="208"/>
      <c r="H82" s="49" t="s">
        <v>29</v>
      </c>
      <c r="I82" s="50">
        <v>0.36670000000000003</v>
      </c>
      <c r="J82" s="51">
        <v>66</v>
      </c>
      <c r="K82" s="52" t="s">
        <v>41</v>
      </c>
      <c r="L82" s="51">
        <v>18</v>
      </c>
      <c r="M82" s="51">
        <v>0</v>
      </c>
      <c r="N82" s="51">
        <v>0</v>
      </c>
      <c r="O82" s="53" t="s">
        <v>42</v>
      </c>
      <c r="P82" s="54">
        <v>0.81944444444444453</v>
      </c>
      <c r="Q82" s="51">
        <v>180</v>
      </c>
      <c r="R82" s="55" t="s">
        <v>72</v>
      </c>
    </row>
    <row r="83" spans="1:18" ht="17.399999999999999" customHeight="1" thickBot="1" x14ac:dyDescent="0.35">
      <c r="A83" s="233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5"/>
    </row>
    <row r="84" spans="1:18" ht="22.05" customHeight="1" thickTop="1" thickBot="1" x14ac:dyDescent="0.35">
      <c r="A84" s="201" t="s">
        <v>8</v>
      </c>
      <c r="B84" s="202"/>
      <c r="C84" s="202"/>
      <c r="D84" s="202"/>
      <c r="E84" s="202"/>
      <c r="F84" s="203"/>
      <c r="G84" s="18">
        <v>46079</v>
      </c>
      <c r="H84" s="209" t="s">
        <v>9</v>
      </c>
      <c r="I84" s="202"/>
      <c r="J84" s="202"/>
      <c r="K84" s="202"/>
      <c r="L84" s="202"/>
      <c r="M84" s="202"/>
      <c r="N84" s="202"/>
      <c r="O84" s="202"/>
      <c r="P84" s="202"/>
      <c r="Q84" s="202"/>
      <c r="R84" s="203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8" t="s">
        <v>28</v>
      </c>
      <c r="B86" s="8" t="s">
        <v>29</v>
      </c>
      <c r="C86" s="9">
        <v>0.38194444444444442</v>
      </c>
      <c r="D86" s="8" t="s">
        <v>30</v>
      </c>
      <c r="E86" s="10"/>
      <c r="F86" s="8" t="s">
        <v>31</v>
      </c>
      <c r="G86" s="208"/>
      <c r="H86" s="11" t="s">
        <v>29</v>
      </c>
      <c r="I86" s="12">
        <v>0.22220000000000001</v>
      </c>
      <c r="J86" s="13">
        <v>40</v>
      </c>
      <c r="K86" s="14" t="s">
        <v>50</v>
      </c>
      <c r="L86" s="13">
        <v>40</v>
      </c>
      <c r="M86" s="13">
        <v>0</v>
      </c>
      <c r="N86" s="13">
        <v>0</v>
      </c>
      <c r="O86" s="15" t="s">
        <v>73</v>
      </c>
      <c r="P86" s="16">
        <v>0.38194444444444442</v>
      </c>
      <c r="Q86" s="13">
        <v>180</v>
      </c>
      <c r="R86" s="17" t="s">
        <v>74</v>
      </c>
    </row>
    <row r="87" spans="1:18" ht="17.399999999999999" customHeight="1" thickBot="1" x14ac:dyDescent="0.35">
      <c r="A87" s="233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5"/>
    </row>
    <row r="88" spans="1:18" ht="22.05" customHeight="1" thickTop="1" thickBot="1" x14ac:dyDescent="0.35">
      <c r="A88" s="201" t="s">
        <v>8</v>
      </c>
      <c r="B88" s="202"/>
      <c r="C88" s="202"/>
      <c r="D88" s="202"/>
      <c r="E88" s="202"/>
      <c r="F88" s="203"/>
      <c r="G88" s="18">
        <v>46081</v>
      </c>
      <c r="H88" s="209" t="s">
        <v>9</v>
      </c>
      <c r="I88" s="202"/>
      <c r="J88" s="202"/>
      <c r="K88" s="202"/>
      <c r="L88" s="202"/>
      <c r="M88" s="202"/>
      <c r="N88" s="202"/>
      <c r="O88" s="202"/>
      <c r="P88" s="202"/>
      <c r="Q88" s="202"/>
      <c r="R88" s="203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5">
      <c r="A90" s="56" t="s">
        <v>28</v>
      </c>
      <c r="B90" s="56" t="s">
        <v>29</v>
      </c>
      <c r="C90" s="57">
        <v>0.2361111111111111</v>
      </c>
      <c r="D90" s="56" t="s">
        <v>30</v>
      </c>
      <c r="E90" s="58"/>
      <c r="F90" s="56" t="s">
        <v>31</v>
      </c>
      <c r="G90" s="204"/>
      <c r="H90" s="59" t="s">
        <v>29</v>
      </c>
      <c r="I90" s="60">
        <v>0.1389</v>
      </c>
      <c r="J90" s="61">
        <v>25</v>
      </c>
      <c r="K90" s="62" t="s">
        <v>50</v>
      </c>
      <c r="L90" s="61">
        <v>25</v>
      </c>
      <c r="M90" s="61">
        <v>0</v>
      </c>
      <c r="N90" s="61">
        <v>0</v>
      </c>
      <c r="O90" s="63" t="s">
        <v>75</v>
      </c>
      <c r="P90" s="64">
        <v>0.2361111111111111</v>
      </c>
      <c r="Q90" s="61">
        <v>180</v>
      </c>
      <c r="R90" s="65" t="s">
        <v>76</v>
      </c>
    </row>
    <row r="91" spans="1:18" ht="17.399999999999999" customHeight="1" thickBot="1" x14ac:dyDescent="0.35">
      <c r="A91" s="233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5"/>
    </row>
    <row r="92" spans="1:18" ht="22.05" customHeight="1" thickTop="1" thickBot="1" x14ac:dyDescent="0.35">
      <c r="A92" s="201" t="s">
        <v>8</v>
      </c>
      <c r="B92" s="202"/>
      <c r="C92" s="202"/>
      <c r="D92" s="202"/>
      <c r="E92" s="202"/>
      <c r="F92" s="203"/>
      <c r="G92" s="18">
        <v>46082</v>
      </c>
      <c r="H92" s="209" t="s">
        <v>9</v>
      </c>
      <c r="I92" s="202"/>
      <c r="J92" s="202"/>
      <c r="K92" s="202"/>
      <c r="L92" s="202"/>
      <c r="M92" s="202"/>
      <c r="N92" s="202"/>
      <c r="O92" s="202"/>
      <c r="P92" s="202"/>
      <c r="Q92" s="202"/>
      <c r="R92" s="203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x14ac:dyDescent="0.45">
      <c r="A94" s="8" t="s">
        <v>28</v>
      </c>
      <c r="B94" s="8" t="s">
        <v>29</v>
      </c>
      <c r="C94" s="9">
        <v>0.74305555555555547</v>
      </c>
      <c r="D94" s="8" t="s">
        <v>30</v>
      </c>
      <c r="E94" s="10"/>
      <c r="F94" s="8" t="s">
        <v>31</v>
      </c>
      <c r="G94" s="204"/>
      <c r="H94" s="11" t="s">
        <v>29</v>
      </c>
      <c r="I94" s="12">
        <v>0.2944</v>
      </c>
      <c r="J94" s="13">
        <v>53</v>
      </c>
      <c r="K94" s="14" t="s">
        <v>77</v>
      </c>
      <c r="L94" s="13">
        <v>4</v>
      </c>
      <c r="M94" s="13">
        <v>0</v>
      </c>
      <c r="N94" s="13">
        <v>0</v>
      </c>
      <c r="O94" s="15" t="s">
        <v>78</v>
      </c>
      <c r="P94" s="16">
        <v>0.74305555555555547</v>
      </c>
      <c r="Q94" s="13">
        <v>180</v>
      </c>
      <c r="R94" s="17" t="s">
        <v>79</v>
      </c>
    </row>
  </sheetData>
  <mergeCells count="98">
    <mergeCell ref="N1:R1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H4:R4"/>
    <mergeCell ref="H44:R44"/>
    <mergeCell ref="A3:R3"/>
    <mergeCell ref="A55:R55"/>
    <mergeCell ref="A47:R47"/>
    <mergeCell ref="A8:F8"/>
    <mergeCell ref="G86"/>
    <mergeCell ref="H60:R60"/>
    <mergeCell ref="G2:J2"/>
    <mergeCell ref="A23:R23"/>
    <mergeCell ref="H84:R84"/>
    <mergeCell ref="A80:F80"/>
    <mergeCell ref="A75:R75"/>
    <mergeCell ref="H64:R64"/>
    <mergeCell ref="A4:F4"/>
    <mergeCell ref="A52:F52"/>
    <mergeCell ref="G38"/>
    <mergeCell ref="A31:R31"/>
    <mergeCell ref="G78"/>
    <mergeCell ref="A15:R15"/>
    <mergeCell ref="A51:R51"/>
    <mergeCell ref="G94"/>
    <mergeCell ref="A56:F56"/>
    <mergeCell ref="G22"/>
    <mergeCell ref="H40:R40"/>
    <mergeCell ref="A76:F76"/>
    <mergeCell ref="H68:R68"/>
    <mergeCell ref="A92:F92"/>
    <mergeCell ref="H92:R92"/>
    <mergeCell ref="H88:R88"/>
    <mergeCell ref="H24:R24"/>
    <mergeCell ref="H76:R76"/>
    <mergeCell ref="H12:R12"/>
    <mergeCell ref="G34"/>
    <mergeCell ref="G74"/>
    <mergeCell ref="H48:R48"/>
    <mergeCell ref="A88:F88"/>
    <mergeCell ref="G58"/>
    <mergeCell ref="A87:R87"/>
    <mergeCell ref="A2:F2"/>
    <mergeCell ref="H56:R56"/>
    <mergeCell ref="A71:R71"/>
    <mergeCell ref="H36:R36"/>
    <mergeCell ref="A91:R91"/>
    <mergeCell ref="A28:F28"/>
    <mergeCell ref="A63:R63"/>
    <mergeCell ref="G82"/>
    <mergeCell ref="A48:F48"/>
    <mergeCell ref="G10"/>
    <mergeCell ref="G66"/>
    <mergeCell ref="H28:R28"/>
    <mergeCell ref="A83:R83"/>
    <mergeCell ref="H80:R80"/>
    <mergeCell ref="G18"/>
    <mergeCell ref="A39:R39"/>
    <mergeCell ref="G9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A84:F84"/>
    <mergeCell ref="G26"/>
    <mergeCell ref="H1:L1"/>
    <mergeCell ref="A1:E1"/>
    <mergeCell ref="A27:R27"/>
    <mergeCell ref="G50"/>
    <mergeCell ref="A19:R19"/>
    <mergeCell ref="G6"/>
    <mergeCell ref="A11:R11"/>
    <mergeCell ref="A79:R79"/>
    <mergeCell ref="G14"/>
    <mergeCell ref="A16:F16"/>
    <mergeCell ref="H8:R8"/>
    <mergeCell ref="G54"/>
    <mergeCell ref="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5"/>
  <sheetViews>
    <sheetView workbookViewId="0"/>
  </sheetViews>
  <sheetFormatPr defaultRowHeight="15.6" outlineLevelCol="1" x14ac:dyDescent="0.3"/>
  <cols>
    <col min="1" max="1" width="9.88671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8.5546875" style="220" bestFit="1" customWidth="1"/>
    <col min="6" max="6" width="4.21875" style="220" bestFit="1" customWidth="1"/>
    <col min="7" max="7" width="10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9" width="3.88671875" style="220" bestFit="1" customWidth="1"/>
    <col min="30" max="31" width="4.5546875" style="220" bestFit="1" customWidth="1"/>
    <col min="32" max="32" width="3.88671875" style="220" bestFit="1" customWidth="1"/>
    <col min="33" max="33" width="5.21875" style="220" bestFit="1" customWidth="1"/>
    <col min="34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109</v>
      </c>
      <c r="B2" s="222">
        <v>46051</v>
      </c>
      <c r="C2" s="223" t="s">
        <v>29</v>
      </c>
      <c r="D2" s="224" t="s">
        <v>110</v>
      </c>
      <c r="E2" s="223" t="s">
        <v>1</v>
      </c>
      <c r="F2" s="223" t="s">
        <v>111</v>
      </c>
      <c r="G2" s="225">
        <v>2.2200000000000001E-2</v>
      </c>
      <c r="H2" s="226">
        <v>180</v>
      </c>
      <c r="I2" s="226">
        <v>4</v>
      </c>
      <c r="J2" s="226">
        <v>0</v>
      </c>
      <c r="K2" s="223" t="s">
        <v>112</v>
      </c>
      <c r="L2" s="227" t="s">
        <v>32</v>
      </c>
      <c r="M2" s="226">
        <v>0</v>
      </c>
      <c r="N2" s="226">
        <v>0</v>
      </c>
      <c r="O2" s="226">
        <v>4</v>
      </c>
      <c r="P2" s="223" t="s">
        <v>33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26" t="s">
        <v>34</v>
      </c>
      <c r="AC2" s="219"/>
      <c r="AD2" s="219"/>
      <c r="AE2" s="219"/>
      <c r="AF2" s="219"/>
      <c r="AG2" s="219"/>
      <c r="AH2" s="219"/>
      <c r="AI2" s="219"/>
      <c r="AJ2" s="219"/>
    </row>
    <row r="3" spans="1:36" x14ac:dyDescent="0.3">
      <c r="A3" s="221" t="s">
        <v>113</v>
      </c>
      <c r="B3" s="222">
        <v>46053</v>
      </c>
      <c r="C3" s="223" t="s">
        <v>29</v>
      </c>
      <c r="D3" s="224" t="s">
        <v>114</v>
      </c>
      <c r="E3" s="223" t="s">
        <v>1</v>
      </c>
      <c r="F3" s="223" t="s">
        <v>111</v>
      </c>
      <c r="G3" s="225">
        <v>0</v>
      </c>
      <c r="H3" s="226">
        <v>180</v>
      </c>
      <c r="I3" s="226">
        <v>0</v>
      </c>
      <c r="J3" s="226">
        <v>0</v>
      </c>
      <c r="K3" s="223" t="s">
        <v>112</v>
      </c>
      <c r="L3" s="227" t="s">
        <v>36</v>
      </c>
      <c r="M3" s="226">
        <v>0</v>
      </c>
      <c r="N3" s="226">
        <v>0</v>
      </c>
      <c r="O3" s="226">
        <v>0</v>
      </c>
      <c r="P3" s="223" t="s">
        <v>37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</row>
    <row r="4" spans="1:36" x14ac:dyDescent="0.3">
      <c r="A4" s="221" t="s">
        <v>115</v>
      </c>
      <c r="B4" s="222">
        <v>46054</v>
      </c>
      <c r="C4" s="223" t="s">
        <v>29</v>
      </c>
      <c r="D4" s="224" t="s">
        <v>116</v>
      </c>
      <c r="E4" s="223" t="s">
        <v>1</v>
      </c>
      <c r="F4" s="223" t="s">
        <v>111</v>
      </c>
      <c r="G4" s="225">
        <v>0.27779999999999999</v>
      </c>
      <c r="H4" s="226">
        <v>180</v>
      </c>
      <c r="I4" s="226">
        <v>50</v>
      </c>
      <c r="J4" s="226">
        <v>40</v>
      </c>
      <c r="K4" s="223" t="s">
        <v>112</v>
      </c>
      <c r="L4" s="227" t="s">
        <v>32</v>
      </c>
      <c r="M4" s="226">
        <v>0</v>
      </c>
      <c r="N4" s="226">
        <v>0</v>
      </c>
      <c r="O4" s="226">
        <v>11</v>
      </c>
      <c r="P4" s="223" t="s">
        <v>38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26" t="s">
        <v>117</v>
      </c>
      <c r="AF4" s="226" t="s">
        <v>38</v>
      </c>
      <c r="AG4" s="226" t="s">
        <v>118</v>
      </c>
      <c r="AH4" s="219"/>
      <c r="AI4" s="219"/>
      <c r="AJ4" s="219"/>
    </row>
    <row r="5" spans="1:36" x14ac:dyDescent="0.3">
      <c r="A5" s="221" t="s">
        <v>119</v>
      </c>
      <c r="B5" s="222">
        <v>46055</v>
      </c>
      <c r="C5" s="223" t="s">
        <v>40</v>
      </c>
      <c r="D5" s="224" t="s">
        <v>120</v>
      </c>
      <c r="E5" s="223" t="s">
        <v>1</v>
      </c>
      <c r="F5" s="223" t="s">
        <v>111</v>
      </c>
      <c r="G5" s="225">
        <v>5.5999999999999999E-3</v>
      </c>
      <c r="H5" s="226">
        <v>180</v>
      </c>
      <c r="I5" s="226">
        <v>1</v>
      </c>
      <c r="J5" s="226">
        <v>0</v>
      </c>
      <c r="K5" s="223" t="s">
        <v>112</v>
      </c>
      <c r="L5" s="227" t="s">
        <v>41</v>
      </c>
      <c r="M5" s="226">
        <v>0</v>
      </c>
      <c r="N5" s="226">
        <v>0</v>
      </c>
      <c r="O5" s="226">
        <v>1</v>
      </c>
      <c r="P5" s="223" t="s">
        <v>42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6" t="s">
        <v>43</v>
      </c>
      <c r="AF5" s="219"/>
      <c r="AG5" s="219"/>
      <c r="AH5" s="219"/>
      <c r="AI5" s="219"/>
      <c r="AJ5" s="219"/>
    </row>
    <row r="6" spans="1:36" x14ac:dyDescent="0.3">
      <c r="A6" s="221" t="s">
        <v>121</v>
      </c>
      <c r="B6" s="222">
        <v>46056</v>
      </c>
      <c r="C6" s="223" t="s">
        <v>29</v>
      </c>
      <c r="D6" s="224" t="s">
        <v>122</v>
      </c>
      <c r="E6" s="223" t="s">
        <v>1</v>
      </c>
      <c r="F6" s="223" t="s">
        <v>111</v>
      </c>
      <c r="G6" s="225">
        <v>0.1389</v>
      </c>
      <c r="H6" s="226">
        <v>180</v>
      </c>
      <c r="I6" s="226">
        <v>25</v>
      </c>
      <c r="J6" s="226">
        <v>25</v>
      </c>
      <c r="K6" s="223" t="s">
        <v>112</v>
      </c>
      <c r="L6" s="227" t="s">
        <v>44</v>
      </c>
      <c r="M6" s="226">
        <v>0</v>
      </c>
      <c r="N6" s="226">
        <v>0</v>
      </c>
      <c r="O6" s="226">
        <v>1</v>
      </c>
      <c r="P6" s="223" t="s">
        <v>42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26" t="s">
        <v>45</v>
      </c>
      <c r="AH6" s="219"/>
      <c r="AI6" s="219"/>
      <c r="AJ6" s="219"/>
    </row>
    <row r="7" spans="1:36" x14ac:dyDescent="0.3">
      <c r="A7" s="221" t="s">
        <v>109</v>
      </c>
      <c r="B7" s="222">
        <v>46058</v>
      </c>
      <c r="C7" s="223" t="s">
        <v>29</v>
      </c>
      <c r="D7" s="224" t="s">
        <v>110</v>
      </c>
      <c r="E7" s="223" t="s">
        <v>1</v>
      </c>
      <c r="F7" s="223" t="s">
        <v>111</v>
      </c>
      <c r="G7" s="225">
        <v>0</v>
      </c>
      <c r="H7" s="226">
        <v>180</v>
      </c>
      <c r="I7" s="226">
        <v>0</v>
      </c>
      <c r="J7" s="226">
        <v>0</v>
      </c>
      <c r="K7" s="223" t="s">
        <v>112</v>
      </c>
      <c r="L7" s="227" t="s">
        <v>36</v>
      </c>
      <c r="M7" s="226">
        <v>0</v>
      </c>
      <c r="N7" s="226">
        <v>0</v>
      </c>
      <c r="O7" s="226">
        <v>0</v>
      </c>
      <c r="P7" s="223" t="s">
        <v>42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</row>
    <row r="8" spans="1:36" x14ac:dyDescent="0.3">
      <c r="A8" s="221" t="s">
        <v>113</v>
      </c>
      <c r="B8" s="222">
        <v>46060</v>
      </c>
      <c r="C8" s="223" t="s">
        <v>29</v>
      </c>
      <c r="D8" s="224" t="s">
        <v>114</v>
      </c>
      <c r="E8" s="223" t="s">
        <v>1</v>
      </c>
      <c r="F8" s="223" t="s">
        <v>111</v>
      </c>
      <c r="G8" s="225">
        <v>2.7799999999999998E-2</v>
      </c>
      <c r="H8" s="226">
        <v>180</v>
      </c>
      <c r="I8" s="226">
        <v>5</v>
      </c>
      <c r="J8" s="226">
        <v>0</v>
      </c>
      <c r="K8" s="223" t="s">
        <v>112</v>
      </c>
      <c r="L8" s="227" t="s">
        <v>46</v>
      </c>
      <c r="M8" s="226">
        <v>0</v>
      </c>
      <c r="N8" s="226">
        <v>0</v>
      </c>
      <c r="O8" s="226">
        <v>5</v>
      </c>
      <c r="P8" s="223" t="s">
        <v>42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26" t="s">
        <v>123</v>
      </c>
      <c r="AF8" s="226" t="s">
        <v>54</v>
      </c>
      <c r="AG8" s="219"/>
      <c r="AH8" s="219"/>
      <c r="AI8" s="219"/>
      <c r="AJ8" s="219"/>
    </row>
    <row r="9" spans="1:36" x14ac:dyDescent="0.3">
      <c r="A9" s="221" t="s">
        <v>115</v>
      </c>
      <c r="B9" s="222">
        <v>46061</v>
      </c>
      <c r="C9" s="223" t="s">
        <v>29</v>
      </c>
      <c r="D9" s="224" t="s">
        <v>116</v>
      </c>
      <c r="E9" s="223" t="s">
        <v>1</v>
      </c>
      <c r="F9" s="223" t="s">
        <v>111</v>
      </c>
      <c r="G9" s="225">
        <v>0.2611</v>
      </c>
      <c r="H9" s="226">
        <v>180</v>
      </c>
      <c r="I9" s="226">
        <v>47</v>
      </c>
      <c r="J9" s="226">
        <v>40</v>
      </c>
      <c r="K9" s="223" t="s">
        <v>112</v>
      </c>
      <c r="L9" s="227" t="s">
        <v>48</v>
      </c>
      <c r="M9" s="226">
        <v>0</v>
      </c>
      <c r="N9" s="226">
        <v>0</v>
      </c>
      <c r="O9" s="226">
        <v>8</v>
      </c>
      <c r="P9" s="223" t="s">
        <v>42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26" t="s">
        <v>123</v>
      </c>
      <c r="AF9" s="226" t="s">
        <v>75</v>
      </c>
      <c r="AG9" s="226" t="s">
        <v>118</v>
      </c>
      <c r="AH9" s="219"/>
      <c r="AI9" s="219"/>
      <c r="AJ9" s="219"/>
    </row>
    <row r="10" spans="1:36" x14ac:dyDescent="0.3">
      <c r="A10" s="221" t="s">
        <v>119</v>
      </c>
      <c r="B10" s="222">
        <v>46062</v>
      </c>
      <c r="C10" s="223" t="s">
        <v>40</v>
      </c>
      <c r="D10" s="224" t="s">
        <v>120</v>
      </c>
      <c r="E10" s="223" t="s">
        <v>1</v>
      </c>
      <c r="F10" s="223" t="s">
        <v>111</v>
      </c>
      <c r="G10" s="225">
        <v>1.11E-2</v>
      </c>
      <c r="H10" s="226">
        <v>180</v>
      </c>
      <c r="I10" s="226">
        <v>2</v>
      </c>
      <c r="J10" s="226">
        <v>0</v>
      </c>
      <c r="K10" s="223" t="s">
        <v>112</v>
      </c>
      <c r="L10" s="227" t="s">
        <v>50</v>
      </c>
      <c r="M10" s="226">
        <v>0</v>
      </c>
      <c r="N10" s="226">
        <v>0</v>
      </c>
      <c r="O10" s="226">
        <v>2</v>
      </c>
      <c r="P10" s="223" t="s">
        <v>42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26" t="s">
        <v>43</v>
      </c>
      <c r="AF10" s="226" t="s">
        <v>124</v>
      </c>
      <c r="AG10" s="219"/>
      <c r="AH10" s="219"/>
      <c r="AI10" s="219"/>
      <c r="AJ10" s="219"/>
    </row>
    <row r="11" spans="1:36" x14ac:dyDescent="0.3">
      <c r="A11" s="221" t="s">
        <v>121</v>
      </c>
      <c r="B11" s="222">
        <v>46063</v>
      </c>
      <c r="C11" s="223" t="s">
        <v>29</v>
      </c>
      <c r="D11" s="224" t="s">
        <v>122</v>
      </c>
      <c r="E11" s="223" t="s">
        <v>1</v>
      </c>
      <c r="F11" s="223" t="s">
        <v>111</v>
      </c>
      <c r="G11" s="225">
        <v>0.2722</v>
      </c>
      <c r="H11" s="226">
        <v>180</v>
      </c>
      <c r="I11" s="226">
        <v>49</v>
      </c>
      <c r="J11" s="226">
        <v>40</v>
      </c>
      <c r="K11" s="223" t="s">
        <v>112</v>
      </c>
      <c r="L11" s="227" t="s">
        <v>50</v>
      </c>
      <c r="M11" s="226">
        <v>0</v>
      </c>
      <c r="N11" s="226">
        <v>0</v>
      </c>
      <c r="O11" s="226">
        <v>11</v>
      </c>
      <c r="P11" s="223" t="s">
        <v>42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26" t="s">
        <v>125</v>
      </c>
      <c r="AF11" s="226" t="s">
        <v>60</v>
      </c>
      <c r="AG11" s="226" t="s">
        <v>118</v>
      </c>
      <c r="AH11" s="219"/>
      <c r="AI11" s="219"/>
      <c r="AJ11" s="219"/>
    </row>
    <row r="12" spans="1:36" x14ac:dyDescent="0.3">
      <c r="A12" s="221" t="s">
        <v>109</v>
      </c>
      <c r="B12" s="222">
        <v>46065</v>
      </c>
      <c r="C12" s="223" t="s">
        <v>29</v>
      </c>
      <c r="D12" s="224" t="s">
        <v>110</v>
      </c>
      <c r="E12" s="223" t="s">
        <v>1</v>
      </c>
      <c r="F12" s="223" t="s">
        <v>111</v>
      </c>
      <c r="G12" s="225">
        <v>0.16109999999999999</v>
      </c>
      <c r="H12" s="226">
        <v>180</v>
      </c>
      <c r="I12" s="226">
        <v>29</v>
      </c>
      <c r="J12" s="226">
        <v>0</v>
      </c>
      <c r="K12" s="223" t="s">
        <v>112</v>
      </c>
      <c r="L12" s="227" t="s">
        <v>53</v>
      </c>
      <c r="M12" s="226">
        <v>0</v>
      </c>
      <c r="N12" s="226">
        <v>0</v>
      </c>
      <c r="O12" s="226">
        <v>29</v>
      </c>
      <c r="P12" s="223" t="s">
        <v>54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26" t="s">
        <v>126</v>
      </c>
      <c r="AE12" s="226" t="s">
        <v>127</v>
      </c>
      <c r="AF12" s="226" t="s">
        <v>128</v>
      </c>
      <c r="AG12" s="219"/>
      <c r="AH12" s="219"/>
      <c r="AI12" s="219"/>
      <c r="AJ12" s="219"/>
    </row>
    <row r="13" spans="1:36" x14ac:dyDescent="0.3">
      <c r="A13" s="221" t="s">
        <v>113</v>
      </c>
      <c r="B13" s="222">
        <v>46067</v>
      </c>
      <c r="C13" s="223" t="s">
        <v>29</v>
      </c>
      <c r="D13" s="224" t="s">
        <v>114</v>
      </c>
      <c r="E13" s="223" t="s">
        <v>1</v>
      </c>
      <c r="F13" s="223" t="s">
        <v>111</v>
      </c>
      <c r="G13" s="225">
        <v>0.18329999999999999</v>
      </c>
      <c r="H13" s="226">
        <v>180</v>
      </c>
      <c r="I13" s="226">
        <v>33</v>
      </c>
      <c r="J13" s="226">
        <v>0</v>
      </c>
      <c r="K13" s="223" t="s">
        <v>112</v>
      </c>
      <c r="L13" s="227" t="s">
        <v>32</v>
      </c>
      <c r="M13" s="226">
        <v>0</v>
      </c>
      <c r="N13" s="226">
        <v>0</v>
      </c>
      <c r="O13" s="226">
        <v>34</v>
      </c>
      <c r="P13" s="223" t="s">
        <v>56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26" t="s">
        <v>129</v>
      </c>
      <c r="AE13" s="226" t="s">
        <v>130</v>
      </c>
      <c r="AF13" s="226" t="s">
        <v>38</v>
      </c>
      <c r="AG13" s="219"/>
      <c r="AH13" s="219"/>
      <c r="AI13" s="219"/>
      <c r="AJ13" s="219"/>
    </row>
    <row r="14" spans="1:36" x14ac:dyDescent="0.3">
      <c r="A14" s="221" t="s">
        <v>115</v>
      </c>
      <c r="B14" s="222">
        <v>46068</v>
      </c>
      <c r="C14" s="223" t="s">
        <v>29</v>
      </c>
      <c r="D14" s="224" t="s">
        <v>116</v>
      </c>
      <c r="E14" s="223" t="s">
        <v>1</v>
      </c>
      <c r="F14" s="223" t="s">
        <v>111</v>
      </c>
      <c r="G14" s="225">
        <v>0.69440000000000002</v>
      </c>
      <c r="H14" s="226">
        <v>180</v>
      </c>
      <c r="I14" s="226">
        <v>125</v>
      </c>
      <c r="J14" s="226">
        <v>100</v>
      </c>
      <c r="K14" s="223" t="s">
        <v>112</v>
      </c>
      <c r="L14" s="227" t="s">
        <v>59</v>
      </c>
      <c r="M14" s="226">
        <v>0</v>
      </c>
      <c r="N14" s="226">
        <v>0</v>
      </c>
      <c r="O14" s="226">
        <v>28</v>
      </c>
      <c r="P14" s="223" t="s">
        <v>60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26" t="s">
        <v>131</v>
      </c>
      <c r="AD14" s="219"/>
      <c r="AE14" s="226" t="s">
        <v>132</v>
      </c>
      <c r="AF14" s="226" t="s">
        <v>133</v>
      </c>
      <c r="AG14" s="226" t="s">
        <v>134</v>
      </c>
      <c r="AH14" s="219"/>
      <c r="AI14" s="219"/>
      <c r="AJ14" s="219"/>
    </row>
    <row r="15" spans="1:36" x14ac:dyDescent="0.3">
      <c r="A15" s="221" t="s">
        <v>119</v>
      </c>
      <c r="B15" s="222">
        <v>46069</v>
      </c>
      <c r="C15" s="223" t="s">
        <v>40</v>
      </c>
      <c r="D15" s="224" t="s">
        <v>120</v>
      </c>
      <c r="E15" s="223" t="s">
        <v>1</v>
      </c>
      <c r="F15" s="223" t="s">
        <v>111</v>
      </c>
      <c r="G15" s="225">
        <v>8.3299999999999999E-2</v>
      </c>
      <c r="H15" s="226">
        <v>180</v>
      </c>
      <c r="I15" s="226">
        <v>15</v>
      </c>
      <c r="J15" s="226">
        <v>0</v>
      </c>
      <c r="K15" s="223" t="s">
        <v>112</v>
      </c>
      <c r="L15" s="227" t="s">
        <v>59</v>
      </c>
      <c r="M15" s="226">
        <v>0</v>
      </c>
      <c r="N15" s="226">
        <v>0</v>
      </c>
      <c r="O15" s="226">
        <v>15</v>
      </c>
      <c r="P15" s="223" t="s">
        <v>42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26" t="s">
        <v>62</v>
      </c>
      <c r="AF15" s="219"/>
      <c r="AG15" s="219"/>
      <c r="AH15" s="219"/>
      <c r="AI15" s="219"/>
      <c r="AJ15" s="219"/>
    </row>
    <row r="16" spans="1:36" x14ac:dyDescent="0.3">
      <c r="A16" s="221" t="s">
        <v>121</v>
      </c>
      <c r="B16" s="222">
        <v>46070</v>
      </c>
      <c r="C16" s="223" t="s">
        <v>29</v>
      </c>
      <c r="D16" s="224" t="s">
        <v>122</v>
      </c>
      <c r="E16" s="223" t="s">
        <v>1</v>
      </c>
      <c r="F16" s="223" t="s">
        <v>111</v>
      </c>
      <c r="G16" s="225">
        <v>0.24440000000000001</v>
      </c>
      <c r="H16" s="226">
        <v>180</v>
      </c>
      <c r="I16" s="226">
        <v>44</v>
      </c>
      <c r="J16" s="226">
        <v>25</v>
      </c>
      <c r="K16" s="223" t="s">
        <v>112</v>
      </c>
      <c r="L16" s="227" t="s">
        <v>63</v>
      </c>
      <c r="M16" s="226">
        <v>0</v>
      </c>
      <c r="N16" s="226">
        <v>0</v>
      </c>
      <c r="O16" s="226">
        <v>21</v>
      </c>
      <c r="P16" s="223" t="s">
        <v>42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26" t="s">
        <v>131</v>
      </c>
      <c r="AD16" s="219"/>
      <c r="AE16" s="226" t="s">
        <v>135</v>
      </c>
      <c r="AF16" s="226" t="s">
        <v>75</v>
      </c>
      <c r="AG16" s="226" t="s">
        <v>45</v>
      </c>
      <c r="AH16" s="219"/>
      <c r="AI16" s="219"/>
      <c r="AJ16" s="219"/>
    </row>
    <row r="17" spans="1:36" x14ac:dyDescent="0.3">
      <c r="A17" s="221" t="s">
        <v>109</v>
      </c>
      <c r="B17" s="222">
        <v>46072</v>
      </c>
      <c r="C17" s="223" t="s">
        <v>29</v>
      </c>
      <c r="D17" s="224" t="s">
        <v>110</v>
      </c>
      <c r="E17" s="223" t="s">
        <v>1</v>
      </c>
      <c r="F17" s="223" t="s">
        <v>111</v>
      </c>
      <c r="G17" s="225">
        <v>0.21110000000000001</v>
      </c>
      <c r="H17" s="226">
        <v>180</v>
      </c>
      <c r="I17" s="226">
        <v>38</v>
      </c>
      <c r="J17" s="226">
        <v>0</v>
      </c>
      <c r="K17" s="223" t="s">
        <v>112</v>
      </c>
      <c r="L17" s="227" t="s">
        <v>65</v>
      </c>
      <c r="M17" s="226">
        <v>0</v>
      </c>
      <c r="N17" s="226">
        <v>0</v>
      </c>
      <c r="O17" s="226">
        <v>38</v>
      </c>
      <c r="P17" s="223" t="s">
        <v>66</v>
      </c>
      <c r="Q17" s="219"/>
      <c r="R17" s="219"/>
      <c r="S17" s="219"/>
      <c r="T17" s="219"/>
      <c r="U17" s="219"/>
      <c r="V17" s="219"/>
      <c r="W17" s="219"/>
      <c r="X17" s="219"/>
      <c r="Y17" s="226" t="s">
        <v>136</v>
      </c>
      <c r="Z17" s="219"/>
      <c r="AA17" s="219"/>
      <c r="AB17" s="219"/>
      <c r="AC17" s="219"/>
      <c r="AD17" s="226" t="s">
        <v>137</v>
      </c>
      <c r="AE17" s="226" t="s">
        <v>138</v>
      </c>
      <c r="AF17" s="226" t="s">
        <v>128</v>
      </c>
      <c r="AG17" s="219"/>
      <c r="AH17" s="219"/>
      <c r="AI17" s="219"/>
      <c r="AJ17" s="219"/>
    </row>
    <row r="18" spans="1:36" x14ac:dyDescent="0.3">
      <c r="A18" s="221" t="s">
        <v>113</v>
      </c>
      <c r="B18" s="222">
        <v>46074</v>
      </c>
      <c r="C18" s="223" t="s">
        <v>29</v>
      </c>
      <c r="D18" s="224" t="s">
        <v>114</v>
      </c>
      <c r="E18" s="223" t="s">
        <v>1</v>
      </c>
      <c r="F18" s="223" t="s">
        <v>111</v>
      </c>
      <c r="G18" s="225">
        <v>0.1167</v>
      </c>
      <c r="H18" s="226">
        <v>180</v>
      </c>
      <c r="I18" s="226">
        <v>21</v>
      </c>
      <c r="J18" s="226">
        <v>0</v>
      </c>
      <c r="K18" s="223" t="s">
        <v>112</v>
      </c>
      <c r="L18" s="227" t="s">
        <v>68</v>
      </c>
      <c r="M18" s="226">
        <v>0</v>
      </c>
      <c r="N18" s="226">
        <v>0</v>
      </c>
      <c r="O18" s="226">
        <v>22</v>
      </c>
      <c r="P18" s="223" t="s">
        <v>42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26" t="s">
        <v>139</v>
      </c>
      <c r="AA18" s="219"/>
      <c r="AB18" s="219"/>
      <c r="AC18" s="226" t="s">
        <v>73</v>
      </c>
      <c r="AD18" s="219"/>
      <c r="AE18" s="226" t="s">
        <v>140</v>
      </c>
      <c r="AF18" s="226" t="s">
        <v>133</v>
      </c>
      <c r="AG18" s="219"/>
      <c r="AH18" s="219"/>
      <c r="AI18" s="219"/>
      <c r="AJ18" s="219"/>
    </row>
    <row r="19" spans="1:36" x14ac:dyDescent="0.3">
      <c r="A19" s="221" t="s">
        <v>115</v>
      </c>
      <c r="B19" s="222">
        <v>46075</v>
      </c>
      <c r="C19" s="223" t="s">
        <v>29</v>
      </c>
      <c r="D19" s="224" t="s">
        <v>116</v>
      </c>
      <c r="E19" s="223" t="s">
        <v>1</v>
      </c>
      <c r="F19" s="223" t="s">
        <v>111</v>
      </c>
      <c r="G19" s="225">
        <v>0.1389</v>
      </c>
      <c r="H19" s="226">
        <v>180</v>
      </c>
      <c r="I19" s="226">
        <v>25</v>
      </c>
      <c r="J19" s="226">
        <v>0</v>
      </c>
      <c r="K19" s="223" t="s">
        <v>112</v>
      </c>
      <c r="L19" s="227" t="s">
        <v>53</v>
      </c>
      <c r="M19" s="226">
        <v>0</v>
      </c>
      <c r="N19" s="226">
        <v>0</v>
      </c>
      <c r="O19" s="226">
        <v>26</v>
      </c>
      <c r="P19" s="223" t="s">
        <v>60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26" t="s">
        <v>131</v>
      </c>
      <c r="AD19" s="219"/>
      <c r="AE19" s="226" t="s">
        <v>138</v>
      </c>
      <c r="AF19" s="226" t="s">
        <v>141</v>
      </c>
      <c r="AG19" s="219"/>
      <c r="AH19" s="219"/>
      <c r="AI19" s="219"/>
      <c r="AJ19" s="219"/>
    </row>
    <row r="20" spans="1:36" x14ac:dyDescent="0.3">
      <c r="A20" s="221" t="s">
        <v>119</v>
      </c>
      <c r="B20" s="222">
        <v>46076</v>
      </c>
      <c r="C20" s="223" t="s">
        <v>40</v>
      </c>
      <c r="D20" s="224" t="s">
        <v>120</v>
      </c>
      <c r="E20" s="223" t="s">
        <v>1</v>
      </c>
      <c r="F20" s="223" t="s">
        <v>111</v>
      </c>
      <c r="G20" s="225">
        <v>2.7799999999999998E-2</v>
      </c>
      <c r="H20" s="226">
        <v>180</v>
      </c>
      <c r="I20" s="226">
        <v>5</v>
      </c>
      <c r="J20" s="226">
        <v>0</v>
      </c>
      <c r="K20" s="223" t="s">
        <v>112</v>
      </c>
      <c r="L20" s="227" t="s">
        <v>53</v>
      </c>
      <c r="M20" s="226">
        <v>0</v>
      </c>
      <c r="N20" s="226">
        <v>0</v>
      </c>
      <c r="O20" s="226">
        <v>5</v>
      </c>
      <c r="P20" s="223" t="s">
        <v>42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26" t="s">
        <v>117</v>
      </c>
      <c r="AF20" s="226" t="s">
        <v>60</v>
      </c>
      <c r="AG20" s="219"/>
      <c r="AH20" s="219"/>
      <c r="AI20" s="219"/>
      <c r="AJ20" s="219"/>
    </row>
    <row r="21" spans="1:36" x14ac:dyDescent="0.3">
      <c r="A21" s="221" t="s">
        <v>121</v>
      </c>
      <c r="B21" s="222">
        <v>46077</v>
      </c>
      <c r="C21" s="223" t="s">
        <v>29</v>
      </c>
      <c r="D21" s="224" t="s">
        <v>122</v>
      </c>
      <c r="E21" s="223" t="s">
        <v>1</v>
      </c>
      <c r="F21" s="223" t="s">
        <v>111</v>
      </c>
      <c r="G21" s="225">
        <v>0.36670000000000003</v>
      </c>
      <c r="H21" s="226">
        <v>180</v>
      </c>
      <c r="I21" s="226">
        <v>66</v>
      </c>
      <c r="J21" s="226">
        <v>50</v>
      </c>
      <c r="K21" s="223" t="s">
        <v>112</v>
      </c>
      <c r="L21" s="227" t="s">
        <v>41</v>
      </c>
      <c r="M21" s="226">
        <v>0</v>
      </c>
      <c r="N21" s="226">
        <v>0</v>
      </c>
      <c r="O21" s="226">
        <v>18</v>
      </c>
      <c r="P21" s="223" t="s">
        <v>42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26" t="s">
        <v>131</v>
      </c>
      <c r="AD21" s="219"/>
      <c r="AE21" s="226" t="s">
        <v>142</v>
      </c>
      <c r="AF21" s="219"/>
      <c r="AG21" s="226" t="s">
        <v>143</v>
      </c>
      <c r="AH21" s="219"/>
      <c r="AI21" s="219"/>
      <c r="AJ21" s="219"/>
    </row>
    <row r="22" spans="1:36" x14ac:dyDescent="0.3">
      <c r="A22" s="221" t="s">
        <v>109</v>
      </c>
      <c r="B22" s="222">
        <v>46079</v>
      </c>
      <c r="C22" s="223" t="s">
        <v>29</v>
      </c>
      <c r="D22" s="224" t="s">
        <v>110</v>
      </c>
      <c r="E22" s="223" t="s">
        <v>1</v>
      </c>
      <c r="F22" s="223" t="s">
        <v>111</v>
      </c>
      <c r="G22" s="225">
        <v>0.22220000000000001</v>
      </c>
      <c r="H22" s="226">
        <v>180</v>
      </c>
      <c r="I22" s="226">
        <v>40</v>
      </c>
      <c r="J22" s="226">
        <v>0</v>
      </c>
      <c r="K22" s="223" t="s">
        <v>112</v>
      </c>
      <c r="L22" s="227" t="s">
        <v>50</v>
      </c>
      <c r="M22" s="226">
        <v>0</v>
      </c>
      <c r="N22" s="226">
        <v>0</v>
      </c>
      <c r="O22" s="226">
        <v>40</v>
      </c>
      <c r="P22" s="223" t="s">
        <v>73</v>
      </c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26" t="s">
        <v>144</v>
      </c>
      <c r="AD22" s="226" t="s">
        <v>145</v>
      </c>
      <c r="AE22" s="226" t="s">
        <v>62</v>
      </c>
      <c r="AF22" s="226" t="s">
        <v>141</v>
      </c>
      <c r="AG22" s="219"/>
      <c r="AH22" s="219"/>
      <c r="AI22" s="219"/>
      <c r="AJ22" s="219"/>
    </row>
    <row r="23" spans="1:36" x14ac:dyDescent="0.3">
      <c r="A23" s="221" t="s">
        <v>113</v>
      </c>
      <c r="B23" s="222">
        <v>46081</v>
      </c>
      <c r="C23" s="223" t="s">
        <v>29</v>
      </c>
      <c r="D23" s="224" t="s">
        <v>114</v>
      </c>
      <c r="E23" s="223" t="s">
        <v>1</v>
      </c>
      <c r="F23" s="223" t="s">
        <v>111</v>
      </c>
      <c r="G23" s="225">
        <v>0.1389</v>
      </c>
      <c r="H23" s="226">
        <v>180</v>
      </c>
      <c r="I23" s="226">
        <v>25</v>
      </c>
      <c r="J23" s="226">
        <v>0</v>
      </c>
      <c r="K23" s="223" t="s">
        <v>112</v>
      </c>
      <c r="L23" s="227" t="s">
        <v>50</v>
      </c>
      <c r="M23" s="226">
        <v>0</v>
      </c>
      <c r="N23" s="226">
        <v>0</v>
      </c>
      <c r="O23" s="226">
        <v>25</v>
      </c>
      <c r="P23" s="223" t="s">
        <v>75</v>
      </c>
      <c r="Q23" s="219"/>
      <c r="R23" s="219"/>
      <c r="S23" s="219"/>
      <c r="T23" s="219"/>
      <c r="U23" s="219"/>
      <c r="V23" s="219"/>
      <c r="W23" s="219"/>
      <c r="X23" s="219"/>
      <c r="Y23" s="219"/>
      <c r="Z23" s="226" t="s">
        <v>146</v>
      </c>
      <c r="AA23" s="219"/>
      <c r="AB23" s="219"/>
      <c r="AC23" s="226" t="s">
        <v>147</v>
      </c>
      <c r="AD23" s="219"/>
      <c r="AE23" s="226" t="s">
        <v>148</v>
      </c>
      <c r="AF23" s="226" t="s">
        <v>141</v>
      </c>
      <c r="AG23" s="219"/>
      <c r="AH23" s="219"/>
      <c r="AI23" s="219"/>
      <c r="AJ23" s="226" t="s">
        <v>149</v>
      </c>
    </row>
    <row r="24" spans="1:36" x14ac:dyDescent="0.3">
      <c r="A24" s="221" t="s">
        <v>115</v>
      </c>
      <c r="B24" s="222">
        <v>46082</v>
      </c>
      <c r="C24" s="223" t="s">
        <v>29</v>
      </c>
      <c r="D24" s="224" t="s">
        <v>116</v>
      </c>
      <c r="E24" s="223" t="s">
        <v>1</v>
      </c>
      <c r="F24" s="223" t="s">
        <v>111</v>
      </c>
      <c r="G24" s="225">
        <v>0.2944</v>
      </c>
      <c r="H24" s="226">
        <v>180</v>
      </c>
      <c r="I24" s="226">
        <v>53</v>
      </c>
      <c r="J24" s="226">
        <v>50</v>
      </c>
      <c r="K24" s="223" t="s">
        <v>112</v>
      </c>
      <c r="L24" s="227" t="s">
        <v>77</v>
      </c>
      <c r="M24" s="226">
        <v>0</v>
      </c>
      <c r="N24" s="226">
        <v>0</v>
      </c>
      <c r="O24" s="226">
        <v>4</v>
      </c>
      <c r="P24" s="223" t="s">
        <v>78</v>
      </c>
      <c r="Q24" s="219"/>
      <c r="R24" s="219"/>
      <c r="S24" s="219"/>
      <c r="T24" s="219"/>
      <c r="U24" s="219"/>
      <c r="V24" s="219"/>
      <c r="W24" s="219"/>
      <c r="X24" s="219"/>
      <c r="Y24" s="219"/>
      <c r="Z24" s="226" t="s">
        <v>150</v>
      </c>
      <c r="AA24" s="219"/>
      <c r="AB24" s="219"/>
      <c r="AC24" s="219"/>
      <c r="AD24" s="219"/>
      <c r="AE24" s="219"/>
      <c r="AF24" s="219"/>
      <c r="AG24" s="226" t="s">
        <v>143</v>
      </c>
      <c r="AH24" s="219"/>
      <c r="AI24" s="219"/>
      <c r="AJ24" s="219"/>
    </row>
    <row r="25" spans="1:36" ht="21" x14ac:dyDescent="0.3">
      <c r="A25" s="228" t="s">
        <v>377</v>
      </c>
      <c r="B25" s="229"/>
      <c r="C25" s="228">
        <f>SUBTOTAL(103,CAI_MED_LF_LEGACY[Flt])</f>
        <v>23</v>
      </c>
      <c r="D25" s="228"/>
      <c r="E25" s="228">
        <f>SUBTOTAL(103,CAI_MED_LF_LEGACY[Brd-Off])</f>
        <v>23</v>
      </c>
      <c r="F25" s="228"/>
      <c r="G25" s="230">
        <f>SUBTOTAL(101,CAI_MED_LF_LEGACY[LF%])</f>
        <v>0.1695608695652174</v>
      </c>
      <c r="H25" s="231">
        <f>SUBTOTAL(109,CAI_MED_LF_LEGACY[CAP])</f>
        <v>4140</v>
      </c>
      <c r="I25" s="231">
        <f>SUBTOTAL(109,CAI_MED_LF_LEGACY[BKG(Y)])</f>
        <v>702</v>
      </c>
      <c r="J25" s="231">
        <f>SUBTOTAL(109,CAI_MED_LF_LEGACY[GRP(Y)])</f>
        <v>370</v>
      </c>
      <c r="K25" s="228"/>
      <c r="L25" s="229"/>
      <c r="M25" s="231">
        <f>SUBTOTAL(109,CAI_MED_LF_LEGACY[TO-DAY])</f>
        <v>0</v>
      </c>
      <c r="N25" s="231">
        <f>SUBTOTAL(109,CAI_MED_LF_LEGACY[Y-DAY])</f>
        <v>0</v>
      </c>
      <c r="O25" s="231">
        <f>SUBTOTAL(109,CAI_MED_LF_LEGACY[WEEKLY])</f>
        <v>348</v>
      </c>
      <c r="P25" s="232"/>
      <c r="Q25" s="231">
        <f>SUBTOTAL(109,CAI_MED_LF_LEGACY[Y])</f>
        <v>0</v>
      </c>
      <c r="R25" s="231">
        <f>SUBTOTAL(109,CAI_MED_LF_LEGACY[B])</f>
        <v>0</v>
      </c>
      <c r="S25" s="231">
        <f>SUBTOTAL(109,CAI_MED_LF_LEGACY[M])</f>
        <v>0</v>
      </c>
      <c r="T25" s="231">
        <f>SUBTOTAL(109,CAI_MED_LF_LEGACY[H])</f>
        <v>0</v>
      </c>
      <c r="U25" s="231">
        <f>SUBTOTAL(109,CAI_MED_LF_LEGACY[Q])</f>
        <v>0</v>
      </c>
      <c r="V25" s="231">
        <f>SUBTOTAL(109,CAI_MED_LF_LEGACY[K])</f>
        <v>0</v>
      </c>
      <c r="W25" s="231">
        <f>SUBTOTAL(109,CAI_MED_LF_LEGACY[V])</f>
        <v>0</v>
      </c>
      <c r="X25" s="231">
        <f>SUBTOTAL(109,CAI_MED_LF_LEGACY[L])</f>
        <v>0</v>
      </c>
      <c r="Y25" s="231">
        <f>SUBTOTAL(109,CAI_MED_LF_LEGACY[G])</f>
        <v>0</v>
      </c>
      <c r="Z25" s="231">
        <f>SUBTOTAL(109,CAI_MED_LF_LEGACY[S])</f>
        <v>0</v>
      </c>
      <c r="AA25" s="231">
        <f>SUBTOTAL(109,CAI_MED_LF_LEGACY[W])</f>
        <v>0</v>
      </c>
      <c r="AB25" s="231">
        <f>SUBTOTAL(109,CAI_MED_LF_LEGACY[T])</f>
        <v>0</v>
      </c>
      <c r="AC25" s="231">
        <f>SUBTOTAL(109,CAI_MED_LF_LEGACY[X])</f>
        <v>0</v>
      </c>
      <c r="AD25" s="231">
        <f>SUBTOTAL(109,CAI_MED_LF_LEGACY[U])</f>
        <v>0</v>
      </c>
      <c r="AE25" s="231">
        <f>SUBTOTAL(109,CAI_MED_LF_LEGACY[O])</f>
        <v>0</v>
      </c>
      <c r="AF25" s="231">
        <f>SUBTOTAL(109,CAI_MED_LF_LEGACY[I])</f>
        <v>0</v>
      </c>
      <c r="AG25" s="231">
        <f>SUBTOTAL(109,CAI_MED_LF_LEGACY[E])</f>
        <v>0</v>
      </c>
      <c r="AH25" s="231">
        <f>SUBTOTAL(109,CAI_MED_LF_LEGACY[A])</f>
        <v>0</v>
      </c>
      <c r="AI25" s="231">
        <f>SUBTOTAL(109,CAI_MED_LF_LEGACY[P])</f>
        <v>0</v>
      </c>
      <c r="AJ25" s="231">
        <f>SUBTOTAL(103,CAI_MED_LF_LEGACY[N])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8.109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151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45984.112412020782</v>
      </c>
      <c r="H2" s="206"/>
      <c r="I2" s="206"/>
      <c r="J2" s="206"/>
      <c r="K2" s="213">
        <v>45984.112412021481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46050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6" t="s">
        <v>28</v>
      </c>
      <c r="B6" s="56" t="s">
        <v>152</v>
      </c>
      <c r="C6" s="57">
        <v>0.2326388888888889</v>
      </c>
      <c r="D6" s="56" t="s">
        <v>30</v>
      </c>
      <c r="E6" s="58"/>
      <c r="F6" s="56" t="s">
        <v>31</v>
      </c>
      <c r="G6" s="208"/>
      <c r="H6" s="97" t="s">
        <v>152</v>
      </c>
      <c r="I6" s="98">
        <v>2.7799999999999998E-2</v>
      </c>
      <c r="J6" s="99">
        <v>5</v>
      </c>
      <c r="K6" s="100" t="s">
        <v>153</v>
      </c>
      <c r="L6" s="99">
        <v>7</v>
      </c>
      <c r="M6" s="99">
        <v>0</v>
      </c>
      <c r="N6" s="99">
        <v>0</v>
      </c>
      <c r="O6" s="101" t="s">
        <v>66</v>
      </c>
      <c r="P6" s="102">
        <v>0.2326388888888889</v>
      </c>
      <c r="Q6" s="99">
        <v>180</v>
      </c>
      <c r="R6" s="103" t="s">
        <v>126</v>
      </c>
    </row>
    <row r="7" spans="1:92" ht="49.95" customHeight="1" x14ac:dyDescent="0.3">
      <c r="A7" s="104" t="s">
        <v>28</v>
      </c>
      <c r="B7" s="104" t="s">
        <v>154</v>
      </c>
      <c r="C7" s="105">
        <v>0.30208333333333331</v>
      </c>
      <c r="D7" s="104" t="s">
        <v>30</v>
      </c>
      <c r="E7" s="106"/>
      <c r="F7" s="104" t="s">
        <v>35</v>
      </c>
      <c r="G7" s="217"/>
      <c r="H7" s="107" t="s">
        <v>154</v>
      </c>
      <c r="I7" s="108">
        <v>0</v>
      </c>
      <c r="J7" s="109">
        <v>0</v>
      </c>
      <c r="K7" s="110" t="s">
        <v>36</v>
      </c>
      <c r="L7" s="109">
        <v>0</v>
      </c>
      <c r="M7" s="109">
        <v>0</v>
      </c>
      <c r="N7" s="109">
        <v>0</v>
      </c>
      <c r="O7" s="111" t="s">
        <v>155</v>
      </c>
      <c r="P7" s="112">
        <v>0.30208333333333331</v>
      </c>
      <c r="Q7" s="109">
        <v>180</v>
      </c>
      <c r="R7" s="113" t="s">
        <v>36</v>
      </c>
    </row>
    <row r="8" spans="1:92" ht="49.95" customHeight="1" x14ac:dyDescent="0.3">
      <c r="A8" s="114" t="s">
        <v>28</v>
      </c>
      <c r="B8" s="114" t="s">
        <v>156</v>
      </c>
      <c r="C8" s="115">
        <v>0.34375</v>
      </c>
      <c r="D8" s="114" t="s">
        <v>30</v>
      </c>
      <c r="E8" s="116"/>
      <c r="F8" s="114" t="s">
        <v>31</v>
      </c>
      <c r="G8" s="217"/>
      <c r="H8" s="117" t="s">
        <v>156</v>
      </c>
      <c r="I8" s="118">
        <v>2.1499999999999998E-2</v>
      </c>
      <c r="J8" s="119">
        <v>4</v>
      </c>
      <c r="K8" s="120" t="s">
        <v>65</v>
      </c>
      <c r="L8" s="119">
        <v>4</v>
      </c>
      <c r="M8" s="119">
        <v>0</v>
      </c>
      <c r="N8" s="119">
        <v>0</v>
      </c>
      <c r="O8" s="121" t="s">
        <v>157</v>
      </c>
      <c r="P8" s="122">
        <v>0.34375</v>
      </c>
      <c r="Q8" s="119">
        <v>186</v>
      </c>
      <c r="R8" s="123" t="s">
        <v>56</v>
      </c>
    </row>
    <row r="9" spans="1:92" ht="49.95" customHeight="1" x14ac:dyDescent="0.3">
      <c r="A9" s="104" t="s">
        <v>28</v>
      </c>
      <c r="B9" s="104" t="s">
        <v>158</v>
      </c>
      <c r="C9" s="105">
        <v>0.4375</v>
      </c>
      <c r="D9" s="104" t="s">
        <v>30</v>
      </c>
      <c r="E9" s="106"/>
      <c r="F9" s="104" t="s">
        <v>31</v>
      </c>
      <c r="G9" s="217"/>
      <c r="H9" s="107" t="s">
        <v>158</v>
      </c>
      <c r="I9" s="108">
        <v>2.2200000000000001E-2</v>
      </c>
      <c r="J9" s="109">
        <v>4</v>
      </c>
      <c r="K9" s="110" t="s">
        <v>159</v>
      </c>
      <c r="L9" s="109">
        <v>4</v>
      </c>
      <c r="M9" s="109">
        <v>0</v>
      </c>
      <c r="N9" s="109">
        <v>0</v>
      </c>
      <c r="O9" s="111" t="s">
        <v>157</v>
      </c>
      <c r="P9" s="112">
        <v>0.4375</v>
      </c>
      <c r="Q9" s="109">
        <v>180</v>
      </c>
      <c r="R9" s="113" t="s">
        <v>56</v>
      </c>
    </row>
    <row r="10" spans="1:92" ht="49.95" customHeight="1" thickBot="1" x14ac:dyDescent="0.35">
      <c r="A10" s="124" t="s">
        <v>28</v>
      </c>
      <c r="B10" s="124" t="s">
        <v>160</v>
      </c>
      <c r="C10" s="125">
        <v>0.9375</v>
      </c>
      <c r="D10" s="124" t="s">
        <v>30</v>
      </c>
      <c r="E10" s="126"/>
      <c r="F10" s="124" t="s">
        <v>31</v>
      </c>
      <c r="G10" s="218"/>
      <c r="H10" s="79" t="s">
        <v>160</v>
      </c>
      <c r="I10" s="80">
        <v>3.8899999999999997E-2</v>
      </c>
      <c r="J10" s="81">
        <v>7</v>
      </c>
      <c r="K10" s="82" t="s">
        <v>53</v>
      </c>
      <c r="L10" s="81">
        <v>7</v>
      </c>
      <c r="M10" s="81">
        <v>0</v>
      </c>
      <c r="N10" s="81">
        <v>0</v>
      </c>
      <c r="O10" s="83" t="s">
        <v>161</v>
      </c>
      <c r="P10" s="84">
        <v>0.9375</v>
      </c>
      <c r="Q10" s="81">
        <v>180</v>
      </c>
      <c r="R10" s="85" t="s">
        <v>162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46051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15" customHeight="1" x14ac:dyDescent="0.3">
      <c r="A14" s="46" t="s">
        <v>28</v>
      </c>
      <c r="B14" s="46" t="s">
        <v>163</v>
      </c>
      <c r="C14" s="47">
        <v>6.5972222222222224E-2</v>
      </c>
      <c r="D14" s="46" t="s">
        <v>30</v>
      </c>
      <c r="E14" s="48"/>
      <c r="F14" s="46" t="s">
        <v>31</v>
      </c>
      <c r="G14" s="208"/>
      <c r="H14" s="107" t="s">
        <v>163</v>
      </c>
      <c r="I14" s="108">
        <v>1.11E-2</v>
      </c>
      <c r="J14" s="109">
        <v>2</v>
      </c>
      <c r="K14" s="110" t="s">
        <v>63</v>
      </c>
      <c r="L14" s="109">
        <v>2</v>
      </c>
      <c r="M14" s="109">
        <v>0</v>
      </c>
      <c r="N14" s="109">
        <v>0</v>
      </c>
      <c r="O14" s="111" t="s">
        <v>56</v>
      </c>
      <c r="P14" s="112">
        <v>6.5972222222222224E-2</v>
      </c>
      <c r="Q14" s="109">
        <v>180</v>
      </c>
      <c r="R14" s="113" t="s">
        <v>157</v>
      </c>
    </row>
    <row r="15" spans="1:92" ht="15" customHeight="1" x14ac:dyDescent="0.3">
      <c r="A15" s="114" t="s">
        <v>28</v>
      </c>
      <c r="B15" s="114" t="s">
        <v>154</v>
      </c>
      <c r="C15" s="115">
        <v>0.15625</v>
      </c>
      <c r="D15" s="114" t="s">
        <v>30</v>
      </c>
      <c r="E15" s="116"/>
      <c r="F15" s="114" t="s">
        <v>35</v>
      </c>
      <c r="G15" s="217"/>
      <c r="H15" s="117" t="s">
        <v>154</v>
      </c>
      <c r="I15" s="118">
        <v>0</v>
      </c>
      <c r="J15" s="119">
        <v>0</v>
      </c>
      <c r="K15" s="120" t="s">
        <v>36</v>
      </c>
      <c r="L15" s="119">
        <v>0</v>
      </c>
      <c r="M15" s="119">
        <v>0</v>
      </c>
      <c r="N15" s="119">
        <v>0</v>
      </c>
      <c r="O15" s="121" t="s">
        <v>155</v>
      </c>
      <c r="P15" s="122">
        <v>0.15625</v>
      </c>
      <c r="Q15" s="119">
        <v>180</v>
      </c>
      <c r="R15" s="123" t="s">
        <v>36</v>
      </c>
    </row>
    <row r="16" spans="1:92" ht="15" customHeight="1" x14ac:dyDescent="0.3">
      <c r="A16" s="127" t="s">
        <v>28</v>
      </c>
      <c r="B16" s="127" t="s">
        <v>164</v>
      </c>
      <c r="C16" s="128">
        <v>0.1875</v>
      </c>
      <c r="D16" s="127" t="s">
        <v>30</v>
      </c>
      <c r="E16" s="129"/>
      <c r="F16" s="127" t="s">
        <v>31</v>
      </c>
      <c r="G16" s="217"/>
      <c r="H16" s="130" t="s">
        <v>164</v>
      </c>
      <c r="I16" s="131">
        <v>2.2200000000000001E-2</v>
      </c>
      <c r="J16" s="132">
        <v>4</v>
      </c>
      <c r="K16" s="133" t="s">
        <v>165</v>
      </c>
      <c r="L16" s="132">
        <v>4</v>
      </c>
      <c r="M16" s="132">
        <v>0</v>
      </c>
      <c r="N16" s="132">
        <v>0</v>
      </c>
      <c r="O16" s="134" t="s">
        <v>78</v>
      </c>
      <c r="P16" s="135">
        <v>0.1875</v>
      </c>
      <c r="Q16" s="132">
        <v>180</v>
      </c>
      <c r="R16" s="136" t="s">
        <v>166</v>
      </c>
    </row>
    <row r="17" spans="1:18" ht="15" customHeight="1" x14ac:dyDescent="0.3">
      <c r="A17" s="137" t="s">
        <v>28</v>
      </c>
      <c r="B17" s="137" t="s">
        <v>158</v>
      </c>
      <c r="C17" s="138">
        <v>0.40625</v>
      </c>
      <c r="D17" s="137" t="s">
        <v>30</v>
      </c>
      <c r="E17" s="139"/>
      <c r="F17" s="137" t="s">
        <v>31</v>
      </c>
      <c r="G17" s="217"/>
      <c r="H17" s="97" t="s">
        <v>158</v>
      </c>
      <c r="I17" s="98">
        <v>3.3300000000000003E-2</v>
      </c>
      <c r="J17" s="99">
        <v>6</v>
      </c>
      <c r="K17" s="100" t="s">
        <v>167</v>
      </c>
      <c r="L17" s="99">
        <v>6</v>
      </c>
      <c r="M17" s="99">
        <v>0</v>
      </c>
      <c r="N17" s="99">
        <v>0</v>
      </c>
      <c r="O17" s="101" t="s">
        <v>168</v>
      </c>
      <c r="P17" s="102">
        <v>0.40625</v>
      </c>
      <c r="Q17" s="99">
        <v>180</v>
      </c>
      <c r="R17" s="103" t="s">
        <v>155</v>
      </c>
    </row>
    <row r="18" spans="1:18" ht="15" customHeight="1" x14ac:dyDescent="0.3">
      <c r="A18" s="140" t="s">
        <v>28</v>
      </c>
      <c r="B18" s="140" t="s">
        <v>169</v>
      </c>
      <c r="C18" s="141">
        <v>0.5625</v>
      </c>
      <c r="D18" s="140" t="s">
        <v>30</v>
      </c>
      <c r="E18" s="142"/>
      <c r="F18" s="140" t="s">
        <v>31</v>
      </c>
      <c r="G18" s="217"/>
      <c r="H18" s="143" t="s">
        <v>169</v>
      </c>
      <c r="I18" s="144">
        <v>3.3300000000000003E-2</v>
      </c>
      <c r="J18" s="145">
        <v>6</v>
      </c>
      <c r="K18" s="146" t="s">
        <v>50</v>
      </c>
      <c r="L18" s="145">
        <v>6</v>
      </c>
      <c r="M18" s="145">
        <v>0</v>
      </c>
      <c r="N18" s="145">
        <v>0</v>
      </c>
      <c r="O18" s="147" t="s">
        <v>168</v>
      </c>
      <c r="P18" s="148">
        <v>0.5625</v>
      </c>
      <c r="Q18" s="145">
        <v>180</v>
      </c>
      <c r="R18" s="149" t="s">
        <v>155</v>
      </c>
    </row>
    <row r="19" spans="1:18" ht="15" customHeight="1" thickBot="1" x14ac:dyDescent="0.35">
      <c r="A19" s="124" t="s">
        <v>28</v>
      </c>
      <c r="B19" s="124" t="s">
        <v>152</v>
      </c>
      <c r="C19" s="125">
        <v>0.9375</v>
      </c>
      <c r="D19" s="124" t="s">
        <v>30</v>
      </c>
      <c r="E19" s="126"/>
      <c r="F19" s="124" t="s">
        <v>31</v>
      </c>
      <c r="G19" s="218"/>
      <c r="H19" s="79" t="s">
        <v>152</v>
      </c>
      <c r="I19" s="80">
        <v>6.1100000000000002E-2</v>
      </c>
      <c r="J19" s="81">
        <v>11</v>
      </c>
      <c r="K19" s="82" t="s">
        <v>170</v>
      </c>
      <c r="L19" s="81">
        <v>11</v>
      </c>
      <c r="M19" s="81">
        <v>0</v>
      </c>
      <c r="N19" s="81">
        <v>0</v>
      </c>
      <c r="O19" s="83" t="s">
        <v>131</v>
      </c>
      <c r="P19" s="84">
        <v>0.9375</v>
      </c>
      <c r="Q19" s="81">
        <v>180</v>
      </c>
      <c r="R19" s="85" t="s">
        <v>171</v>
      </c>
    </row>
    <row r="20" spans="1:18" ht="17.399999999999999" customHeight="1" thickBot="1" x14ac:dyDescent="0.35">
      <c r="A20" s="233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5"/>
    </row>
    <row r="21" spans="1:18" ht="22.05" customHeight="1" thickTop="1" thickBot="1" x14ac:dyDescent="0.35">
      <c r="A21" s="201" t="s">
        <v>8</v>
      </c>
      <c r="B21" s="202"/>
      <c r="C21" s="202"/>
      <c r="D21" s="202"/>
      <c r="E21" s="202"/>
      <c r="F21" s="203"/>
      <c r="G21" s="18">
        <v>46052</v>
      </c>
      <c r="H21" s="209" t="s">
        <v>9</v>
      </c>
      <c r="I21" s="202"/>
      <c r="J21" s="202"/>
      <c r="K21" s="202"/>
      <c r="L21" s="202"/>
      <c r="M21" s="202"/>
      <c r="N21" s="202"/>
      <c r="O21" s="202"/>
      <c r="P21" s="202"/>
      <c r="Q21" s="202"/>
      <c r="R21" s="203"/>
    </row>
    <row r="22" spans="1:18" ht="24" customHeight="1" x14ac:dyDescent="0.3">
      <c r="A22" s="19" t="s">
        <v>10</v>
      </c>
      <c r="B22" s="19" t="s">
        <v>11</v>
      </c>
      <c r="C22" s="20" t="s">
        <v>12</v>
      </c>
      <c r="D22" s="19" t="s">
        <v>13</v>
      </c>
      <c r="E22" s="19" t="s">
        <v>14</v>
      </c>
      <c r="F22" s="21" t="s">
        <v>15</v>
      </c>
      <c r="G22" s="22" t="s">
        <v>16</v>
      </c>
      <c r="H22" s="19" t="s">
        <v>17</v>
      </c>
      <c r="I22" s="23" t="s">
        <v>18</v>
      </c>
      <c r="J22" s="24" t="s">
        <v>19</v>
      </c>
      <c r="K22" s="25" t="s">
        <v>20</v>
      </c>
      <c r="L22" s="24" t="s">
        <v>21</v>
      </c>
      <c r="M22" s="24" t="s">
        <v>22</v>
      </c>
      <c r="N22" s="24" t="s">
        <v>23</v>
      </c>
      <c r="O22" s="19" t="s">
        <v>24</v>
      </c>
      <c r="P22" s="20" t="s">
        <v>25</v>
      </c>
      <c r="Q22" s="24" t="s">
        <v>26</v>
      </c>
      <c r="R22" s="19" t="s">
        <v>27</v>
      </c>
    </row>
    <row r="23" spans="1:18" ht="49.95" customHeight="1" x14ac:dyDescent="0.3">
      <c r="A23" s="8" t="s">
        <v>28</v>
      </c>
      <c r="B23" s="8" t="s">
        <v>154</v>
      </c>
      <c r="C23" s="9">
        <v>0.1423611111111111</v>
      </c>
      <c r="D23" s="8" t="s">
        <v>30</v>
      </c>
      <c r="E23" s="10"/>
      <c r="F23" s="8" t="s">
        <v>31</v>
      </c>
      <c r="G23" s="208"/>
      <c r="H23" s="130" t="s">
        <v>154</v>
      </c>
      <c r="I23" s="131">
        <v>3.8899999999999997E-2</v>
      </c>
      <c r="J23" s="132">
        <v>7</v>
      </c>
      <c r="K23" s="133" t="s">
        <v>172</v>
      </c>
      <c r="L23" s="132">
        <v>7</v>
      </c>
      <c r="M23" s="132">
        <v>0</v>
      </c>
      <c r="N23" s="132">
        <v>0</v>
      </c>
      <c r="O23" s="134" t="s">
        <v>161</v>
      </c>
      <c r="P23" s="135">
        <v>0.1423611111111111</v>
      </c>
      <c r="Q23" s="132">
        <v>180</v>
      </c>
      <c r="R23" s="136" t="s">
        <v>129</v>
      </c>
    </row>
    <row r="24" spans="1:18" ht="49.95" customHeight="1" x14ac:dyDescent="0.3">
      <c r="A24" s="150" t="s">
        <v>28</v>
      </c>
      <c r="B24" s="150" t="s">
        <v>158</v>
      </c>
      <c r="C24" s="151">
        <v>0.28125</v>
      </c>
      <c r="D24" s="150" t="s">
        <v>30</v>
      </c>
      <c r="E24" s="152"/>
      <c r="F24" s="150" t="s">
        <v>31</v>
      </c>
      <c r="G24" s="217"/>
      <c r="H24" s="153" t="s">
        <v>158</v>
      </c>
      <c r="I24" s="154">
        <v>2.7799999999999998E-2</v>
      </c>
      <c r="J24" s="155">
        <v>5</v>
      </c>
      <c r="K24" s="156" t="s">
        <v>173</v>
      </c>
      <c r="L24" s="155">
        <v>5</v>
      </c>
      <c r="M24" s="155">
        <v>0</v>
      </c>
      <c r="N24" s="155">
        <v>0</v>
      </c>
      <c r="O24" s="157" t="s">
        <v>66</v>
      </c>
      <c r="P24" s="158">
        <v>0.28125</v>
      </c>
      <c r="Q24" s="155">
        <v>180</v>
      </c>
      <c r="R24" s="159" t="s">
        <v>126</v>
      </c>
    </row>
    <row r="25" spans="1:18" ht="49.95" customHeight="1" x14ac:dyDescent="0.3">
      <c r="A25" s="127" t="s">
        <v>28</v>
      </c>
      <c r="B25" s="127" t="s">
        <v>169</v>
      </c>
      <c r="C25" s="128">
        <v>0.4375</v>
      </c>
      <c r="D25" s="127" t="s">
        <v>30</v>
      </c>
      <c r="E25" s="129"/>
      <c r="F25" s="127" t="s">
        <v>31</v>
      </c>
      <c r="G25" s="217"/>
      <c r="H25" s="130" t="s">
        <v>169</v>
      </c>
      <c r="I25" s="131">
        <v>5.5599999999999997E-2</v>
      </c>
      <c r="J25" s="132">
        <v>10</v>
      </c>
      <c r="K25" s="133" t="s">
        <v>50</v>
      </c>
      <c r="L25" s="132">
        <v>10</v>
      </c>
      <c r="M25" s="132">
        <v>0</v>
      </c>
      <c r="N25" s="132">
        <v>0</v>
      </c>
      <c r="O25" s="134" t="s">
        <v>144</v>
      </c>
      <c r="P25" s="135">
        <v>0.4375</v>
      </c>
      <c r="Q25" s="132">
        <v>180</v>
      </c>
      <c r="R25" s="136" t="s">
        <v>174</v>
      </c>
    </row>
    <row r="26" spans="1:18" ht="49.95" customHeight="1" x14ac:dyDescent="0.3">
      <c r="A26" s="150" t="s">
        <v>28</v>
      </c>
      <c r="B26" s="150" t="s">
        <v>160</v>
      </c>
      <c r="C26" s="151">
        <v>0.55902777777777779</v>
      </c>
      <c r="D26" s="150" t="s">
        <v>30</v>
      </c>
      <c r="E26" s="152"/>
      <c r="F26" s="150" t="s">
        <v>31</v>
      </c>
      <c r="G26" s="217"/>
      <c r="H26" s="153" t="s">
        <v>160</v>
      </c>
      <c r="I26" s="154">
        <v>3.3300000000000003E-2</v>
      </c>
      <c r="J26" s="155">
        <v>6</v>
      </c>
      <c r="K26" s="156" t="s">
        <v>53</v>
      </c>
      <c r="L26" s="155">
        <v>6</v>
      </c>
      <c r="M26" s="155">
        <v>0</v>
      </c>
      <c r="N26" s="155">
        <v>0</v>
      </c>
      <c r="O26" s="157" t="s">
        <v>168</v>
      </c>
      <c r="P26" s="158">
        <v>0.55902777777777779</v>
      </c>
      <c r="Q26" s="155">
        <v>180</v>
      </c>
      <c r="R26" s="159" t="s">
        <v>155</v>
      </c>
    </row>
    <row r="27" spans="1:18" ht="49.95" customHeight="1" thickBot="1" x14ac:dyDescent="0.35">
      <c r="A27" s="160" t="s">
        <v>28</v>
      </c>
      <c r="B27" s="160" t="s">
        <v>156</v>
      </c>
      <c r="C27" s="161">
        <v>0.76041666666666663</v>
      </c>
      <c r="D27" s="160" t="s">
        <v>30</v>
      </c>
      <c r="E27" s="162"/>
      <c r="F27" s="160" t="s">
        <v>31</v>
      </c>
      <c r="G27" s="218"/>
      <c r="H27" s="69" t="s">
        <v>156</v>
      </c>
      <c r="I27" s="70">
        <v>0.05</v>
      </c>
      <c r="J27" s="71">
        <v>9</v>
      </c>
      <c r="K27" s="72" t="s">
        <v>32</v>
      </c>
      <c r="L27" s="71">
        <v>9</v>
      </c>
      <c r="M27" s="71">
        <v>0</v>
      </c>
      <c r="N27" s="71">
        <v>0</v>
      </c>
      <c r="O27" s="73" t="s">
        <v>175</v>
      </c>
      <c r="P27" s="74">
        <v>0.76041666666666663</v>
      </c>
      <c r="Q27" s="71">
        <v>180</v>
      </c>
      <c r="R27" s="75" t="s">
        <v>176</v>
      </c>
    </row>
    <row r="28" spans="1:18" ht="17.399999999999999" customHeight="1" thickBot="1" x14ac:dyDescent="0.35">
      <c r="A28" s="233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5"/>
    </row>
    <row r="29" spans="1:18" ht="22.05" customHeight="1" thickTop="1" thickBot="1" x14ac:dyDescent="0.35">
      <c r="A29" s="201" t="s">
        <v>8</v>
      </c>
      <c r="B29" s="202"/>
      <c r="C29" s="202"/>
      <c r="D29" s="202"/>
      <c r="E29" s="202"/>
      <c r="F29" s="203"/>
      <c r="G29" s="18">
        <v>46053</v>
      </c>
      <c r="H29" s="209" t="s">
        <v>9</v>
      </c>
      <c r="I29" s="202"/>
      <c r="J29" s="202"/>
      <c r="K29" s="202"/>
      <c r="L29" s="202"/>
      <c r="M29" s="202"/>
      <c r="N29" s="202"/>
      <c r="O29" s="202"/>
      <c r="P29" s="202"/>
      <c r="Q29" s="202"/>
      <c r="R29" s="203"/>
    </row>
    <row r="30" spans="1:18" ht="24" customHeight="1" x14ac:dyDescent="0.3">
      <c r="A30" s="19" t="s">
        <v>10</v>
      </c>
      <c r="B30" s="19" t="s">
        <v>11</v>
      </c>
      <c r="C30" s="20" t="s">
        <v>12</v>
      </c>
      <c r="D30" s="19" t="s">
        <v>13</v>
      </c>
      <c r="E30" s="19" t="s">
        <v>14</v>
      </c>
      <c r="F30" s="21" t="s">
        <v>15</v>
      </c>
      <c r="G30" s="22" t="s">
        <v>16</v>
      </c>
      <c r="H30" s="19" t="s">
        <v>17</v>
      </c>
      <c r="I30" s="23" t="s">
        <v>18</v>
      </c>
      <c r="J30" s="24" t="s">
        <v>19</v>
      </c>
      <c r="K30" s="25" t="s">
        <v>20</v>
      </c>
      <c r="L30" s="24" t="s">
        <v>21</v>
      </c>
      <c r="M30" s="24" t="s">
        <v>22</v>
      </c>
      <c r="N30" s="24" t="s">
        <v>23</v>
      </c>
      <c r="O30" s="19" t="s">
        <v>24</v>
      </c>
      <c r="P30" s="20" t="s">
        <v>25</v>
      </c>
      <c r="Q30" s="24" t="s">
        <v>26</v>
      </c>
      <c r="R30" s="19" t="s">
        <v>27</v>
      </c>
    </row>
    <row r="31" spans="1:18" ht="49.95" customHeight="1" x14ac:dyDescent="0.3">
      <c r="A31" s="36" t="s">
        <v>28</v>
      </c>
      <c r="B31" s="36" t="s">
        <v>163</v>
      </c>
      <c r="C31" s="37">
        <v>4.8611111111111112E-2</v>
      </c>
      <c r="D31" s="36" t="s">
        <v>30</v>
      </c>
      <c r="E31" s="38"/>
      <c r="F31" s="36" t="s">
        <v>31</v>
      </c>
      <c r="G31" s="208"/>
      <c r="H31" s="143" t="s">
        <v>163</v>
      </c>
      <c r="I31" s="144">
        <v>5.4000000000000003E-3</v>
      </c>
      <c r="J31" s="145">
        <v>1</v>
      </c>
      <c r="K31" s="146" t="s">
        <v>177</v>
      </c>
      <c r="L31" s="145">
        <v>1</v>
      </c>
      <c r="M31" s="145">
        <v>0</v>
      </c>
      <c r="N31" s="145">
        <v>0</v>
      </c>
      <c r="O31" s="147" t="s">
        <v>126</v>
      </c>
      <c r="P31" s="148">
        <v>4.8611111111111112E-2</v>
      </c>
      <c r="Q31" s="145">
        <v>186</v>
      </c>
      <c r="R31" s="149" t="s">
        <v>66</v>
      </c>
    </row>
    <row r="32" spans="1:18" ht="49.95" customHeight="1" x14ac:dyDescent="0.3">
      <c r="A32" s="114" t="s">
        <v>28</v>
      </c>
      <c r="B32" s="114" t="s">
        <v>154</v>
      </c>
      <c r="C32" s="115">
        <v>0.15625</v>
      </c>
      <c r="D32" s="114" t="s">
        <v>30</v>
      </c>
      <c r="E32" s="116"/>
      <c r="F32" s="114" t="s">
        <v>31</v>
      </c>
      <c r="G32" s="217"/>
      <c r="H32" s="117" t="s">
        <v>154</v>
      </c>
      <c r="I32" s="118">
        <v>3.3300000000000003E-2</v>
      </c>
      <c r="J32" s="119">
        <v>6</v>
      </c>
      <c r="K32" s="120" t="s">
        <v>178</v>
      </c>
      <c r="L32" s="119">
        <v>6</v>
      </c>
      <c r="M32" s="119">
        <v>0</v>
      </c>
      <c r="N32" s="119">
        <v>0</v>
      </c>
      <c r="O32" s="121" t="s">
        <v>168</v>
      </c>
      <c r="P32" s="122">
        <v>0.15625</v>
      </c>
      <c r="Q32" s="119">
        <v>180</v>
      </c>
      <c r="R32" s="123" t="s">
        <v>155</v>
      </c>
    </row>
    <row r="33" spans="1:18" ht="49.95" customHeight="1" x14ac:dyDescent="0.3">
      <c r="A33" s="150" t="s">
        <v>28</v>
      </c>
      <c r="B33" s="150" t="s">
        <v>158</v>
      </c>
      <c r="C33" s="151">
        <v>0.50347222222222221</v>
      </c>
      <c r="D33" s="150" t="s">
        <v>30</v>
      </c>
      <c r="E33" s="152"/>
      <c r="F33" s="150" t="s">
        <v>31</v>
      </c>
      <c r="G33" s="217"/>
      <c r="H33" s="153" t="s">
        <v>158</v>
      </c>
      <c r="I33" s="154">
        <v>3.8899999999999997E-2</v>
      </c>
      <c r="J33" s="155">
        <v>7</v>
      </c>
      <c r="K33" s="156" t="s">
        <v>53</v>
      </c>
      <c r="L33" s="155">
        <v>7</v>
      </c>
      <c r="M33" s="155">
        <v>0</v>
      </c>
      <c r="N33" s="155">
        <v>0</v>
      </c>
      <c r="O33" s="157" t="s">
        <v>161</v>
      </c>
      <c r="P33" s="158">
        <v>0.50347222222222221</v>
      </c>
      <c r="Q33" s="155">
        <v>180</v>
      </c>
      <c r="R33" s="159" t="s">
        <v>162</v>
      </c>
    </row>
    <row r="34" spans="1:18" ht="49.95" customHeight="1" thickBot="1" x14ac:dyDescent="0.35">
      <c r="A34" s="163" t="s">
        <v>28</v>
      </c>
      <c r="B34" s="163" t="s">
        <v>152</v>
      </c>
      <c r="C34" s="164">
        <v>0.90625</v>
      </c>
      <c r="D34" s="163" t="s">
        <v>30</v>
      </c>
      <c r="E34" s="165"/>
      <c r="F34" s="163" t="s">
        <v>31</v>
      </c>
      <c r="G34" s="218"/>
      <c r="H34" s="59" t="s">
        <v>152</v>
      </c>
      <c r="I34" s="60">
        <v>3.3300000000000003E-2</v>
      </c>
      <c r="J34" s="61">
        <v>6</v>
      </c>
      <c r="K34" s="62" t="s">
        <v>179</v>
      </c>
      <c r="L34" s="61">
        <v>6</v>
      </c>
      <c r="M34" s="61">
        <v>0</v>
      </c>
      <c r="N34" s="61">
        <v>0</v>
      </c>
      <c r="O34" s="63" t="s">
        <v>168</v>
      </c>
      <c r="P34" s="64">
        <v>0.90625</v>
      </c>
      <c r="Q34" s="61">
        <v>180</v>
      </c>
      <c r="R34" s="65" t="s">
        <v>155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46054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x14ac:dyDescent="0.3">
      <c r="A38" s="76" t="s">
        <v>28</v>
      </c>
      <c r="B38" s="76" t="s">
        <v>154</v>
      </c>
      <c r="C38" s="77">
        <v>0.1423611111111111</v>
      </c>
      <c r="D38" s="76" t="s">
        <v>30</v>
      </c>
      <c r="E38" s="78"/>
      <c r="F38" s="76" t="s">
        <v>31</v>
      </c>
      <c r="G38" s="208"/>
      <c r="H38" s="166" t="s">
        <v>154</v>
      </c>
      <c r="I38" s="167">
        <v>1.67E-2</v>
      </c>
      <c r="J38" s="168">
        <v>3</v>
      </c>
      <c r="K38" s="169" t="s">
        <v>53</v>
      </c>
      <c r="L38" s="168">
        <v>3</v>
      </c>
      <c r="M38" s="168">
        <v>0</v>
      </c>
      <c r="N38" s="168">
        <v>0</v>
      </c>
      <c r="O38" s="170" t="s">
        <v>180</v>
      </c>
      <c r="P38" s="171">
        <v>0.1423611111111111</v>
      </c>
      <c r="Q38" s="168">
        <v>180</v>
      </c>
      <c r="R38" s="172" t="s">
        <v>180</v>
      </c>
    </row>
    <row r="39" spans="1:18" ht="49.95" customHeight="1" x14ac:dyDescent="0.3">
      <c r="A39" s="173" t="s">
        <v>28</v>
      </c>
      <c r="B39" s="173" t="s">
        <v>164</v>
      </c>
      <c r="C39" s="174">
        <v>0.15625</v>
      </c>
      <c r="D39" s="173" t="s">
        <v>30</v>
      </c>
      <c r="E39" s="175"/>
      <c r="F39" s="173" t="s">
        <v>35</v>
      </c>
      <c r="G39" s="217"/>
      <c r="H39" s="176" t="s">
        <v>164</v>
      </c>
      <c r="I39" s="177">
        <v>0</v>
      </c>
      <c r="J39" s="178">
        <v>0</v>
      </c>
      <c r="K39" s="179" t="s">
        <v>36</v>
      </c>
      <c r="L39" s="178">
        <v>0</v>
      </c>
      <c r="M39" s="178">
        <v>0</v>
      </c>
      <c r="N39" s="178">
        <v>0</v>
      </c>
      <c r="O39" s="180" t="s">
        <v>78</v>
      </c>
      <c r="P39" s="181">
        <v>0.15625</v>
      </c>
      <c r="Q39" s="178">
        <v>180</v>
      </c>
      <c r="R39" s="182" t="s">
        <v>36</v>
      </c>
    </row>
    <row r="40" spans="1:18" ht="49.95" customHeight="1" x14ac:dyDescent="0.3">
      <c r="A40" s="140" t="s">
        <v>28</v>
      </c>
      <c r="B40" s="140" t="s">
        <v>156</v>
      </c>
      <c r="C40" s="141">
        <v>0.33333333333333331</v>
      </c>
      <c r="D40" s="140" t="s">
        <v>30</v>
      </c>
      <c r="E40" s="142"/>
      <c r="F40" s="140" t="s">
        <v>31</v>
      </c>
      <c r="G40" s="217"/>
      <c r="H40" s="143" t="s">
        <v>156</v>
      </c>
      <c r="I40" s="144">
        <v>3.3300000000000003E-2</v>
      </c>
      <c r="J40" s="145">
        <v>6</v>
      </c>
      <c r="K40" s="146" t="s">
        <v>53</v>
      </c>
      <c r="L40" s="145">
        <v>6</v>
      </c>
      <c r="M40" s="145">
        <v>0</v>
      </c>
      <c r="N40" s="145">
        <v>0</v>
      </c>
      <c r="O40" s="147" t="s">
        <v>56</v>
      </c>
      <c r="P40" s="148">
        <v>0.33333333333333331</v>
      </c>
      <c r="Q40" s="145">
        <v>180</v>
      </c>
      <c r="R40" s="149" t="s">
        <v>155</v>
      </c>
    </row>
    <row r="41" spans="1:18" ht="49.95" customHeight="1" x14ac:dyDescent="0.3">
      <c r="A41" s="104" t="s">
        <v>28</v>
      </c>
      <c r="B41" s="104" t="s">
        <v>158</v>
      </c>
      <c r="C41" s="105">
        <v>0.4548611111111111</v>
      </c>
      <c r="D41" s="104" t="s">
        <v>30</v>
      </c>
      <c r="E41" s="106"/>
      <c r="F41" s="104" t="s">
        <v>31</v>
      </c>
      <c r="G41" s="217"/>
      <c r="H41" s="107" t="s">
        <v>158</v>
      </c>
      <c r="I41" s="108">
        <v>5.5599999999999997E-2</v>
      </c>
      <c r="J41" s="109">
        <v>10</v>
      </c>
      <c r="K41" s="110" t="s">
        <v>53</v>
      </c>
      <c r="L41" s="109">
        <v>10</v>
      </c>
      <c r="M41" s="109">
        <v>0</v>
      </c>
      <c r="N41" s="109">
        <v>0</v>
      </c>
      <c r="O41" s="111" t="s">
        <v>78</v>
      </c>
      <c r="P41" s="112">
        <v>0.4548611111111111</v>
      </c>
      <c r="Q41" s="109">
        <v>180</v>
      </c>
      <c r="R41" s="113" t="s">
        <v>137</v>
      </c>
    </row>
    <row r="42" spans="1:18" ht="49.95" customHeight="1" thickBot="1" x14ac:dyDescent="0.35">
      <c r="A42" s="183" t="s">
        <v>28</v>
      </c>
      <c r="B42" s="183" t="s">
        <v>169</v>
      </c>
      <c r="C42" s="184">
        <v>0.82986111111111116</v>
      </c>
      <c r="D42" s="183" t="s">
        <v>30</v>
      </c>
      <c r="E42" s="185"/>
      <c r="F42" s="183" t="s">
        <v>31</v>
      </c>
      <c r="G42" s="218"/>
      <c r="H42" s="90" t="s">
        <v>169</v>
      </c>
      <c r="I42" s="91">
        <v>0.18890000000000001</v>
      </c>
      <c r="J42" s="92">
        <v>34</v>
      </c>
      <c r="K42" s="93" t="s">
        <v>59</v>
      </c>
      <c r="L42" s="92">
        <v>10</v>
      </c>
      <c r="M42" s="92">
        <v>0</v>
      </c>
      <c r="N42" s="92">
        <v>0</v>
      </c>
      <c r="O42" s="94" t="s">
        <v>66</v>
      </c>
      <c r="P42" s="95">
        <v>0.82986111111111116</v>
      </c>
      <c r="Q42" s="92">
        <v>180</v>
      </c>
      <c r="R42" s="96" t="s">
        <v>181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46055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x14ac:dyDescent="0.3">
      <c r="A46" s="46" t="s">
        <v>28</v>
      </c>
      <c r="B46" s="46" t="s">
        <v>154</v>
      </c>
      <c r="C46" s="47">
        <v>0.24652777777777779</v>
      </c>
      <c r="D46" s="46" t="s">
        <v>30</v>
      </c>
      <c r="E46" s="48"/>
      <c r="F46" s="46" t="s">
        <v>31</v>
      </c>
      <c r="G46" s="208"/>
      <c r="H46" s="107" t="s">
        <v>154</v>
      </c>
      <c r="I46" s="108">
        <v>2.7799999999999998E-2</v>
      </c>
      <c r="J46" s="109">
        <v>5</v>
      </c>
      <c r="K46" s="110" t="s">
        <v>182</v>
      </c>
      <c r="L46" s="109">
        <v>5</v>
      </c>
      <c r="M46" s="109">
        <v>0</v>
      </c>
      <c r="N46" s="109">
        <v>0</v>
      </c>
      <c r="O46" s="111" t="s">
        <v>66</v>
      </c>
      <c r="P46" s="112">
        <v>0.24652777777777779</v>
      </c>
      <c r="Q46" s="109">
        <v>180</v>
      </c>
      <c r="R46" s="113" t="s">
        <v>126</v>
      </c>
    </row>
    <row r="47" spans="1:18" ht="49.95" customHeight="1" x14ac:dyDescent="0.3">
      <c r="A47" s="150" t="s">
        <v>28</v>
      </c>
      <c r="B47" s="150" t="s">
        <v>158</v>
      </c>
      <c r="C47" s="151">
        <v>0.4375</v>
      </c>
      <c r="D47" s="150" t="s">
        <v>30</v>
      </c>
      <c r="E47" s="152"/>
      <c r="F47" s="150" t="s">
        <v>31</v>
      </c>
      <c r="G47" s="217"/>
      <c r="H47" s="153" t="s">
        <v>158</v>
      </c>
      <c r="I47" s="154">
        <v>0.05</v>
      </c>
      <c r="J47" s="155">
        <v>9</v>
      </c>
      <c r="K47" s="156" t="s">
        <v>65</v>
      </c>
      <c r="L47" s="155">
        <v>9</v>
      </c>
      <c r="M47" s="155">
        <v>0</v>
      </c>
      <c r="N47" s="155">
        <v>0</v>
      </c>
      <c r="O47" s="157" t="s">
        <v>66</v>
      </c>
      <c r="P47" s="158">
        <v>0.4375</v>
      </c>
      <c r="Q47" s="155">
        <v>180</v>
      </c>
      <c r="R47" s="159" t="s">
        <v>183</v>
      </c>
    </row>
    <row r="48" spans="1:18" ht="49.95" customHeight="1" thickBot="1" x14ac:dyDescent="0.35">
      <c r="A48" s="124" t="s">
        <v>28</v>
      </c>
      <c r="B48" s="124" t="s">
        <v>156</v>
      </c>
      <c r="C48" s="125">
        <v>0.80208333333333337</v>
      </c>
      <c r="D48" s="124" t="s">
        <v>30</v>
      </c>
      <c r="E48" s="126"/>
      <c r="F48" s="124" t="s">
        <v>31</v>
      </c>
      <c r="G48" s="218"/>
      <c r="H48" s="79" t="s">
        <v>156</v>
      </c>
      <c r="I48" s="80">
        <v>5.5599999999999997E-2</v>
      </c>
      <c r="J48" s="81">
        <v>10</v>
      </c>
      <c r="K48" s="82" t="s">
        <v>165</v>
      </c>
      <c r="L48" s="81">
        <v>10</v>
      </c>
      <c r="M48" s="81">
        <v>0</v>
      </c>
      <c r="N48" s="81">
        <v>0</v>
      </c>
      <c r="O48" s="83" t="s">
        <v>78</v>
      </c>
      <c r="P48" s="84">
        <v>0.80208333333333337</v>
      </c>
      <c r="Q48" s="81">
        <v>180</v>
      </c>
      <c r="R48" s="85" t="s">
        <v>137</v>
      </c>
    </row>
    <row r="49" spans="1:18" ht="17.399999999999999" customHeight="1" thickBot="1" x14ac:dyDescent="0.35">
      <c r="A49" s="233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5"/>
    </row>
    <row r="50" spans="1:18" ht="22.05" customHeight="1" thickTop="1" thickBot="1" x14ac:dyDescent="0.35">
      <c r="A50" s="201" t="s">
        <v>8</v>
      </c>
      <c r="B50" s="202"/>
      <c r="C50" s="202"/>
      <c r="D50" s="202"/>
      <c r="E50" s="202"/>
      <c r="F50" s="203"/>
      <c r="G50" s="18">
        <v>46056</v>
      </c>
      <c r="H50" s="209" t="s">
        <v>9</v>
      </c>
      <c r="I50" s="202"/>
      <c r="J50" s="202"/>
      <c r="K50" s="202"/>
      <c r="L50" s="202"/>
      <c r="M50" s="202"/>
      <c r="N50" s="202"/>
      <c r="O50" s="202"/>
      <c r="P50" s="202"/>
      <c r="Q50" s="202"/>
      <c r="R50" s="203"/>
    </row>
    <row r="51" spans="1:18" ht="24" customHeight="1" x14ac:dyDescent="0.3">
      <c r="A51" s="19" t="s">
        <v>10</v>
      </c>
      <c r="B51" s="19" t="s">
        <v>11</v>
      </c>
      <c r="C51" s="20" t="s">
        <v>12</v>
      </c>
      <c r="D51" s="19" t="s">
        <v>13</v>
      </c>
      <c r="E51" s="19" t="s">
        <v>14</v>
      </c>
      <c r="F51" s="21" t="s">
        <v>15</v>
      </c>
      <c r="G51" s="22" t="s">
        <v>16</v>
      </c>
      <c r="H51" s="19" t="s">
        <v>17</v>
      </c>
      <c r="I51" s="23" t="s">
        <v>18</v>
      </c>
      <c r="J51" s="24" t="s">
        <v>19</v>
      </c>
      <c r="K51" s="25" t="s">
        <v>20</v>
      </c>
      <c r="L51" s="24" t="s">
        <v>21</v>
      </c>
      <c r="M51" s="24" t="s">
        <v>22</v>
      </c>
      <c r="N51" s="24" t="s">
        <v>23</v>
      </c>
      <c r="O51" s="19" t="s">
        <v>24</v>
      </c>
      <c r="P51" s="20" t="s">
        <v>25</v>
      </c>
      <c r="Q51" s="24" t="s">
        <v>26</v>
      </c>
      <c r="R51" s="19" t="s">
        <v>27</v>
      </c>
    </row>
    <row r="52" spans="1:18" ht="15" customHeight="1" x14ac:dyDescent="0.3">
      <c r="A52" s="36" t="s">
        <v>28</v>
      </c>
      <c r="B52" s="36" t="s">
        <v>160</v>
      </c>
      <c r="C52" s="37">
        <v>5.2083333333333343E-2</v>
      </c>
      <c r="D52" s="36" t="s">
        <v>30</v>
      </c>
      <c r="E52" s="38"/>
      <c r="F52" s="36" t="s">
        <v>31</v>
      </c>
      <c r="G52" s="208"/>
      <c r="H52" s="143" t="s">
        <v>160</v>
      </c>
      <c r="I52" s="144">
        <v>2.2200000000000001E-2</v>
      </c>
      <c r="J52" s="145">
        <v>4</v>
      </c>
      <c r="K52" s="146" t="s">
        <v>50</v>
      </c>
      <c r="L52" s="145">
        <v>4</v>
      </c>
      <c r="M52" s="145">
        <v>0</v>
      </c>
      <c r="N52" s="145">
        <v>0</v>
      </c>
      <c r="O52" s="147" t="s">
        <v>155</v>
      </c>
      <c r="P52" s="148">
        <v>5.2083333333333343E-2</v>
      </c>
      <c r="Q52" s="145">
        <v>180</v>
      </c>
      <c r="R52" s="149" t="s">
        <v>56</v>
      </c>
    </row>
    <row r="53" spans="1:18" ht="15" customHeight="1" x14ac:dyDescent="0.3">
      <c r="A53" s="186" t="s">
        <v>28</v>
      </c>
      <c r="B53" s="186" t="s">
        <v>169</v>
      </c>
      <c r="C53" s="187">
        <v>0.38194444444444442</v>
      </c>
      <c r="D53" s="186" t="s">
        <v>30</v>
      </c>
      <c r="E53" s="188"/>
      <c r="F53" s="186" t="s">
        <v>31</v>
      </c>
      <c r="G53" s="217"/>
      <c r="H53" s="166" t="s">
        <v>169</v>
      </c>
      <c r="I53" s="167">
        <v>1.67E-2</v>
      </c>
      <c r="J53" s="168">
        <v>3</v>
      </c>
      <c r="K53" s="169" t="s">
        <v>63</v>
      </c>
      <c r="L53" s="168">
        <v>3</v>
      </c>
      <c r="M53" s="168">
        <v>0</v>
      </c>
      <c r="N53" s="168">
        <v>0</v>
      </c>
      <c r="O53" s="170" t="s">
        <v>129</v>
      </c>
      <c r="P53" s="171">
        <v>0.38194444444444442</v>
      </c>
      <c r="Q53" s="168">
        <v>180</v>
      </c>
      <c r="R53" s="172" t="s">
        <v>180</v>
      </c>
    </row>
    <row r="54" spans="1:18" ht="15" customHeight="1" x14ac:dyDescent="0.3">
      <c r="A54" s="114" t="s">
        <v>28</v>
      </c>
      <c r="B54" s="114" t="s">
        <v>158</v>
      </c>
      <c r="C54" s="115">
        <v>0.4375</v>
      </c>
      <c r="D54" s="114" t="s">
        <v>30</v>
      </c>
      <c r="E54" s="116"/>
      <c r="F54" s="114" t="s">
        <v>35</v>
      </c>
      <c r="G54" s="217"/>
      <c r="H54" s="117" t="s">
        <v>158</v>
      </c>
      <c r="I54" s="118">
        <v>0</v>
      </c>
      <c r="J54" s="119">
        <v>0</v>
      </c>
      <c r="K54" s="120" t="s">
        <v>36</v>
      </c>
      <c r="L54" s="119">
        <v>0</v>
      </c>
      <c r="M54" s="119">
        <v>0</v>
      </c>
      <c r="N54" s="119">
        <v>0</v>
      </c>
      <c r="O54" s="121" t="s">
        <v>183</v>
      </c>
      <c r="P54" s="122">
        <v>0.4375</v>
      </c>
      <c r="Q54" s="119">
        <v>180</v>
      </c>
      <c r="R54" s="123" t="s">
        <v>36</v>
      </c>
    </row>
    <row r="55" spans="1:18" ht="15" customHeight="1" x14ac:dyDescent="0.3">
      <c r="A55" s="173" t="s">
        <v>28</v>
      </c>
      <c r="B55" s="173" t="s">
        <v>156</v>
      </c>
      <c r="C55" s="174">
        <v>0.55208333333333337</v>
      </c>
      <c r="D55" s="173" t="s">
        <v>30</v>
      </c>
      <c r="E55" s="175"/>
      <c r="F55" s="173" t="s">
        <v>31</v>
      </c>
      <c r="G55" s="217"/>
      <c r="H55" s="176" t="s">
        <v>156</v>
      </c>
      <c r="I55" s="177">
        <v>2.7799999999999998E-2</v>
      </c>
      <c r="J55" s="178">
        <v>5</v>
      </c>
      <c r="K55" s="179" t="s">
        <v>65</v>
      </c>
      <c r="L55" s="178">
        <v>5</v>
      </c>
      <c r="M55" s="178">
        <v>0</v>
      </c>
      <c r="N55" s="178">
        <v>0</v>
      </c>
      <c r="O55" s="180" t="s">
        <v>126</v>
      </c>
      <c r="P55" s="181">
        <v>0.55208333333333337</v>
      </c>
      <c r="Q55" s="178">
        <v>180</v>
      </c>
      <c r="R55" s="182" t="s">
        <v>126</v>
      </c>
    </row>
    <row r="56" spans="1:18" ht="15" customHeight="1" x14ac:dyDescent="0.3">
      <c r="A56" s="137" t="s">
        <v>28</v>
      </c>
      <c r="B56" s="137" t="s">
        <v>152</v>
      </c>
      <c r="C56" s="138">
        <v>0.75694444444444453</v>
      </c>
      <c r="D56" s="137" t="s">
        <v>30</v>
      </c>
      <c r="E56" s="139"/>
      <c r="F56" s="137" t="s">
        <v>31</v>
      </c>
      <c r="G56" s="217"/>
      <c r="H56" s="97" t="s">
        <v>152</v>
      </c>
      <c r="I56" s="98">
        <v>3.8899999999999997E-2</v>
      </c>
      <c r="J56" s="99">
        <v>7</v>
      </c>
      <c r="K56" s="100" t="s">
        <v>50</v>
      </c>
      <c r="L56" s="99">
        <v>7</v>
      </c>
      <c r="M56" s="99">
        <v>0</v>
      </c>
      <c r="N56" s="99">
        <v>0</v>
      </c>
      <c r="O56" s="101" t="s">
        <v>56</v>
      </c>
      <c r="P56" s="102">
        <v>0.75694444444444453</v>
      </c>
      <c r="Q56" s="99">
        <v>180</v>
      </c>
      <c r="R56" s="103" t="s">
        <v>184</v>
      </c>
    </row>
    <row r="57" spans="1:18" ht="15" customHeight="1" thickBot="1" x14ac:dyDescent="0.35">
      <c r="A57" s="189" t="s">
        <v>28</v>
      </c>
      <c r="B57" s="189" t="s">
        <v>154</v>
      </c>
      <c r="C57" s="190">
        <v>0.79166666666666663</v>
      </c>
      <c r="D57" s="189" t="s">
        <v>30</v>
      </c>
      <c r="E57" s="191"/>
      <c r="F57" s="189" t="s">
        <v>31</v>
      </c>
      <c r="G57" s="218"/>
      <c r="H57" s="29" t="s">
        <v>154</v>
      </c>
      <c r="I57" s="30">
        <v>2.7799999999999998E-2</v>
      </c>
      <c r="J57" s="31">
        <v>5</v>
      </c>
      <c r="K57" s="32" t="s">
        <v>53</v>
      </c>
      <c r="L57" s="31">
        <v>5</v>
      </c>
      <c r="M57" s="31">
        <v>0</v>
      </c>
      <c r="N57" s="31">
        <v>0</v>
      </c>
      <c r="O57" s="33" t="s">
        <v>66</v>
      </c>
      <c r="P57" s="34">
        <v>0.79166666666666663</v>
      </c>
      <c r="Q57" s="31">
        <v>180</v>
      </c>
      <c r="R57" s="35" t="s">
        <v>126</v>
      </c>
    </row>
    <row r="58" spans="1:18" ht="17.399999999999999" customHeight="1" thickBot="1" x14ac:dyDescent="0.35">
      <c r="A58" s="233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5"/>
    </row>
    <row r="59" spans="1:18" ht="22.05" customHeight="1" thickTop="1" thickBot="1" x14ac:dyDescent="0.35">
      <c r="A59" s="201" t="s">
        <v>8</v>
      </c>
      <c r="B59" s="202"/>
      <c r="C59" s="202"/>
      <c r="D59" s="202"/>
      <c r="E59" s="202"/>
      <c r="F59" s="203"/>
      <c r="G59" s="18">
        <v>46057</v>
      </c>
      <c r="H59" s="209" t="s">
        <v>9</v>
      </c>
      <c r="I59" s="202"/>
      <c r="J59" s="202"/>
      <c r="K59" s="202"/>
      <c r="L59" s="202"/>
      <c r="M59" s="202"/>
      <c r="N59" s="202"/>
      <c r="O59" s="202"/>
      <c r="P59" s="202"/>
      <c r="Q59" s="202"/>
      <c r="R59" s="203"/>
    </row>
    <row r="60" spans="1:18" ht="24" customHeight="1" x14ac:dyDescent="0.3">
      <c r="A60" s="19" t="s">
        <v>10</v>
      </c>
      <c r="B60" s="19" t="s">
        <v>11</v>
      </c>
      <c r="C60" s="20" t="s">
        <v>12</v>
      </c>
      <c r="D60" s="19" t="s">
        <v>13</v>
      </c>
      <c r="E60" s="19" t="s">
        <v>14</v>
      </c>
      <c r="F60" s="21" t="s">
        <v>15</v>
      </c>
      <c r="G60" s="22" t="s">
        <v>16</v>
      </c>
      <c r="H60" s="19" t="s">
        <v>17</v>
      </c>
      <c r="I60" s="23" t="s">
        <v>18</v>
      </c>
      <c r="J60" s="24" t="s">
        <v>19</v>
      </c>
      <c r="K60" s="25" t="s">
        <v>20</v>
      </c>
      <c r="L60" s="24" t="s">
        <v>21</v>
      </c>
      <c r="M60" s="24" t="s">
        <v>22</v>
      </c>
      <c r="N60" s="24" t="s">
        <v>23</v>
      </c>
      <c r="O60" s="19" t="s">
        <v>24</v>
      </c>
      <c r="P60" s="20" t="s">
        <v>25</v>
      </c>
      <c r="Q60" s="24" t="s">
        <v>26</v>
      </c>
      <c r="R60" s="19" t="s">
        <v>27</v>
      </c>
    </row>
    <row r="61" spans="1:18" ht="49.95" customHeight="1" x14ac:dyDescent="0.3">
      <c r="A61" s="87" t="s">
        <v>28</v>
      </c>
      <c r="B61" s="87" t="s">
        <v>152</v>
      </c>
      <c r="C61" s="88">
        <v>0.2326388888888889</v>
      </c>
      <c r="D61" s="87" t="s">
        <v>30</v>
      </c>
      <c r="E61" s="89"/>
      <c r="F61" s="87" t="s">
        <v>35</v>
      </c>
      <c r="G61" s="208"/>
      <c r="H61" s="153" t="s">
        <v>152</v>
      </c>
      <c r="I61" s="154">
        <v>0</v>
      </c>
      <c r="J61" s="155">
        <v>0</v>
      </c>
      <c r="K61" s="156" t="s">
        <v>36</v>
      </c>
      <c r="L61" s="155">
        <v>0</v>
      </c>
      <c r="M61" s="155">
        <v>0</v>
      </c>
      <c r="N61" s="155">
        <v>0</v>
      </c>
      <c r="O61" s="157" t="s">
        <v>183</v>
      </c>
      <c r="P61" s="158">
        <v>0.2326388888888889</v>
      </c>
      <c r="Q61" s="155">
        <v>180</v>
      </c>
      <c r="R61" s="159" t="s">
        <v>36</v>
      </c>
    </row>
    <row r="62" spans="1:18" ht="49.95" customHeight="1" x14ac:dyDescent="0.3">
      <c r="A62" s="127" t="s">
        <v>28</v>
      </c>
      <c r="B62" s="127" t="s">
        <v>154</v>
      </c>
      <c r="C62" s="128">
        <v>0.30208333333333331</v>
      </c>
      <c r="D62" s="127" t="s">
        <v>30</v>
      </c>
      <c r="E62" s="129"/>
      <c r="F62" s="127" t="s">
        <v>35</v>
      </c>
      <c r="G62" s="217"/>
      <c r="H62" s="130" t="s">
        <v>154</v>
      </c>
      <c r="I62" s="131">
        <v>0</v>
      </c>
      <c r="J62" s="132">
        <v>0</v>
      </c>
      <c r="K62" s="133" t="s">
        <v>36</v>
      </c>
      <c r="L62" s="132">
        <v>0</v>
      </c>
      <c r="M62" s="132">
        <v>0</v>
      </c>
      <c r="N62" s="132">
        <v>0</v>
      </c>
      <c r="O62" s="134" t="s">
        <v>155</v>
      </c>
      <c r="P62" s="135">
        <v>0.30208333333333331</v>
      </c>
      <c r="Q62" s="132">
        <v>180</v>
      </c>
      <c r="R62" s="136" t="s">
        <v>36</v>
      </c>
    </row>
    <row r="63" spans="1:18" ht="49.95" customHeight="1" x14ac:dyDescent="0.3">
      <c r="A63" s="114" t="s">
        <v>28</v>
      </c>
      <c r="B63" s="114" t="s">
        <v>156</v>
      </c>
      <c r="C63" s="115">
        <v>0.34375</v>
      </c>
      <c r="D63" s="114" t="s">
        <v>30</v>
      </c>
      <c r="E63" s="116"/>
      <c r="F63" s="114" t="s">
        <v>35</v>
      </c>
      <c r="G63" s="217"/>
      <c r="H63" s="117" t="s">
        <v>156</v>
      </c>
      <c r="I63" s="118">
        <v>0</v>
      </c>
      <c r="J63" s="119">
        <v>0</v>
      </c>
      <c r="K63" s="120" t="s">
        <v>36</v>
      </c>
      <c r="L63" s="119">
        <v>0</v>
      </c>
      <c r="M63" s="119">
        <v>0</v>
      </c>
      <c r="N63" s="119">
        <v>0</v>
      </c>
      <c r="O63" s="121" t="s">
        <v>183</v>
      </c>
      <c r="P63" s="122">
        <v>0.34375</v>
      </c>
      <c r="Q63" s="119">
        <v>186</v>
      </c>
      <c r="R63" s="123" t="s">
        <v>36</v>
      </c>
    </row>
    <row r="64" spans="1:18" ht="49.95" customHeight="1" x14ac:dyDescent="0.3">
      <c r="A64" s="186" t="s">
        <v>28</v>
      </c>
      <c r="B64" s="186" t="s">
        <v>158</v>
      </c>
      <c r="C64" s="187">
        <v>0.4375</v>
      </c>
      <c r="D64" s="186" t="s">
        <v>30</v>
      </c>
      <c r="E64" s="188"/>
      <c r="F64" s="186" t="s">
        <v>31</v>
      </c>
      <c r="G64" s="217"/>
      <c r="H64" s="166" t="s">
        <v>158</v>
      </c>
      <c r="I64" s="167">
        <v>1.67E-2</v>
      </c>
      <c r="J64" s="168">
        <v>3</v>
      </c>
      <c r="K64" s="169" t="s">
        <v>182</v>
      </c>
      <c r="L64" s="168">
        <v>3</v>
      </c>
      <c r="M64" s="168">
        <v>0</v>
      </c>
      <c r="N64" s="168">
        <v>0</v>
      </c>
      <c r="O64" s="170" t="s">
        <v>129</v>
      </c>
      <c r="P64" s="171">
        <v>0.4375</v>
      </c>
      <c r="Q64" s="168">
        <v>180</v>
      </c>
      <c r="R64" s="172" t="s">
        <v>180</v>
      </c>
    </row>
    <row r="65" spans="1:18" ht="49.95" customHeight="1" thickBot="1" x14ac:dyDescent="0.35">
      <c r="A65" s="192" t="s">
        <v>28</v>
      </c>
      <c r="B65" s="192" t="s">
        <v>160</v>
      </c>
      <c r="C65" s="193">
        <v>0.9375</v>
      </c>
      <c r="D65" s="192" t="s">
        <v>30</v>
      </c>
      <c r="E65" s="194"/>
      <c r="F65" s="192" t="s">
        <v>31</v>
      </c>
      <c r="G65" s="218"/>
      <c r="H65" s="49" t="s">
        <v>160</v>
      </c>
      <c r="I65" s="50">
        <v>3.3300000000000003E-2</v>
      </c>
      <c r="J65" s="51">
        <v>6</v>
      </c>
      <c r="K65" s="52" t="s">
        <v>46</v>
      </c>
      <c r="L65" s="51">
        <v>6</v>
      </c>
      <c r="M65" s="51">
        <v>0</v>
      </c>
      <c r="N65" s="51">
        <v>0</v>
      </c>
      <c r="O65" s="53" t="s">
        <v>56</v>
      </c>
      <c r="P65" s="54">
        <v>0.9375</v>
      </c>
      <c r="Q65" s="51">
        <v>180</v>
      </c>
      <c r="R65" s="55" t="s">
        <v>155</v>
      </c>
    </row>
    <row r="66" spans="1:18" ht="17.399999999999999" customHeight="1" thickBot="1" x14ac:dyDescent="0.35">
      <c r="A66" s="233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5"/>
    </row>
    <row r="67" spans="1:18" ht="22.05" customHeight="1" thickTop="1" thickBot="1" x14ac:dyDescent="0.35">
      <c r="A67" s="201" t="s">
        <v>8</v>
      </c>
      <c r="B67" s="202"/>
      <c r="C67" s="202"/>
      <c r="D67" s="202"/>
      <c r="E67" s="202"/>
      <c r="F67" s="203"/>
      <c r="G67" s="18">
        <v>46058</v>
      </c>
      <c r="H67" s="209" t="s">
        <v>9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3"/>
    </row>
    <row r="68" spans="1:18" ht="24" customHeight="1" x14ac:dyDescent="0.3">
      <c r="A68" s="19" t="s">
        <v>10</v>
      </c>
      <c r="B68" s="19" t="s">
        <v>11</v>
      </c>
      <c r="C68" s="20" t="s">
        <v>12</v>
      </c>
      <c r="D68" s="19" t="s">
        <v>13</v>
      </c>
      <c r="E68" s="19" t="s">
        <v>14</v>
      </c>
      <c r="F68" s="21" t="s">
        <v>15</v>
      </c>
      <c r="G68" s="22" t="s">
        <v>16</v>
      </c>
      <c r="H68" s="19" t="s">
        <v>17</v>
      </c>
      <c r="I68" s="23" t="s">
        <v>18</v>
      </c>
      <c r="J68" s="24" t="s">
        <v>19</v>
      </c>
      <c r="K68" s="25" t="s">
        <v>20</v>
      </c>
      <c r="L68" s="24" t="s">
        <v>21</v>
      </c>
      <c r="M68" s="24" t="s">
        <v>22</v>
      </c>
      <c r="N68" s="24" t="s">
        <v>23</v>
      </c>
      <c r="O68" s="19" t="s">
        <v>24</v>
      </c>
      <c r="P68" s="20" t="s">
        <v>25</v>
      </c>
      <c r="Q68" s="24" t="s">
        <v>26</v>
      </c>
      <c r="R68" s="19" t="s">
        <v>27</v>
      </c>
    </row>
    <row r="69" spans="1:18" ht="15" customHeight="1" x14ac:dyDescent="0.3">
      <c r="A69" s="46" t="s">
        <v>28</v>
      </c>
      <c r="B69" s="46" t="s">
        <v>163</v>
      </c>
      <c r="C69" s="47">
        <v>6.5972222222222224E-2</v>
      </c>
      <c r="D69" s="46" t="s">
        <v>30</v>
      </c>
      <c r="E69" s="48"/>
      <c r="F69" s="46" t="s">
        <v>31</v>
      </c>
      <c r="G69" s="208"/>
      <c r="H69" s="107" t="s">
        <v>163</v>
      </c>
      <c r="I69" s="108">
        <v>5.5999999999999999E-3</v>
      </c>
      <c r="J69" s="109">
        <v>1</v>
      </c>
      <c r="K69" s="110" t="s">
        <v>182</v>
      </c>
      <c r="L69" s="109">
        <v>1</v>
      </c>
      <c r="M69" s="109">
        <v>0</v>
      </c>
      <c r="N69" s="109">
        <v>0</v>
      </c>
      <c r="O69" s="111" t="s">
        <v>183</v>
      </c>
      <c r="P69" s="112">
        <v>6.5972222222222224E-2</v>
      </c>
      <c r="Q69" s="109">
        <v>180</v>
      </c>
      <c r="R69" s="113" t="s">
        <v>66</v>
      </c>
    </row>
    <row r="70" spans="1:18" ht="15" customHeight="1" x14ac:dyDescent="0.3">
      <c r="A70" s="150" t="s">
        <v>28</v>
      </c>
      <c r="B70" s="150" t="s">
        <v>154</v>
      </c>
      <c r="C70" s="151">
        <v>0.15625</v>
      </c>
      <c r="D70" s="150" t="s">
        <v>30</v>
      </c>
      <c r="E70" s="152"/>
      <c r="F70" s="150" t="s">
        <v>31</v>
      </c>
      <c r="G70" s="217"/>
      <c r="H70" s="153" t="s">
        <v>154</v>
      </c>
      <c r="I70" s="154">
        <v>1.67E-2</v>
      </c>
      <c r="J70" s="155">
        <v>3</v>
      </c>
      <c r="K70" s="156" t="s">
        <v>185</v>
      </c>
      <c r="L70" s="155">
        <v>3</v>
      </c>
      <c r="M70" s="155">
        <v>0</v>
      </c>
      <c r="N70" s="155">
        <v>0</v>
      </c>
      <c r="O70" s="157" t="s">
        <v>180</v>
      </c>
      <c r="P70" s="158">
        <v>0.15625</v>
      </c>
      <c r="Q70" s="155">
        <v>180</v>
      </c>
      <c r="R70" s="159" t="s">
        <v>180</v>
      </c>
    </row>
    <row r="71" spans="1:18" ht="15" customHeight="1" x14ac:dyDescent="0.3">
      <c r="A71" s="173" t="s">
        <v>28</v>
      </c>
      <c r="B71" s="173" t="s">
        <v>164</v>
      </c>
      <c r="C71" s="174">
        <v>0.1875</v>
      </c>
      <c r="D71" s="173" t="s">
        <v>30</v>
      </c>
      <c r="E71" s="175"/>
      <c r="F71" s="173" t="s">
        <v>35</v>
      </c>
      <c r="G71" s="217"/>
      <c r="H71" s="176" t="s">
        <v>164</v>
      </c>
      <c r="I71" s="177">
        <v>0</v>
      </c>
      <c r="J71" s="178">
        <v>0</v>
      </c>
      <c r="K71" s="179" t="s">
        <v>36</v>
      </c>
      <c r="L71" s="178">
        <v>0</v>
      </c>
      <c r="M71" s="178">
        <v>0</v>
      </c>
      <c r="N71" s="178">
        <v>0</v>
      </c>
      <c r="O71" s="180" t="s">
        <v>78</v>
      </c>
      <c r="P71" s="181">
        <v>0.1875</v>
      </c>
      <c r="Q71" s="178">
        <v>180</v>
      </c>
      <c r="R71" s="182" t="s">
        <v>36</v>
      </c>
    </row>
    <row r="72" spans="1:18" ht="15" customHeight="1" x14ac:dyDescent="0.3">
      <c r="A72" s="150" t="s">
        <v>28</v>
      </c>
      <c r="B72" s="150" t="s">
        <v>158</v>
      </c>
      <c r="C72" s="151">
        <v>0.40625</v>
      </c>
      <c r="D72" s="150" t="s">
        <v>30</v>
      </c>
      <c r="E72" s="152"/>
      <c r="F72" s="150" t="s">
        <v>31</v>
      </c>
      <c r="G72" s="217"/>
      <c r="H72" s="153" t="s">
        <v>158</v>
      </c>
      <c r="I72" s="154">
        <v>3.8899999999999997E-2</v>
      </c>
      <c r="J72" s="155">
        <v>7</v>
      </c>
      <c r="K72" s="156" t="s">
        <v>65</v>
      </c>
      <c r="L72" s="155">
        <v>7</v>
      </c>
      <c r="M72" s="155">
        <v>0</v>
      </c>
      <c r="N72" s="155">
        <v>0</v>
      </c>
      <c r="O72" s="157" t="s">
        <v>180</v>
      </c>
      <c r="P72" s="158">
        <v>0.40625</v>
      </c>
      <c r="Q72" s="155">
        <v>180</v>
      </c>
      <c r="R72" s="159" t="s">
        <v>129</v>
      </c>
    </row>
    <row r="73" spans="1:18" ht="15" customHeight="1" x14ac:dyDescent="0.3">
      <c r="A73" s="127" t="s">
        <v>28</v>
      </c>
      <c r="B73" s="127" t="s">
        <v>169</v>
      </c>
      <c r="C73" s="128">
        <v>0.5625</v>
      </c>
      <c r="D73" s="127" t="s">
        <v>30</v>
      </c>
      <c r="E73" s="129"/>
      <c r="F73" s="127" t="s">
        <v>31</v>
      </c>
      <c r="G73" s="217"/>
      <c r="H73" s="130" t="s">
        <v>169</v>
      </c>
      <c r="I73" s="131">
        <v>2.7799999999999998E-2</v>
      </c>
      <c r="J73" s="132">
        <v>5</v>
      </c>
      <c r="K73" s="133" t="s">
        <v>185</v>
      </c>
      <c r="L73" s="132">
        <v>5</v>
      </c>
      <c r="M73" s="132">
        <v>0</v>
      </c>
      <c r="N73" s="132">
        <v>0</v>
      </c>
      <c r="O73" s="134" t="s">
        <v>126</v>
      </c>
      <c r="P73" s="135">
        <v>0.5625</v>
      </c>
      <c r="Q73" s="132">
        <v>180</v>
      </c>
      <c r="R73" s="136" t="s">
        <v>126</v>
      </c>
    </row>
    <row r="74" spans="1:18" ht="15" customHeight="1" thickBot="1" x14ac:dyDescent="0.35">
      <c r="A74" s="160" t="s">
        <v>28</v>
      </c>
      <c r="B74" s="160" t="s">
        <v>152</v>
      </c>
      <c r="C74" s="161">
        <v>0.9375</v>
      </c>
      <c r="D74" s="160" t="s">
        <v>30</v>
      </c>
      <c r="E74" s="162"/>
      <c r="F74" s="160" t="s">
        <v>31</v>
      </c>
      <c r="G74" s="218"/>
      <c r="H74" s="69" t="s">
        <v>152</v>
      </c>
      <c r="I74" s="70">
        <v>1.11E-2</v>
      </c>
      <c r="J74" s="71">
        <v>2</v>
      </c>
      <c r="K74" s="72" t="s">
        <v>32</v>
      </c>
      <c r="L74" s="71">
        <v>2</v>
      </c>
      <c r="M74" s="71">
        <v>0</v>
      </c>
      <c r="N74" s="71">
        <v>0</v>
      </c>
      <c r="O74" s="73" t="s">
        <v>183</v>
      </c>
      <c r="P74" s="74">
        <v>0.9375</v>
      </c>
      <c r="Q74" s="71">
        <v>180</v>
      </c>
      <c r="R74" s="75" t="s">
        <v>186</v>
      </c>
    </row>
    <row r="75" spans="1:18" ht="17.399999999999999" customHeight="1" thickBot="1" x14ac:dyDescent="0.35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46059</v>
      </c>
      <c r="H76" s="209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3">
      <c r="A78" s="87" t="s">
        <v>28</v>
      </c>
      <c r="B78" s="87" t="s">
        <v>154</v>
      </c>
      <c r="C78" s="88">
        <v>0.1423611111111111</v>
      </c>
      <c r="D78" s="87" t="s">
        <v>30</v>
      </c>
      <c r="E78" s="89"/>
      <c r="F78" s="87" t="s">
        <v>31</v>
      </c>
      <c r="G78" s="208"/>
      <c r="H78" s="153" t="s">
        <v>154</v>
      </c>
      <c r="I78" s="154">
        <v>2.7799999999999998E-2</v>
      </c>
      <c r="J78" s="155">
        <v>5</v>
      </c>
      <c r="K78" s="156" t="s">
        <v>59</v>
      </c>
      <c r="L78" s="155">
        <v>5</v>
      </c>
      <c r="M78" s="155">
        <v>0</v>
      </c>
      <c r="N78" s="155">
        <v>0</v>
      </c>
      <c r="O78" s="157" t="s">
        <v>66</v>
      </c>
      <c r="P78" s="158">
        <v>0.1423611111111111</v>
      </c>
      <c r="Q78" s="155">
        <v>180</v>
      </c>
      <c r="R78" s="159" t="s">
        <v>126</v>
      </c>
    </row>
    <row r="79" spans="1:18" ht="49.95" customHeight="1" x14ac:dyDescent="0.3">
      <c r="A79" s="114" t="s">
        <v>28</v>
      </c>
      <c r="B79" s="114" t="s">
        <v>158</v>
      </c>
      <c r="C79" s="115">
        <v>0.28125</v>
      </c>
      <c r="D79" s="114" t="s">
        <v>30</v>
      </c>
      <c r="E79" s="116"/>
      <c r="F79" s="114" t="s">
        <v>35</v>
      </c>
      <c r="G79" s="217"/>
      <c r="H79" s="117" t="s">
        <v>158</v>
      </c>
      <c r="I79" s="118">
        <v>0</v>
      </c>
      <c r="J79" s="119">
        <v>0</v>
      </c>
      <c r="K79" s="120" t="s">
        <v>36</v>
      </c>
      <c r="L79" s="119">
        <v>0</v>
      </c>
      <c r="M79" s="119">
        <v>0</v>
      </c>
      <c r="N79" s="119">
        <v>0</v>
      </c>
      <c r="O79" s="121" t="s">
        <v>78</v>
      </c>
      <c r="P79" s="122">
        <v>0.28125</v>
      </c>
      <c r="Q79" s="119">
        <v>180</v>
      </c>
      <c r="R79" s="123" t="s">
        <v>36</v>
      </c>
    </row>
    <row r="80" spans="1:18" ht="49.95" customHeight="1" x14ac:dyDescent="0.3">
      <c r="A80" s="173" t="s">
        <v>28</v>
      </c>
      <c r="B80" s="173" t="s">
        <v>169</v>
      </c>
      <c r="C80" s="174">
        <v>0.4375</v>
      </c>
      <c r="D80" s="173" t="s">
        <v>30</v>
      </c>
      <c r="E80" s="175"/>
      <c r="F80" s="173" t="s">
        <v>31</v>
      </c>
      <c r="G80" s="217"/>
      <c r="H80" s="176" t="s">
        <v>169</v>
      </c>
      <c r="I80" s="177">
        <v>2.7799999999999998E-2</v>
      </c>
      <c r="J80" s="178">
        <v>5</v>
      </c>
      <c r="K80" s="179" t="s">
        <v>178</v>
      </c>
      <c r="L80" s="178">
        <v>5</v>
      </c>
      <c r="M80" s="178">
        <v>0</v>
      </c>
      <c r="N80" s="178">
        <v>0</v>
      </c>
      <c r="O80" s="180" t="s">
        <v>175</v>
      </c>
      <c r="P80" s="181">
        <v>0.4375</v>
      </c>
      <c r="Q80" s="178">
        <v>180</v>
      </c>
      <c r="R80" s="182" t="s">
        <v>175</v>
      </c>
    </row>
    <row r="81" spans="1:18" ht="49.95" customHeight="1" x14ac:dyDescent="0.3">
      <c r="A81" s="150" t="s">
        <v>28</v>
      </c>
      <c r="B81" s="150" t="s">
        <v>160</v>
      </c>
      <c r="C81" s="151">
        <v>0.55902777777777779</v>
      </c>
      <c r="D81" s="150" t="s">
        <v>30</v>
      </c>
      <c r="E81" s="152"/>
      <c r="F81" s="150" t="s">
        <v>31</v>
      </c>
      <c r="G81" s="217"/>
      <c r="H81" s="153" t="s">
        <v>160</v>
      </c>
      <c r="I81" s="154">
        <v>2.2200000000000001E-2</v>
      </c>
      <c r="J81" s="155">
        <v>4</v>
      </c>
      <c r="K81" s="156" t="s">
        <v>68</v>
      </c>
      <c r="L81" s="155">
        <v>4</v>
      </c>
      <c r="M81" s="155">
        <v>0</v>
      </c>
      <c r="N81" s="155">
        <v>0</v>
      </c>
      <c r="O81" s="157" t="s">
        <v>161</v>
      </c>
      <c r="P81" s="158">
        <v>0.55902777777777779</v>
      </c>
      <c r="Q81" s="155">
        <v>180</v>
      </c>
      <c r="R81" s="159" t="s">
        <v>166</v>
      </c>
    </row>
    <row r="82" spans="1:18" ht="49.95" customHeight="1" thickBot="1" x14ac:dyDescent="0.35">
      <c r="A82" s="189" t="s">
        <v>28</v>
      </c>
      <c r="B82" s="189" t="s">
        <v>156</v>
      </c>
      <c r="C82" s="190">
        <v>0.76041666666666663</v>
      </c>
      <c r="D82" s="189" t="s">
        <v>30</v>
      </c>
      <c r="E82" s="191"/>
      <c r="F82" s="189" t="s">
        <v>35</v>
      </c>
      <c r="G82" s="218"/>
      <c r="H82" s="29" t="s">
        <v>156</v>
      </c>
      <c r="I82" s="30">
        <v>0</v>
      </c>
      <c r="J82" s="31">
        <v>0</v>
      </c>
      <c r="K82" s="32" t="s">
        <v>36</v>
      </c>
      <c r="L82" s="31">
        <v>0</v>
      </c>
      <c r="M82" s="31">
        <v>0</v>
      </c>
      <c r="N82" s="31">
        <v>0</v>
      </c>
      <c r="O82" s="33" t="s">
        <v>78</v>
      </c>
      <c r="P82" s="34">
        <v>0.76041666666666663</v>
      </c>
      <c r="Q82" s="31">
        <v>180</v>
      </c>
      <c r="R82" s="35" t="s">
        <v>36</v>
      </c>
    </row>
    <row r="83" spans="1:18" ht="17.399999999999999" customHeight="1" thickBot="1" x14ac:dyDescent="0.35">
      <c r="A83" s="233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5"/>
    </row>
    <row r="84" spans="1:18" ht="22.05" customHeight="1" thickTop="1" thickBot="1" x14ac:dyDescent="0.35">
      <c r="A84" s="201" t="s">
        <v>8</v>
      </c>
      <c r="B84" s="202"/>
      <c r="C84" s="202"/>
      <c r="D84" s="202"/>
      <c r="E84" s="202"/>
      <c r="F84" s="203"/>
      <c r="G84" s="18">
        <v>46060</v>
      </c>
      <c r="H84" s="209" t="s">
        <v>9</v>
      </c>
      <c r="I84" s="202"/>
      <c r="J84" s="202"/>
      <c r="K84" s="202"/>
      <c r="L84" s="202"/>
      <c r="M84" s="202"/>
      <c r="N84" s="202"/>
      <c r="O84" s="202"/>
      <c r="P84" s="202"/>
      <c r="Q84" s="202"/>
      <c r="R84" s="203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x14ac:dyDescent="0.3">
      <c r="A86" s="36" t="s">
        <v>28</v>
      </c>
      <c r="B86" s="36" t="s">
        <v>163</v>
      </c>
      <c r="C86" s="37">
        <v>4.8611111111111112E-2</v>
      </c>
      <c r="D86" s="36" t="s">
        <v>30</v>
      </c>
      <c r="E86" s="38"/>
      <c r="F86" s="36" t="s">
        <v>35</v>
      </c>
      <c r="G86" s="208"/>
      <c r="H86" s="143" t="s">
        <v>163</v>
      </c>
      <c r="I86" s="144">
        <v>0</v>
      </c>
      <c r="J86" s="145">
        <v>0</v>
      </c>
      <c r="K86" s="146" t="s">
        <v>36</v>
      </c>
      <c r="L86" s="145">
        <v>0</v>
      </c>
      <c r="M86" s="145">
        <v>0</v>
      </c>
      <c r="N86" s="145">
        <v>0</v>
      </c>
      <c r="O86" s="147" t="s">
        <v>78</v>
      </c>
      <c r="P86" s="148">
        <v>4.8611111111111112E-2</v>
      </c>
      <c r="Q86" s="145">
        <v>186</v>
      </c>
      <c r="R86" s="149" t="s">
        <v>36</v>
      </c>
    </row>
    <row r="87" spans="1:18" ht="49.95" customHeight="1" x14ac:dyDescent="0.3">
      <c r="A87" s="173" t="s">
        <v>28</v>
      </c>
      <c r="B87" s="173" t="s">
        <v>154</v>
      </c>
      <c r="C87" s="174">
        <v>0.15625</v>
      </c>
      <c r="D87" s="173" t="s">
        <v>30</v>
      </c>
      <c r="E87" s="175"/>
      <c r="F87" s="173" t="s">
        <v>31</v>
      </c>
      <c r="G87" s="217"/>
      <c r="H87" s="176" t="s">
        <v>154</v>
      </c>
      <c r="I87" s="177">
        <v>0.05</v>
      </c>
      <c r="J87" s="178">
        <v>9</v>
      </c>
      <c r="K87" s="179" t="s">
        <v>187</v>
      </c>
      <c r="L87" s="178">
        <v>9</v>
      </c>
      <c r="M87" s="178">
        <v>0</v>
      </c>
      <c r="N87" s="178">
        <v>0</v>
      </c>
      <c r="O87" s="180" t="s">
        <v>166</v>
      </c>
      <c r="P87" s="181">
        <v>0.15625</v>
      </c>
      <c r="Q87" s="178">
        <v>180</v>
      </c>
      <c r="R87" s="182" t="s">
        <v>188</v>
      </c>
    </row>
    <row r="88" spans="1:18" ht="49.95" customHeight="1" x14ac:dyDescent="0.3">
      <c r="A88" s="127" t="s">
        <v>28</v>
      </c>
      <c r="B88" s="127" t="s">
        <v>158</v>
      </c>
      <c r="C88" s="128">
        <v>0.50347222222222221</v>
      </c>
      <c r="D88" s="127" t="s">
        <v>30</v>
      </c>
      <c r="E88" s="129"/>
      <c r="F88" s="127" t="s">
        <v>31</v>
      </c>
      <c r="G88" s="217"/>
      <c r="H88" s="130" t="s">
        <v>158</v>
      </c>
      <c r="I88" s="131">
        <v>2.7799999999999998E-2</v>
      </c>
      <c r="J88" s="132">
        <v>5</v>
      </c>
      <c r="K88" s="133" t="s">
        <v>179</v>
      </c>
      <c r="L88" s="132">
        <v>5</v>
      </c>
      <c r="M88" s="132">
        <v>0</v>
      </c>
      <c r="N88" s="132">
        <v>0</v>
      </c>
      <c r="O88" s="134" t="s">
        <v>175</v>
      </c>
      <c r="P88" s="135">
        <v>0.50347222222222221</v>
      </c>
      <c r="Q88" s="132">
        <v>180</v>
      </c>
      <c r="R88" s="136" t="s">
        <v>175</v>
      </c>
    </row>
    <row r="89" spans="1:18" ht="49.95" customHeight="1" thickBot="1" x14ac:dyDescent="0.35">
      <c r="A89" s="163" t="s">
        <v>28</v>
      </c>
      <c r="B89" s="163" t="s">
        <v>152</v>
      </c>
      <c r="C89" s="164">
        <v>0.90625</v>
      </c>
      <c r="D89" s="163" t="s">
        <v>30</v>
      </c>
      <c r="E89" s="165"/>
      <c r="F89" s="163" t="s">
        <v>31</v>
      </c>
      <c r="G89" s="218"/>
      <c r="H89" s="59" t="s">
        <v>152</v>
      </c>
      <c r="I89" s="60">
        <v>4.4400000000000002E-2</v>
      </c>
      <c r="J89" s="61">
        <v>8</v>
      </c>
      <c r="K89" s="62" t="s">
        <v>53</v>
      </c>
      <c r="L89" s="61">
        <v>8</v>
      </c>
      <c r="M89" s="61">
        <v>0</v>
      </c>
      <c r="N89" s="61">
        <v>0</v>
      </c>
      <c r="O89" s="63" t="s">
        <v>131</v>
      </c>
      <c r="P89" s="64">
        <v>0.90625</v>
      </c>
      <c r="Q89" s="61">
        <v>180</v>
      </c>
      <c r="R89" s="65" t="s">
        <v>73</v>
      </c>
    </row>
    <row r="90" spans="1:18" ht="17.399999999999999" customHeight="1" thickBot="1" x14ac:dyDescent="0.3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5"/>
    </row>
    <row r="91" spans="1:18" ht="22.05" customHeight="1" thickTop="1" thickBot="1" x14ac:dyDescent="0.35">
      <c r="A91" s="201" t="s">
        <v>8</v>
      </c>
      <c r="B91" s="202"/>
      <c r="C91" s="202"/>
      <c r="D91" s="202"/>
      <c r="E91" s="202"/>
      <c r="F91" s="203"/>
      <c r="G91" s="18">
        <v>46061</v>
      </c>
      <c r="H91" s="209" t="s">
        <v>9</v>
      </c>
      <c r="I91" s="202"/>
      <c r="J91" s="202"/>
      <c r="K91" s="202"/>
      <c r="L91" s="202"/>
      <c r="M91" s="202"/>
      <c r="N91" s="202"/>
      <c r="O91" s="202"/>
      <c r="P91" s="202"/>
      <c r="Q91" s="202"/>
      <c r="R91" s="203"/>
    </row>
    <row r="92" spans="1:18" ht="24" customHeight="1" x14ac:dyDescent="0.3">
      <c r="A92" s="19" t="s">
        <v>10</v>
      </c>
      <c r="B92" s="19" t="s">
        <v>11</v>
      </c>
      <c r="C92" s="20" t="s">
        <v>12</v>
      </c>
      <c r="D92" s="19" t="s">
        <v>13</v>
      </c>
      <c r="E92" s="19" t="s">
        <v>14</v>
      </c>
      <c r="F92" s="21" t="s">
        <v>15</v>
      </c>
      <c r="G92" s="22" t="s">
        <v>16</v>
      </c>
      <c r="H92" s="19" t="s">
        <v>17</v>
      </c>
      <c r="I92" s="23" t="s">
        <v>18</v>
      </c>
      <c r="J92" s="24" t="s">
        <v>19</v>
      </c>
      <c r="K92" s="25" t="s">
        <v>20</v>
      </c>
      <c r="L92" s="24" t="s">
        <v>21</v>
      </c>
      <c r="M92" s="24" t="s">
        <v>22</v>
      </c>
      <c r="N92" s="24" t="s">
        <v>23</v>
      </c>
      <c r="O92" s="19" t="s">
        <v>24</v>
      </c>
      <c r="P92" s="20" t="s">
        <v>25</v>
      </c>
      <c r="Q92" s="24" t="s">
        <v>26</v>
      </c>
      <c r="R92" s="19" t="s">
        <v>27</v>
      </c>
    </row>
    <row r="93" spans="1:18" ht="49.95" customHeight="1" x14ac:dyDescent="0.3">
      <c r="A93" s="87" t="s">
        <v>28</v>
      </c>
      <c r="B93" s="87" t="s">
        <v>154</v>
      </c>
      <c r="C93" s="88">
        <v>0.1423611111111111</v>
      </c>
      <c r="D93" s="87" t="s">
        <v>30</v>
      </c>
      <c r="E93" s="89"/>
      <c r="F93" s="87" t="s">
        <v>31</v>
      </c>
      <c r="G93" s="208"/>
      <c r="H93" s="153" t="s">
        <v>154</v>
      </c>
      <c r="I93" s="154">
        <v>3.3300000000000003E-2</v>
      </c>
      <c r="J93" s="155">
        <v>6</v>
      </c>
      <c r="K93" s="156" t="s">
        <v>167</v>
      </c>
      <c r="L93" s="155">
        <v>6</v>
      </c>
      <c r="M93" s="155">
        <v>0</v>
      </c>
      <c r="N93" s="155">
        <v>0</v>
      </c>
      <c r="O93" s="157" t="s">
        <v>168</v>
      </c>
      <c r="P93" s="158">
        <v>0.1423611111111111</v>
      </c>
      <c r="Q93" s="155">
        <v>180</v>
      </c>
      <c r="R93" s="159" t="s">
        <v>155</v>
      </c>
    </row>
    <row r="94" spans="1:18" ht="49.95" customHeight="1" x14ac:dyDescent="0.3">
      <c r="A94" s="114" t="s">
        <v>28</v>
      </c>
      <c r="B94" s="114" t="s">
        <v>164</v>
      </c>
      <c r="C94" s="115">
        <v>0.15625</v>
      </c>
      <c r="D94" s="114" t="s">
        <v>30</v>
      </c>
      <c r="E94" s="116"/>
      <c r="F94" s="114" t="s">
        <v>31</v>
      </c>
      <c r="G94" s="217"/>
      <c r="H94" s="117" t="s">
        <v>164</v>
      </c>
      <c r="I94" s="118">
        <v>5.5999999999999999E-3</v>
      </c>
      <c r="J94" s="119">
        <v>1</v>
      </c>
      <c r="K94" s="120" t="s">
        <v>179</v>
      </c>
      <c r="L94" s="119">
        <v>1</v>
      </c>
      <c r="M94" s="119">
        <v>0</v>
      </c>
      <c r="N94" s="119">
        <v>0</v>
      </c>
      <c r="O94" s="121" t="s">
        <v>78</v>
      </c>
      <c r="P94" s="122">
        <v>0.15625</v>
      </c>
      <c r="Q94" s="119">
        <v>180</v>
      </c>
      <c r="R94" s="123" t="s">
        <v>147</v>
      </c>
    </row>
    <row r="95" spans="1:18" ht="49.95" customHeight="1" x14ac:dyDescent="0.3">
      <c r="A95" s="137" t="s">
        <v>28</v>
      </c>
      <c r="B95" s="137" t="s">
        <v>156</v>
      </c>
      <c r="C95" s="138">
        <v>0.33333333333333331</v>
      </c>
      <c r="D95" s="137" t="s">
        <v>30</v>
      </c>
      <c r="E95" s="139"/>
      <c r="F95" s="137" t="s">
        <v>31</v>
      </c>
      <c r="G95" s="217"/>
      <c r="H95" s="97" t="s">
        <v>156</v>
      </c>
      <c r="I95" s="98">
        <v>5.5999999999999999E-3</v>
      </c>
      <c r="J95" s="99">
        <v>1</v>
      </c>
      <c r="K95" s="100" t="s">
        <v>189</v>
      </c>
      <c r="L95" s="99">
        <v>1</v>
      </c>
      <c r="M95" s="99">
        <v>0</v>
      </c>
      <c r="N95" s="99">
        <v>0</v>
      </c>
      <c r="O95" s="101" t="s">
        <v>78</v>
      </c>
      <c r="P95" s="102">
        <v>0.33333333333333331</v>
      </c>
      <c r="Q95" s="99">
        <v>180</v>
      </c>
      <c r="R95" s="103" t="s">
        <v>147</v>
      </c>
    </row>
    <row r="96" spans="1:18" ht="49.95" customHeight="1" x14ac:dyDescent="0.3">
      <c r="A96" s="173" t="s">
        <v>28</v>
      </c>
      <c r="B96" s="173" t="s">
        <v>158</v>
      </c>
      <c r="C96" s="174">
        <v>0.4548611111111111</v>
      </c>
      <c r="D96" s="173" t="s">
        <v>30</v>
      </c>
      <c r="E96" s="175"/>
      <c r="F96" s="173" t="s">
        <v>31</v>
      </c>
      <c r="G96" s="217"/>
      <c r="H96" s="176" t="s">
        <v>158</v>
      </c>
      <c r="I96" s="177">
        <v>5.5999999999999999E-3</v>
      </c>
      <c r="J96" s="178">
        <v>1</v>
      </c>
      <c r="K96" s="179" t="s">
        <v>190</v>
      </c>
      <c r="L96" s="178">
        <v>1</v>
      </c>
      <c r="M96" s="178">
        <v>0</v>
      </c>
      <c r="N96" s="178">
        <v>0</v>
      </c>
      <c r="O96" s="180" t="s">
        <v>78</v>
      </c>
      <c r="P96" s="181">
        <v>0.4548611111111111</v>
      </c>
      <c r="Q96" s="178">
        <v>180</v>
      </c>
      <c r="R96" s="182" t="s">
        <v>147</v>
      </c>
    </row>
    <row r="97" spans="1:18" ht="49.95" customHeight="1" thickBot="1" x14ac:dyDescent="0.35">
      <c r="A97" s="124" t="s">
        <v>28</v>
      </c>
      <c r="B97" s="124" t="s">
        <v>169</v>
      </c>
      <c r="C97" s="125">
        <v>0.82986111111111116</v>
      </c>
      <c r="D97" s="124" t="s">
        <v>30</v>
      </c>
      <c r="E97" s="126"/>
      <c r="F97" s="124" t="s">
        <v>31</v>
      </c>
      <c r="G97" s="218"/>
      <c r="H97" s="79" t="s">
        <v>169</v>
      </c>
      <c r="I97" s="80">
        <v>1.11E-2</v>
      </c>
      <c r="J97" s="81">
        <v>2</v>
      </c>
      <c r="K97" s="82" t="s">
        <v>165</v>
      </c>
      <c r="L97" s="81">
        <v>2</v>
      </c>
      <c r="M97" s="81">
        <v>0</v>
      </c>
      <c r="N97" s="81">
        <v>0</v>
      </c>
      <c r="O97" s="83" t="s">
        <v>73</v>
      </c>
      <c r="P97" s="84">
        <v>0.82986111111111116</v>
      </c>
      <c r="Q97" s="81">
        <v>180</v>
      </c>
      <c r="R97" s="85" t="s">
        <v>131</v>
      </c>
    </row>
    <row r="98" spans="1:18" ht="17.399999999999999" customHeight="1" thickBot="1" x14ac:dyDescent="0.35">
      <c r="A98" s="233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5"/>
    </row>
    <row r="99" spans="1:18" ht="22.05" customHeight="1" thickTop="1" thickBot="1" x14ac:dyDescent="0.35">
      <c r="A99" s="201" t="s">
        <v>8</v>
      </c>
      <c r="B99" s="202"/>
      <c r="C99" s="202"/>
      <c r="D99" s="202"/>
      <c r="E99" s="202"/>
      <c r="F99" s="203"/>
      <c r="G99" s="18">
        <v>46062</v>
      </c>
      <c r="H99" s="209" t="s">
        <v>9</v>
      </c>
      <c r="I99" s="202"/>
      <c r="J99" s="202"/>
      <c r="K99" s="202"/>
      <c r="L99" s="202"/>
      <c r="M99" s="202"/>
      <c r="N99" s="202"/>
      <c r="O99" s="202"/>
      <c r="P99" s="202"/>
      <c r="Q99" s="202"/>
      <c r="R99" s="203"/>
    </row>
    <row r="100" spans="1:18" ht="24" customHeight="1" x14ac:dyDescent="0.3">
      <c r="A100" s="19" t="s">
        <v>10</v>
      </c>
      <c r="B100" s="19" t="s">
        <v>11</v>
      </c>
      <c r="C100" s="20" t="s">
        <v>12</v>
      </c>
      <c r="D100" s="19" t="s">
        <v>13</v>
      </c>
      <c r="E100" s="19" t="s">
        <v>14</v>
      </c>
      <c r="F100" s="21" t="s">
        <v>15</v>
      </c>
      <c r="G100" s="22" t="s">
        <v>16</v>
      </c>
      <c r="H100" s="19" t="s">
        <v>17</v>
      </c>
      <c r="I100" s="23" t="s">
        <v>18</v>
      </c>
      <c r="J100" s="24" t="s">
        <v>19</v>
      </c>
      <c r="K100" s="25" t="s">
        <v>20</v>
      </c>
      <c r="L100" s="24" t="s">
        <v>21</v>
      </c>
      <c r="M100" s="24" t="s">
        <v>22</v>
      </c>
      <c r="N100" s="24" t="s">
        <v>23</v>
      </c>
      <c r="O100" s="19" t="s">
        <v>24</v>
      </c>
      <c r="P100" s="20" t="s">
        <v>25</v>
      </c>
      <c r="Q100" s="24" t="s">
        <v>26</v>
      </c>
      <c r="R100" s="19" t="s">
        <v>27</v>
      </c>
    </row>
    <row r="101" spans="1:18" ht="49.95" customHeight="1" x14ac:dyDescent="0.3">
      <c r="A101" s="76" t="s">
        <v>28</v>
      </c>
      <c r="B101" s="76" t="s">
        <v>154</v>
      </c>
      <c r="C101" s="77">
        <v>0.24652777777777779</v>
      </c>
      <c r="D101" s="76" t="s">
        <v>30</v>
      </c>
      <c r="E101" s="78"/>
      <c r="F101" s="76" t="s">
        <v>31</v>
      </c>
      <c r="G101" s="208"/>
      <c r="H101" s="166" t="s">
        <v>154</v>
      </c>
      <c r="I101" s="167">
        <v>1.67E-2</v>
      </c>
      <c r="J101" s="168">
        <v>3</v>
      </c>
      <c r="K101" s="169" t="s">
        <v>59</v>
      </c>
      <c r="L101" s="168">
        <v>3</v>
      </c>
      <c r="M101" s="168">
        <v>0</v>
      </c>
      <c r="N101" s="168">
        <v>0</v>
      </c>
      <c r="O101" s="170" t="s">
        <v>56</v>
      </c>
      <c r="P101" s="171">
        <v>0.24652777777777779</v>
      </c>
      <c r="Q101" s="168">
        <v>180</v>
      </c>
      <c r="R101" s="172" t="s">
        <v>191</v>
      </c>
    </row>
    <row r="102" spans="1:18" ht="49.95" customHeight="1" x14ac:dyDescent="0.3">
      <c r="A102" s="114" t="s">
        <v>28</v>
      </c>
      <c r="B102" s="114" t="s">
        <v>158</v>
      </c>
      <c r="C102" s="115">
        <v>0.4375</v>
      </c>
      <c r="D102" s="114" t="s">
        <v>30</v>
      </c>
      <c r="E102" s="116"/>
      <c r="F102" s="114" t="s">
        <v>31</v>
      </c>
      <c r="G102" s="217"/>
      <c r="H102" s="117" t="s">
        <v>158</v>
      </c>
      <c r="I102" s="118">
        <v>4.4400000000000002E-2</v>
      </c>
      <c r="J102" s="119">
        <v>8</v>
      </c>
      <c r="K102" s="120" t="s">
        <v>50</v>
      </c>
      <c r="L102" s="119">
        <v>8</v>
      </c>
      <c r="M102" s="119">
        <v>0</v>
      </c>
      <c r="N102" s="119">
        <v>0</v>
      </c>
      <c r="O102" s="121" t="s">
        <v>131</v>
      </c>
      <c r="P102" s="122">
        <v>0.4375</v>
      </c>
      <c r="Q102" s="119">
        <v>180</v>
      </c>
      <c r="R102" s="123" t="s">
        <v>73</v>
      </c>
    </row>
    <row r="103" spans="1:18" ht="49.95" customHeight="1" thickBot="1" x14ac:dyDescent="0.35">
      <c r="A103" s="163" t="s">
        <v>28</v>
      </c>
      <c r="B103" s="163" t="s">
        <v>156</v>
      </c>
      <c r="C103" s="164">
        <v>0.80208333333333337</v>
      </c>
      <c r="D103" s="163" t="s">
        <v>30</v>
      </c>
      <c r="E103" s="165"/>
      <c r="F103" s="163" t="s">
        <v>35</v>
      </c>
      <c r="G103" s="218"/>
      <c r="H103" s="59" t="s">
        <v>156</v>
      </c>
      <c r="I103" s="60">
        <v>0</v>
      </c>
      <c r="J103" s="61">
        <v>0</v>
      </c>
      <c r="K103" s="62" t="s">
        <v>36</v>
      </c>
      <c r="L103" s="61">
        <v>0</v>
      </c>
      <c r="M103" s="61">
        <v>0</v>
      </c>
      <c r="N103" s="61">
        <v>0</v>
      </c>
      <c r="O103" s="63" t="s">
        <v>78</v>
      </c>
      <c r="P103" s="64">
        <v>0.80208333333333337</v>
      </c>
      <c r="Q103" s="61">
        <v>180</v>
      </c>
      <c r="R103" s="65" t="s">
        <v>36</v>
      </c>
    </row>
    <row r="104" spans="1:18" ht="17.399999999999999" customHeight="1" thickBot="1" x14ac:dyDescent="0.35">
      <c r="A104" s="233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5"/>
    </row>
    <row r="105" spans="1:18" ht="22.05" customHeight="1" thickTop="1" thickBot="1" x14ac:dyDescent="0.35">
      <c r="A105" s="201" t="s">
        <v>8</v>
      </c>
      <c r="B105" s="202"/>
      <c r="C105" s="202"/>
      <c r="D105" s="202"/>
      <c r="E105" s="202"/>
      <c r="F105" s="203"/>
      <c r="G105" s="18">
        <v>46063</v>
      </c>
      <c r="H105" s="209" t="s">
        <v>9</v>
      </c>
      <c r="I105" s="202"/>
      <c r="J105" s="202"/>
      <c r="K105" s="202"/>
      <c r="L105" s="202"/>
      <c r="M105" s="202"/>
      <c r="N105" s="202"/>
      <c r="O105" s="202"/>
      <c r="P105" s="202"/>
      <c r="Q105" s="202"/>
      <c r="R105" s="203"/>
    </row>
    <row r="106" spans="1:18" ht="24" customHeight="1" x14ac:dyDescent="0.3">
      <c r="A106" s="19" t="s">
        <v>10</v>
      </c>
      <c r="B106" s="19" t="s">
        <v>11</v>
      </c>
      <c r="C106" s="20" t="s">
        <v>12</v>
      </c>
      <c r="D106" s="19" t="s">
        <v>13</v>
      </c>
      <c r="E106" s="19" t="s">
        <v>14</v>
      </c>
      <c r="F106" s="21" t="s">
        <v>15</v>
      </c>
      <c r="G106" s="22" t="s">
        <v>16</v>
      </c>
      <c r="H106" s="19" t="s">
        <v>17</v>
      </c>
      <c r="I106" s="23" t="s">
        <v>18</v>
      </c>
      <c r="J106" s="24" t="s">
        <v>19</v>
      </c>
      <c r="K106" s="25" t="s">
        <v>20</v>
      </c>
      <c r="L106" s="24" t="s">
        <v>21</v>
      </c>
      <c r="M106" s="24" t="s">
        <v>22</v>
      </c>
      <c r="N106" s="24" t="s">
        <v>23</v>
      </c>
      <c r="O106" s="19" t="s">
        <v>24</v>
      </c>
      <c r="P106" s="20" t="s">
        <v>25</v>
      </c>
      <c r="Q106" s="24" t="s">
        <v>26</v>
      </c>
      <c r="R106" s="19" t="s">
        <v>27</v>
      </c>
    </row>
    <row r="107" spans="1:18" ht="15" customHeight="1" x14ac:dyDescent="0.3">
      <c r="A107" s="36" t="s">
        <v>28</v>
      </c>
      <c r="B107" s="36" t="s">
        <v>160</v>
      </c>
      <c r="C107" s="37">
        <v>5.2083333333333343E-2</v>
      </c>
      <c r="D107" s="36" t="s">
        <v>30</v>
      </c>
      <c r="E107" s="38"/>
      <c r="F107" s="36" t="s">
        <v>31</v>
      </c>
      <c r="G107" s="208"/>
      <c r="H107" s="143" t="s">
        <v>160</v>
      </c>
      <c r="I107" s="144">
        <v>2.2200000000000001E-2</v>
      </c>
      <c r="J107" s="145">
        <v>4</v>
      </c>
      <c r="K107" s="146" t="s">
        <v>63</v>
      </c>
      <c r="L107" s="145">
        <v>4</v>
      </c>
      <c r="M107" s="145">
        <v>0</v>
      </c>
      <c r="N107" s="145">
        <v>0</v>
      </c>
      <c r="O107" s="147" t="s">
        <v>161</v>
      </c>
      <c r="P107" s="148">
        <v>5.2083333333333343E-2</v>
      </c>
      <c r="Q107" s="145">
        <v>180</v>
      </c>
      <c r="R107" s="149" t="s">
        <v>166</v>
      </c>
    </row>
    <row r="108" spans="1:18" ht="15" customHeight="1" x14ac:dyDescent="0.3">
      <c r="A108" s="173" t="s">
        <v>28</v>
      </c>
      <c r="B108" s="173" t="s">
        <v>169</v>
      </c>
      <c r="C108" s="174">
        <v>0.38194444444444442</v>
      </c>
      <c r="D108" s="173" t="s">
        <v>30</v>
      </c>
      <c r="E108" s="175"/>
      <c r="F108" s="173" t="s">
        <v>35</v>
      </c>
      <c r="G108" s="217"/>
      <c r="H108" s="176" t="s">
        <v>169</v>
      </c>
      <c r="I108" s="177">
        <v>0</v>
      </c>
      <c r="J108" s="178">
        <v>0</v>
      </c>
      <c r="K108" s="179" t="s">
        <v>36</v>
      </c>
      <c r="L108" s="178">
        <v>0</v>
      </c>
      <c r="M108" s="178">
        <v>0</v>
      </c>
      <c r="N108" s="178">
        <v>0</v>
      </c>
      <c r="O108" s="180" t="s">
        <v>78</v>
      </c>
      <c r="P108" s="181">
        <v>0.38194444444444442</v>
      </c>
      <c r="Q108" s="178">
        <v>180</v>
      </c>
      <c r="R108" s="182" t="s">
        <v>36</v>
      </c>
    </row>
    <row r="109" spans="1:18" ht="15" customHeight="1" x14ac:dyDescent="0.3">
      <c r="A109" s="127" t="s">
        <v>28</v>
      </c>
      <c r="B109" s="127" t="s">
        <v>158</v>
      </c>
      <c r="C109" s="128">
        <v>0.4375</v>
      </c>
      <c r="D109" s="127" t="s">
        <v>30</v>
      </c>
      <c r="E109" s="129"/>
      <c r="F109" s="127" t="s">
        <v>31</v>
      </c>
      <c r="G109" s="217"/>
      <c r="H109" s="130" t="s">
        <v>158</v>
      </c>
      <c r="I109" s="131">
        <v>2.2200000000000001E-2</v>
      </c>
      <c r="J109" s="132">
        <v>4</v>
      </c>
      <c r="K109" s="133" t="s">
        <v>46</v>
      </c>
      <c r="L109" s="132">
        <v>4</v>
      </c>
      <c r="M109" s="132">
        <v>0</v>
      </c>
      <c r="N109" s="132">
        <v>0</v>
      </c>
      <c r="O109" s="134" t="s">
        <v>161</v>
      </c>
      <c r="P109" s="135">
        <v>0.4375</v>
      </c>
      <c r="Q109" s="132">
        <v>180</v>
      </c>
      <c r="R109" s="136" t="s">
        <v>166</v>
      </c>
    </row>
    <row r="110" spans="1:18" ht="15" customHeight="1" x14ac:dyDescent="0.3">
      <c r="A110" s="104" t="s">
        <v>28</v>
      </c>
      <c r="B110" s="104" t="s">
        <v>156</v>
      </c>
      <c r="C110" s="105">
        <v>0.55208333333333337</v>
      </c>
      <c r="D110" s="104" t="s">
        <v>30</v>
      </c>
      <c r="E110" s="106"/>
      <c r="F110" s="104" t="s">
        <v>35</v>
      </c>
      <c r="G110" s="217"/>
      <c r="H110" s="107" t="s">
        <v>156</v>
      </c>
      <c r="I110" s="108">
        <v>0</v>
      </c>
      <c r="J110" s="109">
        <v>0</v>
      </c>
      <c r="K110" s="110" t="s">
        <v>36</v>
      </c>
      <c r="L110" s="109">
        <v>0</v>
      </c>
      <c r="M110" s="109">
        <v>0</v>
      </c>
      <c r="N110" s="109">
        <v>0</v>
      </c>
      <c r="O110" s="111" t="s">
        <v>78</v>
      </c>
      <c r="P110" s="112">
        <v>0.55208333333333337</v>
      </c>
      <c r="Q110" s="109">
        <v>180</v>
      </c>
      <c r="R110" s="113" t="s">
        <v>36</v>
      </c>
    </row>
    <row r="111" spans="1:18" ht="15" customHeight="1" x14ac:dyDescent="0.3">
      <c r="A111" s="140" t="s">
        <v>28</v>
      </c>
      <c r="B111" s="140" t="s">
        <v>152</v>
      </c>
      <c r="C111" s="141">
        <v>0.75694444444444453</v>
      </c>
      <c r="D111" s="140" t="s">
        <v>30</v>
      </c>
      <c r="E111" s="142"/>
      <c r="F111" s="140" t="s">
        <v>31</v>
      </c>
      <c r="G111" s="217"/>
      <c r="H111" s="143" t="s">
        <v>152</v>
      </c>
      <c r="I111" s="144">
        <v>4.4400000000000002E-2</v>
      </c>
      <c r="J111" s="145">
        <v>8</v>
      </c>
      <c r="K111" s="146" t="s">
        <v>32</v>
      </c>
      <c r="L111" s="145">
        <v>8</v>
      </c>
      <c r="M111" s="145">
        <v>0</v>
      </c>
      <c r="N111" s="145">
        <v>0</v>
      </c>
      <c r="O111" s="147" t="s">
        <v>168</v>
      </c>
      <c r="P111" s="148">
        <v>0.75694444444444453</v>
      </c>
      <c r="Q111" s="145">
        <v>180</v>
      </c>
      <c r="R111" s="149" t="s">
        <v>192</v>
      </c>
    </row>
    <row r="112" spans="1:18" ht="15" customHeight="1" thickBot="1" x14ac:dyDescent="0.35">
      <c r="A112" s="160" t="s">
        <v>28</v>
      </c>
      <c r="B112" s="160" t="s">
        <v>154</v>
      </c>
      <c r="C112" s="161">
        <v>0.79166666666666663</v>
      </c>
      <c r="D112" s="160" t="s">
        <v>30</v>
      </c>
      <c r="E112" s="162"/>
      <c r="F112" s="160" t="s">
        <v>31</v>
      </c>
      <c r="G112" s="218"/>
      <c r="H112" s="69" t="s">
        <v>154</v>
      </c>
      <c r="I112" s="70">
        <v>0.05</v>
      </c>
      <c r="J112" s="71">
        <v>9</v>
      </c>
      <c r="K112" s="72" t="s">
        <v>193</v>
      </c>
      <c r="L112" s="71">
        <v>9</v>
      </c>
      <c r="M112" s="71">
        <v>0</v>
      </c>
      <c r="N112" s="71">
        <v>0</v>
      </c>
      <c r="O112" s="73" t="s">
        <v>166</v>
      </c>
      <c r="P112" s="74">
        <v>0.79166666666666663</v>
      </c>
      <c r="Q112" s="71">
        <v>180</v>
      </c>
      <c r="R112" s="75" t="s">
        <v>188</v>
      </c>
    </row>
    <row r="113" spans="1:18" ht="17.399999999999999" customHeight="1" thickBot="1" x14ac:dyDescent="0.35">
      <c r="A113" s="233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5"/>
    </row>
    <row r="114" spans="1:18" ht="22.05" customHeight="1" thickTop="1" thickBot="1" x14ac:dyDescent="0.35">
      <c r="A114" s="201" t="s">
        <v>8</v>
      </c>
      <c r="B114" s="202"/>
      <c r="C114" s="202"/>
      <c r="D114" s="202"/>
      <c r="E114" s="202"/>
      <c r="F114" s="203"/>
      <c r="G114" s="18">
        <v>46064</v>
      </c>
      <c r="H114" s="209" t="s">
        <v>9</v>
      </c>
      <c r="I114" s="202"/>
      <c r="J114" s="202"/>
      <c r="K114" s="202"/>
      <c r="L114" s="202"/>
      <c r="M114" s="202"/>
      <c r="N114" s="202"/>
      <c r="O114" s="202"/>
      <c r="P114" s="202"/>
      <c r="Q114" s="202"/>
      <c r="R114" s="203"/>
    </row>
    <row r="115" spans="1:18" ht="24" customHeight="1" x14ac:dyDescent="0.3">
      <c r="A115" s="19" t="s">
        <v>10</v>
      </c>
      <c r="B115" s="19" t="s">
        <v>11</v>
      </c>
      <c r="C115" s="20" t="s">
        <v>12</v>
      </c>
      <c r="D115" s="19" t="s">
        <v>13</v>
      </c>
      <c r="E115" s="19" t="s">
        <v>14</v>
      </c>
      <c r="F115" s="21" t="s">
        <v>15</v>
      </c>
      <c r="G115" s="22" t="s">
        <v>16</v>
      </c>
      <c r="H115" s="19" t="s">
        <v>17</v>
      </c>
      <c r="I115" s="23" t="s">
        <v>18</v>
      </c>
      <c r="J115" s="24" t="s">
        <v>19</v>
      </c>
      <c r="K115" s="25" t="s">
        <v>20</v>
      </c>
      <c r="L115" s="24" t="s">
        <v>21</v>
      </c>
      <c r="M115" s="24" t="s">
        <v>22</v>
      </c>
      <c r="N115" s="24" t="s">
        <v>23</v>
      </c>
      <c r="O115" s="19" t="s">
        <v>24</v>
      </c>
      <c r="P115" s="20" t="s">
        <v>25</v>
      </c>
      <c r="Q115" s="24" t="s">
        <v>26</v>
      </c>
      <c r="R115" s="19" t="s">
        <v>27</v>
      </c>
    </row>
    <row r="116" spans="1:18" ht="49.95" customHeight="1" x14ac:dyDescent="0.3">
      <c r="A116" s="8" t="s">
        <v>28</v>
      </c>
      <c r="B116" s="8" t="s">
        <v>152</v>
      </c>
      <c r="C116" s="9">
        <v>0.2326388888888889</v>
      </c>
      <c r="D116" s="8" t="s">
        <v>30</v>
      </c>
      <c r="E116" s="10"/>
      <c r="F116" s="8" t="s">
        <v>31</v>
      </c>
      <c r="G116" s="208"/>
      <c r="H116" s="130" t="s">
        <v>152</v>
      </c>
      <c r="I116" s="131">
        <v>1.11E-2</v>
      </c>
      <c r="J116" s="132">
        <v>2</v>
      </c>
      <c r="K116" s="133" t="s">
        <v>50</v>
      </c>
      <c r="L116" s="132">
        <v>2</v>
      </c>
      <c r="M116" s="132">
        <v>0</v>
      </c>
      <c r="N116" s="132">
        <v>0</v>
      </c>
      <c r="O116" s="134" t="s">
        <v>73</v>
      </c>
      <c r="P116" s="135">
        <v>0.2326388888888889</v>
      </c>
      <c r="Q116" s="132">
        <v>180</v>
      </c>
      <c r="R116" s="136" t="s">
        <v>131</v>
      </c>
    </row>
    <row r="117" spans="1:18" ht="49.95" customHeight="1" x14ac:dyDescent="0.3">
      <c r="A117" s="140" t="s">
        <v>28</v>
      </c>
      <c r="B117" s="140" t="s">
        <v>154</v>
      </c>
      <c r="C117" s="141">
        <v>0.30208333333333331</v>
      </c>
      <c r="D117" s="140" t="s">
        <v>30</v>
      </c>
      <c r="E117" s="142"/>
      <c r="F117" s="140" t="s">
        <v>31</v>
      </c>
      <c r="G117" s="217"/>
      <c r="H117" s="143" t="s">
        <v>154</v>
      </c>
      <c r="I117" s="144">
        <v>0.05</v>
      </c>
      <c r="J117" s="145">
        <v>9</v>
      </c>
      <c r="K117" s="146" t="s">
        <v>194</v>
      </c>
      <c r="L117" s="145">
        <v>10</v>
      </c>
      <c r="M117" s="145">
        <v>0</v>
      </c>
      <c r="N117" s="145">
        <v>0</v>
      </c>
      <c r="O117" s="147" t="s">
        <v>166</v>
      </c>
      <c r="P117" s="148">
        <v>0.30208333333333331</v>
      </c>
      <c r="Q117" s="145">
        <v>180</v>
      </c>
      <c r="R117" s="149" t="s">
        <v>188</v>
      </c>
    </row>
    <row r="118" spans="1:18" ht="49.95" customHeight="1" x14ac:dyDescent="0.3">
      <c r="A118" s="114" t="s">
        <v>28</v>
      </c>
      <c r="B118" s="114" t="s">
        <v>156</v>
      </c>
      <c r="C118" s="115">
        <v>0.34375</v>
      </c>
      <c r="D118" s="114" t="s">
        <v>30</v>
      </c>
      <c r="E118" s="116"/>
      <c r="F118" s="114" t="s">
        <v>35</v>
      </c>
      <c r="G118" s="217"/>
      <c r="H118" s="117" t="s">
        <v>156</v>
      </c>
      <c r="I118" s="118">
        <v>0</v>
      </c>
      <c r="J118" s="119">
        <v>0</v>
      </c>
      <c r="K118" s="120" t="s">
        <v>36</v>
      </c>
      <c r="L118" s="119">
        <v>0</v>
      </c>
      <c r="M118" s="119">
        <v>0</v>
      </c>
      <c r="N118" s="119">
        <v>0</v>
      </c>
      <c r="O118" s="121" t="s">
        <v>78</v>
      </c>
      <c r="P118" s="122">
        <v>0.34375</v>
      </c>
      <c r="Q118" s="119">
        <v>186</v>
      </c>
      <c r="R118" s="123" t="s">
        <v>36</v>
      </c>
    </row>
    <row r="119" spans="1:18" ht="49.95" customHeight="1" x14ac:dyDescent="0.3">
      <c r="A119" s="137" t="s">
        <v>28</v>
      </c>
      <c r="B119" s="137" t="s">
        <v>158</v>
      </c>
      <c r="C119" s="138">
        <v>0.4375</v>
      </c>
      <c r="D119" s="137" t="s">
        <v>30</v>
      </c>
      <c r="E119" s="139"/>
      <c r="F119" s="137" t="s">
        <v>31</v>
      </c>
      <c r="G119" s="217"/>
      <c r="H119" s="97" t="s">
        <v>158</v>
      </c>
      <c r="I119" s="98">
        <v>3.3300000000000003E-2</v>
      </c>
      <c r="J119" s="99">
        <v>6</v>
      </c>
      <c r="K119" s="100" t="s">
        <v>195</v>
      </c>
      <c r="L119" s="99">
        <v>6</v>
      </c>
      <c r="M119" s="99">
        <v>0</v>
      </c>
      <c r="N119" s="99">
        <v>0</v>
      </c>
      <c r="O119" s="101" t="s">
        <v>166</v>
      </c>
      <c r="P119" s="102">
        <v>0.4375</v>
      </c>
      <c r="Q119" s="99">
        <v>180</v>
      </c>
      <c r="R119" s="103" t="s">
        <v>161</v>
      </c>
    </row>
    <row r="120" spans="1:18" ht="49.95" customHeight="1" thickBot="1" x14ac:dyDescent="0.35">
      <c r="A120" s="183" t="s">
        <v>28</v>
      </c>
      <c r="B120" s="183" t="s">
        <v>160</v>
      </c>
      <c r="C120" s="184">
        <v>0.9375</v>
      </c>
      <c r="D120" s="183" t="s">
        <v>30</v>
      </c>
      <c r="E120" s="185"/>
      <c r="F120" s="183" t="s">
        <v>31</v>
      </c>
      <c r="G120" s="218"/>
      <c r="H120" s="90" t="s">
        <v>160</v>
      </c>
      <c r="I120" s="91">
        <v>1.67E-2</v>
      </c>
      <c r="J120" s="92">
        <v>3</v>
      </c>
      <c r="K120" s="93" t="s">
        <v>63</v>
      </c>
      <c r="L120" s="92">
        <v>3</v>
      </c>
      <c r="M120" s="92">
        <v>0</v>
      </c>
      <c r="N120" s="92">
        <v>0</v>
      </c>
      <c r="O120" s="94" t="s">
        <v>168</v>
      </c>
      <c r="P120" s="95">
        <v>0.9375</v>
      </c>
      <c r="Q120" s="92">
        <v>180</v>
      </c>
      <c r="R120" s="96" t="s">
        <v>144</v>
      </c>
    </row>
    <row r="121" spans="1:18" ht="17.399999999999999" customHeight="1" thickBot="1" x14ac:dyDescent="0.35">
      <c r="A121" s="233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5"/>
    </row>
    <row r="122" spans="1:18" ht="22.05" customHeight="1" thickTop="1" thickBot="1" x14ac:dyDescent="0.35">
      <c r="A122" s="201" t="s">
        <v>8</v>
      </c>
      <c r="B122" s="202"/>
      <c r="C122" s="202"/>
      <c r="D122" s="202"/>
      <c r="E122" s="202"/>
      <c r="F122" s="203"/>
      <c r="G122" s="18">
        <v>46065</v>
      </c>
      <c r="H122" s="209" t="s">
        <v>9</v>
      </c>
      <c r="I122" s="202"/>
      <c r="J122" s="202"/>
      <c r="K122" s="202"/>
      <c r="L122" s="202"/>
      <c r="M122" s="202"/>
      <c r="N122" s="202"/>
      <c r="O122" s="202"/>
      <c r="P122" s="202"/>
      <c r="Q122" s="202"/>
      <c r="R122" s="203"/>
    </row>
    <row r="123" spans="1:18" ht="24" customHeight="1" x14ac:dyDescent="0.3">
      <c r="A123" s="19" t="s">
        <v>10</v>
      </c>
      <c r="B123" s="19" t="s">
        <v>11</v>
      </c>
      <c r="C123" s="20" t="s">
        <v>12</v>
      </c>
      <c r="D123" s="19" t="s">
        <v>13</v>
      </c>
      <c r="E123" s="19" t="s">
        <v>14</v>
      </c>
      <c r="F123" s="21" t="s">
        <v>15</v>
      </c>
      <c r="G123" s="22" t="s">
        <v>16</v>
      </c>
      <c r="H123" s="19" t="s">
        <v>17</v>
      </c>
      <c r="I123" s="23" t="s">
        <v>18</v>
      </c>
      <c r="J123" s="24" t="s">
        <v>19</v>
      </c>
      <c r="K123" s="25" t="s">
        <v>20</v>
      </c>
      <c r="L123" s="24" t="s">
        <v>21</v>
      </c>
      <c r="M123" s="24" t="s">
        <v>22</v>
      </c>
      <c r="N123" s="24" t="s">
        <v>23</v>
      </c>
      <c r="O123" s="19" t="s">
        <v>24</v>
      </c>
      <c r="P123" s="20" t="s">
        <v>25</v>
      </c>
      <c r="Q123" s="24" t="s">
        <v>26</v>
      </c>
      <c r="R123" s="19" t="s">
        <v>27</v>
      </c>
    </row>
    <row r="124" spans="1:18" ht="15" customHeight="1" x14ac:dyDescent="0.3">
      <c r="A124" s="87" t="s">
        <v>28</v>
      </c>
      <c r="B124" s="87" t="s">
        <v>163</v>
      </c>
      <c r="C124" s="88">
        <v>6.5972222222222224E-2</v>
      </c>
      <c r="D124" s="87" t="s">
        <v>30</v>
      </c>
      <c r="E124" s="89"/>
      <c r="F124" s="87" t="s">
        <v>31</v>
      </c>
      <c r="G124" s="208"/>
      <c r="H124" s="153" t="s">
        <v>163</v>
      </c>
      <c r="I124" s="154">
        <v>3.3300000000000003E-2</v>
      </c>
      <c r="J124" s="155">
        <v>6</v>
      </c>
      <c r="K124" s="156" t="s">
        <v>196</v>
      </c>
      <c r="L124" s="155">
        <v>6</v>
      </c>
      <c r="M124" s="155">
        <v>0</v>
      </c>
      <c r="N124" s="155">
        <v>0</v>
      </c>
      <c r="O124" s="157" t="s">
        <v>78</v>
      </c>
      <c r="P124" s="158">
        <v>6.5972222222222224E-2</v>
      </c>
      <c r="Q124" s="155">
        <v>180</v>
      </c>
      <c r="R124" s="159" t="s">
        <v>197</v>
      </c>
    </row>
    <row r="125" spans="1:18" ht="15" customHeight="1" x14ac:dyDescent="0.3">
      <c r="A125" s="114" t="s">
        <v>28</v>
      </c>
      <c r="B125" s="114" t="s">
        <v>154</v>
      </c>
      <c r="C125" s="115">
        <v>0.15625</v>
      </c>
      <c r="D125" s="114" t="s">
        <v>30</v>
      </c>
      <c r="E125" s="116"/>
      <c r="F125" s="114" t="s">
        <v>31</v>
      </c>
      <c r="G125" s="217"/>
      <c r="H125" s="117" t="s">
        <v>154</v>
      </c>
      <c r="I125" s="118">
        <v>3.8899999999999997E-2</v>
      </c>
      <c r="J125" s="119">
        <v>7</v>
      </c>
      <c r="K125" s="120" t="s">
        <v>53</v>
      </c>
      <c r="L125" s="119">
        <v>8</v>
      </c>
      <c r="M125" s="119">
        <v>0</v>
      </c>
      <c r="N125" s="119">
        <v>0</v>
      </c>
      <c r="O125" s="121" t="s">
        <v>180</v>
      </c>
      <c r="P125" s="122">
        <v>0.15625</v>
      </c>
      <c r="Q125" s="119">
        <v>180</v>
      </c>
      <c r="R125" s="123" t="s">
        <v>198</v>
      </c>
    </row>
    <row r="126" spans="1:18" ht="15" customHeight="1" x14ac:dyDescent="0.3">
      <c r="A126" s="137" t="s">
        <v>28</v>
      </c>
      <c r="B126" s="137" t="s">
        <v>164</v>
      </c>
      <c r="C126" s="138">
        <v>0.1875</v>
      </c>
      <c r="D126" s="137" t="s">
        <v>30</v>
      </c>
      <c r="E126" s="139"/>
      <c r="F126" s="137" t="s">
        <v>35</v>
      </c>
      <c r="G126" s="217"/>
      <c r="H126" s="97" t="s">
        <v>164</v>
      </c>
      <c r="I126" s="98">
        <v>0</v>
      </c>
      <c r="J126" s="99">
        <v>0</v>
      </c>
      <c r="K126" s="100" t="s">
        <v>36</v>
      </c>
      <c r="L126" s="99">
        <v>0</v>
      </c>
      <c r="M126" s="99">
        <v>0</v>
      </c>
      <c r="N126" s="99">
        <v>0</v>
      </c>
      <c r="O126" s="101" t="s">
        <v>78</v>
      </c>
      <c r="P126" s="102">
        <v>0.1875</v>
      </c>
      <c r="Q126" s="99">
        <v>180</v>
      </c>
      <c r="R126" s="103" t="s">
        <v>36</v>
      </c>
    </row>
    <row r="127" spans="1:18" ht="15" customHeight="1" x14ac:dyDescent="0.3">
      <c r="A127" s="114" t="s">
        <v>28</v>
      </c>
      <c r="B127" s="114" t="s">
        <v>158</v>
      </c>
      <c r="C127" s="115">
        <v>0.40625</v>
      </c>
      <c r="D127" s="114" t="s">
        <v>30</v>
      </c>
      <c r="E127" s="116"/>
      <c r="F127" s="114" t="s">
        <v>31</v>
      </c>
      <c r="G127" s="217"/>
      <c r="H127" s="117" t="s">
        <v>158</v>
      </c>
      <c r="I127" s="118">
        <v>4.4400000000000002E-2</v>
      </c>
      <c r="J127" s="119">
        <v>8</v>
      </c>
      <c r="K127" s="120" t="s">
        <v>199</v>
      </c>
      <c r="L127" s="119">
        <v>8</v>
      </c>
      <c r="M127" s="119">
        <v>0</v>
      </c>
      <c r="N127" s="119">
        <v>0</v>
      </c>
      <c r="O127" s="121" t="s">
        <v>131</v>
      </c>
      <c r="P127" s="122">
        <v>0.40625</v>
      </c>
      <c r="Q127" s="119">
        <v>180</v>
      </c>
      <c r="R127" s="123" t="s">
        <v>73</v>
      </c>
    </row>
    <row r="128" spans="1:18" ht="15" customHeight="1" x14ac:dyDescent="0.3">
      <c r="A128" s="140" t="s">
        <v>28</v>
      </c>
      <c r="B128" s="140" t="s">
        <v>169</v>
      </c>
      <c r="C128" s="141">
        <v>0.5625</v>
      </c>
      <c r="D128" s="140" t="s">
        <v>30</v>
      </c>
      <c r="E128" s="142"/>
      <c r="F128" s="140" t="s">
        <v>31</v>
      </c>
      <c r="G128" s="217"/>
      <c r="H128" s="143" t="s">
        <v>169</v>
      </c>
      <c r="I128" s="144">
        <v>6.1100000000000002E-2</v>
      </c>
      <c r="J128" s="145">
        <v>11</v>
      </c>
      <c r="K128" s="146" t="s">
        <v>59</v>
      </c>
      <c r="L128" s="145">
        <v>11</v>
      </c>
      <c r="M128" s="145">
        <v>0</v>
      </c>
      <c r="N128" s="145">
        <v>0</v>
      </c>
      <c r="O128" s="147" t="s">
        <v>147</v>
      </c>
      <c r="P128" s="148">
        <v>0.5625</v>
      </c>
      <c r="Q128" s="145">
        <v>180</v>
      </c>
      <c r="R128" s="149" t="s">
        <v>200</v>
      </c>
    </row>
    <row r="129" spans="1:18" ht="15" customHeight="1" thickBot="1" x14ac:dyDescent="0.35">
      <c r="A129" s="160" t="s">
        <v>28</v>
      </c>
      <c r="B129" s="160" t="s">
        <v>152</v>
      </c>
      <c r="C129" s="161">
        <v>0.9375</v>
      </c>
      <c r="D129" s="160" t="s">
        <v>30</v>
      </c>
      <c r="E129" s="162"/>
      <c r="F129" s="160" t="s">
        <v>31</v>
      </c>
      <c r="G129" s="218"/>
      <c r="H129" s="69" t="s">
        <v>152</v>
      </c>
      <c r="I129" s="70">
        <v>0.2611</v>
      </c>
      <c r="J129" s="71">
        <v>47</v>
      </c>
      <c r="K129" s="72" t="s">
        <v>185</v>
      </c>
      <c r="L129" s="71">
        <v>8</v>
      </c>
      <c r="M129" s="71">
        <v>0</v>
      </c>
      <c r="N129" s="71">
        <v>0</v>
      </c>
      <c r="O129" s="73" t="s">
        <v>144</v>
      </c>
      <c r="P129" s="74">
        <v>0.9375</v>
      </c>
      <c r="Q129" s="71">
        <v>180</v>
      </c>
      <c r="R129" s="75" t="s">
        <v>201</v>
      </c>
    </row>
    <row r="130" spans="1:18" ht="17.399999999999999" customHeight="1" thickBot="1" x14ac:dyDescent="0.35">
      <c r="A130" s="233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5"/>
    </row>
    <row r="131" spans="1:18" ht="22.05" customHeight="1" thickTop="1" thickBot="1" x14ac:dyDescent="0.35">
      <c r="A131" s="201" t="s">
        <v>8</v>
      </c>
      <c r="B131" s="202"/>
      <c r="C131" s="202"/>
      <c r="D131" s="202"/>
      <c r="E131" s="202"/>
      <c r="F131" s="203"/>
      <c r="G131" s="18">
        <v>46066</v>
      </c>
      <c r="H131" s="209" t="s">
        <v>9</v>
      </c>
      <c r="I131" s="202"/>
      <c r="J131" s="202"/>
      <c r="K131" s="202"/>
      <c r="L131" s="202"/>
      <c r="M131" s="202"/>
      <c r="N131" s="202"/>
      <c r="O131" s="202"/>
      <c r="P131" s="202"/>
      <c r="Q131" s="202"/>
      <c r="R131" s="203"/>
    </row>
    <row r="132" spans="1:18" ht="24" customHeight="1" x14ac:dyDescent="0.3">
      <c r="A132" s="19" t="s">
        <v>10</v>
      </c>
      <c r="B132" s="19" t="s">
        <v>11</v>
      </c>
      <c r="C132" s="20" t="s">
        <v>12</v>
      </c>
      <c r="D132" s="19" t="s">
        <v>13</v>
      </c>
      <c r="E132" s="19" t="s">
        <v>14</v>
      </c>
      <c r="F132" s="21" t="s">
        <v>15</v>
      </c>
      <c r="G132" s="22" t="s">
        <v>16</v>
      </c>
      <c r="H132" s="19" t="s">
        <v>17</v>
      </c>
      <c r="I132" s="23" t="s">
        <v>18</v>
      </c>
      <c r="J132" s="24" t="s">
        <v>19</v>
      </c>
      <c r="K132" s="25" t="s">
        <v>20</v>
      </c>
      <c r="L132" s="24" t="s">
        <v>21</v>
      </c>
      <c r="M132" s="24" t="s">
        <v>22</v>
      </c>
      <c r="N132" s="24" t="s">
        <v>23</v>
      </c>
      <c r="O132" s="19" t="s">
        <v>24</v>
      </c>
      <c r="P132" s="20" t="s">
        <v>25</v>
      </c>
      <c r="Q132" s="24" t="s">
        <v>26</v>
      </c>
      <c r="R132" s="19" t="s">
        <v>27</v>
      </c>
    </row>
    <row r="133" spans="1:18" ht="49.95" customHeight="1" x14ac:dyDescent="0.3">
      <c r="A133" s="56" t="s">
        <v>28</v>
      </c>
      <c r="B133" s="56" t="s">
        <v>154</v>
      </c>
      <c r="C133" s="57">
        <v>0.1423611111111111</v>
      </c>
      <c r="D133" s="56" t="s">
        <v>30</v>
      </c>
      <c r="E133" s="58"/>
      <c r="F133" s="56" t="s">
        <v>31</v>
      </c>
      <c r="G133" s="208"/>
      <c r="H133" s="97" t="s">
        <v>154</v>
      </c>
      <c r="I133" s="98">
        <v>7.22E-2</v>
      </c>
      <c r="J133" s="99">
        <v>13</v>
      </c>
      <c r="K133" s="100" t="s">
        <v>167</v>
      </c>
      <c r="L133" s="99">
        <v>13</v>
      </c>
      <c r="M133" s="99">
        <v>0</v>
      </c>
      <c r="N133" s="99">
        <v>0</v>
      </c>
      <c r="O133" s="101" t="s">
        <v>37</v>
      </c>
      <c r="P133" s="102">
        <v>0.1423611111111111</v>
      </c>
      <c r="Q133" s="99">
        <v>180</v>
      </c>
      <c r="R133" s="103" t="s">
        <v>202</v>
      </c>
    </row>
    <row r="134" spans="1:18" ht="49.95" customHeight="1" x14ac:dyDescent="0.3">
      <c r="A134" s="104" t="s">
        <v>28</v>
      </c>
      <c r="B134" s="104" t="s">
        <v>158</v>
      </c>
      <c r="C134" s="105">
        <v>0.28125</v>
      </c>
      <c r="D134" s="104" t="s">
        <v>30</v>
      </c>
      <c r="E134" s="106"/>
      <c r="F134" s="104" t="s">
        <v>31</v>
      </c>
      <c r="G134" s="217"/>
      <c r="H134" s="107" t="s">
        <v>158</v>
      </c>
      <c r="I134" s="108">
        <v>5.5999999999999999E-3</v>
      </c>
      <c r="J134" s="109">
        <v>1</v>
      </c>
      <c r="K134" s="110" t="s">
        <v>203</v>
      </c>
      <c r="L134" s="109">
        <v>1</v>
      </c>
      <c r="M134" s="109">
        <v>0</v>
      </c>
      <c r="N134" s="109">
        <v>0</v>
      </c>
      <c r="O134" s="111" t="s">
        <v>78</v>
      </c>
      <c r="P134" s="112">
        <v>0.28125</v>
      </c>
      <c r="Q134" s="109">
        <v>180</v>
      </c>
      <c r="R134" s="113" t="s">
        <v>147</v>
      </c>
    </row>
    <row r="135" spans="1:18" ht="49.95" customHeight="1" x14ac:dyDescent="0.3">
      <c r="A135" s="173" t="s">
        <v>28</v>
      </c>
      <c r="B135" s="173" t="s">
        <v>169</v>
      </c>
      <c r="C135" s="174">
        <v>0.4375</v>
      </c>
      <c r="D135" s="173" t="s">
        <v>30</v>
      </c>
      <c r="E135" s="175"/>
      <c r="F135" s="173" t="s">
        <v>31</v>
      </c>
      <c r="G135" s="217"/>
      <c r="H135" s="176" t="s">
        <v>169</v>
      </c>
      <c r="I135" s="177">
        <v>2.2200000000000001E-2</v>
      </c>
      <c r="J135" s="178">
        <v>4</v>
      </c>
      <c r="K135" s="179" t="s">
        <v>153</v>
      </c>
      <c r="L135" s="178">
        <v>4</v>
      </c>
      <c r="M135" s="178">
        <v>0</v>
      </c>
      <c r="N135" s="178">
        <v>0</v>
      </c>
      <c r="O135" s="180" t="s">
        <v>161</v>
      </c>
      <c r="P135" s="181">
        <v>0.4375</v>
      </c>
      <c r="Q135" s="178">
        <v>180</v>
      </c>
      <c r="R135" s="182" t="s">
        <v>166</v>
      </c>
    </row>
    <row r="136" spans="1:18" ht="49.95" customHeight="1" x14ac:dyDescent="0.3">
      <c r="A136" s="137" t="s">
        <v>28</v>
      </c>
      <c r="B136" s="137" t="s">
        <v>160</v>
      </c>
      <c r="C136" s="138">
        <v>0.55902777777777779</v>
      </c>
      <c r="D136" s="137" t="s">
        <v>30</v>
      </c>
      <c r="E136" s="139"/>
      <c r="F136" s="137" t="s">
        <v>31</v>
      </c>
      <c r="G136" s="217"/>
      <c r="H136" s="97" t="s">
        <v>160</v>
      </c>
      <c r="I136" s="98">
        <v>1.11E-2</v>
      </c>
      <c r="J136" s="99">
        <v>2</v>
      </c>
      <c r="K136" s="100" t="s">
        <v>167</v>
      </c>
      <c r="L136" s="99">
        <v>2</v>
      </c>
      <c r="M136" s="99">
        <v>0</v>
      </c>
      <c r="N136" s="99">
        <v>0</v>
      </c>
      <c r="O136" s="101" t="s">
        <v>73</v>
      </c>
      <c r="P136" s="102">
        <v>0.55902777777777779</v>
      </c>
      <c r="Q136" s="99">
        <v>180</v>
      </c>
      <c r="R136" s="103" t="s">
        <v>131</v>
      </c>
    </row>
    <row r="137" spans="1:18" ht="49.95" customHeight="1" thickBot="1" x14ac:dyDescent="0.35">
      <c r="A137" s="192" t="s">
        <v>28</v>
      </c>
      <c r="B137" s="192" t="s">
        <v>156</v>
      </c>
      <c r="C137" s="193">
        <v>0.76041666666666663</v>
      </c>
      <c r="D137" s="192" t="s">
        <v>30</v>
      </c>
      <c r="E137" s="194"/>
      <c r="F137" s="192" t="s">
        <v>31</v>
      </c>
      <c r="G137" s="218"/>
      <c r="H137" s="49" t="s">
        <v>156</v>
      </c>
      <c r="I137" s="50">
        <v>2.2200000000000001E-2</v>
      </c>
      <c r="J137" s="51">
        <v>4</v>
      </c>
      <c r="K137" s="52" t="s">
        <v>32</v>
      </c>
      <c r="L137" s="51">
        <v>4</v>
      </c>
      <c r="M137" s="51">
        <v>0</v>
      </c>
      <c r="N137" s="51">
        <v>0</v>
      </c>
      <c r="O137" s="53" t="s">
        <v>161</v>
      </c>
      <c r="P137" s="54">
        <v>0.76041666666666663</v>
      </c>
      <c r="Q137" s="51">
        <v>180</v>
      </c>
      <c r="R137" s="55" t="s">
        <v>166</v>
      </c>
    </row>
    <row r="138" spans="1:18" ht="17.399999999999999" customHeight="1" thickBot="1" x14ac:dyDescent="0.35">
      <c r="A138" s="233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5"/>
    </row>
    <row r="139" spans="1:18" ht="22.05" customHeight="1" thickTop="1" thickBot="1" x14ac:dyDescent="0.35">
      <c r="A139" s="201" t="s">
        <v>8</v>
      </c>
      <c r="B139" s="202"/>
      <c r="C139" s="202"/>
      <c r="D139" s="202"/>
      <c r="E139" s="202"/>
      <c r="F139" s="203"/>
      <c r="G139" s="18">
        <v>46067</v>
      </c>
      <c r="H139" s="209" t="s">
        <v>9</v>
      </c>
      <c r="I139" s="202"/>
      <c r="J139" s="202"/>
      <c r="K139" s="202"/>
      <c r="L139" s="202"/>
      <c r="M139" s="202"/>
      <c r="N139" s="202"/>
      <c r="O139" s="202"/>
      <c r="P139" s="202"/>
      <c r="Q139" s="202"/>
      <c r="R139" s="203"/>
    </row>
    <row r="140" spans="1:18" ht="24" customHeight="1" x14ac:dyDescent="0.3">
      <c r="A140" s="19" t="s">
        <v>10</v>
      </c>
      <c r="B140" s="19" t="s">
        <v>11</v>
      </c>
      <c r="C140" s="20" t="s">
        <v>12</v>
      </c>
      <c r="D140" s="19" t="s">
        <v>13</v>
      </c>
      <c r="E140" s="19" t="s">
        <v>14</v>
      </c>
      <c r="F140" s="21" t="s">
        <v>15</v>
      </c>
      <c r="G140" s="22" t="s">
        <v>16</v>
      </c>
      <c r="H140" s="19" t="s">
        <v>17</v>
      </c>
      <c r="I140" s="23" t="s">
        <v>18</v>
      </c>
      <c r="J140" s="24" t="s">
        <v>19</v>
      </c>
      <c r="K140" s="25" t="s">
        <v>20</v>
      </c>
      <c r="L140" s="24" t="s">
        <v>21</v>
      </c>
      <c r="M140" s="24" t="s">
        <v>22</v>
      </c>
      <c r="N140" s="24" t="s">
        <v>23</v>
      </c>
      <c r="O140" s="19" t="s">
        <v>24</v>
      </c>
      <c r="P140" s="20" t="s">
        <v>25</v>
      </c>
      <c r="Q140" s="24" t="s">
        <v>26</v>
      </c>
      <c r="R140" s="19" t="s">
        <v>27</v>
      </c>
    </row>
    <row r="141" spans="1:18" ht="49.95" customHeight="1" x14ac:dyDescent="0.3">
      <c r="A141" s="56" t="s">
        <v>28</v>
      </c>
      <c r="B141" s="56" t="s">
        <v>163</v>
      </c>
      <c r="C141" s="57">
        <v>4.8611111111111112E-2</v>
      </c>
      <c r="D141" s="56" t="s">
        <v>30</v>
      </c>
      <c r="E141" s="58"/>
      <c r="F141" s="56" t="s">
        <v>31</v>
      </c>
      <c r="G141" s="208"/>
      <c r="H141" s="97" t="s">
        <v>163</v>
      </c>
      <c r="I141" s="98">
        <v>1.0800000000000001E-2</v>
      </c>
      <c r="J141" s="99">
        <v>2</v>
      </c>
      <c r="K141" s="100" t="s">
        <v>182</v>
      </c>
      <c r="L141" s="99">
        <v>2</v>
      </c>
      <c r="M141" s="99">
        <v>0</v>
      </c>
      <c r="N141" s="99">
        <v>0</v>
      </c>
      <c r="O141" s="101" t="s">
        <v>73</v>
      </c>
      <c r="P141" s="102">
        <v>4.8611111111111112E-2</v>
      </c>
      <c r="Q141" s="99">
        <v>186</v>
      </c>
      <c r="R141" s="103" t="s">
        <v>131</v>
      </c>
    </row>
    <row r="142" spans="1:18" ht="49.95" customHeight="1" x14ac:dyDescent="0.3">
      <c r="A142" s="173" t="s">
        <v>28</v>
      </c>
      <c r="B142" s="173" t="s">
        <v>154</v>
      </c>
      <c r="C142" s="174">
        <v>0.15625</v>
      </c>
      <c r="D142" s="173" t="s">
        <v>30</v>
      </c>
      <c r="E142" s="175"/>
      <c r="F142" s="173" t="s">
        <v>31</v>
      </c>
      <c r="G142" s="217"/>
      <c r="H142" s="176" t="s">
        <v>154</v>
      </c>
      <c r="I142" s="177">
        <v>6.6699999999999995E-2</v>
      </c>
      <c r="J142" s="178">
        <v>12</v>
      </c>
      <c r="K142" s="179" t="s">
        <v>179</v>
      </c>
      <c r="L142" s="178">
        <v>12</v>
      </c>
      <c r="M142" s="178">
        <v>0</v>
      </c>
      <c r="N142" s="178">
        <v>0</v>
      </c>
      <c r="O142" s="180" t="s">
        <v>147</v>
      </c>
      <c r="P142" s="181">
        <v>0.15625</v>
      </c>
      <c r="Q142" s="178">
        <v>180</v>
      </c>
      <c r="R142" s="182" t="s">
        <v>204</v>
      </c>
    </row>
    <row r="143" spans="1:18" ht="49.95" customHeight="1" x14ac:dyDescent="0.3">
      <c r="A143" s="127" t="s">
        <v>28</v>
      </c>
      <c r="B143" s="127" t="s">
        <v>158</v>
      </c>
      <c r="C143" s="128">
        <v>0.50347222222222221</v>
      </c>
      <c r="D143" s="127" t="s">
        <v>30</v>
      </c>
      <c r="E143" s="129"/>
      <c r="F143" s="127" t="s">
        <v>31</v>
      </c>
      <c r="G143" s="217"/>
      <c r="H143" s="130" t="s">
        <v>158</v>
      </c>
      <c r="I143" s="131">
        <v>6.6699999999999995E-2</v>
      </c>
      <c r="J143" s="132">
        <v>12</v>
      </c>
      <c r="K143" s="133" t="s">
        <v>50</v>
      </c>
      <c r="L143" s="132">
        <v>12</v>
      </c>
      <c r="M143" s="132">
        <v>0</v>
      </c>
      <c r="N143" s="132">
        <v>0</v>
      </c>
      <c r="O143" s="134" t="s">
        <v>147</v>
      </c>
      <c r="P143" s="135">
        <v>0.50347222222222221</v>
      </c>
      <c r="Q143" s="132">
        <v>180</v>
      </c>
      <c r="R143" s="136" t="s">
        <v>205</v>
      </c>
    </row>
    <row r="144" spans="1:18" ht="49.95" customHeight="1" thickBot="1" x14ac:dyDescent="0.35">
      <c r="A144" s="183" t="s">
        <v>28</v>
      </c>
      <c r="B144" s="183" t="s">
        <v>152</v>
      </c>
      <c r="C144" s="184">
        <v>0.90625</v>
      </c>
      <c r="D144" s="183" t="s">
        <v>30</v>
      </c>
      <c r="E144" s="185"/>
      <c r="F144" s="183" t="s">
        <v>31</v>
      </c>
      <c r="G144" s="218"/>
      <c r="H144" s="90" t="s">
        <v>152</v>
      </c>
      <c r="I144" s="91">
        <v>1.11E-2</v>
      </c>
      <c r="J144" s="92">
        <v>2</v>
      </c>
      <c r="K144" s="93" t="s">
        <v>77</v>
      </c>
      <c r="L144" s="92">
        <v>2</v>
      </c>
      <c r="M144" s="92">
        <v>0</v>
      </c>
      <c r="N144" s="92">
        <v>0</v>
      </c>
      <c r="O144" s="94" t="s">
        <v>73</v>
      </c>
      <c r="P144" s="95">
        <v>0.90625</v>
      </c>
      <c r="Q144" s="92">
        <v>180</v>
      </c>
      <c r="R144" s="96" t="s">
        <v>131</v>
      </c>
    </row>
    <row r="145" spans="1:18" ht="17.399999999999999" customHeight="1" thickBot="1" x14ac:dyDescent="0.35">
      <c r="A145" s="233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5"/>
    </row>
    <row r="146" spans="1:18" ht="22.05" customHeight="1" thickTop="1" thickBot="1" x14ac:dyDescent="0.35">
      <c r="A146" s="201" t="s">
        <v>8</v>
      </c>
      <c r="B146" s="202"/>
      <c r="C146" s="202"/>
      <c r="D146" s="202"/>
      <c r="E146" s="202"/>
      <c r="F146" s="203"/>
      <c r="G146" s="18">
        <v>46068</v>
      </c>
      <c r="H146" s="209" t="s">
        <v>9</v>
      </c>
      <c r="I146" s="202"/>
      <c r="J146" s="202"/>
      <c r="K146" s="202"/>
      <c r="L146" s="202"/>
      <c r="M146" s="202"/>
      <c r="N146" s="202"/>
      <c r="O146" s="202"/>
      <c r="P146" s="202"/>
      <c r="Q146" s="202"/>
      <c r="R146" s="203"/>
    </row>
    <row r="147" spans="1:18" ht="24" customHeight="1" x14ac:dyDescent="0.3">
      <c r="A147" s="19" t="s">
        <v>10</v>
      </c>
      <c r="B147" s="19" t="s">
        <v>11</v>
      </c>
      <c r="C147" s="20" t="s">
        <v>12</v>
      </c>
      <c r="D147" s="19" t="s">
        <v>13</v>
      </c>
      <c r="E147" s="19" t="s">
        <v>14</v>
      </c>
      <c r="F147" s="21" t="s">
        <v>15</v>
      </c>
      <c r="G147" s="22" t="s">
        <v>16</v>
      </c>
      <c r="H147" s="19" t="s">
        <v>17</v>
      </c>
      <c r="I147" s="23" t="s">
        <v>18</v>
      </c>
      <c r="J147" s="24" t="s">
        <v>19</v>
      </c>
      <c r="K147" s="25" t="s">
        <v>20</v>
      </c>
      <c r="L147" s="24" t="s">
        <v>21</v>
      </c>
      <c r="M147" s="24" t="s">
        <v>22</v>
      </c>
      <c r="N147" s="24" t="s">
        <v>23</v>
      </c>
      <c r="O147" s="19" t="s">
        <v>24</v>
      </c>
      <c r="P147" s="20" t="s">
        <v>25</v>
      </c>
      <c r="Q147" s="24" t="s">
        <v>26</v>
      </c>
      <c r="R147" s="19" t="s">
        <v>27</v>
      </c>
    </row>
    <row r="148" spans="1:18" ht="49.95" customHeight="1" x14ac:dyDescent="0.3">
      <c r="A148" s="66" t="s">
        <v>28</v>
      </c>
      <c r="B148" s="66" t="s">
        <v>154</v>
      </c>
      <c r="C148" s="67">
        <v>0.1423611111111111</v>
      </c>
      <c r="D148" s="66" t="s">
        <v>30</v>
      </c>
      <c r="E148" s="68"/>
      <c r="F148" s="66" t="s">
        <v>31</v>
      </c>
      <c r="G148" s="208"/>
      <c r="H148" s="117" t="s">
        <v>154</v>
      </c>
      <c r="I148" s="118">
        <v>6.1100000000000002E-2</v>
      </c>
      <c r="J148" s="119">
        <v>11</v>
      </c>
      <c r="K148" s="120" t="s">
        <v>63</v>
      </c>
      <c r="L148" s="119">
        <v>11</v>
      </c>
      <c r="M148" s="119">
        <v>0</v>
      </c>
      <c r="N148" s="119">
        <v>0</v>
      </c>
      <c r="O148" s="121" t="s">
        <v>144</v>
      </c>
      <c r="P148" s="122">
        <v>0.1423611111111111</v>
      </c>
      <c r="Q148" s="119">
        <v>180</v>
      </c>
      <c r="R148" s="123" t="s">
        <v>206</v>
      </c>
    </row>
    <row r="149" spans="1:18" ht="49.95" customHeight="1" x14ac:dyDescent="0.3">
      <c r="A149" s="104" t="s">
        <v>28</v>
      </c>
      <c r="B149" s="104" t="s">
        <v>164</v>
      </c>
      <c r="C149" s="105">
        <v>0.15625</v>
      </c>
      <c r="D149" s="104" t="s">
        <v>30</v>
      </c>
      <c r="E149" s="106"/>
      <c r="F149" s="104" t="s">
        <v>31</v>
      </c>
      <c r="G149" s="217"/>
      <c r="H149" s="107" t="s">
        <v>164</v>
      </c>
      <c r="I149" s="108">
        <v>4.4400000000000002E-2</v>
      </c>
      <c r="J149" s="109">
        <v>8</v>
      </c>
      <c r="K149" s="110" t="s">
        <v>65</v>
      </c>
      <c r="L149" s="109">
        <v>8</v>
      </c>
      <c r="M149" s="109">
        <v>0</v>
      </c>
      <c r="N149" s="109">
        <v>0</v>
      </c>
      <c r="O149" s="111" t="s">
        <v>175</v>
      </c>
      <c r="P149" s="112">
        <v>0.15625</v>
      </c>
      <c r="Q149" s="109">
        <v>180</v>
      </c>
      <c r="R149" s="113" t="s">
        <v>73</v>
      </c>
    </row>
    <row r="150" spans="1:18" ht="49.95" customHeight="1" x14ac:dyDescent="0.3">
      <c r="A150" s="173" t="s">
        <v>28</v>
      </c>
      <c r="B150" s="173" t="s">
        <v>156</v>
      </c>
      <c r="C150" s="174">
        <v>0.33333333333333331</v>
      </c>
      <c r="D150" s="173" t="s">
        <v>30</v>
      </c>
      <c r="E150" s="175"/>
      <c r="F150" s="173" t="s">
        <v>31</v>
      </c>
      <c r="G150" s="217"/>
      <c r="H150" s="176" t="s">
        <v>156</v>
      </c>
      <c r="I150" s="177">
        <v>6.6699999999999995E-2</v>
      </c>
      <c r="J150" s="178">
        <v>12</v>
      </c>
      <c r="K150" s="179" t="s">
        <v>63</v>
      </c>
      <c r="L150" s="178">
        <v>13</v>
      </c>
      <c r="M150" s="178">
        <v>0</v>
      </c>
      <c r="N150" s="178">
        <v>0</v>
      </c>
      <c r="O150" s="180" t="s">
        <v>37</v>
      </c>
      <c r="P150" s="181">
        <v>0.33333333333333331</v>
      </c>
      <c r="Q150" s="178">
        <v>180</v>
      </c>
      <c r="R150" s="182" t="s">
        <v>207</v>
      </c>
    </row>
    <row r="151" spans="1:18" ht="49.95" customHeight="1" x14ac:dyDescent="0.3">
      <c r="A151" s="127" t="s">
        <v>28</v>
      </c>
      <c r="B151" s="127" t="s">
        <v>158</v>
      </c>
      <c r="C151" s="128">
        <v>0.4548611111111111</v>
      </c>
      <c r="D151" s="127" t="s">
        <v>30</v>
      </c>
      <c r="E151" s="129"/>
      <c r="F151" s="127" t="s">
        <v>31</v>
      </c>
      <c r="G151" s="217"/>
      <c r="H151" s="130" t="s">
        <v>158</v>
      </c>
      <c r="I151" s="131">
        <v>7.22E-2</v>
      </c>
      <c r="J151" s="132">
        <v>13</v>
      </c>
      <c r="K151" s="133" t="s">
        <v>179</v>
      </c>
      <c r="L151" s="132">
        <v>13</v>
      </c>
      <c r="M151" s="132">
        <v>0</v>
      </c>
      <c r="N151" s="132">
        <v>0</v>
      </c>
      <c r="O151" s="134" t="s">
        <v>37</v>
      </c>
      <c r="P151" s="135">
        <v>0.4548611111111111</v>
      </c>
      <c r="Q151" s="132">
        <v>180</v>
      </c>
      <c r="R151" s="136" t="s">
        <v>208</v>
      </c>
    </row>
    <row r="152" spans="1:18" ht="49.95" customHeight="1" thickBot="1" x14ac:dyDescent="0.35">
      <c r="A152" s="189" t="s">
        <v>28</v>
      </c>
      <c r="B152" s="189" t="s">
        <v>169</v>
      </c>
      <c r="C152" s="190">
        <v>0.82986111111111116</v>
      </c>
      <c r="D152" s="189" t="s">
        <v>30</v>
      </c>
      <c r="E152" s="191"/>
      <c r="F152" s="189" t="s">
        <v>31</v>
      </c>
      <c r="G152" s="218"/>
      <c r="H152" s="29" t="s">
        <v>169</v>
      </c>
      <c r="I152" s="30">
        <v>3.8899999999999997E-2</v>
      </c>
      <c r="J152" s="31">
        <v>7</v>
      </c>
      <c r="K152" s="32" t="s">
        <v>53</v>
      </c>
      <c r="L152" s="31">
        <v>4</v>
      </c>
      <c r="M152" s="31">
        <v>0</v>
      </c>
      <c r="N152" s="31">
        <v>0</v>
      </c>
      <c r="O152" s="33" t="s">
        <v>144</v>
      </c>
      <c r="P152" s="34">
        <v>0.82986111111111116</v>
      </c>
      <c r="Q152" s="31">
        <v>180</v>
      </c>
      <c r="R152" s="35" t="s">
        <v>168</v>
      </c>
    </row>
    <row r="153" spans="1:18" ht="17.399999999999999" customHeight="1" thickBot="1" x14ac:dyDescent="0.35">
      <c r="A153" s="233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5"/>
    </row>
    <row r="154" spans="1:18" ht="22.05" customHeight="1" thickTop="1" thickBot="1" x14ac:dyDescent="0.35">
      <c r="A154" s="201" t="s">
        <v>8</v>
      </c>
      <c r="B154" s="202"/>
      <c r="C154" s="202"/>
      <c r="D154" s="202"/>
      <c r="E154" s="202"/>
      <c r="F154" s="203"/>
      <c r="G154" s="18">
        <v>46069</v>
      </c>
      <c r="H154" s="209" t="s">
        <v>9</v>
      </c>
      <c r="I154" s="202"/>
      <c r="J154" s="202"/>
      <c r="K154" s="202"/>
      <c r="L154" s="202"/>
      <c r="M154" s="202"/>
      <c r="N154" s="202"/>
      <c r="O154" s="202"/>
      <c r="P154" s="202"/>
      <c r="Q154" s="202"/>
      <c r="R154" s="203"/>
    </row>
    <row r="155" spans="1:18" ht="24" customHeight="1" x14ac:dyDescent="0.3">
      <c r="A155" s="19" t="s">
        <v>10</v>
      </c>
      <c r="B155" s="19" t="s">
        <v>11</v>
      </c>
      <c r="C155" s="20" t="s">
        <v>12</v>
      </c>
      <c r="D155" s="19" t="s">
        <v>13</v>
      </c>
      <c r="E155" s="19" t="s">
        <v>14</v>
      </c>
      <c r="F155" s="21" t="s">
        <v>15</v>
      </c>
      <c r="G155" s="22" t="s">
        <v>16</v>
      </c>
      <c r="H155" s="19" t="s">
        <v>17</v>
      </c>
      <c r="I155" s="23" t="s">
        <v>18</v>
      </c>
      <c r="J155" s="24" t="s">
        <v>19</v>
      </c>
      <c r="K155" s="25" t="s">
        <v>20</v>
      </c>
      <c r="L155" s="24" t="s">
        <v>21</v>
      </c>
      <c r="M155" s="24" t="s">
        <v>22</v>
      </c>
      <c r="N155" s="24" t="s">
        <v>23</v>
      </c>
      <c r="O155" s="19" t="s">
        <v>24</v>
      </c>
      <c r="P155" s="20" t="s">
        <v>25</v>
      </c>
      <c r="Q155" s="24" t="s">
        <v>26</v>
      </c>
      <c r="R155" s="19" t="s">
        <v>27</v>
      </c>
    </row>
    <row r="156" spans="1:18" ht="49.95" customHeight="1" x14ac:dyDescent="0.3">
      <c r="A156" s="26" t="s">
        <v>28</v>
      </c>
      <c r="B156" s="26" t="s">
        <v>154</v>
      </c>
      <c r="C156" s="27">
        <v>0.24652777777777779</v>
      </c>
      <c r="D156" s="26" t="s">
        <v>30</v>
      </c>
      <c r="E156" s="28"/>
      <c r="F156" s="26" t="s">
        <v>31</v>
      </c>
      <c r="G156" s="208"/>
      <c r="H156" s="176" t="s">
        <v>154</v>
      </c>
      <c r="I156" s="177">
        <v>0.1333</v>
      </c>
      <c r="J156" s="178">
        <v>24</v>
      </c>
      <c r="K156" s="179" t="s">
        <v>53</v>
      </c>
      <c r="L156" s="178">
        <v>24</v>
      </c>
      <c r="M156" s="178">
        <v>0</v>
      </c>
      <c r="N156" s="178">
        <v>0</v>
      </c>
      <c r="O156" s="180" t="s">
        <v>209</v>
      </c>
      <c r="P156" s="181">
        <v>0.24652777777777779</v>
      </c>
      <c r="Q156" s="178">
        <v>180</v>
      </c>
      <c r="R156" s="182" t="s">
        <v>210</v>
      </c>
    </row>
    <row r="157" spans="1:18" ht="49.95" customHeight="1" x14ac:dyDescent="0.3">
      <c r="A157" s="137" t="s">
        <v>28</v>
      </c>
      <c r="B157" s="137" t="s">
        <v>158</v>
      </c>
      <c r="C157" s="138">
        <v>0.4375</v>
      </c>
      <c r="D157" s="137" t="s">
        <v>30</v>
      </c>
      <c r="E157" s="139"/>
      <c r="F157" s="137" t="s">
        <v>31</v>
      </c>
      <c r="G157" s="217"/>
      <c r="H157" s="97" t="s">
        <v>158</v>
      </c>
      <c r="I157" s="98">
        <v>2.7799999999999998E-2</v>
      </c>
      <c r="J157" s="99">
        <v>5</v>
      </c>
      <c r="K157" s="100" t="s">
        <v>32</v>
      </c>
      <c r="L157" s="99">
        <v>6</v>
      </c>
      <c r="M157" s="99">
        <v>0</v>
      </c>
      <c r="N157" s="99">
        <v>0</v>
      </c>
      <c r="O157" s="101" t="s">
        <v>175</v>
      </c>
      <c r="P157" s="102">
        <v>0.4375</v>
      </c>
      <c r="Q157" s="99">
        <v>180</v>
      </c>
      <c r="R157" s="103" t="s">
        <v>175</v>
      </c>
    </row>
    <row r="158" spans="1:18" ht="49.95" customHeight="1" thickBot="1" x14ac:dyDescent="0.35">
      <c r="A158" s="195" t="s">
        <v>28</v>
      </c>
      <c r="B158" s="195" t="s">
        <v>156</v>
      </c>
      <c r="C158" s="196">
        <v>0.80208333333333337</v>
      </c>
      <c r="D158" s="195" t="s">
        <v>30</v>
      </c>
      <c r="E158" s="197"/>
      <c r="F158" s="195" t="s">
        <v>31</v>
      </c>
      <c r="G158" s="218"/>
      <c r="H158" s="11" t="s">
        <v>156</v>
      </c>
      <c r="I158" s="12">
        <v>2.2200000000000001E-2</v>
      </c>
      <c r="J158" s="13">
        <v>4</v>
      </c>
      <c r="K158" s="14" t="s">
        <v>63</v>
      </c>
      <c r="L158" s="13">
        <v>4</v>
      </c>
      <c r="M158" s="13">
        <v>0</v>
      </c>
      <c r="N158" s="13">
        <v>0</v>
      </c>
      <c r="O158" s="15" t="s">
        <v>161</v>
      </c>
      <c r="P158" s="16">
        <v>0.80208333333333337</v>
      </c>
      <c r="Q158" s="13">
        <v>180</v>
      </c>
      <c r="R158" s="17" t="s">
        <v>166</v>
      </c>
    </row>
    <row r="159" spans="1:18" ht="17.399999999999999" customHeight="1" thickBot="1" x14ac:dyDescent="0.35">
      <c r="A159" s="233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5"/>
    </row>
    <row r="160" spans="1:18" ht="22.05" customHeight="1" thickTop="1" thickBot="1" x14ac:dyDescent="0.35">
      <c r="A160" s="201" t="s">
        <v>8</v>
      </c>
      <c r="B160" s="202"/>
      <c r="C160" s="202"/>
      <c r="D160" s="202"/>
      <c r="E160" s="202"/>
      <c r="F160" s="203"/>
      <c r="G160" s="18">
        <v>46070</v>
      </c>
      <c r="H160" s="209" t="s">
        <v>9</v>
      </c>
      <c r="I160" s="202"/>
      <c r="J160" s="202"/>
      <c r="K160" s="202"/>
      <c r="L160" s="202"/>
      <c r="M160" s="202"/>
      <c r="N160" s="202"/>
      <c r="O160" s="202"/>
      <c r="P160" s="202"/>
      <c r="Q160" s="202"/>
      <c r="R160" s="203"/>
    </row>
    <row r="161" spans="1:18" ht="24" customHeight="1" x14ac:dyDescent="0.3">
      <c r="A161" s="19" t="s">
        <v>10</v>
      </c>
      <c r="B161" s="19" t="s">
        <v>11</v>
      </c>
      <c r="C161" s="20" t="s">
        <v>12</v>
      </c>
      <c r="D161" s="19" t="s">
        <v>13</v>
      </c>
      <c r="E161" s="19" t="s">
        <v>14</v>
      </c>
      <c r="F161" s="21" t="s">
        <v>15</v>
      </c>
      <c r="G161" s="22" t="s">
        <v>16</v>
      </c>
      <c r="H161" s="19" t="s">
        <v>17</v>
      </c>
      <c r="I161" s="23" t="s">
        <v>18</v>
      </c>
      <c r="J161" s="24" t="s">
        <v>19</v>
      </c>
      <c r="K161" s="25" t="s">
        <v>20</v>
      </c>
      <c r="L161" s="24" t="s">
        <v>21</v>
      </c>
      <c r="M161" s="24" t="s">
        <v>22</v>
      </c>
      <c r="N161" s="24" t="s">
        <v>23</v>
      </c>
      <c r="O161" s="19" t="s">
        <v>24</v>
      </c>
      <c r="P161" s="20" t="s">
        <v>25</v>
      </c>
      <c r="Q161" s="24" t="s">
        <v>26</v>
      </c>
      <c r="R161" s="19" t="s">
        <v>27</v>
      </c>
    </row>
    <row r="162" spans="1:18" ht="15" customHeight="1" x14ac:dyDescent="0.3">
      <c r="A162" s="87" t="s">
        <v>28</v>
      </c>
      <c r="B162" s="87" t="s">
        <v>160</v>
      </c>
      <c r="C162" s="88">
        <v>5.2083333333333343E-2</v>
      </c>
      <c r="D162" s="87" t="s">
        <v>30</v>
      </c>
      <c r="E162" s="89"/>
      <c r="F162" s="87" t="s">
        <v>31</v>
      </c>
      <c r="G162" s="208"/>
      <c r="H162" s="153" t="s">
        <v>160</v>
      </c>
      <c r="I162" s="154">
        <v>6.1100000000000002E-2</v>
      </c>
      <c r="J162" s="155">
        <v>11</v>
      </c>
      <c r="K162" s="156" t="s">
        <v>185</v>
      </c>
      <c r="L162" s="155">
        <v>11</v>
      </c>
      <c r="M162" s="155">
        <v>0</v>
      </c>
      <c r="N162" s="155">
        <v>0</v>
      </c>
      <c r="O162" s="157" t="s">
        <v>37</v>
      </c>
      <c r="P162" s="158">
        <v>5.2083333333333343E-2</v>
      </c>
      <c r="Q162" s="155">
        <v>180</v>
      </c>
      <c r="R162" s="159" t="s">
        <v>211</v>
      </c>
    </row>
    <row r="163" spans="1:18" ht="15" customHeight="1" x14ac:dyDescent="0.3">
      <c r="A163" s="173" t="s">
        <v>28</v>
      </c>
      <c r="B163" s="173" t="s">
        <v>169</v>
      </c>
      <c r="C163" s="174">
        <v>0.38194444444444442</v>
      </c>
      <c r="D163" s="173" t="s">
        <v>30</v>
      </c>
      <c r="E163" s="175"/>
      <c r="F163" s="173" t="s">
        <v>31</v>
      </c>
      <c r="G163" s="217"/>
      <c r="H163" s="176" t="s">
        <v>169</v>
      </c>
      <c r="I163" s="177">
        <v>3.3300000000000003E-2</v>
      </c>
      <c r="J163" s="178">
        <v>6</v>
      </c>
      <c r="K163" s="179" t="s">
        <v>53</v>
      </c>
      <c r="L163" s="178">
        <v>6</v>
      </c>
      <c r="M163" s="178">
        <v>0</v>
      </c>
      <c r="N163" s="178">
        <v>0</v>
      </c>
      <c r="O163" s="180" t="s">
        <v>166</v>
      </c>
      <c r="P163" s="181">
        <v>0.38194444444444442</v>
      </c>
      <c r="Q163" s="178">
        <v>180</v>
      </c>
      <c r="R163" s="182" t="s">
        <v>161</v>
      </c>
    </row>
    <row r="164" spans="1:18" ht="15" customHeight="1" x14ac:dyDescent="0.3">
      <c r="A164" s="140" t="s">
        <v>28</v>
      </c>
      <c r="B164" s="140" t="s">
        <v>158</v>
      </c>
      <c r="C164" s="141">
        <v>0.4375</v>
      </c>
      <c r="D164" s="140" t="s">
        <v>30</v>
      </c>
      <c r="E164" s="142"/>
      <c r="F164" s="140" t="s">
        <v>31</v>
      </c>
      <c r="G164" s="217"/>
      <c r="H164" s="143" t="s">
        <v>158</v>
      </c>
      <c r="I164" s="144">
        <v>0.05</v>
      </c>
      <c r="J164" s="145">
        <v>9</v>
      </c>
      <c r="K164" s="146" t="s">
        <v>65</v>
      </c>
      <c r="L164" s="145">
        <v>9</v>
      </c>
      <c r="M164" s="145">
        <v>0</v>
      </c>
      <c r="N164" s="145">
        <v>0</v>
      </c>
      <c r="O164" s="147" t="s">
        <v>166</v>
      </c>
      <c r="P164" s="148">
        <v>0.4375</v>
      </c>
      <c r="Q164" s="145">
        <v>180</v>
      </c>
      <c r="R164" s="149" t="s">
        <v>212</v>
      </c>
    </row>
    <row r="165" spans="1:18" ht="15" customHeight="1" x14ac:dyDescent="0.3">
      <c r="A165" s="137" t="s">
        <v>28</v>
      </c>
      <c r="B165" s="137" t="s">
        <v>156</v>
      </c>
      <c r="C165" s="138">
        <v>0.55208333333333337</v>
      </c>
      <c r="D165" s="137" t="s">
        <v>30</v>
      </c>
      <c r="E165" s="139"/>
      <c r="F165" s="137" t="s">
        <v>31</v>
      </c>
      <c r="G165" s="217"/>
      <c r="H165" s="97" t="s">
        <v>156</v>
      </c>
      <c r="I165" s="98">
        <v>1.11E-2</v>
      </c>
      <c r="J165" s="99">
        <v>2</v>
      </c>
      <c r="K165" s="100" t="s">
        <v>187</v>
      </c>
      <c r="L165" s="99">
        <v>2</v>
      </c>
      <c r="M165" s="99">
        <v>0</v>
      </c>
      <c r="N165" s="99">
        <v>0</v>
      </c>
      <c r="O165" s="101" t="s">
        <v>73</v>
      </c>
      <c r="P165" s="102">
        <v>0.55208333333333337</v>
      </c>
      <c r="Q165" s="99">
        <v>180</v>
      </c>
      <c r="R165" s="103" t="s">
        <v>131</v>
      </c>
    </row>
    <row r="166" spans="1:18" ht="15" customHeight="1" x14ac:dyDescent="0.3">
      <c r="A166" s="150" t="s">
        <v>28</v>
      </c>
      <c r="B166" s="150" t="s">
        <v>152</v>
      </c>
      <c r="C166" s="151">
        <v>0.75694444444444453</v>
      </c>
      <c r="D166" s="150" t="s">
        <v>30</v>
      </c>
      <c r="E166" s="152"/>
      <c r="F166" s="150" t="s">
        <v>31</v>
      </c>
      <c r="G166" s="217"/>
      <c r="H166" s="153" t="s">
        <v>152</v>
      </c>
      <c r="I166" s="154">
        <v>5.5999999999999999E-3</v>
      </c>
      <c r="J166" s="155">
        <v>1</v>
      </c>
      <c r="K166" s="156" t="s">
        <v>213</v>
      </c>
      <c r="L166" s="155">
        <v>1</v>
      </c>
      <c r="M166" s="155">
        <v>0</v>
      </c>
      <c r="N166" s="155">
        <v>0</v>
      </c>
      <c r="O166" s="157" t="s">
        <v>78</v>
      </c>
      <c r="P166" s="158">
        <v>0.75694444444444453</v>
      </c>
      <c r="Q166" s="155">
        <v>180</v>
      </c>
      <c r="R166" s="159" t="s">
        <v>147</v>
      </c>
    </row>
    <row r="167" spans="1:18" ht="15" customHeight="1" thickBot="1" x14ac:dyDescent="0.35">
      <c r="A167" s="163" t="s">
        <v>28</v>
      </c>
      <c r="B167" s="163" t="s">
        <v>154</v>
      </c>
      <c r="C167" s="164">
        <v>0.79166666666666663</v>
      </c>
      <c r="D167" s="163" t="s">
        <v>30</v>
      </c>
      <c r="E167" s="165"/>
      <c r="F167" s="163" t="s">
        <v>31</v>
      </c>
      <c r="G167" s="218"/>
      <c r="H167" s="59" t="s">
        <v>154</v>
      </c>
      <c r="I167" s="60">
        <v>6.6699999999999995E-2</v>
      </c>
      <c r="J167" s="61">
        <v>12</v>
      </c>
      <c r="K167" s="62" t="s">
        <v>185</v>
      </c>
      <c r="L167" s="61">
        <v>12</v>
      </c>
      <c r="M167" s="61">
        <v>0</v>
      </c>
      <c r="N167" s="61">
        <v>0</v>
      </c>
      <c r="O167" s="63" t="s">
        <v>144</v>
      </c>
      <c r="P167" s="64">
        <v>0.79166666666666663</v>
      </c>
      <c r="Q167" s="61">
        <v>180</v>
      </c>
      <c r="R167" s="65" t="s">
        <v>214</v>
      </c>
    </row>
    <row r="168" spans="1:18" ht="17.399999999999999" customHeight="1" thickBot="1" x14ac:dyDescent="0.35">
      <c r="A168" s="233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5"/>
    </row>
    <row r="169" spans="1:18" ht="22.05" customHeight="1" thickTop="1" thickBot="1" x14ac:dyDescent="0.35">
      <c r="A169" s="201" t="s">
        <v>8</v>
      </c>
      <c r="B169" s="202"/>
      <c r="C169" s="202"/>
      <c r="D169" s="202"/>
      <c r="E169" s="202"/>
      <c r="F169" s="203"/>
      <c r="G169" s="18">
        <v>46071</v>
      </c>
      <c r="H169" s="209" t="s">
        <v>9</v>
      </c>
      <c r="I169" s="202"/>
      <c r="J169" s="202"/>
      <c r="K169" s="202"/>
      <c r="L169" s="202"/>
      <c r="M169" s="202"/>
      <c r="N169" s="202"/>
      <c r="O169" s="202"/>
      <c r="P169" s="202"/>
      <c r="Q169" s="202"/>
      <c r="R169" s="203"/>
    </row>
    <row r="170" spans="1:18" ht="24" customHeight="1" x14ac:dyDescent="0.3">
      <c r="A170" s="19" t="s">
        <v>10</v>
      </c>
      <c r="B170" s="19" t="s">
        <v>11</v>
      </c>
      <c r="C170" s="20" t="s">
        <v>12</v>
      </c>
      <c r="D170" s="19" t="s">
        <v>13</v>
      </c>
      <c r="E170" s="19" t="s">
        <v>14</v>
      </c>
      <c r="F170" s="21" t="s">
        <v>15</v>
      </c>
      <c r="G170" s="22" t="s">
        <v>16</v>
      </c>
      <c r="H170" s="19" t="s">
        <v>17</v>
      </c>
      <c r="I170" s="23" t="s">
        <v>18</v>
      </c>
      <c r="J170" s="24" t="s">
        <v>19</v>
      </c>
      <c r="K170" s="25" t="s">
        <v>20</v>
      </c>
      <c r="L170" s="24" t="s">
        <v>21</v>
      </c>
      <c r="M170" s="24" t="s">
        <v>22</v>
      </c>
      <c r="N170" s="24" t="s">
        <v>23</v>
      </c>
      <c r="O170" s="19" t="s">
        <v>24</v>
      </c>
      <c r="P170" s="20" t="s">
        <v>25</v>
      </c>
      <c r="Q170" s="24" t="s">
        <v>26</v>
      </c>
      <c r="R170" s="19" t="s">
        <v>27</v>
      </c>
    </row>
    <row r="171" spans="1:18" ht="49.95" customHeight="1" x14ac:dyDescent="0.3">
      <c r="A171" s="87" t="s">
        <v>28</v>
      </c>
      <c r="B171" s="87" t="s">
        <v>152</v>
      </c>
      <c r="C171" s="88">
        <v>0.2326388888888889</v>
      </c>
      <c r="D171" s="87" t="s">
        <v>30</v>
      </c>
      <c r="E171" s="89"/>
      <c r="F171" s="87" t="s">
        <v>31</v>
      </c>
      <c r="G171" s="208"/>
      <c r="H171" s="153" t="s">
        <v>152</v>
      </c>
      <c r="I171" s="154">
        <v>1.11E-2</v>
      </c>
      <c r="J171" s="155">
        <v>2</v>
      </c>
      <c r="K171" s="156" t="s">
        <v>53</v>
      </c>
      <c r="L171" s="155">
        <v>3</v>
      </c>
      <c r="M171" s="155">
        <v>0</v>
      </c>
      <c r="N171" s="155">
        <v>0</v>
      </c>
      <c r="O171" s="157" t="s">
        <v>73</v>
      </c>
      <c r="P171" s="158">
        <v>0.2326388888888889</v>
      </c>
      <c r="Q171" s="155">
        <v>180</v>
      </c>
      <c r="R171" s="159" t="s">
        <v>131</v>
      </c>
    </row>
    <row r="172" spans="1:18" ht="49.95" customHeight="1" x14ac:dyDescent="0.3">
      <c r="A172" s="127" t="s">
        <v>28</v>
      </c>
      <c r="B172" s="127" t="s">
        <v>154</v>
      </c>
      <c r="C172" s="128">
        <v>0.30208333333333331</v>
      </c>
      <c r="D172" s="127" t="s">
        <v>30</v>
      </c>
      <c r="E172" s="129"/>
      <c r="F172" s="127" t="s">
        <v>31</v>
      </c>
      <c r="G172" s="217"/>
      <c r="H172" s="130" t="s">
        <v>154</v>
      </c>
      <c r="I172" s="131">
        <v>4.4400000000000002E-2</v>
      </c>
      <c r="J172" s="132">
        <v>8</v>
      </c>
      <c r="K172" s="133" t="s">
        <v>68</v>
      </c>
      <c r="L172" s="132">
        <v>8</v>
      </c>
      <c r="M172" s="132">
        <v>0</v>
      </c>
      <c r="N172" s="132">
        <v>0</v>
      </c>
      <c r="O172" s="134" t="s">
        <v>175</v>
      </c>
      <c r="P172" s="135">
        <v>0.30208333333333331</v>
      </c>
      <c r="Q172" s="132">
        <v>180</v>
      </c>
      <c r="R172" s="136" t="s">
        <v>215</v>
      </c>
    </row>
    <row r="173" spans="1:18" ht="49.95" customHeight="1" x14ac:dyDescent="0.3">
      <c r="A173" s="140" t="s">
        <v>28</v>
      </c>
      <c r="B173" s="140" t="s">
        <v>156</v>
      </c>
      <c r="C173" s="141">
        <v>0.34375</v>
      </c>
      <c r="D173" s="140" t="s">
        <v>30</v>
      </c>
      <c r="E173" s="142"/>
      <c r="F173" s="140" t="s">
        <v>31</v>
      </c>
      <c r="G173" s="217"/>
      <c r="H173" s="143" t="s">
        <v>156</v>
      </c>
      <c r="I173" s="144">
        <v>1.11E-2</v>
      </c>
      <c r="J173" s="145">
        <v>2</v>
      </c>
      <c r="K173" s="146" t="s">
        <v>65</v>
      </c>
      <c r="L173" s="145">
        <v>2</v>
      </c>
      <c r="M173" s="145">
        <v>0</v>
      </c>
      <c r="N173" s="145">
        <v>0</v>
      </c>
      <c r="O173" s="147" t="s">
        <v>73</v>
      </c>
      <c r="P173" s="148">
        <v>0.34375</v>
      </c>
      <c r="Q173" s="145">
        <v>180</v>
      </c>
      <c r="R173" s="149" t="s">
        <v>131</v>
      </c>
    </row>
    <row r="174" spans="1:18" ht="49.95" customHeight="1" x14ac:dyDescent="0.3">
      <c r="A174" s="150" t="s">
        <v>28</v>
      </c>
      <c r="B174" s="150" t="s">
        <v>158</v>
      </c>
      <c r="C174" s="151">
        <v>0.4375</v>
      </c>
      <c r="D174" s="150" t="s">
        <v>30</v>
      </c>
      <c r="E174" s="152"/>
      <c r="F174" s="150" t="s">
        <v>31</v>
      </c>
      <c r="G174" s="217"/>
      <c r="H174" s="153" t="s">
        <v>158</v>
      </c>
      <c r="I174" s="154">
        <v>5.5599999999999997E-2</v>
      </c>
      <c r="J174" s="155">
        <v>10</v>
      </c>
      <c r="K174" s="156" t="s">
        <v>53</v>
      </c>
      <c r="L174" s="155">
        <v>10</v>
      </c>
      <c r="M174" s="155">
        <v>0</v>
      </c>
      <c r="N174" s="155">
        <v>0</v>
      </c>
      <c r="O174" s="157" t="s">
        <v>37</v>
      </c>
      <c r="P174" s="158">
        <v>0.4375</v>
      </c>
      <c r="Q174" s="155">
        <v>180</v>
      </c>
      <c r="R174" s="159" t="s">
        <v>216</v>
      </c>
    </row>
    <row r="175" spans="1:18" ht="49.95" customHeight="1" thickBot="1" x14ac:dyDescent="0.35">
      <c r="A175" s="192" t="s">
        <v>28</v>
      </c>
      <c r="B175" s="192" t="s">
        <v>160</v>
      </c>
      <c r="C175" s="193">
        <v>0.9375</v>
      </c>
      <c r="D175" s="192" t="s">
        <v>30</v>
      </c>
      <c r="E175" s="194"/>
      <c r="F175" s="192" t="s">
        <v>31</v>
      </c>
      <c r="G175" s="218"/>
      <c r="H175" s="49" t="s">
        <v>160</v>
      </c>
      <c r="I175" s="50">
        <v>3.3300000000000003E-2</v>
      </c>
      <c r="J175" s="51">
        <v>6</v>
      </c>
      <c r="K175" s="52" t="s">
        <v>32</v>
      </c>
      <c r="L175" s="51">
        <v>6</v>
      </c>
      <c r="M175" s="51">
        <v>0</v>
      </c>
      <c r="N175" s="51">
        <v>0</v>
      </c>
      <c r="O175" s="53" t="s">
        <v>166</v>
      </c>
      <c r="P175" s="54">
        <v>0.9375</v>
      </c>
      <c r="Q175" s="51">
        <v>180</v>
      </c>
      <c r="R175" s="55" t="s">
        <v>161</v>
      </c>
    </row>
    <row r="176" spans="1:18" ht="17.399999999999999" customHeight="1" thickBot="1" x14ac:dyDescent="0.35">
      <c r="A176" s="233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5"/>
    </row>
    <row r="177" spans="1:18" ht="22.05" customHeight="1" thickTop="1" thickBot="1" x14ac:dyDescent="0.35">
      <c r="A177" s="201" t="s">
        <v>8</v>
      </c>
      <c r="B177" s="202"/>
      <c r="C177" s="202"/>
      <c r="D177" s="202"/>
      <c r="E177" s="202"/>
      <c r="F177" s="203"/>
      <c r="G177" s="18">
        <v>46072</v>
      </c>
      <c r="H177" s="209" t="s">
        <v>9</v>
      </c>
      <c r="I177" s="202"/>
      <c r="J177" s="202"/>
      <c r="K177" s="202"/>
      <c r="L177" s="202"/>
      <c r="M177" s="202"/>
      <c r="N177" s="202"/>
      <c r="O177" s="202"/>
      <c r="P177" s="202"/>
      <c r="Q177" s="202"/>
      <c r="R177" s="203"/>
    </row>
    <row r="178" spans="1:18" ht="24" customHeight="1" x14ac:dyDescent="0.3">
      <c r="A178" s="19" t="s">
        <v>10</v>
      </c>
      <c r="B178" s="19" t="s">
        <v>11</v>
      </c>
      <c r="C178" s="20" t="s">
        <v>12</v>
      </c>
      <c r="D178" s="19" t="s">
        <v>13</v>
      </c>
      <c r="E178" s="19" t="s">
        <v>14</v>
      </c>
      <c r="F178" s="21" t="s">
        <v>15</v>
      </c>
      <c r="G178" s="22" t="s">
        <v>16</v>
      </c>
      <c r="H178" s="19" t="s">
        <v>17</v>
      </c>
      <c r="I178" s="23" t="s">
        <v>18</v>
      </c>
      <c r="J178" s="24" t="s">
        <v>19</v>
      </c>
      <c r="K178" s="25" t="s">
        <v>20</v>
      </c>
      <c r="L178" s="24" t="s">
        <v>21</v>
      </c>
      <c r="M178" s="24" t="s">
        <v>22</v>
      </c>
      <c r="N178" s="24" t="s">
        <v>23</v>
      </c>
      <c r="O178" s="19" t="s">
        <v>24</v>
      </c>
      <c r="P178" s="20" t="s">
        <v>25</v>
      </c>
      <c r="Q178" s="24" t="s">
        <v>26</v>
      </c>
      <c r="R178" s="19" t="s">
        <v>27</v>
      </c>
    </row>
    <row r="179" spans="1:18" ht="15" customHeight="1" x14ac:dyDescent="0.3">
      <c r="A179" s="87" t="s">
        <v>28</v>
      </c>
      <c r="B179" s="87" t="s">
        <v>163</v>
      </c>
      <c r="C179" s="88">
        <v>6.5972222222222224E-2</v>
      </c>
      <c r="D179" s="87" t="s">
        <v>30</v>
      </c>
      <c r="E179" s="89"/>
      <c r="F179" s="87" t="s">
        <v>31</v>
      </c>
      <c r="G179" s="208"/>
      <c r="H179" s="153" t="s">
        <v>163</v>
      </c>
      <c r="I179" s="154">
        <v>5.5999999999999999E-3</v>
      </c>
      <c r="J179" s="155">
        <v>1</v>
      </c>
      <c r="K179" s="156" t="s">
        <v>203</v>
      </c>
      <c r="L179" s="155">
        <v>1</v>
      </c>
      <c r="M179" s="155">
        <v>0</v>
      </c>
      <c r="N179" s="155">
        <v>0</v>
      </c>
      <c r="O179" s="157" t="s">
        <v>78</v>
      </c>
      <c r="P179" s="158">
        <v>6.5972222222222224E-2</v>
      </c>
      <c r="Q179" s="155">
        <v>180</v>
      </c>
      <c r="R179" s="159" t="s">
        <v>147</v>
      </c>
    </row>
    <row r="180" spans="1:18" ht="15" customHeight="1" x14ac:dyDescent="0.3">
      <c r="A180" s="104" t="s">
        <v>28</v>
      </c>
      <c r="B180" s="104" t="s">
        <v>154</v>
      </c>
      <c r="C180" s="105">
        <v>0.15625</v>
      </c>
      <c r="D180" s="104" t="s">
        <v>30</v>
      </c>
      <c r="E180" s="106"/>
      <c r="F180" s="104" t="s">
        <v>31</v>
      </c>
      <c r="G180" s="217"/>
      <c r="H180" s="107" t="s">
        <v>154</v>
      </c>
      <c r="I180" s="108">
        <v>6.1100000000000002E-2</v>
      </c>
      <c r="J180" s="109">
        <v>11</v>
      </c>
      <c r="K180" s="110" t="s">
        <v>50</v>
      </c>
      <c r="L180" s="109">
        <v>13</v>
      </c>
      <c r="M180" s="109">
        <v>0</v>
      </c>
      <c r="N180" s="109">
        <v>0</v>
      </c>
      <c r="O180" s="111" t="s">
        <v>131</v>
      </c>
      <c r="P180" s="112">
        <v>0.15625</v>
      </c>
      <c r="Q180" s="109">
        <v>180</v>
      </c>
      <c r="R180" s="113" t="s">
        <v>206</v>
      </c>
    </row>
    <row r="181" spans="1:18" ht="15" customHeight="1" x14ac:dyDescent="0.3">
      <c r="A181" s="173" t="s">
        <v>28</v>
      </c>
      <c r="B181" s="173" t="s">
        <v>164</v>
      </c>
      <c r="C181" s="174">
        <v>0.1875</v>
      </c>
      <c r="D181" s="173" t="s">
        <v>30</v>
      </c>
      <c r="E181" s="175"/>
      <c r="F181" s="173" t="s">
        <v>35</v>
      </c>
      <c r="G181" s="217"/>
      <c r="H181" s="176" t="s">
        <v>164</v>
      </c>
      <c r="I181" s="177">
        <v>0</v>
      </c>
      <c r="J181" s="178">
        <v>0</v>
      </c>
      <c r="K181" s="179" t="s">
        <v>36</v>
      </c>
      <c r="L181" s="178">
        <v>0</v>
      </c>
      <c r="M181" s="178">
        <v>0</v>
      </c>
      <c r="N181" s="178">
        <v>0</v>
      </c>
      <c r="O181" s="180" t="s">
        <v>78</v>
      </c>
      <c r="P181" s="181">
        <v>0.1875</v>
      </c>
      <c r="Q181" s="178">
        <v>180</v>
      </c>
      <c r="R181" s="182" t="s">
        <v>36</v>
      </c>
    </row>
    <row r="182" spans="1:18" ht="15" customHeight="1" x14ac:dyDescent="0.3">
      <c r="A182" s="137" t="s">
        <v>28</v>
      </c>
      <c r="B182" s="137" t="s">
        <v>158</v>
      </c>
      <c r="C182" s="138">
        <v>0.40625</v>
      </c>
      <c r="D182" s="137" t="s">
        <v>30</v>
      </c>
      <c r="E182" s="139"/>
      <c r="F182" s="137" t="s">
        <v>31</v>
      </c>
      <c r="G182" s="217"/>
      <c r="H182" s="97" t="s">
        <v>158</v>
      </c>
      <c r="I182" s="98">
        <v>8.8900000000000007E-2</v>
      </c>
      <c r="J182" s="99">
        <v>16</v>
      </c>
      <c r="K182" s="100" t="s">
        <v>65</v>
      </c>
      <c r="L182" s="99">
        <v>17</v>
      </c>
      <c r="M182" s="99">
        <v>0</v>
      </c>
      <c r="N182" s="99">
        <v>0</v>
      </c>
      <c r="O182" s="101" t="s">
        <v>37</v>
      </c>
      <c r="P182" s="102">
        <v>0.40625</v>
      </c>
      <c r="Q182" s="99">
        <v>180</v>
      </c>
      <c r="R182" s="103" t="s">
        <v>217</v>
      </c>
    </row>
    <row r="183" spans="1:18" ht="15" customHeight="1" x14ac:dyDescent="0.3">
      <c r="A183" s="104" t="s">
        <v>28</v>
      </c>
      <c r="B183" s="104" t="s">
        <v>169</v>
      </c>
      <c r="C183" s="105">
        <v>0.5625</v>
      </c>
      <c r="D183" s="104" t="s">
        <v>30</v>
      </c>
      <c r="E183" s="106"/>
      <c r="F183" s="104" t="s">
        <v>31</v>
      </c>
      <c r="G183" s="217"/>
      <c r="H183" s="107" t="s">
        <v>169</v>
      </c>
      <c r="I183" s="108">
        <v>0.05</v>
      </c>
      <c r="J183" s="109">
        <v>9</v>
      </c>
      <c r="K183" s="110" t="s">
        <v>185</v>
      </c>
      <c r="L183" s="109">
        <v>9</v>
      </c>
      <c r="M183" s="109">
        <v>0</v>
      </c>
      <c r="N183" s="109">
        <v>0</v>
      </c>
      <c r="O183" s="111" t="s">
        <v>147</v>
      </c>
      <c r="P183" s="112">
        <v>0.5625</v>
      </c>
      <c r="Q183" s="109">
        <v>180</v>
      </c>
      <c r="R183" s="113" t="s">
        <v>78</v>
      </c>
    </row>
    <row r="184" spans="1:18" ht="15" customHeight="1" thickBot="1" x14ac:dyDescent="0.35">
      <c r="A184" s="183" t="s">
        <v>28</v>
      </c>
      <c r="B184" s="183" t="s">
        <v>152</v>
      </c>
      <c r="C184" s="184">
        <v>0.9375</v>
      </c>
      <c r="D184" s="183" t="s">
        <v>30</v>
      </c>
      <c r="E184" s="185"/>
      <c r="F184" s="183" t="s">
        <v>31</v>
      </c>
      <c r="G184" s="218"/>
      <c r="H184" s="90" t="s">
        <v>152</v>
      </c>
      <c r="I184" s="91">
        <v>0.22220000000000001</v>
      </c>
      <c r="J184" s="92">
        <v>40</v>
      </c>
      <c r="K184" s="93" t="s">
        <v>218</v>
      </c>
      <c r="L184" s="92">
        <v>1</v>
      </c>
      <c r="M184" s="92">
        <v>0</v>
      </c>
      <c r="N184" s="92">
        <v>0</v>
      </c>
      <c r="O184" s="94" t="s">
        <v>78</v>
      </c>
      <c r="P184" s="95">
        <v>0.9375</v>
      </c>
      <c r="Q184" s="92">
        <v>180</v>
      </c>
      <c r="R184" s="96" t="s">
        <v>118</v>
      </c>
    </row>
    <row r="185" spans="1:18" ht="17.399999999999999" customHeight="1" thickBot="1" x14ac:dyDescent="0.3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5"/>
    </row>
    <row r="186" spans="1:18" ht="22.05" customHeight="1" thickTop="1" thickBot="1" x14ac:dyDescent="0.35">
      <c r="A186" s="201" t="s">
        <v>8</v>
      </c>
      <c r="B186" s="202"/>
      <c r="C186" s="202"/>
      <c r="D186" s="202"/>
      <c r="E186" s="202"/>
      <c r="F186" s="203"/>
      <c r="G186" s="18">
        <v>46073</v>
      </c>
      <c r="H186" s="209" t="s">
        <v>9</v>
      </c>
      <c r="I186" s="202"/>
      <c r="J186" s="202"/>
      <c r="K186" s="202"/>
      <c r="L186" s="202"/>
      <c r="M186" s="202"/>
      <c r="N186" s="202"/>
      <c r="O186" s="202"/>
      <c r="P186" s="202"/>
      <c r="Q186" s="202"/>
      <c r="R186" s="203"/>
    </row>
    <row r="187" spans="1:18" ht="24" customHeight="1" x14ac:dyDescent="0.3">
      <c r="A187" s="19" t="s">
        <v>10</v>
      </c>
      <c r="B187" s="19" t="s">
        <v>11</v>
      </c>
      <c r="C187" s="20" t="s">
        <v>12</v>
      </c>
      <c r="D187" s="19" t="s">
        <v>13</v>
      </c>
      <c r="E187" s="19" t="s">
        <v>14</v>
      </c>
      <c r="F187" s="21" t="s">
        <v>15</v>
      </c>
      <c r="G187" s="22" t="s">
        <v>16</v>
      </c>
      <c r="H187" s="19" t="s">
        <v>17</v>
      </c>
      <c r="I187" s="23" t="s">
        <v>18</v>
      </c>
      <c r="J187" s="24" t="s">
        <v>19</v>
      </c>
      <c r="K187" s="25" t="s">
        <v>20</v>
      </c>
      <c r="L187" s="24" t="s">
        <v>21</v>
      </c>
      <c r="M187" s="24" t="s">
        <v>22</v>
      </c>
      <c r="N187" s="24" t="s">
        <v>23</v>
      </c>
      <c r="O187" s="19" t="s">
        <v>24</v>
      </c>
      <c r="P187" s="20" t="s">
        <v>25</v>
      </c>
      <c r="Q187" s="24" t="s">
        <v>26</v>
      </c>
      <c r="R187" s="19" t="s">
        <v>27</v>
      </c>
    </row>
    <row r="188" spans="1:18" ht="49.95" customHeight="1" x14ac:dyDescent="0.3">
      <c r="A188" s="66" t="s">
        <v>28</v>
      </c>
      <c r="B188" s="66" t="s">
        <v>154</v>
      </c>
      <c r="C188" s="67">
        <v>0.1423611111111111</v>
      </c>
      <c r="D188" s="66" t="s">
        <v>30</v>
      </c>
      <c r="E188" s="68"/>
      <c r="F188" s="66" t="s">
        <v>31</v>
      </c>
      <c r="G188" s="208"/>
      <c r="H188" s="117" t="s">
        <v>154</v>
      </c>
      <c r="I188" s="118">
        <v>6.6699999999999995E-2</v>
      </c>
      <c r="J188" s="119">
        <v>12</v>
      </c>
      <c r="K188" s="120" t="s">
        <v>182</v>
      </c>
      <c r="L188" s="119">
        <v>13</v>
      </c>
      <c r="M188" s="119">
        <v>0</v>
      </c>
      <c r="N188" s="119">
        <v>0</v>
      </c>
      <c r="O188" s="121" t="s">
        <v>147</v>
      </c>
      <c r="P188" s="122">
        <v>0.1423611111111111</v>
      </c>
      <c r="Q188" s="119">
        <v>180</v>
      </c>
      <c r="R188" s="123" t="s">
        <v>204</v>
      </c>
    </row>
    <row r="189" spans="1:18" ht="49.95" customHeight="1" x14ac:dyDescent="0.3">
      <c r="A189" s="186" t="s">
        <v>28</v>
      </c>
      <c r="B189" s="186" t="s">
        <v>158</v>
      </c>
      <c r="C189" s="187">
        <v>0.28125</v>
      </c>
      <c r="D189" s="186" t="s">
        <v>30</v>
      </c>
      <c r="E189" s="188"/>
      <c r="F189" s="186" t="s">
        <v>31</v>
      </c>
      <c r="G189" s="217"/>
      <c r="H189" s="166" t="s">
        <v>158</v>
      </c>
      <c r="I189" s="167">
        <v>5.5599999999999997E-2</v>
      </c>
      <c r="J189" s="168">
        <v>10</v>
      </c>
      <c r="K189" s="169" t="s">
        <v>32</v>
      </c>
      <c r="L189" s="168">
        <v>11</v>
      </c>
      <c r="M189" s="168">
        <v>0</v>
      </c>
      <c r="N189" s="168">
        <v>0</v>
      </c>
      <c r="O189" s="170" t="s">
        <v>37</v>
      </c>
      <c r="P189" s="171">
        <v>0.28125</v>
      </c>
      <c r="Q189" s="168">
        <v>180</v>
      </c>
      <c r="R189" s="172" t="s">
        <v>216</v>
      </c>
    </row>
    <row r="190" spans="1:18" ht="49.95" customHeight="1" x14ac:dyDescent="0.3">
      <c r="A190" s="140" t="s">
        <v>28</v>
      </c>
      <c r="B190" s="140" t="s">
        <v>169</v>
      </c>
      <c r="C190" s="141">
        <v>0.4375</v>
      </c>
      <c r="D190" s="140" t="s">
        <v>30</v>
      </c>
      <c r="E190" s="142"/>
      <c r="F190" s="140" t="s">
        <v>31</v>
      </c>
      <c r="G190" s="217"/>
      <c r="H190" s="143" t="s">
        <v>169</v>
      </c>
      <c r="I190" s="144">
        <v>0.05</v>
      </c>
      <c r="J190" s="145">
        <v>9</v>
      </c>
      <c r="K190" s="146" t="s">
        <v>50</v>
      </c>
      <c r="L190" s="145">
        <v>9</v>
      </c>
      <c r="M190" s="145">
        <v>0</v>
      </c>
      <c r="N190" s="145">
        <v>0</v>
      </c>
      <c r="O190" s="147" t="s">
        <v>147</v>
      </c>
      <c r="P190" s="148">
        <v>0.4375</v>
      </c>
      <c r="Q190" s="145">
        <v>180</v>
      </c>
      <c r="R190" s="149" t="s">
        <v>78</v>
      </c>
    </row>
    <row r="191" spans="1:18" ht="49.95" customHeight="1" x14ac:dyDescent="0.3">
      <c r="A191" s="127" t="s">
        <v>28</v>
      </c>
      <c r="B191" s="127" t="s">
        <v>160</v>
      </c>
      <c r="C191" s="128">
        <v>0.55902777777777779</v>
      </c>
      <c r="D191" s="127" t="s">
        <v>30</v>
      </c>
      <c r="E191" s="129"/>
      <c r="F191" s="127" t="s">
        <v>31</v>
      </c>
      <c r="G191" s="217"/>
      <c r="H191" s="130" t="s">
        <v>160</v>
      </c>
      <c r="I191" s="131">
        <v>5.5599999999999997E-2</v>
      </c>
      <c r="J191" s="132">
        <v>10</v>
      </c>
      <c r="K191" s="133" t="s">
        <v>53</v>
      </c>
      <c r="L191" s="132">
        <v>10</v>
      </c>
      <c r="M191" s="132">
        <v>0</v>
      </c>
      <c r="N191" s="132">
        <v>0</v>
      </c>
      <c r="O191" s="134" t="s">
        <v>37</v>
      </c>
      <c r="P191" s="135">
        <v>0.55902777777777779</v>
      </c>
      <c r="Q191" s="132">
        <v>180</v>
      </c>
      <c r="R191" s="136" t="s">
        <v>216</v>
      </c>
    </row>
    <row r="192" spans="1:18" ht="49.95" customHeight="1" thickBot="1" x14ac:dyDescent="0.35">
      <c r="A192" s="183" t="s">
        <v>28</v>
      </c>
      <c r="B192" s="183" t="s">
        <v>156</v>
      </c>
      <c r="C192" s="184">
        <v>0.76041666666666663</v>
      </c>
      <c r="D192" s="183" t="s">
        <v>30</v>
      </c>
      <c r="E192" s="185"/>
      <c r="F192" s="183" t="s">
        <v>31</v>
      </c>
      <c r="G192" s="218"/>
      <c r="H192" s="90" t="s">
        <v>156</v>
      </c>
      <c r="I192" s="91">
        <v>3.8899999999999997E-2</v>
      </c>
      <c r="J192" s="92">
        <v>7</v>
      </c>
      <c r="K192" s="93" t="s">
        <v>167</v>
      </c>
      <c r="L192" s="92">
        <v>7</v>
      </c>
      <c r="M192" s="92">
        <v>0</v>
      </c>
      <c r="N192" s="92">
        <v>0</v>
      </c>
      <c r="O192" s="94" t="s">
        <v>144</v>
      </c>
      <c r="P192" s="95">
        <v>0.76041666666666663</v>
      </c>
      <c r="Q192" s="92">
        <v>180</v>
      </c>
      <c r="R192" s="96" t="s">
        <v>168</v>
      </c>
    </row>
    <row r="193" spans="1:18" ht="17.399999999999999" customHeight="1" thickBot="1" x14ac:dyDescent="0.35">
      <c r="A193" s="233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5"/>
    </row>
    <row r="194" spans="1:18" ht="22.05" customHeight="1" thickTop="1" thickBot="1" x14ac:dyDescent="0.35">
      <c r="A194" s="201" t="s">
        <v>8</v>
      </c>
      <c r="B194" s="202"/>
      <c r="C194" s="202"/>
      <c r="D194" s="202"/>
      <c r="E194" s="202"/>
      <c r="F194" s="203"/>
      <c r="G194" s="18">
        <v>46074</v>
      </c>
      <c r="H194" s="209" t="s">
        <v>9</v>
      </c>
      <c r="I194" s="202"/>
      <c r="J194" s="202"/>
      <c r="K194" s="202"/>
      <c r="L194" s="202"/>
      <c r="M194" s="202"/>
      <c r="N194" s="202"/>
      <c r="O194" s="202"/>
      <c r="P194" s="202"/>
      <c r="Q194" s="202"/>
      <c r="R194" s="203"/>
    </row>
    <row r="195" spans="1:18" ht="24" customHeight="1" x14ac:dyDescent="0.3">
      <c r="A195" s="19" t="s">
        <v>10</v>
      </c>
      <c r="B195" s="19" t="s">
        <v>11</v>
      </c>
      <c r="C195" s="20" t="s">
        <v>12</v>
      </c>
      <c r="D195" s="19" t="s">
        <v>13</v>
      </c>
      <c r="E195" s="19" t="s">
        <v>14</v>
      </c>
      <c r="F195" s="21" t="s">
        <v>15</v>
      </c>
      <c r="G195" s="22" t="s">
        <v>16</v>
      </c>
      <c r="H195" s="19" t="s">
        <v>17</v>
      </c>
      <c r="I195" s="23" t="s">
        <v>18</v>
      </c>
      <c r="J195" s="24" t="s">
        <v>19</v>
      </c>
      <c r="K195" s="25" t="s">
        <v>20</v>
      </c>
      <c r="L195" s="24" t="s">
        <v>21</v>
      </c>
      <c r="M195" s="24" t="s">
        <v>22</v>
      </c>
      <c r="N195" s="24" t="s">
        <v>23</v>
      </c>
      <c r="O195" s="19" t="s">
        <v>24</v>
      </c>
      <c r="P195" s="20" t="s">
        <v>25</v>
      </c>
      <c r="Q195" s="24" t="s">
        <v>26</v>
      </c>
      <c r="R195" s="19" t="s">
        <v>27</v>
      </c>
    </row>
    <row r="196" spans="1:18" ht="49.95" customHeight="1" x14ac:dyDescent="0.3">
      <c r="A196" s="36" t="s">
        <v>28</v>
      </c>
      <c r="B196" s="36" t="s">
        <v>163</v>
      </c>
      <c r="C196" s="37">
        <v>4.8611111111111112E-2</v>
      </c>
      <c r="D196" s="36" t="s">
        <v>30</v>
      </c>
      <c r="E196" s="38"/>
      <c r="F196" s="36" t="s">
        <v>31</v>
      </c>
      <c r="G196" s="208"/>
      <c r="H196" s="143" t="s">
        <v>163</v>
      </c>
      <c r="I196" s="144">
        <v>4.8399999999999999E-2</v>
      </c>
      <c r="J196" s="145">
        <v>9</v>
      </c>
      <c r="K196" s="146" t="s">
        <v>53</v>
      </c>
      <c r="L196" s="145">
        <v>9</v>
      </c>
      <c r="M196" s="145">
        <v>0</v>
      </c>
      <c r="N196" s="145">
        <v>0</v>
      </c>
      <c r="O196" s="147" t="s">
        <v>147</v>
      </c>
      <c r="P196" s="148">
        <v>4.8611111111111112E-2</v>
      </c>
      <c r="Q196" s="145">
        <v>186</v>
      </c>
      <c r="R196" s="149" t="s">
        <v>78</v>
      </c>
    </row>
    <row r="197" spans="1:18" ht="49.95" customHeight="1" x14ac:dyDescent="0.3">
      <c r="A197" s="127" t="s">
        <v>28</v>
      </c>
      <c r="B197" s="127" t="s">
        <v>154</v>
      </c>
      <c r="C197" s="128">
        <v>0.15625</v>
      </c>
      <c r="D197" s="127" t="s">
        <v>30</v>
      </c>
      <c r="E197" s="129"/>
      <c r="F197" s="127" t="s">
        <v>31</v>
      </c>
      <c r="G197" s="217"/>
      <c r="H197" s="130" t="s">
        <v>154</v>
      </c>
      <c r="I197" s="131">
        <v>8.3299999999999999E-2</v>
      </c>
      <c r="J197" s="132">
        <v>15</v>
      </c>
      <c r="K197" s="133" t="s">
        <v>50</v>
      </c>
      <c r="L197" s="132">
        <v>16</v>
      </c>
      <c r="M197" s="132">
        <v>0</v>
      </c>
      <c r="N197" s="132">
        <v>0</v>
      </c>
      <c r="O197" s="134" t="s">
        <v>37</v>
      </c>
      <c r="P197" s="135">
        <v>0.15625</v>
      </c>
      <c r="Q197" s="132">
        <v>180</v>
      </c>
      <c r="R197" s="136" t="s">
        <v>219</v>
      </c>
    </row>
    <row r="198" spans="1:18" ht="49.95" customHeight="1" x14ac:dyDescent="0.3">
      <c r="A198" s="104" t="s">
        <v>28</v>
      </c>
      <c r="B198" s="104" t="s">
        <v>158</v>
      </c>
      <c r="C198" s="105">
        <v>0.50347222222222221</v>
      </c>
      <c r="D198" s="104" t="s">
        <v>30</v>
      </c>
      <c r="E198" s="106"/>
      <c r="F198" s="104" t="s">
        <v>31</v>
      </c>
      <c r="G198" s="217"/>
      <c r="H198" s="107" t="s">
        <v>158</v>
      </c>
      <c r="I198" s="108">
        <v>6.6699999999999995E-2</v>
      </c>
      <c r="J198" s="109">
        <v>12</v>
      </c>
      <c r="K198" s="110" t="s">
        <v>185</v>
      </c>
      <c r="L198" s="109">
        <v>12</v>
      </c>
      <c r="M198" s="109">
        <v>0</v>
      </c>
      <c r="N198" s="109">
        <v>0</v>
      </c>
      <c r="O198" s="111" t="s">
        <v>37</v>
      </c>
      <c r="P198" s="112">
        <v>0.50347222222222221</v>
      </c>
      <c r="Q198" s="109">
        <v>180</v>
      </c>
      <c r="R198" s="113" t="s">
        <v>207</v>
      </c>
    </row>
    <row r="199" spans="1:18" ht="49.95" customHeight="1" thickBot="1" x14ac:dyDescent="0.35">
      <c r="A199" s="124" t="s">
        <v>28</v>
      </c>
      <c r="B199" s="124" t="s">
        <v>152</v>
      </c>
      <c r="C199" s="125">
        <v>0.90625</v>
      </c>
      <c r="D199" s="124" t="s">
        <v>30</v>
      </c>
      <c r="E199" s="126"/>
      <c r="F199" s="124" t="s">
        <v>31</v>
      </c>
      <c r="G199" s="218"/>
      <c r="H199" s="79" t="s">
        <v>152</v>
      </c>
      <c r="I199" s="80">
        <v>4.4400000000000002E-2</v>
      </c>
      <c r="J199" s="81">
        <v>8</v>
      </c>
      <c r="K199" s="82" t="s">
        <v>170</v>
      </c>
      <c r="L199" s="81">
        <v>8</v>
      </c>
      <c r="M199" s="81">
        <v>0</v>
      </c>
      <c r="N199" s="81">
        <v>0</v>
      </c>
      <c r="O199" s="83" t="s">
        <v>131</v>
      </c>
      <c r="P199" s="84">
        <v>0.90625</v>
      </c>
      <c r="Q199" s="81">
        <v>180</v>
      </c>
      <c r="R199" s="85" t="s">
        <v>73</v>
      </c>
    </row>
    <row r="200" spans="1:18" ht="17.399999999999999" customHeight="1" thickBot="1" x14ac:dyDescent="0.35">
      <c r="A200" s="233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5"/>
    </row>
    <row r="201" spans="1:18" ht="22.05" customHeight="1" thickTop="1" thickBot="1" x14ac:dyDescent="0.35">
      <c r="A201" s="201" t="s">
        <v>8</v>
      </c>
      <c r="B201" s="202"/>
      <c r="C201" s="202"/>
      <c r="D201" s="202"/>
      <c r="E201" s="202"/>
      <c r="F201" s="203"/>
      <c r="G201" s="18">
        <v>46075</v>
      </c>
      <c r="H201" s="209" t="s">
        <v>9</v>
      </c>
      <c r="I201" s="202"/>
      <c r="J201" s="202"/>
      <c r="K201" s="202"/>
      <c r="L201" s="202"/>
      <c r="M201" s="202"/>
      <c r="N201" s="202"/>
      <c r="O201" s="202"/>
      <c r="P201" s="202"/>
      <c r="Q201" s="202"/>
      <c r="R201" s="203"/>
    </row>
    <row r="202" spans="1:18" ht="24" customHeight="1" x14ac:dyDescent="0.3">
      <c r="A202" s="19" t="s">
        <v>10</v>
      </c>
      <c r="B202" s="19" t="s">
        <v>11</v>
      </c>
      <c r="C202" s="20" t="s">
        <v>12</v>
      </c>
      <c r="D202" s="19" t="s">
        <v>13</v>
      </c>
      <c r="E202" s="19" t="s">
        <v>14</v>
      </c>
      <c r="F202" s="21" t="s">
        <v>15</v>
      </c>
      <c r="G202" s="22" t="s">
        <v>16</v>
      </c>
      <c r="H202" s="19" t="s">
        <v>17</v>
      </c>
      <c r="I202" s="23" t="s">
        <v>18</v>
      </c>
      <c r="J202" s="24" t="s">
        <v>19</v>
      </c>
      <c r="K202" s="25" t="s">
        <v>20</v>
      </c>
      <c r="L202" s="24" t="s">
        <v>21</v>
      </c>
      <c r="M202" s="24" t="s">
        <v>22</v>
      </c>
      <c r="N202" s="24" t="s">
        <v>23</v>
      </c>
      <c r="O202" s="19" t="s">
        <v>24</v>
      </c>
      <c r="P202" s="20" t="s">
        <v>25</v>
      </c>
      <c r="Q202" s="24" t="s">
        <v>26</v>
      </c>
      <c r="R202" s="19" t="s">
        <v>27</v>
      </c>
    </row>
    <row r="203" spans="1:18" ht="49.95" customHeight="1" x14ac:dyDescent="0.3">
      <c r="A203" s="8" t="s">
        <v>28</v>
      </c>
      <c r="B203" s="8" t="s">
        <v>154</v>
      </c>
      <c r="C203" s="9">
        <v>0.1423611111111111</v>
      </c>
      <c r="D203" s="8" t="s">
        <v>30</v>
      </c>
      <c r="E203" s="10"/>
      <c r="F203" s="8" t="s">
        <v>31</v>
      </c>
      <c r="G203" s="208"/>
      <c r="H203" s="130" t="s">
        <v>154</v>
      </c>
      <c r="I203" s="131">
        <v>0.05</v>
      </c>
      <c r="J203" s="132">
        <v>9</v>
      </c>
      <c r="K203" s="133" t="s">
        <v>32</v>
      </c>
      <c r="L203" s="132">
        <v>10</v>
      </c>
      <c r="M203" s="132">
        <v>0</v>
      </c>
      <c r="N203" s="132">
        <v>0</v>
      </c>
      <c r="O203" s="134" t="s">
        <v>161</v>
      </c>
      <c r="P203" s="135">
        <v>0.1423611111111111</v>
      </c>
      <c r="Q203" s="132">
        <v>180</v>
      </c>
      <c r="R203" s="136" t="s">
        <v>220</v>
      </c>
    </row>
    <row r="204" spans="1:18" ht="49.95" customHeight="1" x14ac:dyDescent="0.3">
      <c r="A204" s="173" t="s">
        <v>28</v>
      </c>
      <c r="B204" s="173" t="s">
        <v>164</v>
      </c>
      <c r="C204" s="174">
        <v>0.15625</v>
      </c>
      <c r="D204" s="173" t="s">
        <v>30</v>
      </c>
      <c r="E204" s="175"/>
      <c r="F204" s="173" t="s">
        <v>35</v>
      </c>
      <c r="G204" s="217"/>
      <c r="H204" s="176" t="s">
        <v>164</v>
      </c>
      <c r="I204" s="177">
        <v>0</v>
      </c>
      <c r="J204" s="178">
        <v>0</v>
      </c>
      <c r="K204" s="179" t="s">
        <v>36</v>
      </c>
      <c r="L204" s="178">
        <v>0</v>
      </c>
      <c r="M204" s="178">
        <v>0</v>
      </c>
      <c r="N204" s="178">
        <v>0</v>
      </c>
      <c r="O204" s="180" t="s">
        <v>78</v>
      </c>
      <c r="P204" s="181">
        <v>0.15625</v>
      </c>
      <c r="Q204" s="178">
        <v>180</v>
      </c>
      <c r="R204" s="182" t="s">
        <v>36</v>
      </c>
    </row>
    <row r="205" spans="1:18" ht="49.95" customHeight="1" x14ac:dyDescent="0.3">
      <c r="A205" s="104" t="s">
        <v>28</v>
      </c>
      <c r="B205" s="104" t="s">
        <v>156</v>
      </c>
      <c r="C205" s="105">
        <v>0.33333333333333331</v>
      </c>
      <c r="D205" s="104" t="s">
        <v>30</v>
      </c>
      <c r="E205" s="106"/>
      <c r="F205" s="104" t="s">
        <v>31</v>
      </c>
      <c r="G205" s="217"/>
      <c r="H205" s="107" t="s">
        <v>156</v>
      </c>
      <c r="I205" s="108">
        <v>1.67E-2</v>
      </c>
      <c r="J205" s="109">
        <v>3</v>
      </c>
      <c r="K205" s="110" t="s">
        <v>167</v>
      </c>
      <c r="L205" s="109">
        <v>4</v>
      </c>
      <c r="M205" s="109">
        <v>0</v>
      </c>
      <c r="N205" s="109">
        <v>0</v>
      </c>
      <c r="O205" s="111" t="s">
        <v>168</v>
      </c>
      <c r="P205" s="112">
        <v>0.33333333333333331</v>
      </c>
      <c r="Q205" s="109">
        <v>180</v>
      </c>
      <c r="R205" s="113" t="s">
        <v>144</v>
      </c>
    </row>
    <row r="206" spans="1:18" ht="49.95" customHeight="1" x14ac:dyDescent="0.3">
      <c r="A206" s="114" t="s">
        <v>28</v>
      </c>
      <c r="B206" s="114" t="s">
        <v>158</v>
      </c>
      <c r="C206" s="115">
        <v>0.4548611111111111</v>
      </c>
      <c r="D206" s="114" t="s">
        <v>30</v>
      </c>
      <c r="E206" s="116"/>
      <c r="F206" s="114" t="s">
        <v>31</v>
      </c>
      <c r="G206" s="217"/>
      <c r="H206" s="117" t="s">
        <v>158</v>
      </c>
      <c r="I206" s="118">
        <v>2.2200000000000001E-2</v>
      </c>
      <c r="J206" s="119">
        <v>4</v>
      </c>
      <c r="K206" s="120" t="s">
        <v>32</v>
      </c>
      <c r="L206" s="119">
        <v>4</v>
      </c>
      <c r="M206" s="119">
        <v>0</v>
      </c>
      <c r="N206" s="119">
        <v>0</v>
      </c>
      <c r="O206" s="121" t="s">
        <v>161</v>
      </c>
      <c r="P206" s="122">
        <v>0.4548611111111111</v>
      </c>
      <c r="Q206" s="119">
        <v>180</v>
      </c>
      <c r="R206" s="123" t="s">
        <v>166</v>
      </c>
    </row>
    <row r="207" spans="1:18" ht="49.95" customHeight="1" thickBot="1" x14ac:dyDescent="0.35">
      <c r="A207" s="189" t="s">
        <v>28</v>
      </c>
      <c r="B207" s="189" t="s">
        <v>169</v>
      </c>
      <c r="C207" s="190">
        <v>0.82986111111111116</v>
      </c>
      <c r="D207" s="189" t="s">
        <v>30</v>
      </c>
      <c r="E207" s="191"/>
      <c r="F207" s="189" t="s">
        <v>31</v>
      </c>
      <c r="G207" s="218"/>
      <c r="H207" s="29" t="s">
        <v>169</v>
      </c>
      <c r="I207" s="30">
        <v>3.3300000000000003E-2</v>
      </c>
      <c r="J207" s="31">
        <v>6</v>
      </c>
      <c r="K207" s="32" t="s">
        <v>65</v>
      </c>
      <c r="L207" s="31">
        <v>6</v>
      </c>
      <c r="M207" s="31">
        <v>0</v>
      </c>
      <c r="N207" s="31">
        <v>0</v>
      </c>
      <c r="O207" s="33" t="s">
        <v>166</v>
      </c>
      <c r="P207" s="34">
        <v>0.82986111111111116</v>
      </c>
      <c r="Q207" s="31">
        <v>180</v>
      </c>
      <c r="R207" s="35" t="s">
        <v>161</v>
      </c>
    </row>
    <row r="208" spans="1:18" ht="17.399999999999999" customHeight="1" thickBot="1" x14ac:dyDescent="0.35">
      <c r="A208" s="233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5"/>
    </row>
    <row r="209" spans="1:18" ht="22.05" customHeight="1" thickTop="1" thickBot="1" x14ac:dyDescent="0.35">
      <c r="A209" s="201" t="s">
        <v>8</v>
      </c>
      <c r="B209" s="202"/>
      <c r="C209" s="202"/>
      <c r="D209" s="202"/>
      <c r="E209" s="202"/>
      <c r="F209" s="203"/>
      <c r="G209" s="18">
        <v>46076</v>
      </c>
      <c r="H209" s="209" t="s">
        <v>9</v>
      </c>
      <c r="I209" s="202"/>
      <c r="J209" s="202"/>
      <c r="K209" s="202"/>
      <c r="L209" s="202"/>
      <c r="M209" s="202"/>
      <c r="N209" s="202"/>
      <c r="O209" s="202"/>
      <c r="P209" s="202"/>
      <c r="Q209" s="202"/>
      <c r="R209" s="203"/>
    </row>
    <row r="210" spans="1:18" ht="24" customHeight="1" x14ac:dyDescent="0.3">
      <c r="A210" s="19" t="s">
        <v>10</v>
      </c>
      <c r="B210" s="19" t="s">
        <v>11</v>
      </c>
      <c r="C210" s="20" t="s">
        <v>12</v>
      </c>
      <c r="D210" s="19" t="s">
        <v>13</v>
      </c>
      <c r="E210" s="19" t="s">
        <v>14</v>
      </c>
      <c r="F210" s="21" t="s">
        <v>15</v>
      </c>
      <c r="G210" s="22" t="s">
        <v>16</v>
      </c>
      <c r="H210" s="19" t="s">
        <v>17</v>
      </c>
      <c r="I210" s="23" t="s">
        <v>18</v>
      </c>
      <c r="J210" s="24" t="s">
        <v>19</v>
      </c>
      <c r="K210" s="25" t="s">
        <v>20</v>
      </c>
      <c r="L210" s="24" t="s">
        <v>21</v>
      </c>
      <c r="M210" s="24" t="s">
        <v>22</v>
      </c>
      <c r="N210" s="24" t="s">
        <v>23</v>
      </c>
      <c r="O210" s="19" t="s">
        <v>24</v>
      </c>
      <c r="P210" s="20" t="s">
        <v>25</v>
      </c>
      <c r="Q210" s="24" t="s">
        <v>26</v>
      </c>
      <c r="R210" s="19" t="s">
        <v>27</v>
      </c>
    </row>
    <row r="211" spans="1:18" ht="49.95" customHeight="1" x14ac:dyDescent="0.3">
      <c r="A211" s="56" t="s">
        <v>28</v>
      </c>
      <c r="B211" s="56" t="s">
        <v>154</v>
      </c>
      <c r="C211" s="57">
        <v>0.24652777777777779</v>
      </c>
      <c r="D211" s="56" t="s">
        <v>30</v>
      </c>
      <c r="E211" s="58"/>
      <c r="F211" s="56" t="s">
        <v>31</v>
      </c>
      <c r="G211" s="204"/>
      <c r="H211" s="97" t="s">
        <v>154</v>
      </c>
      <c r="I211" s="98">
        <v>6.1100000000000002E-2</v>
      </c>
      <c r="J211" s="99">
        <v>11</v>
      </c>
      <c r="K211" s="100" t="s">
        <v>32</v>
      </c>
      <c r="L211" s="99">
        <v>12</v>
      </c>
      <c r="M211" s="99">
        <v>0</v>
      </c>
      <c r="N211" s="99">
        <v>0</v>
      </c>
      <c r="O211" s="101" t="s">
        <v>131</v>
      </c>
      <c r="P211" s="102">
        <v>0.24652777777777779</v>
      </c>
      <c r="Q211" s="99">
        <v>180</v>
      </c>
      <c r="R211" s="103" t="s">
        <v>206</v>
      </c>
    </row>
    <row r="212" spans="1:18" ht="49.95" customHeight="1" x14ac:dyDescent="0.3">
      <c r="A212" s="150" t="s">
        <v>28</v>
      </c>
      <c r="B212" s="150" t="s">
        <v>158</v>
      </c>
      <c r="C212" s="151">
        <v>0.4375</v>
      </c>
      <c r="D212" s="150" t="s">
        <v>30</v>
      </c>
      <c r="E212" s="152"/>
      <c r="F212" s="150" t="s">
        <v>31</v>
      </c>
      <c r="G212" s="217"/>
      <c r="H212" s="153" t="s">
        <v>158</v>
      </c>
      <c r="I212" s="154">
        <v>1.11E-2</v>
      </c>
      <c r="J212" s="155">
        <v>2</v>
      </c>
      <c r="K212" s="156" t="s">
        <v>159</v>
      </c>
      <c r="L212" s="155">
        <v>3</v>
      </c>
      <c r="M212" s="155">
        <v>0</v>
      </c>
      <c r="N212" s="155">
        <v>0</v>
      </c>
      <c r="O212" s="157" t="s">
        <v>73</v>
      </c>
      <c r="P212" s="158">
        <v>0.4375</v>
      </c>
      <c r="Q212" s="155">
        <v>180</v>
      </c>
      <c r="R212" s="159" t="s">
        <v>131</v>
      </c>
    </row>
    <row r="213" spans="1:18" ht="49.95" customHeight="1" thickBot="1" x14ac:dyDescent="0.35">
      <c r="A213" s="163" t="s">
        <v>28</v>
      </c>
      <c r="B213" s="163" t="s">
        <v>156</v>
      </c>
      <c r="C213" s="164">
        <v>0.80208333333333337</v>
      </c>
      <c r="D213" s="163" t="s">
        <v>30</v>
      </c>
      <c r="E213" s="165"/>
      <c r="F213" s="163" t="s">
        <v>31</v>
      </c>
      <c r="G213" s="218"/>
      <c r="H213" s="59" t="s">
        <v>156</v>
      </c>
      <c r="I213" s="60">
        <v>3.3300000000000003E-2</v>
      </c>
      <c r="J213" s="61">
        <v>6</v>
      </c>
      <c r="K213" s="62" t="s">
        <v>50</v>
      </c>
      <c r="L213" s="61">
        <v>6</v>
      </c>
      <c r="M213" s="61">
        <v>0</v>
      </c>
      <c r="N213" s="61">
        <v>0</v>
      </c>
      <c r="O213" s="63" t="s">
        <v>166</v>
      </c>
      <c r="P213" s="64">
        <v>0.80208333333333337</v>
      </c>
      <c r="Q213" s="61">
        <v>180</v>
      </c>
      <c r="R213" s="65" t="s">
        <v>161</v>
      </c>
    </row>
    <row r="214" spans="1:18" ht="17.399999999999999" customHeight="1" thickBot="1" x14ac:dyDescent="0.35">
      <c r="A214" s="233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5"/>
    </row>
    <row r="215" spans="1:18" ht="22.05" customHeight="1" thickTop="1" thickBot="1" x14ac:dyDescent="0.35">
      <c r="A215" s="201" t="s">
        <v>8</v>
      </c>
      <c r="B215" s="202"/>
      <c r="C215" s="202"/>
      <c r="D215" s="202"/>
      <c r="E215" s="202"/>
      <c r="F215" s="203"/>
      <c r="G215" s="18">
        <v>46077</v>
      </c>
      <c r="H215" s="209" t="s">
        <v>9</v>
      </c>
      <c r="I215" s="202"/>
      <c r="J215" s="202"/>
      <c r="K215" s="202"/>
      <c r="L215" s="202"/>
      <c r="M215" s="202"/>
      <c r="N215" s="202"/>
      <c r="O215" s="202"/>
      <c r="P215" s="202"/>
      <c r="Q215" s="202"/>
      <c r="R215" s="203"/>
    </row>
    <row r="216" spans="1:18" ht="24" customHeight="1" x14ac:dyDescent="0.3">
      <c r="A216" s="19" t="s">
        <v>10</v>
      </c>
      <c r="B216" s="19" t="s">
        <v>11</v>
      </c>
      <c r="C216" s="20" t="s">
        <v>12</v>
      </c>
      <c r="D216" s="19" t="s">
        <v>13</v>
      </c>
      <c r="E216" s="19" t="s">
        <v>14</v>
      </c>
      <c r="F216" s="21" t="s">
        <v>15</v>
      </c>
      <c r="G216" s="22" t="s">
        <v>16</v>
      </c>
      <c r="H216" s="19" t="s">
        <v>17</v>
      </c>
      <c r="I216" s="23" t="s">
        <v>18</v>
      </c>
      <c r="J216" s="24" t="s">
        <v>19</v>
      </c>
      <c r="K216" s="25" t="s">
        <v>20</v>
      </c>
      <c r="L216" s="24" t="s">
        <v>21</v>
      </c>
      <c r="M216" s="24" t="s">
        <v>22</v>
      </c>
      <c r="N216" s="24" t="s">
        <v>23</v>
      </c>
      <c r="O216" s="19" t="s">
        <v>24</v>
      </c>
      <c r="P216" s="20" t="s">
        <v>25</v>
      </c>
      <c r="Q216" s="24" t="s">
        <v>26</v>
      </c>
      <c r="R216" s="19" t="s">
        <v>27</v>
      </c>
    </row>
    <row r="217" spans="1:18" ht="15" customHeight="1" x14ac:dyDescent="0.3">
      <c r="A217" s="87" t="s">
        <v>28</v>
      </c>
      <c r="B217" s="87" t="s">
        <v>160</v>
      </c>
      <c r="C217" s="88">
        <v>5.2083333333333343E-2</v>
      </c>
      <c r="D217" s="87" t="s">
        <v>30</v>
      </c>
      <c r="E217" s="89"/>
      <c r="F217" s="87" t="s">
        <v>31</v>
      </c>
      <c r="G217" s="204"/>
      <c r="H217" s="153" t="s">
        <v>160</v>
      </c>
      <c r="I217" s="154">
        <v>1.11E-2</v>
      </c>
      <c r="J217" s="155">
        <v>2</v>
      </c>
      <c r="K217" s="156" t="s">
        <v>182</v>
      </c>
      <c r="L217" s="155">
        <v>3</v>
      </c>
      <c r="M217" s="155">
        <v>0</v>
      </c>
      <c r="N217" s="155">
        <v>0</v>
      </c>
      <c r="O217" s="157" t="s">
        <v>78</v>
      </c>
      <c r="P217" s="158">
        <v>5.2083333333333343E-2</v>
      </c>
      <c r="Q217" s="155">
        <v>180</v>
      </c>
      <c r="R217" s="159" t="s">
        <v>221</v>
      </c>
    </row>
    <row r="218" spans="1:18" ht="15" customHeight="1" x14ac:dyDescent="0.3">
      <c r="A218" s="140" t="s">
        <v>28</v>
      </c>
      <c r="B218" s="140" t="s">
        <v>169</v>
      </c>
      <c r="C218" s="141">
        <v>0.38194444444444442</v>
      </c>
      <c r="D218" s="140" t="s">
        <v>30</v>
      </c>
      <c r="E218" s="142"/>
      <c r="F218" s="140" t="s">
        <v>31</v>
      </c>
      <c r="G218" s="217"/>
      <c r="H218" s="143" t="s">
        <v>169</v>
      </c>
      <c r="I218" s="144">
        <v>1.67E-2</v>
      </c>
      <c r="J218" s="145">
        <v>3</v>
      </c>
      <c r="K218" s="146" t="s">
        <v>222</v>
      </c>
      <c r="L218" s="145">
        <v>3</v>
      </c>
      <c r="M218" s="145">
        <v>0</v>
      </c>
      <c r="N218" s="145">
        <v>0</v>
      </c>
      <c r="O218" s="147" t="s">
        <v>168</v>
      </c>
      <c r="P218" s="148">
        <v>0.38194444444444442</v>
      </c>
      <c r="Q218" s="145">
        <v>180</v>
      </c>
      <c r="R218" s="149" t="s">
        <v>144</v>
      </c>
    </row>
    <row r="219" spans="1:18" ht="15" customHeight="1" x14ac:dyDescent="0.3">
      <c r="A219" s="104" t="s">
        <v>28</v>
      </c>
      <c r="B219" s="104" t="s">
        <v>158</v>
      </c>
      <c r="C219" s="105">
        <v>0.4375</v>
      </c>
      <c r="D219" s="104" t="s">
        <v>30</v>
      </c>
      <c r="E219" s="106"/>
      <c r="F219" s="104" t="s">
        <v>31</v>
      </c>
      <c r="G219" s="217"/>
      <c r="H219" s="107" t="s">
        <v>158</v>
      </c>
      <c r="I219" s="108">
        <v>2.2200000000000001E-2</v>
      </c>
      <c r="J219" s="109">
        <v>4</v>
      </c>
      <c r="K219" s="110" t="s">
        <v>32</v>
      </c>
      <c r="L219" s="109">
        <v>4</v>
      </c>
      <c r="M219" s="109">
        <v>0</v>
      </c>
      <c r="N219" s="109">
        <v>0</v>
      </c>
      <c r="O219" s="111" t="s">
        <v>73</v>
      </c>
      <c r="P219" s="112">
        <v>0.4375</v>
      </c>
      <c r="Q219" s="109">
        <v>180</v>
      </c>
      <c r="R219" s="113" t="s">
        <v>223</v>
      </c>
    </row>
    <row r="220" spans="1:18" ht="15" customHeight="1" x14ac:dyDescent="0.3">
      <c r="A220" s="150" t="s">
        <v>28</v>
      </c>
      <c r="B220" s="150" t="s">
        <v>156</v>
      </c>
      <c r="C220" s="151">
        <v>0.55208333333333337</v>
      </c>
      <c r="D220" s="150" t="s">
        <v>30</v>
      </c>
      <c r="E220" s="152"/>
      <c r="F220" s="150" t="s">
        <v>31</v>
      </c>
      <c r="G220" s="217"/>
      <c r="H220" s="153" t="s">
        <v>156</v>
      </c>
      <c r="I220" s="154">
        <v>5.5599999999999997E-2</v>
      </c>
      <c r="J220" s="155">
        <v>10</v>
      </c>
      <c r="K220" s="156" t="s">
        <v>167</v>
      </c>
      <c r="L220" s="155">
        <v>11</v>
      </c>
      <c r="M220" s="155">
        <v>0</v>
      </c>
      <c r="N220" s="155">
        <v>0</v>
      </c>
      <c r="O220" s="157" t="s">
        <v>37</v>
      </c>
      <c r="P220" s="158">
        <v>0.55208333333333337</v>
      </c>
      <c r="Q220" s="155">
        <v>180</v>
      </c>
      <c r="R220" s="159" t="s">
        <v>216</v>
      </c>
    </row>
    <row r="221" spans="1:18" ht="15" customHeight="1" x14ac:dyDescent="0.3">
      <c r="A221" s="140" t="s">
        <v>28</v>
      </c>
      <c r="B221" s="140" t="s">
        <v>152</v>
      </c>
      <c r="C221" s="141">
        <v>0.75694444444444453</v>
      </c>
      <c r="D221" s="140" t="s">
        <v>30</v>
      </c>
      <c r="E221" s="142"/>
      <c r="F221" s="140" t="s">
        <v>35</v>
      </c>
      <c r="G221" s="217"/>
      <c r="H221" s="143" t="s">
        <v>152</v>
      </c>
      <c r="I221" s="144">
        <v>0</v>
      </c>
      <c r="J221" s="145">
        <v>0</v>
      </c>
      <c r="K221" s="146" t="s">
        <v>36</v>
      </c>
      <c r="L221" s="145">
        <v>0</v>
      </c>
      <c r="M221" s="145">
        <v>0</v>
      </c>
      <c r="N221" s="145">
        <v>0</v>
      </c>
      <c r="O221" s="147" t="s">
        <v>78</v>
      </c>
      <c r="P221" s="148">
        <v>0.75694444444444453</v>
      </c>
      <c r="Q221" s="145">
        <v>180</v>
      </c>
      <c r="R221" s="149" t="s">
        <v>36</v>
      </c>
    </row>
    <row r="222" spans="1:18" ht="15" customHeight="1" thickBot="1" x14ac:dyDescent="0.35">
      <c r="A222" s="163" t="s">
        <v>28</v>
      </c>
      <c r="B222" s="163" t="s">
        <v>154</v>
      </c>
      <c r="C222" s="164">
        <v>0.79166666666666663</v>
      </c>
      <c r="D222" s="163" t="s">
        <v>30</v>
      </c>
      <c r="E222" s="165"/>
      <c r="F222" s="163" t="s">
        <v>31</v>
      </c>
      <c r="G222" s="218"/>
      <c r="H222" s="59" t="s">
        <v>154</v>
      </c>
      <c r="I222" s="60">
        <v>9.4399999999999998E-2</v>
      </c>
      <c r="J222" s="61">
        <v>17</v>
      </c>
      <c r="K222" s="62" t="s">
        <v>182</v>
      </c>
      <c r="L222" s="61">
        <v>17</v>
      </c>
      <c r="M222" s="61">
        <v>0</v>
      </c>
      <c r="N222" s="61">
        <v>0</v>
      </c>
      <c r="O222" s="63" t="s">
        <v>37</v>
      </c>
      <c r="P222" s="64">
        <v>0.79166666666666663</v>
      </c>
      <c r="Q222" s="61">
        <v>180</v>
      </c>
      <c r="R222" s="65" t="s">
        <v>224</v>
      </c>
    </row>
    <row r="223" spans="1:18" ht="17.399999999999999" customHeight="1" thickBot="1" x14ac:dyDescent="0.35">
      <c r="A223" s="233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5"/>
    </row>
    <row r="224" spans="1:18" ht="22.05" customHeight="1" thickTop="1" thickBot="1" x14ac:dyDescent="0.35">
      <c r="A224" s="201" t="s">
        <v>8</v>
      </c>
      <c r="B224" s="202"/>
      <c r="C224" s="202"/>
      <c r="D224" s="202"/>
      <c r="E224" s="202"/>
      <c r="F224" s="203"/>
      <c r="G224" s="18">
        <v>46078</v>
      </c>
      <c r="H224" s="209" t="s">
        <v>9</v>
      </c>
      <c r="I224" s="202"/>
      <c r="J224" s="202"/>
      <c r="K224" s="202"/>
      <c r="L224" s="202"/>
      <c r="M224" s="202"/>
      <c r="N224" s="202"/>
      <c r="O224" s="202"/>
      <c r="P224" s="202"/>
      <c r="Q224" s="202"/>
      <c r="R224" s="203"/>
    </row>
    <row r="225" spans="1:18" ht="24" customHeight="1" x14ac:dyDescent="0.3">
      <c r="A225" s="19" t="s">
        <v>10</v>
      </c>
      <c r="B225" s="19" t="s">
        <v>11</v>
      </c>
      <c r="C225" s="20" t="s">
        <v>12</v>
      </c>
      <c r="D225" s="19" t="s">
        <v>13</v>
      </c>
      <c r="E225" s="19" t="s">
        <v>14</v>
      </c>
      <c r="F225" s="21" t="s">
        <v>15</v>
      </c>
      <c r="G225" s="22" t="s">
        <v>16</v>
      </c>
      <c r="H225" s="19" t="s">
        <v>17</v>
      </c>
      <c r="I225" s="23" t="s">
        <v>18</v>
      </c>
      <c r="J225" s="24" t="s">
        <v>19</v>
      </c>
      <c r="K225" s="25" t="s">
        <v>20</v>
      </c>
      <c r="L225" s="24" t="s">
        <v>21</v>
      </c>
      <c r="M225" s="24" t="s">
        <v>22</v>
      </c>
      <c r="N225" s="24" t="s">
        <v>23</v>
      </c>
      <c r="O225" s="19" t="s">
        <v>24</v>
      </c>
      <c r="P225" s="20" t="s">
        <v>25</v>
      </c>
      <c r="Q225" s="24" t="s">
        <v>26</v>
      </c>
      <c r="R225" s="19" t="s">
        <v>27</v>
      </c>
    </row>
    <row r="226" spans="1:18" ht="49.95" customHeight="1" x14ac:dyDescent="0.3">
      <c r="A226" s="76" t="s">
        <v>28</v>
      </c>
      <c r="B226" s="76" t="s">
        <v>152</v>
      </c>
      <c r="C226" s="77">
        <v>0.2326388888888889</v>
      </c>
      <c r="D226" s="76" t="s">
        <v>30</v>
      </c>
      <c r="E226" s="78"/>
      <c r="F226" s="76" t="s">
        <v>31</v>
      </c>
      <c r="G226" s="208"/>
      <c r="H226" s="166" t="s">
        <v>152</v>
      </c>
      <c r="I226" s="167">
        <v>0.05</v>
      </c>
      <c r="J226" s="168">
        <v>9</v>
      </c>
      <c r="K226" s="169" t="s">
        <v>63</v>
      </c>
      <c r="L226" s="168">
        <v>9</v>
      </c>
      <c r="M226" s="168">
        <v>0</v>
      </c>
      <c r="N226" s="168">
        <v>0</v>
      </c>
      <c r="O226" s="170" t="s">
        <v>147</v>
      </c>
      <c r="P226" s="171">
        <v>0.2326388888888889</v>
      </c>
      <c r="Q226" s="168">
        <v>180</v>
      </c>
      <c r="R226" s="172" t="s">
        <v>78</v>
      </c>
    </row>
    <row r="227" spans="1:18" ht="49.95" customHeight="1" x14ac:dyDescent="0.3">
      <c r="A227" s="140" t="s">
        <v>28</v>
      </c>
      <c r="B227" s="140" t="s">
        <v>154</v>
      </c>
      <c r="C227" s="141">
        <v>0.30208333333333331</v>
      </c>
      <c r="D227" s="140" t="s">
        <v>30</v>
      </c>
      <c r="E227" s="142"/>
      <c r="F227" s="140" t="s">
        <v>31</v>
      </c>
      <c r="G227" s="217"/>
      <c r="H227" s="143" t="s">
        <v>154</v>
      </c>
      <c r="I227" s="144">
        <v>7.22E-2</v>
      </c>
      <c r="J227" s="145">
        <v>13</v>
      </c>
      <c r="K227" s="146" t="s">
        <v>50</v>
      </c>
      <c r="L227" s="145">
        <v>13</v>
      </c>
      <c r="M227" s="145">
        <v>0</v>
      </c>
      <c r="N227" s="145">
        <v>0</v>
      </c>
      <c r="O227" s="147" t="s">
        <v>37</v>
      </c>
      <c r="P227" s="148">
        <v>0.30208333333333331</v>
      </c>
      <c r="Q227" s="145">
        <v>180</v>
      </c>
      <c r="R227" s="149" t="s">
        <v>225</v>
      </c>
    </row>
    <row r="228" spans="1:18" ht="49.95" customHeight="1" x14ac:dyDescent="0.3">
      <c r="A228" s="127" t="s">
        <v>28</v>
      </c>
      <c r="B228" s="127" t="s">
        <v>156</v>
      </c>
      <c r="C228" s="128">
        <v>0.34375</v>
      </c>
      <c r="D228" s="127" t="s">
        <v>30</v>
      </c>
      <c r="E228" s="129"/>
      <c r="F228" s="127" t="s">
        <v>31</v>
      </c>
      <c r="G228" s="217"/>
      <c r="H228" s="130" t="s">
        <v>156</v>
      </c>
      <c r="I228" s="131">
        <v>2.2200000000000001E-2</v>
      </c>
      <c r="J228" s="132">
        <v>4</v>
      </c>
      <c r="K228" s="133" t="s">
        <v>167</v>
      </c>
      <c r="L228" s="132">
        <v>4</v>
      </c>
      <c r="M228" s="132">
        <v>0</v>
      </c>
      <c r="N228" s="132">
        <v>0</v>
      </c>
      <c r="O228" s="134" t="s">
        <v>161</v>
      </c>
      <c r="P228" s="135">
        <v>0.34375</v>
      </c>
      <c r="Q228" s="132">
        <v>180</v>
      </c>
      <c r="R228" s="136" t="s">
        <v>166</v>
      </c>
    </row>
    <row r="229" spans="1:18" ht="49.95" customHeight="1" x14ac:dyDescent="0.3">
      <c r="A229" s="173" t="s">
        <v>28</v>
      </c>
      <c r="B229" s="173" t="s">
        <v>158</v>
      </c>
      <c r="C229" s="174">
        <v>0.4375</v>
      </c>
      <c r="D229" s="173" t="s">
        <v>30</v>
      </c>
      <c r="E229" s="175"/>
      <c r="F229" s="173" t="s">
        <v>31</v>
      </c>
      <c r="G229" s="217"/>
      <c r="H229" s="176" t="s">
        <v>158</v>
      </c>
      <c r="I229" s="177">
        <v>0.05</v>
      </c>
      <c r="J229" s="178">
        <v>9</v>
      </c>
      <c r="K229" s="179" t="s">
        <v>53</v>
      </c>
      <c r="L229" s="178">
        <v>9</v>
      </c>
      <c r="M229" s="178">
        <v>0</v>
      </c>
      <c r="N229" s="178">
        <v>0</v>
      </c>
      <c r="O229" s="180" t="s">
        <v>147</v>
      </c>
      <c r="P229" s="181">
        <v>0.4375</v>
      </c>
      <c r="Q229" s="178">
        <v>180</v>
      </c>
      <c r="R229" s="182" t="s">
        <v>78</v>
      </c>
    </row>
    <row r="230" spans="1:18" ht="49.95" customHeight="1" thickBot="1" x14ac:dyDescent="0.35">
      <c r="A230" s="198" t="s">
        <v>28</v>
      </c>
      <c r="B230" s="198" t="s">
        <v>160</v>
      </c>
      <c r="C230" s="199">
        <v>0.9375</v>
      </c>
      <c r="D230" s="198" t="s">
        <v>30</v>
      </c>
      <c r="E230" s="200"/>
      <c r="F230" s="198" t="s">
        <v>31</v>
      </c>
      <c r="G230" s="218"/>
      <c r="H230" s="39" t="s">
        <v>160</v>
      </c>
      <c r="I230" s="40">
        <v>2.7799999999999998E-2</v>
      </c>
      <c r="J230" s="41">
        <v>5</v>
      </c>
      <c r="K230" s="42" t="s">
        <v>185</v>
      </c>
      <c r="L230" s="41">
        <v>5</v>
      </c>
      <c r="M230" s="41">
        <v>0</v>
      </c>
      <c r="N230" s="41">
        <v>0</v>
      </c>
      <c r="O230" s="43" t="s">
        <v>168</v>
      </c>
      <c r="P230" s="44">
        <v>0.9375</v>
      </c>
      <c r="Q230" s="41">
        <v>180</v>
      </c>
      <c r="R230" s="45" t="s">
        <v>226</v>
      </c>
    </row>
    <row r="231" spans="1:18" ht="17.399999999999999" customHeight="1" thickBot="1" x14ac:dyDescent="0.35">
      <c r="A231" s="233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5"/>
    </row>
    <row r="232" spans="1:18" ht="22.05" customHeight="1" thickTop="1" thickBot="1" x14ac:dyDescent="0.35">
      <c r="A232" s="201" t="s">
        <v>8</v>
      </c>
      <c r="B232" s="202"/>
      <c r="C232" s="202"/>
      <c r="D232" s="202"/>
      <c r="E232" s="202"/>
      <c r="F232" s="203"/>
      <c r="G232" s="18">
        <v>46079</v>
      </c>
      <c r="H232" s="209" t="s">
        <v>9</v>
      </c>
      <c r="I232" s="202"/>
      <c r="J232" s="202"/>
      <c r="K232" s="202"/>
      <c r="L232" s="202"/>
      <c r="M232" s="202"/>
      <c r="N232" s="202"/>
      <c r="O232" s="202"/>
      <c r="P232" s="202"/>
      <c r="Q232" s="202"/>
      <c r="R232" s="203"/>
    </row>
    <row r="233" spans="1:18" ht="24" customHeight="1" x14ac:dyDescent="0.3">
      <c r="A233" s="19" t="s">
        <v>10</v>
      </c>
      <c r="B233" s="19" t="s">
        <v>11</v>
      </c>
      <c r="C233" s="20" t="s">
        <v>12</v>
      </c>
      <c r="D233" s="19" t="s">
        <v>13</v>
      </c>
      <c r="E233" s="19" t="s">
        <v>14</v>
      </c>
      <c r="F233" s="21" t="s">
        <v>15</v>
      </c>
      <c r="G233" s="22" t="s">
        <v>16</v>
      </c>
      <c r="H233" s="19" t="s">
        <v>17</v>
      </c>
      <c r="I233" s="23" t="s">
        <v>18</v>
      </c>
      <c r="J233" s="24" t="s">
        <v>19</v>
      </c>
      <c r="K233" s="25" t="s">
        <v>20</v>
      </c>
      <c r="L233" s="24" t="s">
        <v>21</v>
      </c>
      <c r="M233" s="24" t="s">
        <v>22</v>
      </c>
      <c r="N233" s="24" t="s">
        <v>23</v>
      </c>
      <c r="O233" s="19" t="s">
        <v>24</v>
      </c>
      <c r="P233" s="20" t="s">
        <v>25</v>
      </c>
      <c r="Q233" s="24" t="s">
        <v>26</v>
      </c>
      <c r="R233" s="19" t="s">
        <v>27</v>
      </c>
    </row>
    <row r="234" spans="1:18" ht="15" customHeight="1" x14ac:dyDescent="0.3">
      <c r="A234" s="26" t="s">
        <v>28</v>
      </c>
      <c r="B234" s="26" t="s">
        <v>163</v>
      </c>
      <c r="C234" s="27">
        <v>6.5972222222222224E-2</v>
      </c>
      <c r="D234" s="26" t="s">
        <v>30</v>
      </c>
      <c r="E234" s="28"/>
      <c r="F234" s="26" t="s">
        <v>31</v>
      </c>
      <c r="G234" s="204"/>
      <c r="H234" s="176" t="s">
        <v>163</v>
      </c>
      <c r="I234" s="177">
        <v>1.67E-2</v>
      </c>
      <c r="J234" s="178">
        <v>3</v>
      </c>
      <c r="K234" s="179" t="s">
        <v>179</v>
      </c>
      <c r="L234" s="178">
        <v>3</v>
      </c>
      <c r="M234" s="178">
        <v>0</v>
      </c>
      <c r="N234" s="178">
        <v>0</v>
      </c>
      <c r="O234" s="180" t="s">
        <v>168</v>
      </c>
      <c r="P234" s="181">
        <v>6.5972222222222224E-2</v>
      </c>
      <c r="Q234" s="178">
        <v>180</v>
      </c>
      <c r="R234" s="182" t="s">
        <v>144</v>
      </c>
    </row>
    <row r="235" spans="1:18" ht="15" customHeight="1" x14ac:dyDescent="0.3">
      <c r="A235" s="137" t="s">
        <v>28</v>
      </c>
      <c r="B235" s="137" t="s">
        <v>154</v>
      </c>
      <c r="C235" s="138">
        <v>0.15625</v>
      </c>
      <c r="D235" s="137" t="s">
        <v>30</v>
      </c>
      <c r="E235" s="139"/>
      <c r="F235" s="137" t="s">
        <v>31</v>
      </c>
      <c r="G235" s="217"/>
      <c r="H235" s="97" t="s">
        <v>154</v>
      </c>
      <c r="I235" s="98">
        <v>3.8899999999999997E-2</v>
      </c>
      <c r="J235" s="99">
        <v>7</v>
      </c>
      <c r="K235" s="100" t="s">
        <v>167</v>
      </c>
      <c r="L235" s="99">
        <v>7</v>
      </c>
      <c r="M235" s="99">
        <v>0</v>
      </c>
      <c r="N235" s="99">
        <v>0</v>
      </c>
      <c r="O235" s="101" t="s">
        <v>161</v>
      </c>
      <c r="P235" s="102">
        <v>0.15625</v>
      </c>
      <c r="Q235" s="99">
        <v>180</v>
      </c>
      <c r="R235" s="103" t="s">
        <v>162</v>
      </c>
    </row>
    <row r="236" spans="1:18" ht="15" customHeight="1" x14ac:dyDescent="0.3">
      <c r="A236" s="104" t="s">
        <v>28</v>
      </c>
      <c r="B236" s="104" t="s">
        <v>164</v>
      </c>
      <c r="C236" s="105">
        <v>0.1875</v>
      </c>
      <c r="D236" s="104" t="s">
        <v>30</v>
      </c>
      <c r="E236" s="106"/>
      <c r="F236" s="104" t="s">
        <v>35</v>
      </c>
      <c r="G236" s="217"/>
      <c r="H236" s="107" t="s">
        <v>164</v>
      </c>
      <c r="I236" s="108">
        <v>0</v>
      </c>
      <c r="J236" s="109">
        <v>0</v>
      </c>
      <c r="K236" s="110" t="s">
        <v>36</v>
      </c>
      <c r="L236" s="109">
        <v>0</v>
      </c>
      <c r="M236" s="109">
        <v>0</v>
      </c>
      <c r="N236" s="109">
        <v>0</v>
      </c>
      <c r="O236" s="111" t="s">
        <v>78</v>
      </c>
      <c r="P236" s="112">
        <v>0.1875</v>
      </c>
      <c r="Q236" s="109">
        <v>180</v>
      </c>
      <c r="R236" s="113" t="s">
        <v>36</v>
      </c>
    </row>
    <row r="237" spans="1:18" ht="15" customHeight="1" x14ac:dyDescent="0.3">
      <c r="A237" s="114" t="s">
        <v>28</v>
      </c>
      <c r="B237" s="114" t="s">
        <v>158</v>
      </c>
      <c r="C237" s="115">
        <v>0.40625</v>
      </c>
      <c r="D237" s="114" t="s">
        <v>30</v>
      </c>
      <c r="E237" s="116"/>
      <c r="F237" s="114" t="s">
        <v>35</v>
      </c>
      <c r="G237" s="217"/>
      <c r="H237" s="117" t="s">
        <v>158</v>
      </c>
      <c r="I237" s="118">
        <v>0</v>
      </c>
      <c r="J237" s="119">
        <v>0</v>
      </c>
      <c r="K237" s="120" t="s">
        <v>36</v>
      </c>
      <c r="L237" s="119">
        <v>0</v>
      </c>
      <c r="M237" s="119">
        <v>0</v>
      </c>
      <c r="N237" s="119">
        <v>0</v>
      </c>
      <c r="O237" s="121" t="s">
        <v>78</v>
      </c>
      <c r="P237" s="122">
        <v>0.40625</v>
      </c>
      <c r="Q237" s="119">
        <v>180</v>
      </c>
      <c r="R237" s="123" t="s">
        <v>36</v>
      </c>
    </row>
    <row r="238" spans="1:18" ht="15" customHeight="1" x14ac:dyDescent="0.3">
      <c r="A238" s="140" t="s">
        <v>28</v>
      </c>
      <c r="B238" s="140" t="s">
        <v>169</v>
      </c>
      <c r="C238" s="141">
        <v>0.5625</v>
      </c>
      <c r="D238" s="140" t="s">
        <v>30</v>
      </c>
      <c r="E238" s="142"/>
      <c r="F238" s="140" t="s">
        <v>31</v>
      </c>
      <c r="G238" s="217"/>
      <c r="H238" s="143" t="s">
        <v>169</v>
      </c>
      <c r="I238" s="144">
        <v>5.5999999999999999E-3</v>
      </c>
      <c r="J238" s="145">
        <v>1</v>
      </c>
      <c r="K238" s="146" t="s">
        <v>46</v>
      </c>
      <c r="L238" s="145">
        <v>1</v>
      </c>
      <c r="M238" s="145">
        <v>0</v>
      </c>
      <c r="N238" s="145">
        <v>0</v>
      </c>
      <c r="O238" s="147" t="s">
        <v>78</v>
      </c>
      <c r="P238" s="148">
        <v>0.5625</v>
      </c>
      <c r="Q238" s="145">
        <v>180</v>
      </c>
      <c r="R238" s="149" t="s">
        <v>147</v>
      </c>
    </row>
    <row r="239" spans="1:18" ht="15" customHeight="1" thickBot="1" x14ac:dyDescent="0.35">
      <c r="A239" s="183" t="s">
        <v>28</v>
      </c>
      <c r="B239" s="183" t="s">
        <v>152</v>
      </c>
      <c r="C239" s="184">
        <v>0.9375</v>
      </c>
      <c r="D239" s="183" t="s">
        <v>30</v>
      </c>
      <c r="E239" s="185"/>
      <c r="F239" s="183" t="s">
        <v>31</v>
      </c>
      <c r="G239" s="218"/>
      <c r="H239" s="90" t="s">
        <v>152</v>
      </c>
      <c r="I239" s="91">
        <v>0.17219999999999999</v>
      </c>
      <c r="J239" s="92">
        <v>31</v>
      </c>
      <c r="K239" s="93" t="s">
        <v>179</v>
      </c>
      <c r="L239" s="92">
        <v>7</v>
      </c>
      <c r="M239" s="92">
        <v>0</v>
      </c>
      <c r="N239" s="92">
        <v>0</v>
      </c>
      <c r="O239" s="94" t="s">
        <v>166</v>
      </c>
      <c r="P239" s="95">
        <v>0.9375</v>
      </c>
      <c r="Q239" s="92">
        <v>180</v>
      </c>
      <c r="R239" s="96" t="s">
        <v>227</v>
      </c>
    </row>
    <row r="240" spans="1:18" ht="17.399999999999999" customHeight="1" thickBot="1" x14ac:dyDescent="0.35">
      <c r="A240" s="233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5"/>
    </row>
    <row r="241" spans="1:18" ht="22.05" customHeight="1" thickTop="1" thickBot="1" x14ac:dyDescent="0.35">
      <c r="A241" s="201" t="s">
        <v>8</v>
      </c>
      <c r="B241" s="202"/>
      <c r="C241" s="202"/>
      <c r="D241" s="202"/>
      <c r="E241" s="202"/>
      <c r="F241" s="203"/>
      <c r="G241" s="18">
        <v>46080</v>
      </c>
      <c r="H241" s="209" t="s">
        <v>9</v>
      </c>
      <c r="I241" s="202"/>
      <c r="J241" s="202"/>
      <c r="K241" s="202"/>
      <c r="L241" s="202"/>
      <c r="M241" s="202"/>
      <c r="N241" s="202"/>
      <c r="O241" s="202"/>
      <c r="P241" s="202"/>
      <c r="Q241" s="202"/>
      <c r="R241" s="203"/>
    </row>
    <row r="242" spans="1:18" ht="24" customHeight="1" x14ac:dyDescent="0.3">
      <c r="A242" s="19" t="s">
        <v>10</v>
      </c>
      <c r="B242" s="19" t="s">
        <v>11</v>
      </c>
      <c r="C242" s="20" t="s">
        <v>12</v>
      </c>
      <c r="D242" s="19" t="s">
        <v>13</v>
      </c>
      <c r="E242" s="19" t="s">
        <v>14</v>
      </c>
      <c r="F242" s="21" t="s">
        <v>15</v>
      </c>
      <c r="G242" s="22" t="s">
        <v>16</v>
      </c>
      <c r="H242" s="19" t="s">
        <v>17</v>
      </c>
      <c r="I242" s="23" t="s">
        <v>18</v>
      </c>
      <c r="J242" s="24" t="s">
        <v>19</v>
      </c>
      <c r="K242" s="25" t="s">
        <v>20</v>
      </c>
      <c r="L242" s="24" t="s">
        <v>21</v>
      </c>
      <c r="M242" s="24" t="s">
        <v>22</v>
      </c>
      <c r="N242" s="24" t="s">
        <v>23</v>
      </c>
      <c r="O242" s="19" t="s">
        <v>24</v>
      </c>
      <c r="P242" s="20" t="s">
        <v>25</v>
      </c>
      <c r="Q242" s="24" t="s">
        <v>26</v>
      </c>
      <c r="R242" s="19" t="s">
        <v>27</v>
      </c>
    </row>
    <row r="243" spans="1:18" ht="49.95" customHeight="1" x14ac:dyDescent="0.3">
      <c r="A243" s="8" t="s">
        <v>28</v>
      </c>
      <c r="B243" s="8" t="s">
        <v>154</v>
      </c>
      <c r="C243" s="9">
        <v>0.1423611111111111</v>
      </c>
      <c r="D243" s="8" t="s">
        <v>30</v>
      </c>
      <c r="E243" s="10"/>
      <c r="F243" s="8" t="s">
        <v>31</v>
      </c>
      <c r="G243" s="208"/>
      <c r="H243" s="130" t="s">
        <v>154</v>
      </c>
      <c r="I243" s="131">
        <v>0.05</v>
      </c>
      <c r="J243" s="132">
        <v>9</v>
      </c>
      <c r="K243" s="133" t="s">
        <v>170</v>
      </c>
      <c r="L243" s="132">
        <v>9</v>
      </c>
      <c r="M243" s="132">
        <v>0</v>
      </c>
      <c r="N243" s="132">
        <v>0</v>
      </c>
      <c r="O243" s="134" t="s">
        <v>166</v>
      </c>
      <c r="P243" s="135">
        <v>0.1423611111111111</v>
      </c>
      <c r="Q243" s="132">
        <v>180</v>
      </c>
      <c r="R243" s="136" t="s">
        <v>228</v>
      </c>
    </row>
    <row r="244" spans="1:18" ht="49.95" customHeight="1" x14ac:dyDescent="0.3">
      <c r="A244" s="137" t="s">
        <v>28</v>
      </c>
      <c r="B244" s="137" t="s">
        <v>158</v>
      </c>
      <c r="C244" s="138">
        <v>0.28125</v>
      </c>
      <c r="D244" s="137" t="s">
        <v>30</v>
      </c>
      <c r="E244" s="139"/>
      <c r="F244" s="137" t="s">
        <v>31</v>
      </c>
      <c r="G244" s="217"/>
      <c r="H244" s="97" t="s">
        <v>158</v>
      </c>
      <c r="I244" s="98">
        <v>3.3300000000000003E-2</v>
      </c>
      <c r="J244" s="99">
        <v>6</v>
      </c>
      <c r="K244" s="100" t="s">
        <v>53</v>
      </c>
      <c r="L244" s="99">
        <v>6</v>
      </c>
      <c r="M244" s="99">
        <v>0</v>
      </c>
      <c r="N244" s="99">
        <v>0</v>
      </c>
      <c r="O244" s="101" t="s">
        <v>126</v>
      </c>
      <c r="P244" s="102">
        <v>0.28125</v>
      </c>
      <c r="Q244" s="99">
        <v>180</v>
      </c>
      <c r="R244" s="103" t="s">
        <v>229</v>
      </c>
    </row>
    <row r="245" spans="1:18" ht="49.95" customHeight="1" x14ac:dyDescent="0.3">
      <c r="A245" s="186" t="s">
        <v>28</v>
      </c>
      <c r="B245" s="186" t="s">
        <v>169</v>
      </c>
      <c r="C245" s="187">
        <v>0.4375</v>
      </c>
      <c r="D245" s="186" t="s">
        <v>30</v>
      </c>
      <c r="E245" s="188"/>
      <c r="F245" s="186" t="s">
        <v>31</v>
      </c>
      <c r="G245" s="217"/>
      <c r="H245" s="166" t="s">
        <v>169</v>
      </c>
      <c r="I245" s="167">
        <v>1.67E-2</v>
      </c>
      <c r="J245" s="168">
        <v>3</v>
      </c>
      <c r="K245" s="169" t="s">
        <v>194</v>
      </c>
      <c r="L245" s="168">
        <v>3</v>
      </c>
      <c r="M245" s="168">
        <v>0</v>
      </c>
      <c r="N245" s="168">
        <v>0</v>
      </c>
      <c r="O245" s="170" t="s">
        <v>129</v>
      </c>
      <c r="P245" s="171">
        <v>0.4375</v>
      </c>
      <c r="Q245" s="168">
        <v>180</v>
      </c>
      <c r="R245" s="172" t="s">
        <v>180</v>
      </c>
    </row>
    <row r="246" spans="1:18" ht="49.95" customHeight="1" x14ac:dyDescent="0.3">
      <c r="A246" s="104" t="s">
        <v>28</v>
      </c>
      <c r="B246" s="104" t="s">
        <v>160</v>
      </c>
      <c r="C246" s="105">
        <v>0.55902777777777779</v>
      </c>
      <c r="D246" s="104" t="s">
        <v>30</v>
      </c>
      <c r="E246" s="106"/>
      <c r="F246" s="104" t="s">
        <v>31</v>
      </c>
      <c r="G246" s="217"/>
      <c r="H246" s="107" t="s">
        <v>160</v>
      </c>
      <c r="I246" s="108">
        <v>1.11E-2</v>
      </c>
      <c r="J246" s="109">
        <v>2</v>
      </c>
      <c r="K246" s="110" t="s">
        <v>65</v>
      </c>
      <c r="L246" s="109">
        <v>2</v>
      </c>
      <c r="M246" s="109">
        <v>0</v>
      </c>
      <c r="N246" s="109">
        <v>0</v>
      </c>
      <c r="O246" s="111" t="s">
        <v>230</v>
      </c>
      <c r="P246" s="112">
        <v>0.55902777777777779</v>
      </c>
      <c r="Q246" s="109">
        <v>180</v>
      </c>
      <c r="R246" s="113" t="s">
        <v>157</v>
      </c>
    </row>
    <row r="247" spans="1:18" ht="49.95" customHeight="1" thickBot="1" x14ac:dyDescent="0.35">
      <c r="A247" s="163" t="s">
        <v>28</v>
      </c>
      <c r="B247" s="163" t="s">
        <v>156</v>
      </c>
      <c r="C247" s="164">
        <v>0.76041666666666663</v>
      </c>
      <c r="D247" s="163" t="s">
        <v>30</v>
      </c>
      <c r="E247" s="165"/>
      <c r="F247" s="163" t="s">
        <v>31</v>
      </c>
      <c r="G247" s="218"/>
      <c r="H247" s="59" t="s">
        <v>156</v>
      </c>
      <c r="I247" s="60">
        <v>5.5599999999999997E-2</v>
      </c>
      <c r="J247" s="61">
        <v>10</v>
      </c>
      <c r="K247" s="62" t="s">
        <v>50</v>
      </c>
      <c r="L247" s="61">
        <v>10</v>
      </c>
      <c r="M247" s="61">
        <v>0</v>
      </c>
      <c r="N247" s="61">
        <v>0</v>
      </c>
      <c r="O247" s="63" t="s">
        <v>78</v>
      </c>
      <c r="P247" s="64">
        <v>0.76041666666666663</v>
      </c>
      <c r="Q247" s="61">
        <v>180</v>
      </c>
      <c r="R247" s="65" t="s">
        <v>137</v>
      </c>
    </row>
    <row r="248" spans="1:18" ht="17.399999999999999" customHeight="1" thickBot="1" x14ac:dyDescent="0.35">
      <c r="A248" s="233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5"/>
    </row>
    <row r="249" spans="1:18" ht="22.05" customHeight="1" thickTop="1" thickBot="1" x14ac:dyDescent="0.35">
      <c r="A249" s="201" t="s">
        <v>8</v>
      </c>
      <c r="B249" s="202"/>
      <c r="C249" s="202"/>
      <c r="D249" s="202"/>
      <c r="E249" s="202"/>
      <c r="F249" s="203"/>
      <c r="G249" s="18">
        <v>46081</v>
      </c>
      <c r="H249" s="209" t="s">
        <v>9</v>
      </c>
      <c r="I249" s="202"/>
      <c r="J249" s="202"/>
      <c r="K249" s="202"/>
      <c r="L249" s="202"/>
      <c r="M249" s="202"/>
      <c r="N249" s="202"/>
      <c r="O249" s="202"/>
      <c r="P249" s="202"/>
      <c r="Q249" s="202"/>
      <c r="R249" s="203"/>
    </row>
    <row r="250" spans="1:18" ht="24" customHeight="1" x14ac:dyDescent="0.3">
      <c r="A250" s="19" t="s">
        <v>10</v>
      </c>
      <c r="B250" s="19" t="s">
        <v>11</v>
      </c>
      <c r="C250" s="20" t="s">
        <v>12</v>
      </c>
      <c r="D250" s="19" t="s">
        <v>13</v>
      </c>
      <c r="E250" s="19" t="s">
        <v>14</v>
      </c>
      <c r="F250" s="21" t="s">
        <v>15</v>
      </c>
      <c r="G250" s="22" t="s">
        <v>16</v>
      </c>
      <c r="H250" s="19" t="s">
        <v>17</v>
      </c>
      <c r="I250" s="23" t="s">
        <v>18</v>
      </c>
      <c r="J250" s="24" t="s">
        <v>19</v>
      </c>
      <c r="K250" s="25" t="s">
        <v>20</v>
      </c>
      <c r="L250" s="24" t="s">
        <v>21</v>
      </c>
      <c r="M250" s="24" t="s">
        <v>22</v>
      </c>
      <c r="N250" s="24" t="s">
        <v>23</v>
      </c>
      <c r="O250" s="19" t="s">
        <v>24</v>
      </c>
      <c r="P250" s="20" t="s">
        <v>25</v>
      </c>
      <c r="Q250" s="24" t="s">
        <v>26</v>
      </c>
      <c r="R250" s="19" t="s">
        <v>27</v>
      </c>
    </row>
    <row r="251" spans="1:18" ht="49.95" customHeight="1" x14ac:dyDescent="0.3">
      <c r="A251" s="46" t="s">
        <v>28</v>
      </c>
      <c r="B251" s="46" t="s">
        <v>163</v>
      </c>
      <c r="C251" s="47">
        <v>4.8611111111111112E-2</v>
      </c>
      <c r="D251" s="46" t="s">
        <v>30</v>
      </c>
      <c r="E251" s="48"/>
      <c r="F251" s="46" t="s">
        <v>31</v>
      </c>
      <c r="G251" s="204"/>
      <c r="H251" s="107" t="s">
        <v>163</v>
      </c>
      <c r="I251" s="108">
        <v>5.3800000000000001E-2</v>
      </c>
      <c r="J251" s="109">
        <v>10</v>
      </c>
      <c r="K251" s="110" t="s">
        <v>193</v>
      </c>
      <c r="L251" s="109">
        <v>10</v>
      </c>
      <c r="M251" s="109">
        <v>0</v>
      </c>
      <c r="N251" s="109">
        <v>0</v>
      </c>
      <c r="O251" s="111" t="s">
        <v>78</v>
      </c>
      <c r="P251" s="112">
        <v>4.8611111111111112E-2</v>
      </c>
      <c r="Q251" s="109">
        <v>186</v>
      </c>
      <c r="R251" s="113" t="s">
        <v>137</v>
      </c>
    </row>
    <row r="252" spans="1:18" ht="49.95" customHeight="1" x14ac:dyDescent="0.3">
      <c r="A252" s="186" t="s">
        <v>28</v>
      </c>
      <c r="B252" s="186" t="s">
        <v>154</v>
      </c>
      <c r="C252" s="187">
        <v>0.15625</v>
      </c>
      <c r="D252" s="186" t="s">
        <v>30</v>
      </c>
      <c r="E252" s="188"/>
      <c r="F252" s="186" t="s">
        <v>31</v>
      </c>
      <c r="G252" s="217"/>
      <c r="H252" s="166" t="s">
        <v>154</v>
      </c>
      <c r="I252" s="167">
        <v>3.3300000000000003E-2</v>
      </c>
      <c r="J252" s="168">
        <v>6</v>
      </c>
      <c r="K252" s="169" t="s">
        <v>231</v>
      </c>
      <c r="L252" s="168">
        <v>6</v>
      </c>
      <c r="M252" s="168">
        <v>0</v>
      </c>
      <c r="N252" s="168">
        <v>0</v>
      </c>
      <c r="O252" s="170" t="s">
        <v>168</v>
      </c>
      <c r="P252" s="171">
        <v>0.15625</v>
      </c>
      <c r="Q252" s="168">
        <v>180</v>
      </c>
      <c r="R252" s="172" t="s">
        <v>155</v>
      </c>
    </row>
    <row r="253" spans="1:18" ht="49.95" customHeight="1" x14ac:dyDescent="0.3">
      <c r="A253" s="150" t="s">
        <v>28</v>
      </c>
      <c r="B253" s="150" t="s">
        <v>158</v>
      </c>
      <c r="C253" s="151">
        <v>0.50347222222222221</v>
      </c>
      <c r="D253" s="150" t="s">
        <v>30</v>
      </c>
      <c r="E253" s="152"/>
      <c r="F253" s="150" t="s">
        <v>31</v>
      </c>
      <c r="G253" s="217"/>
      <c r="H253" s="153" t="s">
        <v>158</v>
      </c>
      <c r="I253" s="154">
        <v>8.8900000000000007E-2</v>
      </c>
      <c r="J253" s="155">
        <v>16</v>
      </c>
      <c r="K253" s="156" t="s">
        <v>170</v>
      </c>
      <c r="L253" s="155">
        <v>16</v>
      </c>
      <c r="M253" s="155">
        <v>0</v>
      </c>
      <c r="N253" s="155">
        <v>0</v>
      </c>
      <c r="O253" s="157" t="s">
        <v>168</v>
      </c>
      <c r="P253" s="158">
        <v>0.50347222222222221</v>
      </c>
      <c r="Q253" s="155">
        <v>180</v>
      </c>
      <c r="R253" s="159" t="s">
        <v>232</v>
      </c>
    </row>
    <row r="254" spans="1:18" ht="49.95" customHeight="1" thickBot="1" x14ac:dyDescent="0.35">
      <c r="A254" s="160" t="s">
        <v>28</v>
      </c>
      <c r="B254" s="160" t="s">
        <v>152</v>
      </c>
      <c r="C254" s="161">
        <v>0.90625</v>
      </c>
      <c r="D254" s="160" t="s">
        <v>30</v>
      </c>
      <c r="E254" s="162"/>
      <c r="F254" s="160" t="s">
        <v>31</v>
      </c>
      <c r="G254" s="218"/>
      <c r="H254" s="69" t="s">
        <v>152</v>
      </c>
      <c r="I254" s="70">
        <v>6.6699999999999995E-2</v>
      </c>
      <c r="J254" s="71">
        <v>12</v>
      </c>
      <c r="K254" s="72" t="s">
        <v>179</v>
      </c>
      <c r="L254" s="71">
        <v>12</v>
      </c>
      <c r="M254" s="71">
        <v>0</v>
      </c>
      <c r="N254" s="71">
        <v>0</v>
      </c>
      <c r="O254" s="73" t="s">
        <v>78</v>
      </c>
      <c r="P254" s="74">
        <v>0.90625</v>
      </c>
      <c r="Q254" s="71">
        <v>180</v>
      </c>
      <c r="R254" s="75" t="s">
        <v>233</v>
      </c>
    </row>
    <row r="255" spans="1:18" ht="17.399999999999999" customHeight="1" thickBot="1" x14ac:dyDescent="0.35">
      <c r="A255" s="233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5"/>
    </row>
    <row r="256" spans="1:18" ht="22.05" customHeight="1" thickTop="1" thickBot="1" x14ac:dyDescent="0.35">
      <c r="A256" s="201" t="s">
        <v>8</v>
      </c>
      <c r="B256" s="202"/>
      <c r="C256" s="202"/>
      <c r="D256" s="202"/>
      <c r="E256" s="202"/>
      <c r="F256" s="203"/>
      <c r="G256" s="18">
        <v>46082</v>
      </c>
      <c r="H256" s="209" t="s">
        <v>9</v>
      </c>
      <c r="I256" s="202"/>
      <c r="J256" s="202"/>
      <c r="K256" s="202"/>
      <c r="L256" s="202"/>
      <c r="M256" s="202"/>
      <c r="N256" s="202"/>
      <c r="O256" s="202"/>
      <c r="P256" s="202"/>
      <c r="Q256" s="202"/>
      <c r="R256" s="203"/>
    </row>
    <row r="257" spans="1:18" ht="24" customHeight="1" x14ac:dyDescent="0.3">
      <c r="A257" s="19" t="s">
        <v>10</v>
      </c>
      <c r="B257" s="19" t="s">
        <v>11</v>
      </c>
      <c r="C257" s="20" t="s">
        <v>12</v>
      </c>
      <c r="D257" s="19" t="s">
        <v>13</v>
      </c>
      <c r="E257" s="19" t="s">
        <v>14</v>
      </c>
      <c r="F257" s="21" t="s">
        <v>15</v>
      </c>
      <c r="G257" s="22" t="s">
        <v>16</v>
      </c>
      <c r="H257" s="19" t="s">
        <v>17</v>
      </c>
      <c r="I257" s="23" t="s">
        <v>18</v>
      </c>
      <c r="J257" s="24" t="s">
        <v>19</v>
      </c>
      <c r="K257" s="25" t="s">
        <v>20</v>
      </c>
      <c r="L257" s="24" t="s">
        <v>21</v>
      </c>
      <c r="M257" s="24" t="s">
        <v>22</v>
      </c>
      <c r="N257" s="24" t="s">
        <v>23</v>
      </c>
      <c r="O257" s="19" t="s">
        <v>24</v>
      </c>
      <c r="P257" s="20" t="s">
        <v>25</v>
      </c>
      <c r="Q257" s="24" t="s">
        <v>26</v>
      </c>
      <c r="R257" s="19" t="s">
        <v>27</v>
      </c>
    </row>
    <row r="258" spans="1:18" ht="49.95" customHeight="1" x14ac:dyDescent="0.3">
      <c r="A258" s="76" t="s">
        <v>28</v>
      </c>
      <c r="B258" s="76" t="s">
        <v>154</v>
      </c>
      <c r="C258" s="77">
        <v>0.1423611111111111</v>
      </c>
      <c r="D258" s="76" t="s">
        <v>30</v>
      </c>
      <c r="E258" s="78"/>
      <c r="F258" s="76" t="s">
        <v>35</v>
      </c>
      <c r="G258" s="204"/>
      <c r="H258" s="166" t="s">
        <v>154</v>
      </c>
      <c r="I258" s="167">
        <v>0</v>
      </c>
      <c r="J258" s="168">
        <v>0</v>
      </c>
      <c r="K258" s="169" t="s">
        <v>36</v>
      </c>
      <c r="L258" s="168">
        <v>0</v>
      </c>
      <c r="M258" s="168">
        <v>0</v>
      </c>
      <c r="N258" s="168">
        <v>0</v>
      </c>
      <c r="O258" s="170" t="s">
        <v>234</v>
      </c>
      <c r="P258" s="171">
        <v>0.1423611111111111</v>
      </c>
      <c r="Q258" s="168">
        <v>180</v>
      </c>
      <c r="R258" s="172" t="s">
        <v>36</v>
      </c>
    </row>
    <row r="259" spans="1:18" ht="49.95" customHeight="1" x14ac:dyDescent="0.3">
      <c r="A259" s="140" t="s">
        <v>28</v>
      </c>
      <c r="B259" s="140" t="s">
        <v>164</v>
      </c>
      <c r="C259" s="141">
        <v>0.15625</v>
      </c>
      <c r="D259" s="140" t="s">
        <v>30</v>
      </c>
      <c r="E259" s="142"/>
      <c r="F259" s="140" t="s">
        <v>35</v>
      </c>
      <c r="G259" s="217"/>
      <c r="H259" s="143" t="s">
        <v>164</v>
      </c>
      <c r="I259" s="144">
        <v>0</v>
      </c>
      <c r="J259" s="145">
        <v>0</v>
      </c>
      <c r="K259" s="146" t="s">
        <v>36</v>
      </c>
      <c r="L259" s="145">
        <v>0</v>
      </c>
      <c r="M259" s="145">
        <v>0</v>
      </c>
      <c r="N259" s="145">
        <v>0</v>
      </c>
      <c r="O259" s="147" t="s">
        <v>234</v>
      </c>
      <c r="P259" s="148">
        <v>0.15625</v>
      </c>
      <c r="Q259" s="145">
        <v>180</v>
      </c>
      <c r="R259" s="149" t="s">
        <v>36</v>
      </c>
    </row>
    <row r="260" spans="1:18" ht="49.95" customHeight="1" x14ac:dyDescent="0.3">
      <c r="A260" s="150" t="s">
        <v>28</v>
      </c>
      <c r="B260" s="150" t="s">
        <v>156</v>
      </c>
      <c r="C260" s="151">
        <v>0.33333333333333331</v>
      </c>
      <c r="D260" s="150" t="s">
        <v>30</v>
      </c>
      <c r="E260" s="152"/>
      <c r="F260" s="150" t="s">
        <v>35</v>
      </c>
      <c r="G260" s="217"/>
      <c r="H260" s="153" t="s">
        <v>156</v>
      </c>
      <c r="I260" s="154">
        <v>0</v>
      </c>
      <c r="J260" s="155">
        <v>0</v>
      </c>
      <c r="K260" s="156" t="s">
        <v>36</v>
      </c>
      <c r="L260" s="155">
        <v>0</v>
      </c>
      <c r="M260" s="155">
        <v>0</v>
      </c>
      <c r="N260" s="155">
        <v>0</v>
      </c>
      <c r="O260" s="157" t="s">
        <v>234</v>
      </c>
      <c r="P260" s="158">
        <v>0.33333333333333331</v>
      </c>
      <c r="Q260" s="155">
        <v>180</v>
      </c>
      <c r="R260" s="159" t="s">
        <v>36</v>
      </c>
    </row>
    <row r="261" spans="1:18" ht="49.95" customHeight="1" x14ac:dyDescent="0.3">
      <c r="A261" s="137" t="s">
        <v>28</v>
      </c>
      <c r="B261" s="137" t="s">
        <v>158</v>
      </c>
      <c r="C261" s="138">
        <v>0.4548611111111111</v>
      </c>
      <c r="D261" s="137" t="s">
        <v>30</v>
      </c>
      <c r="E261" s="139"/>
      <c r="F261" s="137" t="s">
        <v>35</v>
      </c>
      <c r="G261" s="217"/>
      <c r="H261" s="97" t="s">
        <v>158</v>
      </c>
      <c r="I261" s="98">
        <v>0</v>
      </c>
      <c r="J261" s="99">
        <v>0</v>
      </c>
      <c r="K261" s="100" t="s">
        <v>36</v>
      </c>
      <c r="L261" s="99">
        <v>0</v>
      </c>
      <c r="M261" s="99">
        <v>0</v>
      </c>
      <c r="N261" s="99">
        <v>0</v>
      </c>
      <c r="O261" s="101" t="s">
        <v>234</v>
      </c>
      <c r="P261" s="102">
        <v>0.4548611111111111</v>
      </c>
      <c r="Q261" s="99">
        <v>180</v>
      </c>
      <c r="R261" s="103" t="s">
        <v>36</v>
      </c>
    </row>
    <row r="262" spans="1:18" ht="49.95" customHeight="1" x14ac:dyDescent="0.3">
      <c r="A262" s="183" t="s">
        <v>28</v>
      </c>
      <c r="B262" s="183" t="s">
        <v>169</v>
      </c>
      <c r="C262" s="184">
        <v>0.82986111111111116</v>
      </c>
      <c r="D262" s="183" t="s">
        <v>30</v>
      </c>
      <c r="E262" s="185"/>
      <c r="F262" s="183" t="s">
        <v>35</v>
      </c>
      <c r="G262" s="218"/>
      <c r="H262" s="90" t="s">
        <v>169</v>
      </c>
      <c r="I262" s="91">
        <v>0</v>
      </c>
      <c r="J262" s="92">
        <v>0</v>
      </c>
      <c r="K262" s="93" t="s">
        <v>36</v>
      </c>
      <c r="L262" s="92">
        <v>0</v>
      </c>
      <c r="M262" s="92">
        <v>0</v>
      </c>
      <c r="N262" s="92">
        <v>0</v>
      </c>
      <c r="O262" s="94" t="s">
        <v>234</v>
      </c>
      <c r="P262" s="95">
        <v>0.82986111111111116</v>
      </c>
      <c r="Q262" s="92">
        <v>180</v>
      </c>
      <c r="R262" s="96" t="s">
        <v>36</v>
      </c>
    </row>
  </sheetData>
  <mergeCells count="138">
    <mergeCell ref="G258:G262"/>
    <mergeCell ref="H76:R76"/>
    <mergeCell ref="G93:G97"/>
    <mergeCell ref="G6:G10"/>
    <mergeCell ref="A3:R3"/>
    <mergeCell ref="H114:R114"/>
    <mergeCell ref="A194:F194"/>
    <mergeCell ref="H177:R177"/>
    <mergeCell ref="H21:R21"/>
    <mergeCell ref="G162:G167"/>
    <mergeCell ref="A4:F4"/>
    <mergeCell ref="A209:F209"/>
    <mergeCell ref="A91:F91"/>
    <mergeCell ref="A159:R159"/>
    <mergeCell ref="A20:R20"/>
    <mergeCell ref="G101:G103"/>
    <mergeCell ref="A200:R200"/>
    <mergeCell ref="A121:R121"/>
    <mergeCell ref="G61:G65"/>
    <mergeCell ref="A67:F67"/>
    <mergeCell ref="H99:R99"/>
    <mergeCell ref="A201:F201"/>
    <mergeCell ref="A58:R58"/>
    <mergeCell ref="G116:G120"/>
    <mergeCell ref="H131:R131"/>
    <mergeCell ref="G31:G34"/>
    <mergeCell ref="A146:F146"/>
    <mergeCell ref="G234:G239"/>
    <mergeCell ref="A36:F36"/>
    <mergeCell ref="G38:G42"/>
    <mergeCell ref="A138:R138"/>
    <mergeCell ref="H160:R160"/>
    <mergeCell ref="A256:F256"/>
    <mergeCell ref="G148:G152"/>
    <mergeCell ref="H215:R215"/>
    <mergeCell ref="H224:R224"/>
    <mergeCell ref="H256:R256"/>
    <mergeCell ref="A66:R66"/>
    <mergeCell ref="A75:R75"/>
    <mergeCell ref="H44:R44"/>
    <mergeCell ref="H122:R122"/>
    <mergeCell ref="H241:R241"/>
    <mergeCell ref="G251:G254"/>
    <mergeCell ref="H154:R154"/>
    <mergeCell ref="G171:G175"/>
    <mergeCell ref="A177:F177"/>
    <mergeCell ref="H209:R209"/>
    <mergeCell ref="A193:R193"/>
    <mergeCell ref="A105:F105"/>
    <mergeCell ref="A255:R255"/>
    <mergeCell ref="A139:F139"/>
    <mergeCell ref="A154:F154"/>
    <mergeCell ref="G107:G112"/>
    <mergeCell ref="G141:G144"/>
    <mergeCell ref="H146:R146"/>
    <mergeCell ref="A248:R248"/>
    <mergeCell ref="G179:G184"/>
    <mergeCell ref="A113:R113"/>
    <mergeCell ref="H201:R201"/>
    <mergeCell ref="G196:G199"/>
    <mergeCell ref="A185:R185"/>
    <mergeCell ref="G203:G207"/>
    <mergeCell ref="A131:F131"/>
    <mergeCell ref="G124:G129"/>
    <mergeCell ref="G243:G247"/>
    <mergeCell ref="A130:R130"/>
    <mergeCell ref="A249:F249"/>
    <mergeCell ref="A28:R28"/>
    <mergeCell ref="H194:R194"/>
    <mergeCell ref="H186:R186"/>
    <mergeCell ref="A186:F186"/>
    <mergeCell ref="A176:R176"/>
    <mergeCell ref="H249:R249"/>
    <mergeCell ref="H105:R105"/>
    <mergeCell ref="A11:R11"/>
    <mergeCell ref="H139:R139"/>
    <mergeCell ref="A241:F241"/>
    <mergeCell ref="A98:R98"/>
    <mergeCell ref="A153:R153"/>
    <mergeCell ref="G133:G137"/>
    <mergeCell ref="A99:F99"/>
    <mergeCell ref="H91:R91"/>
    <mergeCell ref="G86:G89"/>
    <mergeCell ref="A208:R208"/>
    <mergeCell ref="A90:R90"/>
    <mergeCell ref="G188:G192"/>
    <mergeCell ref="G217:G222"/>
    <mergeCell ref="H50:R50"/>
    <mergeCell ref="G52:G57"/>
    <mergeCell ref="A145:R145"/>
    <mergeCell ref="H232:R232"/>
    <mergeCell ref="H59:R59"/>
    <mergeCell ref="A224:F224"/>
    <mergeCell ref="H169:R169"/>
    <mergeCell ref="G226:G230"/>
    <mergeCell ref="A29:F29"/>
    <mergeCell ref="A35:R35"/>
    <mergeCell ref="A240:R240"/>
    <mergeCell ref="A44:F44"/>
    <mergeCell ref="A122:F122"/>
    <mergeCell ref="A215:F215"/>
    <mergeCell ref="H36:R36"/>
    <mergeCell ref="A231:R231"/>
    <mergeCell ref="A232:F232"/>
    <mergeCell ref="A114:F114"/>
    <mergeCell ref="A59:F59"/>
    <mergeCell ref="A83:R83"/>
    <mergeCell ref="A169:F169"/>
    <mergeCell ref="A49:R49"/>
    <mergeCell ref="G156:G158"/>
    <mergeCell ref="A168:R168"/>
    <mergeCell ref="A104:R104"/>
    <mergeCell ref="A76:F76"/>
    <mergeCell ref="G46:G48"/>
    <mergeCell ref="G78:G82"/>
    <mergeCell ref="A84:F84"/>
    <mergeCell ref="H67:R67"/>
    <mergeCell ref="H1:L1"/>
    <mergeCell ref="A1:E1"/>
    <mergeCell ref="A50:F50"/>
    <mergeCell ref="A214:R214"/>
    <mergeCell ref="A223:R223"/>
    <mergeCell ref="A160:F160"/>
    <mergeCell ref="G211:G213"/>
    <mergeCell ref="A2:F2"/>
    <mergeCell ref="G23:G27"/>
    <mergeCell ref="H12:R12"/>
    <mergeCell ref="G2:J2"/>
    <mergeCell ref="N1:R1"/>
    <mergeCell ref="G69:G74"/>
    <mergeCell ref="A43:R43"/>
    <mergeCell ref="K2:R2"/>
    <mergeCell ref="G14:G19"/>
    <mergeCell ref="H84:R84"/>
    <mergeCell ref="H29:R29"/>
    <mergeCell ref="A12:F12"/>
    <mergeCell ref="A21:F21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63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109375" style="220" bestFit="1" customWidth="1"/>
    <col min="3" max="3" width="7" style="220" bestFit="1" customWidth="1"/>
    <col min="4" max="4" width="5.5546875" style="220" bestFit="1" customWidth="1"/>
    <col min="5" max="5" width="7.5546875" style="220" bestFit="1" customWidth="1"/>
    <col min="6" max="6" width="4.21875" style="220" bestFit="1" customWidth="1"/>
    <col min="7" max="7" width="8.44140625" style="220" bestFit="1" customWidth="1"/>
    <col min="8" max="8" width="10.109375" style="220" bestFit="1" customWidth="1"/>
    <col min="9" max="9" width="8.5546875" style="220" bestFit="1" customWidth="1"/>
    <col min="10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7" width="3.88671875" style="220" bestFit="1" customWidth="1"/>
    <col min="28" max="29" width="4.21875" style="220" bestFit="1" customWidth="1"/>
    <col min="30" max="30" width="4.5546875" style="220" bestFit="1" customWidth="1"/>
    <col min="31" max="32" width="3.88671875" style="220" bestFit="1" customWidth="1"/>
    <col min="33" max="33" width="4.21875" style="220" bestFit="1" customWidth="1"/>
    <col min="34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235</v>
      </c>
      <c r="B2" s="222">
        <v>46050</v>
      </c>
      <c r="C2" s="223" t="s">
        <v>152</v>
      </c>
      <c r="D2" s="224" t="s">
        <v>236</v>
      </c>
      <c r="E2" s="223" t="s">
        <v>151</v>
      </c>
      <c r="F2" s="223" t="s">
        <v>111</v>
      </c>
      <c r="G2" s="225">
        <v>2.7799999999999998E-2</v>
      </c>
      <c r="H2" s="226">
        <v>180</v>
      </c>
      <c r="I2" s="226">
        <v>5</v>
      </c>
      <c r="J2" s="226">
        <v>0</v>
      </c>
      <c r="K2" s="223" t="s">
        <v>112</v>
      </c>
      <c r="L2" s="227" t="s">
        <v>153</v>
      </c>
      <c r="M2" s="226">
        <v>0</v>
      </c>
      <c r="N2" s="226">
        <v>0</v>
      </c>
      <c r="O2" s="226">
        <v>7</v>
      </c>
      <c r="P2" s="223" t="s">
        <v>66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26" t="s">
        <v>126</v>
      </c>
      <c r="AE2" s="219"/>
      <c r="AF2" s="219"/>
      <c r="AG2" s="219"/>
      <c r="AH2" s="219"/>
      <c r="AI2" s="219"/>
      <c r="AJ2" s="219"/>
    </row>
    <row r="3" spans="1:36" x14ac:dyDescent="0.3">
      <c r="A3" s="221" t="s">
        <v>235</v>
      </c>
      <c r="B3" s="222">
        <v>46050</v>
      </c>
      <c r="C3" s="223" t="s">
        <v>154</v>
      </c>
      <c r="D3" s="224" t="s">
        <v>237</v>
      </c>
      <c r="E3" s="223" t="s">
        <v>151</v>
      </c>
      <c r="F3" s="223" t="s">
        <v>111</v>
      </c>
      <c r="G3" s="225">
        <v>0</v>
      </c>
      <c r="H3" s="226">
        <v>180</v>
      </c>
      <c r="I3" s="226">
        <v>0</v>
      </c>
      <c r="J3" s="226">
        <v>0</v>
      </c>
      <c r="K3" s="223" t="s">
        <v>112</v>
      </c>
      <c r="L3" s="227" t="s">
        <v>36</v>
      </c>
      <c r="M3" s="226">
        <v>0</v>
      </c>
      <c r="N3" s="226">
        <v>0</v>
      </c>
      <c r="O3" s="226">
        <v>0</v>
      </c>
      <c r="P3" s="223" t="s">
        <v>155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</row>
    <row r="4" spans="1:36" x14ac:dyDescent="0.3">
      <c r="A4" s="221" t="s">
        <v>235</v>
      </c>
      <c r="B4" s="222">
        <v>46050</v>
      </c>
      <c r="C4" s="223" t="s">
        <v>156</v>
      </c>
      <c r="D4" s="224" t="s">
        <v>238</v>
      </c>
      <c r="E4" s="223" t="s">
        <v>151</v>
      </c>
      <c r="F4" s="223" t="s">
        <v>111</v>
      </c>
      <c r="G4" s="225">
        <v>2.1499999999999998E-2</v>
      </c>
      <c r="H4" s="226">
        <v>186</v>
      </c>
      <c r="I4" s="226">
        <v>4</v>
      </c>
      <c r="J4" s="226">
        <v>0</v>
      </c>
      <c r="K4" s="223" t="s">
        <v>112</v>
      </c>
      <c r="L4" s="227" t="s">
        <v>65</v>
      </c>
      <c r="M4" s="226">
        <v>0</v>
      </c>
      <c r="N4" s="226">
        <v>0</v>
      </c>
      <c r="O4" s="226">
        <v>4</v>
      </c>
      <c r="P4" s="223" t="s">
        <v>157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26" t="s">
        <v>56</v>
      </c>
      <c r="AE4" s="219"/>
      <c r="AF4" s="219"/>
      <c r="AG4" s="219"/>
      <c r="AH4" s="219"/>
      <c r="AI4" s="219"/>
      <c r="AJ4" s="219"/>
    </row>
    <row r="5" spans="1:36" x14ac:dyDescent="0.3">
      <c r="A5" s="221" t="s">
        <v>235</v>
      </c>
      <c r="B5" s="222">
        <v>46050</v>
      </c>
      <c r="C5" s="223" t="s">
        <v>158</v>
      </c>
      <c r="D5" s="224" t="s">
        <v>239</v>
      </c>
      <c r="E5" s="223" t="s">
        <v>151</v>
      </c>
      <c r="F5" s="223" t="s">
        <v>111</v>
      </c>
      <c r="G5" s="225">
        <v>2.2200000000000001E-2</v>
      </c>
      <c r="H5" s="226">
        <v>180</v>
      </c>
      <c r="I5" s="226">
        <v>4</v>
      </c>
      <c r="J5" s="226">
        <v>0</v>
      </c>
      <c r="K5" s="223" t="s">
        <v>112</v>
      </c>
      <c r="L5" s="227" t="s">
        <v>159</v>
      </c>
      <c r="M5" s="226">
        <v>0</v>
      </c>
      <c r="N5" s="226">
        <v>0</v>
      </c>
      <c r="O5" s="226">
        <v>4</v>
      </c>
      <c r="P5" s="223" t="s">
        <v>157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26" t="s">
        <v>56</v>
      </c>
      <c r="AE5" s="219"/>
      <c r="AF5" s="219"/>
      <c r="AG5" s="219"/>
      <c r="AH5" s="219"/>
      <c r="AI5" s="219"/>
      <c r="AJ5" s="219"/>
    </row>
    <row r="6" spans="1:36" x14ac:dyDescent="0.3">
      <c r="A6" s="221" t="s">
        <v>235</v>
      </c>
      <c r="B6" s="222">
        <v>46050</v>
      </c>
      <c r="C6" s="223" t="s">
        <v>160</v>
      </c>
      <c r="D6" s="224" t="s">
        <v>240</v>
      </c>
      <c r="E6" s="223" t="s">
        <v>151</v>
      </c>
      <c r="F6" s="223" t="s">
        <v>111</v>
      </c>
      <c r="G6" s="225">
        <v>3.8899999999999997E-2</v>
      </c>
      <c r="H6" s="226">
        <v>180</v>
      </c>
      <c r="I6" s="226">
        <v>7</v>
      </c>
      <c r="J6" s="226">
        <v>0</v>
      </c>
      <c r="K6" s="223" t="s">
        <v>112</v>
      </c>
      <c r="L6" s="227" t="s">
        <v>53</v>
      </c>
      <c r="M6" s="226">
        <v>0</v>
      </c>
      <c r="N6" s="226">
        <v>0</v>
      </c>
      <c r="O6" s="226">
        <v>7</v>
      </c>
      <c r="P6" s="223" t="s">
        <v>161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26" t="s">
        <v>147</v>
      </c>
      <c r="AD6" s="226" t="s">
        <v>155</v>
      </c>
      <c r="AE6" s="219"/>
      <c r="AF6" s="219"/>
      <c r="AG6" s="219"/>
      <c r="AH6" s="219"/>
      <c r="AI6" s="219"/>
      <c r="AJ6" s="219"/>
    </row>
    <row r="7" spans="1:36" x14ac:dyDescent="0.3">
      <c r="A7" s="221" t="s">
        <v>109</v>
      </c>
      <c r="B7" s="222">
        <v>46051</v>
      </c>
      <c r="C7" s="223" t="s">
        <v>163</v>
      </c>
      <c r="D7" s="224" t="s">
        <v>241</v>
      </c>
      <c r="E7" s="223" t="s">
        <v>151</v>
      </c>
      <c r="F7" s="223" t="s">
        <v>111</v>
      </c>
      <c r="G7" s="225">
        <v>1.11E-2</v>
      </c>
      <c r="H7" s="226">
        <v>180</v>
      </c>
      <c r="I7" s="226">
        <v>2</v>
      </c>
      <c r="J7" s="226">
        <v>0</v>
      </c>
      <c r="K7" s="223" t="s">
        <v>112</v>
      </c>
      <c r="L7" s="227" t="s">
        <v>63</v>
      </c>
      <c r="M7" s="226">
        <v>0</v>
      </c>
      <c r="N7" s="226">
        <v>0</v>
      </c>
      <c r="O7" s="226">
        <v>2</v>
      </c>
      <c r="P7" s="223" t="s">
        <v>56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26" t="s">
        <v>157</v>
      </c>
      <c r="AE7" s="219"/>
      <c r="AF7" s="219"/>
      <c r="AG7" s="219"/>
      <c r="AH7" s="219"/>
      <c r="AI7" s="219"/>
      <c r="AJ7" s="219"/>
    </row>
    <row r="8" spans="1:36" x14ac:dyDescent="0.3">
      <c r="A8" s="221" t="s">
        <v>109</v>
      </c>
      <c r="B8" s="222">
        <v>46051</v>
      </c>
      <c r="C8" s="223" t="s">
        <v>154</v>
      </c>
      <c r="D8" s="224" t="s">
        <v>242</v>
      </c>
      <c r="E8" s="223" t="s">
        <v>151</v>
      </c>
      <c r="F8" s="223" t="s">
        <v>111</v>
      </c>
      <c r="G8" s="225">
        <v>0</v>
      </c>
      <c r="H8" s="226">
        <v>180</v>
      </c>
      <c r="I8" s="226">
        <v>0</v>
      </c>
      <c r="J8" s="226">
        <v>0</v>
      </c>
      <c r="K8" s="223" t="s">
        <v>112</v>
      </c>
      <c r="L8" s="227" t="s">
        <v>36</v>
      </c>
      <c r="M8" s="226">
        <v>0</v>
      </c>
      <c r="N8" s="226">
        <v>0</v>
      </c>
      <c r="O8" s="226">
        <v>0</v>
      </c>
      <c r="P8" s="223" t="s">
        <v>155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109</v>
      </c>
      <c r="B9" s="222">
        <v>46051</v>
      </c>
      <c r="C9" s="223" t="s">
        <v>164</v>
      </c>
      <c r="D9" s="224" t="s">
        <v>243</v>
      </c>
      <c r="E9" s="223" t="s">
        <v>151</v>
      </c>
      <c r="F9" s="223" t="s">
        <v>111</v>
      </c>
      <c r="G9" s="225">
        <v>2.2200000000000001E-2</v>
      </c>
      <c r="H9" s="226">
        <v>180</v>
      </c>
      <c r="I9" s="226">
        <v>4</v>
      </c>
      <c r="J9" s="226">
        <v>0</v>
      </c>
      <c r="K9" s="223" t="s">
        <v>112</v>
      </c>
      <c r="L9" s="227" t="s">
        <v>165</v>
      </c>
      <c r="M9" s="226">
        <v>0</v>
      </c>
      <c r="N9" s="226">
        <v>0</v>
      </c>
      <c r="O9" s="226">
        <v>4</v>
      </c>
      <c r="P9" s="223" t="s">
        <v>78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26" t="s">
        <v>166</v>
      </c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109</v>
      </c>
      <c r="B10" s="222">
        <v>46051</v>
      </c>
      <c r="C10" s="223" t="s">
        <v>158</v>
      </c>
      <c r="D10" s="224" t="s">
        <v>244</v>
      </c>
      <c r="E10" s="223" t="s">
        <v>151</v>
      </c>
      <c r="F10" s="223" t="s">
        <v>111</v>
      </c>
      <c r="G10" s="225">
        <v>3.3300000000000003E-2</v>
      </c>
      <c r="H10" s="226">
        <v>180</v>
      </c>
      <c r="I10" s="226">
        <v>6</v>
      </c>
      <c r="J10" s="226">
        <v>0</v>
      </c>
      <c r="K10" s="223" t="s">
        <v>112</v>
      </c>
      <c r="L10" s="227" t="s">
        <v>167</v>
      </c>
      <c r="M10" s="226">
        <v>0</v>
      </c>
      <c r="N10" s="226">
        <v>0</v>
      </c>
      <c r="O10" s="226">
        <v>6</v>
      </c>
      <c r="P10" s="223" t="s">
        <v>168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26" t="s">
        <v>155</v>
      </c>
      <c r="AE10" s="219"/>
      <c r="AF10" s="219"/>
      <c r="AG10" s="219"/>
      <c r="AH10" s="219"/>
      <c r="AI10" s="219"/>
      <c r="AJ10" s="219"/>
    </row>
    <row r="11" spans="1:36" x14ac:dyDescent="0.3">
      <c r="A11" s="221" t="s">
        <v>109</v>
      </c>
      <c r="B11" s="222">
        <v>46051</v>
      </c>
      <c r="C11" s="223" t="s">
        <v>169</v>
      </c>
      <c r="D11" s="224" t="s">
        <v>245</v>
      </c>
      <c r="E11" s="223" t="s">
        <v>151</v>
      </c>
      <c r="F11" s="223" t="s">
        <v>111</v>
      </c>
      <c r="G11" s="225">
        <v>3.3300000000000003E-2</v>
      </c>
      <c r="H11" s="226">
        <v>180</v>
      </c>
      <c r="I11" s="226">
        <v>6</v>
      </c>
      <c r="J11" s="226">
        <v>0</v>
      </c>
      <c r="K11" s="223" t="s">
        <v>112</v>
      </c>
      <c r="L11" s="227" t="s">
        <v>50</v>
      </c>
      <c r="M11" s="226">
        <v>0</v>
      </c>
      <c r="N11" s="226">
        <v>0</v>
      </c>
      <c r="O11" s="226">
        <v>6</v>
      </c>
      <c r="P11" s="223" t="s">
        <v>168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26" t="s">
        <v>155</v>
      </c>
      <c r="AE11" s="219"/>
      <c r="AF11" s="219"/>
      <c r="AG11" s="219"/>
      <c r="AH11" s="219"/>
      <c r="AI11" s="219"/>
      <c r="AJ11" s="219"/>
    </row>
    <row r="12" spans="1:36" x14ac:dyDescent="0.3">
      <c r="A12" s="221" t="s">
        <v>109</v>
      </c>
      <c r="B12" s="222">
        <v>46051</v>
      </c>
      <c r="C12" s="223" t="s">
        <v>152</v>
      </c>
      <c r="D12" s="224" t="s">
        <v>240</v>
      </c>
      <c r="E12" s="223" t="s">
        <v>151</v>
      </c>
      <c r="F12" s="223" t="s">
        <v>111</v>
      </c>
      <c r="G12" s="225">
        <v>6.1100000000000002E-2</v>
      </c>
      <c r="H12" s="226">
        <v>180</v>
      </c>
      <c r="I12" s="226">
        <v>11</v>
      </c>
      <c r="J12" s="226">
        <v>0</v>
      </c>
      <c r="K12" s="223" t="s">
        <v>112</v>
      </c>
      <c r="L12" s="227" t="s">
        <v>170</v>
      </c>
      <c r="M12" s="226">
        <v>0</v>
      </c>
      <c r="N12" s="226">
        <v>0</v>
      </c>
      <c r="O12" s="226">
        <v>11</v>
      </c>
      <c r="P12" s="223" t="s">
        <v>131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26" t="s">
        <v>131</v>
      </c>
      <c r="AD12" s="226" t="s">
        <v>183</v>
      </c>
      <c r="AE12" s="219"/>
      <c r="AF12" s="219"/>
      <c r="AG12" s="219"/>
      <c r="AH12" s="219"/>
      <c r="AI12" s="219"/>
      <c r="AJ12" s="219"/>
    </row>
    <row r="13" spans="1:36" x14ac:dyDescent="0.3">
      <c r="A13" s="221" t="s">
        <v>246</v>
      </c>
      <c r="B13" s="222">
        <v>46052</v>
      </c>
      <c r="C13" s="223" t="s">
        <v>154</v>
      </c>
      <c r="D13" s="224" t="s">
        <v>247</v>
      </c>
      <c r="E13" s="223" t="s">
        <v>151</v>
      </c>
      <c r="F13" s="223" t="s">
        <v>111</v>
      </c>
      <c r="G13" s="225">
        <v>3.8899999999999997E-2</v>
      </c>
      <c r="H13" s="226">
        <v>180</v>
      </c>
      <c r="I13" s="226">
        <v>7</v>
      </c>
      <c r="J13" s="226">
        <v>0</v>
      </c>
      <c r="K13" s="223" t="s">
        <v>112</v>
      </c>
      <c r="L13" s="227" t="s">
        <v>172</v>
      </c>
      <c r="M13" s="226">
        <v>0</v>
      </c>
      <c r="N13" s="226">
        <v>0</v>
      </c>
      <c r="O13" s="226">
        <v>7</v>
      </c>
      <c r="P13" s="223" t="s">
        <v>161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26" t="s">
        <v>129</v>
      </c>
      <c r="AE13" s="219"/>
      <c r="AF13" s="219"/>
      <c r="AG13" s="219"/>
      <c r="AH13" s="219"/>
      <c r="AI13" s="219"/>
      <c r="AJ13" s="219"/>
    </row>
    <row r="14" spans="1:36" x14ac:dyDescent="0.3">
      <c r="A14" s="221" t="s">
        <v>246</v>
      </c>
      <c r="B14" s="222">
        <v>46052</v>
      </c>
      <c r="C14" s="223" t="s">
        <v>158</v>
      </c>
      <c r="D14" s="224" t="s">
        <v>248</v>
      </c>
      <c r="E14" s="223" t="s">
        <v>151</v>
      </c>
      <c r="F14" s="223" t="s">
        <v>111</v>
      </c>
      <c r="G14" s="225">
        <v>2.7799999999999998E-2</v>
      </c>
      <c r="H14" s="226">
        <v>180</v>
      </c>
      <c r="I14" s="226">
        <v>5</v>
      </c>
      <c r="J14" s="226">
        <v>0</v>
      </c>
      <c r="K14" s="223" t="s">
        <v>112</v>
      </c>
      <c r="L14" s="227" t="s">
        <v>173</v>
      </c>
      <c r="M14" s="226">
        <v>0</v>
      </c>
      <c r="N14" s="226">
        <v>0</v>
      </c>
      <c r="O14" s="226">
        <v>5</v>
      </c>
      <c r="P14" s="223" t="s">
        <v>66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26" t="s">
        <v>126</v>
      </c>
      <c r="AE14" s="219"/>
      <c r="AF14" s="219"/>
      <c r="AG14" s="219"/>
      <c r="AH14" s="219"/>
      <c r="AI14" s="219"/>
      <c r="AJ14" s="219"/>
    </row>
    <row r="15" spans="1:36" x14ac:dyDescent="0.3">
      <c r="A15" s="221" t="s">
        <v>246</v>
      </c>
      <c r="B15" s="222">
        <v>46052</v>
      </c>
      <c r="C15" s="223" t="s">
        <v>169</v>
      </c>
      <c r="D15" s="224" t="s">
        <v>239</v>
      </c>
      <c r="E15" s="223" t="s">
        <v>151</v>
      </c>
      <c r="F15" s="223" t="s">
        <v>111</v>
      </c>
      <c r="G15" s="225">
        <v>5.5599999999999997E-2</v>
      </c>
      <c r="H15" s="226">
        <v>180</v>
      </c>
      <c r="I15" s="226">
        <v>10</v>
      </c>
      <c r="J15" s="226">
        <v>0</v>
      </c>
      <c r="K15" s="223" t="s">
        <v>112</v>
      </c>
      <c r="L15" s="227" t="s">
        <v>50</v>
      </c>
      <c r="M15" s="226">
        <v>0</v>
      </c>
      <c r="N15" s="226">
        <v>0</v>
      </c>
      <c r="O15" s="226">
        <v>10</v>
      </c>
      <c r="P15" s="223" t="s">
        <v>144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26" t="s">
        <v>166</v>
      </c>
      <c r="AD15" s="226" t="s">
        <v>155</v>
      </c>
      <c r="AE15" s="219"/>
      <c r="AF15" s="219"/>
      <c r="AG15" s="219"/>
      <c r="AH15" s="219"/>
      <c r="AI15" s="219"/>
      <c r="AJ15" s="219"/>
    </row>
    <row r="16" spans="1:36" x14ac:dyDescent="0.3">
      <c r="A16" s="221" t="s">
        <v>246</v>
      </c>
      <c r="B16" s="222">
        <v>46052</v>
      </c>
      <c r="C16" s="223" t="s">
        <v>160</v>
      </c>
      <c r="D16" s="224" t="s">
        <v>249</v>
      </c>
      <c r="E16" s="223" t="s">
        <v>151</v>
      </c>
      <c r="F16" s="223" t="s">
        <v>111</v>
      </c>
      <c r="G16" s="225">
        <v>3.3300000000000003E-2</v>
      </c>
      <c r="H16" s="226">
        <v>180</v>
      </c>
      <c r="I16" s="226">
        <v>6</v>
      </c>
      <c r="J16" s="226">
        <v>0</v>
      </c>
      <c r="K16" s="223" t="s">
        <v>112</v>
      </c>
      <c r="L16" s="227" t="s">
        <v>53</v>
      </c>
      <c r="M16" s="226">
        <v>0</v>
      </c>
      <c r="N16" s="226">
        <v>0</v>
      </c>
      <c r="O16" s="226">
        <v>6</v>
      </c>
      <c r="P16" s="223" t="s">
        <v>168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26" t="s">
        <v>155</v>
      </c>
      <c r="AE16" s="219"/>
      <c r="AF16" s="219"/>
      <c r="AG16" s="219"/>
      <c r="AH16" s="219"/>
      <c r="AI16" s="219"/>
      <c r="AJ16" s="219"/>
    </row>
    <row r="17" spans="1:36" x14ac:dyDescent="0.3">
      <c r="A17" s="221" t="s">
        <v>246</v>
      </c>
      <c r="B17" s="222">
        <v>46052</v>
      </c>
      <c r="C17" s="223" t="s">
        <v>156</v>
      </c>
      <c r="D17" s="224" t="s">
        <v>250</v>
      </c>
      <c r="E17" s="223" t="s">
        <v>151</v>
      </c>
      <c r="F17" s="223" t="s">
        <v>111</v>
      </c>
      <c r="G17" s="225">
        <v>0.05</v>
      </c>
      <c r="H17" s="226">
        <v>180</v>
      </c>
      <c r="I17" s="226">
        <v>9</v>
      </c>
      <c r="J17" s="226">
        <v>0</v>
      </c>
      <c r="K17" s="223" t="s">
        <v>112</v>
      </c>
      <c r="L17" s="227" t="s">
        <v>32</v>
      </c>
      <c r="M17" s="226">
        <v>0</v>
      </c>
      <c r="N17" s="226">
        <v>0</v>
      </c>
      <c r="O17" s="226">
        <v>9</v>
      </c>
      <c r="P17" s="223" t="s">
        <v>175</v>
      </c>
      <c r="Q17" s="219"/>
      <c r="R17" s="219"/>
      <c r="S17" s="219"/>
      <c r="T17" s="219"/>
      <c r="U17" s="219"/>
      <c r="V17" s="219"/>
      <c r="W17" s="219"/>
      <c r="X17" s="219"/>
      <c r="Y17" s="219"/>
      <c r="Z17" s="226" t="s">
        <v>146</v>
      </c>
      <c r="AA17" s="219"/>
      <c r="AB17" s="219"/>
      <c r="AC17" s="226" t="s">
        <v>147</v>
      </c>
      <c r="AD17" s="226" t="s">
        <v>129</v>
      </c>
      <c r="AE17" s="219"/>
      <c r="AF17" s="219"/>
      <c r="AG17" s="219"/>
      <c r="AH17" s="219"/>
      <c r="AI17" s="219"/>
      <c r="AJ17" s="219"/>
    </row>
    <row r="18" spans="1:36" x14ac:dyDescent="0.3">
      <c r="A18" s="221" t="s">
        <v>113</v>
      </c>
      <c r="B18" s="222">
        <v>46053</v>
      </c>
      <c r="C18" s="223" t="s">
        <v>163</v>
      </c>
      <c r="D18" s="224" t="s">
        <v>251</v>
      </c>
      <c r="E18" s="223" t="s">
        <v>151</v>
      </c>
      <c r="F18" s="223" t="s">
        <v>111</v>
      </c>
      <c r="G18" s="225">
        <v>5.4000000000000003E-3</v>
      </c>
      <c r="H18" s="226">
        <v>186</v>
      </c>
      <c r="I18" s="226">
        <v>1</v>
      </c>
      <c r="J18" s="226">
        <v>0</v>
      </c>
      <c r="K18" s="223" t="s">
        <v>112</v>
      </c>
      <c r="L18" s="227" t="s">
        <v>177</v>
      </c>
      <c r="M18" s="226">
        <v>0</v>
      </c>
      <c r="N18" s="226">
        <v>0</v>
      </c>
      <c r="O18" s="226">
        <v>1</v>
      </c>
      <c r="P18" s="223" t="s">
        <v>126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26" t="s">
        <v>66</v>
      </c>
      <c r="AE18" s="219"/>
      <c r="AF18" s="219"/>
      <c r="AG18" s="219"/>
      <c r="AH18" s="219"/>
      <c r="AI18" s="219"/>
      <c r="AJ18" s="219"/>
    </row>
    <row r="19" spans="1:36" x14ac:dyDescent="0.3">
      <c r="A19" s="221" t="s">
        <v>113</v>
      </c>
      <c r="B19" s="222">
        <v>46053</v>
      </c>
      <c r="C19" s="223" t="s">
        <v>154</v>
      </c>
      <c r="D19" s="224" t="s">
        <v>242</v>
      </c>
      <c r="E19" s="223" t="s">
        <v>151</v>
      </c>
      <c r="F19" s="223" t="s">
        <v>111</v>
      </c>
      <c r="G19" s="225">
        <v>3.3300000000000003E-2</v>
      </c>
      <c r="H19" s="226">
        <v>180</v>
      </c>
      <c r="I19" s="226">
        <v>6</v>
      </c>
      <c r="J19" s="226">
        <v>0</v>
      </c>
      <c r="K19" s="223" t="s">
        <v>112</v>
      </c>
      <c r="L19" s="227" t="s">
        <v>178</v>
      </c>
      <c r="M19" s="226">
        <v>0</v>
      </c>
      <c r="N19" s="226">
        <v>0</v>
      </c>
      <c r="O19" s="226">
        <v>6</v>
      </c>
      <c r="P19" s="223" t="s">
        <v>168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26" t="s">
        <v>155</v>
      </c>
      <c r="AE19" s="219"/>
      <c r="AF19" s="219"/>
      <c r="AG19" s="219"/>
      <c r="AH19" s="219"/>
      <c r="AI19" s="219"/>
      <c r="AJ19" s="219"/>
    </row>
    <row r="20" spans="1:36" x14ac:dyDescent="0.3">
      <c r="A20" s="221" t="s">
        <v>113</v>
      </c>
      <c r="B20" s="222">
        <v>46053</v>
      </c>
      <c r="C20" s="223" t="s">
        <v>158</v>
      </c>
      <c r="D20" s="224" t="s">
        <v>252</v>
      </c>
      <c r="E20" s="223" t="s">
        <v>151</v>
      </c>
      <c r="F20" s="223" t="s">
        <v>111</v>
      </c>
      <c r="G20" s="225">
        <v>3.8899999999999997E-2</v>
      </c>
      <c r="H20" s="226">
        <v>180</v>
      </c>
      <c r="I20" s="226">
        <v>7</v>
      </c>
      <c r="J20" s="226">
        <v>0</v>
      </c>
      <c r="K20" s="223" t="s">
        <v>112</v>
      </c>
      <c r="L20" s="227" t="s">
        <v>53</v>
      </c>
      <c r="M20" s="226">
        <v>0</v>
      </c>
      <c r="N20" s="226">
        <v>0</v>
      </c>
      <c r="O20" s="226">
        <v>7</v>
      </c>
      <c r="P20" s="223" t="s">
        <v>161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26" t="s">
        <v>147</v>
      </c>
      <c r="AD20" s="226" t="s">
        <v>155</v>
      </c>
      <c r="AE20" s="219"/>
      <c r="AF20" s="219"/>
      <c r="AG20" s="219"/>
      <c r="AH20" s="219"/>
      <c r="AI20" s="219"/>
      <c r="AJ20" s="219"/>
    </row>
    <row r="21" spans="1:36" x14ac:dyDescent="0.3">
      <c r="A21" s="221" t="s">
        <v>113</v>
      </c>
      <c r="B21" s="222">
        <v>46053</v>
      </c>
      <c r="C21" s="223" t="s">
        <v>152</v>
      </c>
      <c r="D21" s="224" t="s">
        <v>253</v>
      </c>
      <c r="E21" s="223" t="s">
        <v>151</v>
      </c>
      <c r="F21" s="223" t="s">
        <v>111</v>
      </c>
      <c r="G21" s="225">
        <v>3.3300000000000003E-2</v>
      </c>
      <c r="H21" s="226">
        <v>180</v>
      </c>
      <c r="I21" s="226">
        <v>6</v>
      </c>
      <c r="J21" s="226">
        <v>0</v>
      </c>
      <c r="K21" s="223" t="s">
        <v>112</v>
      </c>
      <c r="L21" s="227" t="s">
        <v>179</v>
      </c>
      <c r="M21" s="226">
        <v>0</v>
      </c>
      <c r="N21" s="226">
        <v>0</v>
      </c>
      <c r="O21" s="226">
        <v>6</v>
      </c>
      <c r="P21" s="223" t="s">
        <v>168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26" t="s">
        <v>155</v>
      </c>
      <c r="AE21" s="219"/>
      <c r="AF21" s="219"/>
      <c r="AG21" s="219"/>
      <c r="AH21" s="219"/>
      <c r="AI21" s="219"/>
      <c r="AJ21" s="219"/>
    </row>
    <row r="22" spans="1:36" x14ac:dyDescent="0.3">
      <c r="A22" s="221" t="s">
        <v>115</v>
      </c>
      <c r="B22" s="222">
        <v>46054</v>
      </c>
      <c r="C22" s="223" t="s">
        <v>154</v>
      </c>
      <c r="D22" s="224" t="s">
        <v>247</v>
      </c>
      <c r="E22" s="223" t="s">
        <v>151</v>
      </c>
      <c r="F22" s="223" t="s">
        <v>111</v>
      </c>
      <c r="G22" s="225">
        <v>1.67E-2</v>
      </c>
      <c r="H22" s="226">
        <v>180</v>
      </c>
      <c r="I22" s="226">
        <v>3</v>
      </c>
      <c r="J22" s="226">
        <v>0</v>
      </c>
      <c r="K22" s="223" t="s">
        <v>112</v>
      </c>
      <c r="L22" s="227" t="s">
        <v>53</v>
      </c>
      <c r="M22" s="226">
        <v>0</v>
      </c>
      <c r="N22" s="226">
        <v>0</v>
      </c>
      <c r="O22" s="226">
        <v>3</v>
      </c>
      <c r="P22" s="223" t="s">
        <v>180</v>
      </c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26" t="s">
        <v>180</v>
      </c>
      <c r="AE22" s="219"/>
      <c r="AF22" s="219"/>
      <c r="AG22" s="219"/>
      <c r="AH22" s="219"/>
      <c r="AI22" s="219"/>
      <c r="AJ22" s="219"/>
    </row>
    <row r="23" spans="1:36" x14ac:dyDescent="0.3">
      <c r="A23" s="221" t="s">
        <v>115</v>
      </c>
      <c r="B23" s="222">
        <v>46054</v>
      </c>
      <c r="C23" s="223" t="s">
        <v>164</v>
      </c>
      <c r="D23" s="224" t="s">
        <v>242</v>
      </c>
      <c r="E23" s="223" t="s">
        <v>151</v>
      </c>
      <c r="F23" s="223" t="s">
        <v>111</v>
      </c>
      <c r="G23" s="225">
        <v>0</v>
      </c>
      <c r="H23" s="226">
        <v>180</v>
      </c>
      <c r="I23" s="226">
        <v>0</v>
      </c>
      <c r="J23" s="226">
        <v>0</v>
      </c>
      <c r="K23" s="223" t="s">
        <v>112</v>
      </c>
      <c r="L23" s="227" t="s">
        <v>36</v>
      </c>
      <c r="M23" s="226">
        <v>0</v>
      </c>
      <c r="N23" s="226">
        <v>0</v>
      </c>
      <c r="O23" s="226">
        <v>0</v>
      </c>
      <c r="P23" s="223" t="s">
        <v>78</v>
      </c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</row>
    <row r="24" spans="1:36" x14ac:dyDescent="0.3">
      <c r="A24" s="221" t="s">
        <v>115</v>
      </c>
      <c r="B24" s="222">
        <v>46054</v>
      </c>
      <c r="C24" s="223" t="s">
        <v>156</v>
      </c>
      <c r="D24" s="224" t="s">
        <v>254</v>
      </c>
      <c r="E24" s="223" t="s">
        <v>151</v>
      </c>
      <c r="F24" s="223" t="s">
        <v>111</v>
      </c>
      <c r="G24" s="225">
        <v>3.3300000000000003E-2</v>
      </c>
      <c r="H24" s="226">
        <v>180</v>
      </c>
      <c r="I24" s="226">
        <v>6</v>
      </c>
      <c r="J24" s="226">
        <v>0</v>
      </c>
      <c r="K24" s="223" t="s">
        <v>112</v>
      </c>
      <c r="L24" s="227" t="s">
        <v>53</v>
      </c>
      <c r="M24" s="226">
        <v>0</v>
      </c>
      <c r="N24" s="226">
        <v>0</v>
      </c>
      <c r="O24" s="226">
        <v>6</v>
      </c>
      <c r="P24" s="223" t="s">
        <v>56</v>
      </c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26" t="s">
        <v>155</v>
      </c>
      <c r="AE24" s="219"/>
      <c r="AF24" s="219"/>
      <c r="AG24" s="219"/>
      <c r="AH24" s="219"/>
      <c r="AI24" s="219"/>
      <c r="AJ24" s="219"/>
    </row>
    <row r="25" spans="1:36" x14ac:dyDescent="0.3">
      <c r="A25" s="221" t="s">
        <v>115</v>
      </c>
      <c r="B25" s="222">
        <v>46054</v>
      </c>
      <c r="C25" s="223" t="s">
        <v>158</v>
      </c>
      <c r="D25" s="224" t="s">
        <v>255</v>
      </c>
      <c r="E25" s="223" t="s">
        <v>151</v>
      </c>
      <c r="F25" s="223" t="s">
        <v>111</v>
      </c>
      <c r="G25" s="225">
        <v>5.5599999999999997E-2</v>
      </c>
      <c r="H25" s="226">
        <v>180</v>
      </c>
      <c r="I25" s="226">
        <v>10</v>
      </c>
      <c r="J25" s="226">
        <v>0</v>
      </c>
      <c r="K25" s="223" t="s">
        <v>112</v>
      </c>
      <c r="L25" s="227" t="s">
        <v>53</v>
      </c>
      <c r="M25" s="226">
        <v>0</v>
      </c>
      <c r="N25" s="226">
        <v>0</v>
      </c>
      <c r="O25" s="226">
        <v>10</v>
      </c>
      <c r="P25" s="223" t="s">
        <v>78</v>
      </c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26" t="s">
        <v>137</v>
      </c>
      <c r="AE25" s="219"/>
      <c r="AF25" s="219"/>
      <c r="AG25" s="219"/>
      <c r="AH25" s="219"/>
      <c r="AI25" s="219"/>
      <c r="AJ25" s="219"/>
    </row>
    <row r="26" spans="1:36" x14ac:dyDescent="0.3">
      <c r="A26" s="221" t="s">
        <v>115</v>
      </c>
      <c r="B26" s="222">
        <v>46054</v>
      </c>
      <c r="C26" s="223" t="s">
        <v>169</v>
      </c>
      <c r="D26" s="224" t="s">
        <v>256</v>
      </c>
      <c r="E26" s="223" t="s">
        <v>151</v>
      </c>
      <c r="F26" s="223" t="s">
        <v>111</v>
      </c>
      <c r="G26" s="225">
        <v>0.18890000000000001</v>
      </c>
      <c r="H26" s="226">
        <v>180</v>
      </c>
      <c r="I26" s="226">
        <v>34</v>
      </c>
      <c r="J26" s="226">
        <v>25</v>
      </c>
      <c r="K26" s="223" t="s">
        <v>112</v>
      </c>
      <c r="L26" s="227" t="s">
        <v>59</v>
      </c>
      <c r="M26" s="226">
        <v>0</v>
      </c>
      <c r="N26" s="226">
        <v>0</v>
      </c>
      <c r="O26" s="226">
        <v>10</v>
      </c>
      <c r="P26" s="223" t="s">
        <v>66</v>
      </c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26" t="s">
        <v>183</v>
      </c>
      <c r="AE26" s="219"/>
      <c r="AF26" s="219"/>
      <c r="AG26" s="226" t="s">
        <v>45</v>
      </c>
      <c r="AH26" s="219"/>
      <c r="AI26" s="219"/>
      <c r="AJ26" s="219"/>
    </row>
    <row r="27" spans="1:36" x14ac:dyDescent="0.3">
      <c r="A27" s="221" t="s">
        <v>119</v>
      </c>
      <c r="B27" s="222">
        <v>46055</v>
      </c>
      <c r="C27" s="223" t="s">
        <v>154</v>
      </c>
      <c r="D27" s="224" t="s">
        <v>257</v>
      </c>
      <c r="E27" s="223" t="s">
        <v>151</v>
      </c>
      <c r="F27" s="223" t="s">
        <v>111</v>
      </c>
      <c r="G27" s="225">
        <v>2.7799999999999998E-2</v>
      </c>
      <c r="H27" s="226">
        <v>180</v>
      </c>
      <c r="I27" s="226">
        <v>5</v>
      </c>
      <c r="J27" s="226">
        <v>0</v>
      </c>
      <c r="K27" s="223" t="s">
        <v>112</v>
      </c>
      <c r="L27" s="227" t="s">
        <v>182</v>
      </c>
      <c r="M27" s="226">
        <v>0</v>
      </c>
      <c r="N27" s="226">
        <v>0</v>
      </c>
      <c r="O27" s="226">
        <v>5</v>
      </c>
      <c r="P27" s="223" t="s">
        <v>66</v>
      </c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26" t="s">
        <v>126</v>
      </c>
      <c r="AE27" s="219"/>
      <c r="AF27" s="219"/>
      <c r="AG27" s="219"/>
      <c r="AH27" s="219"/>
      <c r="AI27" s="219"/>
      <c r="AJ27" s="219"/>
    </row>
    <row r="28" spans="1:36" x14ac:dyDescent="0.3">
      <c r="A28" s="221" t="s">
        <v>119</v>
      </c>
      <c r="B28" s="222">
        <v>46055</v>
      </c>
      <c r="C28" s="223" t="s">
        <v>158</v>
      </c>
      <c r="D28" s="224" t="s">
        <v>239</v>
      </c>
      <c r="E28" s="223" t="s">
        <v>151</v>
      </c>
      <c r="F28" s="223" t="s">
        <v>111</v>
      </c>
      <c r="G28" s="225">
        <v>0.05</v>
      </c>
      <c r="H28" s="226">
        <v>180</v>
      </c>
      <c r="I28" s="226">
        <v>9</v>
      </c>
      <c r="J28" s="226">
        <v>0</v>
      </c>
      <c r="K28" s="223" t="s">
        <v>112</v>
      </c>
      <c r="L28" s="227" t="s">
        <v>65</v>
      </c>
      <c r="M28" s="226">
        <v>0</v>
      </c>
      <c r="N28" s="226">
        <v>0</v>
      </c>
      <c r="O28" s="226">
        <v>9</v>
      </c>
      <c r="P28" s="223" t="s">
        <v>66</v>
      </c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26" t="s">
        <v>183</v>
      </c>
      <c r="AE28" s="219"/>
      <c r="AF28" s="219"/>
      <c r="AG28" s="219"/>
      <c r="AH28" s="219"/>
      <c r="AI28" s="219"/>
      <c r="AJ28" s="219"/>
    </row>
    <row r="29" spans="1:36" x14ac:dyDescent="0.3">
      <c r="A29" s="221" t="s">
        <v>119</v>
      </c>
      <c r="B29" s="222">
        <v>46055</v>
      </c>
      <c r="C29" s="223" t="s">
        <v>156</v>
      </c>
      <c r="D29" s="224" t="s">
        <v>258</v>
      </c>
      <c r="E29" s="223" t="s">
        <v>151</v>
      </c>
      <c r="F29" s="223" t="s">
        <v>111</v>
      </c>
      <c r="G29" s="225">
        <v>5.5599999999999997E-2</v>
      </c>
      <c r="H29" s="226">
        <v>180</v>
      </c>
      <c r="I29" s="226">
        <v>10</v>
      </c>
      <c r="J29" s="226">
        <v>0</v>
      </c>
      <c r="K29" s="223" t="s">
        <v>112</v>
      </c>
      <c r="L29" s="227" t="s">
        <v>165</v>
      </c>
      <c r="M29" s="226">
        <v>0</v>
      </c>
      <c r="N29" s="226">
        <v>0</v>
      </c>
      <c r="O29" s="226">
        <v>10</v>
      </c>
      <c r="P29" s="223" t="s">
        <v>78</v>
      </c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26" t="s">
        <v>137</v>
      </c>
      <c r="AE29" s="219"/>
      <c r="AF29" s="219"/>
      <c r="AG29" s="219"/>
      <c r="AH29" s="219"/>
      <c r="AI29" s="219"/>
      <c r="AJ29" s="219"/>
    </row>
    <row r="30" spans="1:36" x14ac:dyDescent="0.3">
      <c r="A30" s="221" t="s">
        <v>121</v>
      </c>
      <c r="B30" s="222">
        <v>46056</v>
      </c>
      <c r="C30" s="223" t="s">
        <v>160</v>
      </c>
      <c r="D30" s="224" t="s">
        <v>259</v>
      </c>
      <c r="E30" s="223" t="s">
        <v>151</v>
      </c>
      <c r="F30" s="223" t="s">
        <v>111</v>
      </c>
      <c r="G30" s="225">
        <v>2.2200000000000001E-2</v>
      </c>
      <c r="H30" s="226">
        <v>180</v>
      </c>
      <c r="I30" s="226">
        <v>4</v>
      </c>
      <c r="J30" s="226">
        <v>0</v>
      </c>
      <c r="K30" s="223" t="s">
        <v>112</v>
      </c>
      <c r="L30" s="227" t="s">
        <v>50</v>
      </c>
      <c r="M30" s="226">
        <v>0</v>
      </c>
      <c r="N30" s="226">
        <v>0</v>
      </c>
      <c r="O30" s="226">
        <v>4</v>
      </c>
      <c r="P30" s="223" t="s">
        <v>155</v>
      </c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26" t="s">
        <v>56</v>
      </c>
      <c r="AE30" s="219"/>
      <c r="AF30" s="219"/>
      <c r="AG30" s="219"/>
      <c r="AH30" s="219"/>
      <c r="AI30" s="219"/>
      <c r="AJ30" s="219"/>
    </row>
    <row r="31" spans="1:36" x14ac:dyDescent="0.3">
      <c r="A31" s="221" t="s">
        <v>121</v>
      </c>
      <c r="B31" s="222">
        <v>46056</v>
      </c>
      <c r="C31" s="223" t="s">
        <v>169</v>
      </c>
      <c r="D31" s="224" t="s">
        <v>110</v>
      </c>
      <c r="E31" s="223" t="s">
        <v>151</v>
      </c>
      <c r="F31" s="223" t="s">
        <v>111</v>
      </c>
      <c r="G31" s="225">
        <v>1.67E-2</v>
      </c>
      <c r="H31" s="226">
        <v>180</v>
      </c>
      <c r="I31" s="226">
        <v>3</v>
      </c>
      <c r="J31" s="226">
        <v>0</v>
      </c>
      <c r="K31" s="223" t="s">
        <v>112</v>
      </c>
      <c r="L31" s="227" t="s">
        <v>63</v>
      </c>
      <c r="M31" s="226">
        <v>0</v>
      </c>
      <c r="N31" s="226">
        <v>0</v>
      </c>
      <c r="O31" s="226">
        <v>3</v>
      </c>
      <c r="P31" s="223" t="s">
        <v>129</v>
      </c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26" t="s">
        <v>180</v>
      </c>
      <c r="AE31" s="219"/>
      <c r="AF31" s="219"/>
      <c r="AG31" s="219"/>
      <c r="AH31" s="219"/>
      <c r="AI31" s="219"/>
      <c r="AJ31" s="219"/>
    </row>
    <row r="32" spans="1:36" x14ac:dyDescent="0.3">
      <c r="A32" s="221" t="s">
        <v>121</v>
      </c>
      <c r="B32" s="222">
        <v>46056</v>
      </c>
      <c r="C32" s="223" t="s">
        <v>158</v>
      </c>
      <c r="D32" s="224" t="s">
        <v>239</v>
      </c>
      <c r="E32" s="223" t="s">
        <v>151</v>
      </c>
      <c r="F32" s="223" t="s">
        <v>111</v>
      </c>
      <c r="G32" s="225">
        <v>0</v>
      </c>
      <c r="H32" s="226">
        <v>180</v>
      </c>
      <c r="I32" s="226">
        <v>0</v>
      </c>
      <c r="J32" s="226">
        <v>0</v>
      </c>
      <c r="K32" s="223" t="s">
        <v>112</v>
      </c>
      <c r="L32" s="227" t="s">
        <v>36</v>
      </c>
      <c r="M32" s="226">
        <v>0</v>
      </c>
      <c r="N32" s="226">
        <v>0</v>
      </c>
      <c r="O32" s="226">
        <v>0</v>
      </c>
      <c r="P32" s="223" t="s">
        <v>183</v>
      </c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</row>
    <row r="33" spans="1:36" x14ac:dyDescent="0.3">
      <c r="A33" s="221" t="s">
        <v>121</v>
      </c>
      <c r="B33" s="222">
        <v>46056</v>
      </c>
      <c r="C33" s="223" t="s">
        <v>156</v>
      </c>
      <c r="D33" s="224" t="s">
        <v>260</v>
      </c>
      <c r="E33" s="223" t="s">
        <v>151</v>
      </c>
      <c r="F33" s="223" t="s">
        <v>111</v>
      </c>
      <c r="G33" s="225">
        <v>2.7799999999999998E-2</v>
      </c>
      <c r="H33" s="226">
        <v>180</v>
      </c>
      <c r="I33" s="226">
        <v>5</v>
      </c>
      <c r="J33" s="226">
        <v>0</v>
      </c>
      <c r="K33" s="223" t="s">
        <v>112</v>
      </c>
      <c r="L33" s="227" t="s">
        <v>65</v>
      </c>
      <c r="M33" s="226">
        <v>0</v>
      </c>
      <c r="N33" s="226">
        <v>0</v>
      </c>
      <c r="O33" s="226">
        <v>5</v>
      </c>
      <c r="P33" s="223" t="s">
        <v>126</v>
      </c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26" t="s">
        <v>126</v>
      </c>
      <c r="AE33" s="219"/>
      <c r="AF33" s="219"/>
      <c r="AG33" s="219"/>
      <c r="AH33" s="219"/>
      <c r="AI33" s="219"/>
      <c r="AJ33" s="219"/>
    </row>
    <row r="34" spans="1:36" x14ac:dyDescent="0.3">
      <c r="A34" s="221" t="s">
        <v>121</v>
      </c>
      <c r="B34" s="222">
        <v>46056</v>
      </c>
      <c r="C34" s="223" t="s">
        <v>152</v>
      </c>
      <c r="D34" s="224" t="s">
        <v>261</v>
      </c>
      <c r="E34" s="223" t="s">
        <v>151</v>
      </c>
      <c r="F34" s="223" t="s">
        <v>111</v>
      </c>
      <c r="G34" s="225">
        <v>3.8899999999999997E-2</v>
      </c>
      <c r="H34" s="226">
        <v>180</v>
      </c>
      <c r="I34" s="226">
        <v>7</v>
      </c>
      <c r="J34" s="226">
        <v>0</v>
      </c>
      <c r="K34" s="223" t="s">
        <v>112</v>
      </c>
      <c r="L34" s="227" t="s">
        <v>50</v>
      </c>
      <c r="M34" s="226">
        <v>0</v>
      </c>
      <c r="N34" s="226">
        <v>0</v>
      </c>
      <c r="O34" s="226">
        <v>7</v>
      </c>
      <c r="P34" s="223" t="s">
        <v>56</v>
      </c>
      <c r="Q34" s="219"/>
      <c r="R34" s="219"/>
      <c r="S34" s="219"/>
      <c r="T34" s="219"/>
      <c r="U34" s="219"/>
      <c r="V34" s="219"/>
      <c r="W34" s="219"/>
      <c r="X34" s="219"/>
      <c r="Y34" s="219"/>
      <c r="Z34" s="226" t="s">
        <v>146</v>
      </c>
      <c r="AA34" s="219"/>
      <c r="AB34" s="219"/>
      <c r="AC34" s="219"/>
      <c r="AD34" s="226" t="s">
        <v>155</v>
      </c>
      <c r="AE34" s="219"/>
      <c r="AF34" s="219"/>
      <c r="AG34" s="219"/>
      <c r="AH34" s="219"/>
      <c r="AI34" s="219"/>
      <c r="AJ34" s="219"/>
    </row>
    <row r="35" spans="1:36" x14ac:dyDescent="0.3">
      <c r="A35" s="221" t="s">
        <v>121</v>
      </c>
      <c r="B35" s="222">
        <v>46056</v>
      </c>
      <c r="C35" s="223" t="s">
        <v>154</v>
      </c>
      <c r="D35" s="224" t="s">
        <v>262</v>
      </c>
      <c r="E35" s="223" t="s">
        <v>151</v>
      </c>
      <c r="F35" s="223" t="s">
        <v>111</v>
      </c>
      <c r="G35" s="225">
        <v>2.7799999999999998E-2</v>
      </c>
      <c r="H35" s="226">
        <v>180</v>
      </c>
      <c r="I35" s="226">
        <v>5</v>
      </c>
      <c r="J35" s="226">
        <v>0</v>
      </c>
      <c r="K35" s="223" t="s">
        <v>112</v>
      </c>
      <c r="L35" s="227" t="s">
        <v>53</v>
      </c>
      <c r="M35" s="226">
        <v>0</v>
      </c>
      <c r="N35" s="226">
        <v>0</v>
      </c>
      <c r="O35" s="226">
        <v>5</v>
      </c>
      <c r="P35" s="223" t="s">
        <v>66</v>
      </c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26" t="s">
        <v>126</v>
      </c>
      <c r="AE35" s="219"/>
      <c r="AF35" s="219"/>
      <c r="AG35" s="219"/>
      <c r="AH35" s="219"/>
      <c r="AI35" s="219"/>
      <c r="AJ35" s="219"/>
    </row>
    <row r="36" spans="1:36" x14ac:dyDescent="0.3">
      <c r="A36" s="221" t="s">
        <v>235</v>
      </c>
      <c r="B36" s="222">
        <v>46057</v>
      </c>
      <c r="C36" s="223" t="s">
        <v>152</v>
      </c>
      <c r="D36" s="224" t="s">
        <v>236</v>
      </c>
      <c r="E36" s="223" t="s">
        <v>151</v>
      </c>
      <c r="F36" s="223" t="s">
        <v>111</v>
      </c>
      <c r="G36" s="225">
        <v>0</v>
      </c>
      <c r="H36" s="226">
        <v>180</v>
      </c>
      <c r="I36" s="226">
        <v>0</v>
      </c>
      <c r="J36" s="226">
        <v>0</v>
      </c>
      <c r="K36" s="223" t="s">
        <v>112</v>
      </c>
      <c r="L36" s="227" t="s">
        <v>36</v>
      </c>
      <c r="M36" s="226">
        <v>0</v>
      </c>
      <c r="N36" s="226">
        <v>0</v>
      </c>
      <c r="O36" s="226">
        <v>0</v>
      </c>
      <c r="P36" s="223" t="s">
        <v>183</v>
      </c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</row>
    <row r="37" spans="1:36" x14ac:dyDescent="0.3">
      <c r="A37" s="221" t="s">
        <v>235</v>
      </c>
      <c r="B37" s="222">
        <v>46057</v>
      </c>
      <c r="C37" s="223" t="s">
        <v>154</v>
      </c>
      <c r="D37" s="224" t="s">
        <v>237</v>
      </c>
      <c r="E37" s="223" t="s">
        <v>151</v>
      </c>
      <c r="F37" s="223" t="s">
        <v>111</v>
      </c>
      <c r="G37" s="225">
        <v>0</v>
      </c>
      <c r="H37" s="226">
        <v>180</v>
      </c>
      <c r="I37" s="226">
        <v>0</v>
      </c>
      <c r="J37" s="226">
        <v>0</v>
      </c>
      <c r="K37" s="223" t="s">
        <v>112</v>
      </c>
      <c r="L37" s="227" t="s">
        <v>36</v>
      </c>
      <c r="M37" s="226">
        <v>0</v>
      </c>
      <c r="N37" s="226">
        <v>0</v>
      </c>
      <c r="O37" s="226">
        <v>0</v>
      </c>
      <c r="P37" s="223" t="s">
        <v>155</v>
      </c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</row>
    <row r="38" spans="1:36" x14ac:dyDescent="0.3">
      <c r="A38" s="221" t="s">
        <v>235</v>
      </c>
      <c r="B38" s="222">
        <v>46057</v>
      </c>
      <c r="C38" s="223" t="s">
        <v>156</v>
      </c>
      <c r="D38" s="224" t="s">
        <v>238</v>
      </c>
      <c r="E38" s="223" t="s">
        <v>151</v>
      </c>
      <c r="F38" s="223" t="s">
        <v>111</v>
      </c>
      <c r="G38" s="225">
        <v>0</v>
      </c>
      <c r="H38" s="226">
        <v>186</v>
      </c>
      <c r="I38" s="226">
        <v>0</v>
      </c>
      <c r="J38" s="226">
        <v>0</v>
      </c>
      <c r="K38" s="223" t="s">
        <v>112</v>
      </c>
      <c r="L38" s="227" t="s">
        <v>36</v>
      </c>
      <c r="M38" s="226">
        <v>0</v>
      </c>
      <c r="N38" s="226">
        <v>0</v>
      </c>
      <c r="O38" s="226">
        <v>0</v>
      </c>
      <c r="P38" s="223" t="s">
        <v>183</v>
      </c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</row>
    <row r="39" spans="1:36" x14ac:dyDescent="0.3">
      <c r="A39" s="221" t="s">
        <v>235</v>
      </c>
      <c r="B39" s="222">
        <v>46057</v>
      </c>
      <c r="C39" s="223" t="s">
        <v>158</v>
      </c>
      <c r="D39" s="224" t="s">
        <v>239</v>
      </c>
      <c r="E39" s="223" t="s">
        <v>151</v>
      </c>
      <c r="F39" s="223" t="s">
        <v>111</v>
      </c>
      <c r="G39" s="225">
        <v>1.67E-2</v>
      </c>
      <c r="H39" s="226">
        <v>180</v>
      </c>
      <c r="I39" s="226">
        <v>3</v>
      </c>
      <c r="J39" s="226">
        <v>0</v>
      </c>
      <c r="K39" s="223" t="s">
        <v>112</v>
      </c>
      <c r="L39" s="227" t="s">
        <v>182</v>
      </c>
      <c r="M39" s="226">
        <v>0</v>
      </c>
      <c r="N39" s="226">
        <v>0</v>
      </c>
      <c r="O39" s="226">
        <v>3</v>
      </c>
      <c r="P39" s="223" t="s">
        <v>129</v>
      </c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26" t="s">
        <v>180</v>
      </c>
      <c r="AE39" s="219"/>
      <c r="AF39" s="219"/>
      <c r="AG39" s="219"/>
      <c r="AH39" s="219"/>
      <c r="AI39" s="219"/>
      <c r="AJ39" s="219"/>
    </row>
    <row r="40" spans="1:36" x14ac:dyDescent="0.3">
      <c r="A40" s="221" t="s">
        <v>235</v>
      </c>
      <c r="B40" s="222">
        <v>46057</v>
      </c>
      <c r="C40" s="223" t="s">
        <v>160</v>
      </c>
      <c r="D40" s="224" t="s">
        <v>240</v>
      </c>
      <c r="E40" s="223" t="s">
        <v>151</v>
      </c>
      <c r="F40" s="223" t="s">
        <v>111</v>
      </c>
      <c r="G40" s="225">
        <v>3.3300000000000003E-2</v>
      </c>
      <c r="H40" s="226">
        <v>180</v>
      </c>
      <c r="I40" s="226">
        <v>6</v>
      </c>
      <c r="J40" s="226">
        <v>0</v>
      </c>
      <c r="K40" s="223" t="s">
        <v>112</v>
      </c>
      <c r="L40" s="227" t="s">
        <v>46</v>
      </c>
      <c r="M40" s="226">
        <v>0</v>
      </c>
      <c r="N40" s="226">
        <v>0</v>
      </c>
      <c r="O40" s="226">
        <v>6</v>
      </c>
      <c r="P40" s="223" t="s">
        <v>56</v>
      </c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26" t="s">
        <v>155</v>
      </c>
      <c r="AE40" s="219"/>
      <c r="AF40" s="219"/>
      <c r="AG40" s="219"/>
      <c r="AH40" s="219"/>
      <c r="AI40" s="219"/>
      <c r="AJ40" s="219"/>
    </row>
    <row r="41" spans="1:36" x14ac:dyDescent="0.3">
      <c r="A41" s="221" t="s">
        <v>109</v>
      </c>
      <c r="B41" s="222">
        <v>46058</v>
      </c>
      <c r="C41" s="223" t="s">
        <v>163</v>
      </c>
      <c r="D41" s="224" t="s">
        <v>241</v>
      </c>
      <c r="E41" s="223" t="s">
        <v>151</v>
      </c>
      <c r="F41" s="223" t="s">
        <v>111</v>
      </c>
      <c r="G41" s="225">
        <v>5.5999999999999999E-3</v>
      </c>
      <c r="H41" s="226">
        <v>180</v>
      </c>
      <c r="I41" s="226">
        <v>1</v>
      </c>
      <c r="J41" s="226">
        <v>0</v>
      </c>
      <c r="K41" s="223" t="s">
        <v>112</v>
      </c>
      <c r="L41" s="227" t="s">
        <v>182</v>
      </c>
      <c r="M41" s="226">
        <v>0</v>
      </c>
      <c r="N41" s="226">
        <v>0</v>
      </c>
      <c r="O41" s="226">
        <v>1</v>
      </c>
      <c r="P41" s="223" t="s">
        <v>183</v>
      </c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26" t="s">
        <v>66</v>
      </c>
      <c r="AE41" s="219"/>
      <c r="AF41" s="219"/>
      <c r="AG41" s="219"/>
      <c r="AH41" s="219"/>
      <c r="AI41" s="219"/>
      <c r="AJ41" s="219"/>
    </row>
    <row r="42" spans="1:36" x14ac:dyDescent="0.3">
      <c r="A42" s="221" t="s">
        <v>109</v>
      </c>
      <c r="B42" s="222">
        <v>46058</v>
      </c>
      <c r="C42" s="223" t="s">
        <v>154</v>
      </c>
      <c r="D42" s="224" t="s">
        <v>242</v>
      </c>
      <c r="E42" s="223" t="s">
        <v>151</v>
      </c>
      <c r="F42" s="223" t="s">
        <v>111</v>
      </c>
      <c r="G42" s="225">
        <v>1.67E-2</v>
      </c>
      <c r="H42" s="226">
        <v>180</v>
      </c>
      <c r="I42" s="226">
        <v>3</v>
      </c>
      <c r="J42" s="226">
        <v>0</v>
      </c>
      <c r="K42" s="223" t="s">
        <v>112</v>
      </c>
      <c r="L42" s="227" t="s">
        <v>185</v>
      </c>
      <c r="M42" s="226">
        <v>0</v>
      </c>
      <c r="N42" s="226">
        <v>0</v>
      </c>
      <c r="O42" s="226">
        <v>3</v>
      </c>
      <c r="P42" s="223" t="s">
        <v>180</v>
      </c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26" t="s">
        <v>180</v>
      </c>
      <c r="AE42" s="219"/>
      <c r="AF42" s="219"/>
      <c r="AG42" s="219"/>
      <c r="AH42" s="219"/>
      <c r="AI42" s="219"/>
      <c r="AJ42" s="219"/>
    </row>
    <row r="43" spans="1:36" x14ac:dyDescent="0.3">
      <c r="A43" s="221" t="s">
        <v>109</v>
      </c>
      <c r="B43" s="222">
        <v>46058</v>
      </c>
      <c r="C43" s="223" t="s">
        <v>164</v>
      </c>
      <c r="D43" s="224" t="s">
        <v>243</v>
      </c>
      <c r="E43" s="223" t="s">
        <v>151</v>
      </c>
      <c r="F43" s="223" t="s">
        <v>111</v>
      </c>
      <c r="G43" s="225">
        <v>0</v>
      </c>
      <c r="H43" s="226">
        <v>180</v>
      </c>
      <c r="I43" s="226">
        <v>0</v>
      </c>
      <c r="J43" s="226">
        <v>0</v>
      </c>
      <c r="K43" s="223" t="s">
        <v>112</v>
      </c>
      <c r="L43" s="227" t="s">
        <v>36</v>
      </c>
      <c r="M43" s="226">
        <v>0</v>
      </c>
      <c r="N43" s="226">
        <v>0</v>
      </c>
      <c r="O43" s="226">
        <v>0</v>
      </c>
      <c r="P43" s="223" t="s">
        <v>78</v>
      </c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</row>
    <row r="44" spans="1:36" x14ac:dyDescent="0.3">
      <c r="A44" s="221" t="s">
        <v>109</v>
      </c>
      <c r="B44" s="222">
        <v>46058</v>
      </c>
      <c r="C44" s="223" t="s">
        <v>158</v>
      </c>
      <c r="D44" s="224" t="s">
        <v>244</v>
      </c>
      <c r="E44" s="223" t="s">
        <v>151</v>
      </c>
      <c r="F44" s="223" t="s">
        <v>111</v>
      </c>
      <c r="G44" s="225">
        <v>3.8899999999999997E-2</v>
      </c>
      <c r="H44" s="226">
        <v>180</v>
      </c>
      <c r="I44" s="226">
        <v>7</v>
      </c>
      <c r="J44" s="226">
        <v>0</v>
      </c>
      <c r="K44" s="223" t="s">
        <v>112</v>
      </c>
      <c r="L44" s="227" t="s">
        <v>65</v>
      </c>
      <c r="M44" s="226">
        <v>0</v>
      </c>
      <c r="N44" s="226">
        <v>0</v>
      </c>
      <c r="O44" s="226">
        <v>7</v>
      </c>
      <c r="P44" s="223" t="s">
        <v>180</v>
      </c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26" t="s">
        <v>129</v>
      </c>
      <c r="AE44" s="219"/>
      <c r="AF44" s="219"/>
      <c r="AG44" s="219"/>
      <c r="AH44" s="219"/>
      <c r="AI44" s="219"/>
      <c r="AJ44" s="219"/>
    </row>
    <row r="45" spans="1:36" x14ac:dyDescent="0.3">
      <c r="A45" s="221" t="s">
        <v>109</v>
      </c>
      <c r="B45" s="222">
        <v>46058</v>
      </c>
      <c r="C45" s="223" t="s">
        <v>169</v>
      </c>
      <c r="D45" s="224" t="s">
        <v>245</v>
      </c>
      <c r="E45" s="223" t="s">
        <v>151</v>
      </c>
      <c r="F45" s="223" t="s">
        <v>111</v>
      </c>
      <c r="G45" s="225">
        <v>2.7799999999999998E-2</v>
      </c>
      <c r="H45" s="226">
        <v>180</v>
      </c>
      <c r="I45" s="226">
        <v>5</v>
      </c>
      <c r="J45" s="226">
        <v>0</v>
      </c>
      <c r="K45" s="223" t="s">
        <v>112</v>
      </c>
      <c r="L45" s="227" t="s">
        <v>185</v>
      </c>
      <c r="M45" s="226">
        <v>0</v>
      </c>
      <c r="N45" s="226">
        <v>0</v>
      </c>
      <c r="O45" s="226">
        <v>5</v>
      </c>
      <c r="P45" s="223" t="s">
        <v>126</v>
      </c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26" t="s">
        <v>126</v>
      </c>
      <c r="AE45" s="219"/>
      <c r="AF45" s="219"/>
      <c r="AG45" s="219"/>
      <c r="AH45" s="219"/>
      <c r="AI45" s="219"/>
      <c r="AJ45" s="219"/>
    </row>
    <row r="46" spans="1:36" x14ac:dyDescent="0.3">
      <c r="A46" s="221" t="s">
        <v>109</v>
      </c>
      <c r="B46" s="222">
        <v>46058</v>
      </c>
      <c r="C46" s="223" t="s">
        <v>152</v>
      </c>
      <c r="D46" s="224" t="s">
        <v>240</v>
      </c>
      <c r="E46" s="223" t="s">
        <v>151</v>
      </c>
      <c r="F46" s="223" t="s">
        <v>111</v>
      </c>
      <c r="G46" s="225">
        <v>1.11E-2</v>
      </c>
      <c r="H46" s="226">
        <v>180</v>
      </c>
      <c r="I46" s="226">
        <v>2</v>
      </c>
      <c r="J46" s="226">
        <v>0</v>
      </c>
      <c r="K46" s="223" t="s">
        <v>112</v>
      </c>
      <c r="L46" s="227" t="s">
        <v>32</v>
      </c>
      <c r="M46" s="226">
        <v>0</v>
      </c>
      <c r="N46" s="226">
        <v>0</v>
      </c>
      <c r="O46" s="226">
        <v>2</v>
      </c>
      <c r="P46" s="223" t="s">
        <v>183</v>
      </c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26" t="s">
        <v>147</v>
      </c>
      <c r="AD46" s="226" t="s">
        <v>66</v>
      </c>
      <c r="AE46" s="219"/>
      <c r="AF46" s="219"/>
      <c r="AG46" s="219"/>
      <c r="AH46" s="219"/>
      <c r="AI46" s="219"/>
      <c r="AJ46" s="219"/>
    </row>
    <row r="47" spans="1:36" x14ac:dyDescent="0.3">
      <c r="A47" s="221" t="s">
        <v>246</v>
      </c>
      <c r="B47" s="222">
        <v>46059</v>
      </c>
      <c r="C47" s="223" t="s">
        <v>154</v>
      </c>
      <c r="D47" s="224" t="s">
        <v>247</v>
      </c>
      <c r="E47" s="223" t="s">
        <v>151</v>
      </c>
      <c r="F47" s="223" t="s">
        <v>111</v>
      </c>
      <c r="G47" s="225">
        <v>2.7799999999999998E-2</v>
      </c>
      <c r="H47" s="226">
        <v>180</v>
      </c>
      <c r="I47" s="226">
        <v>5</v>
      </c>
      <c r="J47" s="226">
        <v>0</v>
      </c>
      <c r="K47" s="223" t="s">
        <v>112</v>
      </c>
      <c r="L47" s="227" t="s">
        <v>59</v>
      </c>
      <c r="M47" s="226">
        <v>0</v>
      </c>
      <c r="N47" s="226">
        <v>0</v>
      </c>
      <c r="O47" s="226">
        <v>5</v>
      </c>
      <c r="P47" s="223" t="s">
        <v>66</v>
      </c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26" t="s">
        <v>126</v>
      </c>
      <c r="AE47" s="219"/>
      <c r="AF47" s="219"/>
      <c r="AG47" s="219"/>
      <c r="AH47" s="219"/>
      <c r="AI47" s="219"/>
      <c r="AJ47" s="219"/>
    </row>
    <row r="48" spans="1:36" x14ac:dyDescent="0.3">
      <c r="A48" s="221" t="s">
        <v>246</v>
      </c>
      <c r="B48" s="222">
        <v>46059</v>
      </c>
      <c r="C48" s="223" t="s">
        <v>158</v>
      </c>
      <c r="D48" s="224" t="s">
        <v>248</v>
      </c>
      <c r="E48" s="223" t="s">
        <v>151</v>
      </c>
      <c r="F48" s="223" t="s">
        <v>111</v>
      </c>
      <c r="G48" s="225">
        <v>0</v>
      </c>
      <c r="H48" s="226">
        <v>180</v>
      </c>
      <c r="I48" s="226">
        <v>0</v>
      </c>
      <c r="J48" s="226">
        <v>0</v>
      </c>
      <c r="K48" s="223" t="s">
        <v>112</v>
      </c>
      <c r="L48" s="227" t="s">
        <v>36</v>
      </c>
      <c r="M48" s="226">
        <v>0</v>
      </c>
      <c r="N48" s="226">
        <v>0</v>
      </c>
      <c r="O48" s="226">
        <v>0</v>
      </c>
      <c r="P48" s="223" t="s">
        <v>78</v>
      </c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</row>
    <row r="49" spans="1:36" x14ac:dyDescent="0.3">
      <c r="A49" s="221" t="s">
        <v>246</v>
      </c>
      <c r="B49" s="222">
        <v>46059</v>
      </c>
      <c r="C49" s="223" t="s">
        <v>169</v>
      </c>
      <c r="D49" s="224" t="s">
        <v>239</v>
      </c>
      <c r="E49" s="223" t="s">
        <v>151</v>
      </c>
      <c r="F49" s="223" t="s">
        <v>111</v>
      </c>
      <c r="G49" s="225">
        <v>2.7799999999999998E-2</v>
      </c>
      <c r="H49" s="226">
        <v>180</v>
      </c>
      <c r="I49" s="226">
        <v>5</v>
      </c>
      <c r="J49" s="226">
        <v>0</v>
      </c>
      <c r="K49" s="223" t="s">
        <v>112</v>
      </c>
      <c r="L49" s="227" t="s">
        <v>178</v>
      </c>
      <c r="M49" s="226">
        <v>0</v>
      </c>
      <c r="N49" s="226">
        <v>0</v>
      </c>
      <c r="O49" s="226">
        <v>5</v>
      </c>
      <c r="P49" s="223" t="s">
        <v>175</v>
      </c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26" t="s">
        <v>175</v>
      </c>
      <c r="AD49" s="219"/>
      <c r="AE49" s="219"/>
      <c r="AF49" s="219"/>
      <c r="AG49" s="219"/>
      <c r="AH49" s="219"/>
      <c r="AI49" s="219"/>
      <c r="AJ49" s="219"/>
    </row>
    <row r="50" spans="1:36" x14ac:dyDescent="0.3">
      <c r="A50" s="221" t="s">
        <v>246</v>
      </c>
      <c r="B50" s="222">
        <v>46059</v>
      </c>
      <c r="C50" s="223" t="s">
        <v>160</v>
      </c>
      <c r="D50" s="224" t="s">
        <v>249</v>
      </c>
      <c r="E50" s="223" t="s">
        <v>151</v>
      </c>
      <c r="F50" s="223" t="s">
        <v>111</v>
      </c>
      <c r="G50" s="225">
        <v>2.2200000000000001E-2</v>
      </c>
      <c r="H50" s="226">
        <v>180</v>
      </c>
      <c r="I50" s="226">
        <v>4</v>
      </c>
      <c r="J50" s="226">
        <v>0</v>
      </c>
      <c r="K50" s="223" t="s">
        <v>112</v>
      </c>
      <c r="L50" s="227" t="s">
        <v>68</v>
      </c>
      <c r="M50" s="226">
        <v>0</v>
      </c>
      <c r="N50" s="226">
        <v>0</v>
      </c>
      <c r="O50" s="226">
        <v>4</v>
      </c>
      <c r="P50" s="223" t="s">
        <v>161</v>
      </c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26" t="s">
        <v>166</v>
      </c>
      <c r="AD50" s="219"/>
      <c r="AE50" s="219"/>
      <c r="AF50" s="219"/>
      <c r="AG50" s="219"/>
      <c r="AH50" s="219"/>
      <c r="AI50" s="219"/>
      <c r="AJ50" s="219"/>
    </row>
    <row r="51" spans="1:36" x14ac:dyDescent="0.3">
      <c r="A51" s="221" t="s">
        <v>246</v>
      </c>
      <c r="B51" s="222">
        <v>46059</v>
      </c>
      <c r="C51" s="223" t="s">
        <v>156</v>
      </c>
      <c r="D51" s="224" t="s">
        <v>250</v>
      </c>
      <c r="E51" s="223" t="s">
        <v>151</v>
      </c>
      <c r="F51" s="223" t="s">
        <v>111</v>
      </c>
      <c r="G51" s="225">
        <v>0</v>
      </c>
      <c r="H51" s="226">
        <v>180</v>
      </c>
      <c r="I51" s="226">
        <v>0</v>
      </c>
      <c r="J51" s="226">
        <v>0</v>
      </c>
      <c r="K51" s="223" t="s">
        <v>112</v>
      </c>
      <c r="L51" s="227" t="s">
        <v>36</v>
      </c>
      <c r="M51" s="226">
        <v>0</v>
      </c>
      <c r="N51" s="226">
        <v>0</v>
      </c>
      <c r="O51" s="226">
        <v>0</v>
      </c>
      <c r="P51" s="223" t="s">
        <v>78</v>
      </c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</row>
    <row r="52" spans="1:36" x14ac:dyDescent="0.3">
      <c r="A52" s="221" t="s">
        <v>113</v>
      </c>
      <c r="B52" s="222">
        <v>46060</v>
      </c>
      <c r="C52" s="223" t="s">
        <v>163</v>
      </c>
      <c r="D52" s="224" t="s">
        <v>251</v>
      </c>
      <c r="E52" s="223" t="s">
        <v>151</v>
      </c>
      <c r="F52" s="223" t="s">
        <v>111</v>
      </c>
      <c r="G52" s="225">
        <v>0</v>
      </c>
      <c r="H52" s="226">
        <v>186</v>
      </c>
      <c r="I52" s="226">
        <v>0</v>
      </c>
      <c r="J52" s="226">
        <v>0</v>
      </c>
      <c r="K52" s="223" t="s">
        <v>112</v>
      </c>
      <c r="L52" s="227" t="s">
        <v>36</v>
      </c>
      <c r="M52" s="226">
        <v>0</v>
      </c>
      <c r="N52" s="226">
        <v>0</v>
      </c>
      <c r="O52" s="226">
        <v>0</v>
      </c>
      <c r="P52" s="223" t="s">
        <v>78</v>
      </c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</row>
    <row r="53" spans="1:36" x14ac:dyDescent="0.3">
      <c r="A53" s="221" t="s">
        <v>113</v>
      </c>
      <c r="B53" s="222">
        <v>46060</v>
      </c>
      <c r="C53" s="223" t="s">
        <v>154</v>
      </c>
      <c r="D53" s="224" t="s">
        <v>242</v>
      </c>
      <c r="E53" s="223" t="s">
        <v>151</v>
      </c>
      <c r="F53" s="223" t="s">
        <v>111</v>
      </c>
      <c r="G53" s="225">
        <v>0.05</v>
      </c>
      <c r="H53" s="226">
        <v>180</v>
      </c>
      <c r="I53" s="226">
        <v>9</v>
      </c>
      <c r="J53" s="226">
        <v>0</v>
      </c>
      <c r="K53" s="223" t="s">
        <v>112</v>
      </c>
      <c r="L53" s="227" t="s">
        <v>187</v>
      </c>
      <c r="M53" s="226">
        <v>0</v>
      </c>
      <c r="N53" s="226">
        <v>0</v>
      </c>
      <c r="O53" s="226">
        <v>9</v>
      </c>
      <c r="P53" s="223" t="s">
        <v>166</v>
      </c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26" t="s">
        <v>144</v>
      </c>
      <c r="AD53" s="226" t="s">
        <v>155</v>
      </c>
      <c r="AE53" s="219"/>
      <c r="AF53" s="219"/>
      <c r="AG53" s="219"/>
      <c r="AH53" s="219"/>
      <c r="AI53" s="219"/>
      <c r="AJ53" s="219"/>
    </row>
    <row r="54" spans="1:36" x14ac:dyDescent="0.3">
      <c r="A54" s="221" t="s">
        <v>113</v>
      </c>
      <c r="B54" s="222">
        <v>46060</v>
      </c>
      <c r="C54" s="223" t="s">
        <v>158</v>
      </c>
      <c r="D54" s="224" t="s">
        <v>252</v>
      </c>
      <c r="E54" s="223" t="s">
        <v>151</v>
      </c>
      <c r="F54" s="223" t="s">
        <v>111</v>
      </c>
      <c r="G54" s="225">
        <v>2.7799999999999998E-2</v>
      </c>
      <c r="H54" s="226">
        <v>180</v>
      </c>
      <c r="I54" s="226">
        <v>5</v>
      </c>
      <c r="J54" s="226">
        <v>0</v>
      </c>
      <c r="K54" s="223" t="s">
        <v>112</v>
      </c>
      <c r="L54" s="227" t="s">
        <v>179</v>
      </c>
      <c r="M54" s="226">
        <v>0</v>
      </c>
      <c r="N54" s="226">
        <v>0</v>
      </c>
      <c r="O54" s="226">
        <v>5</v>
      </c>
      <c r="P54" s="223" t="s">
        <v>175</v>
      </c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26" t="s">
        <v>175</v>
      </c>
      <c r="AD54" s="219"/>
      <c r="AE54" s="219"/>
      <c r="AF54" s="219"/>
      <c r="AG54" s="219"/>
      <c r="AH54" s="219"/>
      <c r="AI54" s="219"/>
      <c r="AJ54" s="219"/>
    </row>
    <row r="55" spans="1:36" x14ac:dyDescent="0.3">
      <c r="A55" s="221" t="s">
        <v>113</v>
      </c>
      <c r="B55" s="222">
        <v>46060</v>
      </c>
      <c r="C55" s="223" t="s">
        <v>152</v>
      </c>
      <c r="D55" s="224" t="s">
        <v>253</v>
      </c>
      <c r="E55" s="223" t="s">
        <v>151</v>
      </c>
      <c r="F55" s="223" t="s">
        <v>111</v>
      </c>
      <c r="G55" s="225">
        <v>4.4400000000000002E-2</v>
      </c>
      <c r="H55" s="226">
        <v>180</v>
      </c>
      <c r="I55" s="226">
        <v>8</v>
      </c>
      <c r="J55" s="226">
        <v>0</v>
      </c>
      <c r="K55" s="223" t="s">
        <v>112</v>
      </c>
      <c r="L55" s="227" t="s">
        <v>53</v>
      </c>
      <c r="M55" s="226">
        <v>0</v>
      </c>
      <c r="N55" s="226">
        <v>0</v>
      </c>
      <c r="O55" s="226">
        <v>8</v>
      </c>
      <c r="P55" s="223" t="s">
        <v>131</v>
      </c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26" t="s">
        <v>73</v>
      </c>
      <c r="AD55" s="219"/>
      <c r="AE55" s="219"/>
      <c r="AF55" s="219"/>
      <c r="AG55" s="219"/>
      <c r="AH55" s="219"/>
      <c r="AI55" s="219"/>
      <c r="AJ55" s="219"/>
    </row>
    <row r="56" spans="1:36" x14ac:dyDescent="0.3">
      <c r="A56" s="221" t="s">
        <v>115</v>
      </c>
      <c r="B56" s="222">
        <v>46061</v>
      </c>
      <c r="C56" s="223" t="s">
        <v>154</v>
      </c>
      <c r="D56" s="224" t="s">
        <v>247</v>
      </c>
      <c r="E56" s="223" t="s">
        <v>151</v>
      </c>
      <c r="F56" s="223" t="s">
        <v>111</v>
      </c>
      <c r="G56" s="225">
        <v>3.3300000000000003E-2</v>
      </c>
      <c r="H56" s="226">
        <v>180</v>
      </c>
      <c r="I56" s="226">
        <v>6</v>
      </c>
      <c r="J56" s="226">
        <v>0</v>
      </c>
      <c r="K56" s="223" t="s">
        <v>112</v>
      </c>
      <c r="L56" s="227" t="s">
        <v>167</v>
      </c>
      <c r="M56" s="226">
        <v>0</v>
      </c>
      <c r="N56" s="226">
        <v>0</v>
      </c>
      <c r="O56" s="226">
        <v>6</v>
      </c>
      <c r="P56" s="223" t="s">
        <v>168</v>
      </c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26" t="s">
        <v>155</v>
      </c>
      <c r="AE56" s="219"/>
      <c r="AF56" s="219"/>
      <c r="AG56" s="219"/>
      <c r="AH56" s="219"/>
      <c r="AI56" s="219"/>
      <c r="AJ56" s="219"/>
    </row>
    <row r="57" spans="1:36" x14ac:dyDescent="0.3">
      <c r="A57" s="221" t="s">
        <v>115</v>
      </c>
      <c r="B57" s="222">
        <v>46061</v>
      </c>
      <c r="C57" s="223" t="s">
        <v>164</v>
      </c>
      <c r="D57" s="224" t="s">
        <v>242</v>
      </c>
      <c r="E57" s="223" t="s">
        <v>151</v>
      </c>
      <c r="F57" s="223" t="s">
        <v>111</v>
      </c>
      <c r="G57" s="225">
        <v>5.5999999999999999E-3</v>
      </c>
      <c r="H57" s="226">
        <v>180</v>
      </c>
      <c r="I57" s="226">
        <v>1</v>
      </c>
      <c r="J57" s="226">
        <v>0</v>
      </c>
      <c r="K57" s="223" t="s">
        <v>112</v>
      </c>
      <c r="L57" s="227" t="s">
        <v>179</v>
      </c>
      <c r="M57" s="226">
        <v>0</v>
      </c>
      <c r="N57" s="226">
        <v>0</v>
      </c>
      <c r="O57" s="226">
        <v>1</v>
      </c>
      <c r="P57" s="223" t="s">
        <v>78</v>
      </c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26" t="s">
        <v>147</v>
      </c>
      <c r="AD57" s="219"/>
      <c r="AE57" s="219"/>
      <c r="AF57" s="219"/>
      <c r="AG57" s="219"/>
      <c r="AH57" s="219"/>
      <c r="AI57" s="219"/>
      <c r="AJ57" s="219"/>
    </row>
    <row r="58" spans="1:36" x14ac:dyDescent="0.3">
      <c r="A58" s="221" t="s">
        <v>115</v>
      </c>
      <c r="B58" s="222">
        <v>46061</v>
      </c>
      <c r="C58" s="223" t="s">
        <v>156</v>
      </c>
      <c r="D58" s="224" t="s">
        <v>254</v>
      </c>
      <c r="E58" s="223" t="s">
        <v>151</v>
      </c>
      <c r="F58" s="223" t="s">
        <v>111</v>
      </c>
      <c r="G58" s="225">
        <v>5.5999999999999999E-3</v>
      </c>
      <c r="H58" s="226">
        <v>180</v>
      </c>
      <c r="I58" s="226">
        <v>1</v>
      </c>
      <c r="J58" s="226">
        <v>0</v>
      </c>
      <c r="K58" s="223" t="s">
        <v>112</v>
      </c>
      <c r="L58" s="227" t="s">
        <v>189</v>
      </c>
      <c r="M58" s="226">
        <v>0</v>
      </c>
      <c r="N58" s="226">
        <v>0</v>
      </c>
      <c r="O58" s="226">
        <v>1</v>
      </c>
      <c r="P58" s="223" t="s">
        <v>78</v>
      </c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26" t="s">
        <v>147</v>
      </c>
      <c r="AD58" s="219"/>
      <c r="AE58" s="219"/>
      <c r="AF58" s="219"/>
      <c r="AG58" s="219"/>
      <c r="AH58" s="219"/>
      <c r="AI58" s="219"/>
      <c r="AJ58" s="219"/>
    </row>
    <row r="59" spans="1:36" x14ac:dyDescent="0.3">
      <c r="A59" s="221" t="s">
        <v>115</v>
      </c>
      <c r="B59" s="222">
        <v>46061</v>
      </c>
      <c r="C59" s="223" t="s">
        <v>158</v>
      </c>
      <c r="D59" s="224" t="s">
        <v>255</v>
      </c>
      <c r="E59" s="223" t="s">
        <v>151</v>
      </c>
      <c r="F59" s="223" t="s">
        <v>111</v>
      </c>
      <c r="G59" s="225">
        <v>5.5999999999999999E-3</v>
      </c>
      <c r="H59" s="226">
        <v>180</v>
      </c>
      <c r="I59" s="226">
        <v>1</v>
      </c>
      <c r="J59" s="226">
        <v>0</v>
      </c>
      <c r="K59" s="223" t="s">
        <v>112</v>
      </c>
      <c r="L59" s="227" t="s">
        <v>190</v>
      </c>
      <c r="M59" s="226">
        <v>0</v>
      </c>
      <c r="N59" s="226">
        <v>0</v>
      </c>
      <c r="O59" s="226">
        <v>1</v>
      </c>
      <c r="P59" s="223" t="s">
        <v>78</v>
      </c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26" t="s">
        <v>147</v>
      </c>
      <c r="AD59" s="219"/>
      <c r="AE59" s="219"/>
      <c r="AF59" s="219"/>
      <c r="AG59" s="219"/>
      <c r="AH59" s="219"/>
      <c r="AI59" s="219"/>
      <c r="AJ59" s="219"/>
    </row>
    <row r="60" spans="1:36" x14ac:dyDescent="0.3">
      <c r="A60" s="221" t="s">
        <v>115</v>
      </c>
      <c r="B60" s="222">
        <v>46061</v>
      </c>
      <c r="C60" s="223" t="s">
        <v>169</v>
      </c>
      <c r="D60" s="224" t="s">
        <v>256</v>
      </c>
      <c r="E60" s="223" t="s">
        <v>151</v>
      </c>
      <c r="F60" s="223" t="s">
        <v>111</v>
      </c>
      <c r="G60" s="225">
        <v>1.11E-2</v>
      </c>
      <c r="H60" s="226">
        <v>180</v>
      </c>
      <c r="I60" s="226">
        <v>2</v>
      </c>
      <c r="J60" s="226">
        <v>0</v>
      </c>
      <c r="K60" s="223" t="s">
        <v>112</v>
      </c>
      <c r="L60" s="227" t="s">
        <v>165</v>
      </c>
      <c r="M60" s="226">
        <v>0</v>
      </c>
      <c r="N60" s="226">
        <v>0</v>
      </c>
      <c r="O60" s="226">
        <v>2</v>
      </c>
      <c r="P60" s="223" t="s">
        <v>73</v>
      </c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26" t="s">
        <v>131</v>
      </c>
      <c r="AD60" s="219"/>
      <c r="AE60" s="219"/>
      <c r="AF60" s="219"/>
      <c r="AG60" s="219"/>
      <c r="AH60" s="219"/>
      <c r="AI60" s="219"/>
      <c r="AJ60" s="219"/>
    </row>
    <row r="61" spans="1:36" x14ac:dyDescent="0.3">
      <c r="A61" s="221" t="s">
        <v>119</v>
      </c>
      <c r="B61" s="222">
        <v>46062</v>
      </c>
      <c r="C61" s="223" t="s">
        <v>154</v>
      </c>
      <c r="D61" s="224" t="s">
        <v>257</v>
      </c>
      <c r="E61" s="223" t="s">
        <v>151</v>
      </c>
      <c r="F61" s="223" t="s">
        <v>111</v>
      </c>
      <c r="G61" s="225">
        <v>1.67E-2</v>
      </c>
      <c r="H61" s="226">
        <v>180</v>
      </c>
      <c r="I61" s="226">
        <v>3</v>
      </c>
      <c r="J61" s="226">
        <v>0</v>
      </c>
      <c r="K61" s="223" t="s">
        <v>112</v>
      </c>
      <c r="L61" s="227" t="s">
        <v>59</v>
      </c>
      <c r="M61" s="226">
        <v>0</v>
      </c>
      <c r="N61" s="226">
        <v>0</v>
      </c>
      <c r="O61" s="226">
        <v>3</v>
      </c>
      <c r="P61" s="223" t="s">
        <v>56</v>
      </c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26" t="s">
        <v>147</v>
      </c>
      <c r="AD61" s="226" t="s">
        <v>157</v>
      </c>
      <c r="AE61" s="219"/>
      <c r="AF61" s="219"/>
      <c r="AG61" s="219"/>
      <c r="AH61" s="219"/>
      <c r="AI61" s="219"/>
      <c r="AJ61" s="219"/>
    </row>
    <row r="62" spans="1:36" x14ac:dyDescent="0.3">
      <c r="A62" s="221" t="s">
        <v>119</v>
      </c>
      <c r="B62" s="222">
        <v>46062</v>
      </c>
      <c r="C62" s="223" t="s">
        <v>158</v>
      </c>
      <c r="D62" s="224" t="s">
        <v>239</v>
      </c>
      <c r="E62" s="223" t="s">
        <v>151</v>
      </c>
      <c r="F62" s="223" t="s">
        <v>111</v>
      </c>
      <c r="G62" s="225">
        <v>4.4400000000000002E-2</v>
      </c>
      <c r="H62" s="226">
        <v>180</v>
      </c>
      <c r="I62" s="226">
        <v>8</v>
      </c>
      <c r="J62" s="226">
        <v>0</v>
      </c>
      <c r="K62" s="223" t="s">
        <v>112</v>
      </c>
      <c r="L62" s="227" t="s">
        <v>50</v>
      </c>
      <c r="M62" s="226">
        <v>0</v>
      </c>
      <c r="N62" s="226">
        <v>0</v>
      </c>
      <c r="O62" s="226">
        <v>8</v>
      </c>
      <c r="P62" s="223" t="s">
        <v>131</v>
      </c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26" t="s">
        <v>73</v>
      </c>
      <c r="AD62" s="219"/>
      <c r="AE62" s="219"/>
      <c r="AF62" s="219"/>
      <c r="AG62" s="219"/>
      <c r="AH62" s="219"/>
      <c r="AI62" s="219"/>
      <c r="AJ62" s="219"/>
    </row>
    <row r="63" spans="1:36" x14ac:dyDescent="0.3">
      <c r="A63" s="221" t="s">
        <v>119</v>
      </c>
      <c r="B63" s="222">
        <v>46062</v>
      </c>
      <c r="C63" s="223" t="s">
        <v>156</v>
      </c>
      <c r="D63" s="224" t="s">
        <v>258</v>
      </c>
      <c r="E63" s="223" t="s">
        <v>151</v>
      </c>
      <c r="F63" s="223" t="s">
        <v>111</v>
      </c>
      <c r="G63" s="225">
        <v>0</v>
      </c>
      <c r="H63" s="226">
        <v>180</v>
      </c>
      <c r="I63" s="226">
        <v>0</v>
      </c>
      <c r="J63" s="226">
        <v>0</v>
      </c>
      <c r="K63" s="223" t="s">
        <v>112</v>
      </c>
      <c r="L63" s="227" t="s">
        <v>36</v>
      </c>
      <c r="M63" s="226">
        <v>0</v>
      </c>
      <c r="N63" s="226">
        <v>0</v>
      </c>
      <c r="O63" s="226">
        <v>0</v>
      </c>
      <c r="P63" s="223" t="s">
        <v>78</v>
      </c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</row>
    <row r="64" spans="1:36" x14ac:dyDescent="0.3">
      <c r="A64" s="221" t="s">
        <v>121</v>
      </c>
      <c r="B64" s="222">
        <v>46063</v>
      </c>
      <c r="C64" s="223" t="s">
        <v>160</v>
      </c>
      <c r="D64" s="224" t="s">
        <v>259</v>
      </c>
      <c r="E64" s="223" t="s">
        <v>151</v>
      </c>
      <c r="F64" s="223" t="s">
        <v>111</v>
      </c>
      <c r="G64" s="225">
        <v>2.2200000000000001E-2</v>
      </c>
      <c r="H64" s="226">
        <v>180</v>
      </c>
      <c r="I64" s="226">
        <v>4</v>
      </c>
      <c r="J64" s="226">
        <v>0</v>
      </c>
      <c r="K64" s="223" t="s">
        <v>112</v>
      </c>
      <c r="L64" s="227" t="s">
        <v>63</v>
      </c>
      <c r="M64" s="226">
        <v>0</v>
      </c>
      <c r="N64" s="226">
        <v>0</v>
      </c>
      <c r="O64" s="226">
        <v>4</v>
      </c>
      <c r="P64" s="223" t="s">
        <v>161</v>
      </c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26" t="s">
        <v>166</v>
      </c>
      <c r="AD64" s="219"/>
      <c r="AE64" s="219"/>
      <c r="AF64" s="219"/>
      <c r="AG64" s="219"/>
      <c r="AH64" s="219"/>
      <c r="AI64" s="219"/>
      <c r="AJ64" s="219"/>
    </row>
    <row r="65" spans="1:36" x14ac:dyDescent="0.3">
      <c r="A65" s="221" t="s">
        <v>121</v>
      </c>
      <c r="B65" s="222">
        <v>46063</v>
      </c>
      <c r="C65" s="223" t="s">
        <v>169</v>
      </c>
      <c r="D65" s="224" t="s">
        <v>110</v>
      </c>
      <c r="E65" s="223" t="s">
        <v>151</v>
      </c>
      <c r="F65" s="223" t="s">
        <v>111</v>
      </c>
      <c r="G65" s="225">
        <v>0</v>
      </c>
      <c r="H65" s="226">
        <v>180</v>
      </c>
      <c r="I65" s="226">
        <v>0</v>
      </c>
      <c r="J65" s="226">
        <v>0</v>
      </c>
      <c r="K65" s="223" t="s">
        <v>112</v>
      </c>
      <c r="L65" s="227" t="s">
        <v>36</v>
      </c>
      <c r="M65" s="226">
        <v>0</v>
      </c>
      <c r="N65" s="226">
        <v>0</v>
      </c>
      <c r="O65" s="226">
        <v>0</v>
      </c>
      <c r="P65" s="223" t="s">
        <v>78</v>
      </c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</row>
    <row r="66" spans="1:36" x14ac:dyDescent="0.3">
      <c r="A66" s="221" t="s">
        <v>121</v>
      </c>
      <c r="B66" s="222">
        <v>46063</v>
      </c>
      <c r="C66" s="223" t="s">
        <v>158</v>
      </c>
      <c r="D66" s="224" t="s">
        <v>239</v>
      </c>
      <c r="E66" s="223" t="s">
        <v>151</v>
      </c>
      <c r="F66" s="223" t="s">
        <v>111</v>
      </c>
      <c r="G66" s="225">
        <v>2.2200000000000001E-2</v>
      </c>
      <c r="H66" s="226">
        <v>180</v>
      </c>
      <c r="I66" s="226">
        <v>4</v>
      </c>
      <c r="J66" s="226">
        <v>0</v>
      </c>
      <c r="K66" s="223" t="s">
        <v>112</v>
      </c>
      <c r="L66" s="227" t="s">
        <v>46</v>
      </c>
      <c r="M66" s="226">
        <v>0</v>
      </c>
      <c r="N66" s="226">
        <v>0</v>
      </c>
      <c r="O66" s="226">
        <v>4</v>
      </c>
      <c r="P66" s="223" t="s">
        <v>161</v>
      </c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26" t="s">
        <v>166</v>
      </c>
      <c r="AD66" s="219"/>
      <c r="AE66" s="219"/>
      <c r="AF66" s="219"/>
      <c r="AG66" s="219"/>
      <c r="AH66" s="219"/>
      <c r="AI66" s="219"/>
      <c r="AJ66" s="219"/>
    </row>
    <row r="67" spans="1:36" x14ac:dyDescent="0.3">
      <c r="A67" s="221" t="s">
        <v>121</v>
      </c>
      <c r="B67" s="222">
        <v>46063</v>
      </c>
      <c r="C67" s="223" t="s">
        <v>156</v>
      </c>
      <c r="D67" s="224" t="s">
        <v>260</v>
      </c>
      <c r="E67" s="223" t="s">
        <v>151</v>
      </c>
      <c r="F67" s="223" t="s">
        <v>111</v>
      </c>
      <c r="G67" s="225">
        <v>0</v>
      </c>
      <c r="H67" s="226">
        <v>180</v>
      </c>
      <c r="I67" s="226">
        <v>0</v>
      </c>
      <c r="J67" s="226">
        <v>0</v>
      </c>
      <c r="K67" s="223" t="s">
        <v>112</v>
      </c>
      <c r="L67" s="227" t="s">
        <v>36</v>
      </c>
      <c r="M67" s="226">
        <v>0</v>
      </c>
      <c r="N67" s="226">
        <v>0</v>
      </c>
      <c r="O67" s="226">
        <v>0</v>
      </c>
      <c r="P67" s="223" t="s">
        <v>78</v>
      </c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</row>
    <row r="68" spans="1:36" x14ac:dyDescent="0.3">
      <c r="A68" s="221" t="s">
        <v>121</v>
      </c>
      <c r="B68" s="222">
        <v>46063</v>
      </c>
      <c r="C68" s="223" t="s">
        <v>152</v>
      </c>
      <c r="D68" s="224" t="s">
        <v>261</v>
      </c>
      <c r="E68" s="223" t="s">
        <v>151</v>
      </c>
      <c r="F68" s="223" t="s">
        <v>111</v>
      </c>
      <c r="G68" s="225">
        <v>4.4400000000000002E-2</v>
      </c>
      <c r="H68" s="226">
        <v>180</v>
      </c>
      <c r="I68" s="226">
        <v>8</v>
      </c>
      <c r="J68" s="226">
        <v>0</v>
      </c>
      <c r="K68" s="223" t="s">
        <v>112</v>
      </c>
      <c r="L68" s="227" t="s">
        <v>32</v>
      </c>
      <c r="M68" s="226">
        <v>0</v>
      </c>
      <c r="N68" s="226">
        <v>0</v>
      </c>
      <c r="O68" s="226">
        <v>8</v>
      </c>
      <c r="P68" s="223" t="s">
        <v>168</v>
      </c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26" t="s">
        <v>263</v>
      </c>
      <c r="AC68" s="226" t="s">
        <v>144</v>
      </c>
      <c r="AD68" s="219"/>
      <c r="AE68" s="219"/>
      <c r="AF68" s="219"/>
      <c r="AG68" s="219"/>
      <c r="AH68" s="219"/>
      <c r="AI68" s="219"/>
      <c r="AJ68" s="219"/>
    </row>
    <row r="69" spans="1:36" x14ac:dyDescent="0.3">
      <c r="A69" s="221" t="s">
        <v>121</v>
      </c>
      <c r="B69" s="222">
        <v>46063</v>
      </c>
      <c r="C69" s="223" t="s">
        <v>154</v>
      </c>
      <c r="D69" s="224" t="s">
        <v>262</v>
      </c>
      <c r="E69" s="223" t="s">
        <v>151</v>
      </c>
      <c r="F69" s="223" t="s">
        <v>111</v>
      </c>
      <c r="G69" s="225">
        <v>0.05</v>
      </c>
      <c r="H69" s="226">
        <v>180</v>
      </c>
      <c r="I69" s="226">
        <v>9</v>
      </c>
      <c r="J69" s="226">
        <v>0</v>
      </c>
      <c r="K69" s="223" t="s">
        <v>112</v>
      </c>
      <c r="L69" s="227" t="s">
        <v>193</v>
      </c>
      <c r="M69" s="226">
        <v>0</v>
      </c>
      <c r="N69" s="226">
        <v>0</v>
      </c>
      <c r="O69" s="226">
        <v>9</v>
      </c>
      <c r="P69" s="223" t="s">
        <v>166</v>
      </c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26" t="s">
        <v>144</v>
      </c>
      <c r="AD69" s="226" t="s">
        <v>155</v>
      </c>
      <c r="AE69" s="219"/>
      <c r="AF69" s="219"/>
      <c r="AG69" s="219"/>
      <c r="AH69" s="219"/>
      <c r="AI69" s="219"/>
      <c r="AJ69" s="219"/>
    </row>
    <row r="70" spans="1:36" x14ac:dyDescent="0.3">
      <c r="A70" s="221" t="s">
        <v>235</v>
      </c>
      <c r="B70" s="222">
        <v>46064</v>
      </c>
      <c r="C70" s="223" t="s">
        <v>152</v>
      </c>
      <c r="D70" s="224" t="s">
        <v>236</v>
      </c>
      <c r="E70" s="223" t="s">
        <v>151</v>
      </c>
      <c r="F70" s="223" t="s">
        <v>111</v>
      </c>
      <c r="G70" s="225">
        <v>1.11E-2</v>
      </c>
      <c r="H70" s="226">
        <v>180</v>
      </c>
      <c r="I70" s="226">
        <v>2</v>
      </c>
      <c r="J70" s="226">
        <v>0</v>
      </c>
      <c r="K70" s="223" t="s">
        <v>112</v>
      </c>
      <c r="L70" s="227" t="s">
        <v>50</v>
      </c>
      <c r="M70" s="226">
        <v>0</v>
      </c>
      <c r="N70" s="226">
        <v>0</v>
      </c>
      <c r="O70" s="226">
        <v>2</v>
      </c>
      <c r="P70" s="223" t="s">
        <v>73</v>
      </c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26" t="s">
        <v>131</v>
      </c>
      <c r="AD70" s="219"/>
      <c r="AE70" s="219"/>
      <c r="AF70" s="219"/>
      <c r="AG70" s="219"/>
      <c r="AH70" s="219"/>
      <c r="AI70" s="219"/>
      <c r="AJ70" s="219"/>
    </row>
    <row r="71" spans="1:36" x14ac:dyDescent="0.3">
      <c r="A71" s="221" t="s">
        <v>235</v>
      </c>
      <c r="B71" s="222">
        <v>46064</v>
      </c>
      <c r="C71" s="223" t="s">
        <v>154</v>
      </c>
      <c r="D71" s="224" t="s">
        <v>237</v>
      </c>
      <c r="E71" s="223" t="s">
        <v>151</v>
      </c>
      <c r="F71" s="223" t="s">
        <v>111</v>
      </c>
      <c r="G71" s="225">
        <v>0.05</v>
      </c>
      <c r="H71" s="226">
        <v>180</v>
      </c>
      <c r="I71" s="226">
        <v>9</v>
      </c>
      <c r="J71" s="226">
        <v>0</v>
      </c>
      <c r="K71" s="223" t="s">
        <v>112</v>
      </c>
      <c r="L71" s="227" t="s">
        <v>194</v>
      </c>
      <c r="M71" s="226">
        <v>0</v>
      </c>
      <c r="N71" s="226">
        <v>0</v>
      </c>
      <c r="O71" s="226">
        <v>10</v>
      </c>
      <c r="P71" s="223" t="s">
        <v>166</v>
      </c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26" t="s">
        <v>144</v>
      </c>
      <c r="AD71" s="226" t="s">
        <v>155</v>
      </c>
      <c r="AE71" s="219"/>
      <c r="AF71" s="219"/>
      <c r="AG71" s="219"/>
      <c r="AH71" s="219"/>
      <c r="AI71" s="219"/>
      <c r="AJ71" s="219"/>
    </row>
    <row r="72" spans="1:36" x14ac:dyDescent="0.3">
      <c r="A72" s="221" t="s">
        <v>235</v>
      </c>
      <c r="B72" s="222">
        <v>46064</v>
      </c>
      <c r="C72" s="223" t="s">
        <v>156</v>
      </c>
      <c r="D72" s="224" t="s">
        <v>238</v>
      </c>
      <c r="E72" s="223" t="s">
        <v>151</v>
      </c>
      <c r="F72" s="223" t="s">
        <v>111</v>
      </c>
      <c r="G72" s="225">
        <v>0</v>
      </c>
      <c r="H72" s="226">
        <v>186</v>
      </c>
      <c r="I72" s="226">
        <v>0</v>
      </c>
      <c r="J72" s="226">
        <v>0</v>
      </c>
      <c r="K72" s="223" t="s">
        <v>112</v>
      </c>
      <c r="L72" s="227" t="s">
        <v>36</v>
      </c>
      <c r="M72" s="226">
        <v>0</v>
      </c>
      <c r="N72" s="226">
        <v>0</v>
      </c>
      <c r="O72" s="226">
        <v>0</v>
      </c>
      <c r="P72" s="223" t="s">
        <v>78</v>
      </c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</row>
    <row r="73" spans="1:36" x14ac:dyDescent="0.3">
      <c r="A73" s="221" t="s">
        <v>235</v>
      </c>
      <c r="B73" s="222">
        <v>46064</v>
      </c>
      <c r="C73" s="223" t="s">
        <v>158</v>
      </c>
      <c r="D73" s="224" t="s">
        <v>239</v>
      </c>
      <c r="E73" s="223" t="s">
        <v>151</v>
      </c>
      <c r="F73" s="223" t="s">
        <v>111</v>
      </c>
      <c r="G73" s="225">
        <v>3.3300000000000003E-2</v>
      </c>
      <c r="H73" s="226">
        <v>180</v>
      </c>
      <c r="I73" s="226">
        <v>6</v>
      </c>
      <c r="J73" s="226">
        <v>0</v>
      </c>
      <c r="K73" s="223" t="s">
        <v>112</v>
      </c>
      <c r="L73" s="227" t="s">
        <v>195</v>
      </c>
      <c r="M73" s="226">
        <v>0</v>
      </c>
      <c r="N73" s="226">
        <v>0</v>
      </c>
      <c r="O73" s="226">
        <v>6</v>
      </c>
      <c r="P73" s="223" t="s">
        <v>166</v>
      </c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26" t="s">
        <v>161</v>
      </c>
      <c r="AD73" s="219"/>
      <c r="AE73" s="219"/>
      <c r="AF73" s="219"/>
      <c r="AG73" s="219"/>
      <c r="AH73" s="219"/>
      <c r="AI73" s="219"/>
      <c r="AJ73" s="219"/>
    </row>
    <row r="74" spans="1:36" x14ac:dyDescent="0.3">
      <c r="A74" s="221" t="s">
        <v>235</v>
      </c>
      <c r="B74" s="222">
        <v>46064</v>
      </c>
      <c r="C74" s="223" t="s">
        <v>160</v>
      </c>
      <c r="D74" s="224" t="s">
        <v>240</v>
      </c>
      <c r="E74" s="223" t="s">
        <v>151</v>
      </c>
      <c r="F74" s="223" t="s">
        <v>111</v>
      </c>
      <c r="G74" s="225">
        <v>1.67E-2</v>
      </c>
      <c r="H74" s="226">
        <v>180</v>
      </c>
      <c r="I74" s="226">
        <v>3</v>
      </c>
      <c r="J74" s="226">
        <v>0</v>
      </c>
      <c r="K74" s="223" t="s">
        <v>112</v>
      </c>
      <c r="L74" s="227" t="s">
        <v>63</v>
      </c>
      <c r="M74" s="226">
        <v>0</v>
      </c>
      <c r="N74" s="226">
        <v>0</v>
      </c>
      <c r="O74" s="226">
        <v>3</v>
      </c>
      <c r="P74" s="223" t="s">
        <v>168</v>
      </c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26" t="s">
        <v>144</v>
      </c>
      <c r="AD74" s="219"/>
      <c r="AE74" s="219"/>
      <c r="AF74" s="219"/>
      <c r="AG74" s="219"/>
      <c r="AH74" s="219"/>
      <c r="AI74" s="219"/>
      <c r="AJ74" s="219"/>
    </row>
    <row r="75" spans="1:36" x14ac:dyDescent="0.3">
      <c r="A75" s="221" t="s">
        <v>109</v>
      </c>
      <c r="B75" s="222">
        <v>46065</v>
      </c>
      <c r="C75" s="223" t="s">
        <v>163</v>
      </c>
      <c r="D75" s="224" t="s">
        <v>241</v>
      </c>
      <c r="E75" s="223" t="s">
        <v>151</v>
      </c>
      <c r="F75" s="223" t="s">
        <v>111</v>
      </c>
      <c r="G75" s="225">
        <v>3.3300000000000003E-2</v>
      </c>
      <c r="H75" s="226">
        <v>180</v>
      </c>
      <c r="I75" s="226">
        <v>6</v>
      </c>
      <c r="J75" s="226">
        <v>0</v>
      </c>
      <c r="K75" s="223" t="s">
        <v>112</v>
      </c>
      <c r="L75" s="227" t="s">
        <v>196</v>
      </c>
      <c r="M75" s="226">
        <v>0</v>
      </c>
      <c r="N75" s="226">
        <v>0</v>
      </c>
      <c r="O75" s="226">
        <v>6</v>
      </c>
      <c r="P75" s="223" t="s">
        <v>78</v>
      </c>
      <c r="Q75" s="219"/>
      <c r="R75" s="219"/>
      <c r="S75" s="219"/>
      <c r="T75" s="219"/>
      <c r="U75" s="219"/>
      <c r="V75" s="219"/>
      <c r="W75" s="219"/>
      <c r="X75" s="219"/>
      <c r="Y75" s="219"/>
      <c r="Z75" s="226" t="s">
        <v>197</v>
      </c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</row>
    <row r="76" spans="1:36" x14ac:dyDescent="0.3">
      <c r="A76" s="221" t="s">
        <v>109</v>
      </c>
      <c r="B76" s="222">
        <v>46065</v>
      </c>
      <c r="C76" s="223" t="s">
        <v>154</v>
      </c>
      <c r="D76" s="224" t="s">
        <v>242</v>
      </c>
      <c r="E76" s="223" t="s">
        <v>151</v>
      </c>
      <c r="F76" s="223" t="s">
        <v>111</v>
      </c>
      <c r="G76" s="225">
        <v>3.8899999999999997E-2</v>
      </c>
      <c r="H76" s="226">
        <v>180</v>
      </c>
      <c r="I76" s="226">
        <v>7</v>
      </c>
      <c r="J76" s="226">
        <v>0</v>
      </c>
      <c r="K76" s="223" t="s">
        <v>112</v>
      </c>
      <c r="L76" s="227" t="s">
        <v>53</v>
      </c>
      <c r="M76" s="226">
        <v>0</v>
      </c>
      <c r="N76" s="226">
        <v>0</v>
      </c>
      <c r="O76" s="226">
        <v>8</v>
      </c>
      <c r="P76" s="223" t="s">
        <v>180</v>
      </c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26" t="s">
        <v>166</v>
      </c>
      <c r="AD76" s="226" t="s">
        <v>180</v>
      </c>
      <c r="AE76" s="219"/>
      <c r="AF76" s="219"/>
      <c r="AG76" s="219"/>
      <c r="AH76" s="219"/>
      <c r="AI76" s="219"/>
      <c r="AJ76" s="219"/>
    </row>
    <row r="77" spans="1:36" x14ac:dyDescent="0.3">
      <c r="A77" s="221" t="s">
        <v>109</v>
      </c>
      <c r="B77" s="222">
        <v>46065</v>
      </c>
      <c r="C77" s="223" t="s">
        <v>164</v>
      </c>
      <c r="D77" s="224" t="s">
        <v>243</v>
      </c>
      <c r="E77" s="223" t="s">
        <v>151</v>
      </c>
      <c r="F77" s="223" t="s">
        <v>111</v>
      </c>
      <c r="G77" s="225">
        <v>0</v>
      </c>
      <c r="H77" s="226">
        <v>180</v>
      </c>
      <c r="I77" s="226">
        <v>0</v>
      </c>
      <c r="J77" s="226">
        <v>0</v>
      </c>
      <c r="K77" s="223" t="s">
        <v>112</v>
      </c>
      <c r="L77" s="227" t="s">
        <v>36</v>
      </c>
      <c r="M77" s="226">
        <v>0</v>
      </c>
      <c r="N77" s="226">
        <v>0</v>
      </c>
      <c r="O77" s="226">
        <v>0</v>
      </c>
      <c r="P77" s="223" t="s">
        <v>78</v>
      </c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  <c r="AG77" s="219"/>
      <c r="AH77" s="219"/>
      <c r="AI77" s="219"/>
      <c r="AJ77" s="219"/>
    </row>
    <row r="78" spans="1:36" x14ac:dyDescent="0.3">
      <c r="A78" s="221" t="s">
        <v>109</v>
      </c>
      <c r="B78" s="222">
        <v>46065</v>
      </c>
      <c r="C78" s="223" t="s">
        <v>158</v>
      </c>
      <c r="D78" s="224" t="s">
        <v>244</v>
      </c>
      <c r="E78" s="223" t="s">
        <v>151</v>
      </c>
      <c r="F78" s="223" t="s">
        <v>111</v>
      </c>
      <c r="G78" s="225">
        <v>4.4400000000000002E-2</v>
      </c>
      <c r="H78" s="226">
        <v>180</v>
      </c>
      <c r="I78" s="226">
        <v>8</v>
      </c>
      <c r="J78" s="226">
        <v>0</v>
      </c>
      <c r="K78" s="223" t="s">
        <v>112</v>
      </c>
      <c r="L78" s="227" t="s">
        <v>199</v>
      </c>
      <c r="M78" s="226">
        <v>0</v>
      </c>
      <c r="N78" s="226">
        <v>0</v>
      </c>
      <c r="O78" s="226">
        <v>8</v>
      </c>
      <c r="P78" s="223" t="s">
        <v>131</v>
      </c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26" t="s">
        <v>73</v>
      </c>
      <c r="AD78" s="219"/>
      <c r="AE78" s="219"/>
      <c r="AF78" s="219"/>
      <c r="AG78" s="219"/>
      <c r="AH78" s="219"/>
      <c r="AI78" s="219"/>
      <c r="AJ78" s="219"/>
    </row>
    <row r="79" spans="1:36" x14ac:dyDescent="0.3">
      <c r="A79" s="221" t="s">
        <v>109</v>
      </c>
      <c r="B79" s="222">
        <v>46065</v>
      </c>
      <c r="C79" s="223" t="s">
        <v>169</v>
      </c>
      <c r="D79" s="224" t="s">
        <v>245</v>
      </c>
      <c r="E79" s="223" t="s">
        <v>151</v>
      </c>
      <c r="F79" s="223" t="s">
        <v>111</v>
      </c>
      <c r="G79" s="225">
        <v>6.1100000000000002E-2</v>
      </c>
      <c r="H79" s="226">
        <v>180</v>
      </c>
      <c r="I79" s="226">
        <v>11</v>
      </c>
      <c r="J79" s="226">
        <v>0</v>
      </c>
      <c r="K79" s="223" t="s">
        <v>112</v>
      </c>
      <c r="L79" s="227" t="s">
        <v>59</v>
      </c>
      <c r="M79" s="226">
        <v>0</v>
      </c>
      <c r="N79" s="226">
        <v>0</v>
      </c>
      <c r="O79" s="226">
        <v>11</v>
      </c>
      <c r="P79" s="223" t="s">
        <v>147</v>
      </c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26" t="s">
        <v>264</v>
      </c>
      <c r="AC79" s="226" t="s">
        <v>78</v>
      </c>
      <c r="AD79" s="219"/>
      <c r="AE79" s="219"/>
      <c r="AF79" s="219"/>
      <c r="AG79" s="219"/>
      <c r="AH79" s="219"/>
      <c r="AI79" s="219"/>
      <c r="AJ79" s="219"/>
    </row>
    <row r="80" spans="1:36" x14ac:dyDescent="0.3">
      <c r="A80" s="221" t="s">
        <v>109</v>
      </c>
      <c r="B80" s="222">
        <v>46065</v>
      </c>
      <c r="C80" s="223" t="s">
        <v>152</v>
      </c>
      <c r="D80" s="224" t="s">
        <v>240</v>
      </c>
      <c r="E80" s="223" t="s">
        <v>151</v>
      </c>
      <c r="F80" s="223" t="s">
        <v>111</v>
      </c>
      <c r="G80" s="225">
        <v>0.2611</v>
      </c>
      <c r="H80" s="226">
        <v>180</v>
      </c>
      <c r="I80" s="226">
        <v>47</v>
      </c>
      <c r="J80" s="226">
        <v>40</v>
      </c>
      <c r="K80" s="223" t="s">
        <v>112</v>
      </c>
      <c r="L80" s="227" t="s">
        <v>185</v>
      </c>
      <c r="M80" s="226">
        <v>0</v>
      </c>
      <c r="N80" s="226">
        <v>0</v>
      </c>
      <c r="O80" s="226">
        <v>8</v>
      </c>
      <c r="P80" s="223" t="s">
        <v>144</v>
      </c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26" t="s">
        <v>168</v>
      </c>
      <c r="AD80" s="219"/>
      <c r="AE80" s="219"/>
      <c r="AF80" s="219"/>
      <c r="AG80" s="226" t="s">
        <v>118</v>
      </c>
      <c r="AH80" s="219"/>
      <c r="AI80" s="219"/>
      <c r="AJ80" s="219"/>
    </row>
    <row r="81" spans="1:36" x14ac:dyDescent="0.3">
      <c r="A81" s="221" t="s">
        <v>246</v>
      </c>
      <c r="B81" s="222">
        <v>46066</v>
      </c>
      <c r="C81" s="223" t="s">
        <v>154</v>
      </c>
      <c r="D81" s="224" t="s">
        <v>247</v>
      </c>
      <c r="E81" s="223" t="s">
        <v>151</v>
      </c>
      <c r="F81" s="223" t="s">
        <v>111</v>
      </c>
      <c r="G81" s="225">
        <v>7.22E-2</v>
      </c>
      <c r="H81" s="226">
        <v>180</v>
      </c>
      <c r="I81" s="226">
        <v>13</v>
      </c>
      <c r="J81" s="226">
        <v>0</v>
      </c>
      <c r="K81" s="223" t="s">
        <v>112</v>
      </c>
      <c r="L81" s="227" t="s">
        <v>167</v>
      </c>
      <c r="M81" s="226">
        <v>0</v>
      </c>
      <c r="N81" s="226">
        <v>0</v>
      </c>
      <c r="O81" s="226">
        <v>13</v>
      </c>
      <c r="P81" s="223" t="s">
        <v>37</v>
      </c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26" t="s">
        <v>73</v>
      </c>
      <c r="AD81" s="226" t="s">
        <v>126</v>
      </c>
      <c r="AE81" s="219"/>
      <c r="AF81" s="219"/>
      <c r="AG81" s="219"/>
      <c r="AH81" s="219"/>
      <c r="AI81" s="219"/>
      <c r="AJ81" s="219"/>
    </row>
    <row r="82" spans="1:36" x14ac:dyDescent="0.3">
      <c r="A82" s="221" t="s">
        <v>246</v>
      </c>
      <c r="B82" s="222">
        <v>46066</v>
      </c>
      <c r="C82" s="223" t="s">
        <v>158</v>
      </c>
      <c r="D82" s="224" t="s">
        <v>248</v>
      </c>
      <c r="E82" s="223" t="s">
        <v>151</v>
      </c>
      <c r="F82" s="223" t="s">
        <v>111</v>
      </c>
      <c r="G82" s="225">
        <v>5.5999999999999999E-3</v>
      </c>
      <c r="H82" s="226">
        <v>180</v>
      </c>
      <c r="I82" s="226">
        <v>1</v>
      </c>
      <c r="J82" s="226">
        <v>0</v>
      </c>
      <c r="K82" s="223" t="s">
        <v>112</v>
      </c>
      <c r="L82" s="227" t="s">
        <v>203</v>
      </c>
      <c r="M82" s="226">
        <v>0</v>
      </c>
      <c r="N82" s="226">
        <v>0</v>
      </c>
      <c r="O82" s="226">
        <v>1</v>
      </c>
      <c r="P82" s="223" t="s">
        <v>78</v>
      </c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26" t="s">
        <v>147</v>
      </c>
      <c r="AD82" s="219"/>
      <c r="AE82" s="219"/>
      <c r="AF82" s="219"/>
      <c r="AG82" s="219"/>
      <c r="AH82" s="219"/>
      <c r="AI82" s="219"/>
      <c r="AJ82" s="219"/>
    </row>
    <row r="83" spans="1:36" x14ac:dyDescent="0.3">
      <c r="A83" s="221" t="s">
        <v>246</v>
      </c>
      <c r="B83" s="222">
        <v>46066</v>
      </c>
      <c r="C83" s="223" t="s">
        <v>169</v>
      </c>
      <c r="D83" s="224" t="s">
        <v>239</v>
      </c>
      <c r="E83" s="223" t="s">
        <v>151</v>
      </c>
      <c r="F83" s="223" t="s">
        <v>111</v>
      </c>
      <c r="G83" s="225">
        <v>2.2200000000000001E-2</v>
      </c>
      <c r="H83" s="226">
        <v>180</v>
      </c>
      <c r="I83" s="226">
        <v>4</v>
      </c>
      <c r="J83" s="226">
        <v>0</v>
      </c>
      <c r="K83" s="223" t="s">
        <v>112</v>
      </c>
      <c r="L83" s="227" t="s">
        <v>153</v>
      </c>
      <c r="M83" s="226">
        <v>0</v>
      </c>
      <c r="N83" s="226">
        <v>0</v>
      </c>
      <c r="O83" s="226">
        <v>4</v>
      </c>
      <c r="P83" s="223" t="s">
        <v>161</v>
      </c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26" t="s">
        <v>166</v>
      </c>
      <c r="AD83" s="219"/>
      <c r="AE83" s="219"/>
      <c r="AF83" s="219"/>
      <c r="AG83" s="219"/>
      <c r="AH83" s="219"/>
      <c r="AI83" s="219"/>
      <c r="AJ83" s="219"/>
    </row>
    <row r="84" spans="1:36" x14ac:dyDescent="0.3">
      <c r="A84" s="221" t="s">
        <v>246</v>
      </c>
      <c r="B84" s="222">
        <v>46066</v>
      </c>
      <c r="C84" s="223" t="s">
        <v>160</v>
      </c>
      <c r="D84" s="224" t="s">
        <v>249</v>
      </c>
      <c r="E84" s="223" t="s">
        <v>151</v>
      </c>
      <c r="F84" s="223" t="s">
        <v>111</v>
      </c>
      <c r="G84" s="225">
        <v>1.11E-2</v>
      </c>
      <c r="H84" s="226">
        <v>180</v>
      </c>
      <c r="I84" s="226">
        <v>2</v>
      </c>
      <c r="J84" s="226">
        <v>0</v>
      </c>
      <c r="K84" s="223" t="s">
        <v>112</v>
      </c>
      <c r="L84" s="227" t="s">
        <v>167</v>
      </c>
      <c r="M84" s="226">
        <v>0</v>
      </c>
      <c r="N84" s="226">
        <v>0</v>
      </c>
      <c r="O84" s="226">
        <v>2</v>
      </c>
      <c r="P84" s="223" t="s">
        <v>73</v>
      </c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26" t="s">
        <v>131</v>
      </c>
      <c r="AD84" s="219"/>
      <c r="AE84" s="219"/>
      <c r="AF84" s="219"/>
      <c r="AG84" s="219"/>
      <c r="AH84" s="219"/>
      <c r="AI84" s="219"/>
      <c r="AJ84" s="219"/>
    </row>
    <row r="85" spans="1:36" x14ac:dyDescent="0.3">
      <c r="A85" s="221" t="s">
        <v>246</v>
      </c>
      <c r="B85" s="222">
        <v>46066</v>
      </c>
      <c r="C85" s="223" t="s">
        <v>156</v>
      </c>
      <c r="D85" s="224" t="s">
        <v>250</v>
      </c>
      <c r="E85" s="223" t="s">
        <v>151</v>
      </c>
      <c r="F85" s="223" t="s">
        <v>111</v>
      </c>
      <c r="G85" s="225">
        <v>2.2200000000000001E-2</v>
      </c>
      <c r="H85" s="226">
        <v>180</v>
      </c>
      <c r="I85" s="226">
        <v>4</v>
      </c>
      <c r="J85" s="226">
        <v>0</v>
      </c>
      <c r="K85" s="223" t="s">
        <v>112</v>
      </c>
      <c r="L85" s="227" t="s">
        <v>32</v>
      </c>
      <c r="M85" s="226">
        <v>0</v>
      </c>
      <c r="N85" s="226">
        <v>0</v>
      </c>
      <c r="O85" s="226">
        <v>4</v>
      </c>
      <c r="P85" s="223" t="s">
        <v>161</v>
      </c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26" t="s">
        <v>166</v>
      </c>
      <c r="AD85" s="219"/>
      <c r="AE85" s="219"/>
      <c r="AF85" s="219"/>
      <c r="AG85" s="219"/>
      <c r="AH85" s="219"/>
      <c r="AI85" s="219"/>
      <c r="AJ85" s="219"/>
    </row>
    <row r="86" spans="1:36" x14ac:dyDescent="0.3">
      <c r="A86" s="221" t="s">
        <v>113</v>
      </c>
      <c r="B86" s="222">
        <v>46067</v>
      </c>
      <c r="C86" s="223" t="s">
        <v>163</v>
      </c>
      <c r="D86" s="224" t="s">
        <v>251</v>
      </c>
      <c r="E86" s="223" t="s">
        <v>151</v>
      </c>
      <c r="F86" s="223" t="s">
        <v>111</v>
      </c>
      <c r="G86" s="225">
        <v>1.0800000000000001E-2</v>
      </c>
      <c r="H86" s="226">
        <v>186</v>
      </c>
      <c r="I86" s="226">
        <v>2</v>
      </c>
      <c r="J86" s="226">
        <v>0</v>
      </c>
      <c r="K86" s="223" t="s">
        <v>112</v>
      </c>
      <c r="L86" s="227" t="s">
        <v>182</v>
      </c>
      <c r="M86" s="226">
        <v>0</v>
      </c>
      <c r="N86" s="226">
        <v>0</v>
      </c>
      <c r="O86" s="226">
        <v>2</v>
      </c>
      <c r="P86" s="223" t="s">
        <v>73</v>
      </c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26" t="s">
        <v>131</v>
      </c>
      <c r="AD86" s="219"/>
      <c r="AE86" s="219"/>
      <c r="AF86" s="219"/>
      <c r="AG86" s="219"/>
      <c r="AH86" s="219"/>
      <c r="AI86" s="219"/>
      <c r="AJ86" s="219"/>
    </row>
    <row r="87" spans="1:36" x14ac:dyDescent="0.3">
      <c r="A87" s="221" t="s">
        <v>113</v>
      </c>
      <c r="B87" s="222">
        <v>46067</v>
      </c>
      <c r="C87" s="223" t="s">
        <v>154</v>
      </c>
      <c r="D87" s="224" t="s">
        <v>242</v>
      </c>
      <c r="E87" s="223" t="s">
        <v>151</v>
      </c>
      <c r="F87" s="223" t="s">
        <v>111</v>
      </c>
      <c r="G87" s="225">
        <v>6.6699999999999995E-2</v>
      </c>
      <c r="H87" s="226">
        <v>180</v>
      </c>
      <c r="I87" s="226">
        <v>12</v>
      </c>
      <c r="J87" s="226">
        <v>0</v>
      </c>
      <c r="K87" s="223" t="s">
        <v>112</v>
      </c>
      <c r="L87" s="227" t="s">
        <v>179</v>
      </c>
      <c r="M87" s="226">
        <v>0</v>
      </c>
      <c r="N87" s="226">
        <v>0</v>
      </c>
      <c r="O87" s="226">
        <v>12</v>
      </c>
      <c r="P87" s="223" t="s">
        <v>147</v>
      </c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26" t="s">
        <v>161</v>
      </c>
      <c r="AD87" s="226" t="s">
        <v>155</v>
      </c>
      <c r="AE87" s="219"/>
      <c r="AF87" s="219"/>
      <c r="AG87" s="219"/>
      <c r="AH87" s="219"/>
      <c r="AI87" s="219"/>
      <c r="AJ87" s="219"/>
    </row>
    <row r="88" spans="1:36" x14ac:dyDescent="0.3">
      <c r="A88" s="221" t="s">
        <v>113</v>
      </c>
      <c r="B88" s="222">
        <v>46067</v>
      </c>
      <c r="C88" s="223" t="s">
        <v>158</v>
      </c>
      <c r="D88" s="224" t="s">
        <v>252</v>
      </c>
      <c r="E88" s="223" t="s">
        <v>151</v>
      </c>
      <c r="F88" s="223" t="s">
        <v>111</v>
      </c>
      <c r="G88" s="225">
        <v>6.6699999999999995E-2</v>
      </c>
      <c r="H88" s="226">
        <v>180</v>
      </c>
      <c r="I88" s="226">
        <v>12</v>
      </c>
      <c r="J88" s="226">
        <v>0</v>
      </c>
      <c r="K88" s="223" t="s">
        <v>112</v>
      </c>
      <c r="L88" s="227" t="s">
        <v>50</v>
      </c>
      <c r="M88" s="226">
        <v>0</v>
      </c>
      <c r="N88" s="226">
        <v>0</v>
      </c>
      <c r="O88" s="226">
        <v>12</v>
      </c>
      <c r="P88" s="223" t="s">
        <v>147</v>
      </c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26" t="s">
        <v>209</v>
      </c>
      <c r="AC88" s="226" t="s">
        <v>78</v>
      </c>
      <c r="AD88" s="219"/>
      <c r="AE88" s="219"/>
      <c r="AF88" s="219"/>
      <c r="AG88" s="219"/>
      <c r="AH88" s="219"/>
      <c r="AI88" s="219"/>
      <c r="AJ88" s="219"/>
    </row>
    <row r="89" spans="1:36" x14ac:dyDescent="0.3">
      <c r="A89" s="221" t="s">
        <v>113</v>
      </c>
      <c r="B89" s="222">
        <v>46067</v>
      </c>
      <c r="C89" s="223" t="s">
        <v>152</v>
      </c>
      <c r="D89" s="224" t="s">
        <v>253</v>
      </c>
      <c r="E89" s="223" t="s">
        <v>151</v>
      </c>
      <c r="F89" s="223" t="s">
        <v>111</v>
      </c>
      <c r="G89" s="225">
        <v>1.11E-2</v>
      </c>
      <c r="H89" s="226">
        <v>180</v>
      </c>
      <c r="I89" s="226">
        <v>2</v>
      </c>
      <c r="J89" s="226">
        <v>0</v>
      </c>
      <c r="K89" s="223" t="s">
        <v>112</v>
      </c>
      <c r="L89" s="227" t="s">
        <v>77</v>
      </c>
      <c r="M89" s="226">
        <v>0</v>
      </c>
      <c r="N89" s="226">
        <v>0</v>
      </c>
      <c r="O89" s="226">
        <v>2</v>
      </c>
      <c r="P89" s="223" t="s">
        <v>73</v>
      </c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26" t="s">
        <v>131</v>
      </c>
      <c r="AD89" s="219"/>
      <c r="AE89" s="219"/>
      <c r="AF89" s="219"/>
      <c r="AG89" s="219"/>
      <c r="AH89" s="219"/>
      <c r="AI89" s="219"/>
      <c r="AJ89" s="219"/>
    </row>
    <row r="90" spans="1:36" x14ac:dyDescent="0.3">
      <c r="A90" s="221" t="s">
        <v>115</v>
      </c>
      <c r="B90" s="222">
        <v>46068</v>
      </c>
      <c r="C90" s="223" t="s">
        <v>154</v>
      </c>
      <c r="D90" s="224" t="s">
        <v>247</v>
      </c>
      <c r="E90" s="223" t="s">
        <v>151</v>
      </c>
      <c r="F90" s="223" t="s">
        <v>111</v>
      </c>
      <c r="G90" s="225">
        <v>6.1100000000000002E-2</v>
      </c>
      <c r="H90" s="226">
        <v>180</v>
      </c>
      <c r="I90" s="226">
        <v>11</v>
      </c>
      <c r="J90" s="226">
        <v>0</v>
      </c>
      <c r="K90" s="223" t="s">
        <v>112</v>
      </c>
      <c r="L90" s="227" t="s">
        <v>63</v>
      </c>
      <c r="M90" s="226">
        <v>0</v>
      </c>
      <c r="N90" s="226">
        <v>0</v>
      </c>
      <c r="O90" s="226">
        <v>11</v>
      </c>
      <c r="P90" s="223" t="s">
        <v>144</v>
      </c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26" t="s">
        <v>175</v>
      </c>
      <c r="AD90" s="226" t="s">
        <v>155</v>
      </c>
      <c r="AE90" s="219"/>
      <c r="AF90" s="219"/>
      <c r="AG90" s="219"/>
      <c r="AH90" s="219"/>
      <c r="AI90" s="219"/>
      <c r="AJ90" s="219"/>
    </row>
    <row r="91" spans="1:36" x14ac:dyDescent="0.3">
      <c r="A91" s="221" t="s">
        <v>115</v>
      </c>
      <c r="B91" s="222">
        <v>46068</v>
      </c>
      <c r="C91" s="223" t="s">
        <v>164</v>
      </c>
      <c r="D91" s="224" t="s">
        <v>242</v>
      </c>
      <c r="E91" s="223" t="s">
        <v>151</v>
      </c>
      <c r="F91" s="223" t="s">
        <v>111</v>
      </c>
      <c r="G91" s="225">
        <v>4.4400000000000002E-2</v>
      </c>
      <c r="H91" s="226">
        <v>180</v>
      </c>
      <c r="I91" s="226">
        <v>8</v>
      </c>
      <c r="J91" s="226">
        <v>0</v>
      </c>
      <c r="K91" s="223" t="s">
        <v>112</v>
      </c>
      <c r="L91" s="227" t="s">
        <v>65</v>
      </c>
      <c r="M91" s="226">
        <v>0</v>
      </c>
      <c r="N91" s="226">
        <v>0</v>
      </c>
      <c r="O91" s="226">
        <v>8</v>
      </c>
      <c r="P91" s="223" t="s">
        <v>175</v>
      </c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26" t="s">
        <v>73</v>
      </c>
      <c r="AD91" s="219"/>
      <c r="AE91" s="219"/>
      <c r="AF91" s="219"/>
      <c r="AG91" s="219"/>
      <c r="AH91" s="219"/>
      <c r="AI91" s="219"/>
      <c r="AJ91" s="219"/>
    </row>
    <row r="92" spans="1:36" x14ac:dyDescent="0.3">
      <c r="A92" s="221" t="s">
        <v>115</v>
      </c>
      <c r="B92" s="222">
        <v>46068</v>
      </c>
      <c r="C92" s="223" t="s">
        <v>156</v>
      </c>
      <c r="D92" s="224" t="s">
        <v>254</v>
      </c>
      <c r="E92" s="223" t="s">
        <v>151</v>
      </c>
      <c r="F92" s="223" t="s">
        <v>111</v>
      </c>
      <c r="G92" s="225">
        <v>6.6699999999999995E-2</v>
      </c>
      <c r="H92" s="226">
        <v>180</v>
      </c>
      <c r="I92" s="226">
        <v>12</v>
      </c>
      <c r="J92" s="226">
        <v>0</v>
      </c>
      <c r="K92" s="223" t="s">
        <v>112</v>
      </c>
      <c r="L92" s="227" t="s">
        <v>63</v>
      </c>
      <c r="M92" s="226">
        <v>0</v>
      </c>
      <c r="N92" s="226">
        <v>0</v>
      </c>
      <c r="O92" s="226">
        <v>13</v>
      </c>
      <c r="P92" s="223" t="s">
        <v>37</v>
      </c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26" t="s">
        <v>264</v>
      </c>
      <c r="AC92" s="226" t="s">
        <v>216</v>
      </c>
      <c r="AD92" s="219"/>
      <c r="AE92" s="219"/>
      <c r="AF92" s="219"/>
      <c r="AG92" s="219"/>
      <c r="AH92" s="219"/>
      <c r="AI92" s="219"/>
      <c r="AJ92" s="219"/>
    </row>
    <row r="93" spans="1:36" x14ac:dyDescent="0.3">
      <c r="A93" s="221" t="s">
        <v>115</v>
      </c>
      <c r="B93" s="222">
        <v>46068</v>
      </c>
      <c r="C93" s="223" t="s">
        <v>158</v>
      </c>
      <c r="D93" s="224" t="s">
        <v>255</v>
      </c>
      <c r="E93" s="223" t="s">
        <v>151</v>
      </c>
      <c r="F93" s="223" t="s">
        <v>111</v>
      </c>
      <c r="G93" s="225">
        <v>7.22E-2</v>
      </c>
      <c r="H93" s="226">
        <v>180</v>
      </c>
      <c r="I93" s="226">
        <v>13</v>
      </c>
      <c r="J93" s="226">
        <v>0</v>
      </c>
      <c r="K93" s="223" t="s">
        <v>112</v>
      </c>
      <c r="L93" s="227" t="s">
        <v>179</v>
      </c>
      <c r="M93" s="226">
        <v>0</v>
      </c>
      <c r="N93" s="226">
        <v>0</v>
      </c>
      <c r="O93" s="226">
        <v>13</v>
      </c>
      <c r="P93" s="223" t="s">
        <v>37</v>
      </c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26" t="s">
        <v>209</v>
      </c>
      <c r="AC93" s="226" t="s">
        <v>216</v>
      </c>
      <c r="AD93" s="219"/>
      <c r="AE93" s="219"/>
      <c r="AF93" s="219"/>
      <c r="AG93" s="219"/>
      <c r="AH93" s="219"/>
      <c r="AI93" s="219"/>
      <c r="AJ93" s="219"/>
    </row>
    <row r="94" spans="1:36" x14ac:dyDescent="0.3">
      <c r="A94" s="221" t="s">
        <v>115</v>
      </c>
      <c r="B94" s="222">
        <v>46068</v>
      </c>
      <c r="C94" s="223" t="s">
        <v>169</v>
      </c>
      <c r="D94" s="224" t="s">
        <v>256</v>
      </c>
      <c r="E94" s="223" t="s">
        <v>151</v>
      </c>
      <c r="F94" s="223" t="s">
        <v>111</v>
      </c>
      <c r="G94" s="225">
        <v>3.8899999999999997E-2</v>
      </c>
      <c r="H94" s="226">
        <v>180</v>
      </c>
      <c r="I94" s="226">
        <v>7</v>
      </c>
      <c r="J94" s="226">
        <v>0</v>
      </c>
      <c r="K94" s="223" t="s">
        <v>112</v>
      </c>
      <c r="L94" s="227" t="s">
        <v>53</v>
      </c>
      <c r="M94" s="226">
        <v>0</v>
      </c>
      <c r="N94" s="226">
        <v>0</v>
      </c>
      <c r="O94" s="226">
        <v>4</v>
      </c>
      <c r="P94" s="223" t="s">
        <v>144</v>
      </c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26" t="s">
        <v>168</v>
      </c>
      <c r="AD94" s="219"/>
      <c r="AE94" s="219"/>
      <c r="AF94" s="219"/>
      <c r="AG94" s="219"/>
      <c r="AH94" s="219"/>
      <c r="AI94" s="219"/>
      <c r="AJ94" s="219"/>
    </row>
    <row r="95" spans="1:36" x14ac:dyDescent="0.3">
      <c r="A95" s="221" t="s">
        <v>119</v>
      </c>
      <c r="B95" s="222">
        <v>46069</v>
      </c>
      <c r="C95" s="223" t="s">
        <v>154</v>
      </c>
      <c r="D95" s="224" t="s">
        <v>257</v>
      </c>
      <c r="E95" s="223" t="s">
        <v>151</v>
      </c>
      <c r="F95" s="223" t="s">
        <v>111</v>
      </c>
      <c r="G95" s="225">
        <v>0.1333</v>
      </c>
      <c r="H95" s="226">
        <v>180</v>
      </c>
      <c r="I95" s="226">
        <v>24</v>
      </c>
      <c r="J95" s="226">
        <v>0</v>
      </c>
      <c r="K95" s="223" t="s">
        <v>112</v>
      </c>
      <c r="L95" s="227" t="s">
        <v>53</v>
      </c>
      <c r="M95" s="226">
        <v>0</v>
      </c>
      <c r="N95" s="226">
        <v>0</v>
      </c>
      <c r="O95" s="226">
        <v>24</v>
      </c>
      <c r="P95" s="223" t="s">
        <v>209</v>
      </c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26" t="s">
        <v>265</v>
      </c>
      <c r="AC95" s="226" t="s">
        <v>216</v>
      </c>
      <c r="AD95" s="226" t="s">
        <v>56</v>
      </c>
      <c r="AE95" s="219"/>
      <c r="AF95" s="219"/>
      <c r="AG95" s="219"/>
      <c r="AH95" s="219"/>
      <c r="AI95" s="219"/>
      <c r="AJ95" s="219"/>
    </row>
    <row r="96" spans="1:36" x14ac:dyDescent="0.3">
      <c r="A96" s="221" t="s">
        <v>119</v>
      </c>
      <c r="B96" s="222">
        <v>46069</v>
      </c>
      <c r="C96" s="223" t="s">
        <v>158</v>
      </c>
      <c r="D96" s="224" t="s">
        <v>239</v>
      </c>
      <c r="E96" s="223" t="s">
        <v>151</v>
      </c>
      <c r="F96" s="223" t="s">
        <v>111</v>
      </c>
      <c r="G96" s="225">
        <v>2.7799999999999998E-2</v>
      </c>
      <c r="H96" s="226">
        <v>180</v>
      </c>
      <c r="I96" s="226">
        <v>5</v>
      </c>
      <c r="J96" s="226">
        <v>0</v>
      </c>
      <c r="K96" s="223" t="s">
        <v>112</v>
      </c>
      <c r="L96" s="227" t="s">
        <v>32</v>
      </c>
      <c r="M96" s="226">
        <v>0</v>
      </c>
      <c r="N96" s="226">
        <v>0</v>
      </c>
      <c r="O96" s="226">
        <v>6</v>
      </c>
      <c r="P96" s="223" t="s">
        <v>175</v>
      </c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26" t="s">
        <v>175</v>
      </c>
      <c r="AD96" s="219"/>
      <c r="AE96" s="219"/>
      <c r="AF96" s="219"/>
      <c r="AG96" s="219"/>
      <c r="AH96" s="219"/>
      <c r="AI96" s="219"/>
      <c r="AJ96" s="219"/>
    </row>
    <row r="97" spans="1:36" x14ac:dyDescent="0.3">
      <c r="A97" s="221" t="s">
        <v>119</v>
      </c>
      <c r="B97" s="222">
        <v>46069</v>
      </c>
      <c r="C97" s="223" t="s">
        <v>156</v>
      </c>
      <c r="D97" s="224" t="s">
        <v>258</v>
      </c>
      <c r="E97" s="223" t="s">
        <v>151</v>
      </c>
      <c r="F97" s="223" t="s">
        <v>111</v>
      </c>
      <c r="G97" s="225">
        <v>2.2200000000000001E-2</v>
      </c>
      <c r="H97" s="226">
        <v>180</v>
      </c>
      <c r="I97" s="226">
        <v>4</v>
      </c>
      <c r="J97" s="226">
        <v>0</v>
      </c>
      <c r="K97" s="223" t="s">
        <v>112</v>
      </c>
      <c r="L97" s="227" t="s">
        <v>63</v>
      </c>
      <c r="M97" s="226">
        <v>0</v>
      </c>
      <c r="N97" s="226">
        <v>0</v>
      </c>
      <c r="O97" s="226">
        <v>4</v>
      </c>
      <c r="P97" s="223" t="s">
        <v>161</v>
      </c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26" t="s">
        <v>166</v>
      </c>
      <c r="AD97" s="219"/>
      <c r="AE97" s="219"/>
      <c r="AF97" s="219"/>
      <c r="AG97" s="219"/>
      <c r="AH97" s="219"/>
      <c r="AI97" s="219"/>
      <c r="AJ97" s="219"/>
    </row>
    <row r="98" spans="1:36" x14ac:dyDescent="0.3">
      <c r="A98" s="221" t="s">
        <v>121</v>
      </c>
      <c r="B98" s="222">
        <v>46070</v>
      </c>
      <c r="C98" s="223" t="s">
        <v>160</v>
      </c>
      <c r="D98" s="224" t="s">
        <v>259</v>
      </c>
      <c r="E98" s="223" t="s">
        <v>151</v>
      </c>
      <c r="F98" s="223" t="s">
        <v>111</v>
      </c>
      <c r="G98" s="225">
        <v>6.1100000000000002E-2</v>
      </c>
      <c r="H98" s="226">
        <v>180</v>
      </c>
      <c r="I98" s="226">
        <v>11</v>
      </c>
      <c r="J98" s="226">
        <v>0</v>
      </c>
      <c r="K98" s="223" t="s">
        <v>112</v>
      </c>
      <c r="L98" s="227" t="s">
        <v>185</v>
      </c>
      <c r="M98" s="226">
        <v>0</v>
      </c>
      <c r="N98" s="226">
        <v>0</v>
      </c>
      <c r="O98" s="226">
        <v>11</v>
      </c>
      <c r="P98" s="223" t="s">
        <v>37</v>
      </c>
      <c r="Q98" s="219"/>
      <c r="R98" s="219"/>
      <c r="S98" s="219"/>
      <c r="T98" s="219"/>
      <c r="U98" s="219"/>
      <c r="V98" s="219"/>
      <c r="W98" s="219"/>
      <c r="X98" s="219"/>
      <c r="Y98" s="219"/>
      <c r="Z98" s="226" t="s">
        <v>146</v>
      </c>
      <c r="AA98" s="219"/>
      <c r="AB98" s="219"/>
      <c r="AC98" s="226" t="s">
        <v>216</v>
      </c>
      <c r="AD98" s="219"/>
      <c r="AE98" s="219"/>
      <c r="AF98" s="219"/>
      <c r="AG98" s="219"/>
      <c r="AH98" s="219"/>
      <c r="AI98" s="219"/>
      <c r="AJ98" s="219"/>
    </row>
    <row r="99" spans="1:36" x14ac:dyDescent="0.3">
      <c r="A99" s="221" t="s">
        <v>121</v>
      </c>
      <c r="B99" s="222">
        <v>46070</v>
      </c>
      <c r="C99" s="223" t="s">
        <v>169</v>
      </c>
      <c r="D99" s="224" t="s">
        <v>110</v>
      </c>
      <c r="E99" s="223" t="s">
        <v>151</v>
      </c>
      <c r="F99" s="223" t="s">
        <v>111</v>
      </c>
      <c r="G99" s="225">
        <v>3.3300000000000003E-2</v>
      </c>
      <c r="H99" s="226">
        <v>180</v>
      </c>
      <c r="I99" s="226">
        <v>6</v>
      </c>
      <c r="J99" s="226">
        <v>0</v>
      </c>
      <c r="K99" s="223" t="s">
        <v>112</v>
      </c>
      <c r="L99" s="227" t="s">
        <v>53</v>
      </c>
      <c r="M99" s="226">
        <v>0</v>
      </c>
      <c r="N99" s="226">
        <v>0</v>
      </c>
      <c r="O99" s="226">
        <v>6</v>
      </c>
      <c r="P99" s="223" t="s">
        <v>166</v>
      </c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26" t="s">
        <v>161</v>
      </c>
      <c r="AD99" s="219"/>
      <c r="AE99" s="219"/>
      <c r="AF99" s="219"/>
      <c r="AG99" s="219"/>
      <c r="AH99" s="219"/>
      <c r="AI99" s="219"/>
      <c r="AJ99" s="219"/>
    </row>
    <row r="100" spans="1:36" x14ac:dyDescent="0.3">
      <c r="A100" s="221" t="s">
        <v>121</v>
      </c>
      <c r="B100" s="222">
        <v>46070</v>
      </c>
      <c r="C100" s="223" t="s">
        <v>158</v>
      </c>
      <c r="D100" s="224" t="s">
        <v>239</v>
      </c>
      <c r="E100" s="223" t="s">
        <v>151</v>
      </c>
      <c r="F100" s="223" t="s">
        <v>111</v>
      </c>
      <c r="G100" s="225">
        <v>0.05</v>
      </c>
      <c r="H100" s="226">
        <v>180</v>
      </c>
      <c r="I100" s="226">
        <v>9</v>
      </c>
      <c r="J100" s="226">
        <v>0</v>
      </c>
      <c r="K100" s="223" t="s">
        <v>112</v>
      </c>
      <c r="L100" s="227" t="s">
        <v>65</v>
      </c>
      <c r="M100" s="226">
        <v>0</v>
      </c>
      <c r="N100" s="226">
        <v>0</v>
      </c>
      <c r="O100" s="226">
        <v>9</v>
      </c>
      <c r="P100" s="223" t="s">
        <v>166</v>
      </c>
      <c r="Q100" s="219"/>
      <c r="R100" s="219"/>
      <c r="S100" s="219"/>
      <c r="T100" s="219"/>
      <c r="U100" s="219"/>
      <c r="V100" s="219"/>
      <c r="W100" s="219"/>
      <c r="X100" s="219"/>
      <c r="Y100" s="219"/>
      <c r="Z100" s="226" t="s">
        <v>150</v>
      </c>
      <c r="AA100" s="219"/>
      <c r="AB100" s="219"/>
      <c r="AC100" s="226" t="s">
        <v>161</v>
      </c>
      <c r="AD100" s="219"/>
      <c r="AE100" s="219"/>
      <c r="AF100" s="219"/>
      <c r="AG100" s="219"/>
      <c r="AH100" s="219"/>
      <c r="AI100" s="219"/>
      <c r="AJ100" s="219"/>
    </row>
    <row r="101" spans="1:36" x14ac:dyDescent="0.3">
      <c r="A101" s="221" t="s">
        <v>121</v>
      </c>
      <c r="B101" s="222">
        <v>46070</v>
      </c>
      <c r="C101" s="223" t="s">
        <v>156</v>
      </c>
      <c r="D101" s="224" t="s">
        <v>260</v>
      </c>
      <c r="E101" s="223" t="s">
        <v>151</v>
      </c>
      <c r="F101" s="223" t="s">
        <v>111</v>
      </c>
      <c r="G101" s="225">
        <v>1.11E-2</v>
      </c>
      <c r="H101" s="226">
        <v>180</v>
      </c>
      <c r="I101" s="226">
        <v>2</v>
      </c>
      <c r="J101" s="226">
        <v>0</v>
      </c>
      <c r="K101" s="223" t="s">
        <v>112</v>
      </c>
      <c r="L101" s="227" t="s">
        <v>187</v>
      </c>
      <c r="M101" s="226">
        <v>0</v>
      </c>
      <c r="N101" s="226">
        <v>0</v>
      </c>
      <c r="O101" s="226">
        <v>2</v>
      </c>
      <c r="P101" s="223" t="s">
        <v>73</v>
      </c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26" t="s">
        <v>131</v>
      </c>
      <c r="AD101" s="219"/>
      <c r="AE101" s="219"/>
      <c r="AF101" s="219"/>
      <c r="AG101" s="219"/>
      <c r="AH101" s="219"/>
      <c r="AI101" s="219"/>
      <c r="AJ101" s="219"/>
    </row>
    <row r="102" spans="1:36" x14ac:dyDescent="0.3">
      <c r="A102" s="221" t="s">
        <v>121</v>
      </c>
      <c r="B102" s="222">
        <v>46070</v>
      </c>
      <c r="C102" s="223" t="s">
        <v>152</v>
      </c>
      <c r="D102" s="224" t="s">
        <v>261</v>
      </c>
      <c r="E102" s="223" t="s">
        <v>151</v>
      </c>
      <c r="F102" s="223" t="s">
        <v>111</v>
      </c>
      <c r="G102" s="225">
        <v>5.5999999999999999E-3</v>
      </c>
      <c r="H102" s="226">
        <v>180</v>
      </c>
      <c r="I102" s="226">
        <v>1</v>
      </c>
      <c r="J102" s="226">
        <v>0</v>
      </c>
      <c r="K102" s="223" t="s">
        <v>112</v>
      </c>
      <c r="L102" s="227" t="s">
        <v>213</v>
      </c>
      <c r="M102" s="226">
        <v>0</v>
      </c>
      <c r="N102" s="226">
        <v>0</v>
      </c>
      <c r="O102" s="226">
        <v>1</v>
      </c>
      <c r="P102" s="223" t="s">
        <v>78</v>
      </c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26" t="s">
        <v>147</v>
      </c>
      <c r="AD102" s="219"/>
      <c r="AE102" s="219"/>
      <c r="AF102" s="219"/>
      <c r="AG102" s="219"/>
      <c r="AH102" s="219"/>
      <c r="AI102" s="219"/>
      <c r="AJ102" s="219"/>
    </row>
    <row r="103" spans="1:36" x14ac:dyDescent="0.3">
      <c r="A103" s="221" t="s">
        <v>121</v>
      </c>
      <c r="B103" s="222">
        <v>46070</v>
      </c>
      <c r="C103" s="223" t="s">
        <v>154</v>
      </c>
      <c r="D103" s="224" t="s">
        <v>262</v>
      </c>
      <c r="E103" s="223" t="s">
        <v>151</v>
      </c>
      <c r="F103" s="223" t="s">
        <v>111</v>
      </c>
      <c r="G103" s="225">
        <v>6.6699999999999995E-2</v>
      </c>
      <c r="H103" s="226">
        <v>180</v>
      </c>
      <c r="I103" s="226">
        <v>12</v>
      </c>
      <c r="J103" s="226">
        <v>0</v>
      </c>
      <c r="K103" s="223" t="s">
        <v>112</v>
      </c>
      <c r="L103" s="227" t="s">
        <v>185</v>
      </c>
      <c r="M103" s="226">
        <v>0</v>
      </c>
      <c r="N103" s="226">
        <v>0</v>
      </c>
      <c r="O103" s="226">
        <v>12</v>
      </c>
      <c r="P103" s="223" t="s">
        <v>144</v>
      </c>
      <c r="Q103" s="219"/>
      <c r="R103" s="219"/>
      <c r="S103" s="219"/>
      <c r="T103" s="219"/>
      <c r="U103" s="219"/>
      <c r="V103" s="219"/>
      <c r="W103" s="219"/>
      <c r="X103" s="219"/>
      <c r="Y103" s="219"/>
      <c r="Z103" s="226" t="s">
        <v>139</v>
      </c>
      <c r="AA103" s="219"/>
      <c r="AB103" s="219"/>
      <c r="AC103" s="226" t="s">
        <v>166</v>
      </c>
      <c r="AD103" s="226" t="s">
        <v>155</v>
      </c>
      <c r="AE103" s="219"/>
      <c r="AF103" s="219"/>
      <c r="AG103" s="219"/>
      <c r="AH103" s="219"/>
      <c r="AI103" s="219"/>
      <c r="AJ103" s="219"/>
    </row>
    <row r="104" spans="1:36" x14ac:dyDescent="0.3">
      <c r="A104" s="221" t="s">
        <v>235</v>
      </c>
      <c r="B104" s="222">
        <v>46071</v>
      </c>
      <c r="C104" s="223" t="s">
        <v>152</v>
      </c>
      <c r="D104" s="224" t="s">
        <v>236</v>
      </c>
      <c r="E104" s="223" t="s">
        <v>151</v>
      </c>
      <c r="F104" s="223" t="s">
        <v>111</v>
      </c>
      <c r="G104" s="225">
        <v>1.11E-2</v>
      </c>
      <c r="H104" s="226">
        <v>180</v>
      </c>
      <c r="I104" s="226">
        <v>2</v>
      </c>
      <c r="J104" s="226">
        <v>0</v>
      </c>
      <c r="K104" s="223" t="s">
        <v>112</v>
      </c>
      <c r="L104" s="227" t="s">
        <v>53</v>
      </c>
      <c r="M104" s="226">
        <v>0</v>
      </c>
      <c r="N104" s="226">
        <v>0</v>
      </c>
      <c r="O104" s="226">
        <v>3</v>
      </c>
      <c r="P104" s="223" t="s">
        <v>73</v>
      </c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26" t="s">
        <v>131</v>
      </c>
      <c r="AD104" s="219"/>
      <c r="AE104" s="219"/>
      <c r="AF104" s="219"/>
      <c r="AG104" s="219"/>
      <c r="AH104" s="219"/>
      <c r="AI104" s="219"/>
      <c r="AJ104" s="219"/>
    </row>
    <row r="105" spans="1:36" x14ac:dyDescent="0.3">
      <c r="A105" s="221" t="s">
        <v>235</v>
      </c>
      <c r="B105" s="222">
        <v>46071</v>
      </c>
      <c r="C105" s="223" t="s">
        <v>154</v>
      </c>
      <c r="D105" s="224" t="s">
        <v>237</v>
      </c>
      <c r="E105" s="223" t="s">
        <v>151</v>
      </c>
      <c r="F105" s="223" t="s">
        <v>111</v>
      </c>
      <c r="G105" s="225">
        <v>4.4400000000000002E-2</v>
      </c>
      <c r="H105" s="226">
        <v>180</v>
      </c>
      <c r="I105" s="226">
        <v>8</v>
      </c>
      <c r="J105" s="226">
        <v>0</v>
      </c>
      <c r="K105" s="223" t="s">
        <v>112</v>
      </c>
      <c r="L105" s="227" t="s">
        <v>68</v>
      </c>
      <c r="M105" s="226">
        <v>0</v>
      </c>
      <c r="N105" s="226">
        <v>0</v>
      </c>
      <c r="O105" s="226">
        <v>8</v>
      </c>
      <c r="P105" s="223" t="s">
        <v>175</v>
      </c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26" t="s">
        <v>131</v>
      </c>
      <c r="AD105" s="226" t="s">
        <v>155</v>
      </c>
      <c r="AE105" s="219"/>
      <c r="AF105" s="219"/>
      <c r="AG105" s="219"/>
      <c r="AH105" s="219"/>
      <c r="AI105" s="219"/>
      <c r="AJ105" s="219"/>
    </row>
    <row r="106" spans="1:36" x14ac:dyDescent="0.3">
      <c r="A106" s="221" t="s">
        <v>235</v>
      </c>
      <c r="B106" s="222">
        <v>46071</v>
      </c>
      <c r="C106" s="223" t="s">
        <v>156</v>
      </c>
      <c r="D106" s="224" t="s">
        <v>238</v>
      </c>
      <c r="E106" s="223" t="s">
        <v>151</v>
      </c>
      <c r="F106" s="223" t="s">
        <v>111</v>
      </c>
      <c r="G106" s="225">
        <v>1.11E-2</v>
      </c>
      <c r="H106" s="226">
        <v>180</v>
      </c>
      <c r="I106" s="226">
        <v>2</v>
      </c>
      <c r="J106" s="226">
        <v>0</v>
      </c>
      <c r="K106" s="223" t="s">
        <v>112</v>
      </c>
      <c r="L106" s="227" t="s">
        <v>65</v>
      </c>
      <c r="M106" s="226">
        <v>0</v>
      </c>
      <c r="N106" s="226">
        <v>0</v>
      </c>
      <c r="O106" s="226">
        <v>2</v>
      </c>
      <c r="P106" s="223" t="s">
        <v>73</v>
      </c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26" t="s">
        <v>131</v>
      </c>
      <c r="AD106" s="219"/>
      <c r="AE106" s="219"/>
      <c r="AF106" s="219"/>
      <c r="AG106" s="219"/>
      <c r="AH106" s="219"/>
      <c r="AI106" s="219"/>
      <c r="AJ106" s="219"/>
    </row>
    <row r="107" spans="1:36" x14ac:dyDescent="0.3">
      <c r="A107" s="221" t="s">
        <v>235</v>
      </c>
      <c r="B107" s="222">
        <v>46071</v>
      </c>
      <c r="C107" s="223" t="s">
        <v>158</v>
      </c>
      <c r="D107" s="224" t="s">
        <v>239</v>
      </c>
      <c r="E107" s="223" t="s">
        <v>151</v>
      </c>
      <c r="F107" s="223" t="s">
        <v>111</v>
      </c>
      <c r="G107" s="225">
        <v>5.5599999999999997E-2</v>
      </c>
      <c r="H107" s="226">
        <v>180</v>
      </c>
      <c r="I107" s="226">
        <v>10</v>
      </c>
      <c r="J107" s="226">
        <v>0</v>
      </c>
      <c r="K107" s="223" t="s">
        <v>112</v>
      </c>
      <c r="L107" s="227" t="s">
        <v>53</v>
      </c>
      <c r="M107" s="226">
        <v>0</v>
      </c>
      <c r="N107" s="226">
        <v>0</v>
      </c>
      <c r="O107" s="226">
        <v>10</v>
      </c>
      <c r="P107" s="223" t="s">
        <v>37</v>
      </c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26" t="s">
        <v>216</v>
      </c>
      <c r="AD107" s="219"/>
      <c r="AE107" s="219"/>
      <c r="AF107" s="219"/>
      <c r="AG107" s="219"/>
      <c r="AH107" s="219"/>
      <c r="AI107" s="219"/>
      <c r="AJ107" s="219"/>
    </row>
    <row r="108" spans="1:36" x14ac:dyDescent="0.3">
      <c r="A108" s="221" t="s">
        <v>235</v>
      </c>
      <c r="B108" s="222">
        <v>46071</v>
      </c>
      <c r="C108" s="223" t="s">
        <v>160</v>
      </c>
      <c r="D108" s="224" t="s">
        <v>240</v>
      </c>
      <c r="E108" s="223" t="s">
        <v>151</v>
      </c>
      <c r="F108" s="223" t="s">
        <v>111</v>
      </c>
      <c r="G108" s="225">
        <v>3.3300000000000003E-2</v>
      </c>
      <c r="H108" s="226">
        <v>180</v>
      </c>
      <c r="I108" s="226">
        <v>6</v>
      </c>
      <c r="J108" s="226">
        <v>0</v>
      </c>
      <c r="K108" s="223" t="s">
        <v>112</v>
      </c>
      <c r="L108" s="227" t="s">
        <v>32</v>
      </c>
      <c r="M108" s="226">
        <v>0</v>
      </c>
      <c r="N108" s="226">
        <v>0</v>
      </c>
      <c r="O108" s="226">
        <v>6</v>
      </c>
      <c r="P108" s="223" t="s">
        <v>166</v>
      </c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26" t="s">
        <v>161</v>
      </c>
      <c r="AD108" s="219"/>
      <c r="AE108" s="219"/>
      <c r="AF108" s="219"/>
      <c r="AG108" s="219"/>
      <c r="AH108" s="219"/>
      <c r="AI108" s="219"/>
      <c r="AJ108" s="219"/>
    </row>
    <row r="109" spans="1:36" x14ac:dyDescent="0.3">
      <c r="A109" s="221" t="s">
        <v>109</v>
      </c>
      <c r="B109" s="222">
        <v>46072</v>
      </c>
      <c r="C109" s="223" t="s">
        <v>163</v>
      </c>
      <c r="D109" s="224" t="s">
        <v>241</v>
      </c>
      <c r="E109" s="223" t="s">
        <v>151</v>
      </c>
      <c r="F109" s="223" t="s">
        <v>111</v>
      </c>
      <c r="G109" s="225">
        <v>5.5999999999999999E-3</v>
      </c>
      <c r="H109" s="226">
        <v>180</v>
      </c>
      <c r="I109" s="226">
        <v>1</v>
      </c>
      <c r="J109" s="226">
        <v>0</v>
      </c>
      <c r="K109" s="223" t="s">
        <v>112</v>
      </c>
      <c r="L109" s="227" t="s">
        <v>203</v>
      </c>
      <c r="M109" s="226">
        <v>0</v>
      </c>
      <c r="N109" s="226">
        <v>0</v>
      </c>
      <c r="O109" s="226">
        <v>1</v>
      </c>
      <c r="P109" s="223" t="s">
        <v>78</v>
      </c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26" t="s">
        <v>147</v>
      </c>
      <c r="AD109" s="219"/>
      <c r="AE109" s="219"/>
      <c r="AF109" s="219"/>
      <c r="AG109" s="219"/>
      <c r="AH109" s="219"/>
      <c r="AI109" s="219"/>
      <c r="AJ109" s="219"/>
    </row>
    <row r="110" spans="1:36" x14ac:dyDescent="0.3">
      <c r="A110" s="221" t="s">
        <v>109</v>
      </c>
      <c r="B110" s="222">
        <v>46072</v>
      </c>
      <c r="C110" s="223" t="s">
        <v>154</v>
      </c>
      <c r="D110" s="224" t="s">
        <v>242</v>
      </c>
      <c r="E110" s="223" t="s">
        <v>151</v>
      </c>
      <c r="F110" s="223" t="s">
        <v>111</v>
      </c>
      <c r="G110" s="225">
        <v>6.1100000000000002E-2</v>
      </c>
      <c r="H110" s="226">
        <v>180</v>
      </c>
      <c r="I110" s="226">
        <v>11</v>
      </c>
      <c r="J110" s="226">
        <v>0</v>
      </c>
      <c r="K110" s="223" t="s">
        <v>112</v>
      </c>
      <c r="L110" s="227" t="s">
        <v>50</v>
      </c>
      <c r="M110" s="226">
        <v>0</v>
      </c>
      <c r="N110" s="226">
        <v>0</v>
      </c>
      <c r="O110" s="226">
        <v>13</v>
      </c>
      <c r="P110" s="223" t="s">
        <v>131</v>
      </c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26" t="s">
        <v>175</v>
      </c>
      <c r="AD110" s="226" t="s">
        <v>155</v>
      </c>
      <c r="AE110" s="219"/>
      <c r="AF110" s="219"/>
      <c r="AG110" s="219"/>
      <c r="AH110" s="219"/>
      <c r="AI110" s="219"/>
      <c r="AJ110" s="219"/>
    </row>
    <row r="111" spans="1:36" x14ac:dyDescent="0.3">
      <c r="A111" s="221" t="s">
        <v>109</v>
      </c>
      <c r="B111" s="222">
        <v>46072</v>
      </c>
      <c r="C111" s="223" t="s">
        <v>164</v>
      </c>
      <c r="D111" s="224" t="s">
        <v>243</v>
      </c>
      <c r="E111" s="223" t="s">
        <v>151</v>
      </c>
      <c r="F111" s="223" t="s">
        <v>111</v>
      </c>
      <c r="G111" s="225">
        <v>0</v>
      </c>
      <c r="H111" s="226">
        <v>180</v>
      </c>
      <c r="I111" s="226">
        <v>0</v>
      </c>
      <c r="J111" s="226">
        <v>0</v>
      </c>
      <c r="K111" s="223" t="s">
        <v>112</v>
      </c>
      <c r="L111" s="227" t="s">
        <v>36</v>
      </c>
      <c r="M111" s="226">
        <v>0</v>
      </c>
      <c r="N111" s="226">
        <v>0</v>
      </c>
      <c r="O111" s="226">
        <v>0</v>
      </c>
      <c r="P111" s="223" t="s">
        <v>78</v>
      </c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219"/>
      <c r="AJ111" s="219"/>
    </row>
    <row r="112" spans="1:36" x14ac:dyDescent="0.3">
      <c r="A112" s="221" t="s">
        <v>109</v>
      </c>
      <c r="B112" s="222">
        <v>46072</v>
      </c>
      <c r="C112" s="223" t="s">
        <v>158</v>
      </c>
      <c r="D112" s="224" t="s">
        <v>244</v>
      </c>
      <c r="E112" s="223" t="s">
        <v>151</v>
      </c>
      <c r="F112" s="223" t="s">
        <v>111</v>
      </c>
      <c r="G112" s="225">
        <v>8.8900000000000007E-2</v>
      </c>
      <c r="H112" s="226">
        <v>180</v>
      </c>
      <c r="I112" s="226">
        <v>16</v>
      </c>
      <c r="J112" s="226">
        <v>0</v>
      </c>
      <c r="K112" s="223" t="s">
        <v>112</v>
      </c>
      <c r="L112" s="227" t="s">
        <v>65</v>
      </c>
      <c r="M112" s="226">
        <v>0</v>
      </c>
      <c r="N112" s="226">
        <v>0</v>
      </c>
      <c r="O112" s="226">
        <v>17</v>
      </c>
      <c r="P112" s="223" t="s">
        <v>37</v>
      </c>
      <c r="Q112" s="219"/>
      <c r="R112" s="219"/>
      <c r="S112" s="219"/>
      <c r="T112" s="219"/>
      <c r="U112" s="219"/>
      <c r="V112" s="219"/>
      <c r="W112" s="219"/>
      <c r="X112" s="219"/>
      <c r="Y112" s="219"/>
      <c r="Z112" s="226" t="s">
        <v>146</v>
      </c>
      <c r="AA112" s="219"/>
      <c r="AB112" s="226" t="s">
        <v>263</v>
      </c>
      <c r="AC112" s="226" t="s">
        <v>216</v>
      </c>
      <c r="AD112" s="219"/>
      <c r="AE112" s="219"/>
      <c r="AF112" s="219"/>
      <c r="AG112" s="219"/>
      <c r="AH112" s="219"/>
      <c r="AI112" s="219"/>
      <c r="AJ112" s="219"/>
    </row>
    <row r="113" spans="1:36" x14ac:dyDescent="0.3">
      <c r="A113" s="221" t="s">
        <v>109</v>
      </c>
      <c r="B113" s="222">
        <v>46072</v>
      </c>
      <c r="C113" s="223" t="s">
        <v>169</v>
      </c>
      <c r="D113" s="224" t="s">
        <v>245</v>
      </c>
      <c r="E113" s="223" t="s">
        <v>151</v>
      </c>
      <c r="F113" s="223" t="s">
        <v>111</v>
      </c>
      <c r="G113" s="225">
        <v>0.05</v>
      </c>
      <c r="H113" s="226">
        <v>180</v>
      </c>
      <c r="I113" s="226">
        <v>9</v>
      </c>
      <c r="J113" s="226">
        <v>0</v>
      </c>
      <c r="K113" s="223" t="s">
        <v>112</v>
      </c>
      <c r="L113" s="227" t="s">
        <v>185</v>
      </c>
      <c r="M113" s="226">
        <v>0</v>
      </c>
      <c r="N113" s="226">
        <v>0</v>
      </c>
      <c r="O113" s="226">
        <v>9</v>
      </c>
      <c r="P113" s="223" t="s">
        <v>147</v>
      </c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26" t="s">
        <v>78</v>
      </c>
      <c r="AD113" s="219"/>
      <c r="AE113" s="219"/>
      <c r="AF113" s="219"/>
      <c r="AG113" s="219"/>
      <c r="AH113" s="219"/>
      <c r="AI113" s="219"/>
      <c r="AJ113" s="219"/>
    </row>
    <row r="114" spans="1:36" x14ac:dyDescent="0.3">
      <c r="A114" s="221" t="s">
        <v>109</v>
      </c>
      <c r="B114" s="222">
        <v>46072</v>
      </c>
      <c r="C114" s="223" t="s">
        <v>152</v>
      </c>
      <c r="D114" s="224" t="s">
        <v>240</v>
      </c>
      <c r="E114" s="223" t="s">
        <v>151</v>
      </c>
      <c r="F114" s="223" t="s">
        <v>111</v>
      </c>
      <c r="G114" s="225">
        <v>0.22220000000000001</v>
      </c>
      <c r="H114" s="226">
        <v>180</v>
      </c>
      <c r="I114" s="226">
        <v>40</v>
      </c>
      <c r="J114" s="226">
        <v>40</v>
      </c>
      <c r="K114" s="223" t="s">
        <v>112</v>
      </c>
      <c r="L114" s="227" t="s">
        <v>218</v>
      </c>
      <c r="M114" s="226">
        <v>0</v>
      </c>
      <c r="N114" s="226">
        <v>0</v>
      </c>
      <c r="O114" s="226">
        <v>1</v>
      </c>
      <c r="P114" s="223" t="s">
        <v>78</v>
      </c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26" t="s">
        <v>118</v>
      </c>
      <c r="AH114" s="219"/>
      <c r="AI114" s="219"/>
      <c r="AJ114" s="219"/>
    </row>
    <row r="115" spans="1:36" x14ac:dyDescent="0.3">
      <c r="A115" s="221" t="s">
        <v>246</v>
      </c>
      <c r="B115" s="222">
        <v>46073</v>
      </c>
      <c r="C115" s="223" t="s">
        <v>154</v>
      </c>
      <c r="D115" s="224" t="s">
        <v>247</v>
      </c>
      <c r="E115" s="223" t="s">
        <v>151</v>
      </c>
      <c r="F115" s="223" t="s">
        <v>111</v>
      </c>
      <c r="G115" s="225">
        <v>6.6699999999999995E-2</v>
      </c>
      <c r="H115" s="226">
        <v>180</v>
      </c>
      <c r="I115" s="226">
        <v>12</v>
      </c>
      <c r="J115" s="226">
        <v>0</v>
      </c>
      <c r="K115" s="223" t="s">
        <v>112</v>
      </c>
      <c r="L115" s="227" t="s">
        <v>182</v>
      </c>
      <c r="M115" s="226">
        <v>0</v>
      </c>
      <c r="N115" s="226">
        <v>0</v>
      </c>
      <c r="O115" s="226">
        <v>13</v>
      </c>
      <c r="P115" s="223" t="s">
        <v>147</v>
      </c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26" t="s">
        <v>161</v>
      </c>
      <c r="AD115" s="226" t="s">
        <v>155</v>
      </c>
      <c r="AE115" s="219"/>
      <c r="AF115" s="219"/>
      <c r="AG115" s="219"/>
      <c r="AH115" s="219"/>
      <c r="AI115" s="219"/>
      <c r="AJ115" s="219"/>
    </row>
    <row r="116" spans="1:36" x14ac:dyDescent="0.3">
      <c r="A116" s="221" t="s">
        <v>246</v>
      </c>
      <c r="B116" s="222">
        <v>46073</v>
      </c>
      <c r="C116" s="223" t="s">
        <v>158</v>
      </c>
      <c r="D116" s="224" t="s">
        <v>248</v>
      </c>
      <c r="E116" s="223" t="s">
        <v>151</v>
      </c>
      <c r="F116" s="223" t="s">
        <v>111</v>
      </c>
      <c r="G116" s="225">
        <v>5.5599999999999997E-2</v>
      </c>
      <c r="H116" s="226">
        <v>180</v>
      </c>
      <c r="I116" s="226">
        <v>10</v>
      </c>
      <c r="J116" s="226">
        <v>0</v>
      </c>
      <c r="K116" s="223" t="s">
        <v>112</v>
      </c>
      <c r="L116" s="227" t="s">
        <v>32</v>
      </c>
      <c r="M116" s="226">
        <v>0</v>
      </c>
      <c r="N116" s="226">
        <v>0</v>
      </c>
      <c r="O116" s="226">
        <v>11</v>
      </c>
      <c r="P116" s="223" t="s">
        <v>37</v>
      </c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26" t="s">
        <v>216</v>
      </c>
      <c r="AD116" s="219"/>
      <c r="AE116" s="219"/>
      <c r="AF116" s="219"/>
      <c r="AG116" s="219"/>
      <c r="AH116" s="219"/>
      <c r="AI116" s="219"/>
      <c r="AJ116" s="219"/>
    </row>
    <row r="117" spans="1:36" x14ac:dyDescent="0.3">
      <c r="A117" s="221" t="s">
        <v>246</v>
      </c>
      <c r="B117" s="222">
        <v>46073</v>
      </c>
      <c r="C117" s="223" t="s">
        <v>169</v>
      </c>
      <c r="D117" s="224" t="s">
        <v>239</v>
      </c>
      <c r="E117" s="223" t="s">
        <v>151</v>
      </c>
      <c r="F117" s="223" t="s">
        <v>111</v>
      </c>
      <c r="G117" s="225">
        <v>0.05</v>
      </c>
      <c r="H117" s="226">
        <v>180</v>
      </c>
      <c r="I117" s="226">
        <v>9</v>
      </c>
      <c r="J117" s="226">
        <v>0</v>
      </c>
      <c r="K117" s="223" t="s">
        <v>112</v>
      </c>
      <c r="L117" s="227" t="s">
        <v>50</v>
      </c>
      <c r="M117" s="226">
        <v>0</v>
      </c>
      <c r="N117" s="226">
        <v>0</v>
      </c>
      <c r="O117" s="226">
        <v>9</v>
      </c>
      <c r="P117" s="223" t="s">
        <v>147</v>
      </c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26" t="s">
        <v>78</v>
      </c>
      <c r="AD117" s="219"/>
      <c r="AE117" s="219"/>
      <c r="AF117" s="219"/>
      <c r="AG117" s="219"/>
      <c r="AH117" s="219"/>
      <c r="AI117" s="219"/>
      <c r="AJ117" s="219"/>
    </row>
    <row r="118" spans="1:36" x14ac:dyDescent="0.3">
      <c r="A118" s="221" t="s">
        <v>246</v>
      </c>
      <c r="B118" s="222">
        <v>46073</v>
      </c>
      <c r="C118" s="223" t="s">
        <v>160</v>
      </c>
      <c r="D118" s="224" t="s">
        <v>249</v>
      </c>
      <c r="E118" s="223" t="s">
        <v>151</v>
      </c>
      <c r="F118" s="223" t="s">
        <v>111</v>
      </c>
      <c r="G118" s="225">
        <v>5.5599999999999997E-2</v>
      </c>
      <c r="H118" s="226">
        <v>180</v>
      </c>
      <c r="I118" s="226">
        <v>10</v>
      </c>
      <c r="J118" s="226">
        <v>0</v>
      </c>
      <c r="K118" s="223" t="s">
        <v>112</v>
      </c>
      <c r="L118" s="227" t="s">
        <v>53</v>
      </c>
      <c r="M118" s="226">
        <v>0</v>
      </c>
      <c r="N118" s="226">
        <v>0</v>
      </c>
      <c r="O118" s="226">
        <v>10</v>
      </c>
      <c r="P118" s="223" t="s">
        <v>37</v>
      </c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26" t="s">
        <v>216</v>
      </c>
      <c r="AD118" s="219"/>
      <c r="AE118" s="219"/>
      <c r="AF118" s="219"/>
      <c r="AG118" s="219"/>
      <c r="AH118" s="219"/>
      <c r="AI118" s="219"/>
      <c r="AJ118" s="219"/>
    </row>
    <row r="119" spans="1:36" x14ac:dyDescent="0.3">
      <c r="A119" s="221" t="s">
        <v>246</v>
      </c>
      <c r="B119" s="222">
        <v>46073</v>
      </c>
      <c r="C119" s="223" t="s">
        <v>156</v>
      </c>
      <c r="D119" s="224" t="s">
        <v>250</v>
      </c>
      <c r="E119" s="223" t="s">
        <v>151</v>
      </c>
      <c r="F119" s="223" t="s">
        <v>111</v>
      </c>
      <c r="G119" s="225">
        <v>3.8899999999999997E-2</v>
      </c>
      <c r="H119" s="226">
        <v>180</v>
      </c>
      <c r="I119" s="226">
        <v>7</v>
      </c>
      <c r="J119" s="226">
        <v>0</v>
      </c>
      <c r="K119" s="223" t="s">
        <v>112</v>
      </c>
      <c r="L119" s="227" t="s">
        <v>167</v>
      </c>
      <c r="M119" s="226">
        <v>0</v>
      </c>
      <c r="N119" s="226">
        <v>0</v>
      </c>
      <c r="O119" s="226">
        <v>7</v>
      </c>
      <c r="P119" s="223" t="s">
        <v>144</v>
      </c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26" t="s">
        <v>168</v>
      </c>
      <c r="AD119" s="219"/>
      <c r="AE119" s="219"/>
      <c r="AF119" s="219"/>
      <c r="AG119" s="219"/>
      <c r="AH119" s="219"/>
      <c r="AI119" s="219"/>
      <c r="AJ119" s="219"/>
    </row>
    <row r="120" spans="1:36" x14ac:dyDescent="0.3">
      <c r="A120" s="221" t="s">
        <v>113</v>
      </c>
      <c r="B120" s="222">
        <v>46074</v>
      </c>
      <c r="C120" s="223" t="s">
        <v>163</v>
      </c>
      <c r="D120" s="224" t="s">
        <v>251</v>
      </c>
      <c r="E120" s="223" t="s">
        <v>151</v>
      </c>
      <c r="F120" s="223" t="s">
        <v>111</v>
      </c>
      <c r="G120" s="225">
        <v>4.8399999999999999E-2</v>
      </c>
      <c r="H120" s="226">
        <v>186</v>
      </c>
      <c r="I120" s="226">
        <v>9</v>
      </c>
      <c r="J120" s="226">
        <v>0</v>
      </c>
      <c r="K120" s="223" t="s">
        <v>112</v>
      </c>
      <c r="L120" s="227" t="s">
        <v>53</v>
      </c>
      <c r="M120" s="226">
        <v>0</v>
      </c>
      <c r="N120" s="226">
        <v>0</v>
      </c>
      <c r="O120" s="226">
        <v>9</v>
      </c>
      <c r="P120" s="223" t="s">
        <v>147</v>
      </c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26" t="s">
        <v>78</v>
      </c>
      <c r="AD120" s="219"/>
      <c r="AE120" s="219"/>
      <c r="AF120" s="219"/>
      <c r="AG120" s="219"/>
      <c r="AH120" s="219"/>
      <c r="AI120" s="219"/>
      <c r="AJ120" s="219"/>
    </row>
    <row r="121" spans="1:36" x14ac:dyDescent="0.3">
      <c r="A121" s="221" t="s">
        <v>113</v>
      </c>
      <c r="B121" s="222">
        <v>46074</v>
      </c>
      <c r="C121" s="223" t="s">
        <v>154</v>
      </c>
      <c r="D121" s="224" t="s">
        <v>242</v>
      </c>
      <c r="E121" s="223" t="s">
        <v>151</v>
      </c>
      <c r="F121" s="223" t="s">
        <v>111</v>
      </c>
      <c r="G121" s="225">
        <v>8.3299999999999999E-2</v>
      </c>
      <c r="H121" s="226">
        <v>180</v>
      </c>
      <c r="I121" s="226">
        <v>15</v>
      </c>
      <c r="J121" s="226">
        <v>0</v>
      </c>
      <c r="K121" s="223" t="s">
        <v>112</v>
      </c>
      <c r="L121" s="227" t="s">
        <v>50</v>
      </c>
      <c r="M121" s="226">
        <v>0</v>
      </c>
      <c r="N121" s="226">
        <v>0</v>
      </c>
      <c r="O121" s="226">
        <v>16</v>
      </c>
      <c r="P121" s="223" t="s">
        <v>37</v>
      </c>
      <c r="Q121" s="219"/>
      <c r="R121" s="219"/>
      <c r="S121" s="219"/>
      <c r="T121" s="219"/>
      <c r="U121" s="219"/>
      <c r="V121" s="219"/>
      <c r="W121" s="219"/>
      <c r="X121" s="219"/>
      <c r="Y121" s="219"/>
      <c r="Z121" s="226" t="s">
        <v>139</v>
      </c>
      <c r="AA121" s="219"/>
      <c r="AB121" s="219"/>
      <c r="AC121" s="226" t="s">
        <v>168</v>
      </c>
      <c r="AD121" s="226" t="s">
        <v>155</v>
      </c>
      <c r="AE121" s="219"/>
      <c r="AF121" s="219"/>
      <c r="AG121" s="219"/>
      <c r="AH121" s="219"/>
      <c r="AI121" s="219"/>
      <c r="AJ121" s="219"/>
    </row>
    <row r="122" spans="1:36" x14ac:dyDescent="0.3">
      <c r="A122" s="221" t="s">
        <v>113</v>
      </c>
      <c r="B122" s="222">
        <v>46074</v>
      </c>
      <c r="C122" s="223" t="s">
        <v>158</v>
      </c>
      <c r="D122" s="224" t="s">
        <v>252</v>
      </c>
      <c r="E122" s="223" t="s">
        <v>151</v>
      </c>
      <c r="F122" s="223" t="s">
        <v>111</v>
      </c>
      <c r="G122" s="225">
        <v>6.6699999999999995E-2</v>
      </c>
      <c r="H122" s="226">
        <v>180</v>
      </c>
      <c r="I122" s="226">
        <v>12</v>
      </c>
      <c r="J122" s="226">
        <v>0</v>
      </c>
      <c r="K122" s="223" t="s">
        <v>112</v>
      </c>
      <c r="L122" s="227" t="s">
        <v>185</v>
      </c>
      <c r="M122" s="226">
        <v>0</v>
      </c>
      <c r="N122" s="226">
        <v>0</v>
      </c>
      <c r="O122" s="226">
        <v>12</v>
      </c>
      <c r="P122" s="223" t="s">
        <v>37</v>
      </c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26" t="s">
        <v>264</v>
      </c>
      <c r="AC122" s="226" t="s">
        <v>216</v>
      </c>
      <c r="AD122" s="219"/>
      <c r="AE122" s="219"/>
      <c r="AF122" s="219"/>
      <c r="AG122" s="219"/>
      <c r="AH122" s="219"/>
      <c r="AI122" s="219"/>
      <c r="AJ122" s="219"/>
    </row>
    <row r="123" spans="1:36" x14ac:dyDescent="0.3">
      <c r="A123" s="221" t="s">
        <v>113</v>
      </c>
      <c r="B123" s="222">
        <v>46074</v>
      </c>
      <c r="C123" s="223" t="s">
        <v>152</v>
      </c>
      <c r="D123" s="224" t="s">
        <v>253</v>
      </c>
      <c r="E123" s="223" t="s">
        <v>151</v>
      </c>
      <c r="F123" s="223" t="s">
        <v>111</v>
      </c>
      <c r="G123" s="225">
        <v>4.4400000000000002E-2</v>
      </c>
      <c r="H123" s="226">
        <v>180</v>
      </c>
      <c r="I123" s="226">
        <v>8</v>
      </c>
      <c r="J123" s="226">
        <v>0</v>
      </c>
      <c r="K123" s="223" t="s">
        <v>112</v>
      </c>
      <c r="L123" s="227" t="s">
        <v>170</v>
      </c>
      <c r="M123" s="226">
        <v>0</v>
      </c>
      <c r="N123" s="226">
        <v>0</v>
      </c>
      <c r="O123" s="226">
        <v>8</v>
      </c>
      <c r="P123" s="223" t="s">
        <v>131</v>
      </c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26" t="s">
        <v>73</v>
      </c>
      <c r="AD123" s="219"/>
      <c r="AE123" s="219"/>
      <c r="AF123" s="219"/>
      <c r="AG123" s="219"/>
      <c r="AH123" s="219"/>
      <c r="AI123" s="219"/>
      <c r="AJ123" s="219"/>
    </row>
    <row r="124" spans="1:36" x14ac:dyDescent="0.3">
      <c r="A124" s="221" t="s">
        <v>115</v>
      </c>
      <c r="B124" s="222">
        <v>46075</v>
      </c>
      <c r="C124" s="223" t="s">
        <v>154</v>
      </c>
      <c r="D124" s="224" t="s">
        <v>247</v>
      </c>
      <c r="E124" s="223" t="s">
        <v>151</v>
      </c>
      <c r="F124" s="223" t="s">
        <v>111</v>
      </c>
      <c r="G124" s="225">
        <v>0.05</v>
      </c>
      <c r="H124" s="226">
        <v>180</v>
      </c>
      <c r="I124" s="226">
        <v>9</v>
      </c>
      <c r="J124" s="226">
        <v>0</v>
      </c>
      <c r="K124" s="223" t="s">
        <v>112</v>
      </c>
      <c r="L124" s="227" t="s">
        <v>32</v>
      </c>
      <c r="M124" s="226">
        <v>0</v>
      </c>
      <c r="N124" s="226">
        <v>0</v>
      </c>
      <c r="O124" s="226">
        <v>10</v>
      </c>
      <c r="P124" s="223" t="s">
        <v>161</v>
      </c>
      <c r="Q124" s="219"/>
      <c r="R124" s="219"/>
      <c r="S124" s="219"/>
      <c r="T124" s="219"/>
      <c r="U124" s="219"/>
      <c r="V124" s="219"/>
      <c r="W124" s="219"/>
      <c r="X124" s="219"/>
      <c r="Y124" s="219"/>
      <c r="Z124" s="226" t="s">
        <v>139</v>
      </c>
      <c r="AA124" s="219"/>
      <c r="AB124" s="219"/>
      <c r="AC124" s="226" t="s">
        <v>147</v>
      </c>
      <c r="AD124" s="226" t="s">
        <v>155</v>
      </c>
      <c r="AE124" s="219"/>
      <c r="AF124" s="219"/>
      <c r="AG124" s="219"/>
      <c r="AH124" s="219"/>
      <c r="AI124" s="219"/>
      <c r="AJ124" s="219"/>
    </row>
    <row r="125" spans="1:36" x14ac:dyDescent="0.3">
      <c r="A125" s="221" t="s">
        <v>115</v>
      </c>
      <c r="B125" s="222">
        <v>46075</v>
      </c>
      <c r="C125" s="223" t="s">
        <v>164</v>
      </c>
      <c r="D125" s="224" t="s">
        <v>242</v>
      </c>
      <c r="E125" s="223" t="s">
        <v>151</v>
      </c>
      <c r="F125" s="223" t="s">
        <v>111</v>
      </c>
      <c r="G125" s="225">
        <v>0</v>
      </c>
      <c r="H125" s="226">
        <v>180</v>
      </c>
      <c r="I125" s="226">
        <v>0</v>
      </c>
      <c r="J125" s="226">
        <v>0</v>
      </c>
      <c r="K125" s="223" t="s">
        <v>112</v>
      </c>
      <c r="L125" s="227" t="s">
        <v>36</v>
      </c>
      <c r="M125" s="226">
        <v>0</v>
      </c>
      <c r="N125" s="226">
        <v>0</v>
      </c>
      <c r="O125" s="226">
        <v>0</v>
      </c>
      <c r="P125" s="223" t="s">
        <v>78</v>
      </c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</row>
    <row r="126" spans="1:36" x14ac:dyDescent="0.3">
      <c r="A126" s="221" t="s">
        <v>115</v>
      </c>
      <c r="B126" s="222">
        <v>46075</v>
      </c>
      <c r="C126" s="223" t="s">
        <v>156</v>
      </c>
      <c r="D126" s="224" t="s">
        <v>254</v>
      </c>
      <c r="E126" s="223" t="s">
        <v>151</v>
      </c>
      <c r="F126" s="223" t="s">
        <v>111</v>
      </c>
      <c r="G126" s="225">
        <v>1.67E-2</v>
      </c>
      <c r="H126" s="226">
        <v>180</v>
      </c>
      <c r="I126" s="226">
        <v>3</v>
      </c>
      <c r="J126" s="226">
        <v>0</v>
      </c>
      <c r="K126" s="223" t="s">
        <v>112</v>
      </c>
      <c r="L126" s="227" t="s">
        <v>167</v>
      </c>
      <c r="M126" s="226">
        <v>0</v>
      </c>
      <c r="N126" s="226">
        <v>0</v>
      </c>
      <c r="O126" s="226">
        <v>4</v>
      </c>
      <c r="P126" s="223" t="s">
        <v>168</v>
      </c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26" t="s">
        <v>144</v>
      </c>
      <c r="AD126" s="219"/>
      <c r="AE126" s="219"/>
      <c r="AF126" s="219"/>
      <c r="AG126" s="219"/>
      <c r="AH126" s="219"/>
      <c r="AI126" s="219"/>
      <c r="AJ126" s="219"/>
    </row>
    <row r="127" spans="1:36" x14ac:dyDescent="0.3">
      <c r="A127" s="221" t="s">
        <v>115</v>
      </c>
      <c r="B127" s="222">
        <v>46075</v>
      </c>
      <c r="C127" s="223" t="s">
        <v>158</v>
      </c>
      <c r="D127" s="224" t="s">
        <v>255</v>
      </c>
      <c r="E127" s="223" t="s">
        <v>151</v>
      </c>
      <c r="F127" s="223" t="s">
        <v>111</v>
      </c>
      <c r="G127" s="225">
        <v>2.2200000000000001E-2</v>
      </c>
      <c r="H127" s="226">
        <v>180</v>
      </c>
      <c r="I127" s="226">
        <v>4</v>
      </c>
      <c r="J127" s="226">
        <v>0</v>
      </c>
      <c r="K127" s="223" t="s">
        <v>112</v>
      </c>
      <c r="L127" s="227" t="s">
        <v>32</v>
      </c>
      <c r="M127" s="226">
        <v>0</v>
      </c>
      <c r="N127" s="226">
        <v>0</v>
      </c>
      <c r="O127" s="226">
        <v>4</v>
      </c>
      <c r="P127" s="223" t="s">
        <v>161</v>
      </c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26" t="s">
        <v>166</v>
      </c>
      <c r="AD127" s="219"/>
      <c r="AE127" s="219"/>
      <c r="AF127" s="219"/>
      <c r="AG127" s="219"/>
      <c r="AH127" s="219"/>
      <c r="AI127" s="219"/>
      <c r="AJ127" s="219"/>
    </row>
    <row r="128" spans="1:36" x14ac:dyDescent="0.3">
      <c r="A128" s="221" t="s">
        <v>115</v>
      </c>
      <c r="B128" s="222">
        <v>46075</v>
      </c>
      <c r="C128" s="223" t="s">
        <v>169</v>
      </c>
      <c r="D128" s="224" t="s">
        <v>256</v>
      </c>
      <c r="E128" s="223" t="s">
        <v>151</v>
      </c>
      <c r="F128" s="223" t="s">
        <v>111</v>
      </c>
      <c r="G128" s="225">
        <v>3.3300000000000003E-2</v>
      </c>
      <c r="H128" s="226">
        <v>180</v>
      </c>
      <c r="I128" s="226">
        <v>6</v>
      </c>
      <c r="J128" s="226">
        <v>0</v>
      </c>
      <c r="K128" s="223" t="s">
        <v>112</v>
      </c>
      <c r="L128" s="227" t="s">
        <v>65</v>
      </c>
      <c r="M128" s="226">
        <v>0</v>
      </c>
      <c r="N128" s="226">
        <v>0</v>
      </c>
      <c r="O128" s="226">
        <v>6</v>
      </c>
      <c r="P128" s="223" t="s">
        <v>166</v>
      </c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26" t="s">
        <v>161</v>
      </c>
      <c r="AD128" s="219"/>
      <c r="AE128" s="219"/>
      <c r="AF128" s="219"/>
      <c r="AG128" s="219"/>
      <c r="AH128" s="219"/>
      <c r="AI128" s="219"/>
      <c r="AJ128" s="219"/>
    </row>
    <row r="129" spans="1:36" x14ac:dyDescent="0.3">
      <c r="A129" s="221" t="s">
        <v>119</v>
      </c>
      <c r="B129" s="222">
        <v>46076</v>
      </c>
      <c r="C129" s="223" t="s">
        <v>154</v>
      </c>
      <c r="D129" s="224" t="s">
        <v>257</v>
      </c>
      <c r="E129" s="223" t="s">
        <v>151</v>
      </c>
      <c r="F129" s="223" t="s">
        <v>111</v>
      </c>
      <c r="G129" s="225">
        <v>6.1100000000000002E-2</v>
      </c>
      <c r="H129" s="226">
        <v>180</v>
      </c>
      <c r="I129" s="226">
        <v>11</v>
      </c>
      <c r="J129" s="226">
        <v>0</v>
      </c>
      <c r="K129" s="223" t="s">
        <v>112</v>
      </c>
      <c r="L129" s="227" t="s">
        <v>32</v>
      </c>
      <c r="M129" s="226">
        <v>0</v>
      </c>
      <c r="N129" s="226">
        <v>0</v>
      </c>
      <c r="O129" s="226">
        <v>12</v>
      </c>
      <c r="P129" s="223" t="s">
        <v>131</v>
      </c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26" t="s">
        <v>175</v>
      </c>
      <c r="AD129" s="226" t="s">
        <v>155</v>
      </c>
      <c r="AE129" s="219"/>
      <c r="AF129" s="219"/>
      <c r="AG129" s="219"/>
      <c r="AH129" s="219"/>
      <c r="AI129" s="219"/>
      <c r="AJ129" s="219"/>
    </row>
    <row r="130" spans="1:36" x14ac:dyDescent="0.3">
      <c r="A130" s="221" t="s">
        <v>119</v>
      </c>
      <c r="B130" s="222">
        <v>46076</v>
      </c>
      <c r="C130" s="223" t="s">
        <v>158</v>
      </c>
      <c r="D130" s="224" t="s">
        <v>239</v>
      </c>
      <c r="E130" s="223" t="s">
        <v>151</v>
      </c>
      <c r="F130" s="223" t="s">
        <v>111</v>
      </c>
      <c r="G130" s="225">
        <v>1.11E-2</v>
      </c>
      <c r="H130" s="226">
        <v>180</v>
      </c>
      <c r="I130" s="226">
        <v>2</v>
      </c>
      <c r="J130" s="226">
        <v>0</v>
      </c>
      <c r="K130" s="223" t="s">
        <v>112</v>
      </c>
      <c r="L130" s="227" t="s">
        <v>159</v>
      </c>
      <c r="M130" s="226">
        <v>0</v>
      </c>
      <c r="N130" s="226">
        <v>0</v>
      </c>
      <c r="O130" s="226">
        <v>3</v>
      </c>
      <c r="P130" s="223" t="s">
        <v>73</v>
      </c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26" t="s">
        <v>131</v>
      </c>
      <c r="AD130" s="219"/>
      <c r="AE130" s="219"/>
      <c r="AF130" s="219"/>
      <c r="AG130" s="219"/>
      <c r="AH130" s="219"/>
      <c r="AI130" s="219"/>
      <c r="AJ130" s="219"/>
    </row>
    <row r="131" spans="1:36" x14ac:dyDescent="0.3">
      <c r="A131" s="221" t="s">
        <v>119</v>
      </c>
      <c r="B131" s="222">
        <v>46076</v>
      </c>
      <c r="C131" s="223" t="s">
        <v>156</v>
      </c>
      <c r="D131" s="224" t="s">
        <v>258</v>
      </c>
      <c r="E131" s="223" t="s">
        <v>151</v>
      </c>
      <c r="F131" s="223" t="s">
        <v>111</v>
      </c>
      <c r="G131" s="225">
        <v>3.3300000000000003E-2</v>
      </c>
      <c r="H131" s="226">
        <v>180</v>
      </c>
      <c r="I131" s="226">
        <v>6</v>
      </c>
      <c r="J131" s="226">
        <v>0</v>
      </c>
      <c r="K131" s="223" t="s">
        <v>112</v>
      </c>
      <c r="L131" s="227" t="s">
        <v>50</v>
      </c>
      <c r="M131" s="226">
        <v>0</v>
      </c>
      <c r="N131" s="226">
        <v>0</v>
      </c>
      <c r="O131" s="226">
        <v>6</v>
      </c>
      <c r="P131" s="223" t="s">
        <v>166</v>
      </c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26" t="s">
        <v>161</v>
      </c>
      <c r="AD131" s="219"/>
      <c r="AE131" s="219"/>
      <c r="AF131" s="219"/>
      <c r="AG131" s="219"/>
      <c r="AH131" s="219"/>
      <c r="AI131" s="219"/>
      <c r="AJ131" s="219"/>
    </row>
    <row r="132" spans="1:36" x14ac:dyDescent="0.3">
      <c r="A132" s="221" t="s">
        <v>121</v>
      </c>
      <c r="B132" s="222">
        <v>46077</v>
      </c>
      <c r="C132" s="223" t="s">
        <v>160</v>
      </c>
      <c r="D132" s="224" t="s">
        <v>259</v>
      </c>
      <c r="E132" s="223" t="s">
        <v>151</v>
      </c>
      <c r="F132" s="223" t="s">
        <v>111</v>
      </c>
      <c r="G132" s="225">
        <v>1.11E-2</v>
      </c>
      <c r="H132" s="226">
        <v>180</v>
      </c>
      <c r="I132" s="226">
        <v>2</v>
      </c>
      <c r="J132" s="226">
        <v>0</v>
      </c>
      <c r="K132" s="223" t="s">
        <v>112</v>
      </c>
      <c r="L132" s="227" t="s">
        <v>182</v>
      </c>
      <c r="M132" s="226">
        <v>0</v>
      </c>
      <c r="N132" s="226">
        <v>0</v>
      </c>
      <c r="O132" s="226">
        <v>3</v>
      </c>
      <c r="P132" s="223" t="s">
        <v>78</v>
      </c>
      <c r="Q132" s="219"/>
      <c r="R132" s="219"/>
      <c r="S132" s="219"/>
      <c r="T132" s="219"/>
      <c r="U132" s="219"/>
      <c r="V132" s="219"/>
      <c r="W132" s="219"/>
      <c r="X132" s="219"/>
      <c r="Y132" s="219"/>
      <c r="Z132" s="226" t="s">
        <v>146</v>
      </c>
      <c r="AA132" s="219"/>
      <c r="AB132" s="219"/>
      <c r="AC132" s="226" t="s">
        <v>147</v>
      </c>
      <c r="AD132" s="219"/>
      <c r="AE132" s="219"/>
      <c r="AF132" s="219"/>
      <c r="AG132" s="219"/>
      <c r="AH132" s="219"/>
      <c r="AI132" s="219"/>
      <c r="AJ132" s="219"/>
    </row>
    <row r="133" spans="1:36" x14ac:dyDescent="0.3">
      <c r="A133" s="221" t="s">
        <v>121</v>
      </c>
      <c r="B133" s="222">
        <v>46077</v>
      </c>
      <c r="C133" s="223" t="s">
        <v>169</v>
      </c>
      <c r="D133" s="224" t="s">
        <v>110</v>
      </c>
      <c r="E133" s="223" t="s">
        <v>151</v>
      </c>
      <c r="F133" s="223" t="s">
        <v>111</v>
      </c>
      <c r="G133" s="225">
        <v>1.67E-2</v>
      </c>
      <c r="H133" s="226">
        <v>180</v>
      </c>
      <c r="I133" s="226">
        <v>3</v>
      </c>
      <c r="J133" s="226">
        <v>0</v>
      </c>
      <c r="K133" s="223" t="s">
        <v>112</v>
      </c>
      <c r="L133" s="227" t="s">
        <v>222</v>
      </c>
      <c r="M133" s="226">
        <v>0</v>
      </c>
      <c r="N133" s="226">
        <v>0</v>
      </c>
      <c r="O133" s="226">
        <v>3</v>
      </c>
      <c r="P133" s="223" t="s">
        <v>168</v>
      </c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26" t="s">
        <v>144</v>
      </c>
      <c r="AD133" s="219"/>
      <c r="AE133" s="219"/>
      <c r="AF133" s="219"/>
      <c r="AG133" s="219"/>
      <c r="AH133" s="219"/>
      <c r="AI133" s="219"/>
      <c r="AJ133" s="219"/>
    </row>
    <row r="134" spans="1:36" x14ac:dyDescent="0.3">
      <c r="A134" s="221" t="s">
        <v>121</v>
      </c>
      <c r="B134" s="222">
        <v>46077</v>
      </c>
      <c r="C134" s="223" t="s">
        <v>158</v>
      </c>
      <c r="D134" s="224" t="s">
        <v>239</v>
      </c>
      <c r="E134" s="223" t="s">
        <v>151</v>
      </c>
      <c r="F134" s="223" t="s">
        <v>111</v>
      </c>
      <c r="G134" s="225">
        <v>2.2200000000000001E-2</v>
      </c>
      <c r="H134" s="226">
        <v>180</v>
      </c>
      <c r="I134" s="226">
        <v>4</v>
      </c>
      <c r="J134" s="226">
        <v>0</v>
      </c>
      <c r="K134" s="223" t="s">
        <v>112</v>
      </c>
      <c r="L134" s="227" t="s">
        <v>32</v>
      </c>
      <c r="M134" s="226">
        <v>0</v>
      </c>
      <c r="N134" s="226">
        <v>0</v>
      </c>
      <c r="O134" s="226">
        <v>4</v>
      </c>
      <c r="P134" s="223" t="s">
        <v>73</v>
      </c>
      <c r="Q134" s="219"/>
      <c r="R134" s="219"/>
      <c r="S134" s="219"/>
      <c r="T134" s="219"/>
      <c r="U134" s="219"/>
      <c r="V134" s="219"/>
      <c r="W134" s="219"/>
      <c r="X134" s="219"/>
      <c r="Y134" s="226" t="s">
        <v>136</v>
      </c>
      <c r="Z134" s="219"/>
      <c r="AA134" s="219"/>
      <c r="AB134" s="219"/>
      <c r="AC134" s="226" t="s">
        <v>131</v>
      </c>
      <c r="AD134" s="219"/>
      <c r="AE134" s="219"/>
      <c r="AF134" s="219"/>
      <c r="AG134" s="219"/>
      <c r="AH134" s="219"/>
      <c r="AI134" s="219"/>
      <c r="AJ134" s="219"/>
    </row>
    <row r="135" spans="1:36" x14ac:dyDescent="0.3">
      <c r="A135" s="221" t="s">
        <v>121</v>
      </c>
      <c r="B135" s="222">
        <v>46077</v>
      </c>
      <c r="C135" s="223" t="s">
        <v>156</v>
      </c>
      <c r="D135" s="224" t="s">
        <v>260</v>
      </c>
      <c r="E135" s="223" t="s">
        <v>151</v>
      </c>
      <c r="F135" s="223" t="s">
        <v>111</v>
      </c>
      <c r="G135" s="225">
        <v>5.5599999999999997E-2</v>
      </c>
      <c r="H135" s="226">
        <v>180</v>
      </c>
      <c r="I135" s="226">
        <v>10</v>
      </c>
      <c r="J135" s="226">
        <v>0</v>
      </c>
      <c r="K135" s="223" t="s">
        <v>112</v>
      </c>
      <c r="L135" s="227" t="s">
        <v>167</v>
      </c>
      <c r="M135" s="226">
        <v>0</v>
      </c>
      <c r="N135" s="226">
        <v>0</v>
      </c>
      <c r="O135" s="226">
        <v>11</v>
      </c>
      <c r="P135" s="223" t="s">
        <v>37</v>
      </c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26" t="s">
        <v>216</v>
      </c>
      <c r="AD135" s="219"/>
      <c r="AE135" s="219"/>
      <c r="AF135" s="219"/>
      <c r="AG135" s="219"/>
      <c r="AH135" s="219"/>
      <c r="AI135" s="219"/>
      <c r="AJ135" s="219"/>
    </row>
    <row r="136" spans="1:36" x14ac:dyDescent="0.3">
      <c r="A136" s="221" t="s">
        <v>121</v>
      </c>
      <c r="B136" s="222">
        <v>46077</v>
      </c>
      <c r="C136" s="223" t="s">
        <v>152</v>
      </c>
      <c r="D136" s="224" t="s">
        <v>261</v>
      </c>
      <c r="E136" s="223" t="s">
        <v>151</v>
      </c>
      <c r="F136" s="223" t="s">
        <v>111</v>
      </c>
      <c r="G136" s="225">
        <v>0</v>
      </c>
      <c r="H136" s="226">
        <v>180</v>
      </c>
      <c r="I136" s="226">
        <v>0</v>
      </c>
      <c r="J136" s="226">
        <v>0</v>
      </c>
      <c r="K136" s="223" t="s">
        <v>112</v>
      </c>
      <c r="L136" s="227" t="s">
        <v>36</v>
      </c>
      <c r="M136" s="226">
        <v>0</v>
      </c>
      <c r="N136" s="226">
        <v>0</v>
      </c>
      <c r="O136" s="226">
        <v>0</v>
      </c>
      <c r="P136" s="223" t="s">
        <v>78</v>
      </c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</row>
    <row r="137" spans="1:36" x14ac:dyDescent="0.3">
      <c r="A137" s="221" t="s">
        <v>121</v>
      </c>
      <c r="B137" s="222">
        <v>46077</v>
      </c>
      <c r="C137" s="223" t="s">
        <v>154</v>
      </c>
      <c r="D137" s="224" t="s">
        <v>262</v>
      </c>
      <c r="E137" s="223" t="s">
        <v>151</v>
      </c>
      <c r="F137" s="223" t="s">
        <v>111</v>
      </c>
      <c r="G137" s="225">
        <v>9.4399999999999998E-2</v>
      </c>
      <c r="H137" s="226">
        <v>180</v>
      </c>
      <c r="I137" s="226">
        <v>17</v>
      </c>
      <c r="J137" s="226">
        <v>0</v>
      </c>
      <c r="K137" s="223" t="s">
        <v>112</v>
      </c>
      <c r="L137" s="227" t="s">
        <v>182</v>
      </c>
      <c r="M137" s="226">
        <v>0</v>
      </c>
      <c r="N137" s="226">
        <v>0</v>
      </c>
      <c r="O137" s="226">
        <v>17</v>
      </c>
      <c r="P137" s="223" t="s">
        <v>37</v>
      </c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26" t="s">
        <v>266</v>
      </c>
      <c r="AC137" s="226" t="s">
        <v>216</v>
      </c>
      <c r="AD137" s="226" t="s">
        <v>155</v>
      </c>
      <c r="AE137" s="219"/>
      <c r="AF137" s="219"/>
      <c r="AG137" s="219"/>
      <c r="AH137" s="219"/>
      <c r="AI137" s="219"/>
      <c r="AJ137" s="219"/>
    </row>
    <row r="138" spans="1:36" x14ac:dyDescent="0.3">
      <c r="A138" s="221" t="s">
        <v>235</v>
      </c>
      <c r="B138" s="222">
        <v>46078</v>
      </c>
      <c r="C138" s="223" t="s">
        <v>152</v>
      </c>
      <c r="D138" s="224" t="s">
        <v>236</v>
      </c>
      <c r="E138" s="223" t="s">
        <v>151</v>
      </c>
      <c r="F138" s="223" t="s">
        <v>111</v>
      </c>
      <c r="G138" s="225">
        <v>0.05</v>
      </c>
      <c r="H138" s="226">
        <v>180</v>
      </c>
      <c r="I138" s="226">
        <v>9</v>
      </c>
      <c r="J138" s="226">
        <v>0</v>
      </c>
      <c r="K138" s="223" t="s">
        <v>112</v>
      </c>
      <c r="L138" s="227" t="s">
        <v>63</v>
      </c>
      <c r="M138" s="226">
        <v>0</v>
      </c>
      <c r="N138" s="226">
        <v>0</v>
      </c>
      <c r="O138" s="226">
        <v>9</v>
      </c>
      <c r="P138" s="223" t="s">
        <v>147</v>
      </c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26" t="s">
        <v>78</v>
      </c>
      <c r="AD138" s="219"/>
      <c r="AE138" s="219"/>
      <c r="AF138" s="219"/>
      <c r="AG138" s="219"/>
      <c r="AH138" s="219"/>
      <c r="AI138" s="219"/>
      <c r="AJ138" s="219"/>
    </row>
    <row r="139" spans="1:36" x14ac:dyDescent="0.3">
      <c r="A139" s="221" t="s">
        <v>235</v>
      </c>
      <c r="B139" s="222">
        <v>46078</v>
      </c>
      <c r="C139" s="223" t="s">
        <v>154</v>
      </c>
      <c r="D139" s="224" t="s">
        <v>237</v>
      </c>
      <c r="E139" s="223" t="s">
        <v>151</v>
      </c>
      <c r="F139" s="223" t="s">
        <v>111</v>
      </c>
      <c r="G139" s="225">
        <v>7.22E-2</v>
      </c>
      <c r="H139" s="226">
        <v>180</v>
      </c>
      <c r="I139" s="226">
        <v>13</v>
      </c>
      <c r="J139" s="226">
        <v>0</v>
      </c>
      <c r="K139" s="223" t="s">
        <v>112</v>
      </c>
      <c r="L139" s="227" t="s">
        <v>50</v>
      </c>
      <c r="M139" s="226">
        <v>0</v>
      </c>
      <c r="N139" s="226">
        <v>0</v>
      </c>
      <c r="O139" s="226">
        <v>13</v>
      </c>
      <c r="P139" s="223" t="s">
        <v>37</v>
      </c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26" t="s">
        <v>168</v>
      </c>
      <c r="AD139" s="226" t="s">
        <v>155</v>
      </c>
      <c r="AE139" s="219"/>
      <c r="AF139" s="219"/>
      <c r="AG139" s="219"/>
      <c r="AH139" s="219"/>
      <c r="AI139" s="219"/>
      <c r="AJ139" s="219"/>
    </row>
    <row r="140" spans="1:36" x14ac:dyDescent="0.3">
      <c r="A140" s="221" t="s">
        <v>235</v>
      </c>
      <c r="B140" s="222">
        <v>46078</v>
      </c>
      <c r="C140" s="223" t="s">
        <v>156</v>
      </c>
      <c r="D140" s="224" t="s">
        <v>238</v>
      </c>
      <c r="E140" s="223" t="s">
        <v>151</v>
      </c>
      <c r="F140" s="223" t="s">
        <v>111</v>
      </c>
      <c r="G140" s="225">
        <v>2.2200000000000001E-2</v>
      </c>
      <c r="H140" s="226">
        <v>180</v>
      </c>
      <c r="I140" s="226">
        <v>4</v>
      </c>
      <c r="J140" s="226">
        <v>0</v>
      </c>
      <c r="K140" s="223" t="s">
        <v>112</v>
      </c>
      <c r="L140" s="227" t="s">
        <v>167</v>
      </c>
      <c r="M140" s="226">
        <v>0</v>
      </c>
      <c r="N140" s="226">
        <v>0</v>
      </c>
      <c r="O140" s="226">
        <v>4</v>
      </c>
      <c r="P140" s="223" t="s">
        <v>161</v>
      </c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26" t="s">
        <v>166</v>
      </c>
      <c r="AD140" s="219"/>
      <c r="AE140" s="219"/>
      <c r="AF140" s="219"/>
      <c r="AG140" s="219"/>
      <c r="AH140" s="219"/>
      <c r="AI140" s="219"/>
      <c r="AJ140" s="219"/>
    </row>
    <row r="141" spans="1:36" x14ac:dyDescent="0.3">
      <c r="A141" s="221" t="s">
        <v>235</v>
      </c>
      <c r="B141" s="222">
        <v>46078</v>
      </c>
      <c r="C141" s="223" t="s">
        <v>158</v>
      </c>
      <c r="D141" s="224" t="s">
        <v>239</v>
      </c>
      <c r="E141" s="223" t="s">
        <v>151</v>
      </c>
      <c r="F141" s="223" t="s">
        <v>111</v>
      </c>
      <c r="G141" s="225">
        <v>0.05</v>
      </c>
      <c r="H141" s="226">
        <v>180</v>
      </c>
      <c r="I141" s="226">
        <v>9</v>
      </c>
      <c r="J141" s="226">
        <v>0</v>
      </c>
      <c r="K141" s="223" t="s">
        <v>112</v>
      </c>
      <c r="L141" s="227" t="s">
        <v>53</v>
      </c>
      <c r="M141" s="226">
        <v>0</v>
      </c>
      <c r="N141" s="226">
        <v>0</v>
      </c>
      <c r="O141" s="226">
        <v>9</v>
      </c>
      <c r="P141" s="223" t="s">
        <v>147</v>
      </c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26" t="s">
        <v>78</v>
      </c>
      <c r="AD141" s="219"/>
      <c r="AE141" s="219"/>
      <c r="AF141" s="219"/>
      <c r="AG141" s="219"/>
      <c r="AH141" s="219"/>
      <c r="AI141" s="219"/>
      <c r="AJ141" s="219"/>
    </row>
    <row r="142" spans="1:36" x14ac:dyDescent="0.3">
      <c r="A142" s="221" t="s">
        <v>235</v>
      </c>
      <c r="B142" s="222">
        <v>46078</v>
      </c>
      <c r="C142" s="223" t="s">
        <v>160</v>
      </c>
      <c r="D142" s="224" t="s">
        <v>240</v>
      </c>
      <c r="E142" s="223" t="s">
        <v>151</v>
      </c>
      <c r="F142" s="223" t="s">
        <v>111</v>
      </c>
      <c r="G142" s="225">
        <v>2.7799999999999998E-2</v>
      </c>
      <c r="H142" s="226">
        <v>180</v>
      </c>
      <c r="I142" s="226">
        <v>5</v>
      </c>
      <c r="J142" s="226">
        <v>0</v>
      </c>
      <c r="K142" s="223" t="s">
        <v>112</v>
      </c>
      <c r="L142" s="227" t="s">
        <v>185</v>
      </c>
      <c r="M142" s="226">
        <v>0</v>
      </c>
      <c r="N142" s="226">
        <v>0</v>
      </c>
      <c r="O142" s="226">
        <v>5</v>
      </c>
      <c r="P142" s="223" t="s">
        <v>168</v>
      </c>
      <c r="Q142" s="219"/>
      <c r="R142" s="219"/>
      <c r="S142" s="219"/>
      <c r="T142" s="219"/>
      <c r="U142" s="219"/>
      <c r="V142" s="219"/>
      <c r="W142" s="219"/>
      <c r="X142" s="219"/>
      <c r="Y142" s="219"/>
      <c r="Z142" s="226" t="s">
        <v>139</v>
      </c>
      <c r="AA142" s="219"/>
      <c r="AB142" s="219"/>
      <c r="AC142" s="226" t="s">
        <v>144</v>
      </c>
      <c r="AD142" s="219"/>
      <c r="AE142" s="219"/>
      <c r="AF142" s="219"/>
      <c r="AG142" s="219"/>
      <c r="AH142" s="219"/>
      <c r="AI142" s="219"/>
      <c r="AJ142" s="219"/>
    </row>
    <row r="143" spans="1:36" x14ac:dyDescent="0.3">
      <c r="A143" s="221" t="s">
        <v>109</v>
      </c>
      <c r="B143" s="222">
        <v>46079</v>
      </c>
      <c r="C143" s="223" t="s">
        <v>163</v>
      </c>
      <c r="D143" s="224" t="s">
        <v>241</v>
      </c>
      <c r="E143" s="223" t="s">
        <v>151</v>
      </c>
      <c r="F143" s="223" t="s">
        <v>111</v>
      </c>
      <c r="G143" s="225">
        <v>1.67E-2</v>
      </c>
      <c r="H143" s="226">
        <v>180</v>
      </c>
      <c r="I143" s="226">
        <v>3</v>
      </c>
      <c r="J143" s="226">
        <v>0</v>
      </c>
      <c r="K143" s="223" t="s">
        <v>112</v>
      </c>
      <c r="L143" s="227" t="s">
        <v>179</v>
      </c>
      <c r="M143" s="226">
        <v>0</v>
      </c>
      <c r="N143" s="226">
        <v>0</v>
      </c>
      <c r="O143" s="226">
        <v>3</v>
      </c>
      <c r="P143" s="223" t="s">
        <v>168</v>
      </c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26" t="s">
        <v>144</v>
      </c>
      <c r="AD143" s="219"/>
      <c r="AE143" s="219"/>
      <c r="AF143" s="219"/>
      <c r="AG143" s="219"/>
      <c r="AH143" s="219"/>
      <c r="AI143" s="219"/>
      <c r="AJ143" s="219"/>
    </row>
    <row r="144" spans="1:36" x14ac:dyDescent="0.3">
      <c r="A144" s="221" t="s">
        <v>109</v>
      </c>
      <c r="B144" s="222">
        <v>46079</v>
      </c>
      <c r="C144" s="223" t="s">
        <v>154</v>
      </c>
      <c r="D144" s="224" t="s">
        <v>242</v>
      </c>
      <c r="E144" s="223" t="s">
        <v>151</v>
      </c>
      <c r="F144" s="223" t="s">
        <v>111</v>
      </c>
      <c r="G144" s="225">
        <v>3.8899999999999997E-2</v>
      </c>
      <c r="H144" s="226">
        <v>180</v>
      </c>
      <c r="I144" s="226">
        <v>7</v>
      </c>
      <c r="J144" s="226">
        <v>0</v>
      </c>
      <c r="K144" s="223" t="s">
        <v>112</v>
      </c>
      <c r="L144" s="227" t="s">
        <v>167</v>
      </c>
      <c r="M144" s="226">
        <v>0</v>
      </c>
      <c r="N144" s="226">
        <v>0</v>
      </c>
      <c r="O144" s="226">
        <v>7</v>
      </c>
      <c r="P144" s="223" t="s">
        <v>161</v>
      </c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26" t="s">
        <v>147</v>
      </c>
      <c r="AD144" s="226" t="s">
        <v>155</v>
      </c>
      <c r="AE144" s="219"/>
      <c r="AF144" s="219"/>
      <c r="AG144" s="219"/>
      <c r="AH144" s="219"/>
      <c r="AI144" s="219"/>
      <c r="AJ144" s="219"/>
    </row>
    <row r="145" spans="1:36" x14ac:dyDescent="0.3">
      <c r="A145" s="221" t="s">
        <v>109</v>
      </c>
      <c r="B145" s="222">
        <v>46079</v>
      </c>
      <c r="C145" s="223" t="s">
        <v>164</v>
      </c>
      <c r="D145" s="224" t="s">
        <v>243</v>
      </c>
      <c r="E145" s="223" t="s">
        <v>151</v>
      </c>
      <c r="F145" s="223" t="s">
        <v>111</v>
      </c>
      <c r="G145" s="225">
        <v>0</v>
      </c>
      <c r="H145" s="226">
        <v>180</v>
      </c>
      <c r="I145" s="226">
        <v>0</v>
      </c>
      <c r="J145" s="226">
        <v>0</v>
      </c>
      <c r="K145" s="223" t="s">
        <v>112</v>
      </c>
      <c r="L145" s="227" t="s">
        <v>36</v>
      </c>
      <c r="M145" s="226">
        <v>0</v>
      </c>
      <c r="N145" s="226">
        <v>0</v>
      </c>
      <c r="O145" s="226">
        <v>0</v>
      </c>
      <c r="P145" s="223" t="s">
        <v>78</v>
      </c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</row>
    <row r="146" spans="1:36" x14ac:dyDescent="0.3">
      <c r="A146" s="221" t="s">
        <v>109</v>
      </c>
      <c r="B146" s="222">
        <v>46079</v>
      </c>
      <c r="C146" s="223" t="s">
        <v>158</v>
      </c>
      <c r="D146" s="224" t="s">
        <v>244</v>
      </c>
      <c r="E146" s="223" t="s">
        <v>151</v>
      </c>
      <c r="F146" s="223" t="s">
        <v>111</v>
      </c>
      <c r="G146" s="225">
        <v>0</v>
      </c>
      <c r="H146" s="226">
        <v>180</v>
      </c>
      <c r="I146" s="226">
        <v>0</v>
      </c>
      <c r="J146" s="226">
        <v>0</v>
      </c>
      <c r="K146" s="223" t="s">
        <v>112</v>
      </c>
      <c r="L146" s="227" t="s">
        <v>36</v>
      </c>
      <c r="M146" s="226">
        <v>0</v>
      </c>
      <c r="N146" s="226">
        <v>0</v>
      </c>
      <c r="O146" s="226">
        <v>0</v>
      </c>
      <c r="P146" s="223" t="s">
        <v>78</v>
      </c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</row>
    <row r="147" spans="1:36" x14ac:dyDescent="0.3">
      <c r="A147" s="221" t="s">
        <v>109</v>
      </c>
      <c r="B147" s="222">
        <v>46079</v>
      </c>
      <c r="C147" s="223" t="s">
        <v>169</v>
      </c>
      <c r="D147" s="224" t="s">
        <v>245</v>
      </c>
      <c r="E147" s="223" t="s">
        <v>151</v>
      </c>
      <c r="F147" s="223" t="s">
        <v>111</v>
      </c>
      <c r="G147" s="225">
        <v>5.5999999999999999E-3</v>
      </c>
      <c r="H147" s="226">
        <v>180</v>
      </c>
      <c r="I147" s="226">
        <v>1</v>
      </c>
      <c r="J147" s="226">
        <v>0</v>
      </c>
      <c r="K147" s="223" t="s">
        <v>112</v>
      </c>
      <c r="L147" s="227" t="s">
        <v>46</v>
      </c>
      <c r="M147" s="226">
        <v>0</v>
      </c>
      <c r="N147" s="226">
        <v>0</v>
      </c>
      <c r="O147" s="226">
        <v>1</v>
      </c>
      <c r="P147" s="223" t="s">
        <v>78</v>
      </c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26" t="s">
        <v>147</v>
      </c>
      <c r="AD147" s="219"/>
      <c r="AE147" s="219"/>
      <c r="AF147" s="219"/>
      <c r="AG147" s="219"/>
      <c r="AH147" s="219"/>
      <c r="AI147" s="219"/>
      <c r="AJ147" s="219"/>
    </row>
    <row r="148" spans="1:36" x14ac:dyDescent="0.3">
      <c r="A148" s="221" t="s">
        <v>109</v>
      </c>
      <c r="B148" s="222">
        <v>46079</v>
      </c>
      <c r="C148" s="223" t="s">
        <v>152</v>
      </c>
      <c r="D148" s="224" t="s">
        <v>240</v>
      </c>
      <c r="E148" s="223" t="s">
        <v>151</v>
      </c>
      <c r="F148" s="223" t="s">
        <v>111</v>
      </c>
      <c r="G148" s="225">
        <v>0.17219999999999999</v>
      </c>
      <c r="H148" s="226">
        <v>180</v>
      </c>
      <c r="I148" s="226">
        <v>31</v>
      </c>
      <c r="J148" s="226">
        <v>25</v>
      </c>
      <c r="K148" s="223" t="s">
        <v>112</v>
      </c>
      <c r="L148" s="227" t="s">
        <v>179</v>
      </c>
      <c r="M148" s="226">
        <v>0</v>
      </c>
      <c r="N148" s="226">
        <v>0</v>
      </c>
      <c r="O148" s="226">
        <v>7</v>
      </c>
      <c r="P148" s="223" t="s">
        <v>166</v>
      </c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26" t="s">
        <v>161</v>
      </c>
      <c r="AD148" s="219"/>
      <c r="AE148" s="219"/>
      <c r="AF148" s="219"/>
      <c r="AG148" s="226" t="s">
        <v>45</v>
      </c>
      <c r="AH148" s="219"/>
      <c r="AI148" s="219"/>
      <c r="AJ148" s="219"/>
    </row>
    <row r="149" spans="1:36" x14ac:dyDescent="0.3">
      <c r="A149" s="221" t="s">
        <v>246</v>
      </c>
      <c r="B149" s="222">
        <v>46080</v>
      </c>
      <c r="C149" s="223" t="s">
        <v>154</v>
      </c>
      <c r="D149" s="224" t="s">
        <v>247</v>
      </c>
      <c r="E149" s="223" t="s">
        <v>151</v>
      </c>
      <c r="F149" s="223" t="s">
        <v>111</v>
      </c>
      <c r="G149" s="225">
        <v>0.05</v>
      </c>
      <c r="H149" s="226">
        <v>180</v>
      </c>
      <c r="I149" s="226">
        <v>9</v>
      </c>
      <c r="J149" s="226">
        <v>0</v>
      </c>
      <c r="K149" s="223" t="s">
        <v>112</v>
      </c>
      <c r="L149" s="227" t="s">
        <v>170</v>
      </c>
      <c r="M149" s="226">
        <v>0</v>
      </c>
      <c r="N149" s="226">
        <v>0</v>
      </c>
      <c r="O149" s="226">
        <v>9</v>
      </c>
      <c r="P149" s="223" t="s">
        <v>166</v>
      </c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26" t="s">
        <v>147</v>
      </c>
      <c r="AD149" s="226" t="s">
        <v>230</v>
      </c>
      <c r="AE149" s="219"/>
      <c r="AF149" s="219"/>
      <c r="AG149" s="219"/>
      <c r="AH149" s="219"/>
      <c r="AI149" s="219"/>
      <c r="AJ149" s="219"/>
    </row>
    <row r="150" spans="1:36" x14ac:dyDescent="0.3">
      <c r="A150" s="221" t="s">
        <v>246</v>
      </c>
      <c r="B150" s="222">
        <v>46080</v>
      </c>
      <c r="C150" s="223" t="s">
        <v>158</v>
      </c>
      <c r="D150" s="224" t="s">
        <v>248</v>
      </c>
      <c r="E150" s="223" t="s">
        <v>151</v>
      </c>
      <c r="F150" s="223" t="s">
        <v>111</v>
      </c>
      <c r="G150" s="225">
        <v>3.3300000000000003E-2</v>
      </c>
      <c r="H150" s="226">
        <v>180</v>
      </c>
      <c r="I150" s="226">
        <v>6</v>
      </c>
      <c r="J150" s="226">
        <v>0</v>
      </c>
      <c r="K150" s="223" t="s">
        <v>112</v>
      </c>
      <c r="L150" s="227" t="s">
        <v>53</v>
      </c>
      <c r="M150" s="226">
        <v>0</v>
      </c>
      <c r="N150" s="226">
        <v>0</v>
      </c>
      <c r="O150" s="226">
        <v>6</v>
      </c>
      <c r="P150" s="223" t="s">
        <v>126</v>
      </c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26" t="s">
        <v>147</v>
      </c>
      <c r="AD150" s="226" t="s">
        <v>126</v>
      </c>
      <c r="AE150" s="219"/>
      <c r="AF150" s="219"/>
      <c r="AG150" s="219"/>
      <c r="AH150" s="219"/>
      <c r="AI150" s="219"/>
      <c r="AJ150" s="219"/>
    </row>
    <row r="151" spans="1:36" x14ac:dyDescent="0.3">
      <c r="A151" s="221" t="s">
        <v>246</v>
      </c>
      <c r="B151" s="222">
        <v>46080</v>
      </c>
      <c r="C151" s="223" t="s">
        <v>169</v>
      </c>
      <c r="D151" s="224" t="s">
        <v>239</v>
      </c>
      <c r="E151" s="223" t="s">
        <v>151</v>
      </c>
      <c r="F151" s="223" t="s">
        <v>111</v>
      </c>
      <c r="G151" s="225">
        <v>1.67E-2</v>
      </c>
      <c r="H151" s="226">
        <v>180</v>
      </c>
      <c r="I151" s="226">
        <v>3</v>
      </c>
      <c r="J151" s="226">
        <v>0</v>
      </c>
      <c r="K151" s="223" t="s">
        <v>112</v>
      </c>
      <c r="L151" s="227" t="s">
        <v>194</v>
      </c>
      <c r="M151" s="226">
        <v>0</v>
      </c>
      <c r="N151" s="226">
        <v>0</v>
      </c>
      <c r="O151" s="226">
        <v>3</v>
      </c>
      <c r="P151" s="223" t="s">
        <v>129</v>
      </c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  <c r="AD151" s="226" t="s">
        <v>180</v>
      </c>
      <c r="AE151" s="219"/>
      <c r="AF151" s="219"/>
      <c r="AG151" s="219"/>
      <c r="AH151" s="219"/>
      <c r="AI151" s="219"/>
      <c r="AJ151" s="219"/>
    </row>
    <row r="152" spans="1:36" x14ac:dyDescent="0.3">
      <c r="A152" s="221" t="s">
        <v>246</v>
      </c>
      <c r="B152" s="222">
        <v>46080</v>
      </c>
      <c r="C152" s="223" t="s">
        <v>160</v>
      </c>
      <c r="D152" s="224" t="s">
        <v>249</v>
      </c>
      <c r="E152" s="223" t="s">
        <v>151</v>
      </c>
      <c r="F152" s="223" t="s">
        <v>111</v>
      </c>
      <c r="G152" s="225">
        <v>1.11E-2</v>
      </c>
      <c r="H152" s="226">
        <v>180</v>
      </c>
      <c r="I152" s="226">
        <v>2</v>
      </c>
      <c r="J152" s="226">
        <v>0</v>
      </c>
      <c r="K152" s="223" t="s">
        <v>112</v>
      </c>
      <c r="L152" s="227" t="s">
        <v>65</v>
      </c>
      <c r="M152" s="226">
        <v>0</v>
      </c>
      <c r="N152" s="226">
        <v>0</v>
      </c>
      <c r="O152" s="226">
        <v>2</v>
      </c>
      <c r="P152" s="223" t="s">
        <v>230</v>
      </c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  <c r="AD152" s="226" t="s">
        <v>157</v>
      </c>
      <c r="AE152" s="219"/>
      <c r="AF152" s="219"/>
      <c r="AG152" s="219"/>
      <c r="AH152" s="219"/>
      <c r="AI152" s="219"/>
      <c r="AJ152" s="219"/>
    </row>
    <row r="153" spans="1:36" x14ac:dyDescent="0.3">
      <c r="A153" s="221" t="s">
        <v>246</v>
      </c>
      <c r="B153" s="222">
        <v>46080</v>
      </c>
      <c r="C153" s="223" t="s">
        <v>156</v>
      </c>
      <c r="D153" s="224" t="s">
        <v>250</v>
      </c>
      <c r="E153" s="223" t="s">
        <v>151</v>
      </c>
      <c r="F153" s="223" t="s">
        <v>111</v>
      </c>
      <c r="G153" s="225">
        <v>5.5599999999999997E-2</v>
      </c>
      <c r="H153" s="226">
        <v>180</v>
      </c>
      <c r="I153" s="226">
        <v>10</v>
      </c>
      <c r="J153" s="226">
        <v>0</v>
      </c>
      <c r="K153" s="223" t="s">
        <v>112</v>
      </c>
      <c r="L153" s="227" t="s">
        <v>50</v>
      </c>
      <c r="M153" s="226">
        <v>0</v>
      </c>
      <c r="N153" s="226">
        <v>0</v>
      </c>
      <c r="O153" s="226">
        <v>10</v>
      </c>
      <c r="P153" s="223" t="s">
        <v>78</v>
      </c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  <c r="AD153" s="226" t="s">
        <v>137</v>
      </c>
      <c r="AE153" s="219"/>
      <c r="AF153" s="219"/>
      <c r="AG153" s="219"/>
      <c r="AH153" s="219"/>
      <c r="AI153" s="219"/>
      <c r="AJ153" s="219"/>
    </row>
    <row r="154" spans="1:36" x14ac:dyDescent="0.3">
      <c r="A154" s="221" t="s">
        <v>113</v>
      </c>
      <c r="B154" s="222">
        <v>46081</v>
      </c>
      <c r="C154" s="223" t="s">
        <v>163</v>
      </c>
      <c r="D154" s="224" t="s">
        <v>251</v>
      </c>
      <c r="E154" s="223" t="s">
        <v>151</v>
      </c>
      <c r="F154" s="223" t="s">
        <v>111</v>
      </c>
      <c r="G154" s="225">
        <v>5.3800000000000001E-2</v>
      </c>
      <c r="H154" s="226">
        <v>186</v>
      </c>
      <c r="I154" s="226">
        <v>10</v>
      </c>
      <c r="J154" s="226">
        <v>0</v>
      </c>
      <c r="K154" s="223" t="s">
        <v>112</v>
      </c>
      <c r="L154" s="227" t="s">
        <v>193</v>
      </c>
      <c r="M154" s="226">
        <v>0</v>
      </c>
      <c r="N154" s="226">
        <v>0</v>
      </c>
      <c r="O154" s="226">
        <v>10</v>
      </c>
      <c r="P154" s="223" t="s">
        <v>78</v>
      </c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  <c r="AD154" s="226" t="s">
        <v>137</v>
      </c>
      <c r="AE154" s="219"/>
      <c r="AF154" s="219"/>
      <c r="AG154" s="219"/>
      <c r="AH154" s="219"/>
      <c r="AI154" s="219"/>
      <c r="AJ154" s="219"/>
    </row>
    <row r="155" spans="1:36" x14ac:dyDescent="0.3">
      <c r="A155" s="221" t="s">
        <v>113</v>
      </c>
      <c r="B155" s="222">
        <v>46081</v>
      </c>
      <c r="C155" s="223" t="s">
        <v>154</v>
      </c>
      <c r="D155" s="224" t="s">
        <v>242</v>
      </c>
      <c r="E155" s="223" t="s">
        <v>151</v>
      </c>
      <c r="F155" s="223" t="s">
        <v>111</v>
      </c>
      <c r="G155" s="225">
        <v>3.3300000000000003E-2</v>
      </c>
      <c r="H155" s="226">
        <v>180</v>
      </c>
      <c r="I155" s="226">
        <v>6</v>
      </c>
      <c r="J155" s="226">
        <v>0</v>
      </c>
      <c r="K155" s="223" t="s">
        <v>112</v>
      </c>
      <c r="L155" s="227" t="s">
        <v>231</v>
      </c>
      <c r="M155" s="226">
        <v>0</v>
      </c>
      <c r="N155" s="226">
        <v>0</v>
      </c>
      <c r="O155" s="226">
        <v>6</v>
      </c>
      <c r="P155" s="223" t="s">
        <v>168</v>
      </c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  <c r="AD155" s="226" t="s">
        <v>155</v>
      </c>
      <c r="AE155" s="219"/>
      <c r="AF155" s="219"/>
      <c r="AG155" s="219"/>
      <c r="AH155" s="219"/>
      <c r="AI155" s="219"/>
      <c r="AJ155" s="219"/>
    </row>
    <row r="156" spans="1:36" x14ac:dyDescent="0.3">
      <c r="A156" s="221" t="s">
        <v>113</v>
      </c>
      <c r="B156" s="222">
        <v>46081</v>
      </c>
      <c r="C156" s="223" t="s">
        <v>158</v>
      </c>
      <c r="D156" s="224" t="s">
        <v>252</v>
      </c>
      <c r="E156" s="223" t="s">
        <v>151</v>
      </c>
      <c r="F156" s="223" t="s">
        <v>111</v>
      </c>
      <c r="G156" s="225">
        <v>8.8900000000000007E-2</v>
      </c>
      <c r="H156" s="226">
        <v>180</v>
      </c>
      <c r="I156" s="226">
        <v>16</v>
      </c>
      <c r="J156" s="226">
        <v>0</v>
      </c>
      <c r="K156" s="223" t="s">
        <v>112</v>
      </c>
      <c r="L156" s="227" t="s">
        <v>170</v>
      </c>
      <c r="M156" s="226">
        <v>0</v>
      </c>
      <c r="N156" s="226">
        <v>0</v>
      </c>
      <c r="O156" s="226">
        <v>16</v>
      </c>
      <c r="P156" s="223" t="s">
        <v>168</v>
      </c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26" t="s">
        <v>161</v>
      </c>
      <c r="AD156" s="226" t="s">
        <v>137</v>
      </c>
      <c r="AE156" s="219"/>
      <c r="AF156" s="219"/>
      <c r="AG156" s="219"/>
      <c r="AH156" s="219"/>
      <c r="AI156" s="219"/>
      <c r="AJ156" s="219"/>
    </row>
    <row r="157" spans="1:36" x14ac:dyDescent="0.3">
      <c r="A157" s="221" t="s">
        <v>113</v>
      </c>
      <c r="B157" s="222">
        <v>46081</v>
      </c>
      <c r="C157" s="223" t="s">
        <v>152</v>
      </c>
      <c r="D157" s="224" t="s">
        <v>253</v>
      </c>
      <c r="E157" s="223" t="s">
        <v>151</v>
      </c>
      <c r="F157" s="223" t="s">
        <v>111</v>
      </c>
      <c r="G157" s="225">
        <v>6.6699999999999995E-2</v>
      </c>
      <c r="H157" s="226">
        <v>180</v>
      </c>
      <c r="I157" s="226">
        <v>12</v>
      </c>
      <c r="J157" s="226">
        <v>0</v>
      </c>
      <c r="K157" s="223" t="s">
        <v>112</v>
      </c>
      <c r="L157" s="227" t="s">
        <v>179</v>
      </c>
      <c r="M157" s="226">
        <v>0</v>
      </c>
      <c r="N157" s="226">
        <v>0</v>
      </c>
      <c r="O157" s="226">
        <v>12</v>
      </c>
      <c r="P157" s="223" t="s">
        <v>78</v>
      </c>
      <c r="Q157" s="219"/>
      <c r="R157" s="219"/>
      <c r="S157" s="219"/>
      <c r="T157" s="219"/>
      <c r="U157" s="219"/>
      <c r="V157" s="219"/>
      <c r="W157" s="219"/>
      <c r="X157" s="219"/>
      <c r="Y157" s="219"/>
      <c r="Z157" s="226" t="s">
        <v>146</v>
      </c>
      <c r="AA157" s="219"/>
      <c r="AB157" s="219"/>
      <c r="AC157" s="226" t="s">
        <v>147</v>
      </c>
      <c r="AD157" s="226" t="s">
        <v>137</v>
      </c>
      <c r="AE157" s="219"/>
      <c r="AF157" s="219"/>
      <c r="AG157" s="219"/>
      <c r="AH157" s="219"/>
      <c r="AI157" s="219"/>
      <c r="AJ157" s="219"/>
    </row>
    <row r="158" spans="1:36" x14ac:dyDescent="0.3">
      <c r="A158" s="221" t="s">
        <v>115</v>
      </c>
      <c r="B158" s="222">
        <v>46082</v>
      </c>
      <c r="C158" s="223" t="s">
        <v>154</v>
      </c>
      <c r="D158" s="224" t="s">
        <v>247</v>
      </c>
      <c r="E158" s="223" t="s">
        <v>151</v>
      </c>
      <c r="F158" s="223" t="s">
        <v>111</v>
      </c>
      <c r="G158" s="225">
        <v>0</v>
      </c>
      <c r="H158" s="226">
        <v>180</v>
      </c>
      <c r="I158" s="226">
        <v>0</v>
      </c>
      <c r="J158" s="226">
        <v>0</v>
      </c>
      <c r="K158" s="223" t="s">
        <v>112</v>
      </c>
      <c r="L158" s="227" t="s">
        <v>36</v>
      </c>
      <c r="M158" s="226">
        <v>0</v>
      </c>
      <c r="N158" s="226">
        <v>0</v>
      </c>
      <c r="O158" s="226">
        <v>0</v>
      </c>
      <c r="P158" s="223" t="s">
        <v>234</v>
      </c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</row>
    <row r="159" spans="1:36" x14ac:dyDescent="0.3">
      <c r="A159" s="221" t="s">
        <v>115</v>
      </c>
      <c r="B159" s="222">
        <v>46082</v>
      </c>
      <c r="C159" s="223" t="s">
        <v>164</v>
      </c>
      <c r="D159" s="224" t="s">
        <v>242</v>
      </c>
      <c r="E159" s="223" t="s">
        <v>151</v>
      </c>
      <c r="F159" s="223" t="s">
        <v>111</v>
      </c>
      <c r="G159" s="225">
        <v>0</v>
      </c>
      <c r="H159" s="226">
        <v>180</v>
      </c>
      <c r="I159" s="226">
        <v>0</v>
      </c>
      <c r="J159" s="226">
        <v>0</v>
      </c>
      <c r="K159" s="223" t="s">
        <v>112</v>
      </c>
      <c r="L159" s="227" t="s">
        <v>36</v>
      </c>
      <c r="M159" s="226">
        <v>0</v>
      </c>
      <c r="N159" s="226">
        <v>0</v>
      </c>
      <c r="O159" s="226">
        <v>0</v>
      </c>
      <c r="P159" s="223" t="s">
        <v>234</v>
      </c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</row>
    <row r="160" spans="1:36" x14ac:dyDescent="0.3">
      <c r="A160" s="221" t="s">
        <v>115</v>
      </c>
      <c r="B160" s="222">
        <v>46082</v>
      </c>
      <c r="C160" s="223" t="s">
        <v>156</v>
      </c>
      <c r="D160" s="224" t="s">
        <v>254</v>
      </c>
      <c r="E160" s="223" t="s">
        <v>151</v>
      </c>
      <c r="F160" s="223" t="s">
        <v>111</v>
      </c>
      <c r="G160" s="225">
        <v>0</v>
      </c>
      <c r="H160" s="226">
        <v>180</v>
      </c>
      <c r="I160" s="226">
        <v>0</v>
      </c>
      <c r="J160" s="226">
        <v>0</v>
      </c>
      <c r="K160" s="223" t="s">
        <v>112</v>
      </c>
      <c r="L160" s="227" t="s">
        <v>36</v>
      </c>
      <c r="M160" s="226">
        <v>0</v>
      </c>
      <c r="N160" s="226">
        <v>0</v>
      </c>
      <c r="O160" s="226">
        <v>0</v>
      </c>
      <c r="P160" s="223" t="s">
        <v>234</v>
      </c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</row>
    <row r="161" spans="1:36" x14ac:dyDescent="0.3">
      <c r="A161" s="221" t="s">
        <v>115</v>
      </c>
      <c r="B161" s="222">
        <v>46082</v>
      </c>
      <c r="C161" s="223" t="s">
        <v>158</v>
      </c>
      <c r="D161" s="224" t="s">
        <v>255</v>
      </c>
      <c r="E161" s="223" t="s">
        <v>151</v>
      </c>
      <c r="F161" s="223" t="s">
        <v>111</v>
      </c>
      <c r="G161" s="225">
        <v>0</v>
      </c>
      <c r="H161" s="226">
        <v>180</v>
      </c>
      <c r="I161" s="226">
        <v>0</v>
      </c>
      <c r="J161" s="226">
        <v>0</v>
      </c>
      <c r="K161" s="223" t="s">
        <v>112</v>
      </c>
      <c r="L161" s="227" t="s">
        <v>36</v>
      </c>
      <c r="M161" s="226">
        <v>0</v>
      </c>
      <c r="N161" s="226">
        <v>0</v>
      </c>
      <c r="O161" s="226">
        <v>0</v>
      </c>
      <c r="P161" s="223" t="s">
        <v>234</v>
      </c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</row>
    <row r="162" spans="1:36" x14ac:dyDescent="0.3">
      <c r="A162" s="221" t="s">
        <v>115</v>
      </c>
      <c r="B162" s="222">
        <v>46082</v>
      </c>
      <c r="C162" s="223" t="s">
        <v>169</v>
      </c>
      <c r="D162" s="224" t="s">
        <v>256</v>
      </c>
      <c r="E162" s="223" t="s">
        <v>151</v>
      </c>
      <c r="F162" s="223" t="s">
        <v>111</v>
      </c>
      <c r="G162" s="225">
        <v>0</v>
      </c>
      <c r="H162" s="226">
        <v>180</v>
      </c>
      <c r="I162" s="226">
        <v>0</v>
      </c>
      <c r="J162" s="226">
        <v>0</v>
      </c>
      <c r="K162" s="223" t="s">
        <v>112</v>
      </c>
      <c r="L162" s="227" t="s">
        <v>36</v>
      </c>
      <c r="M162" s="226">
        <v>0</v>
      </c>
      <c r="N162" s="226">
        <v>0</v>
      </c>
      <c r="O162" s="226">
        <v>0</v>
      </c>
      <c r="P162" s="223" t="s">
        <v>234</v>
      </c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</row>
    <row r="163" spans="1:36" ht="21" x14ac:dyDescent="0.3">
      <c r="A163" s="228" t="s">
        <v>377</v>
      </c>
      <c r="B163" s="229"/>
      <c r="C163" s="228">
        <f>SUBTOTAL(103,CAI_JED_LF_LEGACY[Flt])</f>
        <v>161</v>
      </c>
      <c r="D163" s="228"/>
      <c r="E163" s="228">
        <f>SUBTOTAL(103,CAI_JED_LF_LEGACY[Brd-Off])</f>
        <v>161</v>
      </c>
      <c r="F163" s="228"/>
      <c r="G163" s="230">
        <f>SUBTOTAL(101,CAI_JED_LF_LEGACY[LF%])</f>
        <v>3.5272670807453416E-2</v>
      </c>
      <c r="H163" s="231">
        <f>SUBTOTAL(109,CAI_JED_LF_LEGACY[CAP])</f>
        <v>29028</v>
      </c>
      <c r="I163" s="231">
        <f>SUBTOTAL(109,CAI_JED_LF_LEGACY[BKG(Y)])</f>
        <v>1023</v>
      </c>
      <c r="J163" s="231">
        <f>SUBTOTAL(109,CAI_JED_LF_LEGACY[GRP(Y)])</f>
        <v>130</v>
      </c>
      <c r="K163" s="228"/>
      <c r="L163" s="229"/>
      <c r="M163" s="231">
        <f>SUBTOTAL(109,CAI_JED_LF_LEGACY[TO-DAY])</f>
        <v>0</v>
      </c>
      <c r="N163" s="231">
        <f>SUBTOTAL(109,CAI_JED_LF_LEGACY[Y-DAY])</f>
        <v>0</v>
      </c>
      <c r="O163" s="231">
        <f>SUBTOTAL(109,CAI_JED_LF_LEGACY[WEEKLY])</f>
        <v>913</v>
      </c>
      <c r="P163" s="232"/>
      <c r="Q163" s="231">
        <f>SUBTOTAL(109,CAI_JED_LF_LEGACY[Y])</f>
        <v>0</v>
      </c>
      <c r="R163" s="231">
        <f>SUBTOTAL(109,CAI_JED_LF_LEGACY[B])</f>
        <v>0</v>
      </c>
      <c r="S163" s="231">
        <f>SUBTOTAL(109,CAI_JED_LF_LEGACY[M])</f>
        <v>0</v>
      </c>
      <c r="T163" s="231">
        <f>SUBTOTAL(109,CAI_JED_LF_LEGACY[H])</f>
        <v>0</v>
      </c>
      <c r="U163" s="231">
        <f>SUBTOTAL(109,CAI_JED_LF_LEGACY[Q])</f>
        <v>0</v>
      </c>
      <c r="V163" s="231">
        <f>SUBTOTAL(109,CAI_JED_LF_LEGACY[K])</f>
        <v>0</v>
      </c>
      <c r="W163" s="231">
        <f>SUBTOTAL(109,CAI_JED_LF_LEGACY[V])</f>
        <v>0</v>
      </c>
      <c r="X163" s="231">
        <f>SUBTOTAL(109,CAI_JED_LF_LEGACY[L])</f>
        <v>0</v>
      </c>
      <c r="Y163" s="231">
        <f>SUBTOTAL(109,CAI_JED_LF_LEGACY[G])</f>
        <v>0</v>
      </c>
      <c r="Z163" s="231">
        <f>SUBTOTAL(109,CAI_JED_LF_LEGACY[S])</f>
        <v>0</v>
      </c>
      <c r="AA163" s="231">
        <f>SUBTOTAL(109,CAI_JED_LF_LEGACY[W])</f>
        <v>0</v>
      </c>
      <c r="AB163" s="231">
        <f>SUBTOTAL(109,CAI_JED_LF_LEGACY[T])</f>
        <v>0</v>
      </c>
      <c r="AC163" s="231">
        <f>SUBTOTAL(109,CAI_JED_LF_LEGACY[X])</f>
        <v>0</v>
      </c>
      <c r="AD163" s="231">
        <f>SUBTOTAL(109,CAI_JED_LF_LEGACY[U])</f>
        <v>0</v>
      </c>
      <c r="AE163" s="231">
        <f>SUBTOTAL(109,CAI_JED_LF_LEGACY[O])</f>
        <v>0</v>
      </c>
      <c r="AF163" s="231">
        <f>SUBTOTAL(109,CAI_JED_LF_LEGACY[I])</f>
        <v>0</v>
      </c>
      <c r="AG163" s="231">
        <f>SUBTOTAL(109,CAI_JED_LF_LEGACY[E])</f>
        <v>0</v>
      </c>
      <c r="AH163" s="231">
        <f>SUBTOTAL(109,CAI_JED_LF_LEGACY[A])</f>
        <v>0</v>
      </c>
      <c r="AI163" s="231">
        <f>SUBTOTAL(109,CAI_JED_LF_LEGACY[P])</f>
        <v>0</v>
      </c>
      <c r="AJ163" s="231">
        <f>SUBTOTAL(103,CAI_JED_LF_LEGACY[N])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4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.886718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267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45984.112440659432</v>
      </c>
      <c r="H2" s="206"/>
      <c r="I2" s="206"/>
      <c r="J2" s="206"/>
      <c r="K2" s="213">
        <v>45984.112440659977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46050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6" t="s">
        <v>28</v>
      </c>
      <c r="B6" s="76" t="s">
        <v>268</v>
      </c>
      <c r="C6" s="77">
        <v>0.41319444444444442</v>
      </c>
      <c r="D6" s="76" t="s">
        <v>30</v>
      </c>
      <c r="E6" s="78"/>
      <c r="F6" s="76" t="s">
        <v>31</v>
      </c>
      <c r="G6" s="208"/>
      <c r="H6" s="166" t="s">
        <v>268</v>
      </c>
      <c r="I6" s="167">
        <v>5.5999999999999999E-3</v>
      </c>
      <c r="J6" s="168">
        <v>1</v>
      </c>
      <c r="K6" s="169" t="s">
        <v>167</v>
      </c>
      <c r="L6" s="168">
        <v>1</v>
      </c>
      <c r="M6" s="168">
        <v>0</v>
      </c>
      <c r="N6" s="168">
        <v>0</v>
      </c>
      <c r="O6" s="170" t="s">
        <v>125</v>
      </c>
      <c r="P6" s="171">
        <v>0.41319444444444442</v>
      </c>
      <c r="Q6" s="168">
        <v>179</v>
      </c>
      <c r="R6" s="172" t="s">
        <v>43</v>
      </c>
    </row>
    <row r="7" spans="1:92" ht="49.95" customHeight="1" thickBot="1" x14ac:dyDescent="0.35">
      <c r="A7" s="195" t="s">
        <v>28</v>
      </c>
      <c r="B7" s="195" t="s">
        <v>269</v>
      </c>
      <c r="C7" s="196">
        <v>0.72569444444444453</v>
      </c>
      <c r="D7" s="195" t="s">
        <v>30</v>
      </c>
      <c r="E7" s="197"/>
      <c r="F7" s="195" t="s">
        <v>31</v>
      </c>
      <c r="G7" s="218"/>
      <c r="H7" s="11" t="s">
        <v>269</v>
      </c>
      <c r="I7" s="12">
        <v>6.1499999999999999E-2</v>
      </c>
      <c r="J7" s="13">
        <v>11</v>
      </c>
      <c r="K7" s="14" t="s">
        <v>179</v>
      </c>
      <c r="L7" s="13">
        <v>11</v>
      </c>
      <c r="M7" s="13">
        <v>0</v>
      </c>
      <c r="N7" s="13">
        <v>0</v>
      </c>
      <c r="O7" s="15" t="s">
        <v>180</v>
      </c>
      <c r="P7" s="16">
        <v>0.72569444444444453</v>
      </c>
      <c r="Q7" s="13">
        <v>179</v>
      </c>
      <c r="R7" s="17" t="s">
        <v>270</v>
      </c>
    </row>
    <row r="8" spans="1:92" ht="17.399999999999999" customHeight="1" thickBot="1" x14ac:dyDescent="0.35">
      <c r="A8" s="233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5"/>
    </row>
    <row r="9" spans="1:92" ht="22.05" customHeight="1" thickTop="1" thickBot="1" x14ac:dyDescent="0.35">
      <c r="A9" s="201" t="s">
        <v>8</v>
      </c>
      <c r="B9" s="202"/>
      <c r="C9" s="202"/>
      <c r="D9" s="202"/>
      <c r="E9" s="202"/>
      <c r="F9" s="203"/>
      <c r="G9" s="18">
        <v>46051</v>
      </c>
      <c r="H9" s="209" t="s">
        <v>9</v>
      </c>
      <c r="I9" s="202"/>
      <c r="J9" s="202"/>
      <c r="K9" s="202"/>
      <c r="L9" s="202"/>
      <c r="M9" s="202"/>
      <c r="N9" s="202"/>
      <c r="O9" s="202"/>
      <c r="P9" s="202"/>
      <c r="Q9" s="202"/>
      <c r="R9" s="203"/>
    </row>
    <row r="10" spans="1:92" ht="24" customHeight="1" x14ac:dyDescent="0.3">
      <c r="A10" s="19" t="s">
        <v>10</v>
      </c>
      <c r="B10" s="19" t="s">
        <v>11</v>
      </c>
      <c r="C10" s="20" t="s">
        <v>12</v>
      </c>
      <c r="D10" s="19" t="s">
        <v>13</v>
      </c>
      <c r="E10" s="19" t="s">
        <v>14</v>
      </c>
      <c r="F10" s="21" t="s">
        <v>15</v>
      </c>
      <c r="G10" s="22" t="s">
        <v>16</v>
      </c>
      <c r="H10" s="19" t="s">
        <v>17</v>
      </c>
      <c r="I10" s="23" t="s">
        <v>18</v>
      </c>
      <c r="J10" s="24" t="s">
        <v>19</v>
      </c>
      <c r="K10" s="25" t="s">
        <v>20</v>
      </c>
      <c r="L10" s="24" t="s">
        <v>21</v>
      </c>
      <c r="M10" s="24" t="s">
        <v>22</v>
      </c>
      <c r="N10" s="24" t="s">
        <v>23</v>
      </c>
      <c r="O10" s="19" t="s">
        <v>24</v>
      </c>
      <c r="P10" s="20" t="s">
        <v>25</v>
      </c>
      <c r="Q10" s="24" t="s">
        <v>26</v>
      </c>
      <c r="R10" s="19" t="s">
        <v>27</v>
      </c>
    </row>
    <row r="11" spans="1:92" ht="49.95" customHeight="1" thickTop="1" thickBot="1" x14ac:dyDescent="0.35">
      <c r="A11" s="76" t="s">
        <v>28</v>
      </c>
      <c r="B11" s="76" t="s">
        <v>268</v>
      </c>
      <c r="C11" s="77">
        <v>0.41319444444444442</v>
      </c>
      <c r="D11" s="76" t="s">
        <v>30</v>
      </c>
      <c r="E11" s="78"/>
      <c r="F11" s="76" t="s">
        <v>31</v>
      </c>
      <c r="G11" s="208"/>
      <c r="H11" s="79" t="s">
        <v>268</v>
      </c>
      <c r="I11" s="80">
        <v>1.6799999999999999E-2</v>
      </c>
      <c r="J11" s="81">
        <v>3</v>
      </c>
      <c r="K11" s="82" t="s">
        <v>178</v>
      </c>
      <c r="L11" s="81">
        <v>3</v>
      </c>
      <c r="M11" s="81">
        <v>0</v>
      </c>
      <c r="N11" s="81">
        <v>0</v>
      </c>
      <c r="O11" s="83" t="s">
        <v>140</v>
      </c>
      <c r="P11" s="84">
        <v>0.41319444444444442</v>
      </c>
      <c r="Q11" s="81">
        <v>179</v>
      </c>
      <c r="R11" s="85" t="s">
        <v>123</v>
      </c>
    </row>
    <row r="12" spans="1:92" ht="17.399999999999999" customHeight="1" thickBot="1" x14ac:dyDescent="0.35">
      <c r="A12" s="233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5"/>
    </row>
    <row r="13" spans="1:92" ht="22.05" customHeight="1" thickTop="1" thickBot="1" x14ac:dyDescent="0.35">
      <c r="A13" s="201" t="s">
        <v>8</v>
      </c>
      <c r="B13" s="202"/>
      <c r="C13" s="202"/>
      <c r="D13" s="202"/>
      <c r="E13" s="202"/>
      <c r="F13" s="203"/>
      <c r="G13" s="18">
        <v>46052</v>
      </c>
      <c r="H13" s="209" t="s">
        <v>9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3"/>
    </row>
    <row r="14" spans="1:92" ht="24" customHeight="1" x14ac:dyDescent="0.3">
      <c r="A14" s="19" t="s">
        <v>10</v>
      </c>
      <c r="B14" s="19" t="s">
        <v>11</v>
      </c>
      <c r="C14" s="20" t="s">
        <v>12</v>
      </c>
      <c r="D14" s="19" t="s">
        <v>13</v>
      </c>
      <c r="E14" s="19" t="s">
        <v>14</v>
      </c>
      <c r="F14" s="21" t="s">
        <v>15</v>
      </c>
      <c r="G14" s="22" t="s">
        <v>16</v>
      </c>
      <c r="H14" s="19" t="s">
        <v>17</v>
      </c>
      <c r="I14" s="23" t="s">
        <v>18</v>
      </c>
      <c r="J14" s="24" t="s">
        <v>19</v>
      </c>
      <c r="K14" s="25" t="s">
        <v>20</v>
      </c>
      <c r="L14" s="24" t="s">
        <v>21</v>
      </c>
      <c r="M14" s="24" t="s">
        <v>22</v>
      </c>
      <c r="N14" s="24" t="s">
        <v>23</v>
      </c>
      <c r="O14" s="19" t="s">
        <v>24</v>
      </c>
      <c r="P14" s="20" t="s">
        <v>25</v>
      </c>
      <c r="Q14" s="24" t="s">
        <v>26</v>
      </c>
      <c r="R14" s="19" t="s">
        <v>27</v>
      </c>
    </row>
    <row r="15" spans="1:92" ht="49.95" customHeight="1" x14ac:dyDescent="0.3">
      <c r="A15" s="87" t="s">
        <v>28</v>
      </c>
      <c r="B15" s="87" t="s">
        <v>268</v>
      </c>
      <c r="C15" s="88">
        <v>0.40625</v>
      </c>
      <c r="D15" s="87" t="s">
        <v>30</v>
      </c>
      <c r="E15" s="89"/>
      <c r="F15" s="87" t="s">
        <v>31</v>
      </c>
      <c r="G15" s="208"/>
      <c r="H15" s="153" t="s">
        <v>268</v>
      </c>
      <c r="I15" s="154">
        <v>1.6799999999999999E-2</v>
      </c>
      <c r="J15" s="155">
        <v>3</v>
      </c>
      <c r="K15" s="156" t="s">
        <v>46</v>
      </c>
      <c r="L15" s="155">
        <v>3</v>
      </c>
      <c r="M15" s="155">
        <v>0</v>
      </c>
      <c r="N15" s="155">
        <v>0</v>
      </c>
      <c r="O15" s="157" t="s">
        <v>140</v>
      </c>
      <c r="P15" s="158">
        <v>0.40625</v>
      </c>
      <c r="Q15" s="155">
        <v>179</v>
      </c>
      <c r="R15" s="159" t="s">
        <v>123</v>
      </c>
    </row>
    <row r="16" spans="1:92" ht="49.95" customHeight="1" thickBot="1" x14ac:dyDescent="0.35">
      <c r="A16" s="192" t="s">
        <v>28</v>
      </c>
      <c r="B16" s="192" t="s">
        <v>269</v>
      </c>
      <c r="C16" s="193">
        <v>0.72569444444444453</v>
      </c>
      <c r="D16" s="192" t="s">
        <v>30</v>
      </c>
      <c r="E16" s="194"/>
      <c r="F16" s="192" t="s">
        <v>31</v>
      </c>
      <c r="G16" s="218"/>
      <c r="H16" s="49" t="s">
        <v>269</v>
      </c>
      <c r="I16" s="50">
        <v>6.1499999999999999E-2</v>
      </c>
      <c r="J16" s="51">
        <v>11</v>
      </c>
      <c r="K16" s="52" t="s">
        <v>65</v>
      </c>
      <c r="L16" s="51">
        <v>11</v>
      </c>
      <c r="M16" s="51">
        <v>0</v>
      </c>
      <c r="N16" s="51">
        <v>0</v>
      </c>
      <c r="O16" s="53" t="s">
        <v>180</v>
      </c>
      <c r="P16" s="54">
        <v>0.72569444444444453</v>
      </c>
      <c r="Q16" s="51">
        <v>179</v>
      </c>
      <c r="R16" s="55" t="s">
        <v>271</v>
      </c>
    </row>
    <row r="17" spans="1:18" ht="17.399999999999999" customHeight="1" thickBot="1" x14ac:dyDescent="0.35">
      <c r="A17" s="233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5"/>
    </row>
    <row r="18" spans="1:18" ht="22.05" customHeight="1" thickTop="1" thickBot="1" x14ac:dyDescent="0.35">
      <c r="A18" s="201" t="s">
        <v>8</v>
      </c>
      <c r="B18" s="202"/>
      <c r="C18" s="202"/>
      <c r="D18" s="202"/>
      <c r="E18" s="202"/>
      <c r="F18" s="203"/>
      <c r="G18" s="18">
        <v>46053</v>
      </c>
      <c r="H18" s="209" t="s">
        <v>9</v>
      </c>
      <c r="I18" s="202"/>
      <c r="J18" s="202"/>
      <c r="K18" s="202"/>
      <c r="L18" s="202"/>
      <c r="M18" s="202"/>
      <c r="N18" s="202"/>
      <c r="O18" s="202"/>
      <c r="P18" s="202"/>
      <c r="Q18" s="202"/>
      <c r="R18" s="203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thickTop="1" thickBot="1" x14ac:dyDescent="0.35">
      <c r="A20" s="56" t="s">
        <v>28</v>
      </c>
      <c r="B20" s="56" t="s">
        <v>268</v>
      </c>
      <c r="C20" s="57">
        <v>0.41319444444444442</v>
      </c>
      <c r="D20" s="56" t="s">
        <v>30</v>
      </c>
      <c r="E20" s="58"/>
      <c r="F20" s="56" t="s">
        <v>31</v>
      </c>
      <c r="G20" s="208"/>
      <c r="H20" s="59" t="s">
        <v>268</v>
      </c>
      <c r="I20" s="60">
        <v>5.5899999999999998E-2</v>
      </c>
      <c r="J20" s="61">
        <v>10</v>
      </c>
      <c r="K20" s="62" t="s">
        <v>178</v>
      </c>
      <c r="L20" s="61">
        <v>10</v>
      </c>
      <c r="M20" s="61">
        <v>0</v>
      </c>
      <c r="N20" s="61">
        <v>0</v>
      </c>
      <c r="O20" s="63" t="s">
        <v>56</v>
      </c>
      <c r="P20" s="64">
        <v>0.41319444444444442</v>
      </c>
      <c r="Q20" s="61">
        <v>179</v>
      </c>
      <c r="R20" s="65" t="s">
        <v>272</v>
      </c>
    </row>
    <row r="21" spans="1:18" ht="17.399999999999999" customHeight="1" thickBot="1" x14ac:dyDescent="0.35">
      <c r="A21" s="233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5"/>
    </row>
    <row r="22" spans="1:18" ht="22.05" customHeight="1" thickTop="1" thickBot="1" x14ac:dyDescent="0.35">
      <c r="A22" s="201" t="s">
        <v>8</v>
      </c>
      <c r="B22" s="202"/>
      <c r="C22" s="202"/>
      <c r="D22" s="202"/>
      <c r="E22" s="202"/>
      <c r="F22" s="203"/>
      <c r="G22" s="18">
        <v>46054</v>
      </c>
      <c r="H22" s="209" t="s">
        <v>9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3"/>
    </row>
    <row r="23" spans="1:18" ht="24" customHeight="1" x14ac:dyDescent="0.3">
      <c r="A23" s="19" t="s">
        <v>10</v>
      </c>
      <c r="B23" s="19" t="s">
        <v>11</v>
      </c>
      <c r="C23" s="20" t="s">
        <v>12</v>
      </c>
      <c r="D23" s="19" t="s">
        <v>13</v>
      </c>
      <c r="E23" s="19" t="s">
        <v>14</v>
      </c>
      <c r="F23" s="21" t="s">
        <v>15</v>
      </c>
      <c r="G23" s="22" t="s">
        <v>16</v>
      </c>
      <c r="H23" s="19" t="s">
        <v>17</v>
      </c>
      <c r="I23" s="23" t="s">
        <v>18</v>
      </c>
      <c r="J23" s="24" t="s">
        <v>19</v>
      </c>
      <c r="K23" s="25" t="s">
        <v>20</v>
      </c>
      <c r="L23" s="24" t="s">
        <v>21</v>
      </c>
      <c r="M23" s="24" t="s">
        <v>22</v>
      </c>
      <c r="N23" s="24" t="s">
        <v>23</v>
      </c>
      <c r="O23" s="19" t="s">
        <v>24</v>
      </c>
      <c r="P23" s="20" t="s">
        <v>25</v>
      </c>
      <c r="Q23" s="24" t="s">
        <v>26</v>
      </c>
      <c r="R23" s="19" t="s">
        <v>27</v>
      </c>
    </row>
    <row r="24" spans="1:18" ht="49.95" customHeight="1" thickTop="1" thickBot="1" x14ac:dyDescent="0.35">
      <c r="A24" s="66" t="s">
        <v>28</v>
      </c>
      <c r="B24" s="66" t="s">
        <v>268</v>
      </c>
      <c r="C24" s="67">
        <v>0.42708333333333331</v>
      </c>
      <c r="D24" s="66" t="s">
        <v>30</v>
      </c>
      <c r="E24" s="68"/>
      <c r="F24" s="66" t="s">
        <v>31</v>
      </c>
      <c r="G24" s="208"/>
      <c r="H24" s="69" t="s">
        <v>268</v>
      </c>
      <c r="I24" s="70">
        <v>1.6799999999999999E-2</v>
      </c>
      <c r="J24" s="71">
        <v>3</v>
      </c>
      <c r="K24" s="72" t="s">
        <v>273</v>
      </c>
      <c r="L24" s="71">
        <v>3</v>
      </c>
      <c r="M24" s="71">
        <v>0</v>
      </c>
      <c r="N24" s="71">
        <v>0</v>
      </c>
      <c r="O24" s="73" t="s">
        <v>140</v>
      </c>
      <c r="P24" s="74">
        <v>0.42708333333333331</v>
      </c>
      <c r="Q24" s="71">
        <v>179</v>
      </c>
      <c r="R24" s="75" t="s">
        <v>274</v>
      </c>
    </row>
    <row r="25" spans="1:18" ht="17.399999999999999" customHeight="1" thickBot="1" x14ac:dyDescent="0.35">
      <c r="A25" s="233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5"/>
    </row>
    <row r="26" spans="1:18" ht="22.05" customHeight="1" thickTop="1" thickBot="1" x14ac:dyDescent="0.35">
      <c r="A26" s="201" t="s">
        <v>8</v>
      </c>
      <c r="B26" s="202"/>
      <c r="C26" s="202"/>
      <c r="D26" s="202"/>
      <c r="E26" s="202"/>
      <c r="F26" s="203"/>
      <c r="G26" s="18">
        <v>46055</v>
      </c>
      <c r="H26" s="209" t="s">
        <v>9</v>
      </c>
      <c r="I26" s="202"/>
      <c r="J26" s="202"/>
      <c r="K26" s="202"/>
      <c r="L26" s="202"/>
      <c r="M26" s="202"/>
      <c r="N26" s="202"/>
      <c r="O26" s="202"/>
      <c r="P26" s="202"/>
      <c r="Q26" s="202"/>
      <c r="R26" s="203"/>
    </row>
    <row r="27" spans="1:18" ht="24" customHeight="1" x14ac:dyDescent="0.3">
      <c r="A27" s="19" t="s">
        <v>10</v>
      </c>
      <c r="B27" s="19" t="s">
        <v>11</v>
      </c>
      <c r="C27" s="20" t="s">
        <v>12</v>
      </c>
      <c r="D27" s="19" t="s">
        <v>13</v>
      </c>
      <c r="E27" s="19" t="s">
        <v>14</v>
      </c>
      <c r="F27" s="21" t="s">
        <v>15</v>
      </c>
      <c r="G27" s="22" t="s">
        <v>16</v>
      </c>
      <c r="H27" s="19" t="s">
        <v>17</v>
      </c>
      <c r="I27" s="23" t="s">
        <v>18</v>
      </c>
      <c r="J27" s="24" t="s">
        <v>19</v>
      </c>
      <c r="K27" s="25" t="s">
        <v>20</v>
      </c>
      <c r="L27" s="24" t="s">
        <v>21</v>
      </c>
      <c r="M27" s="24" t="s">
        <v>22</v>
      </c>
      <c r="N27" s="24" t="s">
        <v>23</v>
      </c>
      <c r="O27" s="19" t="s">
        <v>24</v>
      </c>
      <c r="P27" s="20" t="s">
        <v>25</v>
      </c>
      <c r="Q27" s="24" t="s">
        <v>26</v>
      </c>
      <c r="R27" s="19" t="s">
        <v>27</v>
      </c>
    </row>
    <row r="28" spans="1:18" ht="49.95" customHeight="1" thickTop="1" thickBot="1" x14ac:dyDescent="0.35">
      <c r="A28" s="26" t="s">
        <v>28</v>
      </c>
      <c r="B28" s="26" t="s">
        <v>269</v>
      </c>
      <c r="C28" s="27">
        <v>0.72569444444444453</v>
      </c>
      <c r="D28" s="26" t="s">
        <v>30</v>
      </c>
      <c r="E28" s="28"/>
      <c r="F28" s="26" t="s">
        <v>31</v>
      </c>
      <c r="G28" s="208"/>
      <c r="H28" s="29" t="s">
        <v>269</v>
      </c>
      <c r="I28" s="30">
        <v>5.5999999999999999E-3</v>
      </c>
      <c r="J28" s="31">
        <v>1</v>
      </c>
      <c r="K28" s="32" t="s">
        <v>41</v>
      </c>
      <c r="L28" s="31">
        <v>1</v>
      </c>
      <c r="M28" s="31">
        <v>0</v>
      </c>
      <c r="N28" s="31">
        <v>0</v>
      </c>
      <c r="O28" s="33" t="s">
        <v>125</v>
      </c>
      <c r="P28" s="34">
        <v>0.72569444444444453</v>
      </c>
      <c r="Q28" s="31">
        <v>179</v>
      </c>
      <c r="R28" s="35" t="s">
        <v>43</v>
      </c>
    </row>
    <row r="29" spans="1:18" ht="17.399999999999999" customHeight="1" thickBot="1" x14ac:dyDescent="0.35">
      <c r="A29" s="233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5"/>
    </row>
    <row r="30" spans="1:18" ht="22.05" customHeight="1" thickTop="1" thickBot="1" x14ac:dyDescent="0.35">
      <c r="A30" s="201" t="s">
        <v>8</v>
      </c>
      <c r="B30" s="202"/>
      <c r="C30" s="202"/>
      <c r="D30" s="202"/>
      <c r="E30" s="202"/>
      <c r="F30" s="203"/>
      <c r="G30" s="18">
        <v>46056</v>
      </c>
      <c r="H30" s="209" t="s">
        <v>9</v>
      </c>
      <c r="I30" s="202"/>
      <c r="J30" s="202"/>
      <c r="K30" s="202"/>
      <c r="L30" s="202"/>
      <c r="M30" s="202"/>
      <c r="N30" s="202"/>
      <c r="O30" s="202"/>
      <c r="P30" s="202"/>
      <c r="Q30" s="202"/>
      <c r="R30" s="203"/>
    </row>
    <row r="31" spans="1:18" ht="24" customHeight="1" x14ac:dyDescent="0.3">
      <c r="A31" s="19" t="s">
        <v>10</v>
      </c>
      <c r="B31" s="19" t="s">
        <v>11</v>
      </c>
      <c r="C31" s="20" t="s">
        <v>12</v>
      </c>
      <c r="D31" s="19" t="s">
        <v>13</v>
      </c>
      <c r="E31" s="19" t="s">
        <v>14</v>
      </c>
      <c r="F31" s="21" t="s">
        <v>15</v>
      </c>
      <c r="G31" s="22" t="s">
        <v>16</v>
      </c>
      <c r="H31" s="19" t="s">
        <v>17</v>
      </c>
      <c r="I31" s="23" t="s">
        <v>18</v>
      </c>
      <c r="J31" s="24" t="s">
        <v>19</v>
      </c>
      <c r="K31" s="25" t="s">
        <v>20</v>
      </c>
      <c r="L31" s="24" t="s">
        <v>21</v>
      </c>
      <c r="M31" s="24" t="s">
        <v>22</v>
      </c>
      <c r="N31" s="24" t="s">
        <v>23</v>
      </c>
      <c r="O31" s="19" t="s">
        <v>24</v>
      </c>
      <c r="P31" s="20" t="s">
        <v>25</v>
      </c>
      <c r="Q31" s="24" t="s">
        <v>26</v>
      </c>
      <c r="R31" s="19" t="s">
        <v>27</v>
      </c>
    </row>
    <row r="32" spans="1:18" ht="49.95" customHeight="1" thickTop="1" thickBot="1" x14ac:dyDescent="0.5">
      <c r="A32" s="87" t="s">
        <v>28</v>
      </c>
      <c r="B32" s="87" t="s">
        <v>269</v>
      </c>
      <c r="C32" s="88">
        <v>0.71527777777777779</v>
      </c>
      <c r="D32" s="87" t="s">
        <v>30</v>
      </c>
      <c r="E32" s="89"/>
      <c r="F32" s="87" t="s">
        <v>31</v>
      </c>
      <c r="G32" s="204"/>
      <c r="H32" s="90" t="s">
        <v>269</v>
      </c>
      <c r="I32" s="91">
        <v>5.5999999999999999E-3</v>
      </c>
      <c r="J32" s="92">
        <v>1</v>
      </c>
      <c r="K32" s="93" t="s">
        <v>275</v>
      </c>
      <c r="L32" s="92">
        <v>1</v>
      </c>
      <c r="M32" s="92">
        <v>0</v>
      </c>
      <c r="N32" s="92">
        <v>0</v>
      </c>
      <c r="O32" s="94" t="s">
        <v>125</v>
      </c>
      <c r="P32" s="95">
        <v>0.71527777777777779</v>
      </c>
      <c r="Q32" s="92">
        <v>179</v>
      </c>
      <c r="R32" s="96" t="s">
        <v>124</v>
      </c>
    </row>
    <row r="33" spans="1:18" ht="17.399999999999999" customHeight="1" thickBot="1" x14ac:dyDescent="0.35">
      <c r="A33" s="233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5"/>
    </row>
    <row r="34" spans="1:18" ht="22.05" customHeight="1" thickTop="1" thickBot="1" x14ac:dyDescent="0.35">
      <c r="A34" s="201" t="s">
        <v>8</v>
      </c>
      <c r="B34" s="202"/>
      <c r="C34" s="202"/>
      <c r="D34" s="202"/>
      <c r="E34" s="202"/>
      <c r="F34" s="203"/>
      <c r="G34" s="18">
        <v>46057</v>
      </c>
      <c r="H34" s="209" t="s">
        <v>9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3"/>
    </row>
    <row r="35" spans="1:18" ht="24" customHeight="1" x14ac:dyDescent="0.3">
      <c r="A35" s="19" t="s">
        <v>10</v>
      </c>
      <c r="B35" s="19" t="s">
        <v>11</v>
      </c>
      <c r="C35" s="20" t="s">
        <v>12</v>
      </c>
      <c r="D35" s="19" t="s">
        <v>13</v>
      </c>
      <c r="E35" s="19" t="s">
        <v>14</v>
      </c>
      <c r="F35" s="21" t="s">
        <v>15</v>
      </c>
      <c r="G35" s="22" t="s">
        <v>16</v>
      </c>
      <c r="H35" s="19" t="s">
        <v>17</v>
      </c>
      <c r="I35" s="23" t="s">
        <v>18</v>
      </c>
      <c r="J35" s="24" t="s">
        <v>19</v>
      </c>
      <c r="K35" s="25" t="s">
        <v>20</v>
      </c>
      <c r="L35" s="24" t="s">
        <v>21</v>
      </c>
      <c r="M35" s="24" t="s">
        <v>22</v>
      </c>
      <c r="N35" s="24" t="s">
        <v>23</v>
      </c>
      <c r="O35" s="19" t="s">
        <v>24</v>
      </c>
      <c r="P35" s="20" t="s">
        <v>25</v>
      </c>
      <c r="Q35" s="24" t="s">
        <v>26</v>
      </c>
      <c r="R35" s="19" t="s">
        <v>27</v>
      </c>
    </row>
    <row r="36" spans="1:18" ht="49.95" customHeight="1" x14ac:dyDescent="0.3">
      <c r="A36" s="66" t="s">
        <v>28</v>
      </c>
      <c r="B36" s="66" t="s">
        <v>268</v>
      </c>
      <c r="C36" s="67">
        <v>0.41319444444444442</v>
      </c>
      <c r="D36" s="66" t="s">
        <v>30</v>
      </c>
      <c r="E36" s="68"/>
      <c r="F36" s="66" t="s">
        <v>35</v>
      </c>
      <c r="G36" s="208"/>
      <c r="H36" s="117" t="s">
        <v>268</v>
      </c>
      <c r="I36" s="118">
        <v>0</v>
      </c>
      <c r="J36" s="119">
        <v>0</v>
      </c>
      <c r="K36" s="120" t="s">
        <v>36</v>
      </c>
      <c r="L36" s="119">
        <v>0</v>
      </c>
      <c r="M36" s="119">
        <v>0</v>
      </c>
      <c r="N36" s="119">
        <v>0</v>
      </c>
      <c r="O36" s="121" t="s">
        <v>276</v>
      </c>
      <c r="P36" s="122">
        <v>0.41319444444444442</v>
      </c>
      <c r="Q36" s="119">
        <v>179</v>
      </c>
      <c r="R36" s="123" t="s">
        <v>36</v>
      </c>
    </row>
    <row r="37" spans="1:18" ht="49.95" customHeight="1" thickBot="1" x14ac:dyDescent="0.35">
      <c r="A37" s="198" t="s">
        <v>28</v>
      </c>
      <c r="B37" s="198" t="s">
        <v>269</v>
      </c>
      <c r="C37" s="199">
        <v>0.72569444444444453</v>
      </c>
      <c r="D37" s="198" t="s">
        <v>30</v>
      </c>
      <c r="E37" s="200"/>
      <c r="F37" s="198" t="s">
        <v>31</v>
      </c>
      <c r="G37" s="218"/>
      <c r="H37" s="39" t="s">
        <v>269</v>
      </c>
      <c r="I37" s="40">
        <v>2.23E-2</v>
      </c>
      <c r="J37" s="41">
        <v>4</v>
      </c>
      <c r="K37" s="42" t="s">
        <v>179</v>
      </c>
      <c r="L37" s="41">
        <v>4</v>
      </c>
      <c r="M37" s="41">
        <v>0</v>
      </c>
      <c r="N37" s="41">
        <v>0</v>
      </c>
      <c r="O37" s="43" t="s">
        <v>123</v>
      </c>
      <c r="P37" s="44">
        <v>0.72569444444444453</v>
      </c>
      <c r="Q37" s="41">
        <v>179</v>
      </c>
      <c r="R37" s="45" t="s">
        <v>277</v>
      </c>
    </row>
    <row r="38" spans="1:18" ht="17.399999999999999" customHeight="1" thickBot="1" x14ac:dyDescent="0.3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5"/>
    </row>
    <row r="39" spans="1:18" ht="22.05" customHeight="1" thickTop="1" thickBot="1" x14ac:dyDescent="0.35">
      <c r="A39" s="201" t="s">
        <v>8</v>
      </c>
      <c r="B39" s="202"/>
      <c r="C39" s="202"/>
      <c r="D39" s="202"/>
      <c r="E39" s="202"/>
      <c r="F39" s="203"/>
      <c r="G39" s="18">
        <v>46058</v>
      </c>
      <c r="H39" s="209" t="s">
        <v>9</v>
      </c>
      <c r="I39" s="202"/>
      <c r="J39" s="202"/>
      <c r="K39" s="202"/>
      <c r="L39" s="202"/>
      <c r="M39" s="202"/>
      <c r="N39" s="202"/>
      <c r="O39" s="202"/>
      <c r="P39" s="202"/>
      <c r="Q39" s="202"/>
      <c r="R39" s="203"/>
    </row>
    <row r="40" spans="1:18" ht="24" customHeight="1" x14ac:dyDescent="0.3">
      <c r="A40" s="19" t="s">
        <v>10</v>
      </c>
      <c r="B40" s="19" t="s">
        <v>11</v>
      </c>
      <c r="C40" s="20" t="s">
        <v>12</v>
      </c>
      <c r="D40" s="19" t="s">
        <v>13</v>
      </c>
      <c r="E40" s="19" t="s">
        <v>14</v>
      </c>
      <c r="F40" s="21" t="s">
        <v>15</v>
      </c>
      <c r="G40" s="22" t="s">
        <v>16</v>
      </c>
      <c r="H40" s="19" t="s">
        <v>17</v>
      </c>
      <c r="I40" s="23" t="s">
        <v>18</v>
      </c>
      <c r="J40" s="24" t="s">
        <v>19</v>
      </c>
      <c r="K40" s="25" t="s">
        <v>20</v>
      </c>
      <c r="L40" s="24" t="s">
        <v>21</v>
      </c>
      <c r="M40" s="24" t="s">
        <v>22</v>
      </c>
      <c r="N40" s="24" t="s">
        <v>23</v>
      </c>
      <c r="O40" s="19" t="s">
        <v>24</v>
      </c>
      <c r="P40" s="20" t="s">
        <v>25</v>
      </c>
      <c r="Q40" s="24" t="s">
        <v>26</v>
      </c>
      <c r="R40" s="19" t="s">
        <v>27</v>
      </c>
    </row>
    <row r="41" spans="1:18" ht="49.95" customHeight="1" thickTop="1" thickBot="1" x14ac:dyDescent="0.35">
      <c r="A41" s="87" t="s">
        <v>28</v>
      </c>
      <c r="B41" s="87" t="s">
        <v>268</v>
      </c>
      <c r="C41" s="88">
        <v>0.41319444444444442</v>
      </c>
      <c r="D41" s="87" t="s">
        <v>30</v>
      </c>
      <c r="E41" s="89"/>
      <c r="F41" s="87" t="s">
        <v>31</v>
      </c>
      <c r="G41" s="208"/>
      <c r="H41" s="90" t="s">
        <v>268</v>
      </c>
      <c r="I41" s="91">
        <v>1.12E-2</v>
      </c>
      <c r="J41" s="92">
        <v>2</v>
      </c>
      <c r="K41" s="93" t="s">
        <v>165</v>
      </c>
      <c r="L41" s="92">
        <v>2</v>
      </c>
      <c r="M41" s="92">
        <v>0</v>
      </c>
      <c r="N41" s="92">
        <v>0</v>
      </c>
      <c r="O41" s="94" t="s">
        <v>278</v>
      </c>
      <c r="P41" s="95">
        <v>0.41319444444444442</v>
      </c>
      <c r="Q41" s="92">
        <v>179</v>
      </c>
      <c r="R41" s="96" t="s">
        <v>279</v>
      </c>
    </row>
    <row r="42" spans="1:18" ht="17.399999999999999" customHeight="1" thickBot="1" x14ac:dyDescent="0.35">
      <c r="A42" s="233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5"/>
    </row>
    <row r="43" spans="1:18" ht="22.05" customHeight="1" thickTop="1" thickBot="1" x14ac:dyDescent="0.35">
      <c r="A43" s="201" t="s">
        <v>8</v>
      </c>
      <c r="B43" s="202"/>
      <c r="C43" s="202"/>
      <c r="D43" s="202"/>
      <c r="E43" s="202"/>
      <c r="F43" s="203"/>
      <c r="G43" s="18">
        <v>46059</v>
      </c>
      <c r="H43" s="209" t="s">
        <v>9</v>
      </c>
      <c r="I43" s="202"/>
      <c r="J43" s="202"/>
      <c r="K43" s="202"/>
      <c r="L43" s="202"/>
      <c r="M43" s="202"/>
      <c r="N43" s="202"/>
      <c r="O43" s="202"/>
      <c r="P43" s="202"/>
      <c r="Q43" s="202"/>
      <c r="R43" s="203"/>
    </row>
    <row r="44" spans="1:18" ht="24" customHeight="1" x14ac:dyDescent="0.3">
      <c r="A44" s="19" t="s">
        <v>10</v>
      </c>
      <c r="B44" s="19" t="s">
        <v>11</v>
      </c>
      <c r="C44" s="20" t="s">
        <v>12</v>
      </c>
      <c r="D44" s="19" t="s">
        <v>13</v>
      </c>
      <c r="E44" s="19" t="s">
        <v>14</v>
      </c>
      <c r="F44" s="21" t="s">
        <v>15</v>
      </c>
      <c r="G44" s="22" t="s">
        <v>16</v>
      </c>
      <c r="H44" s="19" t="s">
        <v>17</v>
      </c>
      <c r="I44" s="23" t="s">
        <v>18</v>
      </c>
      <c r="J44" s="24" t="s">
        <v>19</v>
      </c>
      <c r="K44" s="25" t="s">
        <v>20</v>
      </c>
      <c r="L44" s="24" t="s">
        <v>21</v>
      </c>
      <c r="M44" s="24" t="s">
        <v>22</v>
      </c>
      <c r="N44" s="24" t="s">
        <v>23</v>
      </c>
      <c r="O44" s="19" t="s">
        <v>24</v>
      </c>
      <c r="P44" s="20" t="s">
        <v>25</v>
      </c>
      <c r="Q44" s="24" t="s">
        <v>26</v>
      </c>
      <c r="R44" s="19" t="s">
        <v>27</v>
      </c>
    </row>
    <row r="45" spans="1:18" ht="49.95" customHeight="1" x14ac:dyDescent="0.3">
      <c r="A45" s="36" t="s">
        <v>28</v>
      </c>
      <c r="B45" s="36" t="s">
        <v>268</v>
      </c>
      <c r="C45" s="37">
        <v>0.40625</v>
      </c>
      <c r="D45" s="36" t="s">
        <v>30</v>
      </c>
      <c r="E45" s="38"/>
      <c r="F45" s="36" t="s">
        <v>35</v>
      </c>
      <c r="G45" s="208"/>
      <c r="H45" s="143" t="s">
        <v>268</v>
      </c>
      <c r="I45" s="144">
        <v>0</v>
      </c>
      <c r="J45" s="145">
        <v>0</v>
      </c>
      <c r="K45" s="146" t="s">
        <v>36</v>
      </c>
      <c r="L45" s="145">
        <v>0</v>
      </c>
      <c r="M45" s="145">
        <v>0</v>
      </c>
      <c r="N45" s="145">
        <v>0</v>
      </c>
      <c r="O45" s="147" t="s">
        <v>276</v>
      </c>
      <c r="P45" s="148">
        <v>0.40625</v>
      </c>
      <c r="Q45" s="145">
        <v>179</v>
      </c>
      <c r="R45" s="149" t="s">
        <v>36</v>
      </c>
    </row>
    <row r="46" spans="1:18" ht="49.95" customHeight="1" thickBot="1" x14ac:dyDescent="0.35">
      <c r="A46" s="195" t="s">
        <v>28</v>
      </c>
      <c r="B46" s="195" t="s">
        <v>269</v>
      </c>
      <c r="C46" s="196">
        <v>0.72569444444444453</v>
      </c>
      <c r="D46" s="195" t="s">
        <v>30</v>
      </c>
      <c r="E46" s="197"/>
      <c r="F46" s="195" t="s">
        <v>31</v>
      </c>
      <c r="G46" s="218"/>
      <c r="H46" s="11" t="s">
        <v>269</v>
      </c>
      <c r="I46" s="12">
        <v>2.23E-2</v>
      </c>
      <c r="J46" s="13">
        <v>4</v>
      </c>
      <c r="K46" s="14" t="s">
        <v>179</v>
      </c>
      <c r="L46" s="13">
        <v>4</v>
      </c>
      <c r="M46" s="13">
        <v>0</v>
      </c>
      <c r="N46" s="13">
        <v>0</v>
      </c>
      <c r="O46" s="15" t="s">
        <v>123</v>
      </c>
      <c r="P46" s="16">
        <v>0.72569444444444453</v>
      </c>
      <c r="Q46" s="13">
        <v>179</v>
      </c>
      <c r="R46" s="17" t="s">
        <v>140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46060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76" t="s">
        <v>28</v>
      </c>
      <c r="B50" s="76" t="s">
        <v>268</v>
      </c>
      <c r="C50" s="77">
        <v>0.41319444444444442</v>
      </c>
      <c r="D50" s="76" t="s">
        <v>30</v>
      </c>
      <c r="E50" s="78"/>
      <c r="F50" s="76" t="s">
        <v>31</v>
      </c>
      <c r="G50" s="208"/>
      <c r="H50" s="79" t="s">
        <v>268</v>
      </c>
      <c r="I50" s="80">
        <v>3.3500000000000002E-2</v>
      </c>
      <c r="J50" s="81">
        <v>6</v>
      </c>
      <c r="K50" s="82" t="s">
        <v>53</v>
      </c>
      <c r="L50" s="81">
        <v>6</v>
      </c>
      <c r="M50" s="81">
        <v>0</v>
      </c>
      <c r="N50" s="81">
        <v>0</v>
      </c>
      <c r="O50" s="83" t="s">
        <v>43</v>
      </c>
      <c r="P50" s="84">
        <v>0.41319444444444442</v>
      </c>
      <c r="Q50" s="81">
        <v>179</v>
      </c>
      <c r="R50" s="85" t="s">
        <v>280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46061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8" t="s">
        <v>28</v>
      </c>
      <c r="B54" s="8" t="s">
        <v>268</v>
      </c>
      <c r="C54" s="9">
        <v>0.42708333333333331</v>
      </c>
      <c r="D54" s="8" t="s">
        <v>30</v>
      </c>
      <c r="E54" s="10"/>
      <c r="F54" s="8" t="s">
        <v>31</v>
      </c>
      <c r="G54" s="208"/>
      <c r="H54" s="11" t="s">
        <v>268</v>
      </c>
      <c r="I54" s="12">
        <v>1.12E-2</v>
      </c>
      <c r="J54" s="13">
        <v>2</v>
      </c>
      <c r="K54" s="14" t="s">
        <v>63</v>
      </c>
      <c r="L54" s="13">
        <v>2</v>
      </c>
      <c r="M54" s="13">
        <v>0</v>
      </c>
      <c r="N54" s="13">
        <v>0</v>
      </c>
      <c r="O54" s="15" t="s">
        <v>278</v>
      </c>
      <c r="P54" s="16">
        <v>0.42708333333333331</v>
      </c>
      <c r="Q54" s="13">
        <v>179</v>
      </c>
      <c r="R54" s="17" t="s">
        <v>117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46062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87" t="s">
        <v>28</v>
      </c>
      <c r="B58" s="87" t="s">
        <v>269</v>
      </c>
      <c r="C58" s="88">
        <v>0.72569444444444453</v>
      </c>
      <c r="D58" s="87" t="s">
        <v>30</v>
      </c>
      <c r="E58" s="89"/>
      <c r="F58" s="87" t="s">
        <v>31</v>
      </c>
      <c r="G58" s="208"/>
      <c r="H58" s="90" t="s">
        <v>269</v>
      </c>
      <c r="I58" s="91">
        <v>2.23E-2</v>
      </c>
      <c r="J58" s="92">
        <v>4</v>
      </c>
      <c r="K58" s="93" t="s">
        <v>167</v>
      </c>
      <c r="L58" s="92">
        <v>4</v>
      </c>
      <c r="M58" s="92">
        <v>0</v>
      </c>
      <c r="N58" s="92">
        <v>0</v>
      </c>
      <c r="O58" s="94" t="s">
        <v>123</v>
      </c>
      <c r="P58" s="95">
        <v>0.72569444444444453</v>
      </c>
      <c r="Q58" s="92">
        <v>179</v>
      </c>
      <c r="R58" s="96" t="s">
        <v>140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46063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87" t="s">
        <v>28</v>
      </c>
      <c r="B62" s="87" t="s">
        <v>269</v>
      </c>
      <c r="C62" s="88">
        <v>0.71527777777777779</v>
      </c>
      <c r="D62" s="87" t="s">
        <v>30</v>
      </c>
      <c r="E62" s="89"/>
      <c r="F62" s="87" t="s">
        <v>35</v>
      </c>
      <c r="G62" s="208"/>
      <c r="H62" s="90" t="s">
        <v>269</v>
      </c>
      <c r="I62" s="91">
        <v>0</v>
      </c>
      <c r="J62" s="92">
        <v>0</v>
      </c>
      <c r="K62" s="93" t="s">
        <v>36</v>
      </c>
      <c r="L62" s="92">
        <v>0</v>
      </c>
      <c r="M62" s="92">
        <v>0</v>
      </c>
      <c r="N62" s="92">
        <v>0</v>
      </c>
      <c r="O62" s="94" t="s">
        <v>281</v>
      </c>
      <c r="P62" s="95">
        <v>0.71527777777777779</v>
      </c>
      <c r="Q62" s="92">
        <v>179</v>
      </c>
      <c r="R62" s="96" t="s">
        <v>36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2.05" customHeight="1" thickTop="1" thickBot="1" x14ac:dyDescent="0.35">
      <c r="A64" s="201" t="s">
        <v>8</v>
      </c>
      <c r="B64" s="202"/>
      <c r="C64" s="202"/>
      <c r="D64" s="202"/>
      <c r="E64" s="202"/>
      <c r="F64" s="203"/>
      <c r="G64" s="18">
        <v>46064</v>
      </c>
      <c r="H64" s="209" t="s">
        <v>9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x14ac:dyDescent="0.3">
      <c r="A66" s="8" t="s">
        <v>28</v>
      </c>
      <c r="B66" s="8" t="s">
        <v>268</v>
      </c>
      <c r="C66" s="9">
        <v>0.41319444444444442</v>
      </c>
      <c r="D66" s="8" t="s">
        <v>30</v>
      </c>
      <c r="E66" s="10"/>
      <c r="F66" s="8" t="s">
        <v>35</v>
      </c>
      <c r="G66" s="208"/>
      <c r="H66" s="130" t="s">
        <v>268</v>
      </c>
      <c r="I66" s="131">
        <v>0</v>
      </c>
      <c r="J66" s="132">
        <v>0</v>
      </c>
      <c r="K66" s="133" t="s">
        <v>36</v>
      </c>
      <c r="L66" s="132">
        <v>0</v>
      </c>
      <c r="M66" s="132">
        <v>0</v>
      </c>
      <c r="N66" s="132">
        <v>0</v>
      </c>
      <c r="O66" s="134" t="s">
        <v>281</v>
      </c>
      <c r="P66" s="135">
        <v>0.41319444444444442</v>
      </c>
      <c r="Q66" s="132">
        <v>179</v>
      </c>
      <c r="R66" s="136" t="s">
        <v>36</v>
      </c>
    </row>
    <row r="67" spans="1:18" ht="49.95" customHeight="1" thickBot="1" x14ac:dyDescent="0.35">
      <c r="A67" s="160" t="s">
        <v>28</v>
      </c>
      <c r="B67" s="160" t="s">
        <v>269</v>
      </c>
      <c r="C67" s="161">
        <v>0.72569444444444453</v>
      </c>
      <c r="D67" s="160" t="s">
        <v>30</v>
      </c>
      <c r="E67" s="162"/>
      <c r="F67" s="160" t="s">
        <v>35</v>
      </c>
      <c r="G67" s="218"/>
      <c r="H67" s="69" t="s">
        <v>269</v>
      </c>
      <c r="I67" s="70">
        <v>0</v>
      </c>
      <c r="J67" s="71">
        <v>0</v>
      </c>
      <c r="K67" s="72" t="s">
        <v>36</v>
      </c>
      <c r="L67" s="71">
        <v>0</v>
      </c>
      <c r="M67" s="71">
        <v>0</v>
      </c>
      <c r="N67" s="71">
        <v>0</v>
      </c>
      <c r="O67" s="73" t="s">
        <v>281</v>
      </c>
      <c r="P67" s="74">
        <v>0.72569444444444453</v>
      </c>
      <c r="Q67" s="71">
        <v>179</v>
      </c>
      <c r="R67" s="75" t="s">
        <v>36</v>
      </c>
    </row>
    <row r="68" spans="1:18" ht="17.399999999999999" customHeight="1" thickBot="1" x14ac:dyDescent="0.35">
      <c r="A68" s="233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5"/>
    </row>
    <row r="69" spans="1:18" ht="22.05" customHeight="1" thickTop="1" thickBot="1" x14ac:dyDescent="0.35">
      <c r="A69" s="201" t="s">
        <v>8</v>
      </c>
      <c r="B69" s="202"/>
      <c r="C69" s="202"/>
      <c r="D69" s="202"/>
      <c r="E69" s="202"/>
      <c r="F69" s="203"/>
      <c r="G69" s="18">
        <v>46065</v>
      </c>
      <c r="H69" s="209" t="s">
        <v>9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3"/>
    </row>
    <row r="70" spans="1:18" ht="24" customHeight="1" x14ac:dyDescent="0.3">
      <c r="A70" s="19" t="s">
        <v>10</v>
      </c>
      <c r="B70" s="19" t="s">
        <v>11</v>
      </c>
      <c r="C70" s="20" t="s">
        <v>12</v>
      </c>
      <c r="D70" s="19" t="s">
        <v>13</v>
      </c>
      <c r="E70" s="19" t="s">
        <v>14</v>
      </c>
      <c r="F70" s="21" t="s">
        <v>15</v>
      </c>
      <c r="G70" s="22" t="s">
        <v>16</v>
      </c>
      <c r="H70" s="19" t="s">
        <v>17</v>
      </c>
      <c r="I70" s="23" t="s">
        <v>18</v>
      </c>
      <c r="J70" s="24" t="s">
        <v>19</v>
      </c>
      <c r="K70" s="25" t="s">
        <v>20</v>
      </c>
      <c r="L70" s="24" t="s">
        <v>21</v>
      </c>
      <c r="M70" s="24" t="s">
        <v>22</v>
      </c>
      <c r="N70" s="24" t="s">
        <v>23</v>
      </c>
      <c r="O70" s="19" t="s">
        <v>24</v>
      </c>
      <c r="P70" s="20" t="s">
        <v>25</v>
      </c>
      <c r="Q70" s="24" t="s">
        <v>26</v>
      </c>
      <c r="R70" s="19" t="s">
        <v>27</v>
      </c>
    </row>
    <row r="71" spans="1:18" ht="49.95" customHeight="1" thickTop="1" thickBot="1" x14ac:dyDescent="0.35">
      <c r="A71" s="46" t="s">
        <v>28</v>
      </c>
      <c r="B71" s="46" t="s">
        <v>268</v>
      </c>
      <c r="C71" s="47">
        <v>0.41319444444444442</v>
      </c>
      <c r="D71" s="46" t="s">
        <v>30</v>
      </c>
      <c r="E71" s="48"/>
      <c r="F71" s="46" t="s">
        <v>35</v>
      </c>
      <c r="G71" s="208"/>
      <c r="H71" s="49" t="s">
        <v>268</v>
      </c>
      <c r="I71" s="50">
        <v>0</v>
      </c>
      <c r="J71" s="51">
        <v>0</v>
      </c>
      <c r="K71" s="52" t="s">
        <v>36</v>
      </c>
      <c r="L71" s="51">
        <v>0</v>
      </c>
      <c r="M71" s="51">
        <v>0</v>
      </c>
      <c r="N71" s="51">
        <v>0</v>
      </c>
      <c r="O71" s="53" t="s">
        <v>281</v>
      </c>
      <c r="P71" s="54">
        <v>0.41319444444444442</v>
      </c>
      <c r="Q71" s="51">
        <v>179</v>
      </c>
      <c r="R71" s="55" t="s">
        <v>36</v>
      </c>
    </row>
    <row r="72" spans="1:18" ht="17.399999999999999" customHeight="1" thickBot="1" x14ac:dyDescent="0.35">
      <c r="A72" s="233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5"/>
    </row>
    <row r="73" spans="1:18" ht="22.05" customHeight="1" thickTop="1" thickBot="1" x14ac:dyDescent="0.35">
      <c r="A73" s="201" t="s">
        <v>8</v>
      </c>
      <c r="B73" s="202"/>
      <c r="C73" s="202"/>
      <c r="D73" s="202"/>
      <c r="E73" s="202"/>
      <c r="F73" s="203"/>
      <c r="G73" s="18">
        <v>46066</v>
      </c>
      <c r="H73" s="209" t="s">
        <v>9</v>
      </c>
      <c r="I73" s="202"/>
      <c r="J73" s="202"/>
      <c r="K73" s="202"/>
      <c r="L73" s="202"/>
      <c r="M73" s="202"/>
      <c r="N73" s="202"/>
      <c r="O73" s="202"/>
      <c r="P73" s="202"/>
      <c r="Q73" s="202"/>
      <c r="R73" s="203"/>
    </row>
    <row r="74" spans="1:18" ht="24" customHeight="1" x14ac:dyDescent="0.3">
      <c r="A74" s="19" t="s">
        <v>10</v>
      </c>
      <c r="B74" s="19" t="s">
        <v>11</v>
      </c>
      <c r="C74" s="20" t="s">
        <v>12</v>
      </c>
      <c r="D74" s="19" t="s">
        <v>13</v>
      </c>
      <c r="E74" s="19" t="s">
        <v>14</v>
      </c>
      <c r="F74" s="21" t="s">
        <v>15</v>
      </c>
      <c r="G74" s="22" t="s">
        <v>16</v>
      </c>
      <c r="H74" s="19" t="s">
        <v>17</v>
      </c>
      <c r="I74" s="23" t="s">
        <v>18</v>
      </c>
      <c r="J74" s="24" t="s">
        <v>19</v>
      </c>
      <c r="K74" s="25" t="s">
        <v>20</v>
      </c>
      <c r="L74" s="24" t="s">
        <v>21</v>
      </c>
      <c r="M74" s="24" t="s">
        <v>22</v>
      </c>
      <c r="N74" s="24" t="s">
        <v>23</v>
      </c>
      <c r="O74" s="19" t="s">
        <v>24</v>
      </c>
      <c r="P74" s="20" t="s">
        <v>25</v>
      </c>
      <c r="Q74" s="24" t="s">
        <v>26</v>
      </c>
      <c r="R74" s="19" t="s">
        <v>27</v>
      </c>
    </row>
    <row r="75" spans="1:18" ht="49.95" customHeight="1" x14ac:dyDescent="0.3">
      <c r="A75" s="26" t="s">
        <v>28</v>
      </c>
      <c r="B75" s="26" t="s">
        <v>268</v>
      </c>
      <c r="C75" s="27">
        <v>0.40625</v>
      </c>
      <c r="D75" s="26" t="s">
        <v>30</v>
      </c>
      <c r="E75" s="28"/>
      <c r="F75" s="26" t="s">
        <v>35</v>
      </c>
      <c r="G75" s="208"/>
      <c r="H75" s="176" t="s">
        <v>268</v>
      </c>
      <c r="I75" s="177">
        <v>0</v>
      </c>
      <c r="J75" s="178">
        <v>0</v>
      </c>
      <c r="K75" s="179" t="s">
        <v>36</v>
      </c>
      <c r="L75" s="178">
        <v>0</v>
      </c>
      <c r="M75" s="178">
        <v>0</v>
      </c>
      <c r="N75" s="178">
        <v>0</v>
      </c>
      <c r="O75" s="180" t="s">
        <v>281</v>
      </c>
      <c r="P75" s="181">
        <v>0.40625</v>
      </c>
      <c r="Q75" s="178">
        <v>179</v>
      </c>
      <c r="R75" s="182" t="s">
        <v>36</v>
      </c>
    </row>
    <row r="76" spans="1:18" ht="49.95" customHeight="1" thickBot="1" x14ac:dyDescent="0.35">
      <c r="A76" s="198" t="s">
        <v>28</v>
      </c>
      <c r="B76" s="198" t="s">
        <v>269</v>
      </c>
      <c r="C76" s="199">
        <v>0.72569444444444453</v>
      </c>
      <c r="D76" s="198" t="s">
        <v>30</v>
      </c>
      <c r="E76" s="200"/>
      <c r="F76" s="198" t="s">
        <v>31</v>
      </c>
      <c r="G76" s="218"/>
      <c r="H76" s="39" t="s">
        <v>269</v>
      </c>
      <c r="I76" s="40">
        <v>5.5999999999999999E-3</v>
      </c>
      <c r="J76" s="41">
        <v>1</v>
      </c>
      <c r="K76" s="42" t="s">
        <v>282</v>
      </c>
      <c r="L76" s="41">
        <v>1</v>
      </c>
      <c r="M76" s="41">
        <v>0</v>
      </c>
      <c r="N76" s="41">
        <v>0</v>
      </c>
      <c r="O76" s="43" t="s">
        <v>281</v>
      </c>
      <c r="P76" s="44">
        <v>0.72569444444444453</v>
      </c>
      <c r="Q76" s="41">
        <v>179</v>
      </c>
      <c r="R76" s="45" t="s">
        <v>124</v>
      </c>
    </row>
    <row r="77" spans="1:18" ht="17.399999999999999" customHeight="1" thickBot="1" x14ac:dyDescent="0.3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5"/>
    </row>
    <row r="78" spans="1:18" ht="22.05" customHeight="1" thickTop="1" thickBot="1" x14ac:dyDescent="0.35">
      <c r="A78" s="201" t="s">
        <v>8</v>
      </c>
      <c r="B78" s="202"/>
      <c r="C78" s="202"/>
      <c r="D78" s="202"/>
      <c r="E78" s="202"/>
      <c r="F78" s="203"/>
      <c r="G78" s="18">
        <v>46067</v>
      </c>
      <c r="H78" s="209" t="s">
        <v>9</v>
      </c>
      <c r="I78" s="202"/>
      <c r="J78" s="202"/>
      <c r="K78" s="202"/>
      <c r="L78" s="202"/>
      <c r="M78" s="202"/>
      <c r="N78" s="202"/>
      <c r="O78" s="202"/>
      <c r="P78" s="202"/>
      <c r="Q78" s="202"/>
      <c r="R78" s="203"/>
    </row>
    <row r="79" spans="1:18" ht="24" customHeight="1" x14ac:dyDescent="0.3">
      <c r="A79" s="19" t="s">
        <v>10</v>
      </c>
      <c r="B79" s="19" t="s">
        <v>11</v>
      </c>
      <c r="C79" s="20" t="s">
        <v>12</v>
      </c>
      <c r="D79" s="19" t="s">
        <v>13</v>
      </c>
      <c r="E79" s="19" t="s">
        <v>14</v>
      </c>
      <c r="F79" s="21" t="s">
        <v>15</v>
      </c>
      <c r="G79" s="22" t="s">
        <v>16</v>
      </c>
      <c r="H79" s="19" t="s">
        <v>17</v>
      </c>
      <c r="I79" s="23" t="s">
        <v>18</v>
      </c>
      <c r="J79" s="24" t="s">
        <v>19</v>
      </c>
      <c r="K79" s="25" t="s">
        <v>20</v>
      </c>
      <c r="L79" s="24" t="s">
        <v>21</v>
      </c>
      <c r="M79" s="24" t="s">
        <v>22</v>
      </c>
      <c r="N79" s="24" t="s">
        <v>23</v>
      </c>
      <c r="O79" s="19" t="s">
        <v>24</v>
      </c>
      <c r="P79" s="20" t="s">
        <v>25</v>
      </c>
      <c r="Q79" s="24" t="s">
        <v>26</v>
      </c>
      <c r="R79" s="19" t="s">
        <v>27</v>
      </c>
    </row>
    <row r="80" spans="1:18" ht="49.95" customHeight="1" thickTop="1" thickBot="1" x14ac:dyDescent="0.35">
      <c r="A80" s="76" t="s">
        <v>28</v>
      </c>
      <c r="B80" s="76" t="s">
        <v>268</v>
      </c>
      <c r="C80" s="77">
        <v>0.41319444444444442</v>
      </c>
      <c r="D80" s="76" t="s">
        <v>30</v>
      </c>
      <c r="E80" s="78"/>
      <c r="F80" s="76" t="s">
        <v>35</v>
      </c>
      <c r="G80" s="208"/>
      <c r="H80" s="79" t="s">
        <v>268</v>
      </c>
      <c r="I80" s="80">
        <v>0</v>
      </c>
      <c r="J80" s="81">
        <v>0</v>
      </c>
      <c r="K80" s="82" t="s">
        <v>36</v>
      </c>
      <c r="L80" s="81">
        <v>0</v>
      </c>
      <c r="M80" s="81">
        <v>0</v>
      </c>
      <c r="N80" s="81">
        <v>0</v>
      </c>
      <c r="O80" s="83" t="s">
        <v>281</v>
      </c>
      <c r="P80" s="84">
        <v>0.41319444444444442</v>
      </c>
      <c r="Q80" s="81">
        <v>179</v>
      </c>
      <c r="R80" s="85" t="s">
        <v>36</v>
      </c>
    </row>
    <row r="81" spans="1:18" ht="17.399999999999999" customHeight="1" thickBot="1" x14ac:dyDescent="0.35">
      <c r="A81" s="233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5"/>
    </row>
    <row r="82" spans="1:18" ht="22.05" customHeight="1" thickTop="1" thickBot="1" x14ac:dyDescent="0.35">
      <c r="A82" s="201" t="s">
        <v>8</v>
      </c>
      <c r="B82" s="202"/>
      <c r="C82" s="202"/>
      <c r="D82" s="202"/>
      <c r="E82" s="202"/>
      <c r="F82" s="203"/>
      <c r="G82" s="18">
        <v>46068</v>
      </c>
      <c r="H82" s="209" t="s">
        <v>9</v>
      </c>
      <c r="I82" s="202"/>
      <c r="J82" s="202"/>
      <c r="K82" s="202"/>
      <c r="L82" s="202"/>
      <c r="M82" s="202"/>
      <c r="N82" s="202"/>
      <c r="O82" s="202"/>
      <c r="P82" s="202"/>
      <c r="Q82" s="202"/>
      <c r="R82" s="203"/>
    </row>
    <row r="83" spans="1:18" ht="24" customHeight="1" x14ac:dyDescent="0.3">
      <c r="A83" s="19" t="s">
        <v>10</v>
      </c>
      <c r="B83" s="19" t="s">
        <v>11</v>
      </c>
      <c r="C83" s="20" t="s">
        <v>12</v>
      </c>
      <c r="D83" s="19" t="s">
        <v>13</v>
      </c>
      <c r="E83" s="19" t="s">
        <v>14</v>
      </c>
      <c r="F83" s="21" t="s">
        <v>15</v>
      </c>
      <c r="G83" s="22" t="s">
        <v>16</v>
      </c>
      <c r="H83" s="19" t="s">
        <v>17</v>
      </c>
      <c r="I83" s="23" t="s">
        <v>18</v>
      </c>
      <c r="J83" s="24" t="s">
        <v>19</v>
      </c>
      <c r="K83" s="25" t="s">
        <v>20</v>
      </c>
      <c r="L83" s="24" t="s">
        <v>21</v>
      </c>
      <c r="M83" s="24" t="s">
        <v>22</v>
      </c>
      <c r="N83" s="24" t="s">
        <v>23</v>
      </c>
      <c r="O83" s="19" t="s">
        <v>24</v>
      </c>
      <c r="P83" s="20" t="s">
        <v>25</v>
      </c>
      <c r="Q83" s="24" t="s">
        <v>26</v>
      </c>
      <c r="R83" s="19" t="s">
        <v>27</v>
      </c>
    </row>
    <row r="84" spans="1:18" ht="49.95" customHeight="1" thickTop="1" thickBot="1" x14ac:dyDescent="0.5">
      <c r="A84" s="36" t="s">
        <v>28</v>
      </c>
      <c r="B84" s="36" t="s">
        <v>268</v>
      </c>
      <c r="C84" s="37">
        <v>0.42708333333333331</v>
      </c>
      <c r="D84" s="36" t="s">
        <v>30</v>
      </c>
      <c r="E84" s="38"/>
      <c r="F84" s="36" t="s">
        <v>31</v>
      </c>
      <c r="G84" s="204"/>
      <c r="H84" s="39" t="s">
        <v>268</v>
      </c>
      <c r="I84" s="40">
        <v>5.5999999999999999E-3</v>
      </c>
      <c r="J84" s="41">
        <v>1</v>
      </c>
      <c r="K84" s="42" t="s">
        <v>283</v>
      </c>
      <c r="L84" s="41">
        <v>1</v>
      </c>
      <c r="M84" s="41">
        <v>0</v>
      </c>
      <c r="N84" s="41">
        <v>0</v>
      </c>
      <c r="O84" s="43" t="s">
        <v>281</v>
      </c>
      <c r="P84" s="44">
        <v>0.42708333333333331</v>
      </c>
      <c r="Q84" s="41">
        <v>179</v>
      </c>
      <c r="R84" s="45" t="s">
        <v>124</v>
      </c>
    </row>
    <row r="85" spans="1:18" ht="17.399999999999999" customHeight="1" thickBot="1" x14ac:dyDescent="0.35">
      <c r="A85" s="233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5"/>
    </row>
    <row r="86" spans="1:18" ht="22.05" customHeight="1" thickTop="1" thickBot="1" x14ac:dyDescent="0.35">
      <c r="A86" s="201" t="s">
        <v>8</v>
      </c>
      <c r="B86" s="202"/>
      <c r="C86" s="202"/>
      <c r="D86" s="202"/>
      <c r="E86" s="202"/>
      <c r="F86" s="203"/>
      <c r="G86" s="18">
        <v>46069</v>
      </c>
      <c r="H86" s="209" t="s">
        <v>9</v>
      </c>
      <c r="I86" s="202"/>
      <c r="J86" s="202"/>
      <c r="K86" s="202"/>
      <c r="L86" s="202"/>
      <c r="M86" s="202"/>
      <c r="N86" s="202"/>
      <c r="O86" s="202"/>
      <c r="P86" s="202"/>
      <c r="Q86" s="202"/>
      <c r="R86" s="203"/>
    </row>
    <row r="87" spans="1:18" ht="24" customHeight="1" x14ac:dyDescent="0.3">
      <c r="A87" s="19" t="s">
        <v>10</v>
      </c>
      <c r="B87" s="19" t="s">
        <v>11</v>
      </c>
      <c r="C87" s="20" t="s">
        <v>12</v>
      </c>
      <c r="D87" s="19" t="s">
        <v>13</v>
      </c>
      <c r="E87" s="19" t="s">
        <v>14</v>
      </c>
      <c r="F87" s="21" t="s">
        <v>15</v>
      </c>
      <c r="G87" s="22" t="s">
        <v>16</v>
      </c>
      <c r="H87" s="19" t="s">
        <v>17</v>
      </c>
      <c r="I87" s="23" t="s">
        <v>18</v>
      </c>
      <c r="J87" s="24" t="s">
        <v>19</v>
      </c>
      <c r="K87" s="25" t="s">
        <v>20</v>
      </c>
      <c r="L87" s="24" t="s">
        <v>21</v>
      </c>
      <c r="M87" s="24" t="s">
        <v>22</v>
      </c>
      <c r="N87" s="24" t="s">
        <v>23</v>
      </c>
      <c r="O87" s="19" t="s">
        <v>24</v>
      </c>
      <c r="P87" s="20" t="s">
        <v>25</v>
      </c>
      <c r="Q87" s="24" t="s">
        <v>26</v>
      </c>
      <c r="R87" s="19" t="s">
        <v>27</v>
      </c>
    </row>
    <row r="88" spans="1:18" ht="49.95" customHeight="1" thickTop="1" thickBot="1" x14ac:dyDescent="0.35">
      <c r="A88" s="46" t="s">
        <v>28</v>
      </c>
      <c r="B88" s="46" t="s">
        <v>269</v>
      </c>
      <c r="C88" s="47">
        <v>0.72569444444444453</v>
      </c>
      <c r="D88" s="46" t="s">
        <v>30</v>
      </c>
      <c r="E88" s="48"/>
      <c r="F88" s="46" t="s">
        <v>31</v>
      </c>
      <c r="G88" s="208"/>
      <c r="H88" s="49" t="s">
        <v>269</v>
      </c>
      <c r="I88" s="50">
        <v>5.5999999999999999E-3</v>
      </c>
      <c r="J88" s="51">
        <v>1</v>
      </c>
      <c r="K88" s="52" t="s">
        <v>65</v>
      </c>
      <c r="L88" s="51">
        <v>1</v>
      </c>
      <c r="M88" s="51">
        <v>0</v>
      </c>
      <c r="N88" s="51">
        <v>0</v>
      </c>
      <c r="O88" s="53" t="s">
        <v>281</v>
      </c>
      <c r="P88" s="54">
        <v>0.72569444444444453</v>
      </c>
      <c r="Q88" s="51">
        <v>179</v>
      </c>
      <c r="R88" s="55" t="s">
        <v>284</v>
      </c>
    </row>
    <row r="89" spans="1:18" ht="17.399999999999999" customHeight="1" thickBot="1" x14ac:dyDescent="0.35">
      <c r="A89" s="233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5"/>
    </row>
    <row r="90" spans="1:18" ht="22.05" customHeight="1" thickTop="1" thickBot="1" x14ac:dyDescent="0.35">
      <c r="A90" s="201" t="s">
        <v>8</v>
      </c>
      <c r="B90" s="202"/>
      <c r="C90" s="202"/>
      <c r="D90" s="202"/>
      <c r="E90" s="202"/>
      <c r="F90" s="203"/>
      <c r="G90" s="18">
        <v>46070</v>
      </c>
      <c r="H90" s="209" t="s">
        <v>9</v>
      </c>
      <c r="I90" s="202"/>
      <c r="J90" s="202"/>
      <c r="K90" s="202"/>
      <c r="L90" s="202"/>
      <c r="M90" s="202"/>
      <c r="N90" s="202"/>
      <c r="O90" s="202"/>
      <c r="P90" s="202"/>
      <c r="Q90" s="202"/>
      <c r="R90" s="203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thickTop="1" thickBot="1" x14ac:dyDescent="0.35">
      <c r="A92" s="26" t="s">
        <v>28</v>
      </c>
      <c r="B92" s="26" t="s">
        <v>269</v>
      </c>
      <c r="C92" s="27">
        <v>0.71527777777777779</v>
      </c>
      <c r="D92" s="26" t="s">
        <v>30</v>
      </c>
      <c r="E92" s="28"/>
      <c r="F92" s="26" t="s">
        <v>35</v>
      </c>
      <c r="G92" s="208"/>
      <c r="H92" s="29" t="s">
        <v>269</v>
      </c>
      <c r="I92" s="30">
        <v>0</v>
      </c>
      <c r="J92" s="31">
        <v>0</v>
      </c>
      <c r="K92" s="32" t="s">
        <v>36</v>
      </c>
      <c r="L92" s="31">
        <v>0</v>
      </c>
      <c r="M92" s="31">
        <v>0</v>
      </c>
      <c r="N92" s="31">
        <v>0</v>
      </c>
      <c r="O92" s="33" t="s">
        <v>281</v>
      </c>
      <c r="P92" s="34">
        <v>0.71527777777777779</v>
      </c>
      <c r="Q92" s="31">
        <v>179</v>
      </c>
      <c r="R92" s="35" t="s">
        <v>36</v>
      </c>
    </row>
    <row r="93" spans="1:18" ht="17.399999999999999" customHeight="1" thickBot="1" x14ac:dyDescent="0.35">
      <c r="A93" s="233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5"/>
    </row>
    <row r="94" spans="1:18" ht="22.05" customHeight="1" thickTop="1" thickBot="1" x14ac:dyDescent="0.35">
      <c r="A94" s="201" t="s">
        <v>8</v>
      </c>
      <c r="B94" s="202"/>
      <c r="C94" s="202"/>
      <c r="D94" s="202"/>
      <c r="E94" s="202"/>
      <c r="F94" s="203"/>
      <c r="G94" s="18">
        <v>46071</v>
      </c>
      <c r="H94" s="209" t="s">
        <v>9</v>
      </c>
      <c r="I94" s="202"/>
      <c r="J94" s="202"/>
      <c r="K94" s="202"/>
      <c r="L94" s="202"/>
      <c r="M94" s="202"/>
      <c r="N94" s="202"/>
      <c r="O94" s="202"/>
      <c r="P94" s="202"/>
      <c r="Q94" s="202"/>
      <c r="R94" s="203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x14ac:dyDescent="0.3">
      <c r="A96" s="36" t="s">
        <v>28</v>
      </c>
      <c r="B96" s="36" t="s">
        <v>268</v>
      </c>
      <c r="C96" s="37">
        <v>0.41319444444444442</v>
      </c>
      <c r="D96" s="36" t="s">
        <v>30</v>
      </c>
      <c r="E96" s="38"/>
      <c r="F96" s="36" t="s">
        <v>35</v>
      </c>
      <c r="G96" s="208"/>
      <c r="H96" s="143" t="s">
        <v>268</v>
      </c>
      <c r="I96" s="144">
        <v>0</v>
      </c>
      <c r="J96" s="145">
        <v>0</v>
      </c>
      <c r="K96" s="146" t="s">
        <v>36</v>
      </c>
      <c r="L96" s="145">
        <v>0</v>
      </c>
      <c r="M96" s="145">
        <v>0</v>
      </c>
      <c r="N96" s="145">
        <v>0</v>
      </c>
      <c r="O96" s="147" t="s">
        <v>281</v>
      </c>
      <c r="P96" s="148">
        <v>0.41319444444444442</v>
      </c>
      <c r="Q96" s="145">
        <v>179</v>
      </c>
      <c r="R96" s="149" t="s">
        <v>36</v>
      </c>
    </row>
    <row r="97" spans="1:18" ht="49.95" customHeight="1" thickBot="1" x14ac:dyDescent="0.35">
      <c r="A97" s="189" t="s">
        <v>28</v>
      </c>
      <c r="B97" s="189" t="s">
        <v>269</v>
      </c>
      <c r="C97" s="190">
        <v>0.72569444444444453</v>
      </c>
      <c r="D97" s="189" t="s">
        <v>30</v>
      </c>
      <c r="E97" s="191"/>
      <c r="F97" s="189" t="s">
        <v>35</v>
      </c>
      <c r="G97" s="218"/>
      <c r="H97" s="29" t="s">
        <v>269</v>
      </c>
      <c r="I97" s="30">
        <v>0</v>
      </c>
      <c r="J97" s="31">
        <v>0</v>
      </c>
      <c r="K97" s="32" t="s">
        <v>36</v>
      </c>
      <c r="L97" s="31">
        <v>0</v>
      </c>
      <c r="M97" s="31">
        <v>0</v>
      </c>
      <c r="N97" s="31">
        <v>0</v>
      </c>
      <c r="O97" s="33" t="s">
        <v>281</v>
      </c>
      <c r="P97" s="34">
        <v>0.72569444444444453</v>
      </c>
      <c r="Q97" s="31">
        <v>179</v>
      </c>
      <c r="R97" s="35" t="s">
        <v>36</v>
      </c>
    </row>
    <row r="98" spans="1:18" ht="17.399999999999999" customHeight="1" thickBot="1" x14ac:dyDescent="0.35">
      <c r="A98" s="233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5"/>
    </row>
    <row r="99" spans="1:18" ht="22.05" customHeight="1" thickTop="1" thickBot="1" x14ac:dyDescent="0.35">
      <c r="A99" s="201" t="s">
        <v>8</v>
      </c>
      <c r="B99" s="202"/>
      <c r="C99" s="202"/>
      <c r="D99" s="202"/>
      <c r="E99" s="202"/>
      <c r="F99" s="203"/>
      <c r="G99" s="18">
        <v>46072</v>
      </c>
      <c r="H99" s="209" t="s">
        <v>9</v>
      </c>
      <c r="I99" s="202"/>
      <c r="J99" s="202"/>
      <c r="K99" s="202"/>
      <c r="L99" s="202"/>
      <c r="M99" s="202"/>
      <c r="N99" s="202"/>
      <c r="O99" s="202"/>
      <c r="P99" s="202"/>
      <c r="Q99" s="202"/>
      <c r="R99" s="203"/>
    </row>
    <row r="100" spans="1:18" ht="24" customHeight="1" x14ac:dyDescent="0.3">
      <c r="A100" s="19" t="s">
        <v>10</v>
      </c>
      <c r="B100" s="19" t="s">
        <v>11</v>
      </c>
      <c r="C100" s="20" t="s">
        <v>12</v>
      </c>
      <c r="D100" s="19" t="s">
        <v>13</v>
      </c>
      <c r="E100" s="19" t="s">
        <v>14</v>
      </c>
      <c r="F100" s="21" t="s">
        <v>15</v>
      </c>
      <c r="G100" s="22" t="s">
        <v>16</v>
      </c>
      <c r="H100" s="19" t="s">
        <v>17</v>
      </c>
      <c r="I100" s="23" t="s">
        <v>18</v>
      </c>
      <c r="J100" s="24" t="s">
        <v>19</v>
      </c>
      <c r="K100" s="25" t="s">
        <v>20</v>
      </c>
      <c r="L100" s="24" t="s">
        <v>21</v>
      </c>
      <c r="M100" s="24" t="s">
        <v>22</v>
      </c>
      <c r="N100" s="24" t="s">
        <v>23</v>
      </c>
      <c r="O100" s="19" t="s">
        <v>24</v>
      </c>
      <c r="P100" s="20" t="s">
        <v>25</v>
      </c>
      <c r="Q100" s="24" t="s">
        <v>26</v>
      </c>
      <c r="R100" s="19" t="s">
        <v>27</v>
      </c>
    </row>
    <row r="101" spans="1:18" ht="49.95" customHeight="1" thickTop="1" thickBot="1" x14ac:dyDescent="0.35">
      <c r="A101" s="26" t="s">
        <v>28</v>
      </c>
      <c r="B101" s="26" t="s">
        <v>268</v>
      </c>
      <c r="C101" s="27">
        <v>0.41319444444444442</v>
      </c>
      <c r="D101" s="26" t="s">
        <v>30</v>
      </c>
      <c r="E101" s="28"/>
      <c r="F101" s="26" t="s">
        <v>35</v>
      </c>
      <c r="G101" s="208"/>
      <c r="H101" s="29" t="s">
        <v>268</v>
      </c>
      <c r="I101" s="30">
        <v>0</v>
      </c>
      <c r="J101" s="31">
        <v>0</v>
      </c>
      <c r="K101" s="32" t="s">
        <v>36</v>
      </c>
      <c r="L101" s="31">
        <v>0</v>
      </c>
      <c r="M101" s="31">
        <v>0</v>
      </c>
      <c r="N101" s="31">
        <v>0</v>
      </c>
      <c r="O101" s="33" t="s">
        <v>281</v>
      </c>
      <c r="P101" s="34">
        <v>0.41319444444444442</v>
      </c>
      <c r="Q101" s="31">
        <v>179</v>
      </c>
      <c r="R101" s="35" t="s">
        <v>36</v>
      </c>
    </row>
    <row r="102" spans="1:18" ht="17.399999999999999" customHeight="1" thickBot="1" x14ac:dyDescent="0.3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5"/>
    </row>
    <row r="103" spans="1:18" ht="22.05" customHeight="1" thickTop="1" thickBot="1" x14ac:dyDescent="0.35">
      <c r="A103" s="201" t="s">
        <v>8</v>
      </c>
      <c r="B103" s="202"/>
      <c r="C103" s="202"/>
      <c r="D103" s="202"/>
      <c r="E103" s="202"/>
      <c r="F103" s="203"/>
      <c r="G103" s="18">
        <v>46073</v>
      </c>
      <c r="H103" s="209" t="s">
        <v>9</v>
      </c>
      <c r="I103" s="202"/>
      <c r="J103" s="202"/>
      <c r="K103" s="202"/>
      <c r="L103" s="202"/>
      <c r="M103" s="202"/>
      <c r="N103" s="202"/>
      <c r="O103" s="202"/>
      <c r="P103" s="202"/>
      <c r="Q103" s="202"/>
      <c r="R103" s="203"/>
    </row>
    <row r="104" spans="1:18" ht="24" customHeight="1" x14ac:dyDescent="0.3">
      <c r="A104" s="19" t="s">
        <v>10</v>
      </c>
      <c r="B104" s="19" t="s">
        <v>11</v>
      </c>
      <c r="C104" s="20" t="s">
        <v>12</v>
      </c>
      <c r="D104" s="19" t="s">
        <v>13</v>
      </c>
      <c r="E104" s="19" t="s">
        <v>14</v>
      </c>
      <c r="F104" s="21" t="s">
        <v>15</v>
      </c>
      <c r="G104" s="22" t="s">
        <v>16</v>
      </c>
      <c r="H104" s="19" t="s">
        <v>17</v>
      </c>
      <c r="I104" s="23" t="s">
        <v>18</v>
      </c>
      <c r="J104" s="24" t="s">
        <v>19</v>
      </c>
      <c r="K104" s="25" t="s">
        <v>20</v>
      </c>
      <c r="L104" s="24" t="s">
        <v>21</v>
      </c>
      <c r="M104" s="24" t="s">
        <v>22</v>
      </c>
      <c r="N104" s="24" t="s">
        <v>23</v>
      </c>
      <c r="O104" s="19" t="s">
        <v>24</v>
      </c>
      <c r="P104" s="20" t="s">
        <v>25</v>
      </c>
      <c r="Q104" s="24" t="s">
        <v>26</v>
      </c>
      <c r="R104" s="19" t="s">
        <v>27</v>
      </c>
    </row>
    <row r="105" spans="1:18" ht="49.95" customHeight="1" x14ac:dyDescent="0.3">
      <c r="A105" s="56" t="s">
        <v>28</v>
      </c>
      <c r="B105" s="56" t="s">
        <v>268</v>
      </c>
      <c r="C105" s="57">
        <v>0.40625</v>
      </c>
      <c r="D105" s="56" t="s">
        <v>30</v>
      </c>
      <c r="E105" s="58"/>
      <c r="F105" s="56" t="s">
        <v>31</v>
      </c>
      <c r="G105" s="208"/>
      <c r="H105" s="97" t="s">
        <v>268</v>
      </c>
      <c r="I105" s="98">
        <v>5.5999999999999999E-3</v>
      </c>
      <c r="J105" s="99">
        <v>1</v>
      </c>
      <c r="K105" s="100" t="s">
        <v>182</v>
      </c>
      <c r="L105" s="99">
        <v>1</v>
      </c>
      <c r="M105" s="99">
        <v>0</v>
      </c>
      <c r="N105" s="99">
        <v>0</v>
      </c>
      <c r="O105" s="101" t="s">
        <v>281</v>
      </c>
      <c r="P105" s="102">
        <v>0.40625</v>
      </c>
      <c r="Q105" s="99">
        <v>179</v>
      </c>
      <c r="R105" s="103" t="s">
        <v>284</v>
      </c>
    </row>
    <row r="106" spans="1:18" ht="49.95" customHeight="1" thickBot="1" x14ac:dyDescent="0.35">
      <c r="A106" s="160" t="s">
        <v>28</v>
      </c>
      <c r="B106" s="160" t="s">
        <v>269</v>
      </c>
      <c r="C106" s="161">
        <v>0.72569444444444453</v>
      </c>
      <c r="D106" s="160" t="s">
        <v>30</v>
      </c>
      <c r="E106" s="162"/>
      <c r="F106" s="160" t="s">
        <v>31</v>
      </c>
      <c r="G106" s="218"/>
      <c r="H106" s="69" t="s">
        <v>269</v>
      </c>
      <c r="I106" s="70">
        <v>5.5999999999999999E-3</v>
      </c>
      <c r="J106" s="71">
        <v>1</v>
      </c>
      <c r="K106" s="72" t="s">
        <v>285</v>
      </c>
      <c r="L106" s="71">
        <v>1</v>
      </c>
      <c r="M106" s="71">
        <v>0</v>
      </c>
      <c r="N106" s="71">
        <v>0</v>
      </c>
      <c r="O106" s="73" t="s">
        <v>281</v>
      </c>
      <c r="P106" s="74">
        <v>0.72569444444444453</v>
      </c>
      <c r="Q106" s="71">
        <v>179</v>
      </c>
      <c r="R106" s="75" t="s">
        <v>147</v>
      </c>
    </row>
    <row r="107" spans="1:18" ht="17.399999999999999" customHeight="1" thickBot="1" x14ac:dyDescent="0.35">
      <c r="A107" s="233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5"/>
    </row>
    <row r="108" spans="1:18" ht="22.05" customHeight="1" thickTop="1" thickBot="1" x14ac:dyDescent="0.35">
      <c r="A108" s="201" t="s">
        <v>8</v>
      </c>
      <c r="B108" s="202"/>
      <c r="C108" s="202"/>
      <c r="D108" s="202"/>
      <c r="E108" s="202"/>
      <c r="F108" s="203"/>
      <c r="G108" s="18">
        <v>46074</v>
      </c>
      <c r="H108" s="209" t="s">
        <v>9</v>
      </c>
      <c r="I108" s="202"/>
      <c r="J108" s="202"/>
      <c r="K108" s="202"/>
      <c r="L108" s="202"/>
      <c r="M108" s="202"/>
      <c r="N108" s="202"/>
      <c r="O108" s="202"/>
      <c r="P108" s="202"/>
      <c r="Q108" s="202"/>
      <c r="R108" s="203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thickTop="1" thickBot="1" x14ac:dyDescent="0.35">
      <c r="A110" s="46" t="s">
        <v>28</v>
      </c>
      <c r="B110" s="46" t="s">
        <v>268</v>
      </c>
      <c r="C110" s="47">
        <v>0.41319444444444442</v>
      </c>
      <c r="D110" s="46" t="s">
        <v>30</v>
      </c>
      <c r="E110" s="48"/>
      <c r="F110" s="46" t="s">
        <v>35</v>
      </c>
      <c r="G110" s="208"/>
      <c r="H110" s="49" t="s">
        <v>268</v>
      </c>
      <c r="I110" s="50">
        <v>0</v>
      </c>
      <c r="J110" s="51">
        <v>0</v>
      </c>
      <c r="K110" s="52" t="s">
        <v>36</v>
      </c>
      <c r="L110" s="51">
        <v>0</v>
      </c>
      <c r="M110" s="51">
        <v>0</v>
      </c>
      <c r="N110" s="51">
        <v>0</v>
      </c>
      <c r="O110" s="53" t="s">
        <v>281</v>
      </c>
      <c r="P110" s="54">
        <v>0.41319444444444442</v>
      </c>
      <c r="Q110" s="51">
        <v>179</v>
      </c>
      <c r="R110" s="55" t="s">
        <v>36</v>
      </c>
    </row>
    <row r="111" spans="1:18" ht="17.399999999999999" customHeight="1" thickBot="1" x14ac:dyDescent="0.35">
      <c r="A111" s="233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5"/>
    </row>
    <row r="112" spans="1:18" ht="22.05" customHeight="1" thickTop="1" thickBot="1" x14ac:dyDescent="0.35">
      <c r="A112" s="201" t="s">
        <v>8</v>
      </c>
      <c r="B112" s="202"/>
      <c r="C112" s="202"/>
      <c r="D112" s="202"/>
      <c r="E112" s="202"/>
      <c r="F112" s="203"/>
      <c r="G112" s="18">
        <v>46075</v>
      </c>
      <c r="H112" s="209" t="s">
        <v>9</v>
      </c>
      <c r="I112" s="202"/>
      <c r="J112" s="202"/>
      <c r="K112" s="202"/>
      <c r="L112" s="202"/>
      <c r="M112" s="202"/>
      <c r="N112" s="202"/>
      <c r="O112" s="202"/>
      <c r="P112" s="202"/>
      <c r="Q112" s="202"/>
      <c r="R112" s="203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thickTop="1" thickBot="1" x14ac:dyDescent="0.35">
      <c r="A114" s="66" t="s">
        <v>28</v>
      </c>
      <c r="B114" s="66" t="s">
        <v>268</v>
      </c>
      <c r="C114" s="67">
        <v>0.42708333333333331</v>
      </c>
      <c r="D114" s="66" t="s">
        <v>30</v>
      </c>
      <c r="E114" s="68"/>
      <c r="F114" s="66" t="s">
        <v>31</v>
      </c>
      <c r="G114" s="208"/>
      <c r="H114" s="69" t="s">
        <v>268</v>
      </c>
      <c r="I114" s="70">
        <v>5.5999999999999999E-3</v>
      </c>
      <c r="J114" s="71">
        <v>1</v>
      </c>
      <c r="K114" s="72" t="s">
        <v>286</v>
      </c>
      <c r="L114" s="71">
        <v>1</v>
      </c>
      <c r="M114" s="71">
        <v>0</v>
      </c>
      <c r="N114" s="71">
        <v>0</v>
      </c>
      <c r="O114" s="73" t="s">
        <v>281</v>
      </c>
      <c r="P114" s="74">
        <v>0.42708333333333331</v>
      </c>
      <c r="Q114" s="71">
        <v>179</v>
      </c>
      <c r="R114" s="75" t="s">
        <v>147</v>
      </c>
    </row>
    <row r="115" spans="1:18" ht="17.399999999999999" customHeight="1" thickBot="1" x14ac:dyDescent="0.35">
      <c r="A115" s="233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5"/>
    </row>
    <row r="116" spans="1:18" ht="22.05" customHeight="1" thickTop="1" thickBot="1" x14ac:dyDescent="0.35">
      <c r="A116" s="201" t="s">
        <v>8</v>
      </c>
      <c r="B116" s="202"/>
      <c r="C116" s="202"/>
      <c r="D116" s="202"/>
      <c r="E116" s="202"/>
      <c r="F116" s="203"/>
      <c r="G116" s="18">
        <v>46076</v>
      </c>
      <c r="H116" s="209" t="s">
        <v>9</v>
      </c>
      <c r="I116" s="202"/>
      <c r="J116" s="202"/>
      <c r="K116" s="202"/>
      <c r="L116" s="202"/>
      <c r="M116" s="202"/>
      <c r="N116" s="202"/>
      <c r="O116" s="202"/>
      <c r="P116" s="202"/>
      <c r="Q116" s="202"/>
      <c r="R116" s="203"/>
    </row>
    <row r="117" spans="1:18" ht="24" customHeight="1" x14ac:dyDescent="0.3">
      <c r="A117" s="19" t="s">
        <v>10</v>
      </c>
      <c r="B117" s="19" t="s">
        <v>11</v>
      </c>
      <c r="C117" s="20" t="s">
        <v>12</v>
      </c>
      <c r="D117" s="19" t="s">
        <v>13</v>
      </c>
      <c r="E117" s="19" t="s">
        <v>14</v>
      </c>
      <c r="F117" s="21" t="s">
        <v>15</v>
      </c>
      <c r="G117" s="22" t="s">
        <v>16</v>
      </c>
      <c r="H117" s="19" t="s">
        <v>17</v>
      </c>
      <c r="I117" s="23" t="s">
        <v>18</v>
      </c>
      <c r="J117" s="24" t="s">
        <v>19</v>
      </c>
      <c r="K117" s="25" t="s">
        <v>20</v>
      </c>
      <c r="L117" s="24" t="s">
        <v>21</v>
      </c>
      <c r="M117" s="24" t="s">
        <v>22</v>
      </c>
      <c r="N117" s="24" t="s">
        <v>23</v>
      </c>
      <c r="O117" s="19" t="s">
        <v>24</v>
      </c>
      <c r="P117" s="20" t="s">
        <v>25</v>
      </c>
      <c r="Q117" s="24" t="s">
        <v>26</v>
      </c>
      <c r="R117" s="19" t="s">
        <v>27</v>
      </c>
    </row>
    <row r="118" spans="1:18" ht="49.95" customHeight="1" thickTop="1" thickBot="1" x14ac:dyDescent="0.35">
      <c r="A118" s="56" t="s">
        <v>28</v>
      </c>
      <c r="B118" s="56" t="s">
        <v>269</v>
      </c>
      <c r="C118" s="57">
        <v>0.72569444444444453</v>
      </c>
      <c r="D118" s="56" t="s">
        <v>30</v>
      </c>
      <c r="E118" s="58"/>
      <c r="F118" s="56" t="s">
        <v>31</v>
      </c>
      <c r="G118" s="208"/>
      <c r="H118" s="59" t="s">
        <v>269</v>
      </c>
      <c r="I118" s="60">
        <v>5.5999999999999999E-3</v>
      </c>
      <c r="J118" s="61">
        <v>1</v>
      </c>
      <c r="K118" s="62" t="s">
        <v>287</v>
      </c>
      <c r="L118" s="61">
        <v>1</v>
      </c>
      <c r="M118" s="61">
        <v>0</v>
      </c>
      <c r="N118" s="61">
        <v>0</v>
      </c>
      <c r="O118" s="63" t="s">
        <v>281</v>
      </c>
      <c r="P118" s="64">
        <v>0.72569444444444453</v>
      </c>
      <c r="Q118" s="61">
        <v>179</v>
      </c>
      <c r="R118" s="65" t="s">
        <v>147</v>
      </c>
    </row>
    <row r="119" spans="1:18" ht="17.399999999999999" customHeight="1" thickBot="1" x14ac:dyDescent="0.35">
      <c r="A119" s="233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5"/>
    </row>
    <row r="120" spans="1:18" ht="22.05" customHeight="1" thickTop="1" thickBot="1" x14ac:dyDescent="0.35">
      <c r="A120" s="201" t="s">
        <v>8</v>
      </c>
      <c r="B120" s="202"/>
      <c r="C120" s="202"/>
      <c r="D120" s="202"/>
      <c r="E120" s="202"/>
      <c r="F120" s="203"/>
      <c r="G120" s="18">
        <v>46077</v>
      </c>
      <c r="H120" s="209" t="s">
        <v>9</v>
      </c>
      <c r="I120" s="202"/>
      <c r="J120" s="202"/>
      <c r="K120" s="202"/>
      <c r="L120" s="202"/>
      <c r="M120" s="202"/>
      <c r="N120" s="202"/>
      <c r="O120" s="202"/>
      <c r="P120" s="202"/>
      <c r="Q120" s="202"/>
      <c r="R120" s="203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66" t="s">
        <v>28</v>
      </c>
      <c r="B122" s="66" t="s">
        <v>269</v>
      </c>
      <c r="C122" s="67">
        <v>0.71527777777777779</v>
      </c>
      <c r="D122" s="66" t="s">
        <v>30</v>
      </c>
      <c r="E122" s="68"/>
      <c r="F122" s="66" t="s">
        <v>35</v>
      </c>
      <c r="G122" s="208"/>
      <c r="H122" s="69" t="s">
        <v>269</v>
      </c>
      <c r="I122" s="70">
        <v>0</v>
      </c>
      <c r="J122" s="71">
        <v>0</v>
      </c>
      <c r="K122" s="72" t="s">
        <v>36</v>
      </c>
      <c r="L122" s="71">
        <v>0</v>
      </c>
      <c r="M122" s="71">
        <v>0</v>
      </c>
      <c r="N122" s="71">
        <v>0</v>
      </c>
      <c r="O122" s="73" t="s">
        <v>281</v>
      </c>
      <c r="P122" s="74">
        <v>0.71527777777777779</v>
      </c>
      <c r="Q122" s="71">
        <v>179</v>
      </c>
      <c r="R122" s="75" t="s">
        <v>36</v>
      </c>
    </row>
    <row r="123" spans="1:18" ht="17.399999999999999" customHeight="1" thickBot="1" x14ac:dyDescent="0.35">
      <c r="A123" s="233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5"/>
    </row>
    <row r="124" spans="1:18" ht="22.05" customHeight="1" thickTop="1" thickBot="1" x14ac:dyDescent="0.35">
      <c r="A124" s="201" t="s">
        <v>8</v>
      </c>
      <c r="B124" s="202"/>
      <c r="C124" s="202"/>
      <c r="D124" s="202"/>
      <c r="E124" s="202"/>
      <c r="F124" s="203"/>
      <c r="G124" s="18">
        <v>46078</v>
      </c>
      <c r="H124" s="209" t="s">
        <v>9</v>
      </c>
      <c r="I124" s="202"/>
      <c r="J124" s="202"/>
      <c r="K124" s="202"/>
      <c r="L124" s="202"/>
      <c r="M124" s="202"/>
      <c r="N124" s="202"/>
      <c r="O124" s="202"/>
      <c r="P124" s="202"/>
      <c r="Q124" s="202"/>
      <c r="R124" s="203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x14ac:dyDescent="0.3">
      <c r="A126" s="66" t="s">
        <v>28</v>
      </c>
      <c r="B126" s="66" t="s">
        <v>268</v>
      </c>
      <c r="C126" s="67">
        <v>0.41319444444444442</v>
      </c>
      <c r="D126" s="66" t="s">
        <v>30</v>
      </c>
      <c r="E126" s="68"/>
      <c r="F126" s="66" t="s">
        <v>35</v>
      </c>
      <c r="G126" s="208"/>
      <c r="H126" s="117" t="s">
        <v>268</v>
      </c>
      <c r="I126" s="118">
        <v>0</v>
      </c>
      <c r="J126" s="119">
        <v>0</v>
      </c>
      <c r="K126" s="120" t="s">
        <v>36</v>
      </c>
      <c r="L126" s="119">
        <v>0</v>
      </c>
      <c r="M126" s="119">
        <v>0</v>
      </c>
      <c r="N126" s="119">
        <v>0</v>
      </c>
      <c r="O126" s="121" t="s">
        <v>281</v>
      </c>
      <c r="P126" s="122">
        <v>0.41319444444444442</v>
      </c>
      <c r="Q126" s="119">
        <v>179</v>
      </c>
      <c r="R126" s="123" t="s">
        <v>36</v>
      </c>
    </row>
    <row r="127" spans="1:18" ht="49.95" customHeight="1" thickBot="1" x14ac:dyDescent="0.35">
      <c r="A127" s="124" t="s">
        <v>28</v>
      </c>
      <c r="B127" s="124" t="s">
        <v>269</v>
      </c>
      <c r="C127" s="125">
        <v>0.72569444444444453</v>
      </c>
      <c r="D127" s="124" t="s">
        <v>30</v>
      </c>
      <c r="E127" s="126"/>
      <c r="F127" s="124" t="s">
        <v>31</v>
      </c>
      <c r="G127" s="218"/>
      <c r="H127" s="79" t="s">
        <v>269</v>
      </c>
      <c r="I127" s="80">
        <v>5.5999999999999999E-3</v>
      </c>
      <c r="J127" s="81">
        <v>1</v>
      </c>
      <c r="K127" s="82" t="s">
        <v>32</v>
      </c>
      <c r="L127" s="81">
        <v>1</v>
      </c>
      <c r="M127" s="81">
        <v>0</v>
      </c>
      <c r="N127" s="81">
        <v>0</v>
      </c>
      <c r="O127" s="83" t="s">
        <v>281</v>
      </c>
      <c r="P127" s="84">
        <v>0.72569444444444453</v>
      </c>
      <c r="Q127" s="81">
        <v>179</v>
      </c>
      <c r="R127" s="85" t="s">
        <v>284</v>
      </c>
    </row>
    <row r="128" spans="1:18" ht="17.399999999999999" customHeight="1" thickBot="1" x14ac:dyDescent="0.35">
      <c r="A128" s="233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5"/>
    </row>
    <row r="129" spans="1:18" ht="22.05" customHeight="1" thickTop="1" thickBot="1" x14ac:dyDescent="0.35">
      <c r="A129" s="201" t="s">
        <v>8</v>
      </c>
      <c r="B129" s="202"/>
      <c r="C129" s="202"/>
      <c r="D129" s="202"/>
      <c r="E129" s="202"/>
      <c r="F129" s="203"/>
      <c r="G129" s="18">
        <v>46079</v>
      </c>
      <c r="H129" s="209" t="s">
        <v>9</v>
      </c>
      <c r="I129" s="202"/>
      <c r="J129" s="202"/>
      <c r="K129" s="202"/>
      <c r="L129" s="202"/>
      <c r="M129" s="202"/>
      <c r="N129" s="202"/>
      <c r="O129" s="202"/>
      <c r="P129" s="202"/>
      <c r="Q129" s="202"/>
      <c r="R129" s="203"/>
    </row>
    <row r="130" spans="1:18" ht="24" customHeight="1" x14ac:dyDescent="0.3">
      <c r="A130" s="19" t="s">
        <v>10</v>
      </c>
      <c r="B130" s="19" t="s">
        <v>11</v>
      </c>
      <c r="C130" s="20" t="s">
        <v>12</v>
      </c>
      <c r="D130" s="19" t="s">
        <v>13</v>
      </c>
      <c r="E130" s="19" t="s">
        <v>14</v>
      </c>
      <c r="F130" s="21" t="s">
        <v>15</v>
      </c>
      <c r="G130" s="22" t="s">
        <v>16</v>
      </c>
      <c r="H130" s="19" t="s">
        <v>17</v>
      </c>
      <c r="I130" s="23" t="s">
        <v>18</v>
      </c>
      <c r="J130" s="24" t="s">
        <v>19</v>
      </c>
      <c r="K130" s="25" t="s">
        <v>20</v>
      </c>
      <c r="L130" s="24" t="s">
        <v>21</v>
      </c>
      <c r="M130" s="24" t="s">
        <v>22</v>
      </c>
      <c r="N130" s="24" t="s">
        <v>23</v>
      </c>
      <c r="O130" s="19" t="s">
        <v>24</v>
      </c>
      <c r="P130" s="20" t="s">
        <v>25</v>
      </c>
      <c r="Q130" s="24" t="s">
        <v>26</v>
      </c>
      <c r="R130" s="19" t="s">
        <v>27</v>
      </c>
    </row>
    <row r="131" spans="1:18" ht="49.95" customHeight="1" thickTop="1" thickBot="1" x14ac:dyDescent="0.35">
      <c r="A131" s="8" t="s">
        <v>28</v>
      </c>
      <c r="B131" s="8" t="s">
        <v>268</v>
      </c>
      <c r="C131" s="9">
        <v>0.41319444444444442</v>
      </c>
      <c r="D131" s="8" t="s">
        <v>30</v>
      </c>
      <c r="E131" s="10"/>
      <c r="F131" s="8" t="s">
        <v>35</v>
      </c>
      <c r="G131" s="208"/>
      <c r="H131" s="11" t="s">
        <v>268</v>
      </c>
      <c r="I131" s="12">
        <v>0</v>
      </c>
      <c r="J131" s="13">
        <v>0</v>
      </c>
      <c r="K131" s="14" t="s">
        <v>36</v>
      </c>
      <c r="L131" s="13">
        <v>0</v>
      </c>
      <c r="M131" s="13">
        <v>0</v>
      </c>
      <c r="N131" s="13">
        <v>0</v>
      </c>
      <c r="O131" s="15" t="s">
        <v>281</v>
      </c>
      <c r="P131" s="16">
        <v>0.41319444444444442</v>
      </c>
      <c r="Q131" s="13">
        <v>179</v>
      </c>
      <c r="R131" s="17" t="s">
        <v>36</v>
      </c>
    </row>
    <row r="132" spans="1:18" ht="17.399999999999999" customHeight="1" thickBot="1" x14ac:dyDescent="0.35">
      <c r="A132" s="233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5"/>
    </row>
    <row r="133" spans="1:18" ht="22.05" customHeight="1" thickTop="1" thickBot="1" x14ac:dyDescent="0.35">
      <c r="A133" s="201" t="s">
        <v>8</v>
      </c>
      <c r="B133" s="202"/>
      <c r="C133" s="202"/>
      <c r="D133" s="202"/>
      <c r="E133" s="202"/>
      <c r="F133" s="203"/>
      <c r="G133" s="18">
        <v>46080</v>
      </c>
      <c r="H133" s="209" t="s">
        <v>9</v>
      </c>
      <c r="I133" s="202"/>
      <c r="J133" s="202"/>
      <c r="K133" s="202"/>
      <c r="L133" s="202"/>
      <c r="M133" s="202"/>
      <c r="N133" s="202"/>
      <c r="O133" s="202"/>
      <c r="P133" s="202"/>
      <c r="Q133" s="202"/>
      <c r="R133" s="203"/>
    </row>
    <row r="134" spans="1:18" ht="24" customHeight="1" x14ac:dyDescent="0.3">
      <c r="A134" s="19" t="s">
        <v>10</v>
      </c>
      <c r="B134" s="19" t="s">
        <v>11</v>
      </c>
      <c r="C134" s="20" t="s">
        <v>12</v>
      </c>
      <c r="D134" s="19" t="s">
        <v>13</v>
      </c>
      <c r="E134" s="19" t="s">
        <v>14</v>
      </c>
      <c r="F134" s="21" t="s">
        <v>15</v>
      </c>
      <c r="G134" s="22" t="s">
        <v>16</v>
      </c>
      <c r="H134" s="19" t="s">
        <v>17</v>
      </c>
      <c r="I134" s="23" t="s">
        <v>18</v>
      </c>
      <c r="J134" s="24" t="s">
        <v>19</v>
      </c>
      <c r="K134" s="25" t="s">
        <v>20</v>
      </c>
      <c r="L134" s="24" t="s">
        <v>21</v>
      </c>
      <c r="M134" s="24" t="s">
        <v>22</v>
      </c>
      <c r="N134" s="24" t="s">
        <v>23</v>
      </c>
      <c r="O134" s="19" t="s">
        <v>24</v>
      </c>
      <c r="P134" s="20" t="s">
        <v>25</v>
      </c>
      <c r="Q134" s="24" t="s">
        <v>26</v>
      </c>
      <c r="R134" s="19" t="s">
        <v>27</v>
      </c>
    </row>
    <row r="135" spans="1:18" ht="49.95" customHeight="1" x14ac:dyDescent="0.3">
      <c r="A135" s="36" t="s">
        <v>28</v>
      </c>
      <c r="B135" s="36" t="s">
        <v>268</v>
      </c>
      <c r="C135" s="37">
        <v>0.40625</v>
      </c>
      <c r="D135" s="36" t="s">
        <v>30</v>
      </c>
      <c r="E135" s="38"/>
      <c r="F135" s="36" t="s">
        <v>35</v>
      </c>
      <c r="G135" s="208"/>
      <c r="H135" s="143" t="s">
        <v>268</v>
      </c>
      <c r="I135" s="144">
        <v>0</v>
      </c>
      <c r="J135" s="145">
        <v>0</v>
      </c>
      <c r="K135" s="146" t="s">
        <v>36</v>
      </c>
      <c r="L135" s="145">
        <v>0</v>
      </c>
      <c r="M135" s="145">
        <v>0</v>
      </c>
      <c r="N135" s="145">
        <v>0</v>
      </c>
      <c r="O135" s="147" t="s">
        <v>281</v>
      </c>
      <c r="P135" s="148">
        <v>0.40625</v>
      </c>
      <c r="Q135" s="145">
        <v>179</v>
      </c>
      <c r="R135" s="149" t="s">
        <v>36</v>
      </c>
    </row>
    <row r="136" spans="1:18" ht="49.95" customHeight="1" thickBot="1" x14ac:dyDescent="0.35">
      <c r="A136" s="183" t="s">
        <v>28</v>
      </c>
      <c r="B136" s="183" t="s">
        <v>269</v>
      </c>
      <c r="C136" s="184">
        <v>0.72569444444444453</v>
      </c>
      <c r="D136" s="183" t="s">
        <v>30</v>
      </c>
      <c r="E136" s="185"/>
      <c r="F136" s="183" t="s">
        <v>31</v>
      </c>
      <c r="G136" s="218"/>
      <c r="H136" s="90" t="s">
        <v>269</v>
      </c>
      <c r="I136" s="91">
        <v>6.7000000000000004E-2</v>
      </c>
      <c r="J136" s="92">
        <v>12</v>
      </c>
      <c r="K136" s="93" t="s">
        <v>286</v>
      </c>
      <c r="L136" s="92">
        <v>12</v>
      </c>
      <c r="M136" s="92">
        <v>0</v>
      </c>
      <c r="N136" s="92">
        <v>0</v>
      </c>
      <c r="O136" s="94" t="s">
        <v>234</v>
      </c>
      <c r="P136" s="95">
        <v>0.72569444444444453</v>
      </c>
      <c r="Q136" s="92">
        <v>179</v>
      </c>
      <c r="R136" s="96" t="s">
        <v>288</v>
      </c>
    </row>
    <row r="137" spans="1:18" ht="17.399999999999999" customHeight="1" thickBot="1" x14ac:dyDescent="0.35">
      <c r="A137" s="233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5"/>
    </row>
    <row r="138" spans="1:18" ht="22.05" customHeight="1" thickTop="1" thickBot="1" x14ac:dyDescent="0.35">
      <c r="A138" s="201" t="s">
        <v>8</v>
      </c>
      <c r="B138" s="202"/>
      <c r="C138" s="202"/>
      <c r="D138" s="202"/>
      <c r="E138" s="202"/>
      <c r="F138" s="203"/>
      <c r="G138" s="18">
        <v>46081</v>
      </c>
      <c r="H138" s="209" t="s">
        <v>9</v>
      </c>
      <c r="I138" s="202"/>
      <c r="J138" s="202"/>
      <c r="K138" s="202"/>
      <c r="L138" s="202"/>
      <c r="M138" s="202"/>
      <c r="N138" s="202"/>
      <c r="O138" s="202"/>
      <c r="P138" s="202"/>
      <c r="Q138" s="202"/>
      <c r="R138" s="203"/>
    </row>
    <row r="139" spans="1:18" ht="24" customHeight="1" x14ac:dyDescent="0.3">
      <c r="A139" s="19" t="s">
        <v>10</v>
      </c>
      <c r="B139" s="19" t="s">
        <v>11</v>
      </c>
      <c r="C139" s="20" t="s">
        <v>12</v>
      </c>
      <c r="D139" s="19" t="s">
        <v>13</v>
      </c>
      <c r="E139" s="19" t="s">
        <v>14</v>
      </c>
      <c r="F139" s="21" t="s">
        <v>15</v>
      </c>
      <c r="G139" s="22" t="s">
        <v>16</v>
      </c>
      <c r="H139" s="19" t="s">
        <v>17</v>
      </c>
      <c r="I139" s="23" t="s">
        <v>18</v>
      </c>
      <c r="J139" s="24" t="s">
        <v>19</v>
      </c>
      <c r="K139" s="25" t="s">
        <v>20</v>
      </c>
      <c r="L139" s="24" t="s">
        <v>21</v>
      </c>
      <c r="M139" s="24" t="s">
        <v>22</v>
      </c>
      <c r="N139" s="24" t="s">
        <v>23</v>
      </c>
      <c r="O139" s="19" t="s">
        <v>24</v>
      </c>
      <c r="P139" s="20" t="s">
        <v>25</v>
      </c>
      <c r="Q139" s="24" t="s">
        <v>26</v>
      </c>
      <c r="R139" s="19" t="s">
        <v>27</v>
      </c>
    </row>
    <row r="140" spans="1:18" ht="49.95" customHeight="1" thickTop="1" thickBot="1" x14ac:dyDescent="0.5">
      <c r="A140" s="8" t="s">
        <v>28</v>
      </c>
      <c r="B140" s="8" t="s">
        <v>268</v>
      </c>
      <c r="C140" s="9">
        <v>0.41319444444444442</v>
      </c>
      <c r="D140" s="8" t="s">
        <v>30</v>
      </c>
      <c r="E140" s="10"/>
      <c r="F140" s="8" t="s">
        <v>31</v>
      </c>
      <c r="G140" s="204"/>
      <c r="H140" s="11" t="s">
        <v>268</v>
      </c>
      <c r="I140" s="12">
        <v>2.7900000000000001E-2</v>
      </c>
      <c r="J140" s="13">
        <v>5</v>
      </c>
      <c r="K140" s="14" t="s">
        <v>59</v>
      </c>
      <c r="L140" s="13">
        <v>5</v>
      </c>
      <c r="M140" s="13">
        <v>0</v>
      </c>
      <c r="N140" s="13">
        <v>0</v>
      </c>
      <c r="O140" s="15" t="s">
        <v>54</v>
      </c>
      <c r="P140" s="16">
        <v>0.41319444444444442</v>
      </c>
      <c r="Q140" s="13">
        <v>179</v>
      </c>
      <c r="R140" s="17" t="s">
        <v>289</v>
      </c>
    </row>
    <row r="141" spans="1:18" ht="17.399999999999999" customHeight="1" thickBot="1" x14ac:dyDescent="0.35">
      <c r="A141" s="233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5"/>
    </row>
    <row r="142" spans="1:18" ht="22.05" customHeight="1" thickTop="1" thickBot="1" x14ac:dyDescent="0.35">
      <c r="A142" s="201" t="s">
        <v>8</v>
      </c>
      <c r="B142" s="202"/>
      <c r="C142" s="202"/>
      <c r="D142" s="202"/>
      <c r="E142" s="202"/>
      <c r="F142" s="203"/>
      <c r="G142" s="18">
        <v>46082</v>
      </c>
      <c r="H142" s="209" t="s">
        <v>9</v>
      </c>
      <c r="I142" s="202"/>
      <c r="J142" s="202"/>
      <c r="K142" s="202"/>
      <c r="L142" s="202"/>
      <c r="M142" s="202"/>
      <c r="N142" s="202"/>
      <c r="O142" s="202"/>
      <c r="P142" s="202"/>
      <c r="Q142" s="202"/>
      <c r="R142" s="203"/>
    </row>
    <row r="143" spans="1:18" ht="24" customHeight="1" x14ac:dyDescent="0.3">
      <c r="A143" s="19" t="s">
        <v>10</v>
      </c>
      <c r="B143" s="19" t="s">
        <v>11</v>
      </c>
      <c r="C143" s="20" t="s">
        <v>12</v>
      </c>
      <c r="D143" s="19" t="s">
        <v>13</v>
      </c>
      <c r="E143" s="19" t="s">
        <v>14</v>
      </c>
      <c r="F143" s="21" t="s">
        <v>15</v>
      </c>
      <c r="G143" s="22" t="s">
        <v>16</v>
      </c>
      <c r="H143" s="19" t="s">
        <v>17</v>
      </c>
      <c r="I143" s="23" t="s">
        <v>18</v>
      </c>
      <c r="J143" s="24" t="s">
        <v>19</v>
      </c>
      <c r="K143" s="25" t="s">
        <v>20</v>
      </c>
      <c r="L143" s="24" t="s">
        <v>21</v>
      </c>
      <c r="M143" s="24" t="s">
        <v>22</v>
      </c>
      <c r="N143" s="24" t="s">
        <v>23</v>
      </c>
      <c r="O143" s="19" t="s">
        <v>24</v>
      </c>
      <c r="P143" s="20" t="s">
        <v>25</v>
      </c>
      <c r="Q143" s="24" t="s">
        <v>26</v>
      </c>
      <c r="R143" s="19" t="s">
        <v>27</v>
      </c>
    </row>
    <row r="144" spans="1:18" ht="49.95" customHeight="1" x14ac:dyDescent="0.45">
      <c r="A144" s="56" t="s">
        <v>28</v>
      </c>
      <c r="B144" s="56" t="s">
        <v>268</v>
      </c>
      <c r="C144" s="57">
        <v>0.42708333333333331</v>
      </c>
      <c r="D144" s="56" t="s">
        <v>30</v>
      </c>
      <c r="E144" s="58"/>
      <c r="F144" s="56" t="s">
        <v>31</v>
      </c>
      <c r="G144" s="204"/>
      <c r="H144" s="59" t="s">
        <v>268</v>
      </c>
      <c r="I144" s="60">
        <v>5.5999999999999999E-3</v>
      </c>
      <c r="J144" s="61">
        <v>1</v>
      </c>
      <c r="K144" s="62" t="s">
        <v>46</v>
      </c>
      <c r="L144" s="61">
        <v>1</v>
      </c>
      <c r="M144" s="61">
        <v>0</v>
      </c>
      <c r="N144" s="61">
        <v>0</v>
      </c>
      <c r="O144" s="63" t="s">
        <v>290</v>
      </c>
      <c r="P144" s="64">
        <v>0.42708333333333331</v>
      </c>
      <c r="Q144" s="61">
        <v>179</v>
      </c>
      <c r="R144" s="65" t="s">
        <v>124</v>
      </c>
    </row>
  </sheetData>
  <mergeCells count="138">
    <mergeCell ref="G140"/>
    <mergeCell ref="A47:R47"/>
    <mergeCell ref="H64:R64"/>
    <mergeCell ref="H73:R73"/>
    <mergeCell ref="G11"/>
    <mergeCell ref="A4:F4"/>
    <mergeCell ref="A43:F43"/>
    <mergeCell ref="A52:F52"/>
    <mergeCell ref="A72:R72"/>
    <mergeCell ref="A29:R29"/>
    <mergeCell ref="A81:R81"/>
    <mergeCell ref="A38:R38"/>
    <mergeCell ref="H138:R138"/>
    <mergeCell ref="G135:G136"/>
    <mergeCell ref="H90:R90"/>
    <mergeCell ref="G45:G46"/>
    <mergeCell ref="H99:R99"/>
    <mergeCell ref="G118"/>
    <mergeCell ref="A138:F138"/>
    <mergeCell ref="A51:R51"/>
    <mergeCell ref="A107:R107"/>
    <mergeCell ref="G96:G97"/>
    <mergeCell ref="H124:R124"/>
    <mergeCell ref="G24"/>
    <mergeCell ref="N1:R1"/>
    <mergeCell ref="K2:R2"/>
    <mergeCell ref="A34:F34"/>
    <mergeCell ref="A39:F39"/>
    <mergeCell ref="H22:R22"/>
    <mergeCell ref="G62"/>
    <mergeCell ref="A77:R77"/>
    <mergeCell ref="A94:F94"/>
    <mergeCell ref="A103:F103"/>
    <mergeCell ref="H86:R86"/>
    <mergeCell ref="A78:F78"/>
    <mergeCell ref="H30:R30"/>
    <mergeCell ref="A25:R25"/>
    <mergeCell ref="G66:G67"/>
    <mergeCell ref="H78:R78"/>
    <mergeCell ref="H4:R4"/>
    <mergeCell ref="A3:R3"/>
    <mergeCell ref="A55:R55"/>
    <mergeCell ref="G80"/>
    <mergeCell ref="A69:F69"/>
    <mergeCell ref="A142:F142"/>
    <mergeCell ref="G75:G76"/>
    <mergeCell ref="H48:R48"/>
    <mergeCell ref="G58"/>
    <mergeCell ref="G110"/>
    <mergeCell ref="A90:F90"/>
    <mergeCell ref="G126:G127"/>
    <mergeCell ref="G20"/>
    <mergeCell ref="A128:R128"/>
    <mergeCell ref="H43:R43"/>
    <mergeCell ref="A56:F56"/>
    <mergeCell ref="A26:F26"/>
    <mergeCell ref="A89:R89"/>
    <mergeCell ref="G84"/>
    <mergeCell ref="A129:F129"/>
    <mergeCell ref="A21:R21"/>
    <mergeCell ref="A116:F116"/>
    <mergeCell ref="H60:R60"/>
    <mergeCell ref="A123:R123"/>
    <mergeCell ref="A132:R132"/>
    <mergeCell ref="A119:R119"/>
    <mergeCell ref="G114"/>
    <mergeCell ref="G105:G106"/>
    <mergeCell ref="A120:F120"/>
    <mergeCell ref="A2:F2"/>
    <mergeCell ref="H56:R56"/>
    <mergeCell ref="H34:R34"/>
    <mergeCell ref="A22:F22"/>
    <mergeCell ref="H133:R133"/>
    <mergeCell ref="G71"/>
    <mergeCell ref="A8:R8"/>
    <mergeCell ref="H94:R94"/>
    <mergeCell ref="A112:F112"/>
    <mergeCell ref="H69:R69"/>
    <mergeCell ref="A63:R63"/>
    <mergeCell ref="A9:F9"/>
    <mergeCell ref="A115:R115"/>
    <mergeCell ref="A93:R93"/>
    <mergeCell ref="A68:R68"/>
    <mergeCell ref="A102:R102"/>
    <mergeCell ref="A48:F48"/>
    <mergeCell ref="A111:R111"/>
    <mergeCell ref="A30:F30"/>
    <mergeCell ref="A12:R12"/>
    <mergeCell ref="G6:G7"/>
    <mergeCell ref="G2:J2"/>
    <mergeCell ref="G15:G16"/>
    <mergeCell ref="H112:R112"/>
    <mergeCell ref="H120:R120"/>
    <mergeCell ref="A124:F124"/>
    <mergeCell ref="H18:R18"/>
    <mergeCell ref="G36:G37"/>
    <mergeCell ref="H116:R116"/>
    <mergeCell ref="A99:F99"/>
    <mergeCell ref="A108:F108"/>
    <mergeCell ref="H82:R82"/>
    <mergeCell ref="A137:R137"/>
    <mergeCell ref="A18:F18"/>
    <mergeCell ref="G54"/>
    <mergeCell ref="G32"/>
    <mergeCell ref="G131"/>
    <mergeCell ref="G28"/>
    <mergeCell ref="A64:F64"/>
    <mergeCell ref="H13:R13"/>
    <mergeCell ref="A73:F73"/>
    <mergeCell ref="A82:F82"/>
    <mergeCell ref="A59:R59"/>
    <mergeCell ref="A60:F60"/>
    <mergeCell ref="G92"/>
    <mergeCell ref="A98:R98"/>
    <mergeCell ref="H26:R26"/>
    <mergeCell ref="G88"/>
    <mergeCell ref="G144"/>
    <mergeCell ref="A133:F133"/>
    <mergeCell ref="H1:L1"/>
    <mergeCell ref="A1:E1"/>
    <mergeCell ref="H103:R103"/>
    <mergeCell ref="G41"/>
    <mergeCell ref="G50"/>
    <mergeCell ref="A86:F86"/>
    <mergeCell ref="H9:R9"/>
    <mergeCell ref="H39:R39"/>
    <mergeCell ref="A33:R33"/>
    <mergeCell ref="A85:R85"/>
    <mergeCell ref="A42:R42"/>
    <mergeCell ref="H142:R142"/>
    <mergeCell ref="A17:R17"/>
    <mergeCell ref="H129:R129"/>
    <mergeCell ref="A141:R141"/>
    <mergeCell ref="H52:R52"/>
    <mergeCell ref="H108:R108"/>
    <mergeCell ref="A13:F13"/>
    <mergeCell ref="G122"/>
    <mergeCell ref="G1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5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8.3320312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235</v>
      </c>
      <c r="B2" s="222">
        <v>46050</v>
      </c>
      <c r="C2" s="223" t="s">
        <v>268</v>
      </c>
      <c r="D2" s="224" t="s">
        <v>291</v>
      </c>
      <c r="E2" s="223" t="s">
        <v>267</v>
      </c>
      <c r="F2" s="223" t="s">
        <v>111</v>
      </c>
      <c r="G2" s="225">
        <v>5.5999999999999999E-3</v>
      </c>
      <c r="H2" s="226">
        <v>179</v>
      </c>
      <c r="I2" s="226">
        <v>1</v>
      </c>
      <c r="J2" s="226">
        <v>0</v>
      </c>
      <c r="K2" s="223" t="s">
        <v>112</v>
      </c>
      <c r="L2" s="227" t="s">
        <v>167</v>
      </c>
      <c r="M2" s="226">
        <v>0</v>
      </c>
      <c r="N2" s="226">
        <v>0</v>
      </c>
      <c r="O2" s="226">
        <v>1</v>
      </c>
      <c r="P2" s="223" t="s">
        <v>125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6" t="s">
        <v>43</v>
      </c>
      <c r="AF2" s="219"/>
      <c r="AG2" s="219"/>
      <c r="AH2" s="219"/>
      <c r="AI2" s="219"/>
      <c r="AJ2" s="219"/>
    </row>
    <row r="3" spans="1:36" x14ac:dyDescent="0.3">
      <c r="A3" s="221" t="s">
        <v>235</v>
      </c>
      <c r="B3" s="222">
        <v>46050</v>
      </c>
      <c r="C3" s="223" t="s">
        <v>269</v>
      </c>
      <c r="D3" s="224" t="s">
        <v>292</v>
      </c>
      <c r="E3" s="223" t="s">
        <v>267</v>
      </c>
      <c r="F3" s="223" t="s">
        <v>111</v>
      </c>
      <c r="G3" s="225">
        <v>6.1499999999999999E-2</v>
      </c>
      <c r="H3" s="226">
        <v>179</v>
      </c>
      <c r="I3" s="226">
        <v>11</v>
      </c>
      <c r="J3" s="226">
        <v>0</v>
      </c>
      <c r="K3" s="223" t="s">
        <v>112</v>
      </c>
      <c r="L3" s="227" t="s">
        <v>179</v>
      </c>
      <c r="M3" s="226">
        <v>0</v>
      </c>
      <c r="N3" s="226">
        <v>0</v>
      </c>
      <c r="O3" s="226">
        <v>11</v>
      </c>
      <c r="P3" s="223" t="s">
        <v>180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26" t="s">
        <v>155</v>
      </c>
      <c r="AE3" s="226" t="s">
        <v>278</v>
      </c>
      <c r="AF3" s="219"/>
      <c r="AG3" s="219"/>
      <c r="AH3" s="219"/>
      <c r="AI3" s="219"/>
      <c r="AJ3" s="219"/>
    </row>
    <row r="4" spans="1:36" x14ac:dyDescent="0.3">
      <c r="A4" s="221" t="s">
        <v>109</v>
      </c>
      <c r="B4" s="222">
        <v>46051</v>
      </c>
      <c r="C4" s="223" t="s">
        <v>268</v>
      </c>
      <c r="D4" s="224" t="s">
        <v>291</v>
      </c>
      <c r="E4" s="223" t="s">
        <v>267</v>
      </c>
      <c r="F4" s="223" t="s">
        <v>111</v>
      </c>
      <c r="G4" s="225">
        <v>1.6799999999999999E-2</v>
      </c>
      <c r="H4" s="226">
        <v>179</v>
      </c>
      <c r="I4" s="226">
        <v>3</v>
      </c>
      <c r="J4" s="226">
        <v>0</v>
      </c>
      <c r="K4" s="223" t="s">
        <v>112</v>
      </c>
      <c r="L4" s="227" t="s">
        <v>178</v>
      </c>
      <c r="M4" s="226">
        <v>0</v>
      </c>
      <c r="N4" s="226">
        <v>0</v>
      </c>
      <c r="O4" s="226">
        <v>3</v>
      </c>
      <c r="P4" s="223" t="s">
        <v>140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26" t="s">
        <v>123</v>
      </c>
      <c r="AF4" s="219"/>
      <c r="AG4" s="219"/>
      <c r="AH4" s="219"/>
      <c r="AI4" s="219"/>
      <c r="AJ4" s="219"/>
    </row>
    <row r="5" spans="1:36" x14ac:dyDescent="0.3">
      <c r="A5" s="221" t="s">
        <v>246</v>
      </c>
      <c r="B5" s="222">
        <v>46052</v>
      </c>
      <c r="C5" s="223" t="s">
        <v>268</v>
      </c>
      <c r="D5" s="224" t="s">
        <v>244</v>
      </c>
      <c r="E5" s="223" t="s">
        <v>267</v>
      </c>
      <c r="F5" s="223" t="s">
        <v>111</v>
      </c>
      <c r="G5" s="225">
        <v>1.6799999999999999E-2</v>
      </c>
      <c r="H5" s="226">
        <v>179</v>
      </c>
      <c r="I5" s="226">
        <v>3</v>
      </c>
      <c r="J5" s="226">
        <v>0</v>
      </c>
      <c r="K5" s="223" t="s">
        <v>112</v>
      </c>
      <c r="L5" s="227" t="s">
        <v>46</v>
      </c>
      <c r="M5" s="226">
        <v>0</v>
      </c>
      <c r="N5" s="226">
        <v>0</v>
      </c>
      <c r="O5" s="226">
        <v>3</v>
      </c>
      <c r="P5" s="223" t="s">
        <v>140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6" t="s">
        <v>123</v>
      </c>
      <c r="AF5" s="219"/>
      <c r="AG5" s="219"/>
      <c r="AH5" s="219"/>
      <c r="AI5" s="219"/>
      <c r="AJ5" s="219"/>
    </row>
    <row r="6" spans="1:36" x14ac:dyDescent="0.3">
      <c r="A6" s="221" t="s">
        <v>246</v>
      </c>
      <c r="B6" s="222">
        <v>46052</v>
      </c>
      <c r="C6" s="223" t="s">
        <v>269</v>
      </c>
      <c r="D6" s="224" t="s">
        <v>292</v>
      </c>
      <c r="E6" s="223" t="s">
        <v>267</v>
      </c>
      <c r="F6" s="223" t="s">
        <v>111</v>
      </c>
      <c r="G6" s="225">
        <v>6.1499999999999999E-2</v>
      </c>
      <c r="H6" s="226">
        <v>179</v>
      </c>
      <c r="I6" s="226">
        <v>11</v>
      </c>
      <c r="J6" s="226">
        <v>0</v>
      </c>
      <c r="K6" s="223" t="s">
        <v>112</v>
      </c>
      <c r="L6" s="227" t="s">
        <v>65</v>
      </c>
      <c r="M6" s="226">
        <v>0</v>
      </c>
      <c r="N6" s="226">
        <v>0</v>
      </c>
      <c r="O6" s="226">
        <v>11</v>
      </c>
      <c r="P6" s="223" t="s">
        <v>180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26" t="s">
        <v>56</v>
      </c>
      <c r="AE6" s="226" t="s">
        <v>276</v>
      </c>
      <c r="AF6" s="219"/>
      <c r="AG6" s="219"/>
      <c r="AH6" s="219"/>
      <c r="AI6" s="219"/>
      <c r="AJ6" s="219"/>
    </row>
    <row r="7" spans="1:36" x14ac:dyDescent="0.3">
      <c r="A7" s="221" t="s">
        <v>113</v>
      </c>
      <c r="B7" s="222">
        <v>46053</v>
      </c>
      <c r="C7" s="223" t="s">
        <v>268</v>
      </c>
      <c r="D7" s="224" t="s">
        <v>291</v>
      </c>
      <c r="E7" s="223" t="s">
        <v>267</v>
      </c>
      <c r="F7" s="223" t="s">
        <v>111</v>
      </c>
      <c r="G7" s="225">
        <v>5.5899999999999998E-2</v>
      </c>
      <c r="H7" s="226">
        <v>179</v>
      </c>
      <c r="I7" s="226">
        <v>10</v>
      </c>
      <c r="J7" s="226">
        <v>0</v>
      </c>
      <c r="K7" s="223" t="s">
        <v>112</v>
      </c>
      <c r="L7" s="227" t="s">
        <v>178</v>
      </c>
      <c r="M7" s="226">
        <v>0</v>
      </c>
      <c r="N7" s="226">
        <v>0</v>
      </c>
      <c r="O7" s="226">
        <v>10</v>
      </c>
      <c r="P7" s="223" t="s">
        <v>56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26" t="s">
        <v>293</v>
      </c>
      <c r="AB7" s="219"/>
      <c r="AC7" s="219"/>
      <c r="AD7" s="226" t="s">
        <v>180</v>
      </c>
      <c r="AE7" s="226" t="s">
        <v>125</v>
      </c>
      <c r="AF7" s="219"/>
      <c r="AG7" s="219"/>
      <c r="AH7" s="219"/>
      <c r="AI7" s="219"/>
      <c r="AJ7" s="219"/>
    </row>
    <row r="8" spans="1:36" x14ac:dyDescent="0.3">
      <c r="A8" s="221" t="s">
        <v>115</v>
      </c>
      <c r="B8" s="222">
        <v>46054</v>
      </c>
      <c r="C8" s="223" t="s">
        <v>268</v>
      </c>
      <c r="D8" s="224" t="s">
        <v>294</v>
      </c>
      <c r="E8" s="223" t="s">
        <v>267</v>
      </c>
      <c r="F8" s="223" t="s">
        <v>111</v>
      </c>
      <c r="G8" s="225">
        <v>1.6799999999999999E-2</v>
      </c>
      <c r="H8" s="226">
        <v>179</v>
      </c>
      <c r="I8" s="226">
        <v>3</v>
      </c>
      <c r="J8" s="226">
        <v>0</v>
      </c>
      <c r="K8" s="223" t="s">
        <v>112</v>
      </c>
      <c r="L8" s="227" t="s">
        <v>273</v>
      </c>
      <c r="M8" s="226">
        <v>0</v>
      </c>
      <c r="N8" s="226">
        <v>0</v>
      </c>
      <c r="O8" s="226">
        <v>3</v>
      </c>
      <c r="P8" s="223" t="s">
        <v>140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26" t="s">
        <v>66</v>
      </c>
      <c r="AE8" s="226" t="s">
        <v>43</v>
      </c>
      <c r="AF8" s="226" t="s">
        <v>124</v>
      </c>
      <c r="AG8" s="219"/>
      <c r="AH8" s="219"/>
      <c r="AI8" s="219"/>
      <c r="AJ8" s="219"/>
    </row>
    <row r="9" spans="1:36" x14ac:dyDescent="0.3">
      <c r="A9" s="221" t="s">
        <v>119</v>
      </c>
      <c r="B9" s="222">
        <v>46055</v>
      </c>
      <c r="C9" s="223" t="s">
        <v>269</v>
      </c>
      <c r="D9" s="224" t="s">
        <v>292</v>
      </c>
      <c r="E9" s="223" t="s">
        <v>267</v>
      </c>
      <c r="F9" s="223" t="s">
        <v>111</v>
      </c>
      <c r="G9" s="225">
        <v>5.5999999999999999E-3</v>
      </c>
      <c r="H9" s="226">
        <v>179</v>
      </c>
      <c r="I9" s="226">
        <v>1</v>
      </c>
      <c r="J9" s="226">
        <v>0</v>
      </c>
      <c r="K9" s="223" t="s">
        <v>112</v>
      </c>
      <c r="L9" s="227" t="s">
        <v>41</v>
      </c>
      <c r="M9" s="226">
        <v>0</v>
      </c>
      <c r="N9" s="226">
        <v>0</v>
      </c>
      <c r="O9" s="226">
        <v>1</v>
      </c>
      <c r="P9" s="223" t="s">
        <v>125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26" t="s">
        <v>43</v>
      </c>
      <c r="AF9" s="219"/>
      <c r="AG9" s="219"/>
      <c r="AH9" s="219"/>
      <c r="AI9" s="219"/>
      <c r="AJ9" s="219"/>
    </row>
    <row r="10" spans="1:36" x14ac:dyDescent="0.3">
      <c r="A10" s="221" t="s">
        <v>121</v>
      </c>
      <c r="B10" s="222">
        <v>46056</v>
      </c>
      <c r="C10" s="223" t="s">
        <v>269</v>
      </c>
      <c r="D10" s="224" t="s">
        <v>295</v>
      </c>
      <c r="E10" s="223" t="s">
        <v>267</v>
      </c>
      <c r="F10" s="223" t="s">
        <v>111</v>
      </c>
      <c r="G10" s="225">
        <v>5.5999999999999999E-3</v>
      </c>
      <c r="H10" s="226">
        <v>179</v>
      </c>
      <c r="I10" s="226">
        <v>1</v>
      </c>
      <c r="J10" s="226">
        <v>0</v>
      </c>
      <c r="K10" s="223" t="s">
        <v>112</v>
      </c>
      <c r="L10" s="227" t="s">
        <v>275</v>
      </c>
      <c r="M10" s="226">
        <v>0</v>
      </c>
      <c r="N10" s="226">
        <v>0</v>
      </c>
      <c r="O10" s="226">
        <v>1</v>
      </c>
      <c r="P10" s="223" t="s">
        <v>125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26" t="s">
        <v>124</v>
      </c>
      <c r="AG10" s="219"/>
      <c r="AH10" s="219"/>
      <c r="AI10" s="219"/>
      <c r="AJ10" s="219"/>
    </row>
    <row r="11" spans="1:36" x14ac:dyDescent="0.3">
      <c r="A11" s="221" t="s">
        <v>235</v>
      </c>
      <c r="B11" s="222">
        <v>46057</v>
      </c>
      <c r="C11" s="223" t="s">
        <v>268</v>
      </c>
      <c r="D11" s="224" t="s">
        <v>291</v>
      </c>
      <c r="E11" s="223" t="s">
        <v>267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276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235</v>
      </c>
      <c r="B12" s="222">
        <v>46057</v>
      </c>
      <c r="C12" s="223" t="s">
        <v>269</v>
      </c>
      <c r="D12" s="224" t="s">
        <v>292</v>
      </c>
      <c r="E12" s="223" t="s">
        <v>267</v>
      </c>
      <c r="F12" s="223" t="s">
        <v>111</v>
      </c>
      <c r="G12" s="225">
        <v>2.23E-2</v>
      </c>
      <c r="H12" s="226">
        <v>179</v>
      </c>
      <c r="I12" s="226">
        <v>4</v>
      </c>
      <c r="J12" s="226">
        <v>0</v>
      </c>
      <c r="K12" s="223" t="s">
        <v>112</v>
      </c>
      <c r="L12" s="227" t="s">
        <v>179</v>
      </c>
      <c r="M12" s="226">
        <v>0</v>
      </c>
      <c r="N12" s="226">
        <v>0</v>
      </c>
      <c r="O12" s="226">
        <v>4</v>
      </c>
      <c r="P12" s="223" t="s">
        <v>123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26" t="s">
        <v>117</v>
      </c>
      <c r="AF12" s="226" t="s">
        <v>54</v>
      </c>
      <c r="AG12" s="219"/>
      <c r="AH12" s="219"/>
      <c r="AI12" s="219"/>
      <c r="AJ12" s="219"/>
    </row>
    <row r="13" spans="1:36" x14ac:dyDescent="0.3">
      <c r="A13" s="221" t="s">
        <v>109</v>
      </c>
      <c r="B13" s="222">
        <v>46058</v>
      </c>
      <c r="C13" s="223" t="s">
        <v>268</v>
      </c>
      <c r="D13" s="224" t="s">
        <v>291</v>
      </c>
      <c r="E13" s="223" t="s">
        <v>267</v>
      </c>
      <c r="F13" s="223" t="s">
        <v>111</v>
      </c>
      <c r="G13" s="225">
        <v>1.12E-2</v>
      </c>
      <c r="H13" s="226">
        <v>179</v>
      </c>
      <c r="I13" s="226">
        <v>2</v>
      </c>
      <c r="J13" s="226">
        <v>0</v>
      </c>
      <c r="K13" s="223" t="s">
        <v>112</v>
      </c>
      <c r="L13" s="227" t="s">
        <v>165</v>
      </c>
      <c r="M13" s="226">
        <v>0</v>
      </c>
      <c r="N13" s="226">
        <v>0</v>
      </c>
      <c r="O13" s="226">
        <v>2</v>
      </c>
      <c r="P13" s="223" t="s">
        <v>278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26" t="s">
        <v>43</v>
      </c>
      <c r="AF13" s="219"/>
      <c r="AG13" s="219"/>
      <c r="AH13" s="219"/>
      <c r="AI13" s="219"/>
      <c r="AJ13" s="226" t="s">
        <v>149</v>
      </c>
    </row>
    <row r="14" spans="1:36" x14ac:dyDescent="0.3">
      <c r="A14" s="221" t="s">
        <v>246</v>
      </c>
      <c r="B14" s="222">
        <v>46059</v>
      </c>
      <c r="C14" s="223" t="s">
        <v>268</v>
      </c>
      <c r="D14" s="224" t="s">
        <v>244</v>
      </c>
      <c r="E14" s="223" t="s">
        <v>267</v>
      </c>
      <c r="F14" s="223" t="s">
        <v>111</v>
      </c>
      <c r="G14" s="225">
        <v>0</v>
      </c>
      <c r="H14" s="226">
        <v>179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276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246</v>
      </c>
      <c r="B15" s="222">
        <v>46059</v>
      </c>
      <c r="C15" s="223" t="s">
        <v>269</v>
      </c>
      <c r="D15" s="224" t="s">
        <v>292</v>
      </c>
      <c r="E15" s="223" t="s">
        <v>267</v>
      </c>
      <c r="F15" s="223" t="s">
        <v>111</v>
      </c>
      <c r="G15" s="225">
        <v>2.23E-2</v>
      </c>
      <c r="H15" s="226">
        <v>179</v>
      </c>
      <c r="I15" s="226">
        <v>4</v>
      </c>
      <c r="J15" s="226">
        <v>0</v>
      </c>
      <c r="K15" s="223" t="s">
        <v>112</v>
      </c>
      <c r="L15" s="227" t="s">
        <v>179</v>
      </c>
      <c r="M15" s="226">
        <v>0</v>
      </c>
      <c r="N15" s="226">
        <v>0</v>
      </c>
      <c r="O15" s="226">
        <v>4</v>
      </c>
      <c r="P15" s="223" t="s">
        <v>123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26" t="s">
        <v>140</v>
      </c>
      <c r="AF15" s="219"/>
      <c r="AG15" s="219"/>
      <c r="AH15" s="219"/>
      <c r="AI15" s="219"/>
      <c r="AJ15" s="219"/>
    </row>
    <row r="16" spans="1:36" x14ac:dyDescent="0.3">
      <c r="A16" s="221" t="s">
        <v>113</v>
      </c>
      <c r="B16" s="222">
        <v>46060</v>
      </c>
      <c r="C16" s="223" t="s">
        <v>268</v>
      </c>
      <c r="D16" s="224" t="s">
        <v>291</v>
      </c>
      <c r="E16" s="223" t="s">
        <v>267</v>
      </c>
      <c r="F16" s="223" t="s">
        <v>111</v>
      </c>
      <c r="G16" s="225">
        <v>3.3500000000000002E-2</v>
      </c>
      <c r="H16" s="226">
        <v>179</v>
      </c>
      <c r="I16" s="226">
        <v>6</v>
      </c>
      <c r="J16" s="226">
        <v>0</v>
      </c>
      <c r="K16" s="223" t="s">
        <v>112</v>
      </c>
      <c r="L16" s="227" t="s">
        <v>53</v>
      </c>
      <c r="M16" s="226">
        <v>0</v>
      </c>
      <c r="N16" s="226">
        <v>0</v>
      </c>
      <c r="O16" s="226">
        <v>6</v>
      </c>
      <c r="P16" s="223" t="s">
        <v>43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26" t="s">
        <v>117</v>
      </c>
      <c r="AF16" s="226" t="s">
        <v>75</v>
      </c>
      <c r="AG16" s="219"/>
      <c r="AH16" s="219"/>
      <c r="AI16" s="219"/>
      <c r="AJ16" s="219"/>
    </row>
    <row r="17" spans="1:36" x14ac:dyDescent="0.3">
      <c r="A17" s="221" t="s">
        <v>115</v>
      </c>
      <c r="B17" s="222">
        <v>46061</v>
      </c>
      <c r="C17" s="223" t="s">
        <v>268</v>
      </c>
      <c r="D17" s="224" t="s">
        <v>294</v>
      </c>
      <c r="E17" s="223" t="s">
        <v>267</v>
      </c>
      <c r="F17" s="223" t="s">
        <v>111</v>
      </c>
      <c r="G17" s="225">
        <v>1.12E-2</v>
      </c>
      <c r="H17" s="226">
        <v>179</v>
      </c>
      <c r="I17" s="226">
        <v>2</v>
      </c>
      <c r="J17" s="226">
        <v>0</v>
      </c>
      <c r="K17" s="223" t="s">
        <v>112</v>
      </c>
      <c r="L17" s="227" t="s">
        <v>63</v>
      </c>
      <c r="M17" s="226">
        <v>0</v>
      </c>
      <c r="N17" s="226">
        <v>0</v>
      </c>
      <c r="O17" s="226">
        <v>2</v>
      </c>
      <c r="P17" s="223" t="s">
        <v>278</v>
      </c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26" t="s">
        <v>117</v>
      </c>
      <c r="AF17" s="219"/>
      <c r="AG17" s="219"/>
      <c r="AH17" s="219"/>
      <c r="AI17" s="219"/>
      <c r="AJ17" s="219"/>
    </row>
    <row r="18" spans="1:36" x14ac:dyDescent="0.3">
      <c r="A18" s="221" t="s">
        <v>119</v>
      </c>
      <c r="B18" s="222">
        <v>46062</v>
      </c>
      <c r="C18" s="223" t="s">
        <v>269</v>
      </c>
      <c r="D18" s="224" t="s">
        <v>292</v>
      </c>
      <c r="E18" s="223" t="s">
        <v>267</v>
      </c>
      <c r="F18" s="223" t="s">
        <v>111</v>
      </c>
      <c r="G18" s="225">
        <v>2.23E-2</v>
      </c>
      <c r="H18" s="226">
        <v>179</v>
      </c>
      <c r="I18" s="226">
        <v>4</v>
      </c>
      <c r="J18" s="226">
        <v>0</v>
      </c>
      <c r="K18" s="223" t="s">
        <v>112</v>
      </c>
      <c r="L18" s="227" t="s">
        <v>167</v>
      </c>
      <c r="M18" s="226">
        <v>0</v>
      </c>
      <c r="N18" s="226">
        <v>0</v>
      </c>
      <c r="O18" s="226">
        <v>4</v>
      </c>
      <c r="P18" s="223" t="s">
        <v>123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26" t="s">
        <v>140</v>
      </c>
      <c r="AF18" s="219"/>
      <c r="AG18" s="219"/>
      <c r="AH18" s="219"/>
      <c r="AI18" s="219"/>
      <c r="AJ18" s="219"/>
    </row>
    <row r="19" spans="1:36" x14ac:dyDescent="0.3">
      <c r="A19" s="221" t="s">
        <v>121</v>
      </c>
      <c r="B19" s="222">
        <v>46063</v>
      </c>
      <c r="C19" s="223" t="s">
        <v>269</v>
      </c>
      <c r="D19" s="224" t="s">
        <v>295</v>
      </c>
      <c r="E19" s="223" t="s">
        <v>267</v>
      </c>
      <c r="F19" s="223" t="s">
        <v>111</v>
      </c>
      <c r="G19" s="225">
        <v>0</v>
      </c>
      <c r="H19" s="226">
        <v>179</v>
      </c>
      <c r="I19" s="226">
        <v>0</v>
      </c>
      <c r="J19" s="226">
        <v>0</v>
      </c>
      <c r="K19" s="223" t="s">
        <v>112</v>
      </c>
      <c r="L19" s="227" t="s">
        <v>36</v>
      </c>
      <c r="M19" s="226">
        <v>0</v>
      </c>
      <c r="N19" s="226">
        <v>0</v>
      </c>
      <c r="O19" s="226">
        <v>0</v>
      </c>
      <c r="P19" s="223" t="s">
        <v>281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</row>
    <row r="20" spans="1:36" x14ac:dyDescent="0.3">
      <c r="A20" s="221" t="s">
        <v>235</v>
      </c>
      <c r="B20" s="222">
        <v>46064</v>
      </c>
      <c r="C20" s="223" t="s">
        <v>268</v>
      </c>
      <c r="D20" s="224" t="s">
        <v>291</v>
      </c>
      <c r="E20" s="223" t="s">
        <v>267</v>
      </c>
      <c r="F20" s="223" t="s">
        <v>111</v>
      </c>
      <c r="G20" s="225">
        <v>0</v>
      </c>
      <c r="H20" s="226">
        <v>179</v>
      </c>
      <c r="I20" s="226">
        <v>0</v>
      </c>
      <c r="J20" s="226">
        <v>0</v>
      </c>
      <c r="K20" s="223" t="s">
        <v>112</v>
      </c>
      <c r="L20" s="227" t="s">
        <v>36</v>
      </c>
      <c r="M20" s="226">
        <v>0</v>
      </c>
      <c r="N20" s="226">
        <v>0</v>
      </c>
      <c r="O20" s="226">
        <v>0</v>
      </c>
      <c r="P20" s="223" t="s">
        <v>281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</row>
    <row r="21" spans="1:36" x14ac:dyDescent="0.3">
      <c r="A21" s="221" t="s">
        <v>235</v>
      </c>
      <c r="B21" s="222">
        <v>46064</v>
      </c>
      <c r="C21" s="223" t="s">
        <v>269</v>
      </c>
      <c r="D21" s="224" t="s">
        <v>292</v>
      </c>
      <c r="E21" s="223" t="s">
        <v>267</v>
      </c>
      <c r="F21" s="223" t="s">
        <v>111</v>
      </c>
      <c r="G21" s="225">
        <v>0</v>
      </c>
      <c r="H21" s="226">
        <v>179</v>
      </c>
      <c r="I21" s="226">
        <v>0</v>
      </c>
      <c r="J21" s="226">
        <v>0</v>
      </c>
      <c r="K21" s="223" t="s">
        <v>112</v>
      </c>
      <c r="L21" s="227" t="s">
        <v>36</v>
      </c>
      <c r="M21" s="226">
        <v>0</v>
      </c>
      <c r="N21" s="226">
        <v>0</v>
      </c>
      <c r="O21" s="226">
        <v>0</v>
      </c>
      <c r="P21" s="223" t="s">
        <v>281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</row>
    <row r="22" spans="1:36" x14ac:dyDescent="0.3">
      <c r="A22" s="221" t="s">
        <v>109</v>
      </c>
      <c r="B22" s="222">
        <v>46065</v>
      </c>
      <c r="C22" s="223" t="s">
        <v>268</v>
      </c>
      <c r="D22" s="224" t="s">
        <v>291</v>
      </c>
      <c r="E22" s="223" t="s">
        <v>267</v>
      </c>
      <c r="F22" s="223" t="s">
        <v>111</v>
      </c>
      <c r="G22" s="225">
        <v>0</v>
      </c>
      <c r="H22" s="226">
        <v>179</v>
      </c>
      <c r="I22" s="226">
        <v>0</v>
      </c>
      <c r="J22" s="226">
        <v>0</v>
      </c>
      <c r="K22" s="223" t="s">
        <v>112</v>
      </c>
      <c r="L22" s="227" t="s">
        <v>36</v>
      </c>
      <c r="M22" s="226">
        <v>0</v>
      </c>
      <c r="N22" s="226">
        <v>0</v>
      </c>
      <c r="O22" s="226">
        <v>0</v>
      </c>
      <c r="P22" s="223" t="s">
        <v>281</v>
      </c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</row>
    <row r="23" spans="1:36" x14ac:dyDescent="0.3">
      <c r="A23" s="221" t="s">
        <v>246</v>
      </c>
      <c r="B23" s="222">
        <v>46066</v>
      </c>
      <c r="C23" s="223" t="s">
        <v>268</v>
      </c>
      <c r="D23" s="224" t="s">
        <v>244</v>
      </c>
      <c r="E23" s="223" t="s">
        <v>267</v>
      </c>
      <c r="F23" s="223" t="s">
        <v>111</v>
      </c>
      <c r="G23" s="225">
        <v>0</v>
      </c>
      <c r="H23" s="226">
        <v>179</v>
      </c>
      <c r="I23" s="226">
        <v>0</v>
      </c>
      <c r="J23" s="226">
        <v>0</v>
      </c>
      <c r="K23" s="223" t="s">
        <v>112</v>
      </c>
      <c r="L23" s="227" t="s">
        <v>36</v>
      </c>
      <c r="M23" s="226">
        <v>0</v>
      </c>
      <c r="N23" s="226">
        <v>0</v>
      </c>
      <c r="O23" s="226">
        <v>0</v>
      </c>
      <c r="P23" s="223" t="s">
        <v>281</v>
      </c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</row>
    <row r="24" spans="1:36" x14ac:dyDescent="0.3">
      <c r="A24" s="221" t="s">
        <v>246</v>
      </c>
      <c r="B24" s="222">
        <v>46066</v>
      </c>
      <c r="C24" s="223" t="s">
        <v>269</v>
      </c>
      <c r="D24" s="224" t="s">
        <v>292</v>
      </c>
      <c r="E24" s="223" t="s">
        <v>267</v>
      </c>
      <c r="F24" s="223" t="s">
        <v>111</v>
      </c>
      <c r="G24" s="225">
        <v>5.5999999999999999E-3</v>
      </c>
      <c r="H24" s="226">
        <v>179</v>
      </c>
      <c r="I24" s="226">
        <v>1</v>
      </c>
      <c r="J24" s="226">
        <v>0</v>
      </c>
      <c r="K24" s="223" t="s">
        <v>112</v>
      </c>
      <c r="L24" s="227" t="s">
        <v>282</v>
      </c>
      <c r="M24" s="226">
        <v>0</v>
      </c>
      <c r="N24" s="226">
        <v>0</v>
      </c>
      <c r="O24" s="226">
        <v>1</v>
      </c>
      <c r="P24" s="223" t="s">
        <v>281</v>
      </c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26" t="s">
        <v>124</v>
      </c>
      <c r="AG24" s="219"/>
      <c r="AH24" s="219"/>
      <c r="AI24" s="219"/>
      <c r="AJ24" s="219"/>
    </row>
    <row r="25" spans="1:36" x14ac:dyDescent="0.3">
      <c r="A25" s="221" t="s">
        <v>113</v>
      </c>
      <c r="B25" s="222">
        <v>46067</v>
      </c>
      <c r="C25" s="223" t="s">
        <v>268</v>
      </c>
      <c r="D25" s="224" t="s">
        <v>291</v>
      </c>
      <c r="E25" s="223" t="s">
        <v>267</v>
      </c>
      <c r="F25" s="223" t="s">
        <v>111</v>
      </c>
      <c r="G25" s="225">
        <v>0</v>
      </c>
      <c r="H25" s="226">
        <v>179</v>
      </c>
      <c r="I25" s="226">
        <v>0</v>
      </c>
      <c r="J25" s="226">
        <v>0</v>
      </c>
      <c r="K25" s="223" t="s">
        <v>112</v>
      </c>
      <c r="L25" s="227" t="s">
        <v>36</v>
      </c>
      <c r="M25" s="226">
        <v>0</v>
      </c>
      <c r="N25" s="226">
        <v>0</v>
      </c>
      <c r="O25" s="226">
        <v>0</v>
      </c>
      <c r="P25" s="223" t="s">
        <v>281</v>
      </c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</row>
    <row r="26" spans="1:36" x14ac:dyDescent="0.3">
      <c r="A26" s="221" t="s">
        <v>115</v>
      </c>
      <c r="B26" s="222">
        <v>46068</v>
      </c>
      <c r="C26" s="223" t="s">
        <v>268</v>
      </c>
      <c r="D26" s="224" t="s">
        <v>294</v>
      </c>
      <c r="E26" s="223" t="s">
        <v>267</v>
      </c>
      <c r="F26" s="223" t="s">
        <v>111</v>
      </c>
      <c r="G26" s="225">
        <v>5.5999999999999999E-3</v>
      </c>
      <c r="H26" s="226">
        <v>179</v>
      </c>
      <c r="I26" s="226">
        <v>1</v>
      </c>
      <c r="J26" s="226">
        <v>0</v>
      </c>
      <c r="K26" s="223" t="s">
        <v>112</v>
      </c>
      <c r="L26" s="227" t="s">
        <v>283</v>
      </c>
      <c r="M26" s="226">
        <v>0</v>
      </c>
      <c r="N26" s="226">
        <v>0</v>
      </c>
      <c r="O26" s="226">
        <v>1</v>
      </c>
      <c r="P26" s="223" t="s">
        <v>281</v>
      </c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26" t="s">
        <v>124</v>
      </c>
      <c r="AG26" s="219"/>
      <c r="AH26" s="219"/>
      <c r="AI26" s="219"/>
      <c r="AJ26" s="219"/>
    </row>
    <row r="27" spans="1:36" x14ac:dyDescent="0.3">
      <c r="A27" s="221" t="s">
        <v>119</v>
      </c>
      <c r="B27" s="222">
        <v>46069</v>
      </c>
      <c r="C27" s="223" t="s">
        <v>269</v>
      </c>
      <c r="D27" s="224" t="s">
        <v>292</v>
      </c>
      <c r="E27" s="223" t="s">
        <v>267</v>
      </c>
      <c r="F27" s="223" t="s">
        <v>111</v>
      </c>
      <c r="G27" s="225">
        <v>5.5999999999999999E-3</v>
      </c>
      <c r="H27" s="226">
        <v>179</v>
      </c>
      <c r="I27" s="226">
        <v>1</v>
      </c>
      <c r="J27" s="226">
        <v>0</v>
      </c>
      <c r="K27" s="223" t="s">
        <v>112</v>
      </c>
      <c r="L27" s="227" t="s">
        <v>65</v>
      </c>
      <c r="M27" s="226">
        <v>0</v>
      </c>
      <c r="N27" s="226">
        <v>0</v>
      </c>
      <c r="O27" s="226">
        <v>1</v>
      </c>
      <c r="P27" s="223" t="s">
        <v>281</v>
      </c>
      <c r="Q27" s="219"/>
      <c r="R27" s="219"/>
      <c r="S27" s="219"/>
      <c r="T27" s="219"/>
      <c r="U27" s="219"/>
      <c r="V27" s="219"/>
      <c r="W27" s="219"/>
      <c r="X27" s="219"/>
      <c r="Y27" s="226" t="s">
        <v>284</v>
      </c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</row>
    <row r="28" spans="1:36" x14ac:dyDescent="0.3">
      <c r="A28" s="221" t="s">
        <v>121</v>
      </c>
      <c r="B28" s="222">
        <v>46070</v>
      </c>
      <c r="C28" s="223" t="s">
        <v>269</v>
      </c>
      <c r="D28" s="224" t="s">
        <v>295</v>
      </c>
      <c r="E28" s="223" t="s">
        <v>267</v>
      </c>
      <c r="F28" s="223" t="s">
        <v>111</v>
      </c>
      <c r="G28" s="225">
        <v>0</v>
      </c>
      <c r="H28" s="226">
        <v>179</v>
      </c>
      <c r="I28" s="226">
        <v>0</v>
      </c>
      <c r="J28" s="226">
        <v>0</v>
      </c>
      <c r="K28" s="223" t="s">
        <v>112</v>
      </c>
      <c r="L28" s="227" t="s">
        <v>36</v>
      </c>
      <c r="M28" s="226">
        <v>0</v>
      </c>
      <c r="N28" s="226">
        <v>0</v>
      </c>
      <c r="O28" s="226">
        <v>0</v>
      </c>
      <c r="P28" s="223" t="s">
        <v>281</v>
      </c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</row>
    <row r="29" spans="1:36" x14ac:dyDescent="0.3">
      <c r="A29" s="221" t="s">
        <v>235</v>
      </c>
      <c r="B29" s="222">
        <v>46071</v>
      </c>
      <c r="C29" s="223" t="s">
        <v>268</v>
      </c>
      <c r="D29" s="224" t="s">
        <v>291</v>
      </c>
      <c r="E29" s="223" t="s">
        <v>267</v>
      </c>
      <c r="F29" s="223" t="s">
        <v>111</v>
      </c>
      <c r="G29" s="225">
        <v>0</v>
      </c>
      <c r="H29" s="226">
        <v>179</v>
      </c>
      <c r="I29" s="226">
        <v>0</v>
      </c>
      <c r="J29" s="226">
        <v>0</v>
      </c>
      <c r="K29" s="223" t="s">
        <v>112</v>
      </c>
      <c r="L29" s="227" t="s">
        <v>36</v>
      </c>
      <c r="M29" s="226">
        <v>0</v>
      </c>
      <c r="N29" s="226">
        <v>0</v>
      </c>
      <c r="O29" s="226">
        <v>0</v>
      </c>
      <c r="P29" s="223" t="s">
        <v>281</v>
      </c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</row>
    <row r="30" spans="1:36" x14ac:dyDescent="0.3">
      <c r="A30" s="221" t="s">
        <v>235</v>
      </c>
      <c r="B30" s="222">
        <v>46071</v>
      </c>
      <c r="C30" s="223" t="s">
        <v>269</v>
      </c>
      <c r="D30" s="224" t="s">
        <v>292</v>
      </c>
      <c r="E30" s="223" t="s">
        <v>267</v>
      </c>
      <c r="F30" s="223" t="s">
        <v>111</v>
      </c>
      <c r="G30" s="225">
        <v>0</v>
      </c>
      <c r="H30" s="226">
        <v>179</v>
      </c>
      <c r="I30" s="226">
        <v>0</v>
      </c>
      <c r="J30" s="226">
        <v>0</v>
      </c>
      <c r="K30" s="223" t="s">
        <v>112</v>
      </c>
      <c r="L30" s="227" t="s">
        <v>36</v>
      </c>
      <c r="M30" s="226">
        <v>0</v>
      </c>
      <c r="N30" s="226">
        <v>0</v>
      </c>
      <c r="O30" s="226">
        <v>0</v>
      </c>
      <c r="P30" s="223" t="s">
        <v>281</v>
      </c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</row>
    <row r="31" spans="1:36" x14ac:dyDescent="0.3">
      <c r="A31" s="221" t="s">
        <v>109</v>
      </c>
      <c r="B31" s="222">
        <v>46072</v>
      </c>
      <c r="C31" s="223" t="s">
        <v>268</v>
      </c>
      <c r="D31" s="224" t="s">
        <v>291</v>
      </c>
      <c r="E31" s="223" t="s">
        <v>267</v>
      </c>
      <c r="F31" s="223" t="s">
        <v>111</v>
      </c>
      <c r="G31" s="225">
        <v>0</v>
      </c>
      <c r="H31" s="226">
        <v>179</v>
      </c>
      <c r="I31" s="226">
        <v>0</v>
      </c>
      <c r="J31" s="226">
        <v>0</v>
      </c>
      <c r="K31" s="223" t="s">
        <v>112</v>
      </c>
      <c r="L31" s="227" t="s">
        <v>36</v>
      </c>
      <c r="M31" s="226">
        <v>0</v>
      </c>
      <c r="N31" s="226">
        <v>0</v>
      </c>
      <c r="O31" s="226">
        <v>0</v>
      </c>
      <c r="P31" s="223" t="s">
        <v>281</v>
      </c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</row>
    <row r="32" spans="1:36" x14ac:dyDescent="0.3">
      <c r="A32" s="221" t="s">
        <v>246</v>
      </c>
      <c r="B32" s="222">
        <v>46073</v>
      </c>
      <c r="C32" s="223" t="s">
        <v>268</v>
      </c>
      <c r="D32" s="224" t="s">
        <v>244</v>
      </c>
      <c r="E32" s="223" t="s">
        <v>267</v>
      </c>
      <c r="F32" s="223" t="s">
        <v>111</v>
      </c>
      <c r="G32" s="225">
        <v>5.5999999999999999E-3</v>
      </c>
      <c r="H32" s="226">
        <v>179</v>
      </c>
      <c r="I32" s="226">
        <v>1</v>
      </c>
      <c r="J32" s="226">
        <v>0</v>
      </c>
      <c r="K32" s="223" t="s">
        <v>112</v>
      </c>
      <c r="L32" s="227" t="s">
        <v>182</v>
      </c>
      <c r="M32" s="226">
        <v>0</v>
      </c>
      <c r="N32" s="226">
        <v>0</v>
      </c>
      <c r="O32" s="226">
        <v>1</v>
      </c>
      <c r="P32" s="223" t="s">
        <v>281</v>
      </c>
      <c r="Q32" s="219"/>
      <c r="R32" s="219"/>
      <c r="S32" s="219"/>
      <c r="T32" s="219"/>
      <c r="U32" s="219"/>
      <c r="V32" s="219"/>
      <c r="W32" s="219"/>
      <c r="X32" s="219"/>
      <c r="Y32" s="226" t="s">
        <v>284</v>
      </c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</row>
    <row r="33" spans="1:36" x14ac:dyDescent="0.3">
      <c r="A33" s="221" t="s">
        <v>246</v>
      </c>
      <c r="B33" s="222">
        <v>46073</v>
      </c>
      <c r="C33" s="223" t="s">
        <v>269</v>
      </c>
      <c r="D33" s="224" t="s">
        <v>292</v>
      </c>
      <c r="E33" s="223" t="s">
        <v>267</v>
      </c>
      <c r="F33" s="223" t="s">
        <v>111</v>
      </c>
      <c r="G33" s="225">
        <v>5.5999999999999999E-3</v>
      </c>
      <c r="H33" s="226">
        <v>179</v>
      </c>
      <c r="I33" s="226">
        <v>1</v>
      </c>
      <c r="J33" s="226">
        <v>0</v>
      </c>
      <c r="K33" s="223" t="s">
        <v>112</v>
      </c>
      <c r="L33" s="227" t="s">
        <v>285</v>
      </c>
      <c r="M33" s="226">
        <v>0</v>
      </c>
      <c r="N33" s="226">
        <v>0</v>
      </c>
      <c r="O33" s="226">
        <v>1</v>
      </c>
      <c r="P33" s="223" t="s">
        <v>281</v>
      </c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26" t="s">
        <v>147</v>
      </c>
      <c r="AD33" s="219"/>
      <c r="AE33" s="219"/>
      <c r="AF33" s="219"/>
      <c r="AG33" s="219"/>
      <c r="AH33" s="219"/>
      <c r="AI33" s="219"/>
      <c r="AJ33" s="219"/>
    </row>
    <row r="34" spans="1:36" x14ac:dyDescent="0.3">
      <c r="A34" s="221" t="s">
        <v>113</v>
      </c>
      <c r="B34" s="222">
        <v>46074</v>
      </c>
      <c r="C34" s="223" t="s">
        <v>268</v>
      </c>
      <c r="D34" s="224" t="s">
        <v>291</v>
      </c>
      <c r="E34" s="223" t="s">
        <v>267</v>
      </c>
      <c r="F34" s="223" t="s">
        <v>111</v>
      </c>
      <c r="G34" s="225">
        <v>0</v>
      </c>
      <c r="H34" s="226">
        <v>179</v>
      </c>
      <c r="I34" s="226">
        <v>0</v>
      </c>
      <c r="J34" s="226">
        <v>0</v>
      </c>
      <c r="K34" s="223" t="s">
        <v>112</v>
      </c>
      <c r="L34" s="227" t="s">
        <v>36</v>
      </c>
      <c r="M34" s="226">
        <v>0</v>
      </c>
      <c r="N34" s="226">
        <v>0</v>
      </c>
      <c r="O34" s="226">
        <v>0</v>
      </c>
      <c r="P34" s="223" t="s">
        <v>281</v>
      </c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</row>
    <row r="35" spans="1:36" x14ac:dyDescent="0.3">
      <c r="A35" s="221" t="s">
        <v>115</v>
      </c>
      <c r="B35" s="222">
        <v>46075</v>
      </c>
      <c r="C35" s="223" t="s">
        <v>268</v>
      </c>
      <c r="D35" s="224" t="s">
        <v>294</v>
      </c>
      <c r="E35" s="223" t="s">
        <v>267</v>
      </c>
      <c r="F35" s="223" t="s">
        <v>111</v>
      </c>
      <c r="G35" s="225">
        <v>5.5999999999999999E-3</v>
      </c>
      <c r="H35" s="226">
        <v>179</v>
      </c>
      <c r="I35" s="226">
        <v>1</v>
      </c>
      <c r="J35" s="226">
        <v>0</v>
      </c>
      <c r="K35" s="223" t="s">
        <v>112</v>
      </c>
      <c r="L35" s="227" t="s">
        <v>286</v>
      </c>
      <c r="M35" s="226">
        <v>0</v>
      </c>
      <c r="N35" s="226">
        <v>0</v>
      </c>
      <c r="O35" s="226">
        <v>1</v>
      </c>
      <c r="P35" s="223" t="s">
        <v>281</v>
      </c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26" t="s">
        <v>147</v>
      </c>
      <c r="AD35" s="219"/>
      <c r="AE35" s="219"/>
      <c r="AF35" s="219"/>
      <c r="AG35" s="219"/>
      <c r="AH35" s="219"/>
      <c r="AI35" s="219"/>
      <c r="AJ35" s="219"/>
    </row>
    <row r="36" spans="1:36" x14ac:dyDescent="0.3">
      <c r="A36" s="221" t="s">
        <v>119</v>
      </c>
      <c r="B36" s="222">
        <v>46076</v>
      </c>
      <c r="C36" s="223" t="s">
        <v>269</v>
      </c>
      <c r="D36" s="224" t="s">
        <v>292</v>
      </c>
      <c r="E36" s="223" t="s">
        <v>267</v>
      </c>
      <c r="F36" s="223" t="s">
        <v>111</v>
      </c>
      <c r="G36" s="225">
        <v>5.5999999999999999E-3</v>
      </c>
      <c r="H36" s="226">
        <v>179</v>
      </c>
      <c r="I36" s="226">
        <v>1</v>
      </c>
      <c r="J36" s="226">
        <v>0</v>
      </c>
      <c r="K36" s="223" t="s">
        <v>112</v>
      </c>
      <c r="L36" s="227" t="s">
        <v>287</v>
      </c>
      <c r="M36" s="226">
        <v>0</v>
      </c>
      <c r="N36" s="226">
        <v>0</v>
      </c>
      <c r="O36" s="226">
        <v>1</v>
      </c>
      <c r="P36" s="223" t="s">
        <v>281</v>
      </c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26" t="s">
        <v>147</v>
      </c>
      <c r="AD36" s="219"/>
      <c r="AE36" s="219"/>
      <c r="AF36" s="219"/>
      <c r="AG36" s="219"/>
      <c r="AH36" s="219"/>
      <c r="AI36" s="219"/>
      <c r="AJ36" s="219"/>
    </row>
    <row r="37" spans="1:36" x14ac:dyDescent="0.3">
      <c r="A37" s="221" t="s">
        <v>121</v>
      </c>
      <c r="B37" s="222">
        <v>46077</v>
      </c>
      <c r="C37" s="223" t="s">
        <v>269</v>
      </c>
      <c r="D37" s="224" t="s">
        <v>295</v>
      </c>
      <c r="E37" s="223" t="s">
        <v>267</v>
      </c>
      <c r="F37" s="223" t="s">
        <v>111</v>
      </c>
      <c r="G37" s="225">
        <v>0</v>
      </c>
      <c r="H37" s="226">
        <v>179</v>
      </c>
      <c r="I37" s="226">
        <v>0</v>
      </c>
      <c r="J37" s="226">
        <v>0</v>
      </c>
      <c r="K37" s="223" t="s">
        <v>112</v>
      </c>
      <c r="L37" s="227" t="s">
        <v>36</v>
      </c>
      <c r="M37" s="226">
        <v>0</v>
      </c>
      <c r="N37" s="226">
        <v>0</v>
      </c>
      <c r="O37" s="226">
        <v>0</v>
      </c>
      <c r="P37" s="223" t="s">
        <v>281</v>
      </c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</row>
    <row r="38" spans="1:36" x14ac:dyDescent="0.3">
      <c r="A38" s="221" t="s">
        <v>235</v>
      </c>
      <c r="B38" s="222">
        <v>46078</v>
      </c>
      <c r="C38" s="223" t="s">
        <v>268</v>
      </c>
      <c r="D38" s="224" t="s">
        <v>291</v>
      </c>
      <c r="E38" s="223" t="s">
        <v>267</v>
      </c>
      <c r="F38" s="223" t="s">
        <v>111</v>
      </c>
      <c r="G38" s="225">
        <v>0</v>
      </c>
      <c r="H38" s="226">
        <v>179</v>
      </c>
      <c r="I38" s="226">
        <v>0</v>
      </c>
      <c r="J38" s="226">
        <v>0</v>
      </c>
      <c r="K38" s="223" t="s">
        <v>112</v>
      </c>
      <c r="L38" s="227" t="s">
        <v>36</v>
      </c>
      <c r="M38" s="226">
        <v>0</v>
      </c>
      <c r="N38" s="226">
        <v>0</v>
      </c>
      <c r="O38" s="226">
        <v>0</v>
      </c>
      <c r="P38" s="223" t="s">
        <v>281</v>
      </c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</row>
    <row r="39" spans="1:36" x14ac:dyDescent="0.3">
      <c r="A39" s="221" t="s">
        <v>235</v>
      </c>
      <c r="B39" s="222">
        <v>46078</v>
      </c>
      <c r="C39" s="223" t="s">
        <v>269</v>
      </c>
      <c r="D39" s="224" t="s">
        <v>292</v>
      </c>
      <c r="E39" s="223" t="s">
        <v>267</v>
      </c>
      <c r="F39" s="223" t="s">
        <v>111</v>
      </c>
      <c r="G39" s="225">
        <v>5.5999999999999999E-3</v>
      </c>
      <c r="H39" s="226">
        <v>179</v>
      </c>
      <c r="I39" s="226">
        <v>1</v>
      </c>
      <c r="J39" s="226">
        <v>0</v>
      </c>
      <c r="K39" s="223" t="s">
        <v>112</v>
      </c>
      <c r="L39" s="227" t="s">
        <v>32</v>
      </c>
      <c r="M39" s="226">
        <v>0</v>
      </c>
      <c r="N39" s="226">
        <v>0</v>
      </c>
      <c r="O39" s="226">
        <v>1</v>
      </c>
      <c r="P39" s="223" t="s">
        <v>281</v>
      </c>
      <c r="Q39" s="219"/>
      <c r="R39" s="219"/>
      <c r="S39" s="219"/>
      <c r="T39" s="219"/>
      <c r="U39" s="219"/>
      <c r="V39" s="219"/>
      <c r="W39" s="219"/>
      <c r="X39" s="219"/>
      <c r="Y39" s="226" t="s">
        <v>284</v>
      </c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</row>
    <row r="40" spans="1:36" x14ac:dyDescent="0.3">
      <c r="A40" s="221" t="s">
        <v>109</v>
      </c>
      <c r="B40" s="222">
        <v>46079</v>
      </c>
      <c r="C40" s="223" t="s">
        <v>268</v>
      </c>
      <c r="D40" s="224" t="s">
        <v>291</v>
      </c>
      <c r="E40" s="223" t="s">
        <v>267</v>
      </c>
      <c r="F40" s="223" t="s">
        <v>111</v>
      </c>
      <c r="G40" s="225">
        <v>0</v>
      </c>
      <c r="H40" s="226">
        <v>179</v>
      </c>
      <c r="I40" s="226">
        <v>0</v>
      </c>
      <c r="J40" s="226">
        <v>0</v>
      </c>
      <c r="K40" s="223" t="s">
        <v>112</v>
      </c>
      <c r="L40" s="227" t="s">
        <v>36</v>
      </c>
      <c r="M40" s="226">
        <v>0</v>
      </c>
      <c r="N40" s="226">
        <v>0</v>
      </c>
      <c r="O40" s="226">
        <v>0</v>
      </c>
      <c r="P40" s="223" t="s">
        <v>281</v>
      </c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</row>
    <row r="41" spans="1:36" x14ac:dyDescent="0.3">
      <c r="A41" s="221" t="s">
        <v>246</v>
      </c>
      <c r="B41" s="222">
        <v>46080</v>
      </c>
      <c r="C41" s="223" t="s">
        <v>268</v>
      </c>
      <c r="D41" s="224" t="s">
        <v>244</v>
      </c>
      <c r="E41" s="223" t="s">
        <v>267</v>
      </c>
      <c r="F41" s="223" t="s">
        <v>111</v>
      </c>
      <c r="G41" s="225">
        <v>0</v>
      </c>
      <c r="H41" s="226">
        <v>179</v>
      </c>
      <c r="I41" s="226">
        <v>0</v>
      </c>
      <c r="J41" s="226">
        <v>0</v>
      </c>
      <c r="K41" s="223" t="s">
        <v>112</v>
      </c>
      <c r="L41" s="227" t="s">
        <v>36</v>
      </c>
      <c r="M41" s="226">
        <v>0</v>
      </c>
      <c r="N41" s="226">
        <v>0</v>
      </c>
      <c r="O41" s="226">
        <v>0</v>
      </c>
      <c r="P41" s="223" t="s">
        <v>281</v>
      </c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</row>
    <row r="42" spans="1:36" x14ac:dyDescent="0.3">
      <c r="A42" s="221" t="s">
        <v>246</v>
      </c>
      <c r="B42" s="222">
        <v>46080</v>
      </c>
      <c r="C42" s="223" t="s">
        <v>269</v>
      </c>
      <c r="D42" s="224" t="s">
        <v>292</v>
      </c>
      <c r="E42" s="223" t="s">
        <v>267</v>
      </c>
      <c r="F42" s="223" t="s">
        <v>111</v>
      </c>
      <c r="G42" s="225">
        <v>6.7000000000000004E-2</v>
      </c>
      <c r="H42" s="226">
        <v>179</v>
      </c>
      <c r="I42" s="226">
        <v>12</v>
      </c>
      <c r="J42" s="226">
        <v>0</v>
      </c>
      <c r="K42" s="223" t="s">
        <v>112</v>
      </c>
      <c r="L42" s="227" t="s">
        <v>286</v>
      </c>
      <c r="M42" s="226">
        <v>0</v>
      </c>
      <c r="N42" s="226">
        <v>0</v>
      </c>
      <c r="O42" s="226">
        <v>12</v>
      </c>
      <c r="P42" s="223" t="s">
        <v>234</v>
      </c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26" t="s">
        <v>34</v>
      </c>
      <c r="AC42" s="226" t="s">
        <v>73</v>
      </c>
      <c r="AD42" s="219"/>
      <c r="AE42" s="219"/>
      <c r="AF42" s="219"/>
      <c r="AG42" s="219"/>
      <c r="AH42" s="219"/>
      <c r="AI42" s="219"/>
      <c r="AJ42" s="219"/>
    </row>
    <row r="43" spans="1:36" x14ac:dyDescent="0.3">
      <c r="A43" s="221" t="s">
        <v>113</v>
      </c>
      <c r="B43" s="222">
        <v>46081</v>
      </c>
      <c r="C43" s="223" t="s">
        <v>268</v>
      </c>
      <c r="D43" s="224" t="s">
        <v>291</v>
      </c>
      <c r="E43" s="223" t="s">
        <v>267</v>
      </c>
      <c r="F43" s="223" t="s">
        <v>111</v>
      </c>
      <c r="G43" s="225">
        <v>2.7900000000000001E-2</v>
      </c>
      <c r="H43" s="226">
        <v>179</v>
      </c>
      <c r="I43" s="226">
        <v>5</v>
      </c>
      <c r="J43" s="226">
        <v>0</v>
      </c>
      <c r="K43" s="223" t="s">
        <v>112</v>
      </c>
      <c r="L43" s="227" t="s">
        <v>59</v>
      </c>
      <c r="M43" s="226">
        <v>0</v>
      </c>
      <c r="N43" s="226">
        <v>0</v>
      </c>
      <c r="O43" s="226">
        <v>5</v>
      </c>
      <c r="P43" s="223" t="s">
        <v>54</v>
      </c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26" t="s">
        <v>289</v>
      </c>
      <c r="AG43" s="219"/>
      <c r="AH43" s="219"/>
      <c r="AI43" s="219"/>
      <c r="AJ43" s="219"/>
    </row>
    <row r="44" spans="1:36" x14ac:dyDescent="0.3">
      <c r="A44" s="221" t="s">
        <v>115</v>
      </c>
      <c r="B44" s="222">
        <v>46082</v>
      </c>
      <c r="C44" s="223" t="s">
        <v>268</v>
      </c>
      <c r="D44" s="224" t="s">
        <v>294</v>
      </c>
      <c r="E44" s="223" t="s">
        <v>267</v>
      </c>
      <c r="F44" s="223" t="s">
        <v>111</v>
      </c>
      <c r="G44" s="225">
        <v>5.5999999999999999E-3</v>
      </c>
      <c r="H44" s="226">
        <v>179</v>
      </c>
      <c r="I44" s="226">
        <v>1</v>
      </c>
      <c r="J44" s="226">
        <v>0</v>
      </c>
      <c r="K44" s="223" t="s">
        <v>112</v>
      </c>
      <c r="L44" s="227" t="s">
        <v>46</v>
      </c>
      <c r="M44" s="226">
        <v>0</v>
      </c>
      <c r="N44" s="226">
        <v>0</v>
      </c>
      <c r="O44" s="226">
        <v>1</v>
      </c>
      <c r="P44" s="223" t="s">
        <v>290</v>
      </c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26" t="s">
        <v>124</v>
      </c>
      <c r="AG44" s="219"/>
      <c r="AH44" s="219"/>
      <c r="AI44" s="219"/>
      <c r="AJ44" s="219"/>
    </row>
    <row r="45" spans="1:36" ht="21" x14ac:dyDescent="0.3">
      <c r="A45" s="228" t="s">
        <v>377</v>
      </c>
      <c r="B45" s="229"/>
      <c r="C45" s="228">
        <f>SUBTOTAL(103,CAI_RUH_LF_LEGACY[Flt])</f>
        <v>43</v>
      </c>
      <c r="D45" s="228"/>
      <c r="E45" s="228">
        <f>SUBTOTAL(103,CAI_RUH_LF_LEGACY[Brd-Off])</f>
        <v>43</v>
      </c>
      <c r="F45" s="228"/>
      <c r="G45" s="230">
        <f>SUBTOTAL(101,CAI_RUH_LF_LEGACY[LF%])</f>
        <v>1.1958139534883718E-2</v>
      </c>
      <c r="H45" s="231">
        <f>SUBTOTAL(109,CAI_RUH_LF_LEGACY[CAP])</f>
        <v>7697</v>
      </c>
      <c r="I45" s="231">
        <f>SUBTOTAL(109,CAI_RUH_LF_LEGACY[BKG(Y)])</f>
        <v>92</v>
      </c>
      <c r="J45" s="231">
        <f>SUBTOTAL(109,CAI_RUH_LF_LEGACY[GRP(Y)])</f>
        <v>0</v>
      </c>
      <c r="K45" s="228"/>
      <c r="L45" s="229"/>
      <c r="M45" s="231">
        <f>SUBTOTAL(109,CAI_RUH_LF_LEGACY[TO-DAY])</f>
        <v>0</v>
      </c>
      <c r="N45" s="231">
        <f>SUBTOTAL(109,CAI_RUH_LF_LEGACY[Y-DAY])</f>
        <v>0</v>
      </c>
      <c r="O45" s="231">
        <f>SUBTOTAL(109,CAI_RUH_LF_LEGACY[WEEKLY])</f>
        <v>92</v>
      </c>
      <c r="P45" s="232"/>
      <c r="Q45" s="231">
        <f>SUBTOTAL(109,CAI_RUH_LF_LEGACY[Y])</f>
        <v>0</v>
      </c>
      <c r="R45" s="231">
        <f>SUBTOTAL(109,CAI_RUH_LF_LEGACY[B])</f>
        <v>0</v>
      </c>
      <c r="S45" s="231">
        <f>SUBTOTAL(109,CAI_RUH_LF_LEGACY[M])</f>
        <v>0</v>
      </c>
      <c r="T45" s="231">
        <f>SUBTOTAL(109,CAI_RUH_LF_LEGACY[H])</f>
        <v>0</v>
      </c>
      <c r="U45" s="231">
        <f>SUBTOTAL(109,CAI_RUH_LF_LEGACY[Q])</f>
        <v>0</v>
      </c>
      <c r="V45" s="231">
        <f>SUBTOTAL(109,CAI_RUH_LF_LEGACY[K])</f>
        <v>0</v>
      </c>
      <c r="W45" s="231">
        <f>SUBTOTAL(109,CAI_RUH_LF_LEGACY[V])</f>
        <v>0</v>
      </c>
      <c r="X45" s="231">
        <f>SUBTOTAL(109,CAI_RUH_LF_LEGACY[L])</f>
        <v>0</v>
      </c>
      <c r="Y45" s="231">
        <f>SUBTOTAL(109,CAI_RUH_LF_LEGACY[G])</f>
        <v>0</v>
      </c>
      <c r="Z45" s="231">
        <f>SUBTOTAL(109,CAI_RUH_LF_LEGACY[S])</f>
        <v>0</v>
      </c>
      <c r="AA45" s="231">
        <f>SUBTOTAL(109,CAI_RUH_LF_LEGACY[W])</f>
        <v>0</v>
      </c>
      <c r="AB45" s="231">
        <f>SUBTOTAL(109,CAI_RUH_LF_LEGACY[T])</f>
        <v>0</v>
      </c>
      <c r="AC45" s="231">
        <f>SUBTOTAL(109,CAI_RUH_LF_LEGACY[X])</f>
        <v>0</v>
      </c>
      <c r="AD45" s="231">
        <f>SUBTOTAL(109,CAI_RUH_LF_LEGACY[U])</f>
        <v>0</v>
      </c>
      <c r="AE45" s="231">
        <f>SUBTOTAL(109,CAI_RUH_LF_LEGACY[O])</f>
        <v>0</v>
      </c>
      <c r="AF45" s="231">
        <f>SUBTOTAL(109,CAI_RUH_LF_LEGACY[I])</f>
        <v>0</v>
      </c>
      <c r="AG45" s="231">
        <f>SUBTOTAL(109,CAI_RUH_LF_LEGACY[E])</f>
        <v>0</v>
      </c>
      <c r="AH45" s="231">
        <f>SUBTOTAL(109,CAI_RUH_LF_LEGACY[A])</f>
        <v>0</v>
      </c>
      <c r="AI45" s="231">
        <f>SUBTOTAL(109,CAI_RUH_LF_LEGACY[P])</f>
        <v>0</v>
      </c>
      <c r="AJ45" s="231">
        <f>SUBTOTAL(103,CAI_RUH_LF_LEGACY[N])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8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9.218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296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45984.112447765947</v>
      </c>
      <c r="H2" s="206"/>
      <c r="I2" s="206"/>
      <c r="J2" s="206"/>
      <c r="K2" s="213">
        <v>45984.112447766383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46051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6" t="s">
        <v>28</v>
      </c>
      <c r="B6" s="66" t="s">
        <v>297</v>
      </c>
      <c r="C6" s="67">
        <v>0.72222222222222221</v>
      </c>
      <c r="D6" s="66" t="s">
        <v>30</v>
      </c>
      <c r="E6" s="68"/>
      <c r="F6" s="66" t="s">
        <v>31</v>
      </c>
      <c r="G6" s="204"/>
      <c r="H6" s="69" t="s">
        <v>297</v>
      </c>
      <c r="I6" s="70">
        <v>6.6699999999999995E-2</v>
      </c>
      <c r="J6" s="71">
        <v>12</v>
      </c>
      <c r="K6" s="72" t="s">
        <v>63</v>
      </c>
      <c r="L6" s="71">
        <v>12</v>
      </c>
      <c r="M6" s="71">
        <v>0</v>
      </c>
      <c r="N6" s="71">
        <v>0</v>
      </c>
      <c r="O6" s="73" t="s">
        <v>157</v>
      </c>
      <c r="P6" s="74">
        <v>0.72222222222222221</v>
      </c>
      <c r="Q6" s="71">
        <v>180</v>
      </c>
      <c r="R6" s="75" t="s">
        <v>298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46052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297</v>
      </c>
      <c r="C10" s="37">
        <v>0.38194444444444442</v>
      </c>
      <c r="D10" s="36" t="s">
        <v>30</v>
      </c>
      <c r="E10" s="38"/>
      <c r="F10" s="36" t="s">
        <v>31</v>
      </c>
      <c r="G10" s="208"/>
      <c r="H10" s="39" t="s">
        <v>297</v>
      </c>
      <c r="I10" s="40">
        <v>3.8899999999999997E-2</v>
      </c>
      <c r="J10" s="41">
        <v>7</v>
      </c>
      <c r="K10" s="42" t="s">
        <v>185</v>
      </c>
      <c r="L10" s="41">
        <v>7</v>
      </c>
      <c r="M10" s="41">
        <v>0</v>
      </c>
      <c r="N10" s="41">
        <v>0</v>
      </c>
      <c r="O10" s="43" t="s">
        <v>129</v>
      </c>
      <c r="P10" s="44">
        <v>0.38194444444444442</v>
      </c>
      <c r="Q10" s="41">
        <v>180</v>
      </c>
      <c r="R10" s="45" t="s">
        <v>299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46053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297</v>
      </c>
      <c r="C14" s="27">
        <v>0.72222222222222221</v>
      </c>
      <c r="D14" s="26" t="s">
        <v>30</v>
      </c>
      <c r="E14" s="28"/>
      <c r="F14" s="26" t="s">
        <v>31</v>
      </c>
      <c r="G14" s="208"/>
      <c r="H14" s="29" t="s">
        <v>297</v>
      </c>
      <c r="I14" s="30">
        <v>0.1333</v>
      </c>
      <c r="J14" s="31">
        <v>24</v>
      </c>
      <c r="K14" s="32" t="s">
        <v>65</v>
      </c>
      <c r="L14" s="31">
        <v>24</v>
      </c>
      <c r="M14" s="31">
        <v>0</v>
      </c>
      <c r="N14" s="31">
        <v>0</v>
      </c>
      <c r="O14" s="33" t="s">
        <v>263</v>
      </c>
      <c r="P14" s="34">
        <v>0.72222222222222221</v>
      </c>
      <c r="Q14" s="31">
        <v>180</v>
      </c>
      <c r="R14" s="35" t="s">
        <v>300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46056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7" t="s">
        <v>28</v>
      </c>
      <c r="B18" s="87" t="s">
        <v>297</v>
      </c>
      <c r="C18" s="88">
        <v>6.9444444444444434E-2</v>
      </c>
      <c r="D18" s="87" t="s">
        <v>30</v>
      </c>
      <c r="E18" s="89"/>
      <c r="F18" s="87" t="s">
        <v>31</v>
      </c>
      <c r="G18" s="208"/>
      <c r="H18" s="90" t="s">
        <v>297</v>
      </c>
      <c r="I18" s="91">
        <v>3.8899999999999997E-2</v>
      </c>
      <c r="J18" s="92">
        <v>7</v>
      </c>
      <c r="K18" s="93" t="s">
        <v>50</v>
      </c>
      <c r="L18" s="92">
        <v>7</v>
      </c>
      <c r="M18" s="92">
        <v>0</v>
      </c>
      <c r="N18" s="92">
        <v>0</v>
      </c>
      <c r="O18" s="94" t="s">
        <v>129</v>
      </c>
      <c r="P18" s="95">
        <v>6.9444444444444434E-2</v>
      </c>
      <c r="Q18" s="92">
        <v>180</v>
      </c>
      <c r="R18" s="96" t="s">
        <v>301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46058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66" t="s">
        <v>28</v>
      </c>
      <c r="B22" s="66" t="s">
        <v>297</v>
      </c>
      <c r="C22" s="67">
        <v>0.72222222222222221</v>
      </c>
      <c r="D22" s="66" t="s">
        <v>30</v>
      </c>
      <c r="E22" s="68"/>
      <c r="F22" s="66" t="s">
        <v>31</v>
      </c>
      <c r="G22" s="208"/>
      <c r="H22" s="69" t="s">
        <v>297</v>
      </c>
      <c r="I22" s="70">
        <v>2.7799999999999998E-2</v>
      </c>
      <c r="J22" s="71">
        <v>5</v>
      </c>
      <c r="K22" s="72" t="s">
        <v>182</v>
      </c>
      <c r="L22" s="71">
        <v>5</v>
      </c>
      <c r="M22" s="71">
        <v>0</v>
      </c>
      <c r="N22" s="71">
        <v>0</v>
      </c>
      <c r="O22" s="73" t="s">
        <v>117</v>
      </c>
      <c r="P22" s="74">
        <v>0.72222222222222221</v>
      </c>
      <c r="Q22" s="71">
        <v>180</v>
      </c>
      <c r="R22" s="75" t="s">
        <v>71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46059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297</v>
      </c>
      <c r="C26" s="57">
        <v>0.38194444444444442</v>
      </c>
      <c r="D26" s="56" t="s">
        <v>30</v>
      </c>
      <c r="E26" s="58"/>
      <c r="F26" s="56" t="s">
        <v>31</v>
      </c>
      <c r="G26" s="204"/>
      <c r="H26" s="59" t="s">
        <v>297</v>
      </c>
      <c r="I26" s="60">
        <v>2.7799999999999998E-2</v>
      </c>
      <c r="J26" s="61">
        <v>5</v>
      </c>
      <c r="K26" s="62" t="s">
        <v>46</v>
      </c>
      <c r="L26" s="61">
        <v>5</v>
      </c>
      <c r="M26" s="61">
        <v>0</v>
      </c>
      <c r="N26" s="61">
        <v>0</v>
      </c>
      <c r="O26" s="63" t="s">
        <v>117</v>
      </c>
      <c r="P26" s="64">
        <v>0.38194444444444442</v>
      </c>
      <c r="Q26" s="61">
        <v>180</v>
      </c>
      <c r="R26" s="65" t="s">
        <v>278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46060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26" t="s">
        <v>28</v>
      </c>
      <c r="B30" s="26" t="s">
        <v>297</v>
      </c>
      <c r="C30" s="27">
        <v>0.72222222222222221</v>
      </c>
      <c r="D30" s="26" t="s">
        <v>30</v>
      </c>
      <c r="E30" s="28"/>
      <c r="F30" s="26" t="s">
        <v>31</v>
      </c>
      <c r="G30" s="208"/>
      <c r="H30" s="29" t="s">
        <v>297</v>
      </c>
      <c r="I30" s="30">
        <v>8.3299999999999999E-2</v>
      </c>
      <c r="J30" s="31">
        <v>15</v>
      </c>
      <c r="K30" s="32" t="s">
        <v>53</v>
      </c>
      <c r="L30" s="31">
        <v>15</v>
      </c>
      <c r="M30" s="31">
        <v>0</v>
      </c>
      <c r="N30" s="31">
        <v>0</v>
      </c>
      <c r="O30" s="33" t="s">
        <v>161</v>
      </c>
      <c r="P30" s="34">
        <v>0.72222222222222221</v>
      </c>
      <c r="Q30" s="31">
        <v>180</v>
      </c>
      <c r="R30" s="35" t="s">
        <v>302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46063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297</v>
      </c>
      <c r="C34" s="57">
        <v>6.9444444444444434E-2</v>
      </c>
      <c r="D34" s="56" t="s">
        <v>30</v>
      </c>
      <c r="E34" s="58"/>
      <c r="F34" s="56" t="s">
        <v>31</v>
      </c>
      <c r="G34" s="204"/>
      <c r="H34" s="59" t="s">
        <v>297</v>
      </c>
      <c r="I34" s="60">
        <v>3.8899999999999997E-2</v>
      </c>
      <c r="J34" s="61">
        <v>7</v>
      </c>
      <c r="K34" s="62" t="s">
        <v>282</v>
      </c>
      <c r="L34" s="61">
        <v>7</v>
      </c>
      <c r="M34" s="61">
        <v>0</v>
      </c>
      <c r="N34" s="61">
        <v>0</v>
      </c>
      <c r="O34" s="63" t="s">
        <v>281</v>
      </c>
      <c r="P34" s="64">
        <v>6.9444444444444434E-2</v>
      </c>
      <c r="Q34" s="61">
        <v>180</v>
      </c>
      <c r="R34" s="65" t="s">
        <v>303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46065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297</v>
      </c>
      <c r="C38" s="77">
        <v>0.72222222222222221</v>
      </c>
      <c r="D38" s="76" t="s">
        <v>30</v>
      </c>
      <c r="E38" s="78"/>
      <c r="F38" s="76" t="s">
        <v>31</v>
      </c>
      <c r="G38" s="208"/>
      <c r="H38" s="79" t="s">
        <v>297</v>
      </c>
      <c r="I38" s="80">
        <v>5.5999999999999999E-3</v>
      </c>
      <c r="J38" s="81">
        <v>1</v>
      </c>
      <c r="K38" s="82" t="s">
        <v>304</v>
      </c>
      <c r="L38" s="81">
        <v>1</v>
      </c>
      <c r="M38" s="81">
        <v>0</v>
      </c>
      <c r="N38" s="81">
        <v>0</v>
      </c>
      <c r="O38" s="83" t="s">
        <v>281</v>
      </c>
      <c r="P38" s="84">
        <v>0.72222222222222221</v>
      </c>
      <c r="Q38" s="81">
        <v>180</v>
      </c>
      <c r="R38" s="85" t="s">
        <v>124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46066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7" t="s">
        <v>28</v>
      </c>
      <c r="B42" s="87" t="s">
        <v>297</v>
      </c>
      <c r="C42" s="88">
        <v>0.38194444444444442</v>
      </c>
      <c r="D42" s="87" t="s">
        <v>30</v>
      </c>
      <c r="E42" s="89"/>
      <c r="F42" s="87" t="s">
        <v>31</v>
      </c>
      <c r="G42" s="208"/>
      <c r="H42" s="90" t="s">
        <v>297</v>
      </c>
      <c r="I42" s="91">
        <v>3.8899999999999997E-2</v>
      </c>
      <c r="J42" s="92">
        <v>7</v>
      </c>
      <c r="K42" s="93" t="s">
        <v>283</v>
      </c>
      <c r="L42" s="92">
        <v>7</v>
      </c>
      <c r="M42" s="92">
        <v>0</v>
      </c>
      <c r="N42" s="92">
        <v>0</v>
      </c>
      <c r="O42" s="94" t="s">
        <v>281</v>
      </c>
      <c r="P42" s="95">
        <v>0.38194444444444442</v>
      </c>
      <c r="Q42" s="92">
        <v>180</v>
      </c>
      <c r="R42" s="96" t="s">
        <v>303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46067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6" t="s">
        <v>28</v>
      </c>
      <c r="B46" s="76" t="s">
        <v>297</v>
      </c>
      <c r="C46" s="77">
        <v>0.72222222222222221</v>
      </c>
      <c r="D46" s="76" t="s">
        <v>30</v>
      </c>
      <c r="E46" s="78"/>
      <c r="F46" s="76" t="s">
        <v>31</v>
      </c>
      <c r="G46" s="208"/>
      <c r="H46" s="79" t="s">
        <v>297</v>
      </c>
      <c r="I46" s="80">
        <v>2.2200000000000001E-2</v>
      </c>
      <c r="J46" s="81">
        <v>4</v>
      </c>
      <c r="K46" s="82" t="s">
        <v>48</v>
      </c>
      <c r="L46" s="81">
        <v>4</v>
      </c>
      <c r="M46" s="81">
        <v>0</v>
      </c>
      <c r="N46" s="81">
        <v>0</v>
      </c>
      <c r="O46" s="83" t="s">
        <v>281</v>
      </c>
      <c r="P46" s="84">
        <v>0.72222222222222221</v>
      </c>
      <c r="Q46" s="81">
        <v>180</v>
      </c>
      <c r="R46" s="85" t="s">
        <v>75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46070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46" t="s">
        <v>28</v>
      </c>
      <c r="B50" s="46" t="s">
        <v>297</v>
      </c>
      <c r="C50" s="47">
        <v>6.9444444444444434E-2</v>
      </c>
      <c r="D50" s="46" t="s">
        <v>30</v>
      </c>
      <c r="E50" s="48"/>
      <c r="F50" s="46" t="s">
        <v>35</v>
      </c>
      <c r="G50" s="208"/>
      <c r="H50" s="49" t="s">
        <v>297</v>
      </c>
      <c r="I50" s="50">
        <v>0</v>
      </c>
      <c r="J50" s="51">
        <v>0</v>
      </c>
      <c r="K50" s="52" t="s">
        <v>36</v>
      </c>
      <c r="L50" s="51">
        <v>0</v>
      </c>
      <c r="M50" s="51">
        <v>0</v>
      </c>
      <c r="N50" s="51">
        <v>0</v>
      </c>
      <c r="O50" s="53" t="s">
        <v>281</v>
      </c>
      <c r="P50" s="54">
        <v>6.9444444444444434E-2</v>
      </c>
      <c r="Q50" s="51">
        <v>180</v>
      </c>
      <c r="R50" s="55" t="s">
        <v>36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46072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66" t="s">
        <v>28</v>
      </c>
      <c r="B54" s="66" t="s">
        <v>297</v>
      </c>
      <c r="C54" s="67">
        <v>0.72222222222222221</v>
      </c>
      <c r="D54" s="66" t="s">
        <v>30</v>
      </c>
      <c r="E54" s="68"/>
      <c r="F54" s="66" t="s">
        <v>35</v>
      </c>
      <c r="G54" s="208"/>
      <c r="H54" s="69" t="s">
        <v>297</v>
      </c>
      <c r="I54" s="70">
        <v>0</v>
      </c>
      <c r="J54" s="71">
        <v>0</v>
      </c>
      <c r="K54" s="72" t="s">
        <v>36</v>
      </c>
      <c r="L54" s="71">
        <v>0</v>
      </c>
      <c r="M54" s="71">
        <v>0</v>
      </c>
      <c r="N54" s="71">
        <v>0</v>
      </c>
      <c r="O54" s="73" t="s">
        <v>281</v>
      </c>
      <c r="P54" s="74">
        <v>0.72222222222222221</v>
      </c>
      <c r="Q54" s="71">
        <v>180</v>
      </c>
      <c r="R54" s="75" t="s">
        <v>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46073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66" t="s">
        <v>28</v>
      </c>
      <c r="B58" s="66" t="s">
        <v>297</v>
      </c>
      <c r="C58" s="67">
        <v>0.38194444444444442</v>
      </c>
      <c r="D58" s="66" t="s">
        <v>30</v>
      </c>
      <c r="E58" s="68"/>
      <c r="F58" s="66" t="s">
        <v>31</v>
      </c>
      <c r="G58" s="204"/>
      <c r="H58" s="69" t="s">
        <v>297</v>
      </c>
      <c r="I58" s="70">
        <v>1.11E-2</v>
      </c>
      <c r="J58" s="71">
        <v>2</v>
      </c>
      <c r="K58" s="72" t="s">
        <v>283</v>
      </c>
      <c r="L58" s="71">
        <v>2</v>
      </c>
      <c r="M58" s="71">
        <v>0</v>
      </c>
      <c r="N58" s="71">
        <v>0</v>
      </c>
      <c r="O58" s="73" t="s">
        <v>281</v>
      </c>
      <c r="P58" s="74">
        <v>0.38194444444444442</v>
      </c>
      <c r="Q58" s="71">
        <v>180</v>
      </c>
      <c r="R58" s="75" t="s">
        <v>131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46074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56" t="s">
        <v>28</v>
      </c>
      <c r="B62" s="56" t="s">
        <v>297</v>
      </c>
      <c r="C62" s="57">
        <v>0.72222222222222221</v>
      </c>
      <c r="D62" s="56" t="s">
        <v>30</v>
      </c>
      <c r="E62" s="58"/>
      <c r="F62" s="56" t="s">
        <v>31</v>
      </c>
      <c r="G62" s="208"/>
      <c r="H62" s="59" t="s">
        <v>297</v>
      </c>
      <c r="I62" s="60">
        <v>1.11E-2</v>
      </c>
      <c r="J62" s="61">
        <v>2</v>
      </c>
      <c r="K62" s="62" t="s">
        <v>273</v>
      </c>
      <c r="L62" s="61">
        <v>2</v>
      </c>
      <c r="M62" s="61">
        <v>0</v>
      </c>
      <c r="N62" s="61">
        <v>0</v>
      </c>
      <c r="O62" s="63" t="s">
        <v>281</v>
      </c>
      <c r="P62" s="64">
        <v>0.72222222222222221</v>
      </c>
      <c r="Q62" s="61">
        <v>180</v>
      </c>
      <c r="R62" s="65" t="s">
        <v>305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2.05" customHeight="1" thickTop="1" thickBot="1" x14ac:dyDescent="0.35">
      <c r="A64" s="201" t="s">
        <v>8</v>
      </c>
      <c r="B64" s="202"/>
      <c r="C64" s="202"/>
      <c r="D64" s="202"/>
      <c r="E64" s="202"/>
      <c r="F64" s="203"/>
      <c r="G64" s="18">
        <v>46077</v>
      </c>
      <c r="H64" s="209" t="s">
        <v>9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36" t="s">
        <v>28</v>
      </c>
      <c r="B66" s="36" t="s">
        <v>297</v>
      </c>
      <c r="C66" s="37">
        <v>6.9444444444444434E-2</v>
      </c>
      <c r="D66" s="36" t="s">
        <v>30</v>
      </c>
      <c r="E66" s="38"/>
      <c r="F66" s="36" t="s">
        <v>31</v>
      </c>
      <c r="G66" s="208"/>
      <c r="H66" s="39" t="s">
        <v>297</v>
      </c>
      <c r="I66" s="40">
        <v>5.5999999999999999E-3</v>
      </c>
      <c r="J66" s="41">
        <v>1</v>
      </c>
      <c r="K66" s="42" t="s">
        <v>306</v>
      </c>
      <c r="L66" s="41">
        <v>1</v>
      </c>
      <c r="M66" s="41">
        <v>0</v>
      </c>
      <c r="N66" s="41">
        <v>0</v>
      </c>
      <c r="O66" s="43" t="s">
        <v>281</v>
      </c>
      <c r="P66" s="44">
        <v>6.9444444444444434E-2</v>
      </c>
      <c r="Q66" s="41">
        <v>180</v>
      </c>
      <c r="R66" s="45" t="s">
        <v>147</v>
      </c>
    </row>
    <row r="67" spans="1:18" ht="17.399999999999999" customHeight="1" thickBot="1" x14ac:dyDescent="0.3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5"/>
    </row>
    <row r="68" spans="1:18" ht="22.05" customHeight="1" thickTop="1" thickBot="1" x14ac:dyDescent="0.35">
      <c r="A68" s="201" t="s">
        <v>8</v>
      </c>
      <c r="B68" s="202"/>
      <c r="C68" s="202"/>
      <c r="D68" s="202"/>
      <c r="E68" s="202"/>
      <c r="F68" s="203"/>
      <c r="G68" s="18">
        <v>46079</v>
      </c>
      <c r="H68" s="209" t="s">
        <v>9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76" t="s">
        <v>28</v>
      </c>
      <c r="B70" s="76" t="s">
        <v>297</v>
      </c>
      <c r="C70" s="77">
        <v>0.72222222222222221</v>
      </c>
      <c r="D70" s="76" t="s">
        <v>30</v>
      </c>
      <c r="E70" s="78"/>
      <c r="F70" s="76" t="s">
        <v>35</v>
      </c>
      <c r="G70" s="208"/>
      <c r="H70" s="79" t="s">
        <v>297</v>
      </c>
      <c r="I70" s="80">
        <v>0</v>
      </c>
      <c r="J70" s="81">
        <v>0</v>
      </c>
      <c r="K70" s="82" t="s">
        <v>36</v>
      </c>
      <c r="L70" s="81">
        <v>0</v>
      </c>
      <c r="M70" s="81">
        <v>0</v>
      </c>
      <c r="N70" s="81">
        <v>0</v>
      </c>
      <c r="O70" s="83" t="s">
        <v>281</v>
      </c>
      <c r="P70" s="84">
        <v>0.72222222222222221</v>
      </c>
      <c r="Q70" s="81">
        <v>180</v>
      </c>
      <c r="R70" s="85" t="s">
        <v>36</v>
      </c>
    </row>
    <row r="71" spans="1:18" ht="17.399999999999999" customHeight="1" thickBot="1" x14ac:dyDescent="0.35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5"/>
    </row>
    <row r="72" spans="1:18" ht="22.05" customHeight="1" thickTop="1" thickBot="1" x14ac:dyDescent="0.35">
      <c r="A72" s="201" t="s">
        <v>8</v>
      </c>
      <c r="B72" s="202"/>
      <c r="C72" s="202"/>
      <c r="D72" s="202"/>
      <c r="E72" s="202"/>
      <c r="F72" s="203"/>
      <c r="G72" s="18">
        <v>46080</v>
      </c>
      <c r="H72" s="209" t="s">
        <v>9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3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76" t="s">
        <v>28</v>
      </c>
      <c r="B74" s="76" t="s">
        <v>297</v>
      </c>
      <c r="C74" s="77">
        <v>0.38194444444444442</v>
      </c>
      <c r="D74" s="76" t="s">
        <v>30</v>
      </c>
      <c r="E74" s="78"/>
      <c r="F74" s="76" t="s">
        <v>35</v>
      </c>
      <c r="G74" s="208"/>
      <c r="H74" s="79" t="s">
        <v>297</v>
      </c>
      <c r="I74" s="80">
        <v>0</v>
      </c>
      <c r="J74" s="81">
        <v>0</v>
      </c>
      <c r="K74" s="82" t="s">
        <v>36</v>
      </c>
      <c r="L74" s="81">
        <v>0</v>
      </c>
      <c r="M74" s="81">
        <v>0</v>
      </c>
      <c r="N74" s="81">
        <v>0</v>
      </c>
      <c r="O74" s="83" t="s">
        <v>281</v>
      </c>
      <c r="P74" s="84">
        <v>0.38194444444444442</v>
      </c>
      <c r="Q74" s="81">
        <v>180</v>
      </c>
      <c r="R74" s="85" t="s">
        <v>36</v>
      </c>
    </row>
    <row r="75" spans="1:18" ht="17.399999999999999" customHeight="1" thickBot="1" x14ac:dyDescent="0.35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46081</v>
      </c>
      <c r="H76" s="209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87" t="s">
        <v>28</v>
      </c>
      <c r="B78" s="87" t="s">
        <v>297</v>
      </c>
      <c r="C78" s="88">
        <v>0.72222222222222221</v>
      </c>
      <c r="D78" s="87" t="s">
        <v>30</v>
      </c>
      <c r="E78" s="89"/>
      <c r="F78" s="87" t="s">
        <v>31</v>
      </c>
      <c r="G78" s="204"/>
      <c r="H78" s="90" t="s">
        <v>297</v>
      </c>
      <c r="I78" s="91">
        <v>4.4400000000000002E-2</v>
      </c>
      <c r="J78" s="92">
        <v>8</v>
      </c>
      <c r="K78" s="93" t="s">
        <v>185</v>
      </c>
      <c r="L78" s="92">
        <v>8</v>
      </c>
      <c r="M78" s="92">
        <v>0</v>
      </c>
      <c r="N78" s="92">
        <v>0</v>
      </c>
      <c r="O78" s="94" t="s">
        <v>125</v>
      </c>
      <c r="P78" s="95">
        <v>0.72222222222222221</v>
      </c>
      <c r="Q78" s="92">
        <v>180</v>
      </c>
      <c r="R78" s="96" t="s">
        <v>307</v>
      </c>
    </row>
    <row r="79" spans="1:18" ht="17.399999999999999" customHeight="1" thickBot="1" x14ac:dyDescent="0.35">
      <c r="A79" s="233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15" thickTop="1" x14ac:dyDescent="0.3"/>
  </sheetData>
  <mergeCells count="83">
    <mergeCell ref="G78"/>
    <mergeCell ref="A15:R15"/>
    <mergeCell ref="A51:R51"/>
    <mergeCell ref="H24:R24"/>
    <mergeCell ref="H76:R76"/>
    <mergeCell ref="A75:R75"/>
    <mergeCell ref="H4:R4"/>
    <mergeCell ref="H44:R44"/>
    <mergeCell ref="A3:R3"/>
    <mergeCell ref="A55:R55"/>
    <mergeCell ref="A47:R47"/>
    <mergeCell ref="H64:R64"/>
    <mergeCell ref="A4:F4"/>
    <mergeCell ref="A52:F52"/>
    <mergeCell ref="G38"/>
    <mergeCell ref="A31:R31"/>
    <mergeCell ref="A76:F76"/>
    <mergeCell ref="H68:R68"/>
    <mergeCell ref="A8:F8"/>
    <mergeCell ref="H60:R60"/>
    <mergeCell ref="G2:J2"/>
    <mergeCell ref="A23:R23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A39:R39"/>
    <mergeCell ref="H12:R12"/>
    <mergeCell ref="G34"/>
    <mergeCell ref="G74"/>
    <mergeCell ref="H48:R48"/>
    <mergeCell ref="G58"/>
    <mergeCell ref="A56:F56"/>
    <mergeCell ref="G22"/>
    <mergeCell ref="H40:R40"/>
    <mergeCell ref="A79:R79"/>
    <mergeCell ref="G14"/>
    <mergeCell ref="A16:F16"/>
    <mergeCell ref="H8:R8"/>
    <mergeCell ref="G54"/>
    <mergeCell ref="G46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A2:F2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1"/>
  <sheetViews>
    <sheetView workbookViewId="0"/>
  </sheetViews>
  <sheetFormatPr defaultRowHeight="15.6" outlineLevelCol="1" x14ac:dyDescent="0.3"/>
  <cols>
    <col min="1" max="1" width="9.88671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9.2187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109</v>
      </c>
      <c r="B2" s="222">
        <v>46051</v>
      </c>
      <c r="C2" s="223" t="s">
        <v>297</v>
      </c>
      <c r="D2" s="224" t="s">
        <v>308</v>
      </c>
      <c r="E2" s="223" t="s">
        <v>296</v>
      </c>
      <c r="F2" s="223" t="s">
        <v>111</v>
      </c>
      <c r="G2" s="225">
        <v>6.6699999999999995E-2</v>
      </c>
      <c r="H2" s="226">
        <v>180</v>
      </c>
      <c r="I2" s="226">
        <v>12</v>
      </c>
      <c r="J2" s="226">
        <v>0</v>
      </c>
      <c r="K2" s="223" t="s">
        <v>112</v>
      </c>
      <c r="L2" s="227" t="s">
        <v>63</v>
      </c>
      <c r="M2" s="226">
        <v>0</v>
      </c>
      <c r="N2" s="226">
        <v>0</v>
      </c>
      <c r="O2" s="226">
        <v>12</v>
      </c>
      <c r="P2" s="223" t="s">
        <v>157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26" t="s">
        <v>230</v>
      </c>
      <c r="AE2" s="226" t="s">
        <v>140</v>
      </c>
      <c r="AF2" s="219"/>
      <c r="AG2" s="219"/>
      <c r="AH2" s="219"/>
      <c r="AI2" s="219"/>
      <c r="AJ2" s="219"/>
    </row>
    <row r="3" spans="1:36" x14ac:dyDescent="0.3">
      <c r="A3" s="221" t="s">
        <v>246</v>
      </c>
      <c r="B3" s="222">
        <v>46052</v>
      </c>
      <c r="C3" s="223" t="s">
        <v>297</v>
      </c>
      <c r="D3" s="224" t="s">
        <v>110</v>
      </c>
      <c r="E3" s="223" t="s">
        <v>296</v>
      </c>
      <c r="F3" s="223" t="s">
        <v>111</v>
      </c>
      <c r="G3" s="225">
        <v>3.8899999999999997E-2</v>
      </c>
      <c r="H3" s="226">
        <v>180</v>
      </c>
      <c r="I3" s="226">
        <v>7</v>
      </c>
      <c r="J3" s="226">
        <v>0</v>
      </c>
      <c r="K3" s="223" t="s">
        <v>112</v>
      </c>
      <c r="L3" s="227" t="s">
        <v>185</v>
      </c>
      <c r="M3" s="226">
        <v>0</v>
      </c>
      <c r="N3" s="226">
        <v>0</v>
      </c>
      <c r="O3" s="226">
        <v>7</v>
      </c>
      <c r="P3" s="223" t="s">
        <v>129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26" t="s">
        <v>66</v>
      </c>
      <c r="AE3" s="226" t="s">
        <v>125</v>
      </c>
      <c r="AF3" s="219"/>
      <c r="AG3" s="219"/>
      <c r="AH3" s="219"/>
      <c r="AI3" s="219"/>
      <c r="AJ3" s="219"/>
    </row>
    <row r="4" spans="1:36" x14ac:dyDescent="0.3">
      <c r="A4" s="221" t="s">
        <v>113</v>
      </c>
      <c r="B4" s="222">
        <v>46053</v>
      </c>
      <c r="C4" s="223" t="s">
        <v>297</v>
      </c>
      <c r="D4" s="224" t="s">
        <v>308</v>
      </c>
      <c r="E4" s="223" t="s">
        <v>296</v>
      </c>
      <c r="F4" s="223" t="s">
        <v>111</v>
      </c>
      <c r="G4" s="225">
        <v>0.1333</v>
      </c>
      <c r="H4" s="226">
        <v>180</v>
      </c>
      <c r="I4" s="226">
        <v>24</v>
      </c>
      <c r="J4" s="226">
        <v>0</v>
      </c>
      <c r="K4" s="223" t="s">
        <v>112</v>
      </c>
      <c r="L4" s="227" t="s">
        <v>65</v>
      </c>
      <c r="M4" s="226">
        <v>0</v>
      </c>
      <c r="N4" s="226">
        <v>0</v>
      </c>
      <c r="O4" s="226">
        <v>24</v>
      </c>
      <c r="P4" s="223" t="s">
        <v>263</v>
      </c>
      <c r="Q4" s="219"/>
      <c r="R4" s="219"/>
      <c r="S4" s="219"/>
      <c r="T4" s="219"/>
      <c r="U4" s="219"/>
      <c r="V4" s="219"/>
      <c r="W4" s="219"/>
      <c r="X4" s="219"/>
      <c r="Y4" s="226" t="s">
        <v>284</v>
      </c>
      <c r="Z4" s="226" t="s">
        <v>146</v>
      </c>
      <c r="AA4" s="226" t="s">
        <v>309</v>
      </c>
      <c r="AB4" s="226" t="s">
        <v>263</v>
      </c>
      <c r="AC4" s="226" t="s">
        <v>166</v>
      </c>
      <c r="AD4" s="226" t="s">
        <v>129</v>
      </c>
      <c r="AE4" s="226" t="s">
        <v>123</v>
      </c>
      <c r="AF4" s="219"/>
      <c r="AG4" s="219"/>
      <c r="AH4" s="219"/>
      <c r="AI4" s="219"/>
      <c r="AJ4" s="219"/>
    </row>
    <row r="5" spans="1:36" x14ac:dyDescent="0.3">
      <c r="A5" s="221" t="s">
        <v>121</v>
      </c>
      <c r="B5" s="222">
        <v>46056</v>
      </c>
      <c r="C5" s="223" t="s">
        <v>297</v>
      </c>
      <c r="D5" s="224" t="s">
        <v>310</v>
      </c>
      <c r="E5" s="223" t="s">
        <v>296</v>
      </c>
      <c r="F5" s="223" t="s">
        <v>111</v>
      </c>
      <c r="G5" s="225">
        <v>3.8899999999999997E-2</v>
      </c>
      <c r="H5" s="226">
        <v>180</v>
      </c>
      <c r="I5" s="226">
        <v>7</v>
      </c>
      <c r="J5" s="226">
        <v>0</v>
      </c>
      <c r="K5" s="223" t="s">
        <v>112</v>
      </c>
      <c r="L5" s="227" t="s">
        <v>50</v>
      </c>
      <c r="M5" s="226">
        <v>0</v>
      </c>
      <c r="N5" s="226">
        <v>0</v>
      </c>
      <c r="O5" s="226">
        <v>7</v>
      </c>
      <c r="P5" s="223" t="s">
        <v>129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6" t="s">
        <v>278</v>
      </c>
      <c r="AF5" s="226" t="s">
        <v>54</v>
      </c>
      <c r="AG5" s="219"/>
      <c r="AH5" s="219"/>
      <c r="AI5" s="219"/>
      <c r="AJ5" s="219"/>
    </row>
    <row r="6" spans="1:36" x14ac:dyDescent="0.3">
      <c r="A6" s="221" t="s">
        <v>109</v>
      </c>
      <c r="B6" s="222">
        <v>46058</v>
      </c>
      <c r="C6" s="223" t="s">
        <v>297</v>
      </c>
      <c r="D6" s="224" t="s">
        <v>308</v>
      </c>
      <c r="E6" s="223" t="s">
        <v>296</v>
      </c>
      <c r="F6" s="223" t="s">
        <v>111</v>
      </c>
      <c r="G6" s="225">
        <v>2.7799999999999998E-2</v>
      </c>
      <c r="H6" s="226">
        <v>180</v>
      </c>
      <c r="I6" s="226">
        <v>5</v>
      </c>
      <c r="J6" s="226">
        <v>0</v>
      </c>
      <c r="K6" s="223" t="s">
        <v>112</v>
      </c>
      <c r="L6" s="227" t="s">
        <v>182</v>
      </c>
      <c r="M6" s="226">
        <v>0</v>
      </c>
      <c r="N6" s="226">
        <v>0</v>
      </c>
      <c r="O6" s="226">
        <v>5</v>
      </c>
      <c r="P6" s="223" t="s">
        <v>117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26" t="s">
        <v>117</v>
      </c>
      <c r="AF6" s="226" t="s">
        <v>60</v>
      </c>
      <c r="AG6" s="219"/>
      <c r="AH6" s="219"/>
      <c r="AI6" s="219"/>
      <c r="AJ6" s="219"/>
    </row>
    <row r="7" spans="1:36" x14ac:dyDescent="0.3">
      <c r="A7" s="221" t="s">
        <v>246</v>
      </c>
      <c r="B7" s="222">
        <v>46059</v>
      </c>
      <c r="C7" s="223" t="s">
        <v>297</v>
      </c>
      <c r="D7" s="224" t="s">
        <v>110</v>
      </c>
      <c r="E7" s="223" t="s">
        <v>296</v>
      </c>
      <c r="F7" s="223" t="s">
        <v>111</v>
      </c>
      <c r="G7" s="225">
        <v>2.7799999999999998E-2</v>
      </c>
      <c r="H7" s="226">
        <v>180</v>
      </c>
      <c r="I7" s="226">
        <v>5</v>
      </c>
      <c r="J7" s="226">
        <v>0</v>
      </c>
      <c r="K7" s="223" t="s">
        <v>112</v>
      </c>
      <c r="L7" s="227" t="s">
        <v>46</v>
      </c>
      <c r="M7" s="226">
        <v>0</v>
      </c>
      <c r="N7" s="226">
        <v>0</v>
      </c>
      <c r="O7" s="226">
        <v>5</v>
      </c>
      <c r="P7" s="223" t="s">
        <v>117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26" t="s">
        <v>278</v>
      </c>
      <c r="AF7" s="219"/>
      <c r="AG7" s="219"/>
      <c r="AH7" s="219"/>
      <c r="AI7" s="219"/>
      <c r="AJ7" s="219"/>
    </row>
    <row r="8" spans="1:36" x14ac:dyDescent="0.3">
      <c r="A8" s="221" t="s">
        <v>113</v>
      </c>
      <c r="B8" s="222">
        <v>46060</v>
      </c>
      <c r="C8" s="223" t="s">
        <v>297</v>
      </c>
      <c r="D8" s="224" t="s">
        <v>308</v>
      </c>
      <c r="E8" s="223" t="s">
        <v>296</v>
      </c>
      <c r="F8" s="223" t="s">
        <v>111</v>
      </c>
      <c r="G8" s="225">
        <v>8.3299999999999999E-2</v>
      </c>
      <c r="H8" s="226">
        <v>180</v>
      </c>
      <c r="I8" s="226">
        <v>15</v>
      </c>
      <c r="J8" s="226">
        <v>0</v>
      </c>
      <c r="K8" s="223" t="s">
        <v>112</v>
      </c>
      <c r="L8" s="227" t="s">
        <v>53</v>
      </c>
      <c r="M8" s="226">
        <v>0</v>
      </c>
      <c r="N8" s="226">
        <v>0</v>
      </c>
      <c r="O8" s="226">
        <v>15</v>
      </c>
      <c r="P8" s="223" t="s">
        <v>161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26" t="s">
        <v>311</v>
      </c>
      <c r="AB8" s="219"/>
      <c r="AC8" s="226" t="s">
        <v>131</v>
      </c>
      <c r="AD8" s="226" t="s">
        <v>129</v>
      </c>
      <c r="AE8" s="226" t="s">
        <v>43</v>
      </c>
      <c r="AF8" s="226" t="s">
        <v>60</v>
      </c>
      <c r="AG8" s="219"/>
      <c r="AH8" s="219"/>
      <c r="AI8" s="219"/>
      <c r="AJ8" s="219"/>
    </row>
    <row r="9" spans="1:36" x14ac:dyDescent="0.3">
      <c r="A9" s="221" t="s">
        <v>121</v>
      </c>
      <c r="B9" s="222">
        <v>46063</v>
      </c>
      <c r="C9" s="223" t="s">
        <v>297</v>
      </c>
      <c r="D9" s="224" t="s">
        <v>310</v>
      </c>
      <c r="E9" s="223" t="s">
        <v>296</v>
      </c>
      <c r="F9" s="223" t="s">
        <v>111</v>
      </c>
      <c r="G9" s="225">
        <v>3.8899999999999997E-2</v>
      </c>
      <c r="H9" s="226">
        <v>180</v>
      </c>
      <c r="I9" s="226">
        <v>7</v>
      </c>
      <c r="J9" s="226">
        <v>0</v>
      </c>
      <c r="K9" s="223" t="s">
        <v>112</v>
      </c>
      <c r="L9" s="227" t="s">
        <v>282</v>
      </c>
      <c r="M9" s="226">
        <v>0</v>
      </c>
      <c r="N9" s="226">
        <v>0</v>
      </c>
      <c r="O9" s="226">
        <v>7</v>
      </c>
      <c r="P9" s="223" t="s">
        <v>281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26" t="s">
        <v>117</v>
      </c>
      <c r="AF9" s="226" t="s">
        <v>289</v>
      </c>
      <c r="AG9" s="219"/>
      <c r="AH9" s="219"/>
      <c r="AI9" s="219"/>
      <c r="AJ9" s="219"/>
    </row>
    <row r="10" spans="1:36" x14ac:dyDescent="0.3">
      <c r="A10" s="221" t="s">
        <v>109</v>
      </c>
      <c r="B10" s="222">
        <v>46065</v>
      </c>
      <c r="C10" s="223" t="s">
        <v>297</v>
      </c>
      <c r="D10" s="224" t="s">
        <v>308</v>
      </c>
      <c r="E10" s="223" t="s">
        <v>296</v>
      </c>
      <c r="F10" s="223" t="s">
        <v>111</v>
      </c>
      <c r="G10" s="225">
        <v>5.5999999999999999E-3</v>
      </c>
      <c r="H10" s="226">
        <v>180</v>
      </c>
      <c r="I10" s="226">
        <v>1</v>
      </c>
      <c r="J10" s="226">
        <v>0</v>
      </c>
      <c r="K10" s="223" t="s">
        <v>112</v>
      </c>
      <c r="L10" s="227" t="s">
        <v>304</v>
      </c>
      <c r="M10" s="226">
        <v>0</v>
      </c>
      <c r="N10" s="226">
        <v>0</v>
      </c>
      <c r="O10" s="226">
        <v>1</v>
      </c>
      <c r="P10" s="223" t="s">
        <v>281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26" t="s">
        <v>124</v>
      </c>
      <c r="AG10" s="219"/>
      <c r="AH10" s="219"/>
      <c r="AI10" s="219"/>
      <c r="AJ10" s="219"/>
    </row>
    <row r="11" spans="1:36" x14ac:dyDescent="0.3">
      <c r="A11" s="221" t="s">
        <v>246</v>
      </c>
      <c r="B11" s="222">
        <v>46066</v>
      </c>
      <c r="C11" s="223" t="s">
        <v>297</v>
      </c>
      <c r="D11" s="224" t="s">
        <v>110</v>
      </c>
      <c r="E11" s="223" t="s">
        <v>296</v>
      </c>
      <c r="F11" s="223" t="s">
        <v>111</v>
      </c>
      <c r="G11" s="225">
        <v>3.8899999999999997E-2</v>
      </c>
      <c r="H11" s="226">
        <v>180</v>
      </c>
      <c r="I11" s="226">
        <v>7</v>
      </c>
      <c r="J11" s="226">
        <v>0</v>
      </c>
      <c r="K11" s="223" t="s">
        <v>112</v>
      </c>
      <c r="L11" s="227" t="s">
        <v>283</v>
      </c>
      <c r="M11" s="226">
        <v>0</v>
      </c>
      <c r="N11" s="226">
        <v>0</v>
      </c>
      <c r="O11" s="226">
        <v>7</v>
      </c>
      <c r="P11" s="223" t="s">
        <v>281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26" t="s">
        <v>117</v>
      </c>
      <c r="AF11" s="226" t="s">
        <v>289</v>
      </c>
      <c r="AG11" s="219"/>
      <c r="AH11" s="219"/>
      <c r="AI11" s="219"/>
      <c r="AJ11" s="219"/>
    </row>
    <row r="12" spans="1:36" x14ac:dyDescent="0.3">
      <c r="A12" s="221" t="s">
        <v>113</v>
      </c>
      <c r="B12" s="222">
        <v>46067</v>
      </c>
      <c r="C12" s="223" t="s">
        <v>297</v>
      </c>
      <c r="D12" s="224" t="s">
        <v>308</v>
      </c>
      <c r="E12" s="223" t="s">
        <v>296</v>
      </c>
      <c r="F12" s="223" t="s">
        <v>111</v>
      </c>
      <c r="G12" s="225">
        <v>2.2200000000000001E-2</v>
      </c>
      <c r="H12" s="226">
        <v>180</v>
      </c>
      <c r="I12" s="226">
        <v>4</v>
      </c>
      <c r="J12" s="226">
        <v>0</v>
      </c>
      <c r="K12" s="223" t="s">
        <v>112</v>
      </c>
      <c r="L12" s="227" t="s">
        <v>48</v>
      </c>
      <c r="M12" s="226">
        <v>0</v>
      </c>
      <c r="N12" s="226">
        <v>0</v>
      </c>
      <c r="O12" s="226">
        <v>4</v>
      </c>
      <c r="P12" s="223" t="s">
        <v>281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26" t="s">
        <v>75</v>
      </c>
      <c r="AG12" s="219"/>
      <c r="AH12" s="219"/>
      <c r="AI12" s="219"/>
      <c r="AJ12" s="219"/>
    </row>
    <row r="13" spans="1:36" x14ac:dyDescent="0.3">
      <c r="A13" s="221" t="s">
        <v>121</v>
      </c>
      <c r="B13" s="222">
        <v>46070</v>
      </c>
      <c r="C13" s="223" t="s">
        <v>297</v>
      </c>
      <c r="D13" s="224" t="s">
        <v>310</v>
      </c>
      <c r="E13" s="223" t="s">
        <v>296</v>
      </c>
      <c r="F13" s="223" t="s">
        <v>111</v>
      </c>
      <c r="G13" s="225">
        <v>0</v>
      </c>
      <c r="H13" s="226">
        <v>180</v>
      </c>
      <c r="I13" s="226">
        <v>0</v>
      </c>
      <c r="J13" s="226">
        <v>0</v>
      </c>
      <c r="K13" s="223" t="s">
        <v>112</v>
      </c>
      <c r="L13" s="227" t="s">
        <v>36</v>
      </c>
      <c r="M13" s="226">
        <v>0</v>
      </c>
      <c r="N13" s="226">
        <v>0</v>
      </c>
      <c r="O13" s="226">
        <v>0</v>
      </c>
      <c r="P13" s="223" t="s">
        <v>281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109</v>
      </c>
      <c r="B14" s="222">
        <v>46072</v>
      </c>
      <c r="C14" s="223" t="s">
        <v>297</v>
      </c>
      <c r="D14" s="224" t="s">
        <v>308</v>
      </c>
      <c r="E14" s="223" t="s">
        <v>296</v>
      </c>
      <c r="F14" s="223" t="s">
        <v>111</v>
      </c>
      <c r="G14" s="225">
        <v>0</v>
      </c>
      <c r="H14" s="226">
        <v>180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281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246</v>
      </c>
      <c r="B15" s="222">
        <v>46073</v>
      </c>
      <c r="C15" s="223" t="s">
        <v>297</v>
      </c>
      <c r="D15" s="224" t="s">
        <v>110</v>
      </c>
      <c r="E15" s="223" t="s">
        <v>296</v>
      </c>
      <c r="F15" s="223" t="s">
        <v>111</v>
      </c>
      <c r="G15" s="225">
        <v>1.11E-2</v>
      </c>
      <c r="H15" s="226">
        <v>180</v>
      </c>
      <c r="I15" s="226">
        <v>2</v>
      </c>
      <c r="J15" s="226">
        <v>0</v>
      </c>
      <c r="K15" s="223" t="s">
        <v>112</v>
      </c>
      <c r="L15" s="227" t="s">
        <v>283</v>
      </c>
      <c r="M15" s="226">
        <v>0</v>
      </c>
      <c r="N15" s="226">
        <v>0</v>
      </c>
      <c r="O15" s="226">
        <v>2</v>
      </c>
      <c r="P15" s="223" t="s">
        <v>281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26" t="s">
        <v>131</v>
      </c>
      <c r="AD15" s="219"/>
      <c r="AE15" s="219"/>
      <c r="AF15" s="219"/>
      <c r="AG15" s="219"/>
      <c r="AH15" s="219"/>
      <c r="AI15" s="219"/>
      <c r="AJ15" s="219"/>
    </row>
    <row r="16" spans="1:36" x14ac:dyDescent="0.3">
      <c r="A16" s="221" t="s">
        <v>113</v>
      </c>
      <c r="B16" s="222">
        <v>46074</v>
      </c>
      <c r="C16" s="223" t="s">
        <v>297</v>
      </c>
      <c r="D16" s="224" t="s">
        <v>308</v>
      </c>
      <c r="E16" s="223" t="s">
        <v>296</v>
      </c>
      <c r="F16" s="223" t="s">
        <v>111</v>
      </c>
      <c r="G16" s="225">
        <v>1.11E-2</v>
      </c>
      <c r="H16" s="226">
        <v>180</v>
      </c>
      <c r="I16" s="226">
        <v>2</v>
      </c>
      <c r="J16" s="226">
        <v>0</v>
      </c>
      <c r="K16" s="223" t="s">
        <v>112</v>
      </c>
      <c r="L16" s="227" t="s">
        <v>273</v>
      </c>
      <c r="M16" s="226">
        <v>0</v>
      </c>
      <c r="N16" s="226">
        <v>0</v>
      </c>
      <c r="O16" s="226">
        <v>2</v>
      </c>
      <c r="P16" s="223" t="s">
        <v>281</v>
      </c>
      <c r="Q16" s="219"/>
      <c r="R16" s="219"/>
      <c r="S16" s="219"/>
      <c r="T16" s="219"/>
      <c r="U16" s="219"/>
      <c r="V16" s="219"/>
      <c r="W16" s="219"/>
      <c r="X16" s="219"/>
      <c r="Y16" s="226" t="s">
        <v>284</v>
      </c>
      <c r="Z16" s="219"/>
      <c r="AA16" s="219"/>
      <c r="AB16" s="219"/>
      <c r="AC16" s="226" t="s">
        <v>147</v>
      </c>
      <c r="AD16" s="219"/>
      <c r="AE16" s="219"/>
      <c r="AF16" s="219"/>
      <c r="AG16" s="219"/>
      <c r="AH16" s="219"/>
      <c r="AI16" s="219"/>
      <c r="AJ16" s="219"/>
    </row>
    <row r="17" spans="1:36" x14ac:dyDescent="0.3">
      <c r="A17" s="221" t="s">
        <v>121</v>
      </c>
      <c r="B17" s="222">
        <v>46077</v>
      </c>
      <c r="C17" s="223" t="s">
        <v>297</v>
      </c>
      <c r="D17" s="224" t="s">
        <v>310</v>
      </c>
      <c r="E17" s="223" t="s">
        <v>296</v>
      </c>
      <c r="F17" s="223" t="s">
        <v>111</v>
      </c>
      <c r="G17" s="225">
        <v>5.5999999999999999E-3</v>
      </c>
      <c r="H17" s="226">
        <v>180</v>
      </c>
      <c r="I17" s="226">
        <v>1</v>
      </c>
      <c r="J17" s="226">
        <v>0</v>
      </c>
      <c r="K17" s="223" t="s">
        <v>112</v>
      </c>
      <c r="L17" s="227" t="s">
        <v>306</v>
      </c>
      <c r="M17" s="226">
        <v>0</v>
      </c>
      <c r="N17" s="226">
        <v>0</v>
      </c>
      <c r="O17" s="226">
        <v>1</v>
      </c>
      <c r="P17" s="223" t="s">
        <v>281</v>
      </c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26" t="s">
        <v>147</v>
      </c>
      <c r="AD17" s="219"/>
      <c r="AE17" s="219"/>
      <c r="AF17" s="219"/>
      <c r="AG17" s="219"/>
      <c r="AH17" s="219"/>
      <c r="AI17" s="219"/>
      <c r="AJ17" s="219"/>
    </row>
    <row r="18" spans="1:36" x14ac:dyDescent="0.3">
      <c r="A18" s="221" t="s">
        <v>109</v>
      </c>
      <c r="B18" s="222">
        <v>46079</v>
      </c>
      <c r="C18" s="223" t="s">
        <v>297</v>
      </c>
      <c r="D18" s="224" t="s">
        <v>308</v>
      </c>
      <c r="E18" s="223" t="s">
        <v>296</v>
      </c>
      <c r="F18" s="223" t="s">
        <v>111</v>
      </c>
      <c r="G18" s="225">
        <v>0</v>
      </c>
      <c r="H18" s="226">
        <v>180</v>
      </c>
      <c r="I18" s="226">
        <v>0</v>
      </c>
      <c r="J18" s="226">
        <v>0</v>
      </c>
      <c r="K18" s="223" t="s">
        <v>112</v>
      </c>
      <c r="L18" s="227" t="s">
        <v>36</v>
      </c>
      <c r="M18" s="226">
        <v>0</v>
      </c>
      <c r="N18" s="226">
        <v>0</v>
      </c>
      <c r="O18" s="226">
        <v>0</v>
      </c>
      <c r="P18" s="223" t="s">
        <v>281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</row>
    <row r="19" spans="1:36" x14ac:dyDescent="0.3">
      <c r="A19" s="221" t="s">
        <v>246</v>
      </c>
      <c r="B19" s="222">
        <v>46080</v>
      </c>
      <c r="C19" s="223" t="s">
        <v>297</v>
      </c>
      <c r="D19" s="224" t="s">
        <v>110</v>
      </c>
      <c r="E19" s="223" t="s">
        <v>296</v>
      </c>
      <c r="F19" s="223" t="s">
        <v>111</v>
      </c>
      <c r="G19" s="225">
        <v>0</v>
      </c>
      <c r="H19" s="226">
        <v>180</v>
      </c>
      <c r="I19" s="226">
        <v>0</v>
      </c>
      <c r="J19" s="226">
        <v>0</v>
      </c>
      <c r="K19" s="223" t="s">
        <v>112</v>
      </c>
      <c r="L19" s="227" t="s">
        <v>36</v>
      </c>
      <c r="M19" s="226">
        <v>0</v>
      </c>
      <c r="N19" s="226">
        <v>0</v>
      </c>
      <c r="O19" s="226">
        <v>0</v>
      </c>
      <c r="P19" s="223" t="s">
        <v>281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</row>
    <row r="20" spans="1:36" x14ac:dyDescent="0.3">
      <c r="A20" s="221" t="s">
        <v>113</v>
      </c>
      <c r="B20" s="222">
        <v>46081</v>
      </c>
      <c r="C20" s="223" t="s">
        <v>297</v>
      </c>
      <c r="D20" s="224" t="s">
        <v>308</v>
      </c>
      <c r="E20" s="223" t="s">
        <v>296</v>
      </c>
      <c r="F20" s="223" t="s">
        <v>111</v>
      </c>
      <c r="G20" s="225">
        <v>4.4400000000000002E-2</v>
      </c>
      <c r="H20" s="226">
        <v>180</v>
      </c>
      <c r="I20" s="226">
        <v>8</v>
      </c>
      <c r="J20" s="226">
        <v>0</v>
      </c>
      <c r="K20" s="223" t="s">
        <v>112</v>
      </c>
      <c r="L20" s="227" t="s">
        <v>185</v>
      </c>
      <c r="M20" s="226">
        <v>0</v>
      </c>
      <c r="N20" s="226">
        <v>0</v>
      </c>
      <c r="O20" s="226">
        <v>8</v>
      </c>
      <c r="P20" s="223" t="s">
        <v>125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26" t="s">
        <v>131</v>
      </c>
      <c r="AD20" s="219"/>
      <c r="AE20" s="226" t="s">
        <v>123</v>
      </c>
      <c r="AF20" s="226" t="s">
        <v>60</v>
      </c>
      <c r="AG20" s="219"/>
      <c r="AH20" s="219"/>
      <c r="AI20" s="219"/>
      <c r="AJ20" s="219"/>
    </row>
    <row r="21" spans="1:36" ht="21" x14ac:dyDescent="0.3">
      <c r="A21" s="228" t="s">
        <v>377</v>
      </c>
      <c r="B21" s="229"/>
      <c r="C21" s="228">
        <f>SUBTOTAL(103,CAI_DMM_LF_LEGACY[Flt])</f>
        <v>19</v>
      </c>
      <c r="D21" s="228"/>
      <c r="E21" s="228">
        <f>SUBTOTAL(103,CAI_DMM_LF_LEGACY[Brd-Off])</f>
        <v>19</v>
      </c>
      <c r="F21" s="228"/>
      <c r="G21" s="230">
        <f>SUBTOTAL(101,CAI_DMM_LF_LEGACY[LF%])</f>
        <v>3.1289473684210527E-2</v>
      </c>
      <c r="H21" s="231">
        <f>SUBTOTAL(109,CAI_DMM_LF_LEGACY[CAP])</f>
        <v>3420</v>
      </c>
      <c r="I21" s="231">
        <f>SUBTOTAL(109,CAI_DMM_LF_LEGACY[BKG(Y)])</f>
        <v>107</v>
      </c>
      <c r="J21" s="231">
        <f>SUBTOTAL(109,CAI_DMM_LF_LEGACY[GRP(Y)])</f>
        <v>0</v>
      </c>
      <c r="K21" s="228"/>
      <c r="L21" s="229"/>
      <c r="M21" s="231">
        <f>SUBTOTAL(109,CAI_DMM_LF_LEGACY[TO-DAY])</f>
        <v>0</v>
      </c>
      <c r="N21" s="231">
        <f>SUBTOTAL(109,CAI_DMM_LF_LEGACY[Y-DAY])</f>
        <v>0</v>
      </c>
      <c r="O21" s="231">
        <f>SUBTOTAL(109,CAI_DMM_LF_LEGACY[WEEKLY])</f>
        <v>107</v>
      </c>
      <c r="P21" s="232"/>
      <c r="Q21" s="231">
        <f>SUBTOTAL(109,CAI_DMM_LF_LEGACY[Y])</f>
        <v>0</v>
      </c>
      <c r="R21" s="231">
        <f>SUBTOTAL(109,CAI_DMM_LF_LEGACY[B])</f>
        <v>0</v>
      </c>
      <c r="S21" s="231">
        <f>SUBTOTAL(109,CAI_DMM_LF_LEGACY[M])</f>
        <v>0</v>
      </c>
      <c r="T21" s="231">
        <f>SUBTOTAL(109,CAI_DMM_LF_LEGACY[H])</f>
        <v>0</v>
      </c>
      <c r="U21" s="231">
        <f>SUBTOTAL(109,CAI_DMM_LF_LEGACY[Q])</f>
        <v>0</v>
      </c>
      <c r="V21" s="231">
        <f>SUBTOTAL(109,CAI_DMM_LF_LEGACY[K])</f>
        <v>0</v>
      </c>
      <c r="W21" s="231">
        <f>SUBTOTAL(109,CAI_DMM_LF_LEGACY[V])</f>
        <v>0</v>
      </c>
      <c r="X21" s="231">
        <f>SUBTOTAL(109,CAI_DMM_LF_LEGACY[L])</f>
        <v>0</v>
      </c>
      <c r="Y21" s="231">
        <f>SUBTOTAL(109,CAI_DMM_LF_LEGACY[G])</f>
        <v>0</v>
      </c>
      <c r="Z21" s="231">
        <f>SUBTOTAL(109,CAI_DMM_LF_LEGACY[S])</f>
        <v>0</v>
      </c>
      <c r="AA21" s="231">
        <f>SUBTOTAL(109,CAI_DMM_LF_LEGACY[W])</f>
        <v>0</v>
      </c>
      <c r="AB21" s="231">
        <f>SUBTOTAL(109,CAI_DMM_LF_LEGACY[T])</f>
        <v>0</v>
      </c>
      <c r="AC21" s="231">
        <f>SUBTOTAL(109,CAI_DMM_LF_LEGACY[X])</f>
        <v>0</v>
      </c>
      <c r="AD21" s="231">
        <f>SUBTOTAL(109,CAI_DMM_LF_LEGACY[U])</f>
        <v>0</v>
      </c>
      <c r="AE21" s="231">
        <f>SUBTOTAL(109,CAI_DMM_LF_LEGACY[O])</f>
        <v>0</v>
      </c>
      <c r="AF21" s="231">
        <f>SUBTOTAL(109,CAI_DMM_LF_LEGACY[I])</f>
        <v>0</v>
      </c>
      <c r="AG21" s="231">
        <f>SUBTOTAL(109,CAI_DMM_LF_LEGACY[E])</f>
        <v>0</v>
      </c>
      <c r="AH21" s="231">
        <f>SUBTOTAL(109,CAI_DMM_LF_LEGACY[A])</f>
        <v>0</v>
      </c>
      <c r="AI21" s="231">
        <f>SUBTOTAL(109,CAI_DMM_LF_LEGACY[P])</f>
        <v>0</v>
      </c>
      <c r="AJ21" s="231">
        <f>SUBTOTAL(103,CAI_DMM_LF_LEGACY[N])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6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312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45984.112451994442</v>
      </c>
      <c r="H2" s="206"/>
      <c r="I2" s="206"/>
      <c r="J2" s="206"/>
      <c r="K2" s="213">
        <v>45984.112451994893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46050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46" t="s">
        <v>28</v>
      </c>
      <c r="B6" s="46" t="s">
        <v>313</v>
      </c>
      <c r="C6" s="47">
        <v>0.71180555555555547</v>
      </c>
      <c r="D6" s="46" t="s">
        <v>30</v>
      </c>
      <c r="E6" s="48"/>
      <c r="F6" s="46" t="s">
        <v>31</v>
      </c>
      <c r="G6" s="204"/>
      <c r="H6" s="49" t="s">
        <v>313</v>
      </c>
      <c r="I6" s="50">
        <v>5.5999999999999999E-3</v>
      </c>
      <c r="J6" s="51">
        <v>1</v>
      </c>
      <c r="K6" s="52" t="s">
        <v>187</v>
      </c>
      <c r="L6" s="51">
        <v>1</v>
      </c>
      <c r="M6" s="51">
        <v>0</v>
      </c>
      <c r="N6" s="51">
        <v>0</v>
      </c>
      <c r="O6" s="53" t="s">
        <v>140</v>
      </c>
      <c r="P6" s="54">
        <v>0.71180555555555547</v>
      </c>
      <c r="Q6" s="51">
        <v>179</v>
      </c>
      <c r="R6" s="55" t="s">
        <v>43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46051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313</v>
      </c>
      <c r="C10" s="37">
        <v>0.71180555555555547</v>
      </c>
      <c r="D10" s="36" t="s">
        <v>30</v>
      </c>
      <c r="E10" s="38"/>
      <c r="F10" s="36" t="s">
        <v>31</v>
      </c>
      <c r="G10" s="208"/>
      <c r="H10" s="39" t="s">
        <v>313</v>
      </c>
      <c r="I10" s="40">
        <v>3.3500000000000002E-2</v>
      </c>
      <c r="J10" s="41">
        <v>6</v>
      </c>
      <c r="K10" s="42" t="s">
        <v>314</v>
      </c>
      <c r="L10" s="41">
        <v>6</v>
      </c>
      <c r="M10" s="41">
        <v>0</v>
      </c>
      <c r="N10" s="41">
        <v>0</v>
      </c>
      <c r="O10" s="43" t="s">
        <v>56</v>
      </c>
      <c r="P10" s="44">
        <v>0.71180555555555547</v>
      </c>
      <c r="Q10" s="41">
        <v>179</v>
      </c>
      <c r="R10" s="45" t="s">
        <v>290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46053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46" t="s">
        <v>28</v>
      </c>
      <c r="B14" s="46" t="s">
        <v>313</v>
      </c>
      <c r="C14" s="47">
        <v>0.83680555555555547</v>
      </c>
      <c r="D14" s="46" t="s">
        <v>30</v>
      </c>
      <c r="E14" s="48"/>
      <c r="F14" s="46" t="s">
        <v>31</v>
      </c>
      <c r="G14" s="208"/>
      <c r="H14" s="49" t="s">
        <v>313</v>
      </c>
      <c r="I14" s="50">
        <v>1.6799999999999999E-2</v>
      </c>
      <c r="J14" s="51">
        <v>3</v>
      </c>
      <c r="K14" s="52" t="s">
        <v>50</v>
      </c>
      <c r="L14" s="51">
        <v>3</v>
      </c>
      <c r="M14" s="51">
        <v>0</v>
      </c>
      <c r="N14" s="51">
        <v>0</v>
      </c>
      <c r="O14" s="53" t="s">
        <v>117</v>
      </c>
      <c r="P14" s="54">
        <v>0.83680555555555547</v>
      </c>
      <c r="Q14" s="51">
        <v>179</v>
      </c>
      <c r="R14" s="55" t="s">
        <v>123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46057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76" t="s">
        <v>28</v>
      </c>
      <c r="B18" s="76" t="s">
        <v>313</v>
      </c>
      <c r="C18" s="77">
        <v>0.71180555555555547</v>
      </c>
      <c r="D18" s="76" t="s">
        <v>30</v>
      </c>
      <c r="E18" s="78"/>
      <c r="F18" s="76" t="s">
        <v>35</v>
      </c>
      <c r="G18" s="208"/>
      <c r="H18" s="79" t="s">
        <v>313</v>
      </c>
      <c r="I18" s="80">
        <v>0</v>
      </c>
      <c r="J18" s="81">
        <v>0</v>
      </c>
      <c r="K18" s="82" t="s">
        <v>36</v>
      </c>
      <c r="L18" s="81">
        <v>0</v>
      </c>
      <c r="M18" s="81">
        <v>0</v>
      </c>
      <c r="N18" s="81">
        <v>0</v>
      </c>
      <c r="O18" s="83" t="s">
        <v>278</v>
      </c>
      <c r="P18" s="84">
        <v>0.71180555555555547</v>
      </c>
      <c r="Q18" s="81">
        <v>179</v>
      </c>
      <c r="R18" s="85" t="s">
        <v>36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46058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7" t="s">
        <v>28</v>
      </c>
      <c r="B22" s="87" t="s">
        <v>313</v>
      </c>
      <c r="C22" s="88">
        <v>0.71180555555555547</v>
      </c>
      <c r="D22" s="87" t="s">
        <v>30</v>
      </c>
      <c r="E22" s="89"/>
      <c r="F22" s="87" t="s">
        <v>35</v>
      </c>
      <c r="G22" s="208"/>
      <c r="H22" s="90" t="s">
        <v>313</v>
      </c>
      <c r="I22" s="91">
        <v>0</v>
      </c>
      <c r="J22" s="92">
        <v>0</v>
      </c>
      <c r="K22" s="93" t="s">
        <v>36</v>
      </c>
      <c r="L22" s="92">
        <v>0</v>
      </c>
      <c r="M22" s="92">
        <v>0</v>
      </c>
      <c r="N22" s="92">
        <v>0</v>
      </c>
      <c r="O22" s="94" t="s">
        <v>278</v>
      </c>
      <c r="P22" s="95">
        <v>0.71180555555555547</v>
      </c>
      <c r="Q22" s="92">
        <v>179</v>
      </c>
      <c r="R22" s="96" t="s">
        <v>36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46060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87" t="s">
        <v>28</v>
      </c>
      <c r="B26" s="87" t="s">
        <v>313</v>
      </c>
      <c r="C26" s="88">
        <v>0.83680555555555547</v>
      </c>
      <c r="D26" s="87" t="s">
        <v>30</v>
      </c>
      <c r="E26" s="89"/>
      <c r="F26" s="87" t="s">
        <v>31</v>
      </c>
      <c r="G26" s="204"/>
      <c r="H26" s="90" t="s">
        <v>313</v>
      </c>
      <c r="I26" s="91">
        <v>5.5999999999999999E-3</v>
      </c>
      <c r="J26" s="92">
        <v>1</v>
      </c>
      <c r="K26" s="93" t="s">
        <v>286</v>
      </c>
      <c r="L26" s="92">
        <v>1</v>
      </c>
      <c r="M26" s="92">
        <v>0</v>
      </c>
      <c r="N26" s="92">
        <v>0</v>
      </c>
      <c r="O26" s="94" t="s">
        <v>140</v>
      </c>
      <c r="P26" s="95">
        <v>0.83680555555555547</v>
      </c>
      <c r="Q26" s="92">
        <v>179</v>
      </c>
      <c r="R26" s="96" t="s">
        <v>124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46064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76" t="s">
        <v>28</v>
      </c>
      <c r="B30" s="76" t="s">
        <v>313</v>
      </c>
      <c r="C30" s="77">
        <v>0.71180555555555547</v>
      </c>
      <c r="D30" s="76" t="s">
        <v>30</v>
      </c>
      <c r="E30" s="78"/>
      <c r="F30" s="76" t="s">
        <v>35</v>
      </c>
      <c r="G30" s="208"/>
      <c r="H30" s="79" t="s">
        <v>313</v>
      </c>
      <c r="I30" s="80">
        <v>0</v>
      </c>
      <c r="J30" s="81">
        <v>0</v>
      </c>
      <c r="K30" s="82" t="s">
        <v>36</v>
      </c>
      <c r="L30" s="81">
        <v>0</v>
      </c>
      <c r="M30" s="81">
        <v>0</v>
      </c>
      <c r="N30" s="81">
        <v>0</v>
      </c>
      <c r="O30" s="83" t="s">
        <v>281</v>
      </c>
      <c r="P30" s="84">
        <v>0.71180555555555547</v>
      </c>
      <c r="Q30" s="81">
        <v>179</v>
      </c>
      <c r="R30" s="85" t="s">
        <v>36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46065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46" t="s">
        <v>28</v>
      </c>
      <c r="B34" s="46" t="s">
        <v>313</v>
      </c>
      <c r="C34" s="47">
        <v>0.71180555555555547</v>
      </c>
      <c r="D34" s="46" t="s">
        <v>30</v>
      </c>
      <c r="E34" s="48"/>
      <c r="F34" s="46" t="s">
        <v>35</v>
      </c>
      <c r="G34" s="208"/>
      <c r="H34" s="49" t="s">
        <v>313</v>
      </c>
      <c r="I34" s="50">
        <v>0</v>
      </c>
      <c r="J34" s="51">
        <v>0</v>
      </c>
      <c r="K34" s="52" t="s">
        <v>36</v>
      </c>
      <c r="L34" s="51">
        <v>0</v>
      </c>
      <c r="M34" s="51">
        <v>0</v>
      </c>
      <c r="N34" s="51">
        <v>0</v>
      </c>
      <c r="O34" s="53" t="s">
        <v>281</v>
      </c>
      <c r="P34" s="54">
        <v>0.71180555555555547</v>
      </c>
      <c r="Q34" s="51">
        <v>179</v>
      </c>
      <c r="R34" s="55" t="s">
        <v>36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46067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313</v>
      </c>
      <c r="C38" s="9">
        <v>0.83680555555555547</v>
      </c>
      <c r="D38" s="8" t="s">
        <v>30</v>
      </c>
      <c r="E38" s="10"/>
      <c r="F38" s="8" t="s">
        <v>35</v>
      </c>
      <c r="G38" s="208"/>
      <c r="H38" s="11" t="s">
        <v>313</v>
      </c>
      <c r="I38" s="12">
        <v>0</v>
      </c>
      <c r="J38" s="13">
        <v>0</v>
      </c>
      <c r="K38" s="14" t="s">
        <v>36</v>
      </c>
      <c r="L38" s="13">
        <v>0</v>
      </c>
      <c r="M38" s="13">
        <v>0</v>
      </c>
      <c r="N38" s="13">
        <v>0</v>
      </c>
      <c r="O38" s="15" t="s">
        <v>315</v>
      </c>
      <c r="P38" s="16">
        <v>0.83680555555555547</v>
      </c>
      <c r="Q38" s="13">
        <v>179</v>
      </c>
      <c r="R38" s="17" t="s">
        <v>36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46071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36" t="s">
        <v>28</v>
      </c>
      <c r="B42" s="36" t="s">
        <v>313</v>
      </c>
      <c r="C42" s="37">
        <v>0.71180555555555547</v>
      </c>
      <c r="D42" s="36" t="s">
        <v>30</v>
      </c>
      <c r="E42" s="38"/>
      <c r="F42" s="36" t="s">
        <v>35</v>
      </c>
      <c r="G42" s="208"/>
      <c r="H42" s="39" t="s">
        <v>313</v>
      </c>
      <c r="I42" s="40">
        <v>0</v>
      </c>
      <c r="J42" s="41">
        <v>0</v>
      </c>
      <c r="K42" s="42" t="s">
        <v>36</v>
      </c>
      <c r="L42" s="41">
        <v>0</v>
      </c>
      <c r="M42" s="41">
        <v>0</v>
      </c>
      <c r="N42" s="41">
        <v>0</v>
      </c>
      <c r="O42" s="43" t="s">
        <v>315</v>
      </c>
      <c r="P42" s="44">
        <v>0.71180555555555547</v>
      </c>
      <c r="Q42" s="41">
        <v>179</v>
      </c>
      <c r="R42" s="45" t="s">
        <v>36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46072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6" t="s">
        <v>28</v>
      </c>
      <c r="B46" s="56" t="s">
        <v>313</v>
      </c>
      <c r="C46" s="57">
        <v>0.71180555555555547</v>
      </c>
      <c r="D46" s="56" t="s">
        <v>30</v>
      </c>
      <c r="E46" s="58"/>
      <c r="F46" s="56" t="s">
        <v>35</v>
      </c>
      <c r="G46" s="208"/>
      <c r="H46" s="59" t="s">
        <v>313</v>
      </c>
      <c r="I46" s="60">
        <v>0</v>
      </c>
      <c r="J46" s="61">
        <v>0</v>
      </c>
      <c r="K46" s="62" t="s">
        <v>36</v>
      </c>
      <c r="L46" s="61">
        <v>0</v>
      </c>
      <c r="M46" s="61">
        <v>0</v>
      </c>
      <c r="N46" s="61">
        <v>0</v>
      </c>
      <c r="O46" s="63" t="s">
        <v>315</v>
      </c>
      <c r="P46" s="64">
        <v>0.71180555555555547</v>
      </c>
      <c r="Q46" s="61">
        <v>179</v>
      </c>
      <c r="R46" s="65" t="s">
        <v>36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46074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6" t="s">
        <v>28</v>
      </c>
      <c r="B50" s="56" t="s">
        <v>313</v>
      </c>
      <c r="C50" s="57">
        <v>0.83680555555555547</v>
      </c>
      <c r="D50" s="56" t="s">
        <v>30</v>
      </c>
      <c r="E50" s="58"/>
      <c r="F50" s="56" t="s">
        <v>35</v>
      </c>
      <c r="G50" s="208"/>
      <c r="H50" s="59" t="s">
        <v>313</v>
      </c>
      <c r="I50" s="60">
        <v>0</v>
      </c>
      <c r="J50" s="61">
        <v>0</v>
      </c>
      <c r="K50" s="62" t="s">
        <v>36</v>
      </c>
      <c r="L50" s="61">
        <v>0</v>
      </c>
      <c r="M50" s="61">
        <v>0</v>
      </c>
      <c r="N50" s="61">
        <v>0</v>
      </c>
      <c r="O50" s="63" t="s">
        <v>315</v>
      </c>
      <c r="P50" s="64">
        <v>0.83680555555555547</v>
      </c>
      <c r="Q50" s="61">
        <v>179</v>
      </c>
      <c r="R50" s="65" t="s">
        <v>36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46078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" t="s">
        <v>28</v>
      </c>
      <c r="B54" s="8" t="s">
        <v>313</v>
      </c>
      <c r="C54" s="9">
        <v>0.71180555555555547</v>
      </c>
      <c r="D54" s="8" t="s">
        <v>30</v>
      </c>
      <c r="E54" s="10"/>
      <c r="F54" s="8" t="s">
        <v>35</v>
      </c>
      <c r="G54" s="204"/>
      <c r="H54" s="11" t="s">
        <v>313</v>
      </c>
      <c r="I54" s="12">
        <v>0</v>
      </c>
      <c r="J54" s="13">
        <v>0</v>
      </c>
      <c r="K54" s="14" t="s">
        <v>36</v>
      </c>
      <c r="L54" s="13">
        <v>0</v>
      </c>
      <c r="M54" s="13">
        <v>0</v>
      </c>
      <c r="N54" s="13">
        <v>0</v>
      </c>
      <c r="O54" s="15" t="s">
        <v>315</v>
      </c>
      <c r="P54" s="16">
        <v>0.71180555555555547</v>
      </c>
      <c r="Q54" s="13">
        <v>179</v>
      </c>
      <c r="R54" s="17" t="s">
        <v>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46079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8" t="s">
        <v>28</v>
      </c>
      <c r="B58" s="8" t="s">
        <v>313</v>
      </c>
      <c r="C58" s="9">
        <v>0.71180555555555547</v>
      </c>
      <c r="D58" s="8" t="s">
        <v>30</v>
      </c>
      <c r="E58" s="10"/>
      <c r="F58" s="8" t="s">
        <v>35</v>
      </c>
      <c r="G58" s="208"/>
      <c r="H58" s="11" t="s">
        <v>313</v>
      </c>
      <c r="I58" s="12">
        <v>0</v>
      </c>
      <c r="J58" s="13">
        <v>0</v>
      </c>
      <c r="K58" s="14" t="s">
        <v>36</v>
      </c>
      <c r="L58" s="13">
        <v>0</v>
      </c>
      <c r="M58" s="13">
        <v>0</v>
      </c>
      <c r="N58" s="13">
        <v>0</v>
      </c>
      <c r="O58" s="15" t="s">
        <v>315</v>
      </c>
      <c r="P58" s="16">
        <v>0.71180555555555547</v>
      </c>
      <c r="Q58" s="13">
        <v>179</v>
      </c>
      <c r="R58" s="17" t="s">
        <v>36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46081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8" t="s">
        <v>28</v>
      </c>
      <c r="B62" s="8" t="s">
        <v>313</v>
      </c>
      <c r="C62" s="9">
        <v>0.83680555555555547</v>
      </c>
      <c r="D62" s="8" t="s">
        <v>30</v>
      </c>
      <c r="E62" s="10"/>
      <c r="F62" s="8" t="s">
        <v>35</v>
      </c>
      <c r="G62" s="204"/>
      <c r="H62" s="11" t="s">
        <v>313</v>
      </c>
      <c r="I62" s="12">
        <v>0</v>
      </c>
      <c r="J62" s="13">
        <v>0</v>
      </c>
      <c r="K62" s="14" t="s">
        <v>36</v>
      </c>
      <c r="L62" s="13">
        <v>0</v>
      </c>
      <c r="M62" s="13">
        <v>0</v>
      </c>
      <c r="N62" s="13">
        <v>0</v>
      </c>
      <c r="O62" s="15" t="s">
        <v>289</v>
      </c>
      <c r="P62" s="16">
        <v>0.83680555555555547</v>
      </c>
      <c r="Q62" s="13">
        <v>179</v>
      </c>
      <c r="R62" s="17" t="s">
        <v>36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7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8.3320312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235</v>
      </c>
      <c r="B2" s="222">
        <v>46050</v>
      </c>
      <c r="C2" s="223" t="s">
        <v>313</v>
      </c>
      <c r="D2" s="224" t="s">
        <v>316</v>
      </c>
      <c r="E2" s="223" t="s">
        <v>312</v>
      </c>
      <c r="F2" s="223" t="s">
        <v>111</v>
      </c>
      <c r="G2" s="225">
        <v>5.5999999999999999E-3</v>
      </c>
      <c r="H2" s="226">
        <v>179</v>
      </c>
      <c r="I2" s="226">
        <v>1</v>
      </c>
      <c r="J2" s="226">
        <v>0</v>
      </c>
      <c r="K2" s="223" t="s">
        <v>112</v>
      </c>
      <c r="L2" s="227" t="s">
        <v>187</v>
      </c>
      <c r="M2" s="226">
        <v>0</v>
      </c>
      <c r="N2" s="226">
        <v>0</v>
      </c>
      <c r="O2" s="226">
        <v>1</v>
      </c>
      <c r="P2" s="223" t="s">
        <v>140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6" t="s">
        <v>43</v>
      </c>
      <c r="AF2" s="219"/>
      <c r="AG2" s="219"/>
      <c r="AH2" s="219"/>
      <c r="AI2" s="219"/>
      <c r="AJ2" s="219"/>
    </row>
    <row r="3" spans="1:36" x14ac:dyDescent="0.3">
      <c r="A3" s="221" t="s">
        <v>109</v>
      </c>
      <c r="B3" s="222">
        <v>46051</v>
      </c>
      <c r="C3" s="223" t="s">
        <v>313</v>
      </c>
      <c r="D3" s="224" t="s">
        <v>316</v>
      </c>
      <c r="E3" s="223" t="s">
        <v>312</v>
      </c>
      <c r="F3" s="223" t="s">
        <v>111</v>
      </c>
      <c r="G3" s="225">
        <v>3.3500000000000002E-2</v>
      </c>
      <c r="H3" s="226">
        <v>179</v>
      </c>
      <c r="I3" s="226">
        <v>6</v>
      </c>
      <c r="J3" s="226">
        <v>0</v>
      </c>
      <c r="K3" s="223" t="s">
        <v>112</v>
      </c>
      <c r="L3" s="227" t="s">
        <v>314</v>
      </c>
      <c r="M3" s="226">
        <v>0</v>
      </c>
      <c r="N3" s="226">
        <v>0</v>
      </c>
      <c r="O3" s="226">
        <v>6</v>
      </c>
      <c r="P3" s="223" t="s">
        <v>56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26" t="s">
        <v>290</v>
      </c>
      <c r="AG3" s="219"/>
      <c r="AH3" s="219"/>
      <c r="AI3" s="219"/>
      <c r="AJ3" s="219"/>
    </row>
    <row r="4" spans="1:36" x14ac:dyDescent="0.3">
      <c r="A4" s="221" t="s">
        <v>113</v>
      </c>
      <c r="B4" s="222">
        <v>46053</v>
      </c>
      <c r="C4" s="223" t="s">
        <v>313</v>
      </c>
      <c r="D4" s="224" t="s">
        <v>317</v>
      </c>
      <c r="E4" s="223" t="s">
        <v>312</v>
      </c>
      <c r="F4" s="223" t="s">
        <v>111</v>
      </c>
      <c r="G4" s="225">
        <v>1.6799999999999999E-2</v>
      </c>
      <c r="H4" s="226">
        <v>179</v>
      </c>
      <c r="I4" s="226">
        <v>3</v>
      </c>
      <c r="J4" s="226">
        <v>0</v>
      </c>
      <c r="K4" s="223" t="s">
        <v>112</v>
      </c>
      <c r="L4" s="227" t="s">
        <v>50</v>
      </c>
      <c r="M4" s="226">
        <v>0</v>
      </c>
      <c r="N4" s="226">
        <v>0</v>
      </c>
      <c r="O4" s="226">
        <v>3</v>
      </c>
      <c r="P4" s="223" t="s">
        <v>117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26" t="s">
        <v>123</v>
      </c>
      <c r="AF4" s="219"/>
      <c r="AG4" s="219"/>
      <c r="AH4" s="219"/>
      <c r="AI4" s="219"/>
      <c r="AJ4" s="219"/>
    </row>
    <row r="5" spans="1:36" x14ac:dyDescent="0.3">
      <c r="A5" s="221" t="s">
        <v>235</v>
      </c>
      <c r="B5" s="222">
        <v>46057</v>
      </c>
      <c r="C5" s="223" t="s">
        <v>313</v>
      </c>
      <c r="D5" s="224" t="s">
        <v>316</v>
      </c>
      <c r="E5" s="223" t="s">
        <v>312</v>
      </c>
      <c r="F5" s="223" t="s">
        <v>111</v>
      </c>
      <c r="G5" s="225">
        <v>0</v>
      </c>
      <c r="H5" s="226">
        <v>179</v>
      </c>
      <c r="I5" s="226">
        <v>0</v>
      </c>
      <c r="J5" s="226">
        <v>0</v>
      </c>
      <c r="K5" s="223" t="s">
        <v>112</v>
      </c>
      <c r="L5" s="227" t="s">
        <v>36</v>
      </c>
      <c r="M5" s="226">
        <v>0</v>
      </c>
      <c r="N5" s="226">
        <v>0</v>
      </c>
      <c r="O5" s="226">
        <v>0</v>
      </c>
      <c r="P5" s="223" t="s">
        <v>278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</row>
    <row r="6" spans="1:36" x14ac:dyDescent="0.3">
      <c r="A6" s="221" t="s">
        <v>109</v>
      </c>
      <c r="B6" s="222">
        <v>46058</v>
      </c>
      <c r="C6" s="223" t="s">
        <v>313</v>
      </c>
      <c r="D6" s="224" t="s">
        <v>316</v>
      </c>
      <c r="E6" s="223" t="s">
        <v>312</v>
      </c>
      <c r="F6" s="223" t="s">
        <v>111</v>
      </c>
      <c r="G6" s="225">
        <v>0</v>
      </c>
      <c r="H6" s="226">
        <v>179</v>
      </c>
      <c r="I6" s="226">
        <v>0</v>
      </c>
      <c r="J6" s="226">
        <v>0</v>
      </c>
      <c r="K6" s="223" t="s">
        <v>112</v>
      </c>
      <c r="L6" s="227" t="s">
        <v>36</v>
      </c>
      <c r="M6" s="226">
        <v>0</v>
      </c>
      <c r="N6" s="226">
        <v>0</v>
      </c>
      <c r="O6" s="226">
        <v>0</v>
      </c>
      <c r="P6" s="223" t="s">
        <v>278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</row>
    <row r="7" spans="1:36" x14ac:dyDescent="0.3">
      <c r="A7" s="221" t="s">
        <v>113</v>
      </c>
      <c r="B7" s="222">
        <v>46060</v>
      </c>
      <c r="C7" s="223" t="s">
        <v>313</v>
      </c>
      <c r="D7" s="224" t="s">
        <v>317</v>
      </c>
      <c r="E7" s="223" t="s">
        <v>312</v>
      </c>
      <c r="F7" s="223" t="s">
        <v>111</v>
      </c>
      <c r="G7" s="225">
        <v>5.5999999999999999E-3</v>
      </c>
      <c r="H7" s="226">
        <v>179</v>
      </c>
      <c r="I7" s="226">
        <v>1</v>
      </c>
      <c r="J7" s="226">
        <v>0</v>
      </c>
      <c r="K7" s="223" t="s">
        <v>112</v>
      </c>
      <c r="L7" s="227" t="s">
        <v>286</v>
      </c>
      <c r="M7" s="226">
        <v>0</v>
      </c>
      <c r="N7" s="226">
        <v>0</v>
      </c>
      <c r="O7" s="226">
        <v>1</v>
      </c>
      <c r="P7" s="223" t="s">
        <v>140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26" t="s">
        <v>124</v>
      </c>
      <c r="AG7" s="219"/>
      <c r="AH7" s="219"/>
      <c r="AI7" s="219"/>
      <c r="AJ7" s="219"/>
    </row>
    <row r="8" spans="1:36" x14ac:dyDescent="0.3">
      <c r="A8" s="221" t="s">
        <v>235</v>
      </c>
      <c r="B8" s="222">
        <v>46064</v>
      </c>
      <c r="C8" s="223" t="s">
        <v>313</v>
      </c>
      <c r="D8" s="224" t="s">
        <v>316</v>
      </c>
      <c r="E8" s="223" t="s">
        <v>312</v>
      </c>
      <c r="F8" s="223" t="s">
        <v>111</v>
      </c>
      <c r="G8" s="225">
        <v>0</v>
      </c>
      <c r="H8" s="226">
        <v>179</v>
      </c>
      <c r="I8" s="226">
        <v>0</v>
      </c>
      <c r="J8" s="226">
        <v>0</v>
      </c>
      <c r="K8" s="223" t="s">
        <v>112</v>
      </c>
      <c r="L8" s="227" t="s">
        <v>36</v>
      </c>
      <c r="M8" s="226">
        <v>0</v>
      </c>
      <c r="N8" s="226">
        <v>0</v>
      </c>
      <c r="O8" s="226">
        <v>0</v>
      </c>
      <c r="P8" s="223" t="s">
        <v>281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109</v>
      </c>
      <c r="B9" s="222">
        <v>46065</v>
      </c>
      <c r="C9" s="223" t="s">
        <v>313</v>
      </c>
      <c r="D9" s="224" t="s">
        <v>316</v>
      </c>
      <c r="E9" s="223" t="s">
        <v>312</v>
      </c>
      <c r="F9" s="223" t="s">
        <v>111</v>
      </c>
      <c r="G9" s="225">
        <v>0</v>
      </c>
      <c r="H9" s="226">
        <v>179</v>
      </c>
      <c r="I9" s="226">
        <v>0</v>
      </c>
      <c r="J9" s="226">
        <v>0</v>
      </c>
      <c r="K9" s="223" t="s">
        <v>112</v>
      </c>
      <c r="L9" s="227" t="s">
        <v>36</v>
      </c>
      <c r="M9" s="226">
        <v>0</v>
      </c>
      <c r="N9" s="226">
        <v>0</v>
      </c>
      <c r="O9" s="226">
        <v>0</v>
      </c>
      <c r="P9" s="223" t="s">
        <v>281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113</v>
      </c>
      <c r="B10" s="222">
        <v>46067</v>
      </c>
      <c r="C10" s="223" t="s">
        <v>313</v>
      </c>
      <c r="D10" s="224" t="s">
        <v>317</v>
      </c>
      <c r="E10" s="223" t="s">
        <v>312</v>
      </c>
      <c r="F10" s="223" t="s">
        <v>111</v>
      </c>
      <c r="G10" s="225">
        <v>0</v>
      </c>
      <c r="H10" s="226">
        <v>179</v>
      </c>
      <c r="I10" s="226">
        <v>0</v>
      </c>
      <c r="J10" s="226">
        <v>0</v>
      </c>
      <c r="K10" s="223" t="s">
        <v>112</v>
      </c>
      <c r="L10" s="227" t="s">
        <v>36</v>
      </c>
      <c r="M10" s="226">
        <v>0</v>
      </c>
      <c r="N10" s="226">
        <v>0</v>
      </c>
      <c r="O10" s="226">
        <v>0</v>
      </c>
      <c r="P10" s="223" t="s">
        <v>315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235</v>
      </c>
      <c r="B11" s="222">
        <v>46071</v>
      </c>
      <c r="C11" s="223" t="s">
        <v>313</v>
      </c>
      <c r="D11" s="224" t="s">
        <v>316</v>
      </c>
      <c r="E11" s="223" t="s">
        <v>312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315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109</v>
      </c>
      <c r="B12" s="222">
        <v>46072</v>
      </c>
      <c r="C12" s="223" t="s">
        <v>313</v>
      </c>
      <c r="D12" s="224" t="s">
        <v>316</v>
      </c>
      <c r="E12" s="223" t="s">
        <v>312</v>
      </c>
      <c r="F12" s="223" t="s">
        <v>111</v>
      </c>
      <c r="G12" s="225">
        <v>0</v>
      </c>
      <c r="H12" s="226">
        <v>179</v>
      </c>
      <c r="I12" s="226">
        <v>0</v>
      </c>
      <c r="J12" s="226">
        <v>0</v>
      </c>
      <c r="K12" s="223" t="s">
        <v>112</v>
      </c>
      <c r="L12" s="227" t="s">
        <v>36</v>
      </c>
      <c r="M12" s="226">
        <v>0</v>
      </c>
      <c r="N12" s="226">
        <v>0</v>
      </c>
      <c r="O12" s="226">
        <v>0</v>
      </c>
      <c r="P12" s="223" t="s">
        <v>315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</row>
    <row r="13" spans="1:36" x14ac:dyDescent="0.3">
      <c r="A13" s="221" t="s">
        <v>113</v>
      </c>
      <c r="B13" s="222">
        <v>46074</v>
      </c>
      <c r="C13" s="223" t="s">
        <v>313</v>
      </c>
      <c r="D13" s="224" t="s">
        <v>317</v>
      </c>
      <c r="E13" s="223" t="s">
        <v>312</v>
      </c>
      <c r="F13" s="223" t="s">
        <v>111</v>
      </c>
      <c r="G13" s="225">
        <v>0</v>
      </c>
      <c r="H13" s="226">
        <v>179</v>
      </c>
      <c r="I13" s="226">
        <v>0</v>
      </c>
      <c r="J13" s="226">
        <v>0</v>
      </c>
      <c r="K13" s="223" t="s">
        <v>112</v>
      </c>
      <c r="L13" s="227" t="s">
        <v>36</v>
      </c>
      <c r="M13" s="226">
        <v>0</v>
      </c>
      <c r="N13" s="226">
        <v>0</v>
      </c>
      <c r="O13" s="226">
        <v>0</v>
      </c>
      <c r="P13" s="223" t="s">
        <v>315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235</v>
      </c>
      <c r="B14" s="222">
        <v>46078</v>
      </c>
      <c r="C14" s="223" t="s">
        <v>313</v>
      </c>
      <c r="D14" s="224" t="s">
        <v>316</v>
      </c>
      <c r="E14" s="223" t="s">
        <v>312</v>
      </c>
      <c r="F14" s="223" t="s">
        <v>111</v>
      </c>
      <c r="G14" s="225">
        <v>0</v>
      </c>
      <c r="H14" s="226">
        <v>179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315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109</v>
      </c>
      <c r="B15" s="222">
        <v>46079</v>
      </c>
      <c r="C15" s="223" t="s">
        <v>313</v>
      </c>
      <c r="D15" s="224" t="s">
        <v>316</v>
      </c>
      <c r="E15" s="223" t="s">
        <v>312</v>
      </c>
      <c r="F15" s="223" t="s">
        <v>111</v>
      </c>
      <c r="G15" s="225">
        <v>0</v>
      </c>
      <c r="H15" s="226">
        <v>179</v>
      </c>
      <c r="I15" s="226">
        <v>0</v>
      </c>
      <c r="J15" s="226">
        <v>0</v>
      </c>
      <c r="K15" s="223" t="s">
        <v>112</v>
      </c>
      <c r="L15" s="227" t="s">
        <v>36</v>
      </c>
      <c r="M15" s="226">
        <v>0</v>
      </c>
      <c r="N15" s="226">
        <v>0</v>
      </c>
      <c r="O15" s="226">
        <v>0</v>
      </c>
      <c r="P15" s="223" t="s">
        <v>315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</row>
    <row r="16" spans="1:36" x14ac:dyDescent="0.3">
      <c r="A16" s="221" t="s">
        <v>113</v>
      </c>
      <c r="B16" s="222">
        <v>46081</v>
      </c>
      <c r="C16" s="223" t="s">
        <v>313</v>
      </c>
      <c r="D16" s="224" t="s">
        <v>317</v>
      </c>
      <c r="E16" s="223" t="s">
        <v>312</v>
      </c>
      <c r="F16" s="223" t="s">
        <v>111</v>
      </c>
      <c r="G16" s="225">
        <v>0</v>
      </c>
      <c r="H16" s="226">
        <v>179</v>
      </c>
      <c r="I16" s="226">
        <v>0</v>
      </c>
      <c r="J16" s="226">
        <v>0</v>
      </c>
      <c r="K16" s="223" t="s">
        <v>112</v>
      </c>
      <c r="L16" s="227" t="s">
        <v>36</v>
      </c>
      <c r="M16" s="226">
        <v>0</v>
      </c>
      <c r="N16" s="226">
        <v>0</v>
      </c>
      <c r="O16" s="226">
        <v>0</v>
      </c>
      <c r="P16" s="223" t="s">
        <v>289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</row>
    <row r="17" spans="1:36" ht="21" x14ac:dyDescent="0.3">
      <c r="A17" s="228" t="s">
        <v>377</v>
      </c>
      <c r="B17" s="229"/>
      <c r="C17" s="228">
        <f>SUBTOTAL(103,CAI_TUU_LF_LEGACY[Flt])</f>
        <v>15</v>
      </c>
      <c r="D17" s="228"/>
      <c r="E17" s="228">
        <f>SUBTOTAL(103,CAI_TUU_LF_LEGACY[Brd-Off])</f>
        <v>15</v>
      </c>
      <c r="F17" s="228"/>
      <c r="G17" s="230">
        <f>SUBTOTAL(101,CAI_TUU_LF_LEGACY[LF%])</f>
        <v>4.1000000000000003E-3</v>
      </c>
      <c r="H17" s="231">
        <f>SUBTOTAL(109,CAI_TUU_LF_LEGACY[CAP])</f>
        <v>2685</v>
      </c>
      <c r="I17" s="231">
        <f>SUBTOTAL(109,CAI_TUU_LF_LEGACY[BKG(Y)])</f>
        <v>11</v>
      </c>
      <c r="J17" s="231">
        <f>SUBTOTAL(109,CAI_TUU_LF_LEGACY[GRP(Y)])</f>
        <v>0</v>
      </c>
      <c r="K17" s="228"/>
      <c r="L17" s="229"/>
      <c r="M17" s="231">
        <f>SUBTOTAL(109,CAI_TUU_LF_LEGACY[TO-DAY])</f>
        <v>0</v>
      </c>
      <c r="N17" s="231">
        <f>SUBTOTAL(109,CAI_TUU_LF_LEGACY[Y-DAY])</f>
        <v>0</v>
      </c>
      <c r="O17" s="231">
        <f>SUBTOTAL(109,CAI_TUU_LF_LEGACY[WEEKLY])</f>
        <v>11</v>
      </c>
      <c r="P17" s="232"/>
      <c r="Q17" s="231">
        <f>SUBTOTAL(109,CAI_TUU_LF_LEGACY[Y])</f>
        <v>0</v>
      </c>
      <c r="R17" s="231">
        <f>SUBTOTAL(109,CAI_TUU_LF_LEGACY[B])</f>
        <v>0</v>
      </c>
      <c r="S17" s="231">
        <f>SUBTOTAL(109,CAI_TUU_LF_LEGACY[M])</f>
        <v>0</v>
      </c>
      <c r="T17" s="231">
        <f>SUBTOTAL(109,CAI_TUU_LF_LEGACY[H])</f>
        <v>0</v>
      </c>
      <c r="U17" s="231">
        <f>SUBTOTAL(109,CAI_TUU_LF_LEGACY[Q])</f>
        <v>0</v>
      </c>
      <c r="V17" s="231">
        <f>SUBTOTAL(109,CAI_TUU_LF_LEGACY[K])</f>
        <v>0</v>
      </c>
      <c r="W17" s="231">
        <f>SUBTOTAL(109,CAI_TUU_LF_LEGACY[V])</f>
        <v>0</v>
      </c>
      <c r="X17" s="231">
        <f>SUBTOTAL(109,CAI_TUU_LF_LEGACY[L])</f>
        <v>0</v>
      </c>
      <c r="Y17" s="231">
        <f>SUBTOTAL(109,CAI_TUU_LF_LEGACY[G])</f>
        <v>0</v>
      </c>
      <c r="Z17" s="231">
        <f>SUBTOTAL(109,CAI_TUU_LF_LEGACY[S])</f>
        <v>0</v>
      </c>
      <c r="AA17" s="231">
        <f>SUBTOTAL(109,CAI_TUU_LF_LEGACY[W])</f>
        <v>0</v>
      </c>
      <c r="AB17" s="231">
        <f>SUBTOTAL(109,CAI_TUU_LF_LEGACY[T])</f>
        <v>0</v>
      </c>
      <c r="AC17" s="231">
        <f>SUBTOTAL(109,CAI_TUU_LF_LEGACY[X])</f>
        <v>0</v>
      </c>
      <c r="AD17" s="231">
        <f>SUBTOTAL(109,CAI_TUU_LF_LEGACY[U])</f>
        <v>0</v>
      </c>
      <c r="AE17" s="231">
        <f>SUBTOTAL(109,CAI_TUU_LF_LEGACY[O])</f>
        <v>0</v>
      </c>
      <c r="AF17" s="231">
        <f>SUBTOTAL(109,CAI_TUU_LF_LEGACY[I])</f>
        <v>0</v>
      </c>
      <c r="AG17" s="231">
        <f>SUBTOTAL(109,CAI_TUU_LF_LEGACY[E])</f>
        <v>0</v>
      </c>
      <c r="AH17" s="231">
        <f>SUBTOTAL(109,CAI_TUU_LF_LEGACY[A])</f>
        <v>0</v>
      </c>
      <c r="AI17" s="231">
        <f>SUBTOTAL(109,CAI_TUU_LF_LEGACY[P])</f>
        <v>0</v>
      </c>
      <c r="AJ17" s="231">
        <f>SUBTOTAL(103,CAI_TUU_LF_LEGACY[N])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6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1.109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318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45984.11245493171</v>
      </c>
      <c r="H2" s="206"/>
      <c r="I2" s="206"/>
      <c r="J2" s="206"/>
      <c r="K2" s="213">
        <v>45984.11245493227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46051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76" t="s">
        <v>28</v>
      </c>
      <c r="B6" s="76" t="s">
        <v>319</v>
      </c>
      <c r="C6" s="77">
        <v>0.76736111111111116</v>
      </c>
      <c r="D6" s="76" t="s">
        <v>30</v>
      </c>
      <c r="E6" s="78"/>
      <c r="F6" s="76" t="s">
        <v>31</v>
      </c>
      <c r="G6" s="204"/>
      <c r="H6" s="79" t="s">
        <v>319</v>
      </c>
      <c r="I6" s="80">
        <v>1.12E-2</v>
      </c>
      <c r="J6" s="81">
        <v>2</v>
      </c>
      <c r="K6" s="82" t="s">
        <v>65</v>
      </c>
      <c r="L6" s="81">
        <v>2</v>
      </c>
      <c r="M6" s="81">
        <v>0</v>
      </c>
      <c r="N6" s="81">
        <v>0</v>
      </c>
      <c r="O6" s="83" t="s">
        <v>123</v>
      </c>
      <c r="P6" s="84">
        <v>0.76736111111111116</v>
      </c>
      <c r="Q6" s="81">
        <v>179</v>
      </c>
      <c r="R6" s="85" t="s">
        <v>117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46053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319</v>
      </c>
      <c r="C10" s="57">
        <v>0.71875</v>
      </c>
      <c r="D10" s="56" t="s">
        <v>30</v>
      </c>
      <c r="E10" s="58"/>
      <c r="F10" s="56" t="s">
        <v>31</v>
      </c>
      <c r="G10" s="208"/>
      <c r="H10" s="59" t="s">
        <v>319</v>
      </c>
      <c r="I10" s="60">
        <v>1.12E-2</v>
      </c>
      <c r="J10" s="61">
        <v>2</v>
      </c>
      <c r="K10" s="62" t="s">
        <v>320</v>
      </c>
      <c r="L10" s="61">
        <v>2</v>
      </c>
      <c r="M10" s="61">
        <v>0</v>
      </c>
      <c r="N10" s="61">
        <v>0</v>
      </c>
      <c r="O10" s="63" t="s">
        <v>123</v>
      </c>
      <c r="P10" s="64">
        <v>0.71875</v>
      </c>
      <c r="Q10" s="61">
        <v>179</v>
      </c>
      <c r="R10" s="65" t="s">
        <v>321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46056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7" t="s">
        <v>28</v>
      </c>
      <c r="B14" s="87" t="s">
        <v>319</v>
      </c>
      <c r="C14" s="88">
        <v>0.3125</v>
      </c>
      <c r="D14" s="87" t="s">
        <v>30</v>
      </c>
      <c r="E14" s="89"/>
      <c r="F14" s="87" t="s">
        <v>35</v>
      </c>
      <c r="G14" s="208"/>
      <c r="H14" s="90" t="s">
        <v>319</v>
      </c>
      <c r="I14" s="91">
        <v>0</v>
      </c>
      <c r="J14" s="92">
        <v>0</v>
      </c>
      <c r="K14" s="93" t="s">
        <v>36</v>
      </c>
      <c r="L14" s="92">
        <v>0</v>
      </c>
      <c r="M14" s="92">
        <v>0</v>
      </c>
      <c r="N14" s="92">
        <v>0</v>
      </c>
      <c r="O14" s="94" t="s">
        <v>278</v>
      </c>
      <c r="P14" s="95">
        <v>0.3125</v>
      </c>
      <c r="Q14" s="92">
        <v>179</v>
      </c>
      <c r="R14" s="96" t="s">
        <v>36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46058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319</v>
      </c>
      <c r="C18" s="47">
        <v>0.76736111111111116</v>
      </c>
      <c r="D18" s="46" t="s">
        <v>30</v>
      </c>
      <c r="E18" s="48"/>
      <c r="F18" s="46" t="s">
        <v>35</v>
      </c>
      <c r="G18" s="208"/>
      <c r="H18" s="49" t="s">
        <v>319</v>
      </c>
      <c r="I18" s="50">
        <v>0</v>
      </c>
      <c r="J18" s="51">
        <v>0</v>
      </c>
      <c r="K18" s="52" t="s">
        <v>36</v>
      </c>
      <c r="L18" s="51">
        <v>0</v>
      </c>
      <c r="M18" s="51">
        <v>0</v>
      </c>
      <c r="N18" s="51">
        <v>0</v>
      </c>
      <c r="O18" s="53" t="s">
        <v>278</v>
      </c>
      <c r="P18" s="54">
        <v>0.76736111111111116</v>
      </c>
      <c r="Q18" s="51">
        <v>179</v>
      </c>
      <c r="R18" s="55" t="s">
        <v>36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46060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319</v>
      </c>
      <c r="C22" s="9">
        <v>0.71875</v>
      </c>
      <c r="D22" s="8" t="s">
        <v>30</v>
      </c>
      <c r="E22" s="10"/>
      <c r="F22" s="8" t="s">
        <v>31</v>
      </c>
      <c r="G22" s="208"/>
      <c r="H22" s="11" t="s">
        <v>319</v>
      </c>
      <c r="I22" s="12">
        <v>5.5999999999999999E-3</v>
      </c>
      <c r="J22" s="13">
        <v>1</v>
      </c>
      <c r="K22" s="14" t="s">
        <v>167</v>
      </c>
      <c r="L22" s="13">
        <v>1</v>
      </c>
      <c r="M22" s="13">
        <v>0</v>
      </c>
      <c r="N22" s="13">
        <v>0</v>
      </c>
      <c r="O22" s="15" t="s">
        <v>140</v>
      </c>
      <c r="P22" s="16">
        <v>0.71875</v>
      </c>
      <c r="Q22" s="13">
        <v>179</v>
      </c>
      <c r="R22" s="17" t="s">
        <v>43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46063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319</v>
      </c>
      <c r="C26" s="37">
        <v>0.3125</v>
      </c>
      <c r="D26" s="36" t="s">
        <v>30</v>
      </c>
      <c r="E26" s="38"/>
      <c r="F26" s="36" t="s">
        <v>35</v>
      </c>
      <c r="G26" s="204"/>
      <c r="H26" s="39" t="s">
        <v>319</v>
      </c>
      <c r="I26" s="40">
        <v>0</v>
      </c>
      <c r="J26" s="41">
        <v>0</v>
      </c>
      <c r="K26" s="42" t="s">
        <v>36</v>
      </c>
      <c r="L26" s="41">
        <v>0</v>
      </c>
      <c r="M26" s="41">
        <v>0</v>
      </c>
      <c r="N26" s="41">
        <v>0</v>
      </c>
      <c r="O26" s="43" t="s">
        <v>281</v>
      </c>
      <c r="P26" s="44">
        <v>0.3125</v>
      </c>
      <c r="Q26" s="41">
        <v>179</v>
      </c>
      <c r="R26" s="45" t="s">
        <v>36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46065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319</v>
      </c>
      <c r="C30" s="37">
        <v>0.76736111111111116</v>
      </c>
      <c r="D30" s="36" t="s">
        <v>30</v>
      </c>
      <c r="E30" s="38"/>
      <c r="F30" s="36" t="s">
        <v>35</v>
      </c>
      <c r="G30" s="208"/>
      <c r="H30" s="39" t="s">
        <v>319</v>
      </c>
      <c r="I30" s="40">
        <v>0</v>
      </c>
      <c r="J30" s="41">
        <v>0</v>
      </c>
      <c r="K30" s="42" t="s">
        <v>36</v>
      </c>
      <c r="L30" s="41">
        <v>0</v>
      </c>
      <c r="M30" s="41">
        <v>0</v>
      </c>
      <c r="N30" s="41">
        <v>0</v>
      </c>
      <c r="O30" s="43" t="s">
        <v>281</v>
      </c>
      <c r="P30" s="44">
        <v>0.76736111111111116</v>
      </c>
      <c r="Q30" s="41">
        <v>179</v>
      </c>
      <c r="R30" s="45" t="s">
        <v>36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46067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26" t="s">
        <v>28</v>
      </c>
      <c r="B34" s="26" t="s">
        <v>319</v>
      </c>
      <c r="C34" s="27">
        <v>0.71875</v>
      </c>
      <c r="D34" s="26" t="s">
        <v>30</v>
      </c>
      <c r="E34" s="28"/>
      <c r="F34" s="26" t="s">
        <v>35</v>
      </c>
      <c r="G34" s="208"/>
      <c r="H34" s="29" t="s">
        <v>319</v>
      </c>
      <c r="I34" s="30">
        <v>0</v>
      </c>
      <c r="J34" s="31">
        <v>0</v>
      </c>
      <c r="K34" s="32" t="s">
        <v>36</v>
      </c>
      <c r="L34" s="31">
        <v>0</v>
      </c>
      <c r="M34" s="31">
        <v>0</v>
      </c>
      <c r="N34" s="31">
        <v>0</v>
      </c>
      <c r="O34" s="33" t="s">
        <v>315</v>
      </c>
      <c r="P34" s="34">
        <v>0.71875</v>
      </c>
      <c r="Q34" s="31">
        <v>179</v>
      </c>
      <c r="R34" s="35" t="s">
        <v>36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46070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36" t="s">
        <v>28</v>
      </c>
      <c r="B38" s="36" t="s">
        <v>319</v>
      </c>
      <c r="C38" s="37">
        <v>0.3125</v>
      </c>
      <c r="D38" s="36" t="s">
        <v>30</v>
      </c>
      <c r="E38" s="38"/>
      <c r="F38" s="36" t="s">
        <v>35</v>
      </c>
      <c r="G38" s="208"/>
      <c r="H38" s="39" t="s">
        <v>319</v>
      </c>
      <c r="I38" s="40">
        <v>0</v>
      </c>
      <c r="J38" s="41">
        <v>0</v>
      </c>
      <c r="K38" s="42" t="s">
        <v>36</v>
      </c>
      <c r="L38" s="41">
        <v>0</v>
      </c>
      <c r="M38" s="41">
        <v>0</v>
      </c>
      <c r="N38" s="41">
        <v>0</v>
      </c>
      <c r="O38" s="43" t="s">
        <v>315</v>
      </c>
      <c r="P38" s="44">
        <v>0.3125</v>
      </c>
      <c r="Q38" s="41">
        <v>179</v>
      </c>
      <c r="R38" s="45" t="s">
        <v>36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46072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46" t="s">
        <v>28</v>
      </c>
      <c r="B42" s="46" t="s">
        <v>319</v>
      </c>
      <c r="C42" s="47">
        <v>0.76736111111111116</v>
      </c>
      <c r="D42" s="46" t="s">
        <v>30</v>
      </c>
      <c r="E42" s="48"/>
      <c r="F42" s="46" t="s">
        <v>35</v>
      </c>
      <c r="G42" s="208"/>
      <c r="H42" s="49" t="s">
        <v>319</v>
      </c>
      <c r="I42" s="50">
        <v>0</v>
      </c>
      <c r="J42" s="51">
        <v>0</v>
      </c>
      <c r="K42" s="52" t="s">
        <v>36</v>
      </c>
      <c r="L42" s="51">
        <v>0</v>
      </c>
      <c r="M42" s="51">
        <v>0</v>
      </c>
      <c r="N42" s="51">
        <v>0</v>
      </c>
      <c r="O42" s="53" t="s">
        <v>315</v>
      </c>
      <c r="P42" s="54">
        <v>0.76736111111111116</v>
      </c>
      <c r="Q42" s="51">
        <v>179</v>
      </c>
      <c r="R42" s="55" t="s">
        <v>36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46074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66" t="s">
        <v>28</v>
      </c>
      <c r="B46" s="66" t="s">
        <v>319</v>
      </c>
      <c r="C46" s="67">
        <v>0.71875</v>
      </c>
      <c r="D46" s="66" t="s">
        <v>30</v>
      </c>
      <c r="E46" s="68"/>
      <c r="F46" s="66" t="s">
        <v>31</v>
      </c>
      <c r="G46" s="208"/>
      <c r="H46" s="69" t="s">
        <v>319</v>
      </c>
      <c r="I46" s="70">
        <v>5.5999999999999999E-3</v>
      </c>
      <c r="J46" s="71">
        <v>1</v>
      </c>
      <c r="K46" s="72" t="s">
        <v>322</v>
      </c>
      <c r="L46" s="71">
        <v>1</v>
      </c>
      <c r="M46" s="71">
        <v>0</v>
      </c>
      <c r="N46" s="71">
        <v>0</v>
      </c>
      <c r="O46" s="73" t="s">
        <v>323</v>
      </c>
      <c r="P46" s="74">
        <v>0.71875</v>
      </c>
      <c r="Q46" s="71">
        <v>179</v>
      </c>
      <c r="R46" s="75" t="s">
        <v>147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46077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36" t="s">
        <v>28</v>
      </c>
      <c r="B50" s="36" t="s">
        <v>319</v>
      </c>
      <c r="C50" s="37">
        <v>0.3125</v>
      </c>
      <c r="D50" s="36" t="s">
        <v>30</v>
      </c>
      <c r="E50" s="38"/>
      <c r="F50" s="36" t="s">
        <v>35</v>
      </c>
      <c r="G50" s="208"/>
      <c r="H50" s="39" t="s">
        <v>319</v>
      </c>
      <c r="I50" s="40">
        <v>0</v>
      </c>
      <c r="J50" s="41">
        <v>0</v>
      </c>
      <c r="K50" s="42" t="s">
        <v>36</v>
      </c>
      <c r="L50" s="41">
        <v>0</v>
      </c>
      <c r="M50" s="41">
        <v>0</v>
      </c>
      <c r="N50" s="41">
        <v>0</v>
      </c>
      <c r="O50" s="43" t="s">
        <v>315</v>
      </c>
      <c r="P50" s="44">
        <v>0.3125</v>
      </c>
      <c r="Q50" s="41">
        <v>179</v>
      </c>
      <c r="R50" s="45" t="s">
        <v>36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46079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" t="s">
        <v>28</v>
      </c>
      <c r="B54" s="8" t="s">
        <v>319</v>
      </c>
      <c r="C54" s="9">
        <v>0.76736111111111116</v>
      </c>
      <c r="D54" s="8" t="s">
        <v>30</v>
      </c>
      <c r="E54" s="10"/>
      <c r="F54" s="8" t="s">
        <v>35</v>
      </c>
      <c r="G54" s="204"/>
      <c r="H54" s="11" t="s">
        <v>319</v>
      </c>
      <c r="I54" s="12">
        <v>0</v>
      </c>
      <c r="J54" s="13">
        <v>0</v>
      </c>
      <c r="K54" s="14" t="s">
        <v>36</v>
      </c>
      <c r="L54" s="13">
        <v>0</v>
      </c>
      <c r="M54" s="13">
        <v>0</v>
      </c>
      <c r="N54" s="13">
        <v>0</v>
      </c>
      <c r="O54" s="15" t="s">
        <v>315</v>
      </c>
      <c r="P54" s="16">
        <v>0.76736111111111116</v>
      </c>
      <c r="Q54" s="13">
        <v>179</v>
      </c>
      <c r="R54" s="17" t="s">
        <v>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46081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8" t="s">
        <v>28</v>
      </c>
      <c r="B58" s="8" t="s">
        <v>319</v>
      </c>
      <c r="C58" s="9">
        <v>0.71875</v>
      </c>
      <c r="D58" s="8" t="s">
        <v>30</v>
      </c>
      <c r="E58" s="10"/>
      <c r="F58" s="8" t="s">
        <v>31</v>
      </c>
      <c r="G58" s="204"/>
      <c r="H58" s="11" t="s">
        <v>319</v>
      </c>
      <c r="I58" s="12">
        <v>5.5999999999999999E-3</v>
      </c>
      <c r="J58" s="13">
        <v>1</v>
      </c>
      <c r="K58" s="14" t="s">
        <v>231</v>
      </c>
      <c r="L58" s="13">
        <v>1</v>
      </c>
      <c r="M58" s="13">
        <v>0</v>
      </c>
      <c r="N58" s="13">
        <v>0</v>
      </c>
      <c r="O58" s="15" t="s">
        <v>289</v>
      </c>
      <c r="P58" s="16">
        <v>0.71875</v>
      </c>
      <c r="Q58" s="13">
        <v>179</v>
      </c>
      <c r="R58" s="17" t="s">
        <v>147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6"/>
  <sheetViews>
    <sheetView workbookViewId="0"/>
  </sheetViews>
  <sheetFormatPr defaultRowHeight="15.6" outlineLevelCol="1" x14ac:dyDescent="0.3"/>
  <cols>
    <col min="1" max="1" width="9.88671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7.4414062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109</v>
      </c>
      <c r="B2" s="222">
        <v>46051</v>
      </c>
      <c r="C2" s="223" t="s">
        <v>319</v>
      </c>
      <c r="D2" s="224" t="s">
        <v>324</v>
      </c>
      <c r="E2" s="223" t="s">
        <v>318</v>
      </c>
      <c r="F2" s="223" t="s">
        <v>111</v>
      </c>
      <c r="G2" s="225">
        <v>1.12E-2</v>
      </c>
      <c r="H2" s="226">
        <v>179</v>
      </c>
      <c r="I2" s="226">
        <v>2</v>
      </c>
      <c r="J2" s="226">
        <v>0</v>
      </c>
      <c r="K2" s="223" t="s">
        <v>112</v>
      </c>
      <c r="L2" s="227" t="s">
        <v>65</v>
      </c>
      <c r="M2" s="226">
        <v>0</v>
      </c>
      <c r="N2" s="226">
        <v>0</v>
      </c>
      <c r="O2" s="226">
        <v>2</v>
      </c>
      <c r="P2" s="223" t="s">
        <v>123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6" t="s">
        <v>117</v>
      </c>
      <c r="AF2" s="219"/>
      <c r="AG2" s="219"/>
      <c r="AH2" s="219"/>
      <c r="AI2" s="219"/>
      <c r="AJ2" s="219"/>
    </row>
    <row r="3" spans="1:36" x14ac:dyDescent="0.3">
      <c r="A3" s="221" t="s">
        <v>113</v>
      </c>
      <c r="B3" s="222">
        <v>46053</v>
      </c>
      <c r="C3" s="223" t="s">
        <v>319</v>
      </c>
      <c r="D3" s="224" t="s">
        <v>325</v>
      </c>
      <c r="E3" s="223" t="s">
        <v>318</v>
      </c>
      <c r="F3" s="223" t="s">
        <v>111</v>
      </c>
      <c r="G3" s="225">
        <v>1.12E-2</v>
      </c>
      <c r="H3" s="226">
        <v>179</v>
      </c>
      <c r="I3" s="226">
        <v>2</v>
      </c>
      <c r="J3" s="226">
        <v>0</v>
      </c>
      <c r="K3" s="223" t="s">
        <v>112</v>
      </c>
      <c r="L3" s="227" t="s">
        <v>320</v>
      </c>
      <c r="M3" s="226">
        <v>0</v>
      </c>
      <c r="N3" s="226">
        <v>0</v>
      </c>
      <c r="O3" s="226">
        <v>2</v>
      </c>
      <c r="P3" s="223" t="s">
        <v>123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26" t="s">
        <v>293</v>
      </c>
      <c r="AB3" s="219"/>
      <c r="AC3" s="219"/>
      <c r="AD3" s="219"/>
      <c r="AE3" s="226" t="s">
        <v>43</v>
      </c>
      <c r="AF3" s="219"/>
      <c r="AG3" s="219"/>
      <c r="AH3" s="219"/>
      <c r="AI3" s="219"/>
      <c r="AJ3" s="219"/>
    </row>
    <row r="4" spans="1:36" x14ac:dyDescent="0.3">
      <c r="A4" s="221" t="s">
        <v>121</v>
      </c>
      <c r="B4" s="222">
        <v>46056</v>
      </c>
      <c r="C4" s="223" t="s">
        <v>319</v>
      </c>
      <c r="D4" s="224" t="s">
        <v>326</v>
      </c>
      <c r="E4" s="223" t="s">
        <v>318</v>
      </c>
      <c r="F4" s="223" t="s">
        <v>111</v>
      </c>
      <c r="G4" s="225">
        <v>0</v>
      </c>
      <c r="H4" s="226">
        <v>179</v>
      </c>
      <c r="I4" s="226">
        <v>0</v>
      </c>
      <c r="J4" s="226">
        <v>0</v>
      </c>
      <c r="K4" s="223" t="s">
        <v>112</v>
      </c>
      <c r="L4" s="227" t="s">
        <v>36</v>
      </c>
      <c r="M4" s="226">
        <v>0</v>
      </c>
      <c r="N4" s="226">
        <v>0</v>
      </c>
      <c r="O4" s="226">
        <v>0</v>
      </c>
      <c r="P4" s="223" t="s">
        <v>278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</row>
    <row r="5" spans="1:36" x14ac:dyDescent="0.3">
      <c r="A5" s="221" t="s">
        <v>109</v>
      </c>
      <c r="B5" s="222">
        <v>46058</v>
      </c>
      <c r="C5" s="223" t="s">
        <v>319</v>
      </c>
      <c r="D5" s="224" t="s">
        <v>324</v>
      </c>
      <c r="E5" s="223" t="s">
        <v>318</v>
      </c>
      <c r="F5" s="223" t="s">
        <v>111</v>
      </c>
      <c r="G5" s="225">
        <v>0</v>
      </c>
      <c r="H5" s="226">
        <v>179</v>
      </c>
      <c r="I5" s="226">
        <v>0</v>
      </c>
      <c r="J5" s="226">
        <v>0</v>
      </c>
      <c r="K5" s="223" t="s">
        <v>112</v>
      </c>
      <c r="L5" s="227" t="s">
        <v>36</v>
      </c>
      <c r="M5" s="226">
        <v>0</v>
      </c>
      <c r="N5" s="226">
        <v>0</v>
      </c>
      <c r="O5" s="226">
        <v>0</v>
      </c>
      <c r="P5" s="223" t="s">
        <v>278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</row>
    <row r="6" spans="1:36" x14ac:dyDescent="0.3">
      <c r="A6" s="221" t="s">
        <v>113</v>
      </c>
      <c r="B6" s="222">
        <v>46060</v>
      </c>
      <c r="C6" s="223" t="s">
        <v>319</v>
      </c>
      <c r="D6" s="224" t="s">
        <v>325</v>
      </c>
      <c r="E6" s="223" t="s">
        <v>318</v>
      </c>
      <c r="F6" s="223" t="s">
        <v>111</v>
      </c>
      <c r="G6" s="225">
        <v>5.5999999999999999E-3</v>
      </c>
      <c r="H6" s="226">
        <v>179</v>
      </c>
      <c r="I6" s="226">
        <v>1</v>
      </c>
      <c r="J6" s="226">
        <v>0</v>
      </c>
      <c r="K6" s="223" t="s">
        <v>112</v>
      </c>
      <c r="L6" s="227" t="s">
        <v>167</v>
      </c>
      <c r="M6" s="226">
        <v>0</v>
      </c>
      <c r="N6" s="226">
        <v>0</v>
      </c>
      <c r="O6" s="226">
        <v>1</v>
      </c>
      <c r="P6" s="223" t="s">
        <v>140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26" t="s">
        <v>43</v>
      </c>
      <c r="AF6" s="219"/>
      <c r="AG6" s="219"/>
      <c r="AH6" s="219"/>
      <c r="AI6" s="219"/>
      <c r="AJ6" s="219"/>
    </row>
    <row r="7" spans="1:36" x14ac:dyDescent="0.3">
      <c r="A7" s="221" t="s">
        <v>121</v>
      </c>
      <c r="B7" s="222">
        <v>46063</v>
      </c>
      <c r="C7" s="223" t="s">
        <v>319</v>
      </c>
      <c r="D7" s="224" t="s">
        <v>326</v>
      </c>
      <c r="E7" s="223" t="s">
        <v>318</v>
      </c>
      <c r="F7" s="223" t="s">
        <v>111</v>
      </c>
      <c r="G7" s="225">
        <v>0</v>
      </c>
      <c r="H7" s="226">
        <v>179</v>
      </c>
      <c r="I7" s="226">
        <v>0</v>
      </c>
      <c r="J7" s="226">
        <v>0</v>
      </c>
      <c r="K7" s="223" t="s">
        <v>112</v>
      </c>
      <c r="L7" s="227" t="s">
        <v>36</v>
      </c>
      <c r="M7" s="226">
        <v>0</v>
      </c>
      <c r="N7" s="226">
        <v>0</v>
      </c>
      <c r="O7" s="226">
        <v>0</v>
      </c>
      <c r="P7" s="223" t="s">
        <v>281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</row>
    <row r="8" spans="1:36" x14ac:dyDescent="0.3">
      <c r="A8" s="221" t="s">
        <v>109</v>
      </c>
      <c r="B8" s="222">
        <v>46065</v>
      </c>
      <c r="C8" s="223" t="s">
        <v>319</v>
      </c>
      <c r="D8" s="224" t="s">
        <v>324</v>
      </c>
      <c r="E8" s="223" t="s">
        <v>318</v>
      </c>
      <c r="F8" s="223" t="s">
        <v>111</v>
      </c>
      <c r="G8" s="225">
        <v>0</v>
      </c>
      <c r="H8" s="226">
        <v>179</v>
      </c>
      <c r="I8" s="226">
        <v>0</v>
      </c>
      <c r="J8" s="226">
        <v>0</v>
      </c>
      <c r="K8" s="223" t="s">
        <v>112</v>
      </c>
      <c r="L8" s="227" t="s">
        <v>36</v>
      </c>
      <c r="M8" s="226">
        <v>0</v>
      </c>
      <c r="N8" s="226">
        <v>0</v>
      </c>
      <c r="O8" s="226">
        <v>0</v>
      </c>
      <c r="P8" s="223" t="s">
        <v>281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113</v>
      </c>
      <c r="B9" s="222">
        <v>46067</v>
      </c>
      <c r="C9" s="223" t="s">
        <v>319</v>
      </c>
      <c r="D9" s="224" t="s">
        <v>325</v>
      </c>
      <c r="E9" s="223" t="s">
        <v>318</v>
      </c>
      <c r="F9" s="223" t="s">
        <v>111</v>
      </c>
      <c r="G9" s="225">
        <v>0</v>
      </c>
      <c r="H9" s="226">
        <v>179</v>
      </c>
      <c r="I9" s="226">
        <v>0</v>
      </c>
      <c r="J9" s="226">
        <v>0</v>
      </c>
      <c r="K9" s="223" t="s">
        <v>112</v>
      </c>
      <c r="L9" s="227" t="s">
        <v>36</v>
      </c>
      <c r="M9" s="226">
        <v>0</v>
      </c>
      <c r="N9" s="226">
        <v>0</v>
      </c>
      <c r="O9" s="226">
        <v>0</v>
      </c>
      <c r="P9" s="223" t="s">
        <v>315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121</v>
      </c>
      <c r="B10" s="222">
        <v>46070</v>
      </c>
      <c r="C10" s="223" t="s">
        <v>319</v>
      </c>
      <c r="D10" s="224" t="s">
        <v>326</v>
      </c>
      <c r="E10" s="223" t="s">
        <v>318</v>
      </c>
      <c r="F10" s="223" t="s">
        <v>111</v>
      </c>
      <c r="G10" s="225">
        <v>0</v>
      </c>
      <c r="H10" s="226">
        <v>179</v>
      </c>
      <c r="I10" s="226">
        <v>0</v>
      </c>
      <c r="J10" s="226">
        <v>0</v>
      </c>
      <c r="K10" s="223" t="s">
        <v>112</v>
      </c>
      <c r="L10" s="227" t="s">
        <v>36</v>
      </c>
      <c r="M10" s="226">
        <v>0</v>
      </c>
      <c r="N10" s="226">
        <v>0</v>
      </c>
      <c r="O10" s="226">
        <v>0</v>
      </c>
      <c r="P10" s="223" t="s">
        <v>315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109</v>
      </c>
      <c r="B11" s="222">
        <v>46072</v>
      </c>
      <c r="C11" s="223" t="s">
        <v>319</v>
      </c>
      <c r="D11" s="224" t="s">
        <v>324</v>
      </c>
      <c r="E11" s="223" t="s">
        <v>318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315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113</v>
      </c>
      <c r="B12" s="222">
        <v>46074</v>
      </c>
      <c r="C12" s="223" t="s">
        <v>319</v>
      </c>
      <c r="D12" s="224" t="s">
        <v>325</v>
      </c>
      <c r="E12" s="223" t="s">
        <v>318</v>
      </c>
      <c r="F12" s="223" t="s">
        <v>111</v>
      </c>
      <c r="G12" s="225">
        <v>5.5999999999999999E-3</v>
      </c>
      <c r="H12" s="226">
        <v>179</v>
      </c>
      <c r="I12" s="226">
        <v>1</v>
      </c>
      <c r="J12" s="226">
        <v>0</v>
      </c>
      <c r="K12" s="223" t="s">
        <v>112</v>
      </c>
      <c r="L12" s="227" t="s">
        <v>322</v>
      </c>
      <c r="M12" s="226">
        <v>0</v>
      </c>
      <c r="N12" s="226">
        <v>0</v>
      </c>
      <c r="O12" s="226">
        <v>1</v>
      </c>
      <c r="P12" s="223" t="s">
        <v>323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26" t="s">
        <v>147</v>
      </c>
      <c r="AD12" s="219"/>
      <c r="AE12" s="219"/>
      <c r="AF12" s="219"/>
      <c r="AG12" s="219"/>
      <c r="AH12" s="219"/>
      <c r="AI12" s="219"/>
      <c r="AJ12" s="219"/>
    </row>
    <row r="13" spans="1:36" x14ac:dyDescent="0.3">
      <c r="A13" s="221" t="s">
        <v>121</v>
      </c>
      <c r="B13" s="222">
        <v>46077</v>
      </c>
      <c r="C13" s="223" t="s">
        <v>319</v>
      </c>
      <c r="D13" s="224" t="s">
        <v>326</v>
      </c>
      <c r="E13" s="223" t="s">
        <v>318</v>
      </c>
      <c r="F13" s="223" t="s">
        <v>111</v>
      </c>
      <c r="G13" s="225">
        <v>0</v>
      </c>
      <c r="H13" s="226">
        <v>179</v>
      </c>
      <c r="I13" s="226">
        <v>0</v>
      </c>
      <c r="J13" s="226">
        <v>0</v>
      </c>
      <c r="K13" s="223" t="s">
        <v>112</v>
      </c>
      <c r="L13" s="227" t="s">
        <v>36</v>
      </c>
      <c r="M13" s="226">
        <v>0</v>
      </c>
      <c r="N13" s="226">
        <v>0</v>
      </c>
      <c r="O13" s="226">
        <v>0</v>
      </c>
      <c r="P13" s="223" t="s">
        <v>315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109</v>
      </c>
      <c r="B14" s="222">
        <v>46079</v>
      </c>
      <c r="C14" s="223" t="s">
        <v>319</v>
      </c>
      <c r="D14" s="224" t="s">
        <v>324</v>
      </c>
      <c r="E14" s="223" t="s">
        <v>318</v>
      </c>
      <c r="F14" s="223" t="s">
        <v>111</v>
      </c>
      <c r="G14" s="225">
        <v>0</v>
      </c>
      <c r="H14" s="226">
        <v>179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315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113</v>
      </c>
      <c r="B15" s="222">
        <v>46081</v>
      </c>
      <c r="C15" s="223" t="s">
        <v>319</v>
      </c>
      <c r="D15" s="224" t="s">
        <v>325</v>
      </c>
      <c r="E15" s="223" t="s">
        <v>318</v>
      </c>
      <c r="F15" s="223" t="s">
        <v>111</v>
      </c>
      <c r="G15" s="225">
        <v>5.5999999999999999E-3</v>
      </c>
      <c r="H15" s="226">
        <v>179</v>
      </c>
      <c r="I15" s="226">
        <v>1</v>
      </c>
      <c r="J15" s="226">
        <v>0</v>
      </c>
      <c r="K15" s="223" t="s">
        <v>112</v>
      </c>
      <c r="L15" s="227" t="s">
        <v>231</v>
      </c>
      <c r="M15" s="226">
        <v>0</v>
      </c>
      <c r="N15" s="226">
        <v>0</v>
      </c>
      <c r="O15" s="226">
        <v>1</v>
      </c>
      <c r="P15" s="223" t="s">
        <v>289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26" t="s">
        <v>147</v>
      </c>
      <c r="AD15" s="219"/>
      <c r="AE15" s="219"/>
      <c r="AF15" s="219"/>
      <c r="AG15" s="219"/>
      <c r="AH15" s="219"/>
      <c r="AI15" s="219"/>
      <c r="AJ15" s="219"/>
    </row>
    <row r="16" spans="1:36" ht="21" x14ac:dyDescent="0.3">
      <c r="A16" s="228" t="s">
        <v>377</v>
      </c>
      <c r="B16" s="229"/>
      <c r="C16" s="228">
        <f>SUBTOTAL(103,CAI_AJF_LF_LEGACY[Flt])</f>
        <v>14</v>
      </c>
      <c r="D16" s="228"/>
      <c r="E16" s="228">
        <f>SUBTOTAL(103,CAI_AJF_LF_LEGACY[Brd-Off])</f>
        <v>14</v>
      </c>
      <c r="F16" s="228"/>
      <c r="G16" s="230">
        <f>SUBTOTAL(101,CAI_AJF_LF_LEGACY[LF%])</f>
        <v>2.8E-3</v>
      </c>
      <c r="H16" s="231">
        <f>SUBTOTAL(109,CAI_AJF_LF_LEGACY[CAP])</f>
        <v>2506</v>
      </c>
      <c r="I16" s="231">
        <f>SUBTOTAL(109,CAI_AJF_LF_LEGACY[BKG(Y)])</f>
        <v>7</v>
      </c>
      <c r="J16" s="231">
        <f>SUBTOTAL(109,CAI_AJF_LF_LEGACY[GRP(Y)])</f>
        <v>0</v>
      </c>
      <c r="K16" s="228"/>
      <c r="L16" s="229"/>
      <c r="M16" s="231">
        <f>SUBTOTAL(109,CAI_AJF_LF_LEGACY[TO-DAY])</f>
        <v>0</v>
      </c>
      <c r="N16" s="231">
        <f>SUBTOTAL(109,CAI_AJF_LF_LEGACY[Y-DAY])</f>
        <v>0</v>
      </c>
      <c r="O16" s="231">
        <f>SUBTOTAL(109,CAI_AJF_LF_LEGACY[WEEKLY])</f>
        <v>7</v>
      </c>
      <c r="P16" s="232"/>
      <c r="Q16" s="231">
        <f>SUBTOTAL(109,CAI_AJF_LF_LEGACY[Y])</f>
        <v>0</v>
      </c>
      <c r="R16" s="231">
        <f>SUBTOTAL(109,CAI_AJF_LF_LEGACY[B])</f>
        <v>0</v>
      </c>
      <c r="S16" s="231">
        <f>SUBTOTAL(109,CAI_AJF_LF_LEGACY[M])</f>
        <v>0</v>
      </c>
      <c r="T16" s="231">
        <f>SUBTOTAL(109,CAI_AJF_LF_LEGACY[H])</f>
        <v>0</v>
      </c>
      <c r="U16" s="231">
        <f>SUBTOTAL(109,CAI_AJF_LF_LEGACY[Q])</f>
        <v>0</v>
      </c>
      <c r="V16" s="231">
        <f>SUBTOTAL(109,CAI_AJF_LF_LEGACY[K])</f>
        <v>0</v>
      </c>
      <c r="W16" s="231">
        <f>SUBTOTAL(109,CAI_AJF_LF_LEGACY[V])</f>
        <v>0</v>
      </c>
      <c r="X16" s="231">
        <f>SUBTOTAL(109,CAI_AJF_LF_LEGACY[L])</f>
        <v>0</v>
      </c>
      <c r="Y16" s="231">
        <f>SUBTOTAL(109,CAI_AJF_LF_LEGACY[G])</f>
        <v>0</v>
      </c>
      <c r="Z16" s="231">
        <f>SUBTOTAL(109,CAI_AJF_LF_LEGACY[S])</f>
        <v>0</v>
      </c>
      <c r="AA16" s="231">
        <f>SUBTOTAL(109,CAI_AJF_LF_LEGACY[W])</f>
        <v>0</v>
      </c>
      <c r="AB16" s="231">
        <f>SUBTOTAL(109,CAI_AJF_LF_LEGACY[T])</f>
        <v>0</v>
      </c>
      <c r="AC16" s="231">
        <f>SUBTOTAL(109,CAI_AJF_LF_LEGACY[X])</f>
        <v>0</v>
      </c>
      <c r="AD16" s="231">
        <f>SUBTOTAL(109,CAI_AJF_LF_LEGACY[U])</f>
        <v>0</v>
      </c>
      <c r="AE16" s="231">
        <f>SUBTOTAL(109,CAI_AJF_LF_LEGACY[O])</f>
        <v>0</v>
      </c>
      <c r="AF16" s="231">
        <f>SUBTOTAL(109,CAI_AJF_LF_LEGACY[I])</f>
        <v>0</v>
      </c>
      <c r="AG16" s="231">
        <f>SUBTOTAL(109,CAI_AJF_LF_LEGACY[E])</f>
        <v>0</v>
      </c>
      <c r="AH16" s="231">
        <f>SUBTOTAL(109,CAI_AJF_LF_LEGACY[A])</f>
        <v>0</v>
      </c>
      <c r="AI16" s="231">
        <f>SUBTOTAL(109,CAI_AJF_LF_LEGACY[P])</f>
        <v>0</v>
      </c>
      <c r="AJ16" s="231">
        <f>SUBTOTAL(103,CAI_AJF_LF_LEGACY[N])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141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327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45984.112457839939</v>
      </c>
      <c r="H2" s="206"/>
      <c r="I2" s="206"/>
      <c r="J2" s="206"/>
      <c r="K2" s="213">
        <v>45984.112457840463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46050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328</v>
      </c>
      <c r="C6" s="27">
        <v>0.82638888888888884</v>
      </c>
      <c r="D6" s="26" t="s">
        <v>30</v>
      </c>
      <c r="E6" s="28"/>
      <c r="F6" s="26" t="s">
        <v>31</v>
      </c>
      <c r="G6" s="204"/>
      <c r="H6" s="29" t="s">
        <v>328</v>
      </c>
      <c r="I6" s="30">
        <v>1.12E-2</v>
      </c>
      <c r="J6" s="31">
        <v>2</v>
      </c>
      <c r="K6" s="32" t="s">
        <v>173</v>
      </c>
      <c r="L6" s="31">
        <v>2</v>
      </c>
      <c r="M6" s="31">
        <v>0</v>
      </c>
      <c r="N6" s="31">
        <v>0</v>
      </c>
      <c r="O6" s="33" t="s">
        <v>183</v>
      </c>
      <c r="P6" s="34">
        <v>0.82638888888888884</v>
      </c>
      <c r="Q6" s="31">
        <v>179</v>
      </c>
      <c r="R6" s="35" t="s">
        <v>131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46051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66" t="s">
        <v>28</v>
      </c>
      <c r="B10" s="66" t="s">
        <v>328</v>
      </c>
      <c r="C10" s="67">
        <v>0.4375</v>
      </c>
      <c r="D10" s="66" t="s">
        <v>30</v>
      </c>
      <c r="E10" s="68"/>
      <c r="F10" s="66" t="s">
        <v>31</v>
      </c>
      <c r="G10" s="208"/>
      <c r="H10" s="69" t="s">
        <v>328</v>
      </c>
      <c r="I10" s="70">
        <v>1.6799999999999999E-2</v>
      </c>
      <c r="J10" s="71">
        <v>3</v>
      </c>
      <c r="K10" s="72" t="s">
        <v>53</v>
      </c>
      <c r="L10" s="71">
        <v>3</v>
      </c>
      <c r="M10" s="71">
        <v>0</v>
      </c>
      <c r="N10" s="71">
        <v>0</v>
      </c>
      <c r="O10" s="73" t="s">
        <v>183</v>
      </c>
      <c r="P10" s="74">
        <v>0.4375</v>
      </c>
      <c r="Q10" s="71">
        <v>179</v>
      </c>
      <c r="R10" s="75" t="s">
        <v>329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46052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328</v>
      </c>
      <c r="C14" s="27">
        <v>0.16666666666666671</v>
      </c>
      <c r="D14" s="26" t="s">
        <v>30</v>
      </c>
      <c r="E14" s="28"/>
      <c r="F14" s="26" t="s">
        <v>31</v>
      </c>
      <c r="G14" s="208"/>
      <c r="H14" s="29" t="s">
        <v>328</v>
      </c>
      <c r="I14" s="30">
        <v>5.5999999999999999E-3</v>
      </c>
      <c r="J14" s="31">
        <v>1</v>
      </c>
      <c r="K14" s="32" t="s">
        <v>172</v>
      </c>
      <c r="L14" s="31">
        <v>1</v>
      </c>
      <c r="M14" s="31">
        <v>0</v>
      </c>
      <c r="N14" s="31">
        <v>0</v>
      </c>
      <c r="O14" s="33" t="s">
        <v>330</v>
      </c>
      <c r="P14" s="34">
        <v>0.16666666666666671</v>
      </c>
      <c r="Q14" s="31">
        <v>179</v>
      </c>
      <c r="R14" s="35" t="s">
        <v>147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46053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328</v>
      </c>
      <c r="C18" s="47">
        <v>0.125</v>
      </c>
      <c r="D18" s="46" t="s">
        <v>30</v>
      </c>
      <c r="E18" s="48"/>
      <c r="F18" s="46" t="s">
        <v>31</v>
      </c>
      <c r="G18" s="208"/>
      <c r="H18" s="49" t="s">
        <v>328</v>
      </c>
      <c r="I18" s="50">
        <v>5.5999999999999999E-3</v>
      </c>
      <c r="J18" s="51">
        <v>1</v>
      </c>
      <c r="K18" s="52" t="s">
        <v>77</v>
      </c>
      <c r="L18" s="51">
        <v>1</v>
      </c>
      <c r="M18" s="51">
        <v>0</v>
      </c>
      <c r="N18" s="51">
        <v>0</v>
      </c>
      <c r="O18" s="53" t="s">
        <v>330</v>
      </c>
      <c r="P18" s="54">
        <v>0.125</v>
      </c>
      <c r="Q18" s="51">
        <v>179</v>
      </c>
      <c r="R18" s="55" t="s">
        <v>147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46054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328</v>
      </c>
      <c r="C22" s="27">
        <v>0.21527777777777779</v>
      </c>
      <c r="D22" s="26" t="s">
        <v>30</v>
      </c>
      <c r="E22" s="28"/>
      <c r="F22" s="26" t="s">
        <v>31</v>
      </c>
      <c r="G22" s="208"/>
      <c r="H22" s="29" t="s">
        <v>328</v>
      </c>
      <c r="I22" s="30">
        <v>5.5999999999999999E-3</v>
      </c>
      <c r="J22" s="31">
        <v>1</v>
      </c>
      <c r="K22" s="32" t="s">
        <v>331</v>
      </c>
      <c r="L22" s="31">
        <v>1</v>
      </c>
      <c r="M22" s="31">
        <v>0</v>
      </c>
      <c r="N22" s="31">
        <v>0</v>
      </c>
      <c r="O22" s="33" t="s">
        <v>278</v>
      </c>
      <c r="P22" s="34">
        <v>0.21527777777777779</v>
      </c>
      <c r="Q22" s="31">
        <v>179</v>
      </c>
      <c r="R22" s="35" t="s">
        <v>147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46055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328</v>
      </c>
      <c r="C26" s="37">
        <v>0.16666666666666671</v>
      </c>
      <c r="D26" s="36" t="s">
        <v>30</v>
      </c>
      <c r="E26" s="38"/>
      <c r="F26" s="36" t="s">
        <v>31</v>
      </c>
      <c r="G26" s="204"/>
      <c r="H26" s="39" t="s">
        <v>328</v>
      </c>
      <c r="I26" s="40">
        <v>5.5999999999999999E-3</v>
      </c>
      <c r="J26" s="41">
        <v>1</v>
      </c>
      <c r="K26" s="42" t="s">
        <v>32</v>
      </c>
      <c r="L26" s="41">
        <v>1</v>
      </c>
      <c r="M26" s="41">
        <v>0</v>
      </c>
      <c r="N26" s="41">
        <v>0</v>
      </c>
      <c r="O26" s="43" t="s">
        <v>278</v>
      </c>
      <c r="P26" s="44">
        <v>0.16666666666666671</v>
      </c>
      <c r="Q26" s="41">
        <v>179</v>
      </c>
      <c r="R26" s="45" t="s">
        <v>266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46056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328</v>
      </c>
      <c r="C30" s="37">
        <v>0.83333333333333337</v>
      </c>
      <c r="D30" s="36" t="s">
        <v>30</v>
      </c>
      <c r="E30" s="38"/>
      <c r="F30" s="36" t="s">
        <v>31</v>
      </c>
      <c r="G30" s="208"/>
      <c r="H30" s="39" t="s">
        <v>328</v>
      </c>
      <c r="I30" s="40">
        <v>5.5999999999999999E-3</v>
      </c>
      <c r="J30" s="41">
        <v>1</v>
      </c>
      <c r="K30" s="42" t="s">
        <v>159</v>
      </c>
      <c r="L30" s="41">
        <v>1</v>
      </c>
      <c r="M30" s="41">
        <v>0</v>
      </c>
      <c r="N30" s="41">
        <v>0</v>
      </c>
      <c r="O30" s="43" t="s">
        <v>278</v>
      </c>
      <c r="P30" s="44">
        <v>0.83333333333333337</v>
      </c>
      <c r="Q30" s="41">
        <v>179</v>
      </c>
      <c r="R30" s="45" t="s">
        <v>147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46057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26" t="s">
        <v>28</v>
      </c>
      <c r="B34" s="26" t="s">
        <v>328</v>
      </c>
      <c r="C34" s="27">
        <v>0.82638888888888884</v>
      </c>
      <c r="D34" s="26" t="s">
        <v>30</v>
      </c>
      <c r="E34" s="28"/>
      <c r="F34" s="26" t="s">
        <v>31</v>
      </c>
      <c r="G34" s="208"/>
      <c r="H34" s="29" t="s">
        <v>328</v>
      </c>
      <c r="I34" s="30">
        <v>1.12E-2</v>
      </c>
      <c r="J34" s="31">
        <v>2</v>
      </c>
      <c r="K34" s="32" t="s">
        <v>159</v>
      </c>
      <c r="L34" s="31">
        <v>2</v>
      </c>
      <c r="M34" s="31">
        <v>0</v>
      </c>
      <c r="N34" s="31">
        <v>0</v>
      </c>
      <c r="O34" s="33" t="s">
        <v>126</v>
      </c>
      <c r="P34" s="34">
        <v>0.82638888888888884</v>
      </c>
      <c r="Q34" s="31">
        <v>179</v>
      </c>
      <c r="R34" s="35" t="s">
        <v>131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46058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6" t="s">
        <v>28</v>
      </c>
      <c r="B38" s="66" t="s">
        <v>328</v>
      </c>
      <c r="C38" s="67">
        <v>0.4375</v>
      </c>
      <c r="D38" s="66" t="s">
        <v>30</v>
      </c>
      <c r="E38" s="68"/>
      <c r="F38" s="66" t="s">
        <v>35</v>
      </c>
      <c r="G38" s="208"/>
      <c r="H38" s="69" t="s">
        <v>328</v>
      </c>
      <c r="I38" s="70">
        <v>0</v>
      </c>
      <c r="J38" s="71">
        <v>0</v>
      </c>
      <c r="K38" s="72" t="s">
        <v>36</v>
      </c>
      <c r="L38" s="71">
        <v>0</v>
      </c>
      <c r="M38" s="71">
        <v>0</v>
      </c>
      <c r="N38" s="71">
        <v>0</v>
      </c>
      <c r="O38" s="73" t="s">
        <v>278</v>
      </c>
      <c r="P38" s="74">
        <v>0.4375</v>
      </c>
      <c r="Q38" s="71">
        <v>179</v>
      </c>
      <c r="R38" s="75" t="s">
        <v>36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46059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76" t="s">
        <v>28</v>
      </c>
      <c r="B42" s="76" t="s">
        <v>328</v>
      </c>
      <c r="C42" s="77">
        <v>0.16666666666666671</v>
      </c>
      <c r="D42" s="76" t="s">
        <v>30</v>
      </c>
      <c r="E42" s="78"/>
      <c r="F42" s="76" t="s">
        <v>35</v>
      </c>
      <c r="G42" s="208"/>
      <c r="H42" s="79" t="s">
        <v>328</v>
      </c>
      <c r="I42" s="80">
        <v>0</v>
      </c>
      <c r="J42" s="81">
        <v>0</v>
      </c>
      <c r="K42" s="82" t="s">
        <v>36</v>
      </c>
      <c r="L42" s="81">
        <v>0</v>
      </c>
      <c r="M42" s="81">
        <v>0</v>
      </c>
      <c r="N42" s="81">
        <v>0</v>
      </c>
      <c r="O42" s="83" t="s">
        <v>278</v>
      </c>
      <c r="P42" s="84">
        <v>0.16666666666666671</v>
      </c>
      <c r="Q42" s="81">
        <v>179</v>
      </c>
      <c r="R42" s="85" t="s">
        <v>36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46060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7" t="s">
        <v>28</v>
      </c>
      <c r="B46" s="87" t="s">
        <v>328</v>
      </c>
      <c r="C46" s="88">
        <v>0.125</v>
      </c>
      <c r="D46" s="87" t="s">
        <v>30</v>
      </c>
      <c r="E46" s="89"/>
      <c r="F46" s="87" t="s">
        <v>31</v>
      </c>
      <c r="G46" s="208"/>
      <c r="H46" s="90" t="s">
        <v>328</v>
      </c>
      <c r="I46" s="91">
        <v>1.6799999999999999E-2</v>
      </c>
      <c r="J46" s="92">
        <v>3</v>
      </c>
      <c r="K46" s="93" t="s">
        <v>59</v>
      </c>
      <c r="L46" s="92">
        <v>3</v>
      </c>
      <c r="M46" s="92">
        <v>0</v>
      </c>
      <c r="N46" s="92">
        <v>0</v>
      </c>
      <c r="O46" s="94" t="s">
        <v>126</v>
      </c>
      <c r="P46" s="95">
        <v>0.125</v>
      </c>
      <c r="Q46" s="92">
        <v>179</v>
      </c>
      <c r="R46" s="96" t="s">
        <v>332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46061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46" t="s">
        <v>28</v>
      </c>
      <c r="B50" s="46" t="s">
        <v>328</v>
      </c>
      <c r="C50" s="47">
        <v>0.21527777777777779</v>
      </c>
      <c r="D50" s="46" t="s">
        <v>30</v>
      </c>
      <c r="E50" s="48"/>
      <c r="F50" s="46" t="s">
        <v>31</v>
      </c>
      <c r="G50" s="208"/>
      <c r="H50" s="49" t="s">
        <v>328</v>
      </c>
      <c r="I50" s="50">
        <v>1.6799999999999999E-2</v>
      </c>
      <c r="J50" s="51">
        <v>3</v>
      </c>
      <c r="K50" s="52" t="s">
        <v>273</v>
      </c>
      <c r="L50" s="51">
        <v>3</v>
      </c>
      <c r="M50" s="51">
        <v>0</v>
      </c>
      <c r="N50" s="51">
        <v>0</v>
      </c>
      <c r="O50" s="53" t="s">
        <v>126</v>
      </c>
      <c r="P50" s="54">
        <v>0.21527777777777779</v>
      </c>
      <c r="Q50" s="51">
        <v>179</v>
      </c>
      <c r="R50" s="55" t="s">
        <v>332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46062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87" t="s">
        <v>28</v>
      </c>
      <c r="B54" s="87" t="s">
        <v>328</v>
      </c>
      <c r="C54" s="88">
        <v>0.16666666666666671</v>
      </c>
      <c r="D54" s="87" t="s">
        <v>30</v>
      </c>
      <c r="E54" s="89"/>
      <c r="F54" s="87" t="s">
        <v>35</v>
      </c>
      <c r="G54" s="208"/>
      <c r="H54" s="90" t="s">
        <v>328</v>
      </c>
      <c r="I54" s="91">
        <v>0</v>
      </c>
      <c r="J54" s="92">
        <v>0</v>
      </c>
      <c r="K54" s="93" t="s">
        <v>36</v>
      </c>
      <c r="L54" s="92">
        <v>0</v>
      </c>
      <c r="M54" s="92">
        <v>0</v>
      </c>
      <c r="N54" s="92">
        <v>0</v>
      </c>
      <c r="O54" s="94" t="s">
        <v>278</v>
      </c>
      <c r="P54" s="95">
        <v>0.16666666666666671</v>
      </c>
      <c r="Q54" s="92">
        <v>179</v>
      </c>
      <c r="R54" s="96" t="s">
        <v>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46063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8" t="s">
        <v>28</v>
      </c>
      <c r="B58" s="8" t="s">
        <v>328</v>
      </c>
      <c r="C58" s="9">
        <v>0.83333333333333337</v>
      </c>
      <c r="D58" s="8" t="s">
        <v>30</v>
      </c>
      <c r="E58" s="10"/>
      <c r="F58" s="8" t="s">
        <v>31</v>
      </c>
      <c r="G58" s="208"/>
      <c r="H58" s="11" t="s">
        <v>328</v>
      </c>
      <c r="I58" s="12">
        <v>2.23E-2</v>
      </c>
      <c r="J58" s="13">
        <v>4</v>
      </c>
      <c r="K58" s="14" t="s">
        <v>170</v>
      </c>
      <c r="L58" s="13">
        <v>4</v>
      </c>
      <c r="M58" s="13">
        <v>0</v>
      </c>
      <c r="N58" s="13">
        <v>0</v>
      </c>
      <c r="O58" s="15" t="s">
        <v>126</v>
      </c>
      <c r="P58" s="16">
        <v>0.83333333333333337</v>
      </c>
      <c r="Q58" s="13">
        <v>179</v>
      </c>
      <c r="R58" s="17" t="s">
        <v>333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46064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76" t="s">
        <v>28</v>
      </c>
      <c r="B62" s="76" t="s">
        <v>328</v>
      </c>
      <c r="C62" s="77">
        <v>0.82638888888888884</v>
      </c>
      <c r="D62" s="76" t="s">
        <v>30</v>
      </c>
      <c r="E62" s="78"/>
      <c r="F62" s="76" t="s">
        <v>31</v>
      </c>
      <c r="G62" s="208"/>
      <c r="H62" s="79" t="s">
        <v>328</v>
      </c>
      <c r="I62" s="80">
        <v>2.23E-2</v>
      </c>
      <c r="J62" s="81">
        <v>4</v>
      </c>
      <c r="K62" s="82" t="s">
        <v>334</v>
      </c>
      <c r="L62" s="81">
        <v>4</v>
      </c>
      <c r="M62" s="81">
        <v>0</v>
      </c>
      <c r="N62" s="81">
        <v>0</v>
      </c>
      <c r="O62" s="83" t="s">
        <v>278</v>
      </c>
      <c r="P62" s="84">
        <v>0.82638888888888884</v>
      </c>
      <c r="Q62" s="81">
        <v>179</v>
      </c>
      <c r="R62" s="85" t="s">
        <v>335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22.05" customHeight="1" thickTop="1" thickBot="1" x14ac:dyDescent="0.35">
      <c r="A64" s="201" t="s">
        <v>8</v>
      </c>
      <c r="B64" s="202"/>
      <c r="C64" s="202"/>
      <c r="D64" s="202"/>
      <c r="E64" s="202"/>
      <c r="F64" s="203"/>
      <c r="G64" s="18">
        <v>46065</v>
      </c>
      <c r="H64" s="209" t="s">
        <v>9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66" t="s">
        <v>28</v>
      </c>
      <c r="B66" s="66" t="s">
        <v>328</v>
      </c>
      <c r="C66" s="67">
        <v>0.4375</v>
      </c>
      <c r="D66" s="66" t="s">
        <v>30</v>
      </c>
      <c r="E66" s="68"/>
      <c r="F66" s="66" t="s">
        <v>31</v>
      </c>
      <c r="G66" s="208"/>
      <c r="H66" s="69" t="s">
        <v>328</v>
      </c>
      <c r="I66" s="70">
        <v>5.5999999999999999E-3</v>
      </c>
      <c r="J66" s="71">
        <v>1</v>
      </c>
      <c r="K66" s="72" t="s">
        <v>32</v>
      </c>
      <c r="L66" s="71">
        <v>1</v>
      </c>
      <c r="M66" s="71">
        <v>0</v>
      </c>
      <c r="N66" s="71">
        <v>0</v>
      </c>
      <c r="O66" s="73" t="s">
        <v>140</v>
      </c>
      <c r="P66" s="74">
        <v>0.4375</v>
      </c>
      <c r="Q66" s="71">
        <v>179</v>
      </c>
      <c r="R66" s="75" t="s">
        <v>43</v>
      </c>
    </row>
    <row r="67" spans="1:18" ht="17.399999999999999" customHeight="1" thickBot="1" x14ac:dyDescent="0.3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5"/>
    </row>
    <row r="68" spans="1:18" ht="22.05" customHeight="1" thickTop="1" thickBot="1" x14ac:dyDescent="0.35">
      <c r="A68" s="201" t="s">
        <v>8</v>
      </c>
      <c r="B68" s="202"/>
      <c r="C68" s="202"/>
      <c r="D68" s="202"/>
      <c r="E68" s="202"/>
      <c r="F68" s="203"/>
      <c r="G68" s="18">
        <v>46066</v>
      </c>
      <c r="H68" s="209" t="s">
        <v>9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3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6" t="s">
        <v>28</v>
      </c>
      <c r="B70" s="66" t="s">
        <v>328</v>
      </c>
      <c r="C70" s="67">
        <v>0.16666666666666671</v>
      </c>
      <c r="D70" s="66" t="s">
        <v>30</v>
      </c>
      <c r="E70" s="68"/>
      <c r="F70" s="66" t="s">
        <v>35</v>
      </c>
      <c r="G70" s="208"/>
      <c r="H70" s="69" t="s">
        <v>328</v>
      </c>
      <c r="I70" s="70">
        <v>0</v>
      </c>
      <c r="J70" s="71">
        <v>0</v>
      </c>
      <c r="K70" s="72" t="s">
        <v>36</v>
      </c>
      <c r="L70" s="71">
        <v>0</v>
      </c>
      <c r="M70" s="71">
        <v>0</v>
      </c>
      <c r="N70" s="71">
        <v>0</v>
      </c>
      <c r="O70" s="73" t="s">
        <v>278</v>
      </c>
      <c r="P70" s="74">
        <v>0.16666666666666671</v>
      </c>
      <c r="Q70" s="71">
        <v>179</v>
      </c>
      <c r="R70" s="75" t="s">
        <v>36</v>
      </c>
    </row>
    <row r="71" spans="1:18" ht="17.399999999999999" customHeight="1" thickBot="1" x14ac:dyDescent="0.35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5"/>
    </row>
    <row r="72" spans="1:18" ht="22.05" customHeight="1" thickTop="1" thickBot="1" x14ac:dyDescent="0.35">
      <c r="A72" s="201" t="s">
        <v>8</v>
      </c>
      <c r="B72" s="202"/>
      <c r="C72" s="202"/>
      <c r="D72" s="202"/>
      <c r="E72" s="202"/>
      <c r="F72" s="203"/>
      <c r="G72" s="18">
        <v>46067</v>
      </c>
      <c r="H72" s="209" t="s">
        <v>9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3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46" t="s">
        <v>28</v>
      </c>
      <c r="B74" s="46" t="s">
        <v>328</v>
      </c>
      <c r="C74" s="47">
        <v>0.125</v>
      </c>
      <c r="D74" s="46" t="s">
        <v>30</v>
      </c>
      <c r="E74" s="48"/>
      <c r="F74" s="46" t="s">
        <v>35</v>
      </c>
      <c r="G74" s="208"/>
      <c r="H74" s="49" t="s">
        <v>328</v>
      </c>
      <c r="I74" s="50">
        <v>0</v>
      </c>
      <c r="J74" s="51">
        <v>0</v>
      </c>
      <c r="K74" s="52" t="s">
        <v>36</v>
      </c>
      <c r="L74" s="51">
        <v>0</v>
      </c>
      <c r="M74" s="51">
        <v>0</v>
      </c>
      <c r="N74" s="51">
        <v>0</v>
      </c>
      <c r="O74" s="53" t="s">
        <v>278</v>
      </c>
      <c r="P74" s="54">
        <v>0.125</v>
      </c>
      <c r="Q74" s="51">
        <v>179</v>
      </c>
      <c r="R74" s="55" t="s">
        <v>36</v>
      </c>
    </row>
    <row r="75" spans="1:18" ht="17.399999999999999" customHeight="1" thickBot="1" x14ac:dyDescent="0.35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</row>
    <row r="76" spans="1:18" ht="22.05" customHeight="1" thickTop="1" thickBot="1" x14ac:dyDescent="0.35">
      <c r="A76" s="201" t="s">
        <v>8</v>
      </c>
      <c r="B76" s="202"/>
      <c r="C76" s="202"/>
      <c r="D76" s="202"/>
      <c r="E76" s="202"/>
      <c r="F76" s="203"/>
      <c r="G76" s="18">
        <v>46068</v>
      </c>
      <c r="H76" s="209" t="s">
        <v>9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56" t="s">
        <v>28</v>
      </c>
      <c r="B78" s="56" t="s">
        <v>328</v>
      </c>
      <c r="C78" s="57">
        <v>0.21527777777777779</v>
      </c>
      <c r="D78" s="56" t="s">
        <v>30</v>
      </c>
      <c r="E78" s="58"/>
      <c r="F78" s="56" t="s">
        <v>31</v>
      </c>
      <c r="G78" s="208"/>
      <c r="H78" s="59" t="s">
        <v>328</v>
      </c>
      <c r="I78" s="60">
        <v>1.12E-2</v>
      </c>
      <c r="J78" s="61">
        <v>2</v>
      </c>
      <c r="K78" s="62" t="s">
        <v>178</v>
      </c>
      <c r="L78" s="61">
        <v>2</v>
      </c>
      <c r="M78" s="61">
        <v>0</v>
      </c>
      <c r="N78" s="61">
        <v>0</v>
      </c>
      <c r="O78" s="63" t="s">
        <v>126</v>
      </c>
      <c r="P78" s="64">
        <v>0.21527777777777779</v>
      </c>
      <c r="Q78" s="61">
        <v>179</v>
      </c>
      <c r="R78" s="65" t="s">
        <v>131</v>
      </c>
    </row>
    <row r="79" spans="1:18" ht="17.399999999999999" customHeight="1" thickBot="1" x14ac:dyDescent="0.35">
      <c r="A79" s="233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</row>
    <row r="80" spans="1:18" ht="22.05" customHeight="1" thickTop="1" thickBot="1" x14ac:dyDescent="0.35">
      <c r="A80" s="201" t="s">
        <v>8</v>
      </c>
      <c r="B80" s="202"/>
      <c r="C80" s="202"/>
      <c r="D80" s="202"/>
      <c r="E80" s="202"/>
      <c r="F80" s="203"/>
      <c r="G80" s="18">
        <v>46069</v>
      </c>
      <c r="H80" s="209" t="s">
        <v>9</v>
      </c>
      <c r="I80" s="202"/>
      <c r="J80" s="202"/>
      <c r="K80" s="202"/>
      <c r="L80" s="202"/>
      <c r="M80" s="202"/>
      <c r="N80" s="202"/>
      <c r="O80" s="202"/>
      <c r="P80" s="202"/>
      <c r="Q80" s="202"/>
      <c r="R80" s="203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x14ac:dyDescent="0.3">
      <c r="A82" s="66" t="s">
        <v>28</v>
      </c>
      <c r="B82" s="66" t="s">
        <v>336</v>
      </c>
      <c r="C82" s="67">
        <v>4.5138888888888888E-2</v>
      </c>
      <c r="D82" s="66" t="s">
        <v>30</v>
      </c>
      <c r="E82" s="68"/>
      <c r="F82" s="66" t="s">
        <v>337</v>
      </c>
      <c r="G82" s="208"/>
      <c r="H82" s="117" t="s">
        <v>336</v>
      </c>
      <c r="I82" s="118">
        <v>0</v>
      </c>
      <c r="J82" s="119">
        <v>0</v>
      </c>
      <c r="K82" s="120" t="s">
        <v>36</v>
      </c>
      <c r="L82" s="119">
        <v>0</v>
      </c>
      <c r="M82" s="119">
        <v>0</v>
      </c>
      <c r="N82" s="119">
        <v>0</v>
      </c>
      <c r="O82" s="121" t="s">
        <v>338</v>
      </c>
      <c r="P82" s="122">
        <v>4.5138888888888888E-2</v>
      </c>
      <c r="Q82" s="119">
        <v>179</v>
      </c>
      <c r="R82" s="123" t="s">
        <v>36</v>
      </c>
    </row>
    <row r="83" spans="1:18" ht="49.95" customHeight="1" thickBot="1" x14ac:dyDescent="0.35">
      <c r="A83" s="195" t="s">
        <v>28</v>
      </c>
      <c r="B83" s="195" t="s">
        <v>328</v>
      </c>
      <c r="C83" s="196">
        <v>0.16666666666666671</v>
      </c>
      <c r="D83" s="195" t="s">
        <v>30</v>
      </c>
      <c r="E83" s="197"/>
      <c r="F83" s="195" t="s">
        <v>31</v>
      </c>
      <c r="G83" s="218"/>
      <c r="H83" s="11" t="s">
        <v>328</v>
      </c>
      <c r="I83" s="12">
        <v>5.5999999999999999E-3</v>
      </c>
      <c r="J83" s="13">
        <v>1</v>
      </c>
      <c r="K83" s="14" t="s">
        <v>339</v>
      </c>
      <c r="L83" s="13">
        <v>1</v>
      </c>
      <c r="M83" s="13">
        <v>0</v>
      </c>
      <c r="N83" s="13">
        <v>0</v>
      </c>
      <c r="O83" s="15" t="s">
        <v>278</v>
      </c>
      <c r="P83" s="16">
        <v>0.16666666666666671</v>
      </c>
      <c r="Q83" s="13">
        <v>179</v>
      </c>
      <c r="R83" s="17" t="s">
        <v>147</v>
      </c>
    </row>
    <row r="84" spans="1:18" ht="17.399999999999999" customHeight="1" thickBot="1" x14ac:dyDescent="0.35">
      <c r="A84" s="233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5"/>
    </row>
    <row r="85" spans="1:18" ht="22.05" customHeight="1" thickTop="1" thickBot="1" x14ac:dyDescent="0.35">
      <c r="A85" s="201" t="s">
        <v>8</v>
      </c>
      <c r="B85" s="202"/>
      <c r="C85" s="202"/>
      <c r="D85" s="202"/>
      <c r="E85" s="202"/>
      <c r="F85" s="203"/>
      <c r="G85" s="18">
        <v>46070</v>
      </c>
      <c r="H85" s="209" t="s">
        <v>9</v>
      </c>
      <c r="I85" s="202"/>
      <c r="J85" s="202"/>
      <c r="K85" s="202"/>
      <c r="L85" s="202"/>
      <c r="M85" s="202"/>
      <c r="N85" s="202"/>
      <c r="O85" s="202"/>
      <c r="P85" s="202"/>
      <c r="Q85" s="202"/>
      <c r="R85" s="203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x14ac:dyDescent="0.3">
      <c r="A87" s="26" t="s">
        <v>28</v>
      </c>
      <c r="B87" s="26" t="s">
        <v>340</v>
      </c>
      <c r="C87" s="27">
        <v>8.6805555555555566E-2</v>
      </c>
      <c r="D87" s="26" t="s">
        <v>30</v>
      </c>
      <c r="E87" s="28"/>
      <c r="F87" s="26" t="s">
        <v>337</v>
      </c>
      <c r="G87" s="208"/>
      <c r="H87" s="176" t="s">
        <v>340</v>
      </c>
      <c r="I87" s="177">
        <v>0</v>
      </c>
      <c r="J87" s="178">
        <v>0</v>
      </c>
      <c r="K87" s="179" t="s">
        <v>36</v>
      </c>
      <c r="L87" s="178">
        <v>0</v>
      </c>
      <c r="M87" s="178">
        <v>0</v>
      </c>
      <c r="N87" s="178">
        <v>0</v>
      </c>
      <c r="O87" s="180" t="s">
        <v>338</v>
      </c>
      <c r="P87" s="181">
        <v>8.6805555555555566E-2</v>
      </c>
      <c r="Q87" s="178">
        <v>179</v>
      </c>
      <c r="R87" s="182" t="s">
        <v>36</v>
      </c>
    </row>
    <row r="88" spans="1:18" ht="49.95" customHeight="1" thickBot="1" x14ac:dyDescent="0.35">
      <c r="A88" s="192" t="s">
        <v>28</v>
      </c>
      <c r="B88" s="192" t="s">
        <v>328</v>
      </c>
      <c r="C88" s="193">
        <v>0.83333333333333337</v>
      </c>
      <c r="D88" s="192" t="s">
        <v>30</v>
      </c>
      <c r="E88" s="194"/>
      <c r="F88" s="192" t="s">
        <v>35</v>
      </c>
      <c r="G88" s="218"/>
      <c r="H88" s="49" t="s">
        <v>328</v>
      </c>
      <c r="I88" s="50">
        <v>0</v>
      </c>
      <c r="J88" s="51">
        <v>0</v>
      </c>
      <c r="K88" s="52" t="s">
        <v>36</v>
      </c>
      <c r="L88" s="51">
        <v>0</v>
      </c>
      <c r="M88" s="51">
        <v>0</v>
      </c>
      <c r="N88" s="51">
        <v>0</v>
      </c>
      <c r="O88" s="53" t="s">
        <v>278</v>
      </c>
      <c r="P88" s="54">
        <v>0.83333333333333337</v>
      </c>
      <c r="Q88" s="51">
        <v>179</v>
      </c>
      <c r="R88" s="55" t="s">
        <v>36</v>
      </c>
    </row>
    <row r="89" spans="1:18" ht="17.399999999999999" customHeight="1" thickBot="1" x14ac:dyDescent="0.35">
      <c r="A89" s="233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5"/>
    </row>
    <row r="90" spans="1:18" ht="22.05" customHeight="1" thickTop="1" thickBot="1" x14ac:dyDescent="0.35">
      <c r="A90" s="201" t="s">
        <v>8</v>
      </c>
      <c r="B90" s="202"/>
      <c r="C90" s="202"/>
      <c r="D90" s="202"/>
      <c r="E90" s="202"/>
      <c r="F90" s="203"/>
      <c r="G90" s="18">
        <v>46071</v>
      </c>
      <c r="H90" s="209" t="s">
        <v>9</v>
      </c>
      <c r="I90" s="202"/>
      <c r="J90" s="202"/>
      <c r="K90" s="202"/>
      <c r="L90" s="202"/>
      <c r="M90" s="202"/>
      <c r="N90" s="202"/>
      <c r="O90" s="202"/>
      <c r="P90" s="202"/>
      <c r="Q90" s="202"/>
      <c r="R90" s="203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x14ac:dyDescent="0.3">
      <c r="A92" s="46" t="s">
        <v>28</v>
      </c>
      <c r="B92" s="46" t="s">
        <v>341</v>
      </c>
      <c r="C92" s="47">
        <v>8.6805555555555566E-2</v>
      </c>
      <c r="D92" s="46" t="s">
        <v>30</v>
      </c>
      <c r="E92" s="48"/>
      <c r="F92" s="46" t="s">
        <v>337</v>
      </c>
      <c r="G92" s="208"/>
      <c r="H92" s="107" t="s">
        <v>341</v>
      </c>
      <c r="I92" s="108">
        <v>0</v>
      </c>
      <c r="J92" s="109">
        <v>0</v>
      </c>
      <c r="K92" s="110" t="s">
        <v>36</v>
      </c>
      <c r="L92" s="109">
        <v>0</v>
      </c>
      <c r="M92" s="109">
        <v>0</v>
      </c>
      <c r="N92" s="109">
        <v>0</v>
      </c>
      <c r="O92" s="111" t="s">
        <v>338</v>
      </c>
      <c r="P92" s="112">
        <v>8.6805555555555566E-2</v>
      </c>
      <c r="Q92" s="109">
        <v>179</v>
      </c>
      <c r="R92" s="113" t="s">
        <v>36</v>
      </c>
    </row>
    <row r="93" spans="1:18" ht="49.95" customHeight="1" thickBot="1" x14ac:dyDescent="0.35">
      <c r="A93" s="195" t="s">
        <v>28</v>
      </c>
      <c r="B93" s="195" t="s">
        <v>328</v>
      </c>
      <c r="C93" s="196">
        <v>0.82638888888888884</v>
      </c>
      <c r="D93" s="195" t="s">
        <v>30</v>
      </c>
      <c r="E93" s="197"/>
      <c r="F93" s="195" t="s">
        <v>35</v>
      </c>
      <c r="G93" s="218"/>
      <c r="H93" s="11" t="s">
        <v>328</v>
      </c>
      <c r="I93" s="12">
        <v>0</v>
      </c>
      <c r="J93" s="13">
        <v>0</v>
      </c>
      <c r="K93" s="14" t="s">
        <v>36</v>
      </c>
      <c r="L93" s="13">
        <v>0</v>
      </c>
      <c r="M93" s="13">
        <v>0</v>
      </c>
      <c r="N93" s="13">
        <v>0</v>
      </c>
      <c r="O93" s="15" t="s">
        <v>278</v>
      </c>
      <c r="P93" s="16">
        <v>0.82638888888888884</v>
      </c>
      <c r="Q93" s="13">
        <v>179</v>
      </c>
      <c r="R93" s="17" t="s">
        <v>36</v>
      </c>
    </row>
    <row r="94" spans="1:18" ht="17.399999999999999" customHeight="1" thickBot="1" x14ac:dyDescent="0.35">
      <c r="A94" s="233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5"/>
    </row>
    <row r="95" spans="1:18" ht="22.05" customHeight="1" thickTop="1" thickBot="1" x14ac:dyDescent="0.35">
      <c r="A95" s="201" t="s">
        <v>8</v>
      </c>
      <c r="B95" s="202"/>
      <c r="C95" s="202"/>
      <c r="D95" s="202"/>
      <c r="E95" s="202"/>
      <c r="F95" s="203"/>
      <c r="G95" s="18">
        <v>46072</v>
      </c>
      <c r="H95" s="209" t="s">
        <v>9</v>
      </c>
      <c r="I95" s="202"/>
      <c r="J95" s="202"/>
      <c r="K95" s="202"/>
      <c r="L95" s="202"/>
      <c r="M95" s="202"/>
      <c r="N95" s="202"/>
      <c r="O95" s="202"/>
      <c r="P95" s="202"/>
      <c r="Q95" s="202"/>
      <c r="R95" s="203"/>
    </row>
    <row r="96" spans="1:18" ht="24" customHeight="1" x14ac:dyDescent="0.3">
      <c r="A96" s="19" t="s">
        <v>10</v>
      </c>
      <c r="B96" s="19" t="s">
        <v>11</v>
      </c>
      <c r="C96" s="20" t="s">
        <v>12</v>
      </c>
      <c r="D96" s="19" t="s">
        <v>13</v>
      </c>
      <c r="E96" s="19" t="s">
        <v>14</v>
      </c>
      <c r="F96" s="21" t="s">
        <v>15</v>
      </c>
      <c r="G96" s="22" t="s">
        <v>16</v>
      </c>
      <c r="H96" s="19" t="s">
        <v>17</v>
      </c>
      <c r="I96" s="23" t="s">
        <v>18</v>
      </c>
      <c r="J96" s="24" t="s">
        <v>19</v>
      </c>
      <c r="K96" s="25" t="s">
        <v>20</v>
      </c>
      <c r="L96" s="24" t="s">
        <v>21</v>
      </c>
      <c r="M96" s="24" t="s">
        <v>22</v>
      </c>
      <c r="N96" s="24" t="s">
        <v>23</v>
      </c>
      <c r="O96" s="19" t="s">
        <v>24</v>
      </c>
      <c r="P96" s="20" t="s">
        <v>25</v>
      </c>
      <c r="Q96" s="24" t="s">
        <v>26</v>
      </c>
      <c r="R96" s="19" t="s">
        <v>27</v>
      </c>
    </row>
    <row r="97" spans="1:18" ht="49.95" customHeight="1" x14ac:dyDescent="0.3">
      <c r="A97" s="87" t="s">
        <v>28</v>
      </c>
      <c r="B97" s="87" t="s">
        <v>336</v>
      </c>
      <c r="C97" s="88">
        <v>8.6805555555555566E-2</v>
      </c>
      <c r="D97" s="87" t="s">
        <v>30</v>
      </c>
      <c r="E97" s="89"/>
      <c r="F97" s="87" t="s">
        <v>337</v>
      </c>
      <c r="G97" s="208"/>
      <c r="H97" s="153" t="s">
        <v>336</v>
      </c>
      <c r="I97" s="154">
        <v>0</v>
      </c>
      <c r="J97" s="155">
        <v>0</v>
      </c>
      <c r="K97" s="156" t="s">
        <v>36</v>
      </c>
      <c r="L97" s="155">
        <v>0</v>
      </c>
      <c r="M97" s="155">
        <v>0</v>
      </c>
      <c r="N97" s="155">
        <v>0</v>
      </c>
      <c r="O97" s="157" t="s">
        <v>338</v>
      </c>
      <c r="P97" s="158">
        <v>8.6805555555555566E-2</v>
      </c>
      <c r="Q97" s="155">
        <v>179</v>
      </c>
      <c r="R97" s="159" t="s">
        <v>36</v>
      </c>
    </row>
    <row r="98" spans="1:18" ht="49.95" customHeight="1" x14ac:dyDescent="0.3">
      <c r="A98" s="104" t="s">
        <v>28</v>
      </c>
      <c r="B98" s="104" t="s">
        <v>340</v>
      </c>
      <c r="C98" s="105">
        <v>0.20833333333333329</v>
      </c>
      <c r="D98" s="104" t="s">
        <v>30</v>
      </c>
      <c r="E98" s="106"/>
      <c r="F98" s="104" t="s">
        <v>337</v>
      </c>
      <c r="G98" s="217"/>
      <c r="H98" s="107" t="s">
        <v>340</v>
      </c>
      <c r="I98" s="108">
        <v>0</v>
      </c>
      <c r="J98" s="109">
        <v>0</v>
      </c>
      <c r="K98" s="110" t="s">
        <v>36</v>
      </c>
      <c r="L98" s="109">
        <v>0</v>
      </c>
      <c r="M98" s="109">
        <v>0</v>
      </c>
      <c r="N98" s="109">
        <v>0</v>
      </c>
      <c r="O98" s="111" t="s">
        <v>338</v>
      </c>
      <c r="P98" s="112">
        <v>0.20833333333333329</v>
      </c>
      <c r="Q98" s="109">
        <v>179</v>
      </c>
      <c r="R98" s="113" t="s">
        <v>36</v>
      </c>
    </row>
    <row r="99" spans="1:18" ht="49.95" customHeight="1" thickBot="1" x14ac:dyDescent="0.35">
      <c r="A99" s="163" t="s">
        <v>28</v>
      </c>
      <c r="B99" s="163" t="s">
        <v>328</v>
      </c>
      <c r="C99" s="164">
        <v>0.4375</v>
      </c>
      <c r="D99" s="163" t="s">
        <v>30</v>
      </c>
      <c r="E99" s="165"/>
      <c r="F99" s="163" t="s">
        <v>35</v>
      </c>
      <c r="G99" s="218"/>
      <c r="H99" s="59" t="s">
        <v>328</v>
      </c>
      <c r="I99" s="60">
        <v>0</v>
      </c>
      <c r="J99" s="61">
        <v>0</v>
      </c>
      <c r="K99" s="62" t="s">
        <v>36</v>
      </c>
      <c r="L99" s="61">
        <v>0</v>
      </c>
      <c r="M99" s="61">
        <v>0</v>
      </c>
      <c r="N99" s="61">
        <v>0</v>
      </c>
      <c r="O99" s="63" t="s">
        <v>278</v>
      </c>
      <c r="P99" s="64">
        <v>0.4375</v>
      </c>
      <c r="Q99" s="61">
        <v>179</v>
      </c>
      <c r="R99" s="65" t="s">
        <v>36</v>
      </c>
    </row>
    <row r="100" spans="1:18" ht="17.399999999999999" customHeight="1" thickBot="1" x14ac:dyDescent="0.35">
      <c r="A100" s="233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5"/>
    </row>
    <row r="101" spans="1:18" ht="22.05" customHeight="1" thickTop="1" thickBot="1" x14ac:dyDescent="0.35">
      <c r="A101" s="201" t="s">
        <v>8</v>
      </c>
      <c r="B101" s="202"/>
      <c r="C101" s="202"/>
      <c r="D101" s="202"/>
      <c r="E101" s="202"/>
      <c r="F101" s="203"/>
      <c r="G101" s="18">
        <v>46073</v>
      </c>
      <c r="H101" s="209" t="s">
        <v>9</v>
      </c>
      <c r="I101" s="202"/>
      <c r="J101" s="202"/>
      <c r="K101" s="202"/>
      <c r="L101" s="202"/>
      <c r="M101" s="202"/>
      <c r="N101" s="202"/>
      <c r="O101" s="202"/>
      <c r="P101" s="202"/>
      <c r="Q101" s="202"/>
      <c r="R101" s="203"/>
    </row>
    <row r="102" spans="1:18" ht="24" customHeight="1" x14ac:dyDescent="0.3">
      <c r="A102" s="19" t="s">
        <v>10</v>
      </c>
      <c r="B102" s="19" t="s">
        <v>11</v>
      </c>
      <c r="C102" s="20" t="s">
        <v>12</v>
      </c>
      <c r="D102" s="19" t="s">
        <v>13</v>
      </c>
      <c r="E102" s="19" t="s">
        <v>14</v>
      </c>
      <c r="F102" s="21" t="s">
        <v>15</v>
      </c>
      <c r="G102" s="22" t="s">
        <v>16</v>
      </c>
      <c r="H102" s="19" t="s">
        <v>17</v>
      </c>
      <c r="I102" s="23" t="s">
        <v>18</v>
      </c>
      <c r="J102" s="24" t="s">
        <v>19</v>
      </c>
      <c r="K102" s="25" t="s">
        <v>20</v>
      </c>
      <c r="L102" s="24" t="s">
        <v>21</v>
      </c>
      <c r="M102" s="24" t="s">
        <v>22</v>
      </c>
      <c r="N102" s="24" t="s">
        <v>23</v>
      </c>
      <c r="O102" s="19" t="s">
        <v>24</v>
      </c>
      <c r="P102" s="20" t="s">
        <v>25</v>
      </c>
      <c r="Q102" s="24" t="s">
        <v>26</v>
      </c>
      <c r="R102" s="19" t="s">
        <v>27</v>
      </c>
    </row>
    <row r="103" spans="1:18" ht="49.95" customHeight="1" x14ac:dyDescent="0.3">
      <c r="A103" s="26" t="s">
        <v>28</v>
      </c>
      <c r="B103" s="26" t="s">
        <v>336</v>
      </c>
      <c r="C103" s="27">
        <v>8.6805555555555566E-2</v>
      </c>
      <c r="D103" s="26" t="s">
        <v>30</v>
      </c>
      <c r="E103" s="28"/>
      <c r="F103" s="26" t="s">
        <v>337</v>
      </c>
      <c r="G103" s="208"/>
      <c r="H103" s="176" t="s">
        <v>336</v>
      </c>
      <c r="I103" s="177">
        <v>0</v>
      </c>
      <c r="J103" s="178">
        <v>0</v>
      </c>
      <c r="K103" s="179" t="s">
        <v>36</v>
      </c>
      <c r="L103" s="178">
        <v>0</v>
      </c>
      <c r="M103" s="178">
        <v>0</v>
      </c>
      <c r="N103" s="178">
        <v>0</v>
      </c>
      <c r="O103" s="180" t="s">
        <v>338</v>
      </c>
      <c r="P103" s="181">
        <v>8.6805555555555566E-2</v>
      </c>
      <c r="Q103" s="178">
        <v>179</v>
      </c>
      <c r="R103" s="182" t="s">
        <v>36</v>
      </c>
    </row>
    <row r="104" spans="1:18" ht="49.95" customHeight="1" thickBot="1" x14ac:dyDescent="0.35">
      <c r="A104" s="163" t="s">
        <v>28</v>
      </c>
      <c r="B104" s="163" t="s">
        <v>328</v>
      </c>
      <c r="C104" s="164">
        <v>0.16666666666666671</v>
      </c>
      <c r="D104" s="163" t="s">
        <v>30</v>
      </c>
      <c r="E104" s="165"/>
      <c r="F104" s="163" t="s">
        <v>31</v>
      </c>
      <c r="G104" s="218"/>
      <c r="H104" s="59" t="s">
        <v>328</v>
      </c>
      <c r="I104" s="60">
        <v>5.5999999999999999E-3</v>
      </c>
      <c r="J104" s="61">
        <v>1</v>
      </c>
      <c r="K104" s="62" t="s">
        <v>159</v>
      </c>
      <c r="L104" s="61">
        <v>1</v>
      </c>
      <c r="M104" s="61">
        <v>0</v>
      </c>
      <c r="N104" s="61">
        <v>0</v>
      </c>
      <c r="O104" s="63" t="s">
        <v>278</v>
      </c>
      <c r="P104" s="64">
        <v>0.16666666666666671</v>
      </c>
      <c r="Q104" s="61">
        <v>179</v>
      </c>
      <c r="R104" s="65" t="s">
        <v>147</v>
      </c>
    </row>
    <row r="105" spans="1:18" ht="17.399999999999999" customHeight="1" thickBot="1" x14ac:dyDescent="0.35">
      <c r="A105" s="233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5"/>
    </row>
    <row r="106" spans="1:18" ht="22.05" customHeight="1" thickTop="1" thickBot="1" x14ac:dyDescent="0.35">
      <c r="A106" s="201" t="s">
        <v>8</v>
      </c>
      <c r="B106" s="202"/>
      <c r="C106" s="202"/>
      <c r="D106" s="202"/>
      <c r="E106" s="202"/>
      <c r="F106" s="203"/>
      <c r="G106" s="18">
        <v>46074</v>
      </c>
      <c r="H106" s="209" t="s">
        <v>9</v>
      </c>
      <c r="I106" s="202"/>
      <c r="J106" s="202"/>
      <c r="K106" s="202"/>
      <c r="L106" s="202"/>
      <c r="M106" s="202"/>
      <c r="N106" s="202"/>
      <c r="O106" s="202"/>
      <c r="P106" s="202"/>
      <c r="Q106" s="202"/>
      <c r="R106" s="203"/>
    </row>
    <row r="107" spans="1:18" ht="24" customHeight="1" x14ac:dyDescent="0.3">
      <c r="A107" s="19" t="s">
        <v>10</v>
      </c>
      <c r="B107" s="19" t="s">
        <v>11</v>
      </c>
      <c r="C107" s="20" t="s">
        <v>12</v>
      </c>
      <c r="D107" s="19" t="s">
        <v>13</v>
      </c>
      <c r="E107" s="19" t="s">
        <v>14</v>
      </c>
      <c r="F107" s="21" t="s">
        <v>15</v>
      </c>
      <c r="G107" s="22" t="s">
        <v>16</v>
      </c>
      <c r="H107" s="19" t="s">
        <v>17</v>
      </c>
      <c r="I107" s="23" t="s">
        <v>18</v>
      </c>
      <c r="J107" s="24" t="s">
        <v>19</v>
      </c>
      <c r="K107" s="25" t="s">
        <v>20</v>
      </c>
      <c r="L107" s="24" t="s">
        <v>21</v>
      </c>
      <c r="M107" s="24" t="s">
        <v>22</v>
      </c>
      <c r="N107" s="24" t="s">
        <v>23</v>
      </c>
      <c r="O107" s="19" t="s">
        <v>24</v>
      </c>
      <c r="P107" s="20" t="s">
        <v>25</v>
      </c>
      <c r="Q107" s="24" t="s">
        <v>26</v>
      </c>
      <c r="R107" s="19" t="s">
        <v>27</v>
      </c>
    </row>
    <row r="108" spans="1:18" ht="49.95" customHeight="1" thickTop="1" thickBot="1" x14ac:dyDescent="0.35">
      <c r="A108" s="66" t="s">
        <v>28</v>
      </c>
      <c r="B108" s="66" t="s">
        <v>328</v>
      </c>
      <c r="C108" s="67">
        <v>0.125</v>
      </c>
      <c r="D108" s="66" t="s">
        <v>30</v>
      </c>
      <c r="E108" s="68"/>
      <c r="F108" s="66" t="s">
        <v>35</v>
      </c>
      <c r="G108" s="208"/>
      <c r="H108" s="69" t="s">
        <v>328</v>
      </c>
      <c r="I108" s="70">
        <v>0</v>
      </c>
      <c r="J108" s="71">
        <v>0</v>
      </c>
      <c r="K108" s="72" t="s">
        <v>36</v>
      </c>
      <c r="L108" s="71">
        <v>0</v>
      </c>
      <c r="M108" s="71">
        <v>0</v>
      </c>
      <c r="N108" s="71">
        <v>0</v>
      </c>
      <c r="O108" s="73" t="s">
        <v>278</v>
      </c>
      <c r="P108" s="74">
        <v>0.125</v>
      </c>
      <c r="Q108" s="71">
        <v>179</v>
      </c>
      <c r="R108" s="75" t="s">
        <v>36</v>
      </c>
    </row>
    <row r="109" spans="1:18" ht="17.399999999999999" customHeight="1" thickBot="1" x14ac:dyDescent="0.35">
      <c r="A109" s="233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5"/>
    </row>
    <row r="110" spans="1:18" ht="22.05" customHeight="1" thickTop="1" thickBot="1" x14ac:dyDescent="0.35">
      <c r="A110" s="201" t="s">
        <v>8</v>
      </c>
      <c r="B110" s="202"/>
      <c r="C110" s="202"/>
      <c r="D110" s="202"/>
      <c r="E110" s="202"/>
      <c r="F110" s="203"/>
      <c r="G110" s="18">
        <v>46075</v>
      </c>
      <c r="H110" s="209" t="s">
        <v>9</v>
      </c>
      <c r="I110" s="202"/>
      <c r="J110" s="202"/>
      <c r="K110" s="202"/>
      <c r="L110" s="202"/>
      <c r="M110" s="202"/>
      <c r="N110" s="202"/>
      <c r="O110" s="202"/>
      <c r="P110" s="202"/>
      <c r="Q110" s="202"/>
      <c r="R110" s="203"/>
    </row>
    <row r="111" spans="1:18" ht="24" customHeight="1" x14ac:dyDescent="0.3">
      <c r="A111" s="19" t="s">
        <v>10</v>
      </c>
      <c r="B111" s="19" t="s">
        <v>11</v>
      </c>
      <c r="C111" s="20" t="s">
        <v>12</v>
      </c>
      <c r="D111" s="19" t="s">
        <v>13</v>
      </c>
      <c r="E111" s="19" t="s">
        <v>14</v>
      </c>
      <c r="F111" s="21" t="s">
        <v>15</v>
      </c>
      <c r="G111" s="22" t="s">
        <v>16</v>
      </c>
      <c r="H111" s="19" t="s">
        <v>17</v>
      </c>
      <c r="I111" s="23" t="s">
        <v>18</v>
      </c>
      <c r="J111" s="24" t="s">
        <v>19</v>
      </c>
      <c r="K111" s="25" t="s">
        <v>20</v>
      </c>
      <c r="L111" s="24" t="s">
        <v>21</v>
      </c>
      <c r="M111" s="24" t="s">
        <v>22</v>
      </c>
      <c r="N111" s="24" t="s">
        <v>23</v>
      </c>
      <c r="O111" s="19" t="s">
        <v>24</v>
      </c>
      <c r="P111" s="20" t="s">
        <v>25</v>
      </c>
      <c r="Q111" s="24" t="s">
        <v>26</v>
      </c>
      <c r="R111" s="19" t="s">
        <v>27</v>
      </c>
    </row>
    <row r="112" spans="1:18" ht="49.95" customHeight="1" thickTop="1" thickBot="1" x14ac:dyDescent="0.35">
      <c r="A112" s="56" t="s">
        <v>28</v>
      </c>
      <c r="B112" s="56" t="s">
        <v>328</v>
      </c>
      <c r="C112" s="57">
        <v>0.21527777777777779</v>
      </c>
      <c r="D112" s="56" t="s">
        <v>30</v>
      </c>
      <c r="E112" s="58"/>
      <c r="F112" s="56" t="s">
        <v>35</v>
      </c>
      <c r="G112" s="208"/>
      <c r="H112" s="59" t="s">
        <v>328</v>
      </c>
      <c r="I112" s="60">
        <v>0</v>
      </c>
      <c r="J112" s="61">
        <v>0</v>
      </c>
      <c r="K112" s="62" t="s">
        <v>36</v>
      </c>
      <c r="L112" s="61">
        <v>0</v>
      </c>
      <c r="M112" s="61">
        <v>0</v>
      </c>
      <c r="N112" s="61">
        <v>0</v>
      </c>
      <c r="O112" s="63" t="s">
        <v>278</v>
      </c>
      <c r="P112" s="64">
        <v>0.21527777777777779</v>
      </c>
      <c r="Q112" s="61">
        <v>179</v>
      </c>
      <c r="R112" s="65" t="s">
        <v>36</v>
      </c>
    </row>
    <row r="113" spans="1:18" ht="17.399999999999999" customHeight="1" thickBot="1" x14ac:dyDescent="0.35">
      <c r="A113" s="233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5"/>
    </row>
    <row r="114" spans="1:18" ht="22.05" customHeight="1" thickTop="1" thickBot="1" x14ac:dyDescent="0.35">
      <c r="A114" s="201" t="s">
        <v>8</v>
      </c>
      <c r="B114" s="202"/>
      <c r="C114" s="202"/>
      <c r="D114" s="202"/>
      <c r="E114" s="202"/>
      <c r="F114" s="203"/>
      <c r="G114" s="18">
        <v>46076</v>
      </c>
      <c r="H114" s="209" t="s">
        <v>9</v>
      </c>
      <c r="I114" s="202"/>
      <c r="J114" s="202"/>
      <c r="K114" s="202"/>
      <c r="L114" s="202"/>
      <c r="M114" s="202"/>
      <c r="N114" s="202"/>
      <c r="O114" s="202"/>
      <c r="P114" s="202"/>
      <c r="Q114" s="202"/>
      <c r="R114" s="203"/>
    </row>
    <row r="115" spans="1:18" ht="24" customHeight="1" x14ac:dyDescent="0.3">
      <c r="A115" s="19" t="s">
        <v>10</v>
      </c>
      <c r="B115" s="19" t="s">
        <v>11</v>
      </c>
      <c r="C115" s="20" t="s">
        <v>12</v>
      </c>
      <c r="D115" s="19" t="s">
        <v>13</v>
      </c>
      <c r="E115" s="19" t="s">
        <v>14</v>
      </c>
      <c r="F115" s="21" t="s">
        <v>15</v>
      </c>
      <c r="G115" s="22" t="s">
        <v>16</v>
      </c>
      <c r="H115" s="19" t="s">
        <v>17</v>
      </c>
      <c r="I115" s="23" t="s">
        <v>18</v>
      </c>
      <c r="J115" s="24" t="s">
        <v>19</v>
      </c>
      <c r="K115" s="25" t="s">
        <v>20</v>
      </c>
      <c r="L115" s="24" t="s">
        <v>21</v>
      </c>
      <c r="M115" s="24" t="s">
        <v>22</v>
      </c>
      <c r="N115" s="24" t="s">
        <v>23</v>
      </c>
      <c r="O115" s="19" t="s">
        <v>24</v>
      </c>
      <c r="P115" s="20" t="s">
        <v>25</v>
      </c>
      <c r="Q115" s="24" t="s">
        <v>26</v>
      </c>
      <c r="R115" s="19" t="s">
        <v>27</v>
      </c>
    </row>
    <row r="116" spans="1:18" ht="49.95" customHeight="1" x14ac:dyDescent="0.3">
      <c r="A116" s="87" t="s">
        <v>28</v>
      </c>
      <c r="B116" s="87" t="s">
        <v>336</v>
      </c>
      <c r="C116" s="88">
        <v>4.5138888888888888E-2</v>
      </c>
      <c r="D116" s="87" t="s">
        <v>30</v>
      </c>
      <c r="E116" s="89"/>
      <c r="F116" s="87" t="s">
        <v>337</v>
      </c>
      <c r="G116" s="208"/>
      <c r="H116" s="153" t="s">
        <v>336</v>
      </c>
      <c r="I116" s="154">
        <v>0</v>
      </c>
      <c r="J116" s="155">
        <v>0</v>
      </c>
      <c r="K116" s="156" t="s">
        <v>36</v>
      </c>
      <c r="L116" s="155">
        <v>0</v>
      </c>
      <c r="M116" s="155">
        <v>0</v>
      </c>
      <c r="N116" s="155">
        <v>0</v>
      </c>
      <c r="O116" s="157" t="s">
        <v>338</v>
      </c>
      <c r="P116" s="158">
        <v>4.5138888888888888E-2</v>
      </c>
      <c r="Q116" s="155">
        <v>179</v>
      </c>
      <c r="R116" s="159" t="s">
        <v>36</v>
      </c>
    </row>
    <row r="117" spans="1:18" ht="49.95" customHeight="1" thickBot="1" x14ac:dyDescent="0.35">
      <c r="A117" s="192" t="s">
        <v>28</v>
      </c>
      <c r="B117" s="192" t="s">
        <v>328</v>
      </c>
      <c r="C117" s="193">
        <v>0.16666666666666671</v>
      </c>
      <c r="D117" s="192" t="s">
        <v>30</v>
      </c>
      <c r="E117" s="194"/>
      <c r="F117" s="192" t="s">
        <v>31</v>
      </c>
      <c r="G117" s="218"/>
      <c r="H117" s="49" t="s">
        <v>328</v>
      </c>
      <c r="I117" s="50">
        <v>5.5999999999999999E-3</v>
      </c>
      <c r="J117" s="51">
        <v>1</v>
      </c>
      <c r="K117" s="52" t="s">
        <v>342</v>
      </c>
      <c r="L117" s="51">
        <v>1</v>
      </c>
      <c r="M117" s="51">
        <v>0</v>
      </c>
      <c r="N117" s="51">
        <v>0</v>
      </c>
      <c r="O117" s="53" t="s">
        <v>278</v>
      </c>
      <c r="P117" s="54">
        <v>0.16666666666666671</v>
      </c>
      <c r="Q117" s="51">
        <v>179</v>
      </c>
      <c r="R117" s="55" t="s">
        <v>147</v>
      </c>
    </row>
    <row r="118" spans="1:18" ht="17.399999999999999" customHeight="1" thickBot="1" x14ac:dyDescent="0.35">
      <c r="A118" s="233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5"/>
    </row>
    <row r="119" spans="1:18" ht="22.05" customHeight="1" thickTop="1" thickBot="1" x14ac:dyDescent="0.35">
      <c r="A119" s="201" t="s">
        <v>8</v>
      </c>
      <c r="B119" s="202"/>
      <c r="C119" s="202"/>
      <c r="D119" s="202"/>
      <c r="E119" s="202"/>
      <c r="F119" s="203"/>
      <c r="G119" s="18">
        <v>46077</v>
      </c>
      <c r="H119" s="209" t="s">
        <v>9</v>
      </c>
      <c r="I119" s="202"/>
      <c r="J119" s="202"/>
      <c r="K119" s="202"/>
      <c r="L119" s="202"/>
      <c r="M119" s="202"/>
      <c r="N119" s="202"/>
      <c r="O119" s="202"/>
      <c r="P119" s="202"/>
      <c r="Q119" s="202"/>
      <c r="R119" s="203"/>
    </row>
    <row r="120" spans="1:18" ht="24" customHeight="1" x14ac:dyDescent="0.3">
      <c r="A120" s="19" t="s">
        <v>10</v>
      </c>
      <c r="B120" s="19" t="s">
        <v>11</v>
      </c>
      <c r="C120" s="20" t="s">
        <v>12</v>
      </c>
      <c r="D120" s="19" t="s">
        <v>13</v>
      </c>
      <c r="E120" s="19" t="s">
        <v>14</v>
      </c>
      <c r="F120" s="21" t="s">
        <v>15</v>
      </c>
      <c r="G120" s="22" t="s">
        <v>16</v>
      </c>
      <c r="H120" s="19" t="s">
        <v>17</v>
      </c>
      <c r="I120" s="23" t="s">
        <v>18</v>
      </c>
      <c r="J120" s="24" t="s">
        <v>19</v>
      </c>
      <c r="K120" s="25" t="s">
        <v>20</v>
      </c>
      <c r="L120" s="24" t="s">
        <v>21</v>
      </c>
      <c r="M120" s="24" t="s">
        <v>22</v>
      </c>
      <c r="N120" s="24" t="s">
        <v>23</v>
      </c>
      <c r="O120" s="19" t="s">
        <v>24</v>
      </c>
      <c r="P120" s="20" t="s">
        <v>25</v>
      </c>
      <c r="Q120" s="24" t="s">
        <v>26</v>
      </c>
      <c r="R120" s="19" t="s">
        <v>27</v>
      </c>
    </row>
    <row r="121" spans="1:18" ht="49.95" customHeight="1" thickTop="1" thickBot="1" x14ac:dyDescent="0.35">
      <c r="A121" s="56" t="s">
        <v>28</v>
      </c>
      <c r="B121" s="56" t="s">
        <v>328</v>
      </c>
      <c r="C121" s="57">
        <v>0.83333333333333337</v>
      </c>
      <c r="D121" s="56" t="s">
        <v>30</v>
      </c>
      <c r="E121" s="58"/>
      <c r="F121" s="56" t="s">
        <v>35</v>
      </c>
      <c r="G121" s="208"/>
      <c r="H121" s="59" t="s">
        <v>328</v>
      </c>
      <c r="I121" s="60">
        <v>0</v>
      </c>
      <c r="J121" s="61">
        <v>0</v>
      </c>
      <c r="K121" s="62" t="s">
        <v>36</v>
      </c>
      <c r="L121" s="61">
        <v>0</v>
      </c>
      <c r="M121" s="61">
        <v>0</v>
      </c>
      <c r="N121" s="61">
        <v>0</v>
      </c>
      <c r="O121" s="63" t="s">
        <v>278</v>
      </c>
      <c r="P121" s="64">
        <v>0.83333333333333337</v>
      </c>
      <c r="Q121" s="61">
        <v>179</v>
      </c>
      <c r="R121" s="65" t="s">
        <v>36</v>
      </c>
    </row>
    <row r="122" spans="1:18" ht="17.399999999999999" customHeight="1" thickBot="1" x14ac:dyDescent="0.35">
      <c r="A122" s="233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</row>
    <row r="123" spans="1:18" ht="22.05" customHeight="1" thickTop="1" thickBot="1" x14ac:dyDescent="0.35">
      <c r="A123" s="201" t="s">
        <v>8</v>
      </c>
      <c r="B123" s="202"/>
      <c r="C123" s="202"/>
      <c r="D123" s="202"/>
      <c r="E123" s="202"/>
      <c r="F123" s="203"/>
      <c r="G123" s="18">
        <v>46078</v>
      </c>
      <c r="H123" s="209" t="s">
        <v>9</v>
      </c>
      <c r="I123" s="202"/>
      <c r="J123" s="202"/>
      <c r="K123" s="202"/>
      <c r="L123" s="202"/>
      <c r="M123" s="202"/>
      <c r="N123" s="202"/>
      <c r="O123" s="202"/>
      <c r="P123" s="202"/>
      <c r="Q123" s="202"/>
      <c r="R123" s="203"/>
    </row>
    <row r="124" spans="1:18" ht="24" customHeight="1" x14ac:dyDescent="0.3">
      <c r="A124" s="19" t="s">
        <v>10</v>
      </c>
      <c r="B124" s="19" t="s">
        <v>11</v>
      </c>
      <c r="C124" s="20" t="s">
        <v>12</v>
      </c>
      <c r="D124" s="19" t="s">
        <v>13</v>
      </c>
      <c r="E124" s="19" t="s">
        <v>14</v>
      </c>
      <c r="F124" s="21" t="s">
        <v>15</v>
      </c>
      <c r="G124" s="22" t="s">
        <v>16</v>
      </c>
      <c r="H124" s="19" t="s">
        <v>17</v>
      </c>
      <c r="I124" s="23" t="s">
        <v>18</v>
      </c>
      <c r="J124" s="24" t="s">
        <v>19</v>
      </c>
      <c r="K124" s="25" t="s">
        <v>20</v>
      </c>
      <c r="L124" s="24" t="s">
        <v>21</v>
      </c>
      <c r="M124" s="24" t="s">
        <v>22</v>
      </c>
      <c r="N124" s="24" t="s">
        <v>23</v>
      </c>
      <c r="O124" s="19" t="s">
        <v>24</v>
      </c>
      <c r="P124" s="20" t="s">
        <v>25</v>
      </c>
      <c r="Q124" s="24" t="s">
        <v>26</v>
      </c>
      <c r="R124" s="19" t="s">
        <v>27</v>
      </c>
    </row>
    <row r="125" spans="1:18" ht="49.95" customHeight="1" thickTop="1" thickBot="1" x14ac:dyDescent="0.5">
      <c r="A125" s="87" t="s">
        <v>28</v>
      </c>
      <c r="B125" s="87" t="s">
        <v>328</v>
      </c>
      <c r="C125" s="88">
        <v>0.82638888888888884</v>
      </c>
      <c r="D125" s="87" t="s">
        <v>30</v>
      </c>
      <c r="E125" s="89"/>
      <c r="F125" s="87" t="s">
        <v>35</v>
      </c>
      <c r="G125" s="204"/>
      <c r="H125" s="90" t="s">
        <v>328</v>
      </c>
      <c r="I125" s="91">
        <v>0</v>
      </c>
      <c r="J125" s="92">
        <v>0</v>
      </c>
      <c r="K125" s="93" t="s">
        <v>36</v>
      </c>
      <c r="L125" s="92">
        <v>0</v>
      </c>
      <c r="M125" s="92">
        <v>0</v>
      </c>
      <c r="N125" s="92">
        <v>0</v>
      </c>
      <c r="O125" s="94" t="s">
        <v>278</v>
      </c>
      <c r="P125" s="95">
        <v>0.82638888888888884</v>
      </c>
      <c r="Q125" s="92">
        <v>179</v>
      </c>
      <c r="R125" s="96" t="s">
        <v>36</v>
      </c>
    </row>
    <row r="126" spans="1:18" ht="17.399999999999999" customHeight="1" thickBot="1" x14ac:dyDescent="0.35">
      <c r="A126" s="233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5"/>
    </row>
    <row r="127" spans="1:18" ht="22.05" customHeight="1" thickTop="1" thickBot="1" x14ac:dyDescent="0.35">
      <c r="A127" s="201" t="s">
        <v>8</v>
      </c>
      <c r="B127" s="202"/>
      <c r="C127" s="202"/>
      <c r="D127" s="202"/>
      <c r="E127" s="202"/>
      <c r="F127" s="203"/>
      <c r="G127" s="18">
        <v>46079</v>
      </c>
      <c r="H127" s="209" t="s">
        <v>9</v>
      </c>
      <c r="I127" s="202"/>
      <c r="J127" s="202"/>
      <c r="K127" s="202"/>
      <c r="L127" s="202"/>
      <c r="M127" s="202"/>
      <c r="N127" s="202"/>
      <c r="O127" s="202"/>
      <c r="P127" s="202"/>
      <c r="Q127" s="202"/>
      <c r="R127" s="203"/>
    </row>
    <row r="128" spans="1:18" ht="24" customHeight="1" x14ac:dyDescent="0.3">
      <c r="A128" s="19" t="s">
        <v>10</v>
      </c>
      <c r="B128" s="19" t="s">
        <v>11</v>
      </c>
      <c r="C128" s="20" t="s">
        <v>12</v>
      </c>
      <c r="D128" s="19" t="s">
        <v>13</v>
      </c>
      <c r="E128" s="19" t="s">
        <v>14</v>
      </c>
      <c r="F128" s="21" t="s">
        <v>15</v>
      </c>
      <c r="G128" s="22" t="s">
        <v>16</v>
      </c>
      <c r="H128" s="19" t="s">
        <v>17</v>
      </c>
      <c r="I128" s="23" t="s">
        <v>18</v>
      </c>
      <c r="J128" s="24" t="s">
        <v>19</v>
      </c>
      <c r="K128" s="25" t="s">
        <v>20</v>
      </c>
      <c r="L128" s="24" t="s">
        <v>21</v>
      </c>
      <c r="M128" s="24" t="s">
        <v>22</v>
      </c>
      <c r="N128" s="24" t="s">
        <v>23</v>
      </c>
      <c r="O128" s="19" t="s">
        <v>24</v>
      </c>
      <c r="P128" s="20" t="s">
        <v>25</v>
      </c>
      <c r="Q128" s="24" t="s">
        <v>26</v>
      </c>
      <c r="R128" s="19" t="s">
        <v>27</v>
      </c>
    </row>
    <row r="129" spans="1:18" ht="49.95" customHeight="1" thickTop="1" thickBot="1" x14ac:dyDescent="0.5">
      <c r="A129" s="87" t="s">
        <v>28</v>
      </c>
      <c r="B129" s="87" t="s">
        <v>328</v>
      </c>
      <c r="C129" s="88">
        <v>0.4375</v>
      </c>
      <c r="D129" s="87" t="s">
        <v>30</v>
      </c>
      <c r="E129" s="89"/>
      <c r="F129" s="87" t="s">
        <v>35</v>
      </c>
      <c r="G129" s="204"/>
      <c r="H129" s="90" t="s">
        <v>328</v>
      </c>
      <c r="I129" s="91">
        <v>0</v>
      </c>
      <c r="J129" s="92">
        <v>0</v>
      </c>
      <c r="K129" s="93" t="s">
        <v>36</v>
      </c>
      <c r="L129" s="92">
        <v>0</v>
      </c>
      <c r="M129" s="92">
        <v>0</v>
      </c>
      <c r="N129" s="92">
        <v>0</v>
      </c>
      <c r="O129" s="94" t="s">
        <v>278</v>
      </c>
      <c r="P129" s="95">
        <v>0.4375</v>
      </c>
      <c r="Q129" s="92">
        <v>179</v>
      </c>
      <c r="R129" s="96" t="s">
        <v>36</v>
      </c>
    </row>
    <row r="130" spans="1:18" ht="17.399999999999999" customHeight="1" thickBot="1" x14ac:dyDescent="0.35">
      <c r="A130" s="233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5"/>
    </row>
    <row r="131" spans="1:18" ht="22.05" customHeight="1" thickTop="1" thickBot="1" x14ac:dyDescent="0.35">
      <c r="A131" s="201" t="s">
        <v>8</v>
      </c>
      <c r="B131" s="202"/>
      <c r="C131" s="202"/>
      <c r="D131" s="202"/>
      <c r="E131" s="202"/>
      <c r="F131" s="203"/>
      <c r="G131" s="18">
        <v>46080</v>
      </c>
      <c r="H131" s="209" t="s">
        <v>9</v>
      </c>
      <c r="I131" s="202"/>
      <c r="J131" s="202"/>
      <c r="K131" s="202"/>
      <c r="L131" s="202"/>
      <c r="M131" s="202"/>
      <c r="N131" s="202"/>
      <c r="O131" s="202"/>
      <c r="P131" s="202"/>
      <c r="Q131" s="202"/>
      <c r="R131" s="203"/>
    </row>
    <row r="132" spans="1:18" ht="24" customHeight="1" x14ac:dyDescent="0.3">
      <c r="A132" s="19" t="s">
        <v>10</v>
      </c>
      <c r="B132" s="19" t="s">
        <v>11</v>
      </c>
      <c r="C132" s="20" t="s">
        <v>12</v>
      </c>
      <c r="D132" s="19" t="s">
        <v>13</v>
      </c>
      <c r="E132" s="19" t="s">
        <v>14</v>
      </c>
      <c r="F132" s="21" t="s">
        <v>15</v>
      </c>
      <c r="G132" s="22" t="s">
        <v>16</v>
      </c>
      <c r="H132" s="19" t="s">
        <v>17</v>
      </c>
      <c r="I132" s="23" t="s">
        <v>18</v>
      </c>
      <c r="J132" s="24" t="s">
        <v>19</v>
      </c>
      <c r="K132" s="25" t="s">
        <v>20</v>
      </c>
      <c r="L132" s="24" t="s">
        <v>21</v>
      </c>
      <c r="M132" s="24" t="s">
        <v>22</v>
      </c>
      <c r="N132" s="24" t="s">
        <v>23</v>
      </c>
      <c r="O132" s="19" t="s">
        <v>24</v>
      </c>
      <c r="P132" s="20" t="s">
        <v>25</v>
      </c>
      <c r="Q132" s="24" t="s">
        <v>26</v>
      </c>
      <c r="R132" s="19" t="s">
        <v>27</v>
      </c>
    </row>
    <row r="133" spans="1:18" ht="49.95" customHeight="1" thickTop="1" thickBot="1" x14ac:dyDescent="0.35">
      <c r="A133" s="8" t="s">
        <v>28</v>
      </c>
      <c r="B133" s="8" t="s">
        <v>328</v>
      </c>
      <c r="C133" s="9">
        <v>0.16666666666666671</v>
      </c>
      <c r="D133" s="8" t="s">
        <v>30</v>
      </c>
      <c r="E133" s="10"/>
      <c r="F133" s="8" t="s">
        <v>35</v>
      </c>
      <c r="G133" s="208"/>
      <c r="H133" s="11" t="s">
        <v>328</v>
      </c>
      <c r="I133" s="12">
        <v>0</v>
      </c>
      <c r="J133" s="13">
        <v>0</v>
      </c>
      <c r="K133" s="14" t="s">
        <v>36</v>
      </c>
      <c r="L133" s="13">
        <v>0</v>
      </c>
      <c r="M133" s="13">
        <v>0</v>
      </c>
      <c r="N133" s="13">
        <v>0</v>
      </c>
      <c r="O133" s="15" t="s">
        <v>278</v>
      </c>
      <c r="P133" s="16">
        <v>0.16666666666666671</v>
      </c>
      <c r="Q133" s="13">
        <v>179</v>
      </c>
      <c r="R133" s="17" t="s">
        <v>36</v>
      </c>
    </row>
    <row r="134" spans="1:18" ht="17.399999999999999" customHeight="1" thickBot="1" x14ac:dyDescent="0.35">
      <c r="A134" s="233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5"/>
    </row>
    <row r="135" spans="1:18" ht="22.05" customHeight="1" thickTop="1" thickBot="1" x14ac:dyDescent="0.35">
      <c r="A135" s="201" t="s">
        <v>8</v>
      </c>
      <c r="B135" s="202"/>
      <c r="C135" s="202"/>
      <c r="D135" s="202"/>
      <c r="E135" s="202"/>
      <c r="F135" s="203"/>
      <c r="G135" s="18">
        <v>46081</v>
      </c>
      <c r="H135" s="209" t="s">
        <v>9</v>
      </c>
      <c r="I135" s="202"/>
      <c r="J135" s="202"/>
      <c r="K135" s="202"/>
      <c r="L135" s="202"/>
      <c r="M135" s="202"/>
      <c r="N135" s="202"/>
      <c r="O135" s="202"/>
      <c r="P135" s="202"/>
      <c r="Q135" s="202"/>
      <c r="R135" s="203"/>
    </row>
    <row r="136" spans="1:18" ht="24" customHeight="1" x14ac:dyDescent="0.3">
      <c r="A136" s="19" t="s">
        <v>10</v>
      </c>
      <c r="B136" s="19" t="s">
        <v>11</v>
      </c>
      <c r="C136" s="20" t="s">
        <v>12</v>
      </c>
      <c r="D136" s="19" t="s">
        <v>13</v>
      </c>
      <c r="E136" s="19" t="s">
        <v>14</v>
      </c>
      <c r="F136" s="21" t="s">
        <v>15</v>
      </c>
      <c r="G136" s="22" t="s">
        <v>16</v>
      </c>
      <c r="H136" s="19" t="s">
        <v>17</v>
      </c>
      <c r="I136" s="23" t="s">
        <v>18</v>
      </c>
      <c r="J136" s="24" t="s">
        <v>19</v>
      </c>
      <c r="K136" s="25" t="s">
        <v>20</v>
      </c>
      <c r="L136" s="24" t="s">
        <v>21</v>
      </c>
      <c r="M136" s="24" t="s">
        <v>22</v>
      </c>
      <c r="N136" s="24" t="s">
        <v>23</v>
      </c>
      <c r="O136" s="19" t="s">
        <v>24</v>
      </c>
      <c r="P136" s="20" t="s">
        <v>25</v>
      </c>
      <c r="Q136" s="24" t="s">
        <v>26</v>
      </c>
      <c r="R136" s="19" t="s">
        <v>27</v>
      </c>
    </row>
    <row r="137" spans="1:18" ht="49.95" customHeight="1" thickTop="1" thickBot="1" x14ac:dyDescent="0.5">
      <c r="A137" s="76" t="s">
        <v>28</v>
      </c>
      <c r="B137" s="76" t="s">
        <v>328</v>
      </c>
      <c r="C137" s="77">
        <v>0.125</v>
      </c>
      <c r="D137" s="76" t="s">
        <v>30</v>
      </c>
      <c r="E137" s="78"/>
      <c r="F137" s="76" t="s">
        <v>35</v>
      </c>
      <c r="G137" s="204"/>
      <c r="H137" s="79" t="s">
        <v>328</v>
      </c>
      <c r="I137" s="80">
        <v>0</v>
      </c>
      <c r="J137" s="81">
        <v>0</v>
      </c>
      <c r="K137" s="82" t="s">
        <v>36</v>
      </c>
      <c r="L137" s="81">
        <v>0</v>
      </c>
      <c r="M137" s="81">
        <v>0</v>
      </c>
      <c r="N137" s="81">
        <v>0</v>
      </c>
      <c r="O137" s="83" t="s">
        <v>278</v>
      </c>
      <c r="P137" s="84">
        <v>0.125</v>
      </c>
      <c r="Q137" s="81">
        <v>179</v>
      </c>
      <c r="R137" s="85" t="s">
        <v>36</v>
      </c>
    </row>
    <row r="138" spans="1:18" ht="17.399999999999999" customHeight="1" thickBot="1" x14ac:dyDescent="0.35">
      <c r="A138" s="233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5"/>
    </row>
    <row r="139" spans="1:18" ht="22.05" customHeight="1" thickTop="1" thickBot="1" x14ac:dyDescent="0.35">
      <c r="A139" s="201" t="s">
        <v>8</v>
      </c>
      <c r="B139" s="202"/>
      <c r="C139" s="202"/>
      <c r="D139" s="202"/>
      <c r="E139" s="202"/>
      <c r="F139" s="203"/>
      <c r="G139" s="18">
        <v>46082</v>
      </c>
      <c r="H139" s="209" t="s">
        <v>9</v>
      </c>
      <c r="I139" s="202"/>
      <c r="J139" s="202"/>
      <c r="K139" s="202"/>
      <c r="L139" s="202"/>
      <c r="M139" s="202"/>
      <c r="N139" s="202"/>
      <c r="O139" s="202"/>
      <c r="P139" s="202"/>
      <c r="Q139" s="202"/>
      <c r="R139" s="203"/>
    </row>
    <row r="140" spans="1:18" ht="24" customHeight="1" x14ac:dyDescent="0.3">
      <c r="A140" s="19" t="s">
        <v>10</v>
      </c>
      <c r="B140" s="19" t="s">
        <v>11</v>
      </c>
      <c r="C140" s="20" t="s">
        <v>12</v>
      </c>
      <c r="D140" s="19" t="s">
        <v>13</v>
      </c>
      <c r="E140" s="19" t="s">
        <v>14</v>
      </c>
      <c r="F140" s="21" t="s">
        <v>15</v>
      </c>
      <c r="G140" s="22" t="s">
        <v>16</v>
      </c>
      <c r="H140" s="19" t="s">
        <v>17</v>
      </c>
      <c r="I140" s="23" t="s">
        <v>18</v>
      </c>
      <c r="J140" s="24" t="s">
        <v>19</v>
      </c>
      <c r="K140" s="25" t="s">
        <v>20</v>
      </c>
      <c r="L140" s="24" t="s">
        <v>21</v>
      </c>
      <c r="M140" s="24" t="s">
        <v>22</v>
      </c>
      <c r="N140" s="24" t="s">
        <v>23</v>
      </c>
      <c r="O140" s="19" t="s">
        <v>24</v>
      </c>
      <c r="P140" s="20" t="s">
        <v>25</v>
      </c>
      <c r="Q140" s="24" t="s">
        <v>26</v>
      </c>
      <c r="R140" s="19" t="s">
        <v>27</v>
      </c>
    </row>
    <row r="141" spans="1:18" ht="49.95" customHeight="1" x14ac:dyDescent="0.45">
      <c r="A141" s="8" t="s">
        <v>28</v>
      </c>
      <c r="B141" s="8" t="s">
        <v>328</v>
      </c>
      <c r="C141" s="9">
        <v>0.21527777777777779</v>
      </c>
      <c r="D141" s="8" t="s">
        <v>30</v>
      </c>
      <c r="E141" s="10"/>
      <c r="F141" s="8" t="s">
        <v>35</v>
      </c>
      <c r="G141" s="204"/>
      <c r="H141" s="11" t="s">
        <v>328</v>
      </c>
      <c r="I141" s="12">
        <v>0</v>
      </c>
      <c r="J141" s="13">
        <v>0</v>
      </c>
      <c r="K141" s="14" t="s">
        <v>36</v>
      </c>
      <c r="L141" s="13">
        <v>0</v>
      </c>
      <c r="M141" s="13">
        <v>0</v>
      </c>
      <c r="N141" s="13">
        <v>0</v>
      </c>
      <c r="O141" s="15" t="s">
        <v>131</v>
      </c>
      <c r="P141" s="16">
        <v>0.21527777777777779</v>
      </c>
      <c r="Q141" s="13">
        <v>179</v>
      </c>
      <c r="R141" s="17" t="s">
        <v>36</v>
      </c>
    </row>
  </sheetData>
  <mergeCells count="138">
    <mergeCell ref="H4:R4"/>
    <mergeCell ref="H44:R44"/>
    <mergeCell ref="H127:R127"/>
    <mergeCell ref="A3:R3"/>
    <mergeCell ref="A55:R55"/>
    <mergeCell ref="H114:R114"/>
    <mergeCell ref="A47:R47"/>
    <mergeCell ref="H64:R64"/>
    <mergeCell ref="A106:F106"/>
    <mergeCell ref="A4:F4"/>
    <mergeCell ref="A52:F52"/>
    <mergeCell ref="H90:R90"/>
    <mergeCell ref="G125"/>
    <mergeCell ref="G38"/>
    <mergeCell ref="A31:R31"/>
    <mergeCell ref="G112"/>
    <mergeCell ref="G78"/>
    <mergeCell ref="A15:R15"/>
    <mergeCell ref="A123:F123"/>
    <mergeCell ref="A51:R51"/>
    <mergeCell ref="H101:R101"/>
    <mergeCell ref="A110:F110"/>
    <mergeCell ref="H24:R24"/>
    <mergeCell ref="A119:F119"/>
    <mergeCell ref="G2:J2"/>
    <mergeCell ref="A131:F131"/>
    <mergeCell ref="A23:R23"/>
    <mergeCell ref="H123:R123"/>
    <mergeCell ref="N1:R1"/>
    <mergeCell ref="G70"/>
    <mergeCell ref="G92:G93"/>
    <mergeCell ref="H110:R110"/>
    <mergeCell ref="A43:R43"/>
    <mergeCell ref="A68:F68"/>
    <mergeCell ref="H16:R16"/>
    <mergeCell ref="K2:R2"/>
    <mergeCell ref="A67:R67"/>
    <mergeCell ref="G62"/>
    <mergeCell ref="G97:G99"/>
    <mergeCell ref="A130:R130"/>
    <mergeCell ref="A36:F36"/>
    <mergeCell ref="H95:R95"/>
    <mergeCell ref="H20:R20"/>
    <mergeCell ref="A80:F80"/>
    <mergeCell ref="A84:R84"/>
    <mergeCell ref="A12:F12"/>
    <mergeCell ref="A75:R75"/>
    <mergeCell ref="A118:R118"/>
    <mergeCell ref="A139:F139"/>
    <mergeCell ref="A89:R89"/>
    <mergeCell ref="G22"/>
    <mergeCell ref="H40:R40"/>
    <mergeCell ref="A76:F76"/>
    <mergeCell ref="A113:R113"/>
    <mergeCell ref="H68:R68"/>
    <mergeCell ref="A8:F8"/>
    <mergeCell ref="H60:R60"/>
    <mergeCell ref="A138:R138"/>
    <mergeCell ref="H135:R135"/>
    <mergeCell ref="A134:R134"/>
    <mergeCell ref="H131:R131"/>
    <mergeCell ref="H76:R76"/>
    <mergeCell ref="G137"/>
    <mergeCell ref="H80:R80"/>
    <mergeCell ref="G18"/>
    <mergeCell ref="A39:R39"/>
    <mergeCell ref="H12:R12"/>
    <mergeCell ref="G121"/>
    <mergeCell ref="G34"/>
    <mergeCell ref="G74"/>
    <mergeCell ref="H48:R48"/>
    <mergeCell ref="G108"/>
    <mergeCell ref="A94:R94"/>
    <mergeCell ref="G58"/>
    <mergeCell ref="H106:R106"/>
    <mergeCell ref="A90:F90"/>
    <mergeCell ref="G116:G117"/>
    <mergeCell ref="A56:F56"/>
    <mergeCell ref="H85:R85"/>
    <mergeCell ref="H119:R119"/>
    <mergeCell ref="A100:R100"/>
    <mergeCell ref="A109:R109"/>
    <mergeCell ref="A28:F28"/>
    <mergeCell ref="A63:R63"/>
    <mergeCell ref="A127:F127"/>
    <mergeCell ref="A48:F48"/>
    <mergeCell ref="G10"/>
    <mergeCell ref="G66"/>
    <mergeCell ref="H28:R28"/>
    <mergeCell ref="A114:F114"/>
    <mergeCell ref="G141"/>
    <mergeCell ref="A64:F64"/>
    <mergeCell ref="G6"/>
    <mergeCell ref="A24:F24"/>
    <mergeCell ref="A59:R59"/>
    <mergeCell ref="A60:F60"/>
    <mergeCell ref="A11:R11"/>
    <mergeCell ref="H139:R139"/>
    <mergeCell ref="G30"/>
    <mergeCell ref="A79:R79"/>
    <mergeCell ref="G133"/>
    <mergeCell ref="G14"/>
    <mergeCell ref="A16:F16"/>
    <mergeCell ref="H8:R8"/>
    <mergeCell ref="G54"/>
    <mergeCell ref="A101:F101"/>
    <mergeCell ref="G46"/>
    <mergeCell ref="A105:R105"/>
    <mergeCell ref="A85:F85"/>
    <mergeCell ref="H56:R56"/>
    <mergeCell ref="A71:R71"/>
    <mergeCell ref="G103:G104"/>
    <mergeCell ref="A135:F135"/>
    <mergeCell ref="H36:R36"/>
    <mergeCell ref="A7:R7"/>
    <mergeCell ref="G26"/>
    <mergeCell ref="H1:L1"/>
    <mergeCell ref="A1:E1"/>
    <mergeCell ref="G82:G83"/>
    <mergeCell ref="G129"/>
    <mergeCell ref="A27:R27"/>
    <mergeCell ref="G50"/>
    <mergeCell ref="A95:F95"/>
    <mergeCell ref="G87:G88"/>
    <mergeCell ref="A32:F32"/>
    <mergeCell ref="A20:F20"/>
    <mergeCell ref="A126:R126"/>
    <mergeCell ref="A72:F72"/>
    <mergeCell ref="G42"/>
    <mergeCell ref="A35:R35"/>
    <mergeCell ref="H52:R52"/>
    <mergeCell ref="A122:R122"/>
    <mergeCell ref="A19:R19"/>
    <mergeCell ref="A44:F44"/>
    <mergeCell ref="H72:R72"/>
    <mergeCell ref="A40:F40"/>
    <mergeCell ref="H32:R32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2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8.10937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235</v>
      </c>
      <c r="B2" s="222">
        <v>46050</v>
      </c>
      <c r="C2" s="223" t="s">
        <v>328</v>
      </c>
      <c r="D2" s="224" t="s">
        <v>343</v>
      </c>
      <c r="E2" s="223" t="s">
        <v>327</v>
      </c>
      <c r="F2" s="223" t="s">
        <v>111</v>
      </c>
      <c r="G2" s="225">
        <v>1.12E-2</v>
      </c>
      <c r="H2" s="226">
        <v>179</v>
      </c>
      <c r="I2" s="226">
        <v>2</v>
      </c>
      <c r="J2" s="226">
        <v>0</v>
      </c>
      <c r="K2" s="223" t="s">
        <v>112</v>
      </c>
      <c r="L2" s="227" t="s">
        <v>173</v>
      </c>
      <c r="M2" s="226">
        <v>0</v>
      </c>
      <c r="N2" s="226">
        <v>0</v>
      </c>
      <c r="O2" s="226">
        <v>2</v>
      </c>
      <c r="P2" s="223" t="s">
        <v>183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26" t="s">
        <v>131</v>
      </c>
      <c r="AD2" s="219"/>
      <c r="AE2" s="219"/>
      <c r="AF2" s="219"/>
      <c r="AG2" s="219"/>
      <c r="AH2" s="219"/>
      <c r="AI2" s="219"/>
      <c r="AJ2" s="219"/>
    </row>
    <row r="3" spans="1:36" x14ac:dyDescent="0.3">
      <c r="A3" s="221" t="s">
        <v>109</v>
      </c>
      <c r="B3" s="222">
        <v>46051</v>
      </c>
      <c r="C3" s="223" t="s">
        <v>328</v>
      </c>
      <c r="D3" s="224" t="s">
        <v>239</v>
      </c>
      <c r="E3" s="223" t="s">
        <v>327</v>
      </c>
      <c r="F3" s="223" t="s">
        <v>111</v>
      </c>
      <c r="G3" s="225">
        <v>1.6799999999999999E-2</v>
      </c>
      <c r="H3" s="226">
        <v>179</v>
      </c>
      <c r="I3" s="226">
        <v>3</v>
      </c>
      <c r="J3" s="226">
        <v>0</v>
      </c>
      <c r="K3" s="223" t="s">
        <v>112</v>
      </c>
      <c r="L3" s="227" t="s">
        <v>53</v>
      </c>
      <c r="M3" s="226">
        <v>0</v>
      </c>
      <c r="N3" s="226">
        <v>0</v>
      </c>
      <c r="O3" s="226">
        <v>3</v>
      </c>
      <c r="P3" s="223" t="s">
        <v>183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26" t="s">
        <v>131</v>
      </c>
      <c r="AD3" s="226" t="s">
        <v>66</v>
      </c>
      <c r="AE3" s="219"/>
      <c r="AF3" s="219"/>
      <c r="AG3" s="219"/>
      <c r="AH3" s="219"/>
      <c r="AI3" s="219"/>
      <c r="AJ3" s="219"/>
    </row>
    <row r="4" spans="1:36" x14ac:dyDescent="0.3">
      <c r="A4" s="221" t="s">
        <v>246</v>
      </c>
      <c r="B4" s="222">
        <v>46052</v>
      </c>
      <c r="C4" s="223" t="s">
        <v>328</v>
      </c>
      <c r="D4" s="224" t="s">
        <v>344</v>
      </c>
      <c r="E4" s="223" t="s">
        <v>327</v>
      </c>
      <c r="F4" s="223" t="s">
        <v>111</v>
      </c>
      <c r="G4" s="225">
        <v>5.5999999999999999E-3</v>
      </c>
      <c r="H4" s="226">
        <v>179</v>
      </c>
      <c r="I4" s="226">
        <v>1</v>
      </c>
      <c r="J4" s="226">
        <v>0</v>
      </c>
      <c r="K4" s="223" t="s">
        <v>112</v>
      </c>
      <c r="L4" s="227" t="s">
        <v>172</v>
      </c>
      <c r="M4" s="226">
        <v>0</v>
      </c>
      <c r="N4" s="226">
        <v>0</v>
      </c>
      <c r="O4" s="226">
        <v>1</v>
      </c>
      <c r="P4" s="223" t="s">
        <v>330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26" t="s">
        <v>147</v>
      </c>
      <c r="AD4" s="219"/>
      <c r="AE4" s="219"/>
      <c r="AF4" s="219"/>
      <c r="AG4" s="219"/>
      <c r="AH4" s="219"/>
      <c r="AI4" s="219"/>
      <c r="AJ4" s="219"/>
    </row>
    <row r="5" spans="1:36" x14ac:dyDescent="0.3">
      <c r="A5" s="221" t="s">
        <v>113</v>
      </c>
      <c r="B5" s="222">
        <v>46053</v>
      </c>
      <c r="C5" s="223" t="s">
        <v>328</v>
      </c>
      <c r="D5" s="224" t="s">
        <v>345</v>
      </c>
      <c r="E5" s="223" t="s">
        <v>327</v>
      </c>
      <c r="F5" s="223" t="s">
        <v>111</v>
      </c>
      <c r="G5" s="225">
        <v>5.5999999999999999E-3</v>
      </c>
      <c r="H5" s="226">
        <v>179</v>
      </c>
      <c r="I5" s="226">
        <v>1</v>
      </c>
      <c r="J5" s="226">
        <v>0</v>
      </c>
      <c r="K5" s="223" t="s">
        <v>112</v>
      </c>
      <c r="L5" s="227" t="s">
        <v>77</v>
      </c>
      <c r="M5" s="226">
        <v>0</v>
      </c>
      <c r="N5" s="226">
        <v>0</v>
      </c>
      <c r="O5" s="226">
        <v>1</v>
      </c>
      <c r="P5" s="223" t="s">
        <v>330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26" t="s">
        <v>147</v>
      </c>
      <c r="AD5" s="219"/>
      <c r="AE5" s="219"/>
      <c r="AF5" s="219"/>
      <c r="AG5" s="219"/>
      <c r="AH5" s="219"/>
      <c r="AI5" s="219"/>
      <c r="AJ5" s="219"/>
    </row>
    <row r="6" spans="1:36" x14ac:dyDescent="0.3">
      <c r="A6" s="221" t="s">
        <v>115</v>
      </c>
      <c r="B6" s="222">
        <v>46054</v>
      </c>
      <c r="C6" s="223" t="s">
        <v>328</v>
      </c>
      <c r="D6" s="224" t="s">
        <v>346</v>
      </c>
      <c r="E6" s="223" t="s">
        <v>327</v>
      </c>
      <c r="F6" s="223" t="s">
        <v>111</v>
      </c>
      <c r="G6" s="225">
        <v>5.5999999999999999E-3</v>
      </c>
      <c r="H6" s="226">
        <v>179</v>
      </c>
      <c r="I6" s="226">
        <v>1</v>
      </c>
      <c r="J6" s="226">
        <v>0</v>
      </c>
      <c r="K6" s="223" t="s">
        <v>112</v>
      </c>
      <c r="L6" s="227" t="s">
        <v>331</v>
      </c>
      <c r="M6" s="226">
        <v>0</v>
      </c>
      <c r="N6" s="226">
        <v>0</v>
      </c>
      <c r="O6" s="226">
        <v>1</v>
      </c>
      <c r="P6" s="223" t="s">
        <v>278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26" t="s">
        <v>147</v>
      </c>
      <c r="AD6" s="219"/>
      <c r="AE6" s="219"/>
      <c r="AF6" s="219"/>
      <c r="AG6" s="219"/>
      <c r="AH6" s="219"/>
      <c r="AI6" s="219"/>
      <c r="AJ6" s="219"/>
    </row>
    <row r="7" spans="1:36" x14ac:dyDescent="0.3">
      <c r="A7" s="221" t="s">
        <v>119</v>
      </c>
      <c r="B7" s="222">
        <v>46055</v>
      </c>
      <c r="C7" s="223" t="s">
        <v>328</v>
      </c>
      <c r="D7" s="224" t="s">
        <v>344</v>
      </c>
      <c r="E7" s="223" t="s">
        <v>327</v>
      </c>
      <c r="F7" s="223" t="s">
        <v>111</v>
      </c>
      <c r="G7" s="225">
        <v>5.5999999999999999E-3</v>
      </c>
      <c r="H7" s="226">
        <v>179</v>
      </c>
      <c r="I7" s="226">
        <v>1</v>
      </c>
      <c r="J7" s="226">
        <v>0</v>
      </c>
      <c r="K7" s="223" t="s">
        <v>112</v>
      </c>
      <c r="L7" s="227" t="s">
        <v>32</v>
      </c>
      <c r="M7" s="226">
        <v>0</v>
      </c>
      <c r="N7" s="226">
        <v>0</v>
      </c>
      <c r="O7" s="226">
        <v>1</v>
      </c>
      <c r="P7" s="223" t="s">
        <v>278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26" t="s">
        <v>266</v>
      </c>
      <c r="AC7" s="219"/>
      <c r="AD7" s="219"/>
      <c r="AE7" s="219"/>
      <c r="AF7" s="219"/>
      <c r="AG7" s="219"/>
      <c r="AH7" s="219"/>
      <c r="AI7" s="219"/>
      <c r="AJ7" s="219"/>
    </row>
    <row r="8" spans="1:36" x14ac:dyDescent="0.3">
      <c r="A8" s="221" t="s">
        <v>121</v>
      </c>
      <c r="B8" s="222">
        <v>46056</v>
      </c>
      <c r="C8" s="223" t="s">
        <v>328</v>
      </c>
      <c r="D8" s="224" t="s">
        <v>347</v>
      </c>
      <c r="E8" s="223" t="s">
        <v>327</v>
      </c>
      <c r="F8" s="223" t="s">
        <v>111</v>
      </c>
      <c r="G8" s="225">
        <v>5.5999999999999999E-3</v>
      </c>
      <c r="H8" s="226">
        <v>179</v>
      </c>
      <c r="I8" s="226">
        <v>1</v>
      </c>
      <c r="J8" s="226">
        <v>0</v>
      </c>
      <c r="K8" s="223" t="s">
        <v>112</v>
      </c>
      <c r="L8" s="227" t="s">
        <v>159</v>
      </c>
      <c r="M8" s="226">
        <v>0</v>
      </c>
      <c r="N8" s="226">
        <v>0</v>
      </c>
      <c r="O8" s="226">
        <v>1</v>
      </c>
      <c r="P8" s="223" t="s">
        <v>278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26" t="s">
        <v>147</v>
      </c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235</v>
      </c>
      <c r="B9" s="222">
        <v>46057</v>
      </c>
      <c r="C9" s="223" t="s">
        <v>328</v>
      </c>
      <c r="D9" s="224" t="s">
        <v>343</v>
      </c>
      <c r="E9" s="223" t="s">
        <v>327</v>
      </c>
      <c r="F9" s="223" t="s">
        <v>111</v>
      </c>
      <c r="G9" s="225">
        <v>1.12E-2</v>
      </c>
      <c r="H9" s="226">
        <v>179</v>
      </c>
      <c r="I9" s="226">
        <v>2</v>
      </c>
      <c r="J9" s="226">
        <v>0</v>
      </c>
      <c r="K9" s="223" t="s">
        <v>112</v>
      </c>
      <c r="L9" s="227" t="s">
        <v>159</v>
      </c>
      <c r="M9" s="226">
        <v>0</v>
      </c>
      <c r="N9" s="226">
        <v>0</v>
      </c>
      <c r="O9" s="226">
        <v>2</v>
      </c>
      <c r="P9" s="223" t="s">
        <v>126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26" t="s">
        <v>131</v>
      </c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109</v>
      </c>
      <c r="B10" s="222">
        <v>46058</v>
      </c>
      <c r="C10" s="223" t="s">
        <v>328</v>
      </c>
      <c r="D10" s="224" t="s">
        <v>239</v>
      </c>
      <c r="E10" s="223" t="s">
        <v>327</v>
      </c>
      <c r="F10" s="223" t="s">
        <v>111</v>
      </c>
      <c r="G10" s="225">
        <v>0</v>
      </c>
      <c r="H10" s="226">
        <v>179</v>
      </c>
      <c r="I10" s="226">
        <v>0</v>
      </c>
      <c r="J10" s="226">
        <v>0</v>
      </c>
      <c r="K10" s="223" t="s">
        <v>112</v>
      </c>
      <c r="L10" s="227" t="s">
        <v>36</v>
      </c>
      <c r="M10" s="226">
        <v>0</v>
      </c>
      <c r="N10" s="226">
        <v>0</v>
      </c>
      <c r="O10" s="226">
        <v>0</v>
      </c>
      <c r="P10" s="223" t="s">
        <v>278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246</v>
      </c>
      <c r="B11" s="222">
        <v>46059</v>
      </c>
      <c r="C11" s="223" t="s">
        <v>328</v>
      </c>
      <c r="D11" s="224" t="s">
        <v>344</v>
      </c>
      <c r="E11" s="223" t="s">
        <v>327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278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113</v>
      </c>
      <c r="B12" s="222">
        <v>46060</v>
      </c>
      <c r="C12" s="223" t="s">
        <v>328</v>
      </c>
      <c r="D12" s="224" t="s">
        <v>345</v>
      </c>
      <c r="E12" s="223" t="s">
        <v>327</v>
      </c>
      <c r="F12" s="223" t="s">
        <v>111</v>
      </c>
      <c r="G12" s="225">
        <v>1.6799999999999999E-2</v>
      </c>
      <c r="H12" s="226">
        <v>179</v>
      </c>
      <c r="I12" s="226">
        <v>3</v>
      </c>
      <c r="J12" s="226">
        <v>0</v>
      </c>
      <c r="K12" s="223" t="s">
        <v>112</v>
      </c>
      <c r="L12" s="227" t="s">
        <v>59</v>
      </c>
      <c r="M12" s="226">
        <v>0</v>
      </c>
      <c r="N12" s="226">
        <v>0</v>
      </c>
      <c r="O12" s="226">
        <v>3</v>
      </c>
      <c r="P12" s="223" t="s">
        <v>126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26" t="s">
        <v>266</v>
      </c>
      <c r="AC12" s="226" t="s">
        <v>131</v>
      </c>
      <c r="AD12" s="219"/>
      <c r="AE12" s="219"/>
      <c r="AF12" s="219"/>
      <c r="AG12" s="219"/>
      <c r="AH12" s="219"/>
      <c r="AI12" s="219"/>
      <c r="AJ12" s="219"/>
    </row>
    <row r="13" spans="1:36" x14ac:dyDescent="0.3">
      <c r="A13" s="221" t="s">
        <v>115</v>
      </c>
      <c r="B13" s="222">
        <v>46061</v>
      </c>
      <c r="C13" s="223" t="s">
        <v>328</v>
      </c>
      <c r="D13" s="224" t="s">
        <v>346</v>
      </c>
      <c r="E13" s="223" t="s">
        <v>327</v>
      </c>
      <c r="F13" s="223" t="s">
        <v>111</v>
      </c>
      <c r="G13" s="225">
        <v>1.6799999999999999E-2</v>
      </c>
      <c r="H13" s="226">
        <v>179</v>
      </c>
      <c r="I13" s="226">
        <v>3</v>
      </c>
      <c r="J13" s="226">
        <v>0</v>
      </c>
      <c r="K13" s="223" t="s">
        <v>112</v>
      </c>
      <c r="L13" s="227" t="s">
        <v>273</v>
      </c>
      <c r="M13" s="226">
        <v>0</v>
      </c>
      <c r="N13" s="226">
        <v>0</v>
      </c>
      <c r="O13" s="226">
        <v>3</v>
      </c>
      <c r="P13" s="223" t="s">
        <v>126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26" t="s">
        <v>266</v>
      </c>
      <c r="AC13" s="226" t="s">
        <v>131</v>
      </c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119</v>
      </c>
      <c r="B14" s="222">
        <v>46062</v>
      </c>
      <c r="C14" s="223" t="s">
        <v>328</v>
      </c>
      <c r="D14" s="224" t="s">
        <v>344</v>
      </c>
      <c r="E14" s="223" t="s">
        <v>327</v>
      </c>
      <c r="F14" s="223" t="s">
        <v>111</v>
      </c>
      <c r="G14" s="225">
        <v>0</v>
      </c>
      <c r="H14" s="226">
        <v>179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278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121</v>
      </c>
      <c r="B15" s="222">
        <v>46063</v>
      </c>
      <c r="C15" s="223" t="s">
        <v>328</v>
      </c>
      <c r="D15" s="224" t="s">
        <v>347</v>
      </c>
      <c r="E15" s="223" t="s">
        <v>327</v>
      </c>
      <c r="F15" s="223" t="s">
        <v>111</v>
      </c>
      <c r="G15" s="225">
        <v>2.23E-2</v>
      </c>
      <c r="H15" s="226">
        <v>179</v>
      </c>
      <c r="I15" s="226">
        <v>4</v>
      </c>
      <c r="J15" s="226">
        <v>0</v>
      </c>
      <c r="K15" s="223" t="s">
        <v>112</v>
      </c>
      <c r="L15" s="227" t="s">
        <v>170</v>
      </c>
      <c r="M15" s="226">
        <v>0</v>
      </c>
      <c r="N15" s="226">
        <v>0</v>
      </c>
      <c r="O15" s="226">
        <v>4</v>
      </c>
      <c r="P15" s="223" t="s">
        <v>126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26" t="s">
        <v>264</v>
      </c>
      <c r="AC15" s="226" t="s">
        <v>131</v>
      </c>
      <c r="AD15" s="219"/>
      <c r="AE15" s="219"/>
      <c r="AF15" s="219"/>
      <c r="AG15" s="219"/>
      <c r="AH15" s="219"/>
      <c r="AI15" s="219"/>
      <c r="AJ15" s="219"/>
    </row>
    <row r="16" spans="1:36" x14ac:dyDescent="0.3">
      <c r="A16" s="221" t="s">
        <v>235</v>
      </c>
      <c r="B16" s="222">
        <v>46064</v>
      </c>
      <c r="C16" s="223" t="s">
        <v>328</v>
      </c>
      <c r="D16" s="224" t="s">
        <v>343</v>
      </c>
      <c r="E16" s="223" t="s">
        <v>327</v>
      </c>
      <c r="F16" s="223" t="s">
        <v>111</v>
      </c>
      <c r="G16" s="225">
        <v>2.23E-2</v>
      </c>
      <c r="H16" s="226">
        <v>179</v>
      </c>
      <c r="I16" s="226">
        <v>4</v>
      </c>
      <c r="J16" s="226">
        <v>0</v>
      </c>
      <c r="K16" s="223" t="s">
        <v>112</v>
      </c>
      <c r="L16" s="227" t="s">
        <v>334</v>
      </c>
      <c r="M16" s="226">
        <v>0</v>
      </c>
      <c r="N16" s="226">
        <v>0</v>
      </c>
      <c r="O16" s="226">
        <v>4</v>
      </c>
      <c r="P16" s="223" t="s">
        <v>278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26" t="s">
        <v>209</v>
      </c>
      <c r="AC16" s="226" t="s">
        <v>147</v>
      </c>
      <c r="AD16" s="219"/>
      <c r="AE16" s="219"/>
      <c r="AF16" s="219"/>
      <c r="AG16" s="219"/>
      <c r="AH16" s="219"/>
      <c r="AI16" s="219"/>
      <c r="AJ16" s="219"/>
    </row>
    <row r="17" spans="1:36" x14ac:dyDescent="0.3">
      <c r="A17" s="221" t="s">
        <v>109</v>
      </c>
      <c r="B17" s="222">
        <v>46065</v>
      </c>
      <c r="C17" s="223" t="s">
        <v>328</v>
      </c>
      <c r="D17" s="224" t="s">
        <v>239</v>
      </c>
      <c r="E17" s="223" t="s">
        <v>327</v>
      </c>
      <c r="F17" s="223" t="s">
        <v>111</v>
      </c>
      <c r="G17" s="225">
        <v>5.5999999999999999E-3</v>
      </c>
      <c r="H17" s="226">
        <v>179</v>
      </c>
      <c r="I17" s="226">
        <v>1</v>
      </c>
      <c r="J17" s="226">
        <v>0</v>
      </c>
      <c r="K17" s="223" t="s">
        <v>112</v>
      </c>
      <c r="L17" s="227" t="s">
        <v>32</v>
      </c>
      <c r="M17" s="226">
        <v>0</v>
      </c>
      <c r="N17" s="226">
        <v>0</v>
      </c>
      <c r="O17" s="226">
        <v>1</v>
      </c>
      <c r="P17" s="223" t="s">
        <v>140</v>
      </c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26" t="s">
        <v>43</v>
      </c>
      <c r="AF17" s="219"/>
      <c r="AG17" s="219"/>
      <c r="AH17" s="219"/>
      <c r="AI17" s="219"/>
      <c r="AJ17" s="219"/>
    </row>
    <row r="18" spans="1:36" x14ac:dyDescent="0.3">
      <c r="A18" s="221" t="s">
        <v>246</v>
      </c>
      <c r="B18" s="222">
        <v>46066</v>
      </c>
      <c r="C18" s="223" t="s">
        <v>328</v>
      </c>
      <c r="D18" s="224" t="s">
        <v>344</v>
      </c>
      <c r="E18" s="223" t="s">
        <v>327</v>
      </c>
      <c r="F18" s="223" t="s">
        <v>111</v>
      </c>
      <c r="G18" s="225">
        <v>0</v>
      </c>
      <c r="H18" s="226">
        <v>179</v>
      </c>
      <c r="I18" s="226">
        <v>0</v>
      </c>
      <c r="J18" s="226">
        <v>0</v>
      </c>
      <c r="K18" s="223" t="s">
        <v>112</v>
      </c>
      <c r="L18" s="227" t="s">
        <v>36</v>
      </c>
      <c r="M18" s="226">
        <v>0</v>
      </c>
      <c r="N18" s="226">
        <v>0</v>
      </c>
      <c r="O18" s="226">
        <v>0</v>
      </c>
      <c r="P18" s="223" t="s">
        <v>278</v>
      </c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</row>
    <row r="19" spans="1:36" x14ac:dyDescent="0.3">
      <c r="A19" s="221" t="s">
        <v>113</v>
      </c>
      <c r="B19" s="222">
        <v>46067</v>
      </c>
      <c r="C19" s="223" t="s">
        <v>328</v>
      </c>
      <c r="D19" s="224" t="s">
        <v>345</v>
      </c>
      <c r="E19" s="223" t="s">
        <v>327</v>
      </c>
      <c r="F19" s="223" t="s">
        <v>111</v>
      </c>
      <c r="G19" s="225">
        <v>0</v>
      </c>
      <c r="H19" s="226">
        <v>179</v>
      </c>
      <c r="I19" s="226">
        <v>0</v>
      </c>
      <c r="J19" s="226">
        <v>0</v>
      </c>
      <c r="K19" s="223" t="s">
        <v>112</v>
      </c>
      <c r="L19" s="227" t="s">
        <v>36</v>
      </c>
      <c r="M19" s="226">
        <v>0</v>
      </c>
      <c r="N19" s="226">
        <v>0</v>
      </c>
      <c r="O19" s="226">
        <v>0</v>
      </c>
      <c r="P19" s="223" t="s">
        <v>278</v>
      </c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</row>
    <row r="20" spans="1:36" x14ac:dyDescent="0.3">
      <c r="A20" s="221" t="s">
        <v>115</v>
      </c>
      <c r="B20" s="222">
        <v>46068</v>
      </c>
      <c r="C20" s="223" t="s">
        <v>328</v>
      </c>
      <c r="D20" s="224" t="s">
        <v>346</v>
      </c>
      <c r="E20" s="223" t="s">
        <v>327</v>
      </c>
      <c r="F20" s="223" t="s">
        <v>111</v>
      </c>
      <c r="G20" s="225">
        <v>1.12E-2</v>
      </c>
      <c r="H20" s="226">
        <v>179</v>
      </c>
      <c r="I20" s="226">
        <v>2</v>
      </c>
      <c r="J20" s="226">
        <v>0</v>
      </c>
      <c r="K20" s="223" t="s">
        <v>112</v>
      </c>
      <c r="L20" s="227" t="s">
        <v>178</v>
      </c>
      <c r="M20" s="226">
        <v>0</v>
      </c>
      <c r="N20" s="226">
        <v>0</v>
      </c>
      <c r="O20" s="226">
        <v>2</v>
      </c>
      <c r="P20" s="223" t="s">
        <v>126</v>
      </c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26" t="s">
        <v>131</v>
      </c>
      <c r="AD20" s="219"/>
      <c r="AE20" s="219"/>
      <c r="AF20" s="219"/>
      <c r="AG20" s="219"/>
      <c r="AH20" s="219"/>
      <c r="AI20" s="219"/>
      <c r="AJ20" s="219"/>
    </row>
    <row r="21" spans="1:36" x14ac:dyDescent="0.3">
      <c r="A21" s="221" t="s">
        <v>119</v>
      </c>
      <c r="B21" s="222">
        <v>46069</v>
      </c>
      <c r="C21" s="223" t="s">
        <v>336</v>
      </c>
      <c r="D21" s="224" t="s">
        <v>348</v>
      </c>
      <c r="E21" s="223" t="s">
        <v>327</v>
      </c>
      <c r="F21" s="223" t="s">
        <v>111</v>
      </c>
      <c r="G21" s="225">
        <v>0</v>
      </c>
      <c r="H21" s="226">
        <v>179</v>
      </c>
      <c r="I21" s="226">
        <v>0</v>
      </c>
      <c r="J21" s="226">
        <v>0</v>
      </c>
      <c r="K21" s="223" t="s">
        <v>112</v>
      </c>
      <c r="L21" s="227" t="s">
        <v>36</v>
      </c>
      <c r="M21" s="226">
        <v>0</v>
      </c>
      <c r="N21" s="226">
        <v>0</v>
      </c>
      <c r="O21" s="226">
        <v>0</v>
      </c>
      <c r="P21" s="223" t="s">
        <v>338</v>
      </c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</row>
    <row r="22" spans="1:36" x14ac:dyDescent="0.3">
      <c r="A22" s="221" t="s">
        <v>119</v>
      </c>
      <c r="B22" s="222">
        <v>46069</v>
      </c>
      <c r="C22" s="223" t="s">
        <v>328</v>
      </c>
      <c r="D22" s="224" t="s">
        <v>344</v>
      </c>
      <c r="E22" s="223" t="s">
        <v>327</v>
      </c>
      <c r="F22" s="223" t="s">
        <v>111</v>
      </c>
      <c r="G22" s="225">
        <v>5.5999999999999999E-3</v>
      </c>
      <c r="H22" s="226">
        <v>179</v>
      </c>
      <c r="I22" s="226">
        <v>1</v>
      </c>
      <c r="J22" s="226">
        <v>0</v>
      </c>
      <c r="K22" s="223" t="s">
        <v>112</v>
      </c>
      <c r="L22" s="227" t="s">
        <v>339</v>
      </c>
      <c r="M22" s="226">
        <v>0</v>
      </c>
      <c r="N22" s="226">
        <v>0</v>
      </c>
      <c r="O22" s="226">
        <v>1</v>
      </c>
      <c r="P22" s="223" t="s">
        <v>278</v>
      </c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26" t="s">
        <v>147</v>
      </c>
      <c r="AD22" s="219"/>
      <c r="AE22" s="219"/>
      <c r="AF22" s="219"/>
      <c r="AG22" s="219"/>
      <c r="AH22" s="219"/>
      <c r="AI22" s="219"/>
      <c r="AJ22" s="219"/>
    </row>
    <row r="23" spans="1:36" x14ac:dyDescent="0.3">
      <c r="A23" s="221" t="s">
        <v>121</v>
      </c>
      <c r="B23" s="222">
        <v>46070</v>
      </c>
      <c r="C23" s="223" t="s">
        <v>340</v>
      </c>
      <c r="D23" s="224" t="s">
        <v>349</v>
      </c>
      <c r="E23" s="223" t="s">
        <v>327</v>
      </c>
      <c r="F23" s="223" t="s">
        <v>111</v>
      </c>
      <c r="G23" s="225">
        <v>0</v>
      </c>
      <c r="H23" s="226">
        <v>179</v>
      </c>
      <c r="I23" s="226">
        <v>0</v>
      </c>
      <c r="J23" s="226">
        <v>0</v>
      </c>
      <c r="K23" s="223" t="s">
        <v>112</v>
      </c>
      <c r="L23" s="227" t="s">
        <v>36</v>
      </c>
      <c r="M23" s="226">
        <v>0</v>
      </c>
      <c r="N23" s="226">
        <v>0</v>
      </c>
      <c r="O23" s="226">
        <v>0</v>
      </c>
      <c r="P23" s="223" t="s">
        <v>338</v>
      </c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</row>
    <row r="24" spans="1:36" x14ac:dyDescent="0.3">
      <c r="A24" s="221" t="s">
        <v>121</v>
      </c>
      <c r="B24" s="222">
        <v>46070</v>
      </c>
      <c r="C24" s="223" t="s">
        <v>328</v>
      </c>
      <c r="D24" s="224" t="s">
        <v>347</v>
      </c>
      <c r="E24" s="223" t="s">
        <v>327</v>
      </c>
      <c r="F24" s="223" t="s">
        <v>111</v>
      </c>
      <c r="G24" s="225">
        <v>0</v>
      </c>
      <c r="H24" s="226">
        <v>179</v>
      </c>
      <c r="I24" s="226">
        <v>0</v>
      </c>
      <c r="J24" s="226">
        <v>0</v>
      </c>
      <c r="K24" s="223" t="s">
        <v>112</v>
      </c>
      <c r="L24" s="227" t="s">
        <v>36</v>
      </c>
      <c r="M24" s="226">
        <v>0</v>
      </c>
      <c r="N24" s="226">
        <v>0</v>
      </c>
      <c r="O24" s="226">
        <v>0</v>
      </c>
      <c r="P24" s="223" t="s">
        <v>278</v>
      </c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</row>
    <row r="25" spans="1:36" x14ac:dyDescent="0.3">
      <c r="A25" s="221" t="s">
        <v>235</v>
      </c>
      <c r="B25" s="222">
        <v>46071</v>
      </c>
      <c r="C25" s="223" t="s">
        <v>341</v>
      </c>
      <c r="D25" s="224" t="s">
        <v>349</v>
      </c>
      <c r="E25" s="223" t="s">
        <v>327</v>
      </c>
      <c r="F25" s="223" t="s">
        <v>111</v>
      </c>
      <c r="G25" s="225">
        <v>0</v>
      </c>
      <c r="H25" s="226">
        <v>179</v>
      </c>
      <c r="I25" s="226">
        <v>0</v>
      </c>
      <c r="J25" s="226">
        <v>0</v>
      </c>
      <c r="K25" s="223" t="s">
        <v>112</v>
      </c>
      <c r="L25" s="227" t="s">
        <v>36</v>
      </c>
      <c r="M25" s="226">
        <v>0</v>
      </c>
      <c r="N25" s="226">
        <v>0</v>
      </c>
      <c r="O25" s="226">
        <v>0</v>
      </c>
      <c r="P25" s="223" t="s">
        <v>338</v>
      </c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</row>
    <row r="26" spans="1:36" x14ac:dyDescent="0.3">
      <c r="A26" s="221" t="s">
        <v>235</v>
      </c>
      <c r="B26" s="222">
        <v>46071</v>
      </c>
      <c r="C26" s="223" t="s">
        <v>328</v>
      </c>
      <c r="D26" s="224" t="s">
        <v>343</v>
      </c>
      <c r="E26" s="223" t="s">
        <v>327</v>
      </c>
      <c r="F26" s="223" t="s">
        <v>111</v>
      </c>
      <c r="G26" s="225">
        <v>0</v>
      </c>
      <c r="H26" s="226">
        <v>179</v>
      </c>
      <c r="I26" s="226">
        <v>0</v>
      </c>
      <c r="J26" s="226">
        <v>0</v>
      </c>
      <c r="K26" s="223" t="s">
        <v>112</v>
      </c>
      <c r="L26" s="227" t="s">
        <v>36</v>
      </c>
      <c r="M26" s="226">
        <v>0</v>
      </c>
      <c r="N26" s="226">
        <v>0</v>
      </c>
      <c r="O26" s="226">
        <v>0</v>
      </c>
      <c r="P26" s="223" t="s">
        <v>278</v>
      </c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</row>
    <row r="27" spans="1:36" x14ac:dyDescent="0.3">
      <c r="A27" s="221" t="s">
        <v>109</v>
      </c>
      <c r="B27" s="222">
        <v>46072</v>
      </c>
      <c r="C27" s="223" t="s">
        <v>336</v>
      </c>
      <c r="D27" s="224" t="s">
        <v>349</v>
      </c>
      <c r="E27" s="223" t="s">
        <v>327</v>
      </c>
      <c r="F27" s="223" t="s">
        <v>111</v>
      </c>
      <c r="G27" s="225">
        <v>0</v>
      </c>
      <c r="H27" s="226">
        <v>179</v>
      </c>
      <c r="I27" s="226">
        <v>0</v>
      </c>
      <c r="J27" s="226">
        <v>0</v>
      </c>
      <c r="K27" s="223" t="s">
        <v>112</v>
      </c>
      <c r="L27" s="227" t="s">
        <v>36</v>
      </c>
      <c r="M27" s="226">
        <v>0</v>
      </c>
      <c r="N27" s="226">
        <v>0</v>
      </c>
      <c r="O27" s="226">
        <v>0</v>
      </c>
      <c r="P27" s="223" t="s">
        <v>338</v>
      </c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</row>
    <row r="28" spans="1:36" x14ac:dyDescent="0.3">
      <c r="A28" s="221" t="s">
        <v>109</v>
      </c>
      <c r="B28" s="222">
        <v>46072</v>
      </c>
      <c r="C28" s="223" t="s">
        <v>340</v>
      </c>
      <c r="D28" s="224" t="s">
        <v>350</v>
      </c>
      <c r="E28" s="223" t="s">
        <v>327</v>
      </c>
      <c r="F28" s="223" t="s">
        <v>111</v>
      </c>
      <c r="G28" s="225">
        <v>0</v>
      </c>
      <c r="H28" s="226">
        <v>179</v>
      </c>
      <c r="I28" s="226">
        <v>0</v>
      </c>
      <c r="J28" s="226">
        <v>0</v>
      </c>
      <c r="K28" s="223" t="s">
        <v>112</v>
      </c>
      <c r="L28" s="227" t="s">
        <v>36</v>
      </c>
      <c r="M28" s="226">
        <v>0</v>
      </c>
      <c r="N28" s="226">
        <v>0</v>
      </c>
      <c r="O28" s="226">
        <v>0</v>
      </c>
      <c r="P28" s="223" t="s">
        <v>338</v>
      </c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</row>
    <row r="29" spans="1:36" x14ac:dyDescent="0.3">
      <c r="A29" s="221" t="s">
        <v>109</v>
      </c>
      <c r="B29" s="222">
        <v>46072</v>
      </c>
      <c r="C29" s="223" t="s">
        <v>328</v>
      </c>
      <c r="D29" s="224" t="s">
        <v>239</v>
      </c>
      <c r="E29" s="223" t="s">
        <v>327</v>
      </c>
      <c r="F29" s="223" t="s">
        <v>111</v>
      </c>
      <c r="G29" s="225">
        <v>0</v>
      </c>
      <c r="H29" s="226">
        <v>179</v>
      </c>
      <c r="I29" s="226">
        <v>0</v>
      </c>
      <c r="J29" s="226">
        <v>0</v>
      </c>
      <c r="K29" s="223" t="s">
        <v>112</v>
      </c>
      <c r="L29" s="227" t="s">
        <v>36</v>
      </c>
      <c r="M29" s="226">
        <v>0</v>
      </c>
      <c r="N29" s="226">
        <v>0</v>
      </c>
      <c r="O29" s="226">
        <v>0</v>
      </c>
      <c r="P29" s="223" t="s">
        <v>278</v>
      </c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</row>
    <row r="30" spans="1:36" x14ac:dyDescent="0.3">
      <c r="A30" s="221" t="s">
        <v>246</v>
      </c>
      <c r="B30" s="222">
        <v>46073</v>
      </c>
      <c r="C30" s="223" t="s">
        <v>336</v>
      </c>
      <c r="D30" s="224" t="s">
        <v>349</v>
      </c>
      <c r="E30" s="223" t="s">
        <v>327</v>
      </c>
      <c r="F30" s="223" t="s">
        <v>111</v>
      </c>
      <c r="G30" s="225">
        <v>0</v>
      </c>
      <c r="H30" s="226">
        <v>179</v>
      </c>
      <c r="I30" s="226">
        <v>0</v>
      </c>
      <c r="J30" s="226">
        <v>0</v>
      </c>
      <c r="K30" s="223" t="s">
        <v>112</v>
      </c>
      <c r="L30" s="227" t="s">
        <v>36</v>
      </c>
      <c r="M30" s="226">
        <v>0</v>
      </c>
      <c r="N30" s="226">
        <v>0</v>
      </c>
      <c r="O30" s="226">
        <v>0</v>
      </c>
      <c r="P30" s="223" t="s">
        <v>338</v>
      </c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</row>
    <row r="31" spans="1:36" x14ac:dyDescent="0.3">
      <c r="A31" s="221" t="s">
        <v>246</v>
      </c>
      <c r="B31" s="222">
        <v>46073</v>
      </c>
      <c r="C31" s="223" t="s">
        <v>328</v>
      </c>
      <c r="D31" s="224" t="s">
        <v>344</v>
      </c>
      <c r="E31" s="223" t="s">
        <v>327</v>
      </c>
      <c r="F31" s="223" t="s">
        <v>111</v>
      </c>
      <c r="G31" s="225">
        <v>5.5999999999999999E-3</v>
      </c>
      <c r="H31" s="226">
        <v>179</v>
      </c>
      <c r="I31" s="226">
        <v>1</v>
      </c>
      <c r="J31" s="226">
        <v>0</v>
      </c>
      <c r="K31" s="223" t="s">
        <v>112</v>
      </c>
      <c r="L31" s="227" t="s">
        <v>159</v>
      </c>
      <c r="M31" s="226">
        <v>0</v>
      </c>
      <c r="N31" s="226">
        <v>0</v>
      </c>
      <c r="O31" s="226">
        <v>1</v>
      </c>
      <c r="P31" s="223" t="s">
        <v>278</v>
      </c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26" t="s">
        <v>147</v>
      </c>
      <c r="AD31" s="219"/>
      <c r="AE31" s="219"/>
      <c r="AF31" s="219"/>
      <c r="AG31" s="219"/>
      <c r="AH31" s="219"/>
      <c r="AI31" s="219"/>
      <c r="AJ31" s="219"/>
    </row>
    <row r="32" spans="1:36" x14ac:dyDescent="0.3">
      <c r="A32" s="221" t="s">
        <v>113</v>
      </c>
      <c r="B32" s="222">
        <v>46074</v>
      </c>
      <c r="C32" s="223" t="s">
        <v>328</v>
      </c>
      <c r="D32" s="224" t="s">
        <v>345</v>
      </c>
      <c r="E32" s="223" t="s">
        <v>327</v>
      </c>
      <c r="F32" s="223" t="s">
        <v>111</v>
      </c>
      <c r="G32" s="225">
        <v>0</v>
      </c>
      <c r="H32" s="226">
        <v>179</v>
      </c>
      <c r="I32" s="226">
        <v>0</v>
      </c>
      <c r="J32" s="226">
        <v>0</v>
      </c>
      <c r="K32" s="223" t="s">
        <v>112</v>
      </c>
      <c r="L32" s="227" t="s">
        <v>36</v>
      </c>
      <c r="M32" s="226">
        <v>0</v>
      </c>
      <c r="N32" s="226">
        <v>0</v>
      </c>
      <c r="O32" s="226">
        <v>0</v>
      </c>
      <c r="P32" s="223" t="s">
        <v>278</v>
      </c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</row>
    <row r="33" spans="1:36" x14ac:dyDescent="0.3">
      <c r="A33" s="221" t="s">
        <v>115</v>
      </c>
      <c r="B33" s="222">
        <v>46075</v>
      </c>
      <c r="C33" s="223" t="s">
        <v>328</v>
      </c>
      <c r="D33" s="224" t="s">
        <v>346</v>
      </c>
      <c r="E33" s="223" t="s">
        <v>327</v>
      </c>
      <c r="F33" s="223" t="s">
        <v>111</v>
      </c>
      <c r="G33" s="225">
        <v>0</v>
      </c>
      <c r="H33" s="226">
        <v>179</v>
      </c>
      <c r="I33" s="226">
        <v>0</v>
      </c>
      <c r="J33" s="226">
        <v>0</v>
      </c>
      <c r="K33" s="223" t="s">
        <v>112</v>
      </c>
      <c r="L33" s="227" t="s">
        <v>36</v>
      </c>
      <c r="M33" s="226">
        <v>0</v>
      </c>
      <c r="N33" s="226">
        <v>0</v>
      </c>
      <c r="O33" s="226">
        <v>0</v>
      </c>
      <c r="P33" s="223" t="s">
        <v>278</v>
      </c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</row>
    <row r="34" spans="1:36" x14ac:dyDescent="0.3">
      <c r="A34" s="221" t="s">
        <v>119</v>
      </c>
      <c r="B34" s="222">
        <v>46076</v>
      </c>
      <c r="C34" s="223" t="s">
        <v>336</v>
      </c>
      <c r="D34" s="224" t="s">
        <v>348</v>
      </c>
      <c r="E34" s="223" t="s">
        <v>327</v>
      </c>
      <c r="F34" s="223" t="s">
        <v>111</v>
      </c>
      <c r="G34" s="225">
        <v>0</v>
      </c>
      <c r="H34" s="226">
        <v>179</v>
      </c>
      <c r="I34" s="226">
        <v>0</v>
      </c>
      <c r="J34" s="226">
        <v>0</v>
      </c>
      <c r="K34" s="223" t="s">
        <v>112</v>
      </c>
      <c r="L34" s="227" t="s">
        <v>36</v>
      </c>
      <c r="M34" s="226">
        <v>0</v>
      </c>
      <c r="N34" s="226">
        <v>0</v>
      </c>
      <c r="O34" s="226">
        <v>0</v>
      </c>
      <c r="P34" s="223" t="s">
        <v>338</v>
      </c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</row>
    <row r="35" spans="1:36" x14ac:dyDescent="0.3">
      <c r="A35" s="221" t="s">
        <v>119</v>
      </c>
      <c r="B35" s="222">
        <v>46076</v>
      </c>
      <c r="C35" s="223" t="s">
        <v>328</v>
      </c>
      <c r="D35" s="224" t="s">
        <v>344</v>
      </c>
      <c r="E35" s="223" t="s">
        <v>327</v>
      </c>
      <c r="F35" s="223" t="s">
        <v>111</v>
      </c>
      <c r="G35" s="225">
        <v>5.5999999999999999E-3</v>
      </c>
      <c r="H35" s="226">
        <v>179</v>
      </c>
      <c r="I35" s="226">
        <v>1</v>
      </c>
      <c r="J35" s="226">
        <v>0</v>
      </c>
      <c r="K35" s="223" t="s">
        <v>112</v>
      </c>
      <c r="L35" s="227" t="s">
        <v>342</v>
      </c>
      <c r="M35" s="226">
        <v>0</v>
      </c>
      <c r="N35" s="226">
        <v>0</v>
      </c>
      <c r="O35" s="226">
        <v>1</v>
      </c>
      <c r="P35" s="223" t="s">
        <v>278</v>
      </c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26" t="s">
        <v>147</v>
      </c>
      <c r="AD35" s="219"/>
      <c r="AE35" s="219"/>
      <c r="AF35" s="219"/>
      <c r="AG35" s="219"/>
      <c r="AH35" s="219"/>
      <c r="AI35" s="219"/>
      <c r="AJ35" s="219"/>
    </row>
    <row r="36" spans="1:36" x14ac:dyDescent="0.3">
      <c r="A36" s="221" t="s">
        <v>121</v>
      </c>
      <c r="B36" s="222">
        <v>46077</v>
      </c>
      <c r="C36" s="223" t="s">
        <v>328</v>
      </c>
      <c r="D36" s="224" t="s">
        <v>347</v>
      </c>
      <c r="E36" s="223" t="s">
        <v>327</v>
      </c>
      <c r="F36" s="223" t="s">
        <v>111</v>
      </c>
      <c r="G36" s="225">
        <v>0</v>
      </c>
      <c r="H36" s="226">
        <v>179</v>
      </c>
      <c r="I36" s="226">
        <v>0</v>
      </c>
      <c r="J36" s="226">
        <v>0</v>
      </c>
      <c r="K36" s="223" t="s">
        <v>112</v>
      </c>
      <c r="L36" s="227" t="s">
        <v>36</v>
      </c>
      <c r="M36" s="226">
        <v>0</v>
      </c>
      <c r="N36" s="226">
        <v>0</v>
      </c>
      <c r="O36" s="226">
        <v>0</v>
      </c>
      <c r="P36" s="223" t="s">
        <v>278</v>
      </c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</row>
    <row r="37" spans="1:36" x14ac:dyDescent="0.3">
      <c r="A37" s="221" t="s">
        <v>235</v>
      </c>
      <c r="B37" s="222">
        <v>46078</v>
      </c>
      <c r="C37" s="223" t="s">
        <v>328</v>
      </c>
      <c r="D37" s="224" t="s">
        <v>343</v>
      </c>
      <c r="E37" s="223" t="s">
        <v>327</v>
      </c>
      <c r="F37" s="223" t="s">
        <v>111</v>
      </c>
      <c r="G37" s="225">
        <v>0</v>
      </c>
      <c r="H37" s="226">
        <v>179</v>
      </c>
      <c r="I37" s="226">
        <v>0</v>
      </c>
      <c r="J37" s="226">
        <v>0</v>
      </c>
      <c r="K37" s="223" t="s">
        <v>112</v>
      </c>
      <c r="L37" s="227" t="s">
        <v>36</v>
      </c>
      <c r="M37" s="226">
        <v>0</v>
      </c>
      <c r="N37" s="226">
        <v>0</v>
      </c>
      <c r="O37" s="226">
        <v>0</v>
      </c>
      <c r="P37" s="223" t="s">
        <v>278</v>
      </c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</row>
    <row r="38" spans="1:36" x14ac:dyDescent="0.3">
      <c r="A38" s="221" t="s">
        <v>109</v>
      </c>
      <c r="B38" s="222">
        <v>46079</v>
      </c>
      <c r="C38" s="223" t="s">
        <v>328</v>
      </c>
      <c r="D38" s="224" t="s">
        <v>239</v>
      </c>
      <c r="E38" s="223" t="s">
        <v>327</v>
      </c>
      <c r="F38" s="223" t="s">
        <v>111</v>
      </c>
      <c r="G38" s="225">
        <v>0</v>
      </c>
      <c r="H38" s="226">
        <v>179</v>
      </c>
      <c r="I38" s="226">
        <v>0</v>
      </c>
      <c r="J38" s="226">
        <v>0</v>
      </c>
      <c r="K38" s="223" t="s">
        <v>112</v>
      </c>
      <c r="L38" s="227" t="s">
        <v>36</v>
      </c>
      <c r="M38" s="226">
        <v>0</v>
      </c>
      <c r="N38" s="226">
        <v>0</v>
      </c>
      <c r="O38" s="226">
        <v>0</v>
      </c>
      <c r="P38" s="223" t="s">
        <v>278</v>
      </c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</row>
    <row r="39" spans="1:36" x14ac:dyDescent="0.3">
      <c r="A39" s="221" t="s">
        <v>246</v>
      </c>
      <c r="B39" s="222">
        <v>46080</v>
      </c>
      <c r="C39" s="223" t="s">
        <v>328</v>
      </c>
      <c r="D39" s="224" t="s">
        <v>344</v>
      </c>
      <c r="E39" s="223" t="s">
        <v>327</v>
      </c>
      <c r="F39" s="223" t="s">
        <v>111</v>
      </c>
      <c r="G39" s="225">
        <v>0</v>
      </c>
      <c r="H39" s="226">
        <v>179</v>
      </c>
      <c r="I39" s="226">
        <v>0</v>
      </c>
      <c r="J39" s="226">
        <v>0</v>
      </c>
      <c r="K39" s="223" t="s">
        <v>112</v>
      </c>
      <c r="L39" s="227" t="s">
        <v>36</v>
      </c>
      <c r="M39" s="226">
        <v>0</v>
      </c>
      <c r="N39" s="226">
        <v>0</v>
      </c>
      <c r="O39" s="226">
        <v>0</v>
      </c>
      <c r="P39" s="223" t="s">
        <v>278</v>
      </c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</row>
    <row r="40" spans="1:36" x14ac:dyDescent="0.3">
      <c r="A40" s="221" t="s">
        <v>113</v>
      </c>
      <c r="B40" s="222">
        <v>46081</v>
      </c>
      <c r="C40" s="223" t="s">
        <v>328</v>
      </c>
      <c r="D40" s="224" t="s">
        <v>345</v>
      </c>
      <c r="E40" s="223" t="s">
        <v>327</v>
      </c>
      <c r="F40" s="223" t="s">
        <v>111</v>
      </c>
      <c r="G40" s="225">
        <v>0</v>
      </c>
      <c r="H40" s="226">
        <v>179</v>
      </c>
      <c r="I40" s="226">
        <v>0</v>
      </c>
      <c r="J40" s="226">
        <v>0</v>
      </c>
      <c r="K40" s="223" t="s">
        <v>112</v>
      </c>
      <c r="L40" s="227" t="s">
        <v>36</v>
      </c>
      <c r="M40" s="226">
        <v>0</v>
      </c>
      <c r="N40" s="226">
        <v>0</v>
      </c>
      <c r="O40" s="226">
        <v>0</v>
      </c>
      <c r="P40" s="223" t="s">
        <v>278</v>
      </c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</row>
    <row r="41" spans="1:36" x14ac:dyDescent="0.3">
      <c r="A41" s="221" t="s">
        <v>115</v>
      </c>
      <c r="B41" s="222">
        <v>46082</v>
      </c>
      <c r="C41" s="223" t="s">
        <v>328</v>
      </c>
      <c r="D41" s="224" t="s">
        <v>346</v>
      </c>
      <c r="E41" s="223" t="s">
        <v>327</v>
      </c>
      <c r="F41" s="223" t="s">
        <v>111</v>
      </c>
      <c r="G41" s="225">
        <v>0</v>
      </c>
      <c r="H41" s="226">
        <v>179</v>
      </c>
      <c r="I41" s="226">
        <v>0</v>
      </c>
      <c r="J41" s="226">
        <v>0</v>
      </c>
      <c r="K41" s="223" t="s">
        <v>112</v>
      </c>
      <c r="L41" s="227" t="s">
        <v>36</v>
      </c>
      <c r="M41" s="226">
        <v>0</v>
      </c>
      <c r="N41" s="226">
        <v>0</v>
      </c>
      <c r="O41" s="226">
        <v>0</v>
      </c>
      <c r="P41" s="223" t="s">
        <v>131</v>
      </c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</row>
    <row r="42" spans="1:36" ht="21" x14ac:dyDescent="0.3">
      <c r="A42" s="228" t="s">
        <v>377</v>
      </c>
      <c r="B42" s="229"/>
      <c r="C42" s="228">
        <f>SUBTOTAL(103,CAI_YNB_LF_LEGACY[Flt])</f>
        <v>40</v>
      </c>
      <c r="D42" s="228"/>
      <c r="E42" s="228">
        <f>SUBTOTAL(103,CAI_YNB_LF_LEGACY[Brd-Off])</f>
        <v>40</v>
      </c>
      <c r="F42" s="228"/>
      <c r="G42" s="230">
        <f>SUBTOTAL(101,CAI_YNB_LF_LEGACY[LF%])</f>
        <v>4.4749999999999981E-3</v>
      </c>
      <c r="H42" s="231">
        <f>SUBTOTAL(109,CAI_YNB_LF_LEGACY[CAP])</f>
        <v>7160</v>
      </c>
      <c r="I42" s="231">
        <f>SUBTOTAL(109,CAI_YNB_LF_LEGACY[BKG(Y)])</f>
        <v>32</v>
      </c>
      <c r="J42" s="231">
        <f>SUBTOTAL(109,CAI_YNB_LF_LEGACY[GRP(Y)])</f>
        <v>0</v>
      </c>
      <c r="K42" s="228"/>
      <c r="L42" s="229"/>
      <c r="M42" s="231">
        <f>SUBTOTAL(109,CAI_YNB_LF_LEGACY[TO-DAY])</f>
        <v>0</v>
      </c>
      <c r="N42" s="231">
        <f>SUBTOTAL(109,CAI_YNB_LF_LEGACY[Y-DAY])</f>
        <v>0</v>
      </c>
      <c r="O42" s="231">
        <f>SUBTOTAL(109,CAI_YNB_LF_LEGACY[WEEKLY])</f>
        <v>32</v>
      </c>
      <c r="P42" s="232"/>
      <c r="Q42" s="231">
        <f>SUBTOTAL(109,CAI_YNB_LF_LEGACY[Y])</f>
        <v>0</v>
      </c>
      <c r="R42" s="231">
        <f>SUBTOTAL(109,CAI_YNB_LF_LEGACY[B])</f>
        <v>0</v>
      </c>
      <c r="S42" s="231">
        <f>SUBTOTAL(109,CAI_YNB_LF_LEGACY[M])</f>
        <v>0</v>
      </c>
      <c r="T42" s="231">
        <f>SUBTOTAL(109,CAI_YNB_LF_LEGACY[H])</f>
        <v>0</v>
      </c>
      <c r="U42" s="231">
        <f>SUBTOTAL(109,CAI_YNB_LF_LEGACY[Q])</f>
        <v>0</v>
      </c>
      <c r="V42" s="231">
        <f>SUBTOTAL(109,CAI_YNB_LF_LEGACY[K])</f>
        <v>0</v>
      </c>
      <c r="W42" s="231">
        <f>SUBTOTAL(109,CAI_YNB_LF_LEGACY[V])</f>
        <v>0</v>
      </c>
      <c r="X42" s="231">
        <f>SUBTOTAL(109,CAI_YNB_LF_LEGACY[L])</f>
        <v>0</v>
      </c>
      <c r="Y42" s="231">
        <f>SUBTOTAL(109,CAI_YNB_LF_LEGACY[G])</f>
        <v>0</v>
      </c>
      <c r="Z42" s="231">
        <f>SUBTOTAL(109,CAI_YNB_LF_LEGACY[S])</f>
        <v>0</v>
      </c>
      <c r="AA42" s="231">
        <f>SUBTOTAL(109,CAI_YNB_LF_LEGACY[W])</f>
        <v>0</v>
      </c>
      <c r="AB42" s="231">
        <f>SUBTOTAL(109,CAI_YNB_LF_LEGACY[T])</f>
        <v>0</v>
      </c>
      <c r="AC42" s="231">
        <f>SUBTOTAL(109,CAI_YNB_LF_LEGACY[X])</f>
        <v>0</v>
      </c>
      <c r="AD42" s="231">
        <f>SUBTOTAL(109,CAI_YNB_LF_LEGACY[U])</f>
        <v>0</v>
      </c>
      <c r="AE42" s="231">
        <f>SUBTOTAL(109,CAI_YNB_LF_LEGACY[O])</f>
        <v>0</v>
      </c>
      <c r="AF42" s="231">
        <f>SUBTOTAL(109,CAI_YNB_LF_LEGACY[I])</f>
        <v>0</v>
      </c>
      <c r="AG42" s="231">
        <f>SUBTOTAL(109,CAI_YNB_LF_LEGACY[E])</f>
        <v>0</v>
      </c>
      <c r="AH42" s="231">
        <f>SUBTOTAL(109,CAI_YNB_LF_LEGACY[A])</f>
        <v>0</v>
      </c>
      <c r="AI42" s="231">
        <f>SUBTOTAL(109,CAI_YNB_LF_LEGACY[P])</f>
        <v>0</v>
      </c>
      <c r="AJ42" s="231">
        <f>SUBTOTAL(103,CAI_YNB_LF_LEGACY[N])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N6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2.55468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351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45984.112462565128</v>
      </c>
      <c r="H2" s="206"/>
      <c r="I2" s="206"/>
      <c r="J2" s="206"/>
      <c r="K2" s="213">
        <v>45984.112462565667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46050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56" t="s">
        <v>28</v>
      </c>
      <c r="B6" s="56" t="s">
        <v>352</v>
      </c>
      <c r="C6" s="57">
        <v>0.84375</v>
      </c>
      <c r="D6" s="56" t="s">
        <v>30</v>
      </c>
      <c r="E6" s="58"/>
      <c r="F6" s="56" t="s">
        <v>31</v>
      </c>
      <c r="G6" s="204"/>
      <c r="H6" s="59" t="s">
        <v>352</v>
      </c>
      <c r="I6" s="60">
        <v>1.6799999999999999E-2</v>
      </c>
      <c r="J6" s="61">
        <v>3</v>
      </c>
      <c r="K6" s="62" t="s">
        <v>59</v>
      </c>
      <c r="L6" s="61">
        <v>3</v>
      </c>
      <c r="M6" s="61">
        <v>0</v>
      </c>
      <c r="N6" s="61">
        <v>0</v>
      </c>
      <c r="O6" s="63" t="s">
        <v>140</v>
      </c>
      <c r="P6" s="64">
        <v>0.84375</v>
      </c>
      <c r="Q6" s="61">
        <v>179</v>
      </c>
      <c r="R6" s="65" t="s">
        <v>123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46051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7" t="s">
        <v>28</v>
      </c>
      <c r="B10" s="87" t="s">
        <v>353</v>
      </c>
      <c r="C10" s="88">
        <v>0.80208333333333337</v>
      </c>
      <c r="D10" s="87" t="s">
        <v>30</v>
      </c>
      <c r="E10" s="89"/>
      <c r="F10" s="87" t="s">
        <v>31</v>
      </c>
      <c r="G10" s="208"/>
      <c r="H10" s="90" t="s">
        <v>353</v>
      </c>
      <c r="I10" s="91">
        <v>1.6799999999999999E-2</v>
      </c>
      <c r="J10" s="92">
        <v>3</v>
      </c>
      <c r="K10" s="93" t="s">
        <v>50</v>
      </c>
      <c r="L10" s="92">
        <v>3</v>
      </c>
      <c r="M10" s="92">
        <v>0</v>
      </c>
      <c r="N10" s="92">
        <v>0</v>
      </c>
      <c r="O10" s="94" t="s">
        <v>140</v>
      </c>
      <c r="P10" s="95">
        <v>0.80208333333333337</v>
      </c>
      <c r="Q10" s="92">
        <v>179</v>
      </c>
      <c r="R10" s="96" t="s">
        <v>354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46053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353</v>
      </c>
      <c r="C14" s="27">
        <v>0.80208333333333337</v>
      </c>
      <c r="D14" s="26" t="s">
        <v>30</v>
      </c>
      <c r="E14" s="28"/>
      <c r="F14" s="26" t="s">
        <v>31</v>
      </c>
      <c r="G14" s="208"/>
      <c r="H14" s="29" t="s">
        <v>353</v>
      </c>
      <c r="I14" s="30">
        <v>6.1499999999999999E-2</v>
      </c>
      <c r="J14" s="31">
        <v>11</v>
      </c>
      <c r="K14" s="32" t="s">
        <v>193</v>
      </c>
      <c r="L14" s="31">
        <v>11</v>
      </c>
      <c r="M14" s="31">
        <v>0</v>
      </c>
      <c r="N14" s="31">
        <v>0</v>
      </c>
      <c r="O14" s="33" t="s">
        <v>180</v>
      </c>
      <c r="P14" s="34">
        <v>0.80208333333333337</v>
      </c>
      <c r="Q14" s="31">
        <v>179</v>
      </c>
      <c r="R14" s="35" t="s">
        <v>355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46057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" t="s">
        <v>28</v>
      </c>
      <c r="B18" s="8" t="s">
        <v>352</v>
      </c>
      <c r="C18" s="9">
        <v>0.84375</v>
      </c>
      <c r="D18" s="8" t="s">
        <v>30</v>
      </c>
      <c r="E18" s="10"/>
      <c r="F18" s="8" t="s">
        <v>31</v>
      </c>
      <c r="G18" s="208"/>
      <c r="H18" s="11" t="s">
        <v>352</v>
      </c>
      <c r="I18" s="12">
        <v>2.7900000000000001E-2</v>
      </c>
      <c r="J18" s="13">
        <v>5</v>
      </c>
      <c r="K18" s="14" t="s">
        <v>53</v>
      </c>
      <c r="L18" s="13">
        <v>5</v>
      </c>
      <c r="M18" s="13">
        <v>0</v>
      </c>
      <c r="N18" s="13">
        <v>0</v>
      </c>
      <c r="O18" s="15" t="s">
        <v>117</v>
      </c>
      <c r="P18" s="16">
        <v>0.84375</v>
      </c>
      <c r="Q18" s="13">
        <v>179</v>
      </c>
      <c r="R18" s="17" t="s">
        <v>356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46058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7" t="s">
        <v>28</v>
      </c>
      <c r="B22" s="87" t="s">
        <v>353</v>
      </c>
      <c r="C22" s="88">
        <v>0.80208333333333337</v>
      </c>
      <c r="D22" s="87" t="s">
        <v>30</v>
      </c>
      <c r="E22" s="89"/>
      <c r="F22" s="87" t="s">
        <v>31</v>
      </c>
      <c r="G22" s="208"/>
      <c r="H22" s="90" t="s">
        <v>353</v>
      </c>
      <c r="I22" s="91">
        <v>5.5999999999999999E-3</v>
      </c>
      <c r="J22" s="92">
        <v>1</v>
      </c>
      <c r="K22" s="93" t="s">
        <v>46</v>
      </c>
      <c r="L22" s="92">
        <v>1</v>
      </c>
      <c r="M22" s="92">
        <v>0</v>
      </c>
      <c r="N22" s="92">
        <v>0</v>
      </c>
      <c r="O22" s="94" t="s">
        <v>125</v>
      </c>
      <c r="P22" s="95">
        <v>0.80208333333333337</v>
      </c>
      <c r="Q22" s="92">
        <v>179</v>
      </c>
      <c r="R22" s="96" t="s">
        <v>43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46060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8" t="s">
        <v>28</v>
      </c>
      <c r="B26" s="8" t="s">
        <v>353</v>
      </c>
      <c r="C26" s="9">
        <v>0.80208333333333337</v>
      </c>
      <c r="D26" s="8" t="s">
        <v>30</v>
      </c>
      <c r="E26" s="10"/>
      <c r="F26" s="8" t="s">
        <v>31</v>
      </c>
      <c r="G26" s="204"/>
      <c r="H26" s="11" t="s">
        <v>353</v>
      </c>
      <c r="I26" s="12">
        <v>3.9100000000000003E-2</v>
      </c>
      <c r="J26" s="13">
        <v>7</v>
      </c>
      <c r="K26" s="14" t="s">
        <v>53</v>
      </c>
      <c r="L26" s="13">
        <v>7</v>
      </c>
      <c r="M26" s="13">
        <v>0</v>
      </c>
      <c r="N26" s="13">
        <v>0</v>
      </c>
      <c r="O26" s="15" t="s">
        <v>129</v>
      </c>
      <c r="P26" s="16">
        <v>0.80208333333333337</v>
      </c>
      <c r="Q26" s="13">
        <v>179</v>
      </c>
      <c r="R26" s="17" t="s">
        <v>299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46064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" t="s">
        <v>28</v>
      </c>
      <c r="B30" s="8" t="s">
        <v>352</v>
      </c>
      <c r="C30" s="9">
        <v>0.84375</v>
      </c>
      <c r="D30" s="8" t="s">
        <v>30</v>
      </c>
      <c r="E30" s="10"/>
      <c r="F30" s="8" t="s">
        <v>31</v>
      </c>
      <c r="G30" s="208"/>
      <c r="H30" s="11" t="s">
        <v>352</v>
      </c>
      <c r="I30" s="12">
        <v>5.5999999999999999E-3</v>
      </c>
      <c r="J30" s="13">
        <v>1</v>
      </c>
      <c r="K30" s="14" t="s">
        <v>342</v>
      </c>
      <c r="L30" s="13">
        <v>1</v>
      </c>
      <c r="M30" s="13">
        <v>0</v>
      </c>
      <c r="N30" s="13">
        <v>0</v>
      </c>
      <c r="O30" s="15" t="s">
        <v>281</v>
      </c>
      <c r="P30" s="16">
        <v>0.84375</v>
      </c>
      <c r="Q30" s="13">
        <v>179</v>
      </c>
      <c r="R30" s="17" t="s">
        <v>147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46065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26" t="s">
        <v>28</v>
      </c>
      <c r="B34" s="26" t="s">
        <v>353</v>
      </c>
      <c r="C34" s="27">
        <v>0.80208333333333337</v>
      </c>
      <c r="D34" s="26" t="s">
        <v>30</v>
      </c>
      <c r="E34" s="28"/>
      <c r="F34" s="26" t="s">
        <v>31</v>
      </c>
      <c r="G34" s="208"/>
      <c r="H34" s="29" t="s">
        <v>353</v>
      </c>
      <c r="I34" s="30">
        <v>5.5999999999999999E-3</v>
      </c>
      <c r="J34" s="31">
        <v>1</v>
      </c>
      <c r="K34" s="32" t="s">
        <v>357</v>
      </c>
      <c r="L34" s="31">
        <v>1</v>
      </c>
      <c r="M34" s="31">
        <v>0</v>
      </c>
      <c r="N34" s="31">
        <v>0</v>
      </c>
      <c r="O34" s="33" t="s">
        <v>281</v>
      </c>
      <c r="P34" s="34">
        <v>0.80208333333333337</v>
      </c>
      <c r="Q34" s="31">
        <v>179</v>
      </c>
      <c r="R34" s="35" t="s">
        <v>147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46067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353</v>
      </c>
      <c r="C38" s="77">
        <v>0.80208333333333337</v>
      </c>
      <c r="D38" s="76" t="s">
        <v>30</v>
      </c>
      <c r="E38" s="78"/>
      <c r="F38" s="76" t="s">
        <v>31</v>
      </c>
      <c r="G38" s="208"/>
      <c r="H38" s="79" t="s">
        <v>353</v>
      </c>
      <c r="I38" s="80">
        <v>1.12E-2</v>
      </c>
      <c r="J38" s="81">
        <v>2</v>
      </c>
      <c r="K38" s="82" t="s">
        <v>185</v>
      </c>
      <c r="L38" s="81">
        <v>2</v>
      </c>
      <c r="M38" s="81">
        <v>0</v>
      </c>
      <c r="N38" s="81">
        <v>0</v>
      </c>
      <c r="O38" s="83" t="s">
        <v>281</v>
      </c>
      <c r="P38" s="84">
        <v>0.80208333333333337</v>
      </c>
      <c r="Q38" s="81">
        <v>179</v>
      </c>
      <c r="R38" s="85" t="s">
        <v>136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46071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6" t="s">
        <v>28</v>
      </c>
      <c r="B42" s="66" t="s">
        <v>352</v>
      </c>
      <c r="C42" s="67">
        <v>0.84375</v>
      </c>
      <c r="D42" s="66" t="s">
        <v>30</v>
      </c>
      <c r="E42" s="68"/>
      <c r="F42" s="66" t="s">
        <v>31</v>
      </c>
      <c r="G42" s="208"/>
      <c r="H42" s="69" t="s">
        <v>352</v>
      </c>
      <c r="I42" s="70">
        <v>5.5999999999999999E-3</v>
      </c>
      <c r="J42" s="71">
        <v>1</v>
      </c>
      <c r="K42" s="72" t="s">
        <v>275</v>
      </c>
      <c r="L42" s="71">
        <v>1</v>
      </c>
      <c r="M42" s="71">
        <v>0</v>
      </c>
      <c r="N42" s="71">
        <v>0</v>
      </c>
      <c r="O42" s="73" t="s">
        <v>281</v>
      </c>
      <c r="P42" s="74">
        <v>0.84375</v>
      </c>
      <c r="Q42" s="71">
        <v>179</v>
      </c>
      <c r="R42" s="75" t="s">
        <v>147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46072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6" t="s">
        <v>28</v>
      </c>
      <c r="B46" s="56" t="s">
        <v>353</v>
      </c>
      <c r="C46" s="57">
        <v>0.80208333333333337</v>
      </c>
      <c r="D46" s="56" t="s">
        <v>30</v>
      </c>
      <c r="E46" s="58"/>
      <c r="F46" s="56" t="s">
        <v>31</v>
      </c>
      <c r="G46" s="208"/>
      <c r="H46" s="59" t="s">
        <v>353</v>
      </c>
      <c r="I46" s="60">
        <v>2.7900000000000001E-2</v>
      </c>
      <c r="J46" s="61">
        <v>5</v>
      </c>
      <c r="K46" s="62" t="s">
        <v>185</v>
      </c>
      <c r="L46" s="61">
        <v>5</v>
      </c>
      <c r="M46" s="61">
        <v>0</v>
      </c>
      <c r="N46" s="61">
        <v>0</v>
      </c>
      <c r="O46" s="63" t="s">
        <v>281</v>
      </c>
      <c r="P46" s="64">
        <v>0.80208333333333337</v>
      </c>
      <c r="Q46" s="61">
        <v>179</v>
      </c>
      <c r="R46" s="65" t="s">
        <v>358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46074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6" t="s">
        <v>28</v>
      </c>
      <c r="B50" s="56" t="s">
        <v>353</v>
      </c>
      <c r="C50" s="57">
        <v>0.80208333333333337</v>
      </c>
      <c r="D50" s="56" t="s">
        <v>30</v>
      </c>
      <c r="E50" s="58"/>
      <c r="F50" s="56" t="s">
        <v>35</v>
      </c>
      <c r="G50" s="208"/>
      <c r="H50" s="59" t="s">
        <v>353</v>
      </c>
      <c r="I50" s="60">
        <v>0</v>
      </c>
      <c r="J50" s="61">
        <v>0</v>
      </c>
      <c r="K50" s="62" t="s">
        <v>36</v>
      </c>
      <c r="L50" s="61">
        <v>0</v>
      </c>
      <c r="M50" s="61">
        <v>0</v>
      </c>
      <c r="N50" s="61">
        <v>0</v>
      </c>
      <c r="O50" s="63" t="s">
        <v>281</v>
      </c>
      <c r="P50" s="64">
        <v>0.80208333333333337</v>
      </c>
      <c r="Q50" s="61">
        <v>179</v>
      </c>
      <c r="R50" s="65" t="s">
        <v>36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46078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76" t="s">
        <v>28</v>
      </c>
      <c r="B54" s="76" t="s">
        <v>352</v>
      </c>
      <c r="C54" s="77">
        <v>0.84375</v>
      </c>
      <c r="D54" s="76" t="s">
        <v>30</v>
      </c>
      <c r="E54" s="78"/>
      <c r="F54" s="76" t="s">
        <v>31</v>
      </c>
      <c r="G54" s="204"/>
      <c r="H54" s="79" t="s">
        <v>352</v>
      </c>
      <c r="I54" s="80">
        <v>1.12E-2</v>
      </c>
      <c r="J54" s="81">
        <v>2</v>
      </c>
      <c r="K54" s="82" t="s">
        <v>50</v>
      </c>
      <c r="L54" s="81">
        <v>2</v>
      </c>
      <c r="M54" s="81">
        <v>0</v>
      </c>
      <c r="N54" s="81">
        <v>0</v>
      </c>
      <c r="O54" s="83" t="s">
        <v>281</v>
      </c>
      <c r="P54" s="84">
        <v>0.84375</v>
      </c>
      <c r="Q54" s="81">
        <v>179</v>
      </c>
      <c r="R54" s="85" t="s">
        <v>136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46079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26" t="s">
        <v>28</v>
      </c>
      <c r="B58" s="26" t="s">
        <v>353</v>
      </c>
      <c r="C58" s="27">
        <v>0.80208333333333337</v>
      </c>
      <c r="D58" s="26" t="s">
        <v>30</v>
      </c>
      <c r="E58" s="28"/>
      <c r="F58" s="26" t="s">
        <v>35</v>
      </c>
      <c r="G58" s="208"/>
      <c r="H58" s="29" t="s">
        <v>353</v>
      </c>
      <c r="I58" s="30">
        <v>0</v>
      </c>
      <c r="J58" s="31">
        <v>0</v>
      </c>
      <c r="K58" s="32" t="s">
        <v>36</v>
      </c>
      <c r="L58" s="31">
        <v>0</v>
      </c>
      <c r="M58" s="31">
        <v>0</v>
      </c>
      <c r="N58" s="31">
        <v>0</v>
      </c>
      <c r="O58" s="33" t="s">
        <v>281</v>
      </c>
      <c r="P58" s="34">
        <v>0.80208333333333337</v>
      </c>
      <c r="Q58" s="31">
        <v>179</v>
      </c>
      <c r="R58" s="35" t="s">
        <v>36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46081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8" t="s">
        <v>28</v>
      </c>
      <c r="B62" s="8" t="s">
        <v>353</v>
      </c>
      <c r="C62" s="9">
        <v>0.80208333333333337</v>
      </c>
      <c r="D62" s="8" t="s">
        <v>30</v>
      </c>
      <c r="E62" s="10"/>
      <c r="F62" s="8" t="s">
        <v>31</v>
      </c>
      <c r="G62" s="204"/>
      <c r="H62" s="11" t="s">
        <v>353</v>
      </c>
      <c r="I62" s="12">
        <v>2.7900000000000001E-2</v>
      </c>
      <c r="J62" s="13">
        <v>5</v>
      </c>
      <c r="K62" s="14" t="s">
        <v>63</v>
      </c>
      <c r="L62" s="13">
        <v>5</v>
      </c>
      <c r="M62" s="13">
        <v>0</v>
      </c>
      <c r="N62" s="13">
        <v>0</v>
      </c>
      <c r="O62" s="15" t="s">
        <v>54</v>
      </c>
      <c r="P62" s="16">
        <v>0.80208333333333337</v>
      </c>
      <c r="Q62" s="13">
        <v>179</v>
      </c>
      <c r="R62" s="17" t="s">
        <v>359</v>
      </c>
    </row>
    <row r="63" spans="1:18" ht="17.399999999999999" customHeight="1" thickBot="1" x14ac:dyDescent="0.35">
      <c r="A63" s="233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7"/>
  <sheetViews>
    <sheetView workbookViewId="0"/>
  </sheetViews>
  <sheetFormatPr defaultRowHeight="15.6" outlineLevelCol="1" x14ac:dyDescent="0.3"/>
  <cols>
    <col min="1" max="1" width="11.5546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8.10937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235</v>
      </c>
      <c r="B2" s="222">
        <v>46050</v>
      </c>
      <c r="C2" s="223" t="s">
        <v>352</v>
      </c>
      <c r="D2" s="224" t="s">
        <v>360</v>
      </c>
      <c r="E2" s="223" t="s">
        <v>351</v>
      </c>
      <c r="F2" s="223" t="s">
        <v>111</v>
      </c>
      <c r="G2" s="225">
        <v>1.6799999999999999E-2</v>
      </c>
      <c r="H2" s="226">
        <v>179</v>
      </c>
      <c r="I2" s="226">
        <v>3</v>
      </c>
      <c r="J2" s="226">
        <v>0</v>
      </c>
      <c r="K2" s="223" t="s">
        <v>112</v>
      </c>
      <c r="L2" s="227" t="s">
        <v>59</v>
      </c>
      <c r="M2" s="226">
        <v>0</v>
      </c>
      <c r="N2" s="226">
        <v>0</v>
      </c>
      <c r="O2" s="226">
        <v>3</v>
      </c>
      <c r="P2" s="223" t="s">
        <v>140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6" t="s">
        <v>123</v>
      </c>
      <c r="AF2" s="219"/>
      <c r="AG2" s="219"/>
      <c r="AH2" s="219"/>
      <c r="AI2" s="219"/>
      <c r="AJ2" s="219"/>
    </row>
    <row r="3" spans="1:36" x14ac:dyDescent="0.3">
      <c r="A3" s="221" t="s">
        <v>109</v>
      </c>
      <c r="B3" s="222">
        <v>46051</v>
      </c>
      <c r="C3" s="223" t="s">
        <v>353</v>
      </c>
      <c r="D3" s="224" t="s">
        <v>258</v>
      </c>
      <c r="E3" s="223" t="s">
        <v>351</v>
      </c>
      <c r="F3" s="223" t="s">
        <v>111</v>
      </c>
      <c r="G3" s="225">
        <v>1.6799999999999999E-2</v>
      </c>
      <c r="H3" s="226">
        <v>179</v>
      </c>
      <c r="I3" s="226">
        <v>3</v>
      </c>
      <c r="J3" s="226">
        <v>0</v>
      </c>
      <c r="K3" s="223" t="s">
        <v>112</v>
      </c>
      <c r="L3" s="227" t="s">
        <v>50</v>
      </c>
      <c r="M3" s="226">
        <v>0</v>
      </c>
      <c r="N3" s="226">
        <v>0</v>
      </c>
      <c r="O3" s="226">
        <v>3</v>
      </c>
      <c r="P3" s="223" t="s">
        <v>140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26" t="s">
        <v>293</v>
      </c>
      <c r="AB3" s="219"/>
      <c r="AC3" s="219"/>
      <c r="AD3" s="219"/>
      <c r="AE3" s="226" t="s">
        <v>117</v>
      </c>
      <c r="AF3" s="219"/>
      <c r="AG3" s="219"/>
      <c r="AH3" s="219"/>
      <c r="AI3" s="219"/>
      <c r="AJ3" s="219"/>
    </row>
    <row r="4" spans="1:36" x14ac:dyDescent="0.3">
      <c r="A4" s="221" t="s">
        <v>113</v>
      </c>
      <c r="B4" s="222">
        <v>46053</v>
      </c>
      <c r="C4" s="223" t="s">
        <v>353</v>
      </c>
      <c r="D4" s="224" t="s">
        <v>258</v>
      </c>
      <c r="E4" s="223" t="s">
        <v>351</v>
      </c>
      <c r="F4" s="223" t="s">
        <v>111</v>
      </c>
      <c r="G4" s="225">
        <v>6.1499999999999999E-2</v>
      </c>
      <c r="H4" s="226">
        <v>179</v>
      </c>
      <c r="I4" s="226">
        <v>11</v>
      </c>
      <c r="J4" s="226">
        <v>0</v>
      </c>
      <c r="K4" s="223" t="s">
        <v>112</v>
      </c>
      <c r="L4" s="227" t="s">
        <v>193</v>
      </c>
      <c r="M4" s="226">
        <v>0</v>
      </c>
      <c r="N4" s="226">
        <v>0</v>
      </c>
      <c r="O4" s="226">
        <v>11</v>
      </c>
      <c r="P4" s="223" t="s">
        <v>180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26" t="s">
        <v>293</v>
      </c>
      <c r="AB4" s="219"/>
      <c r="AC4" s="226" t="s">
        <v>175</v>
      </c>
      <c r="AD4" s="226" t="s">
        <v>180</v>
      </c>
      <c r="AE4" s="226" t="s">
        <v>117</v>
      </c>
      <c r="AF4" s="219"/>
      <c r="AG4" s="219"/>
      <c r="AH4" s="219"/>
      <c r="AI4" s="219"/>
      <c r="AJ4" s="219"/>
    </row>
    <row r="5" spans="1:36" x14ac:dyDescent="0.3">
      <c r="A5" s="221" t="s">
        <v>235</v>
      </c>
      <c r="B5" s="222">
        <v>46057</v>
      </c>
      <c r="C5" s="223" t="s">
        <v>352</v>
      </c>
      <c r="D5" s="224" t="s">
        <v>360</v>
      </c>
      <c r="E5" s="223" t="s">
        <v>351</v>
      </c>
      <c r="F5" s="223" t="s">
        <v>111</v>
      </c>
      <c r="G5" s="225">
        <v>2.7900000000000001E-2</v>
      </c>
      <c r="H5" s="226">
        <v>179</v>
      </c>
      <c r="I5" s="226">
        <v>5</v>
      </c>
      <c r="J5" s="226">
        <v>0</v>
      </c>
      <c r="K5" s="223" t="s">
        <v>112</v>
      </c>
      <c r="L5" s="227" t="s">
        <v>53</v>
      </c>
      <c r="M5" s="226">
        <v>0</v>
      </c>
      <c r="N5" s="226">
        <v>0</v>
      </c>
      <c r="O5" s="226">
        <v>5</v>
      </c>
      <c r="P5" s="223" t="s">
        <v>117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26" t="s">
        <v>166</v>
      </c>
      <c r="AD5" s="219"/>
      <c r="AE5" s="226" t="s">
        <v>43</v>
      </c>
      <c r="AF5" s="219"/>
      <c r="AG5" s="219"/>
      <c r="AH5" s="219"/>
      <c r="AI5" s="219"/>
      <c r="AJ5" s="219"/>
    </row>
    <row r="6" spans="1:36" x14ac:dyDescent="0.3">
      <c r="A6" s="221" t="s">
        <v>109</v>
      </c>
      <c r="B6" s="222">
        <v>46058</v>
      </c>
      <c r="C6" s="223" t="s">
        <v>353</v>
      </c>
      <c r="D6" s="224" t="s">
        <v>258</v>
      </c>
      <c r="E6" s="223" t="s">
        <v>351</v>
      </c>
      <c r="F6" s="223" t="s">
        <v>111</v>
      </c>
      <c r="G6" s="225">
        <v>5.5999999999999999E-3</v>
      </c>
      <c r="H6" s="226">
        <v>179</v>
      </c>
      <c r="I6" s="226">
        <v>1</v>
      </c>
      <c r="J6" s="226">
        <v>0</v>
      </c>
      <c r="K6" s="223" t="s">
        <v>112</v>
      </c>
      <c r="L6" s="227" t="s">
        <v>46</v>
      </c>
      <c r="M6" s="226">
        <v>0</v>
      </c>
      <c r="N6" s="226">
        <v>0</v>
      </c>
      <c r="O6" s="226">
        <v>1</v>
      </c>
      <c r="P6" s="223" t="s">
        <v>125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26" t="s">
        <v>43</v>
      </c>
      <c r="AF6" s="219"/>
      <c r="AG6" s="219"/>
      <c r="AH6" s="219"/>
      <c r="AI6" s="219"/>
      <c r="AJ6" s="219"/>
    </row>
    <row r="7" spans="1:36" x14ac:dyDescent="0.3">
      <c r="A7" s="221" t="s">
        <v>113</v>
      </c>
      <c r="B7" s="222">
        <v>46060</v>
      </c>
      <c r="C7" s="223" t="s">
        <v>353</v>
      </c>
      <c r="D7" s="224" t="s">
        <v>258</v>
      </c>
      <c r="E7" s="223" t="s">
        <v>351</v>
      </c>
      <c r="F7" s="223" t="s">
        <v>111</v>
      </c>
      <c r="G7" s="225">
        <v>3.9100000000000003E-2</v>
      </c>
      <c r="H7" s="226">
        <v>179</v>
      </c>
      <c r="I7" s="226">
        <v>7</v>
      </c>
      <c r="J7" s="226">
        <v>0</v>
      </c>
      <c r="K7" s="223" t="s">
        <v>112</v>
      </c>
      <c r="L7" s="227" t="s">
        <v>53</v>
      </c>
      <c r="M7" s="226">
        <v>0</v>
      </c>
      <c r="N7" s="226">
        <v>0</v>
      </c>
      <c r="O7" s="226">
        <v>7</v>
      </c>
      <c r="P7" s="223" t="s">
        <v>129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26" t="s">
        <v>66</v>
      </c>
      <c r="AE7" s="226" t="s">
        <v>125</v>
      </c>
      <c r="AF7" s="219"/>
      <c r="AG7" s="219"/>
      <c r="AH7" s="219"/>
      <c r="AI7" s="219"/>
      <c r="AJ7" s="219"/>
    </row>
    <row r="8" spans="1:36" x14ac:dyDescent="0.3">
      <c r="A8" s="221" t="s">
        <v>235</v>
      </c>
      <c r="B8" s="222">
        <v>46064</v>
      </c>
      <c r="C8" s="223" t="s">
        <v>352</v>
      </c>
      <c r="D8" s="224" t="s">
        <v>360</v>
      </c>
      <c r="E8" s="223" t="s">
        <v>351</v>
      </c>
      <c r="F8" s="223" t="s">
        <v>111</v>
      </c>
      <c r="G8" s="225">
        <v>5.5999999999999999E-3</v>
      </c>
      <c r="H8" s="226">
        <v>179</v>
      </c>
      <c r="I8" s="226">
        <v>1</v>
      </c>
      <c r="J8" s="226">
        <v>0</v>
      </c>
      <c r="K8" s="223" t="s">
        <v>112</v>
      </c>
      <c r="L8" s="227" t="s">
        <v>342</v>
      </c>
      <c r="M8" s="226">
        <v>0</v>
      </c>
      <c r="N8" s="226">
        <v>0</v>
      </c>
      <c r="O8" s="226">
        <v>1</v>
      </c>
      <c r="P8" s="223" t="s">
        <v>281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26" t="s">
        <v>147</v>
      </c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109</v>
      </c>
      <c r="B9" s="222">
        <v>46065</v>
      </c>
      <c r="C9" s="223" t="s">
        <v>353</v>
      </c>
      <c r="D9" s="224" t="s">
        <v>258</v>
      </c>
      <c r="E9" s="223" t="s">
        <v>351</v>
      </c>
      <c r="F9" s="223" t="s">
        <v>111</v>
      </c>
      <c r="G9" s="225">
        <v>5.5999999999999999E-3</v>
      </c>
      <c r="H9" s="226">
        <v>179</v>
      </c>
      <c r="I9" s="226">
        <v>1</v>
      </c>
      <c r="J9" s="226">
        <v>0</v>
      </c>
      <c r="K9" s="223" t="s">
        <v>112</v>
      </c>
      <c r="L9" s="227" t="s">
        <v>357</v>
      </c>
      <c r="M9" s="226">
        <v>0</v>
      </c>
      <c r="N9" s="226">
        <v>0</v>
      </c>
      <c r="O9" s="226">
        <v>1</v>
      </c>
      <c r="P9" s="223" t="s">
        <v>281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26" t="s">
        <v>147</v>
      </c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113</v>
      </c>
      <c r="B10" s="222">
        <v>46067</v>
      </c>
      <c r="C10" s="223" t="s">
        <v>353</v>
      </c>
      <c r="D10" s="224" t="s">
        <v>258</v>
      </c>
      <c r="E10" s="223" t="s">
        <v>351</v>
      </c>
      <c r="F10" s="223" t="s">
        <v>111</v>
      </c>
      <c r="G10" s="225">
        <v>1.12E-2</v>
      </c>
      <c r="H10" s="226">
        <v>179</v>
      </c>
      <c r="I10" s="226">
        <v>2</v>
      </c>
      <c r="J10" s="226">
        <v>0</v>
      </c>
      <c r="K10" s="223" t="s">
        <v>112</v>
      </c>
      <c r="L10" s="227" t="s">
        <v>185</v>
      </c>
      <c r="M10" s="226">
        <v>0</v>
      </c>
      <c r="N10" s="226">
        <v>0</v>
      </c>
      <c r="O10" s="226">
        <v>2</v>
      </c>
      <c r="P10" s="223" t="s">
        <v>281</v>
      </c>
      <c r="Q10" s="219"/>
      <c r="R10" s="219"/>
      <c r="S10" s="219"/>
      <c r="T10" s="219"/>
      <c r="U10" s="219"/>
      <c r="V10" s="219"/>
      <c r="W10" s="219"/>
      <c r="X10" s="219"/>
      <c r="Y10" s="226" t="s">
        <v>136</v>
      </c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235</v>
      </c>
      <c r="B11" s="222">
        <v>46071</v>
      </c>
      <c r="C11" s="223" t="s">
        <v>352</v>
      </c>
      <c r="D11" s="224" t="s">
        <v>360</v>
      </c>
      <c r="E11" s="223" t="s">
        <v>351</v>
      </c>
      <c r="F11" s="223" t="s">
        <v>111</v>
      </c>
      <c r="G11" s="225">
        <v>5.5999999999999999E-3</v>
      </c>
      <c r="H11" s="226">
        <v>179</v>
      </c>
      <c r="I11" s="226">
        <v>1</v>
      </c>
      <c r="J11" s="226">
        <v>0</v>
      </c>
      <c r="K11" s="223" t="s">
        <v>112</v>
      </c>
      <c r="L11" s="227" t="s">
        <v>275</v>
      </c>
      <c r="M11" s="226">
        <v>0</v>
      </c>
      <c r="N11" s="226">
        <v>0</v>
      </c>
      <c r="O11" s="226">
        <v>1</v>
      </c>
      <c r="P11" s="223" t="s">
        <v>281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26" t="s">
        <v>147</v>
      </c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109</v>
      </c>
      <c r="B12" s="222">
        <v>46072</v>
      </c>
      <c r="C12" s="223" t="s">
        <v>353</v>
      </c>
      <c r="D12" s="224" t="s">
        <v>258</v>
      </c>
      <c r="E12" s="223" t="s">
        <v>351</v>
      </c>
      <c r="F12" s="223" t="s">
        <v>111</v>
      </c>
      <c r="G12" s="225">
        <v>2.7900000000000001E-2</v>
      </c>
      <c r="H12" s="226">
        <v>179</v>
      </c>
      <c r="I12" s="226">
        <v>5</v>
      </c>
      <c r="J12" s="226">
        <v>0</v>
      </c>
      <c r="K12" s="223" t="s">
        <v>112</v>
      </c>
      <c r="L12" s="227" t="s">
        <v>185</v>
      </c>
      <c r="M12" s="226">
        <v>0</v>
      </c>
      <c r="N12" s="226">
        <v>0</v>
      </c>
      <c r="O12" s="226">
        <v>5</v>
      </c>
      <c r="P12" s="223" t="s">
        <v>281</v>
      </c>
      <c r="Q12" s="219"/>
      <c r="R12" s="219"/>
      <c r="S12" s="219"/>
      <c r="T12" s="219"/>
      <c r="U12" s="219"/>
      <c r="V12" s="219"/>
      <c r="W12" s="219"/>
      <c r="X12" s="219"/>
      <c r="Y12" s="226" t="s">
        <v>358</v>
      </c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</row>
    <row r="13" spans="1:36" x14ac:dyDescent="0.3">
      <c r="A13" s="221" t="s">
        <v>113</v>
      </c>
      <c r="B13" s="222">
        <v>46074</v>
      </c>
      <c r="C13" s="223" t="s">
        <v>353</v>
      </c>
      <c r="D13" s="224" t="s">
        <v>258</v>
      </c>
      <c r="E13" s="223" t="s">
        <v>351</v>
      </c>
      <c r="F13" s="223" t="s">
        <v>111</v>
      </c>
      <c r="G13" s="225">
        <v>0</v>
      </c>
      <c r="H13" s="226">
        <v>179</v>
      </c>
      <c r="I13" s="226">
        <v>0</v>
      </c>
      <c r="J13" s="226">
        <v>0</v>
      </c>
      <c r="K13" s="223" t="s">
        <v>112</v>
      </c>
      <c r="L13" s="227" t="s">
        <v>36</v>
      </c>
      <c r="M13" s="226">
        <v>0</v>
      </c>
      <c r="N13" s="226">
        <v>0</v>
      </c>
      <c r="O13" s="226">
        <v>0</v>
      </c>
      <c r="P13" s="223" t="s">
        <v>281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235</v>
      </c>
      <c r="B14" s="222">
        <v>46078</v>
      </c>
      <c r="C14" s="223" t="s">
        <v>352</v>
      </c>
      <c r="D14" s="224" t="s">
        <v>360</v>
      </c>
      <c r="E14" s="223" t="s">
        <v>351</v>
      </c>
      <c r="F14" s="223" t="s">
        <v>111</v>
      </c>
      <c r="G14" s="225">
        <v>1.12E-2</v>
      </c>
      <c r="H14" s="226">
        <v>179</v>
      </c>
      <c r="I14" s="226">
        <v>2</v>
      </c>
      <c r="J14" s="226">
        <v>0</v>
      </c>
      <c r="K14" s="223" t="s">
        <v>112</v>
      </c>
      <c r="L14" s="227" t="s">
        <v>50</v>
      </c>
      <c r="M14" s="226">
        <v>0</v>
      </c>
      <c r="N14" s="226">
        <v>0</v>
      </c>
      <c r="O14" s="226">
        <v>2</v>
      </c>
      <c r="P14" s="223" t="s">
        <v>281</v>
      </c>
      <c r="Q14" s="219"/>
      <c r="R14" s="219"/>
      <c r="S14" s="219"/>
      <c r="T14" s="219"/>
      <c r="U14" s="219"/>
      <c r="V14" s="219"/>
      <c r="W14" s="219"/>
      <c r="X14" s="219"/>
      <c r="Y14" s="226" t="s">
        <v>136</v>
      </c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109</v>
      </c>
      <c r="B15" s="222">
        <v>46079</v>
      </c>
      <c r="C15" s="223" t="s">
        <v>353</v>
      </c>
      <c r="D15" s="224" t="s">
        <v>258</v>
      </c>
      <c r="E15" s="223" t="s">
        <v>351</v>
      </c>
      <c r="F15" s="223" t="s">
        <v>111</v>
      </c>
      <c r="G15" s="225">
        <v>0</v>
      </c>
      <c r="H15" s="226">
        <v>179</v>
      </c>
      <c r="I15" s="226">
        <v>0</v>
      </c>
      <c r="J15" s="226">
        <v>0</v>
      </c>
      <c r="K15" s="223" t="s">
        <v>112</v>
      </c>
      <c r="L15" s="227" t="s">
        <v>36</v>
      </c>
      <c r="M15" s="226">
        <v>0</v>
      </c>
      <c r="N15" s="226">
        <v>0</v>
      </c>
      <c r="O15" s="226">
        <v>0</v>
      </c>
      <c r="P15" s="223" t="s">
        <v>281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</row>
    <row r="16" spans="1:36" x14ac:dyDescent="0.3">
      <c r="A16" s="221" t="s">
        <v>113</v>
      </c>
      <c r="B16" s="222">
        <v>46081</v>
      </c>
      <c r="C16" s="223" t="s">
        <v>353</v>
      </c>
      <c r="D16" s="224" t="s">
        <v>258</v>
      </c>
      <c r="E16" s="223" t="s">
        <v>351</v>
      </c>
      <c r="F16" s="223" t="s">
        <v>111</v>
      </c>
      <c r="G16" s="225">
        <v>2.7900000000000001E-2</v>
      </c>
      <c r="H16" s="226">
        <v>179</v>
      </c>
      <c r="I16" s="226">
        <v>5</v>
      </c>
      <c r="J16" s="226">
        <v>0</v>
      </c>
      <c r="K16" s="223" t="s">
        <v>112</v>
      </c>
      <c r="L16" s="227" t="s">
        <v>63</v>
      </c>
      <c r="M16" s="226">
        <v>0</v>
      </c>
      <c r="N16" s="226">
        <v>0</v>
      </c>
      <c r="O16" s="226">
        <v>5</v>
      </c>
      <c r="P16" s="223" t="s">
        <v>54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26" t="s">
        <v>147</v>
      </c>
      <c r="AD16" s="219"/>
      <c r="AE16" s="219"/>
      <c r="AF16" s="226" t="s">
        <v>75</v>
      </c>
      <c r="AG16" s="219"/>
      <c r="AH16" s="219"/>
      <c r="AI16" s="219"/>
      <c r="AJ16" s="219"/>
    </row>
    <row r="17" spans="1:36" ht="21" x14ac:dyDescent="0.3">
      <c r="A17" s="228" t="s">
        <v>377</v>
      </c>
      <c r="B17" s="229"/>
      <c r="C17" s="228">
        <f>SUBTOTAL(103,CAI_AHB_LF_LEGACY[Flt])</f>
        <v>15</v>
      </c>
      <c r="D17" s="228"/>
      <c r="E17" s="228">
        <f>SUBTOTAL(103,CAI_AHB_LF_LEGACY[Brd-Off])</f>
        <v>15</v>
      </c>
      <c r="F17" s="228"/>
      <c r="G17" s="230">
        <f>SUBTOTAL(101,CAI_AHB_LF_LEGACY[LF%])</f>
        <v>1.7513333333333329E-2</v>
      </c>
      <c r="H17" s="231">
        <f>SUBTOTAL(109,CAI_AHB_LF_LEGACY[CAP])</f>
        <v>2685</v>
      </c>
      <c r="I17" s="231">
        <f>SUBTOTAL(109,CAI_AHB_LF_LEGACY[BKG(Y)])</f>
        <v>47</v>
      </c>
      <c r="J17" s="231">
        <f>SUBTOTAL(109,CAI_AHB_LF_LEGACY[GRP(Y)])</f>
        <v>0</v>
      </c>
      <c r="K17" s="228"/>
      <c r="L17" s="229"/>
      <c r="M17" s="231">
        <f>SUBTOTAL(109,CAI_AHB_LF_LEGACY[TO-DAY])</f>
        <v>0</v>
      </c>
      <c r="N17" s="231">
        <f>SUBTOTAL(109,CAI_AHB_LF_LEGACY[Y-DAY])</f>
        <v>0</v>
      </c>
      <c r="O17" s="231">
        <f>SUBTOTAL(109,CAI_AHB_LF_LEGACY[WEEKLY])</f>
        <v>47</v>
      </c>
      <c r="P17" s="232"/>
      <c r="Q17" s="231">
        <f>SUBTOTAL(109,CAI_AHB_LF_LEGACY[Y])</f>
        <v>0</v>
      </c>
      <c r="R17" s="231">
        <f>SUBTOTAL(109,CAI_AHB_LF_LEGACY[B])</f>
        <v>0</v>
      </c>
      <c r="S17" s="231">
        <f>SUBTOTAL(109,CAI_AHB_LF_LEGACY[M])</f>
        <v>0</v>
      </c>
      <c r="T17" s="231">
        <f>SUBTOTAL(109,CAI_AHB_LF_LEGACY[H])</f>
        <v>0</v>
      </c>
      <c r="U17" s="231">
        <f>SUBTOTAL(109,CAI_AHB_LF_LEGACY[Q])</f>
        <v>0</v>
      </c>
      <c r="V17" s="231">
        <f>SUBTOTAL(109,CAI_AHB_LF_LEGACY[K])</f>
        <v>0</v>
      </c>
      <c r="W17" s="231">
        <f>SUBTOTAL(109,CAI_AHB_LF_LEGACY[V])</f>
        <v>0</v>
      </c>
      <c r="X17" s="231">
        <f>SUBTOTAL(109,CAI_AHB_LF_LEGACY[L])</f>
        <v>0</v>
      </c>
      <c r="Y17" s="231">
        <f>SUBTOTAL(109,CAI_AHB_LF_LEGACY[G])</f>
        <v>0</v>
      </c>
      <c r="Z17" s="231">
        <f>SUBTOTAL(109,CAI_AHB_LF_LEGACY[S])</f>
        <v>0</v>
      </c>
      <c r="AA17" s="231">
        <f>SUBTOTAL(109,CAI_AHB_LF_LEGACY[W])</f>
        <v>0</v>
      </c>
      <c r="AB17" s="231">
        <f>SUBTOTAL(109,CAI_AHB_LF_LEGACY[T])</f>
        <v>0</v>
      </c>
      <c r="AC17" s="231">
        <f>SUBTOTAL(109,CAI_AHB_LF_LEGACY[X])</f>
        <v>0</v>
      </c>
      <c r="AD17" s="231">
        <f>SUBTOTAL(109,CAI_AHB_LF_LEGACY[U])</f>
        <v>0</v>
      </c>
      <c r="AE17" s="231">
        <f>SUBTOTAL(109,CAI_AHB_LF_LEGACY[O])</f>
        <v>0</v>
      </c>
      <c r="AF17" s="231">
        <f>SUBTOTAL(109,CAI_AHB_LF_LEGACY[I])</f>
        <v>0</v>
      </c>
      <c r="AG17" s="231">
        <f>SUBTOTAL(109,CAI_AHB_LF_LEGACY[E])</f>
        <v>0</v>
      </c>
      <c r="AH17" s="231">
        <f>SUBTOTAL(109,CAI_AHB_LF_LEGACY[A])</f>
        <v>0</v>
      </c>
      <c r="AI17" s="231">
        <f>SUBTOTAL(109,CAI_AHB_LF_LEGACY[P])</f>
        <v>0</v>
      </c>
      <c r="AJ17" s="231">
        <f>SUBTOTAL(103,CAI_AHB_LF_LEGACY[N])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N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2.7773437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361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45984.112465726641</v>
      </c>
      <c r="H2" s="206"/>
      <c r="I2" s="206"/>
      <c r="J2" s="206"/>
      <c r="K2" s="213">
        <v>45984.112465727318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46051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362</v>
      </c>
      <c r="C6" s="37">
        <v>0.63194444444444442</v>
      </c>
      <c r="D6" s="36" t="s">
        <v>30</v>
      </c>
      <c r="E6" s="38"/>
      <c r="F6" s="36" t="s">
        <v>31</v>
      </c>
      <c r="G6" s="204"/>
      <c r="H6" s="39" t="s">
        <v>362</v>
      </c>
      <c r="I6" s="40">
        <v>1.6799999999999999E-2</v>
      </c>
      <c r="J6" s="41">
        <v>3</v>
      </c>
      <c r="K6" s="42" t="s">
        <v>167</v>
      </c>
      <c r="L6" s="41">
        <v>3</v>
      </c>
      <c r="M6" s="41">
        <v>0</v>
      </c>
      <c r="N6" s="41">
        <v>0</v>
      </c>
      <c r="O6" s="43" t="s">
        <v>140</v>
      </c>
      <c r="P6" s="44">
        <v>0.63194444444444442</v>
      </c>
      <c r="Q6" s="41">
        <v>179</v>
      </c>
      <c r="R6" s="45" t="s">
        <v>123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46052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362</v>
      </c>
      <c r="C10" s="37">
        <v>0.82986111111111116</v>
      </c>
      <c r="D10" s="36" t="s">
        <v>30</v>
      </c>
      <c r="E10" s="38"/>
      <c r="F10" s="36" t="s">
        <v>31</v>
      </c>
      <c r="G10" s="208"/>
      <c r="H10" s="39" t="s">
        <v>362</v>
      </c>
      <c r="I10" s="40">
        <v>5.0299999999999997E-2</v>
      </c>
      <c r="J10" s="41">
        <v>9</v>
      </c>
      <c r="K10" s="42" t="s">
        <v>32</v>
      </c>
      <c r="L10" s="41">
        <v>9</v>
      </c>
      <c r="M10" s="41">
        <v>0</v>
      </c>
      <c r="N10" s="41">
        <v>0</v>
      </c>
      <c r="O10" s="43" t="s">
        <v>126</v>
      </c>
      <c r="P10" s="44">
        <v>0.82986111111111116</v>
      </c>
      <c r="Q10" s="41">
        <v>179</v>
      </c>
      <c r="R10" s="45" t="s">
        <v>363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46054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76" t="s">
        <v>28</v>
      </c>
      <c r="B14" s="76" t="s">
        <v>362</v>
      </c>
      <c r="C14" s="77">
        <v>0.63194444444444442</v>
      </c>
      <c r="D14" s="76" t="s">
        <v>30</v>
      </c>
      <c r="E14" s="78"/>
      <c r="F14" s="76" t="s">
        <v>31</v>
      </c>
      <c r="G14" s="208"/>
      <c r="H14" s="79" t="s">
        <v>362</v>
      </c>
      <c r="I14" s="80">
        <v>1.12E-2</v>
      </c>
      <c r="J14" s="81">
        <v>2</v>
      </c>
      <c r="K14" s="82" t="s">
        <v>179</v>
      </c>
      <c r="L14" s="81">
        <v>2</v>
      </c>
      <c r="M14" s="81">
        <v>0</v>
      </c>
      <c r="N14" s="81">
        <v>0</v>
      </c>
      <c r="O14" s="83" t="s">
        <v>278</v>
      </c>
      <c r="P14" s="84">
        <v>0.63194444444444442</v>
      </c>
      <c r="Q14" s="81">
        <v>179</v>
      </c>
      <c r="R14" s="85" t="s">
        <v>117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46058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7" t="s">
        <v>28</v>
      </c>
      <c r="B18" s="87" t="s">
        <v>362</v>
      </c>
      <c r="C18" s="88">
        <v>0.63194444444444442</v>
      </c>
      <c r="D18" s="87" t="s">
        <v>30</v>
      </c>
      <c r="E18" s="89"/>
      <c r="F18" s="87" t="s">
        <v>31</v>
      </c>
      <c r="G18" s="208"/>
      <c r="H18" s="90" t="s">
        <v>362</v>
      </c>
      <c r="I18" s="91">
        <v>3.3500000000000002E-2</v>
      </c>
      <c r="J18" s="92">
        <v>6</v>
      </c>
      <c r="K18" s="93" t="s">
        <v>59</v>
      </c>
      <c r="L18" s="92">
        <v>6</v>
      </c>
      <c r="M18" s="92">
        <v>0</v>
      </c>
      <c r="N18" s="92">
        <v>0</v>
      </c>
      <c r="O18" s="94" t="s">
        <v>43</v>
      </c>
      <c r="P18" s="95">
        <v>0.63194444444444442</v>
      </c>
      <c r="Q18" s="92">
        <v>179</v>
      </c>
      <c r="R18" s="96" t="s">
        <v>364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46059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76" t="s">
        <v>28</v>
      </c>
      <c r="B22" s="76" t="s">
        <v>362</v>
      </c>
      <c r="C22" s="77">
        <v>0.82986111111111116</v>
      </c>
      <c r="D22" s="76" t="s">
        <v>30</v>
      </c>
      <c r="E22" s="78"/>
      <c r="F22" s="76" t="s">
        <v>31</v>
      </c>
      <c r="G22" s="208"/>
      <c r="H22" s="79" t="s">
        <v>362</v>
      </c>
      <c r="I22" s="80">
        <v>2.7900000000000001E-2</v>
      </c>
      <c r="J22" s="81">
        <v>5</v>
      </c>
      <c r="K22" s="82" t="s">
        <v>63</v>
      </c>
      <c r="L22" s="81">
        <v>5</v>
      </c>
      <c r="M22" s="81">
        <v>0</v>
      </c>
      <c r="N22" s="81">
        <v>0</v>
      </c>
      <c r="O22" s="83" t="s">
        <v>117</v>
      </c>
      <c r="P22" s="84">
        <v>0.82986111111111116</v>
      </c>
      <c r="Q22" s="81">
        <v>179</v>
      </c>
      <c r="R22" s="85" t="s">
        <v>365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46061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362</v>
      </c>
      <c r="C26" s="27">
        <v>0.63194444444444442</v>
      </c>
      <c r="D26" s="26" t="s">
        <v>30</v>
      </c>
      <c r="E26" s="28"/>
      <c r="F26" s="26" t="s">
        <v>35</v>
      </c>
      <c r="G26" s="204"/>
      <c r="H26" s="29" t="s">
        <v>362</v>
      </c>
      <c r="I26" s="30">
        <v>0</v>
      </c>
      <c r="J26" s="31">
        <v>0</v>
      </c>
      <c r="K26" s="32" t="s">
        <v>36</v>
      </c>
      <c r="L26" s="31">
        <v>0</v>
      </c>
      <c r="M26" s="31">
        <v>0</v>
      </c>
      <c r="N26" s="31">
        <v>0</v>
      </c>
      <c r="O26" s="33" t="s">
        <v>276</v>
      </c>
      <c r="P26" s="34">
        <v>0.63194444444444442</v>
      </c>
      <c r="Q26" s="31">
        <v>179</v>
      </c>
      <c r="R26" s="35" t="s">
        <v>36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46065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26" t="s">
        <v>28</v>
      </c>
      <c r="B30" s="26" t="s">
        <v>362</v>
      </c>
      <c r="C30" s="27">
        <v>0.63194444444444442</v>
      </c>
      <c r="D30" s="26" t="s">
        <v>30</v>
      </c>
      <c r="E30" s="28"/>
      <c r="F30" s="26" t="s">
        <v>35</v>
      </c>
      <c r="G30" s="208"/>
      <c r="H30" s="29" t="s">
        <v>362</v>
      </c>
      <c r="I30" s="30">
        <v>0</v>
      </c>
      <c r="J30" s="31">
        <v>0</v>
      </c>
      <c r="K30" s="32" t="s">
        <v>36</v>
      </c>
      <c r="L30" s="31">
        <v>0</v>
      </c>
      <c r="M30" s="31">
        <v>0</v>
      </c>
      <c r="N30" s="31">
        <v>0</v>
      </c>
      <c r="O30" s="33" t="s">
        <v>281</v>
      </c>
      <c r="P30" s="34">
        <v>0.63194444444444442</v>
      </c>
      <c r="Q30" s="31">
        <v>179</v>
      </c>
      <c r="R30" s="35" t="s">
        <v>36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46066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36" t="s">
        <v>28</v>
      </c>
      <c r="B34" s="36" t="s">
        <v>362</v>
      </c>
      <c r="C34" s="37">
        <v>0.82986111111111116</v>
      </c>
      <c r="D34" s="36" t="s">
        <v>30</v>
      </c>
      <c r="E34" s="38"/>
      <c r="F34" s="36" t="s">
        <v>31</v>
      </c>
      <c r="G34" s="208"/>
      <c r="H34" s="39" t="s">
        <v>362</v>
      </c>
      <c r="I34" s="40">
        <v>2.23E-2</v>
      </c>
      <c r="J34" s="41">
        <v>4</v>
      </c>
      <c r="K34" s="42" t="s">
        <v>366</v>
      </c>
      <c r="L34" s="41">
        <v>4</v>
      </c>
      <c r="M34" s="41">
        <v>0</v>
      </c>
      <c r="N34" s="41">
        <v>0</v>
      </c>
      <c r="O34" s="43" t="s">
        <v>281</v>
      </c>
      <c r="P34" s="44">
        <v>0.82986111111111116</v>
      </c>
      <c r="Q34" s="41">
        <v>179</v>
      </c>
      <c r="R34" s="45" t="s">
        <v>367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46068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6" t="s">
        <v>28</v>
      </c>
      <c r="B38" s="66" t="s">
        <v>362</v>
      </c>
      <c r="C38" s="67">
        <v>0.63194444444444442</v>
      </c>
      <c r="D38" s="66" t="s">
        <v>30</v>
      </c>
      <c r="E38" s="68"/>
      <c r="F38" s="66" t="s">
        <v>31</v>
      </c>
      <c r="G38" s="208"/>
      <c r="H38" s="69" t="s">
        <v>362</v>
      </c>
      <c r="I38" s="70">
        <v>1.12E-2</v>
      </c>
      <c r="J38" s="71">
        <v>2</v>
      </c>
      <c r="K38" s="72" t="s">
        <v>59</v>
      </c>
      <c r="L38" s="71">
        <v>2</v>
      </c>
      <c r="M38" s="71">
        <v>0</v>
      </c>
      <c r="N38" s="71">
        <v>0</v>
      </c>
      <c r="O38" s="73" t="s">
        <v>281</v>
      </c>
      <c r="P38" s="74">
        <v>0.63194444444444442</v>
      </c>
      <c r="Q38" s="71">
        <v>179</v>
      </c>
      <c r="R38" s="75" t="s">
        <v>136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46072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56" t="s">
        <v>28</v>
      </c>
      <c r="B42" s="56" t="s">
        <v>362</v>
      </c>
      <c r="C42" s="57">
        <v>0.63194444444444442</v>
      </c>
      <c r="D42" s="56" t="s">
        <v>30</v>
      </c>
      <c r="E42" s="58"/>
      <c r="F42" s="56" t="s">
        <v>35</v>
      </c>
      <c r="G42" s="208"/>
      <c r="H42" s="59" t="s">
        <v>362</v>
      </c>
      <c r="I42" s="60">
        <v>0</v>
      </c>
      <c r="J42" s="61">
        <v>0</v>
      </c>
      <c r="K42" s="62" t="s">
        <v>36</v>
      </c>
      <c r="L42" s="61">
        <v>0</v>
      </c>
      <c r="M42" s="61">
        <v>0</v>
      </c>
      <c r="N42" s="61">
        <v>0</v>
      </c>
      <c r="O42" s="63" t="s">
        <v>281</v>
      </c>
      <c r="P42" s="64">
        <v>0.63194444444444442</v>
      </c>
      <c r="Q42" s="61">
        <v>179</v>
      </c>
      <c r="R42" s="65" t="s">
        <v>36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22.05" customHeight="1" thickTop="1" thickBot="1" x14ac:dyDescent="0.35">
      <c r="A44" s="201" t="s">
        <v>8</v>
      </c>
      <c r="B44" s="202"/>
      <c r="C44" s="202"/>
      <c r="D44" s="202"/>
      <c r="E44" s="202"/>
      <c r="F44" s="203"/>
      <c r="G44" s="18">
        <v>46073</v>
      </c>
      <c r="H44" s="209" t="s">
        <v>9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362</v>
      </c>
      <c r="C46" s="27">
        <v>0.82986111111111116</v>
      </c>
      <c r="D46" s="26" t="s">
        <v>30</v>
      </c>
      <c r="E46" s="28"/>
      <c r="F46" s="26" t="s">
        <v>35</v>
      </c>
      <c r="G46" s="208"/>
      <c r="H46" s="29" t="s">
        <v>362</v>
      </c>
      <c r="I46" s="30">
        <v>0</v>
      </c>
      <c r="J46" s="31">
        <v>0</v>
      </c>
      <c r="K46" s="32" t="s">
        <v>36</v>
      </c>
      <c r="L46" s="31">
        <v>0</v>
      </c>
      <c r="M46" s="31">
        <v>0</v>
      </c>
      <c r="N46" s="31">
        <v>0</v>
      </c>
      <c r="O46" s="33" t="s">
        <v>281</v>
      </c>
      <c r="P46" s="34">
        <v>0.82986111111111116</v>
      </c>
      <c r="Q46" s="31">
        <v>179</v>
      </c>
      <c r="R46" s="35" t="s">
        <v>36</v>
      </c>
    </row>
    <row r="47" spans="1:18" ht="17.399999999999999" customHeight="1" thickBot="1" x14ac:dyDescent="0.35">
      <c r="A47" s="233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</row>
    <row r="48" spans="1:18" ht="22.05" customHeight="1" thickTop="1" thickBot="1" x14ac:dyDescent="0.35">
      <c r="A48" s="201" t="s">
        <v>8</v>
      </c>
      <c r="B48" s="202"/>
      <c r="C48" s="202"/>
      <c r="D48" s="202"/>
      <c r="E48" s="202"/>
      <c r="F48" s="203"/>
      <c r="G48" s="18">
        <v>46075</v>
      </c>
      <c r="H48" s="209" t="s">
        <v>9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76" t="s">
        <v>28</v>
      </c>
      <c r="B50" s="76" t="s">
        <v>362</v>
      </c>
      <c r="C50" s="77">
        <v>0.63194444444444442</v>
      </c>
      <c r="D50" s="76" t="s">
        <v>30</v>
      </c>
      <c r="E50" s="78"/>
      <c r="F50" s="76" t="s">
        <v>35</v>
      </c>
      <c r="G50" s="208"/>
      <c r="H50" s="79" t="s">
        <v>362</v>
      </c>
      <c r="I50" s="80">
        <v>0</v>
      </c>
      <c r="J50" s="81">
        <v>0</v>
      </c>
      <c r="K50" s="82" t="s">
        <v>36</v>
      </c>
      <c r="L50" s="81">
        <v>0</v>
      </c>
      <c r="M50" s="81">
        <v>0</v>
      </c>
      <c r="N50" s="81">
        <v>0</v>
      </c>
      <c r="O50" s="83" t="s">
        <v>281</v>
      </c>
      <c r="P50" s="84">
        <v>0.63194444444444442</v>
      </c>
      <c r="Q50" s="81">
        <v>179</v>
      </c>
      <c r="R50" s="85" t="s">
        <v>36</v>
      </c>
    </row>
    <row r="51" spans="1:18" ht="17.399999999999999" customHeight="1" thickBot="1" x14ac:dyDescent="0.3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</row>
    <row r="52" spans="1:18" ht="22.05" customHeight="1" thickTop="1" thickBot="1" x14ac:dyDescent="0.35">
      <c r="A52" s="201" t="s">
        <v>8</v>
      </c>
      <c r="B52" s="202"/>
      <c r="C52" s="202"/>
      <c r="D52" s="202"/>
      <c r="E52" s="202"/>
      <c r="F52" s="203"/>
      <c r="G52" s="18">
        <v>46079</v>
      </c>
      <c r="H52" s="209" t="s">
        <v>9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36" t="s">
        <v>28</v>
      </c>
      <c r="B54" s="36" t="s">
        <v>362</v>
      </c>
      <c r="C54" s="37">
        <v>0.63194444444444442</v>
      </c>
      <c r="D54" s="36" t="s">
        <v>30</v>
      </c>
      <c r="E54" s="38"/>
      <c r="F54" s="36" t="s">
        <v>35</v>
      </c>
      <c r="G54" s="204"/>
      <c r="H54" s="39" t="s">
        <v>362</v>
      </c>
      <c r="I54" s="40">
        <v>0</v>
      </c>
      <c r="J54" s="41">
        <v>0</v>
      </c>
      <c r="K54" s="42" t="s">
        <v>36</v>
      </c>
      <c r="L54" s="41">
        <v>0</v>
      </c>
      <c r="M54" s="41">
        <v>0</v>
      </c>
      <c r="N54" s="41">
        <v>0</v>
      </c>
      <c r="O54" s="43" t="s">
        <v>281</v>
      </c>
      <c r="P54" s="44">
        <v>0.63194444444444442</v>
      </c>
      <c r="Q54" s="41">
        <v>179</v>
      </c>
      <c r="R54" s="45" t="s">
        <v>36</v>
      </c>
    </row>
    <row r="55" spans="1:18" ht="17.399999999999999" customHeight="1" thickBot="1" x14ac:dyDescent="0.3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</row>
    <row r="56" spans="1:18" ht="22.05" customHeight="1" thickTop="1" thickBot="1" x14ac:dyDescent="0.35">
      <c r="A56" s="201" t="s">
        <v>8</v>
      </c>
      <c r="B56" s="202"/>
      <c r="C56" s="202"/>
      <c r="D56" s="202"/>
      <c r="E56" s="202"/>
      <c r="F56" s="203"/>
      <c r="G56" s="18">
        <v>46080</v>
      </c>
      <c r="H56" s="209" t="s">
        <v>9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76" t="s">
        <v>28</v>
      </c>
      <c r="B58" s="76" t="s">
        <v>362</v>
      </c>
      <c r="C58" s="77">
        <v>0.82986111111111116</v>
      </c>
      <c r="D58" s="76" t="s">
        <v>30</v>
      </c>
      <c r="E58" s="78"/>
      <c r="F58" s="76" t="s">
        <v>31</v>
      </c>
      <c r="G58" s="204"/>
      <c r="H58" s="79" t="s">
        <v>362</v>
      </c>
      <c r="I58" s="80">
        <v>5.5999999999999999E-3</v>
      </c>
      <c r="J58" s="81">
        <v>1</v>
      </c>
      <c r="K58" s="82" t="s">
        <v>368</v>
      </c>
      <c r="L58" s="81">
        <v>1</v>
      </c>
      <c r="M58" s="81">
        <v>0</v>
      </c>
      <c r="N58" s="81">
        <v>0</v>
      </c>
      <c r="O58" s="83" t="s">
        <v>281</v>
      </c>
      <c r="P58" s="84">
        <v>0.82986111111111116</v>
      </c>
      <c r="Q58" s="81">
        <v>179</v>
      </c>
      <c r="R58" s="85" t="s">
        <v>147</v>
      </c>
    </row>
    <row r="59" spans="1:18" ht="17.399999999999999" customHeight="1" thickBot="1" x14ac:dyDescent="0.3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</row>
    <row r="60" spans="1:18" ht="22.05" customHeight="1" thickTop="1" thickBot="1" x14ac:dyDescent="0.35">
      <c r="A60" s="201" t="s">
        <v>8</v>
      </c>
      <c r="B60" s="202"/>
      <c r="C60" s="202"/>
      <c r="D60" s="202"/>
      <c r="E60" s="202"/>
      <c r="F60" s="203"/>
      <c r="G60" s="18">
        <v>46082</v>
      </c>
      <c r="H60" s="209" t="s">
        <v>9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x14ac:dyDescent="0.45">
      <c r="A62" s="87" t="s">
        <v>28</v>
      </c>
      <c r="B62" s="87" t="s">
        <v>362</v>
      </c>
      <c r="C62" s="88">
        <v>0.63194444444444442</v>
      </c>
      <c r="D62" s="87" t="s">
        <v>30</v>
      </c>
      <c r="E62" s="89"/>
      <c r="F62" s="87" t="s">
        <v>35</v>
      </c>
      <c r="G62" s="204"/>
      <c r="H62" s="90" t="s">
        <v>362</v>
      </c>
      <c r="I62" s="91">
        <v>0</v>
      </c>
      <c r="J62" s="92">
        <v>0</v>
      </c>
      <c r="K62" s="93" t="s">
        <v>36</v>
      </c>
      <c r="L62" s="92">
        <v>0</v>
      </c>
      <c r="M62" s="92">
        <v>0</v>
      </c>
      <c r="N62" s="92">
        <v>0</v>
      </c>
      <c r="O62" s="94" t="s">
        <v>133</v>
      </c>
      <c r="P62" s="95">
        <v>0.63194444444444442</v>
      </c>
      <c r="Q62" s="92">
        <v>179</v>
      </c>
      <c r="R62" s="96" t="s">
        <v>36</v>
      </c>
    </row>
  </sheetData>
  <mergeCells count="66">
    <mergeCell ref="G62"/>
    <mergeCell ref="G18"/>
    <mergeCell ref="A24:F24"/>
    <mergeCell ref="A39:R39"/>
    <mergeCell ref="A15:R15"/>
    <mergeCell ref="A59:R59"/>
    <mergeCell ref="A60:F60"/>
    <mergeCell ref="A36:F36"/>
    <mergeCell ref="G34"/>
    <mergeCell ref="A51:R51"/>
    <mergeCell ref="H48:R48"/>
    <mergeCell ref="G30"/>
    <mergeCell ref="H24:R24"/>
    <mergeCell ref="G58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G6"/>
    <mergeCell ref="H12:R12"/>
    <mergeCell ref="A11:R11"/>
    <mergeCell ref="G14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17"/>
  <sheetViews>
    <sheetView workbookViewId="0"/>
  </sheetViews>
  <sheetFormatPr defaultRowHeight="15.6" outlineLevelCol="1" x14ac:dyDescent="0.3"/>
  <cols>
    <col min="1" max="1" width="9.88671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7.8867187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109</v>
      </c>
      <c r="B2" s="222">
        <v>46051</v>
      </c>
      <c r="C2" s="223" t="s">
        <v>362</v>
      </c>
      <c r="D2" s="224" t="s">
        <v>369</v>
      </c>
      <c r="E2" s="223" t="s">
        <v>361</v>
      </c>
      <c r="F2" s="223" t="s">
        <v>111</v>
      </c>
      <c r="G2" s="225">
        <v>1.6799999999999999E-2</v>
      </c>
      <c r="H2" s="226">
        <v>179</v>
      </c>
      <c r="I2" s="226">
        <v>3</v>
      </c>
      <c r="J2" s="226">
        <v>0</v>
      </c>
      <c r="K2" s="223" t="s">
        <v>112</v>
      </c>
      <c r="L2" s="227" t="s">
        <v>167</v>
      </c>
      <c r="M2" s="226">
        <v>0</v>
      </c>
      <c r="N2" s="226">
        <v>0</v>
      </c>
      <c r="O2" s="226">
        <v>3</v>
      </c>
      <c r="P2" s="223" t="s">
        <v>140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6" t="s">
        <v>123</v>
      </c>
      <c r="AF2" s="219"/>
      <c r="AG2" s="219"/>
      <c r="AH2" s="219"/>
      <c r="AI2" s="219"/>
      <c r="AJ2" s="219"/>
    </row>
    <row r="3" spans="1:36" x14ac:dyDescent="0.3">
      <c r="A3" s="221" t="s">
        <v>246</v>
      </c>
      <c r="B3" s="222">
        <v>46052</v>
      </c>
      <c r="C3" s="223" t="s">
        <v>362</v>
      </c>
      <c r="D3" s="224" t="s">
        <v>256</v>
      </c>
      <c r="E3" s="223" t="s">
        <v>361</v>
      </c>
      <c r="F3" s="223" t="s">
        <v>111</v>
      </c>
      <c r="G3" s="225">
        <v>5.0299999999999997E-2</v>
      </c>
      <c r="H3" s="226">
        <v>179</v>
      </c>
      <c r="I3" s="226">
        <v>9</v>
      </c>
      <c r="J3" s="226">
        <v>0</v>
      </c>
      <c r="K3" s="223" t="s">
        <v>112</v>
      </c>
      <c r="L3" s="227" t="s">
        <v>32</v>
      </c>
      <c r="M3" s="226">
        <v>0</v>
      </c>
      <c r="N3" s="226">
        <v>0</v>
      </c>
      <c r="O3" s="226">
        <v>9</v>
      </c>
      <c r="P3" s="223" t="s">
        <v>126</v>
      </c>
      <c r="Q3" s="219"/>
      <c r="R3" s="219"/>
      <c r="S3" s="219"/>
      <c r="T3" s="219"/>
      <c r="U3" s="219"/>
      <c r="V3" s="219"/>
      <c r="W3" s="219"/>
      <c r="X3" s="219"/>
      <c r="Y3" s="226" t="s">
        <v>136</v>
      </c>
      <c r="Z3" s="219"/>
      <c r="AA3" s="226" t="s">
        <v>293</v>
      </c>
      <c r="AB3" s="219"/>
      <c r="AC3" s="219"/>
      <c r="AD3" s="226" t="s">
        <v>56</v>
      </c>
      <c r="AE3" s="226" t="s">
        <v>117</v>
      </c>
      <c r="AF3" s="219"/>
      <c r="AG3" s="219"/>
      <c r="AH3" s="219"/>
      <c r="AI3" s="219"/>
      <c r="AJ3" s="219"/>
    </row>
    <row r="4" spans="1:36" x14ac:dyDescent="0.3">
      <c r="A4" s="221" t="s">
        <v>115</v>
      </c>
      <c r="B4" s="222">
        <v>46054</v>
      </c>
      <c r="C4" s="223" t="s">
        <v>362</v>
      </c>
      <c r="D4" s="224" t="s">
        <v>369</v>
      </c>
      <c r="E4" s="223" t="s">
        <v>361</v>
      </c>
      <c r="F4" s="223" t="s">
        <v>111</v>
      </c>
      <c r="G4" s="225">
        <v>1.12E-2</v>
      </c>
      <c r="H4" s="226">
        <v>179</v>
      </c>
      <c r="I4" s="226">
        <v>2</v>
      </c>
      <c r="J4" s="226">
        <v>0</v>
      </c>
      <c r="K4" s="223" t="s">
        <v>112</v>
      </c>
      <c r="L4" s="227" t="s">
        <v>179</v>
      </c>
      <c r="M4" s="226">
        <v>0</v>
      </c>
      <c r="N4" s="226">
        <v>0</v>
      </c>
      <c r="O4" s="226">
        <v>2</v>
      </c>
      <c r="P4" s="223" t="s">
        <v>278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26" t="s">
        <v>117</v>
      </c>
      <c r="AF4" s="219"/>
      <c r="AG4" s="219"/>
      <c r="AH4" s="219"/>
      <c r="AI4" s="219"/>
      <c r="AJ4" s="219"/>
    </row>
    <row r="5" spans="1:36" x14ac:dyDescent="0.3">
      <c r="A5" s="221" t="s">
        <v>109</v>
      </c>
      <c r="B5" s="222">
        <v>46058</v>
      </c>
      <c r="C5" s="223" t="s">
        <v>362</v>
      </c>
      <c r="D5" s="224" t="s">
        <v>369</v>
      </c>
      <c r="E5" s="223" t="s">
        <v>361</v>
      </c>
      <c r="F5" s="223" t="s">
        <v>111</v>
      </c>
      <c r="G5" s="225">
        <v>3.3500000000000002E-2</v>
      </c>
      <c r="H5" s="226">
        <v>179</v>
      </c>
      <c r="I5" s="226">
        <v>6</v>
      </c>
      <c r="J5" s="226">
        <v>0</v>
      </c>
      <c r="K5" s="223" t="s">
        <v>112</v>
      </c>
      <c r="L5" s="227" t="s">
        <v>59</v>
      </c>
      <c r="M5" s="226">
        <v>0</v>
      </c>
      <c r="N5" s="226">
        <v>0</v>
      </c>
      <c r="O5" s="226">
        <v>6</v>
      </c>
      <c r="P5" s="223" t="s">
        <v>43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26" t="s">
        <v>66</v>
      </c>
      <c r="AE5" s="226" t="s">
        <v>140</v>
      </c>
      <c r="AF5" s="226" t="s">
        <v>124</v>
      </c>
      <c r="AG5" s="219"/>
      <c r="AH5" s="219"/>
      <c r="AI5" s="219"/>
      <c r="AJ5" s="219"/>
    </row>
    <row r="6" spans="1:36" x14ac:dyDescent="0.3">
      <c r="A6" s="221" t="s">
        <v>246</v>
      </c>
      <c r="B6" s="222">
        <v>46059</v>
      </c>
      <c r="C6" s="223" t="s">
        <v>362</v>
      </c>
      <c r="D6" s="224" t="s">
        <v>256</v>
      </c>
      <c r="E6" s="223" t="s">
        <v>361</v>
      </c>
      <c r="F6" s="223" t="s">
        <v>111</v>
      </c>
      <c r="G6" s="225">
        <v>2.7900000000000001E-2</v>
      </c>
      <c r="H6" s="226">
        <v>179</v>
      </c>
      <c r="I6" s="226">
        <v>5</v>
      </c>
      <c r="J6" s="226">
        <v>0</v>
      </c>
      <c r="K6" s="223" t="s">
        <v>112</v>
      </c>
      <c r="L6" s="227" t="s">
        <v>63</v>
      </c>
      <c r="M6" s="226">
        <v>0</v>
      </c>
      <c r="N6" s="226">
        <v>0</v>
      </c>
      <c r="O6" s="226">
        <v>5</v>
      </c>
      <c r="P6" s="223" t="s">
        <v>117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26" t="s">
        <v>140</v>
      </c>
      <c r="AF6" s="226" t="s">
        <v>124</v>
      </c>
      <c r="AG6" s="219"/>
      <c r="AH6" s="219"/>
      <c r="AI6" s="219"/>
      <c r="AJ6" s="219"/>
    </row>
    <row r="7" spans="1:36" x14ac:dyDescent="0.3">
      <c r="A7" s="221" t="s">
        <v>115</v>
      </c>
      <c r="B7" s="222">
        <v>46061</v>
      </c>
      <c r="C7" s="223" t="s">
        <v>362</v>
      </c>
      <c r="D7" s="224" t="s">
        <v>369</v>
      </c>
      <c r="E7" s="223" t="s">
        <v>361</v>
      </c>
      <c r="F7" s="223" t="s">
        <v>111</v>
      </c>
      <c r="G7" s="225">
        <v>0</v>
      </c>
      <c r="H7" s="226">
        <v>179</v>
      </c>
      <c r="I7" s="226">
        <v>0</v>
      </c>
      <c r="J7" s="226">
        <v>0</v>
      </c>
      <c r="K7" s="223" t="s">
        <v>112</v>
      </c>
      <c r="L7" s="227" t="s">
        <v>36</v>
      </c>
      <c r="M7" s="226">
        <v>0</v>
      </c>
      <c r="N7" s="226">
        <v>0</v>
      </c>
      <c r="O7" s="226">
        <v>0</v>
      </c>
      <c r="P7" s="223" t="s">
        <v>276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</row>
    <row r="8" spans="1:36" x14ac:dyDescent="0.3">
      <c r="A8" s="221" t="s">
        <v>109</v>
      </c>
      <c r="B8" s="222">
        <v>46065</v>
      </c>
      <c r="C8" s="223" t="s">
        <v>362</v>
      </c>
      <c r="D8" s="224" t="s">
        <v>369</v>
      </c>
      <c r="E8" s="223" t="s">
        <v>361</v>
      </c>
      <c r="F8" s="223" t="s">
        <v>111</v>
      </c>
      <c r="G8" s="225">
        <v>0</v>
      </c>
      <c r="H8" s="226">
        <v>179</v>
      </c>
      <c r="I8" s="226">
        <v>0</v>
      </c>
      <c r="J8" s="226">
        <v>0</v>
      </c>
      <c r="K8" s="223" t="s">
        <v>112</v>
      </c>
      <c r="L8" s="227" t="s">
        <v>36</v>
      </c>
      <c r="M8" s="226">
        <v>0</v>
      </c>
      <c r="N8" s="226">
        <v>0</v>
      </c>
      <c r="O8" s="226">
        <v>0</v>
      </c>
      <c r="P8" s="223" t="s">
        <v>281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246</v>
      </c>
      <c r="B9" s="222">
        <v>46066</v>
      </c>
      <c r="C9" s="223" t="s">
        <v>362</v>
      </c>
      <c r="D9" s="224" t="s">
        <v>256</v>
      </c>
      <c r="E9" s="223" t="s">
        <v>361</v>
      </c>
      <c r="F9" s="223" t="s">
        <v>111</v>
      </c>
      <c r="G9" s="225">
        <v>2.23E-2</v>
      </c>
      <c r="H9" s="226">
        <v>179</v>
      </c>
      <c r="I9" s="226">
        <v>4</v>
      </c>
      <c r="J9" s="226">
        <v>0</v>
      </c>
      <c r="K9" s="223" t="s">
        <v>112</v>
      </c>
      <c r="L9" s="227" t="s">
        <v>366</v>
      </c>
      <c r="M9" s="226">
        <v>0</v>
      </c>
      <c r="N9" s="226">
        <v>0</v>
      </c>
      <c r="O9" s="226">
        <v>4</v>
      </c>
      <c r="P9" s="223" t="s">
        <v>281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26" t="s">
        <v>43</v>
      </c>
      <c r="AF9" s="226" t="s">
        <v>60</v>
      </c>
      <c r="AG9" s="219"/>
      <c r="AH9" s="219"/>
      <c r="AI9" s="219"/>
      <c r="AJ9" s="219"/>
    </row>
    <row r="10" spans="1:36" x14ac:dyDescent="0.3">
      <c r="A10" s="221" t="s">
        <v>115</v>
      </c>
      <c r="B10" s="222">
        <v>46068</v>
      </c>
      <c r="C10" s="223" t="s">
        <v>362</v>
      </c>
      <c r="D10" s="224" t="s">
        <v>369</v>
      </c>
      <c r="E10" s="223" t="s">
        <v>361</v>
      </c>
      <c r="F10" s="223" t="s">
        <v>111</v>
      </c>
      <c r="G10" s="225">
        <v>1.12E-2</v>
      </c>
      <c r="H10" s="226">
        <v>179</v>
      </c>
      <c r="I10" s="226">
        <v>2</v>
      </c>
      <c r="J10" s="226">
        <v>0</v>
      </c>
      <c r="K10" s="223" t="s">
        <v>112</v>
      </c>
      <c r="L10" s="227" t="s">
        <v>59</v>
      </c>
      <c r="M10" s="226">
        <v>0</v>
      </c>
      <c r="N10" s="226">
        <v>0</v>
      </c>
      <c r="O10" s="226">
        <v>2</v>
      </c>
      <c r="P10" s="223" t="s">
        <v>281</v>
      </c>
      <c r="Q10" s="219"/>
      <c r="R10" s="219"/>
      <c r="S10" s="219"/>
      <c r="T10" s="219"/>
      <c r="U10" s="219"/>
      <c r="V10" s="219"/>
      <c r="W10" s="219"/>
      <c r="X10" s="219"/>
      <c r="Y10" s="226" t="s">
        <v>136</v>
      </c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109</v>
      </c>
      <c r="B11" s="222">
        <v>46072</v>
      </c>
      <c r="C11" s="223" t="s">
        <v>362</v>
      </c>
      <c r="D11" s="224" t="s">
        <v>369</v>
      </c>
      <c r="E11" s="223" t="s">
        <v>361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281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x14ac:dyDescent="0.3">
      <c r="A12" s="221" t="s">
        <v>246</v>
      </c>
      <c r="B12" s="222">
        <v>46073</v>
      </c>
      <c r="C12" s="223" t="s">
        <v>362</v>
      </c>
      <c r="D12" s="224" t="s">
        <v>256</v>
      </c>
      <c r="E12" s="223" t="s">
        <v>361</v>
      </c>
      <c r="F12" s="223" t="s">
        <v>111</v>
      </c>
      <c r="G12" s="225">
        <v>0</v>
      </c>
      <c r="H12" s="226">
        <v>179</v>
      </c>
      <c r="I12" s="226">
        <v>0</v>
      </c>
      <c r="J12" s="226">
        <v>0</v>
      </c>
      <c r="K12" s="223" t="s">
        <v>112</v>
      </c>
      <c r="L12" s="227" t="s">
        <v>36</v>
      </c>
      <c r="M12" s="226">
        <v>0</v>
      </c>
      <c r="N12" s="226">
        <v>0</v>
      </c>
      <c r="O12" s="226">
        <v>0</v>
      </c>
      <c r="P12" s="223" t="s">
        <v>281</v>
      </c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</row>
    <row r="13" spans="1:36" x14ac:dyDescent="0.3">
      <c r="A13" s="221" t="s">
        <v>115</v>
      </c>
      <c r="B13" s="222">
        <v>46075</v>
      </c>
      <c r="C13" s="223" t="s">
        <v>362</v>
      </c>
      <c r="D13" s="224" t="s">
        <v>369</v>
      </c>
      <c r="E13" s="223" t="s">
        <v>361</v>
      </c>
      <c r="F13" s="223" t="s">
        <v>111</v>
      </c>
      <c r="G13" s="225">
        <v>0</v>
      </c>
      <c r="H13" s="226">
        <v>179</v>
      </c>
      <c r="I13" s="226">
        <v>0</v>
      </c>
      <c r="J13" s="226">
        <v>0</v>
      </c>
      <c r="K13" s="223" t="s">
        <v>112</v>
      </c>
      <c r="L13" s="227" t="s">
        <v>36</v>
      </c>
      <c r="M13" s="226">
        <v>0</v>
      </c>
      <c r="N13" s="226">
        <v>0</v>
      </c>
      <c r="O13" s="226">
        <v>0</v>
      </c>
      <c r="P13" s="223" t="s">
        <v>281</v>
      </c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</row>
    <row r="14" spans="1:36" x14ac:dyDescent="0.3">
      <c r="A14" s="221" t="s">
        <v>109</v>
      </c>
      <c r="B14" s="222">
        <v>46079</v>
      </c>
      <c r="C14" s="223" t="s">
        <v>362</v>
      </c>
      <c r="D14" s="224" t="s">
        <v>369</v>
      </c>
      <c r="E14" s="223" t="s">
        <v>361</v>
      </c>
      <c r="F14" s="223" t="s">
        <v>111</v>
      </c>
      <c r="G14" s="225">
        <v>0</v>
      </c>
      <c r="H14" s="226">
        <v>179</v>
      </c>
      <c r="I14" s="226">
        <v>0</v>
      </c>
      <c r="J14" s="226">
        <v>0</v>
      </c>
      <c r="K14" s="223" t="s">
        <v>112</v>
      </c>
      <c r="L14" s="227" t="s">
        <v>36</v>
      </c>
      <c r="M14" s="226">
        <v>0</v>
      </c>
      <c r="N14" s="226">
        <v>0</v>
      </c>
      <c r="O14" s="226">
        <v>0</v>
      </c>
      <c r="P14" s="223" t="s">
        <v>281</v>
      </c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</row>
    <row r="15" spans="1:36" x14ac:dyDescent="0.3">
      <c r="A15" s="221" t="s">
        <v>246</v>
      </c>
      <c r="B15" s="222">
        <v>46080</v>
      </c>
      <c r="C15" s="223" t="s">
        <v>362</v>
      </c>
      <c r="D15" s="224" t="s">
        <v>256</v>
      </c>
      <c r="E15" s="223" t="s">
        <v>361</v>
      </c>
      <c r="F15" s="223" t="s">
        <v>111</v>
      </c>
      <c r="G15" s="225">
        <v>5.5999999999999999E-3</v>
      </c>
      <c r="H15" s="226">
        <v>179</v>
      </c>
      <c r="I15" s="226">
        <v>1</v>
      </c>
      <c r="J15" s="226">
        <v>0</v>
      </c>
      <c r="K15" s="223" t="s">
        <v>112</v>
      </c>
      <c r="L15" s="227" t="s">
        <v>368</v>
      </c>
      <c r="M15" s="226">
        <v>0</v>
      </c>
      <c r="N15" s="226">
        <v>0</v>
      </c>
      <c r="O15" s="226">
        <v>1</v>
      </c>
      <c r="P15" s="223" t="s">
        <v>281</v>
      </c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26" t="s">
        <v>147</v>
      </c>
      <c r="AD15" s="219"/>
      <c r="AE15" s="219"/>
      <c r="AF15" s="219"/>
      <c r="AG15" s="219"/>
      <c r="AH15" s="219"/>
      <c r="AI15" s="219"/>
      <c r="AJ15" s="219"/>
    </row>
    <row r="16" spans="1:36" x14ac:dyDescent="0.3">
      <c r="A16" s="221" t="s">
        <v>115</v>
      </c>
      <c r="B16" s="222">
        <v>46082</v>
      </c>
      <c r="C16" s="223" t="s">
        <v>362</v>
      </c>
      <c r="D16" s="224" t="s">
        <v>369</v>
      </c>
      <c r="E16" s="223" t="s">
        <v>361</v>
      </c>
      <c r="F16" s="223" t="s">
        <v>111</v>
      </c>
      <c r="G16" s="225">
        <v>0</v>
      </c>
      <c r="H16" s="226">
        <v>179</v>
      </c>
      <c r="I16" s="226">
        <v>0</v>
      </c>
      <c r="J16" s="226">
        <v>0</v>
      </c>
      <c r="K16" s="223" t="s">
        <v>112</v>
      </c>
      <c r="L16" s="227" t="s">
        <v>36</v>
      </c>
      <c r="M16" s="226">
        <v>0</v>
      </c>
      <c r="N16" s="226">
        <v>0</v>
      </c>
      <c r="O16" s="226">
        <v>0</v>
      </c>
      <c r="P16" s="223" t="s">
        <v>133</v>
      </c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</row>
    <row r="17" spans="1:36" ht="21" x14ac:dyDescent="0.3">
      <c r="A17" s="228" t="s">
        <v>377</v>
      </c>
      <c r="B17" s="229"/>
      <c r="C17" s="228">
        <f>SUBTOTAL(103,CAI_ELQ_LF_LEGACY[Flt])</f>
        <v>15</v>
      </c>
      <c r="D17" s="228"/>
      <c r="E17" s="228">
        <f>SUBTOTAL(103,CAI_ELQ_LF_LEGACY[Brd-Off])</f>
        <v>15</v>
      </c>
      <c r="F17" s="228"/>
      <c r="G17" s="230">
        <f>SUBTOTAL(101,CAI_ELQ_LF_LEGACY[LF%])</f>
        <v>1.1919999999999997E-2</v>
      </c>
      <c r="H17" s="231">
        <f>SUBTOTAL(109,CAI_ELQ_LF_LEGACY[CAP])</f>
        <v>2685</v>
      </c>
      <c r="I17" s="231">
        <f>SUBTOTAL(109,CAI_ELQ_LF_LEGACY[BKG(Y)])</f>
        <v>32</v>
      </c>
      <c r="J17" s="231">
        <f>SUBTOTAL(109,CAI_ELQ_LF_LEGACY[GRP(Y)])</f>
        <v>0</v>
      </c>
      <c r="K17" s="228"/>
      <c r="L17" s="229"/>
      <c r="M17" s="231">
        <f>SUBTOTAL(109,CAI_ELQ_LF_LEGACY[TO-DAY])</f>
        <v>0</v>
      </c>
      <c r="N17" s="231">
        <f>SUBTOTAL(109,CAI_ELQ_LF_LEGACY[Y-DAY])</f>
        <v>0</v>
      </c>
      <c r="O17" s="231">
        <f>SUBTOTAL(109,CAI_ELQ_LF_LEGACY[WEEKLY])</f>
        <v>32</v>
      </c>
      <c r="P17" s="232"/>
      <c r="Q17" s="231">
        <f>SUBTOTAL(109,CAI_ELQ_LF_LEGACY[Y])</f>
        <v>0</v>
      </c>
      <c r="R17" s="231">
        <f>SUBTOTAL(109,CAI_ELQ_LF_LEGACY[B])</f>
        <v>0</v>
      </c>
      <c r="S17" s="231">
        <f>SUBTOTAL(109,CAI_ELQ_LF_LEGACY[M])</f>
        <v>0</v>
      </c>
      <c r="T17" s="231">
        <f>SUBTOTAL(109,CAI_ELQ_LF_LEGACY[H])</f>
        <v>0</v>
      </c>
      <c r="U17" s="231">
        <f>SUBTOTAL(109,CAI_ELQ_LF_LEGACY[Q])</f>
        <v>0</v>
      </c>
      <c r="V17" s="231">
        <f>SUBTOTAL(109,CAI_ELQ_LF_LEGACY[K])</f>
        <v>0</v>
      </c>
      <c r="W17" s="231">
        <f>SUBTOTAL(109,CAI_ELQ_LF_LEGACY[V])</f>
        <v>0</v>
      </c>
      <c r="X17" s="231">
        <f>SUBTOTAL(109,CAI_ELQ_LF_LEGACY[L])</f>
        <v>0</v>
      </c>
      <c r="Y17" s="231">
        <f>SUBTOTAL(109,CAI_ELQ_LF_LEGACY[G])</f>
        <v>0</v>
      </c>
      <c r="Z17" s="231">
        <f>SUBTOTAL(109,CAI_ELQ_LF_LEGACY[S])</f>
        <v>0</v>
      </c>
      <c r="AA17" s="231">
        <f>SUBTOTAL(109,CAI_ELQ_LF_LEGACY[W])</f>
        <v>0</v>
      </c>
      <c r="AB17" s="231">
        <f>SUBTOTAL(109,CAI_ELQ_LF_LEGACY[T])</f>
        <v>0</v>
      </c>
      <c r="AC17" s="231">
        <f>SUBTOTAL(109,CAI_ELQ_LF_LEGACY[X])</f>
        <v>0</v>
      </c>
      <c r="AD17" s="231">
        <f>SUBTOTAL(109,CAI_ELQ_LF_LEGACY[U])</f>
        <v>0</v>
      </c>
      <c r="AE17" s="231">
        <f>SUBTOTAL(109,CAI_ELQ_LF_LEGACY[O])</f>
        <v>0</v>
      </c>
      <c r="AF17" s="231">
        <f>SUBTOTAL(109,CAI_ELQ_LF_LEGACY[I])</f>
        <v>0</v>
      </c>
      <c r="AG17" s="231">
        <f>SUBTOTAL(109,CAI_ELQ_LF_LEGACY[E])</f>
        <v>0</v>
      </c>
      <c r="AH17" s="231">
        <f>SUBTOTAL(109,CAI_ELQ_LF_LEGACY[A])</f>
        <v>0</v>
      </c>
      <c r="AI17" s="231">
        <f>SUBTOTAL(109,CAI_ELQ_LF_LEGACY[P])</f>
        <v>0</v>
      </c>
      <c r="AJ17" s="231">
        <f>SUBTOTAL(103,CAI_ELQ_LF_LEGACY[N])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4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.6640625" bestFit="1" customWidth="1"/>
  </cols>
  <sheetData>
    <row r="1" spans="1:92" ht="28.8" customHeight="1" x14ac:dyDescent="0.3">
      <c r="A1" s="207" t="s">
        <v>0</v>
      </c>
      <c r="B1" s="206"/>
      <c r="C1" s="206"/>
      <c r="D1" s="206"/>
      <c r="E1" s="206"/>
      <c r="F1" s="1" t="s">
        <v>370</v>
      </c>
      <c r="G1" s="2" t="s">
        <v>2</v>
      </c>
      <c r="H1" s="205" t="s">
        <v>3</v>
      </c>
      <c r="I1" s="206"/>
      <c r="J1" s="206"/>
      <c r="K1" s="206"/>
      <c r="L1" s="206"/>
      <c r="M1" s="1" t="s">
        <v>4</v>
      </c>
      <c r="N1" s="212" t="s">
        <v>5</v>
      </c>
      <c r="O1" s="206"/>
      <c r="P1" s="206"/>
      <c r="Q1" s="206"/>
      <c r="R1" s="20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6</v>
      </c>
      <c r="B2" s="206"/>
      <c r="C2" s="206"/>
      <c r="D2" s="206"/>
      <c r="E2" s="206"/>
      <c r="F2" s="206"/>
      <c r="G2" s="211">
        <v>45984.112470456748</v>
      </c>
      <c r="H2" s="206"/>
      <c r="I2" s="206"/>
      <c r="J2" s="206"/>
      <c r="K2" s="213">
        <v>45984.112470457272</v>
      </c>
      <c r="L2" s="206"/>
      <c r="M2" s="206"/>
      <c r="N2" s="206"/>
      <c r="O2" s="206"/>
      <c r="P2" s="206"/>
      <c r="Q2" s="206"/>
      <c r="R2" s="20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5" t="s">
        <v>7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6" t="s">
        <v>8</v>
      </c>
      <c r="B4" s="202"/>
      <c r="C4" s="202"/>
      <c r="D4" s="202"/>
      <c r="E4" s="202"/>
      <c r="F4" s="203"/>
      <c r="G4" s="4">
        <v>46051</v>
      </c>
      <c r="H4" s="214" t="s">
        <v>9</v>
      </c>
      <c r="I4" s="202"/>
      <c r="J4" s="202"/>
      <c r="K4" s="202"/>
      <c r="L4" s="202"/>
      <c r="M4" s="202"/>
      <c r="N4" s="202"/>
      <c r="O4" s="202"/>
      <c r="P4" s="202"/>
      <c r="Q4" s="202"/>
      <c r="R4" s="20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6" t="s">
        <v>28</v>
      </c>
      <c r="B6" s="66" t="s">
        <v>371</v>
      </c>
      <c r="C6" s="67">
        <v>0.8125</v>
      </c>
      <c r="D6" s="66" t="s">
        <v>30</v>
      </c>
      <c r="E6" s="68"/>
      <c r="F6" s="66" t="s">
        <v>35</v>
      </c>
      <c r="G6" s="204"/>
      <c r="H6" s="69" t="s">
        <v>371</v>
      </c>
      <c r="I6" s="70">
        <v>0</v>
      </c>
      <c r="J6" s="71">
        <v>0</v>
      </c>
      <c r="K6" s="72" t="s">
        <v>36</v>
      </c>
      <c r="L6" s="71">
        <v>0</v>
      </c>
      <c r="M6" s="71">
        <v>0</v>
      </c>
      <c r="N6" s="71">
        <v>0</v>
      </c>
      <c r="O6" s="73" t="s">
        <v>276</v>
      </c>
      <c r="P6" s="74">
        <v>0.8125</v>
      </c>
      <c r="Q6" s="71">
        <v>179</v>
      </c>
      <c r="R6" s="75" t="s">
        <v>36</v>
      </c>
    </row>
    <row r="7" spans="1:92" ht="17.399999999999999" customHeight="1" thickBot="1" x14ac:dyDescent="0.35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5"/>
    </row>
    <row r="8" spans="1:92" ht="22.05" customHeight="1" thickTop="1" thickBot="1" x14ac:dyDescent="0.35">
      <c r="A8" s="201" t="s">
        <v>8</v>
      </c>
      <c r="B8" s="202"/>
      <c r="C8" s="202"/>
      <c r="D8" s="202"/>
      <c r="E8" s="202"/>
      <c r="F8" s="203"/>
      <c r="G8" s="18">
        <v>46053</v>
      </c>
      <c r="H8" s="209" t="s">
        <v>9</v>
      </c>
      <c r="I8" s="202"/>
      <c r="J8" s="202"/>
      <c r="K8" s="202"/>
      <c r="L8" s="202"/>
      <c r="M8" s="202"/>
      <c r="N8" s="202"/>
      <c r="O8" s="202"/>
      <c r="P8" s="202"/>
      <c r="Q8" s="202"/>
      <c r="R8" s="20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371</v>
      </c>
      <c r="C10" s="57">
        <v>0.8125</v>
      </c>
      <c r="D10" s="56" t="s">
        <v>30</v>
      </c>
      <c r="E10" s="58"/>
      <c r="F10" s="56" t="s">
        <v>31</v>
      </c>
      <c r="G10" s="208"/>
      <c r="H10" s="59" t="s">
        <v>371</v>
      </c>
      <c r="I10" s="60">
        <v>2.23E-2</v>
      </c>
      <c r="J10" s="61">
        <v>4</v>
      </c>
      <c r="K10" s="62" t="s">
        <v>173</v>
      </c>
      <c r="L10" s="61">
        <v>4</v>
      </c>
      <c r="M10" s="61">
        <v>0</v>
      </c>
      <c r="N10" s="61">
        <v>0</v>
      </c>
      <c r="O10" s="63" t="s">
        <v>123</v>
      </c>
      <c r="P10" s="64">
        <v>0.8125</v>
      </c>
      <c r="Q10" s="61">
        <v>179</v>
      </c>
      <c r="R10" s="65" t="s">
        <v>372</v>
      </c>
    </row>
    <row r="11" spans="1:92" ht="17.399999999999999" customHeight="1" thickBot="1" x14ac:dyDescent="0.3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5"/>
    </row>
    <row r="12" spans="1:92" ht="22.05" customHeight="1" thickTop="1" thickBot="1" x14ac:dyDescent="0.35">
      <c r="A12" s="201" t="s">
        <v>8</v>
      </c>
      <c r="B12" s="202"/>
      <c r="C12" s="202"/>
      <c r="D12" s="202"/>
      <c r="E12" s="202"/>
      <c r="F12" s="203"/>
      <c r="G12" s="18">
        <v>46058</v>
      </c>
      <c r="H12" s="209" t="s">
        <v>9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6" t="s">
        <v>28</v>
      </c>
      <c r="B14" s="56" t="s">
        <v>371</v>
      </c>
      <c r="C14" s="57">
        <v>0.8125</v>
      </c>
      <c r="D14" s="56" t="s">
        <v>30</v>
      </c>
      <c r="E14" s="58"/>
      <c r="F14" s="56" t="s">
        <v>31</v>
      </c>
      <c r="G14" s="208"/>
      <c r="H14" s="59" t="s">
        <v>371</v>
      </c>
      <c r="I14" s="60">
        <v>5.5999999999999999E-3</v>
      </c>
      <c r="J14" s="61">
        <v>1</v>
      </c>
      <c r="K14" s="62" t="s">
        <v>179</v>
      </c>
      <c r="L14" s="61">
        <v>1</v>
      </c>
      <c r="M14" s="61">
        <v>0</v>
      </c>
      <c r="N14" s="61">
        <v>0</v>
      </c>
      <c r="O14" s="63" t="s">
        <v>125</v>
      </c>
      <c r="P14" s="64">
        <v>0.8125</v>
      </c>
      <c r="Q14" s="61">
        <v>179</v>
      </c>
      <c r="R14" s="65" t="s">
        <v>43</v>
      </c>
    </row>
    <row r="15" spans="1:92" ht="17.399999999999999" customHeight="1" thickBot="1" x14ac:dyDescent="0.35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</row>
    <row r="16" spans="1:92" ht="22.05" customHeight="1" thickTop="1" thickBot="1" x14ac:dyDescent="0.35">
      <c r="A16" s="201" t="s">
        <v>8</v>
      </c>
      <c r="B16" s="202"/>
      <c r="C16" s="202"/>
      <c r="D16" s="202"/>
      <c r="E16" s="202"/>
      <c r="F16" s="203"/>
      <c r="G16" s="18">
        <v>46060</v>
      </c>
      <c r="H16" s="209" t="s">
        <v>9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56" t="s">
        <v>28</v>
      </c>
      <c r="B18" s="56" t="s">
        <v>371</v>
      </c>
      <c r="C18" s="57">
        <v>0.8125</v>
      </c>
      <c r="D18" s="56" t="s">
        <v>30</v>
      </c>
      <c r="E18" s="58"/>
      <c r="F18" s="56" t="s">
        <v>31</v>
      </c>
      <c r="G18" s="208"/>
      <c r="H18" s="59" t="s">
        <v>371</v>
      </c>
      <c r="I18" s="60">
        <v>2.7900000000000001E-2</v>
      </c>
      <c r="J18" s="61">
        <v>5</v>
      </c>
      <c r="K18" s="62" t="s">
        <v>334</v>
      </c>
      <c r="L18" s="61">
        <v>5</v>
      </c>
      <c r="M18" s="61">
        <v>0</v>
      </c>
      <c r="N18" s="61">
        <v>0</v>
      </c>
      <c r="O18" s="63" t="s">
        <v>117</v>
      </c>
      <c r="P18" s="64">
        <v>0.8125</v>
      </c>
      <c r="Q18" s="61">
        <v>179</v>
      </c>
      <c r="R18" s="65" t="s">
        <v>373</v>
      </c>
    </row>
    <row r="19" spans="1:18" ht="17.399999999999999" customHeight="1" thickBot="1" x14ac:dyDescent="0.35">
      <c r="A19" s="233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</row>
    <row r="20" spans="1:18" ht="22.05" customHeight="1" thickTop="1" thickBot="1" x14ac:dyDescent="0.35">
      <c r="A20" s="201" t="s">
        <v>8</v>
      </c>
      <c r="B20" s="202"/>
      <c r="C20" s="202"/>
      <c r="D20" s="202"/>
      <c r="E20" s="202"/>
      <c r="F20" s="203"/>
      <c r="G20" s="18">
        <v>46065</v>
      </c>
      <c r="H20" s="209" t="s">
        <v>9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66" t="s">
        <v>28</v>
      </c>
      <c r="B22" s="66" t="s">
        <v>371</v>
      </c>
      <c r="C22" s="67">
        <v>0.8125</v>
      </c>
      <c r="D22" s="66" t="s">
        <v>30</v>
      </c>
      <c r="E22" s="68"/>
      <c r="F22" s="66" t="s">
        <v>31</v>
      </c>
      <c r="G22" s="208"/>
      <c r="H22" s="69" t="s">
        <v>371</v>
      </c>
      <c r="I22" s="70">
        <v>1.6799999999999999E-2</v>
      </c>
      <c r="J22" s="71">
        <v>3</v>
      </c>
      <c r="K22" s="72" t="s">
        <v>374</v>
      </c>
      <c r="L22" s="71">
        <v>3</v>
      </c>
      <c r="M22" s="71">
        <v>0</v>
      </c>
      <c r="N22" s="71">
        <v>0</v>
      </c>
      <c r="O22" s="73" t="s">
        <v>281</v>
      </c>
      <c r="P22" s="74">
        <v>0.8125</v>
      </c>
      <c r="Q22" s="71">
        <v>179</v>
      </c>
      <c r="R22" s="75" t="s">
        <v>60</v>
      </c>
    </row>
    <row r="23" spans="1:18" ht="17.399999999999999" customHeight="1" thickBot="1" x14ac:dyDescent="0.3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</row>
    <row r="24" spans="1:18" ht="22.05" customHeight="1" thickTop="1" thickBot="1" x14ac:dyDescent="0.35">
      <c r="A24" s="201" t="s">
        <v>8</v>
      </c>
      <c r="B24" s="202"/>
      <c r="C24" s="202"/>
      <c r="D24" s="202"/>
      <c r="E24" s="202"/>
      <c r="F24" s="203"/>
      <c r="G24" s="18">
        <v>46067</v>
      </c>
      <c r="H24" s="209" t="s">
        <v>9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371</v>
      </c>
      <c r="C26" s="27">
        <v>0.8125</v>
      </c>
      <c r="D26" s="26" t="s">
        <v>30</v>
      </c>
      <c r="E26" s="28"/>
      <c r="F26" s="26" t="s">
        <v>31</v>
      </c>
      <c r="G26" s="204"/>
      <c r="H26" s="29" t="s">
        <v>371</v>
      </c>
      <c r="I26" s="30">
        <v>5.5999999999999999E-3</v>
      </c>
      <c r="J26" s="31">
        <v>1</v>
      </c>
      <c r="K26" s="32" t="s">
        <v>275</v>
      </c>
      <c r="L26" s="31">
        <v>1</v>
      </c>
      <c r="M26" s="31">
        <v>0</v>
      </c>
      <c r="N26" s="31">
        <v>0</v>
      </c>
      <c r="O26" s="33" t="s">
        <v>281</v>
      </c>
      <c r="P26" s="34">
        <v>0.8125</v>
      </c>
      <c r="Q26" s="31">
        <v>179</v>
      </c>
      <c r="R26" s="35" t="s">
        <v>124</v>
      </c>
    </row>
    <row r="27" spans="1:18" ht="17.399999999999999" customHeight="1" thickBot="1" x14ac:dyDescent="0.35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</row>
    <row r="28" spans="1:18" ht="22.05" customHeight="1" thickTop="1" thickBot="1" x14ac:dyDescent="0.35">
      <c r="A28" s="201" t="s">
        <v>8</v>
      </c>
      <c r="B28" s="202"/>
      <c r="C28" s="202"/>
      <c r="D28" s="202"/>
      <c r="E28" s="202"/>
      <c r="F28" s="203"/>
      <c r="G28" s="18">
        <v>46072</v>
      </c>
      <c r="H28" s="209" t="s">
        <v>9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7" t="s">
        <v>28</v>
      </c>
      <c r="B30" s="87" t="s">
        <v>371</v>
      </c>
      <c r="C30" s="88">
        <v>0.8125</v>
      </c>
      <c r="D30" s="87" t="s">
        <v>30</v>
      </c>
      <c r="E30" s="89"/>
      <c r="F30" s="87" t="s">
        <v>31</v>
      </c>
      <c r="G30" s="208"/>
      <c r="H30" s="90" t="s">
        <v>371</v>
      </c>
      <c r="I30" s="91">
        <v>5.5999999999999999E-3</v>
      </c>
      <c r="J30" s="92">
        <v>1</v>
      </c>
      <c r="K30" s="93" t="s">
        <v>375</v>
      </c>
      <c r="L30" s="92">
        <v>1</v>
      </c>
      <c r="M30" s="92">
        <v>0</v>
      </c>
      <c r="N30" s="92">
        <v>0</v>
      </c>
      <c r="O30" s="94" t="s">
        <v>281</v>
      </c>
      <c r="P30" s="95">
        <v>0.8125</v>
      </c>
      <c r="Q30" s="92">
        <v>179</v>
      </c>
      <c r="R30" s="96" t="s">
        <v>147</v>
      </c>
    </row>
    <row r="31" spans="1:18" ht="17.399999999999999" customHeight="1" thickBot="1" x14ac:dyDescent="0.3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</row>
    <row r="32" spans="1:18" ht="22.05" customHeight="1" thickTop="1" thickBot="1" x14ac:dyDescent="0.35">
      <c r="A32" s="201" t="s">
        <v>8</v>
      </c>
      <c r="B32" s="202"/>
      <c r="C32" s="202"/>
      <c r="D32" s="202"/>
      <c r="E32" s="202"/>
      <c r="F32" s="203"/>
      <c r="G32" s="18">
        <v>46074</v>
      </c>
      <c r="H32" s="209" t="s">
        <v>9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371</v>
      </c>
      <c r="C34" s="57">
        <v>0.8125</v>
      </c>
      <c r="D34" s="56" t="s">
        <v>30</v>
      </c>
      <c r="E34" s="58"/>
      <c r="F34" s="56" t="s">
        <v>35</v>
      </c>
      <c r="G34" s="204"/>
      <c r="H34" s="59" t="s">
        <v>371</v>
      </c>
      <c r="I34" s="60">
        <v>0</v>
      </c>
      <c r="J34" s="61">
        <v>0</v>
      </c>
      <c r="K34" s="62" t="s">
        <v>36</v>
      </c>
      <c r="L34" s="61">
        <v>0</v>
      </c>
      <c r="M34" s="61">
        <v>0</v>
      </c>
      <c r="N34" s="61">
        <v>0</v>
      </c>
      <c r="O34" s="63" t="s">
        <v>281</v>
      </c>
      <c r="P34" s="64">
        <v>0.8125</v>
      </c>
      <c r="Q34" s="61">
        <v>179</v>
      </c>
      <c r="R34" s="65" t="s">
        <v>36</v>
      </c>
    </row>
    <row r="35" spans="1:18" ht="17.399999999999999" customHeight="1" thickBot="1" x14ac:dyDescent="0.35">
      <c r="A35" s="233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</row>
    <row r="36" spans="1:18" ht="22.05" customHeight="1" thickTop="1" thickBot="1" x14ac:dyDescent="0.35">
      <c r="A36" s="201" t="s">
        <v>8</v>
      </c>
      <c r="B36" s="202"/>
      <c r="C36" s="202"/>
      <c r="D36" s="202"/>
      <c r="E36" s="202"/>
      <c r="F36" s="203"/>
      <c r="G36" s="18">
        <v>46079</v>
      </c>
      <c r="H36" s="209" t="s">
        <v>9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7" t="s">
        <v>28</v>
      </c>
      <c r="B38" s="87" t="s">
        <v>371</v>
      </c>
      <c r="C38" s="88">
        <v>0.8125</v>
      </c>
      <c r="D38" s="87" t="s">
        <v>30</v>
      </c>
      <c r="E38" s="89"/>
      <c r="F38" s="87" t="s">
        <v>31</v>
      </c>
      <c r="G38" s="208"/>
      <c r="H38" s="90" t="s">
        <v>371</v>
      </c>
      <c r="I38" s="91">
        <v>2.7900000000000001E-2</v>
      </c>
      <c r="J38" s="92">
        <v>5</v>
      </c>
      <c r="K38" s="93" t="s">
        <v>306</v>
      </c>
      <c r="L38" s="92">
        <v>5</v>
      </c>
      <c r="M38" s="92">
        <v>0</v>
      </c>
      <c r="N38" s="92">
        <v>0</v>
      </c>
      <c r="O38" s="94" t="s">
        <v>323</v>
      </c>
      <c r="P38" s="95">
        <v>0.8125</v>
      </c>
      <c r="Q38" s="92">
        <v>179</v>
      </c>
      <c r="R38" s="96" t="s">
        <v>175</v>
      </c>
    </row>
    <row r="39" spans="1:18" ht="17.399999999999999" customHeight="1" thickBot="1" x14ac:dyDescent="0.35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</row>
    <row r="40" spans="1:18" ht="22.05" customHeight="1" thickTop="1" thickBot="1" x14ac:dyDescent="0.35">
      <c r="A40" s="201" t="s">
        <v>8</v>
      </c>
      <c r="B40" s="202"/>
      <c r="C40" s="202"/>
      <c r="D40" s="202"/>
      <c r="E40" s="202"/>
      <c r="F40" s="203"/>
      <c r="G40" s="18">
        <v>46081</v>
      </c>
      <c r="H40" s="209" t="s">
        <v>9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5">
      <c r="A42" s="26" t="s">
        <v>28</v>
      </c>
      <c r="B42" s="26" t="s">
        <v>371</v>
      </c>
      <c r="C42" s="27">
        <v>0.8125</v>
      </c>
      <c r="D42" s="26" t="s">
        <v>30</v>
      </c>
      <c r="E42" s="28"/>
      <c r="F42" s="26" t="s">
        <v>35</v>
      </c>
      <c r="G42" s="204"/>
      <c r="H42" s="29" t="s">
        <v>371</v>
      </c>
      <c r="I42" s="30">
        <v>0</v>
      </c>
      <c r="J42" s="31">
        <v>0</v>
      </c>
      <c r="K42" s="32" t="s">
        <v>36</v>
      </c>
      <c r="L42" s="31">
        <v>0</v>
      </c>
      <c r="M42" s="31">
        <v>0</v>
      </c>
      <c r="N42" s="31">
        <v>0</v>
      </c>
      <c r="O42" s="33" t="s">
        <v>133</v>
      </c>
      <c r="P42" s="34">
        <v>0.8125</v>
      </c>
      <c r="Q42" s="31">
        <v>179</v>
      </c>
      <c r="R42" s="35" t="s">
        <v>36</v>
      </c>
    </row>
    <row r="43" spans="1:18" ht="17.399999999999999" customHeight="1" thickBot="1" x14ac:dyDescent="0.3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</row>
    <row r="44" spans="1:18" ht="15" thickTop="1" x14ac:dyDescent="0.3"/>
  </sheetData>
  <mergeCells count="47">
    <mergeCell ref="G30"/>
    <mergeCell ref="H24:R24"/>
    <mergeCell ref="G14"/>
    <mergeCell ref="G42"/>
    <mergeCell ref="A35:R35"/>
    <mergeCell ref="N1:R1"/>
    <mergeCell ref="A28:F28"/>
    <mergeCell ref="A43:R43"/>
    <mergeCell ref="A19:R19"/>
    <mergeCell ref="H16:R16"/>
    <mergeCell ref="K2:R2"/>
    <mergeCell ref="A40:F40"/>
    <mergeCell ref="H32:R32"/>
    <mergeCell ref="G38"/>
    <mergeCell ref="A31:R31"/>
    <mergeCell ref="G10"/>
    <mergeCell ref="H28:R28"/>
    <mergeCell ref="G6"/>
    <mergeCell ref="G18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36:R36"/>
    <mergeCell ref="A24:F24"/>
    <mergeCell ref="A39:R39"/>
    <mergeCell ref="A15:R15"/>
    <mergeCell ref="H12:R12"/>
    <mergeCell ref="A36:F36"/>
    <mergeCell ref="G34"/>
    <mergeCell ref="H1:L1"/>
    <mergeCell ref="A1:E1"/>
    <mergeCell ref="A12:F12"/>
    <mergeCell ref="A27:R27"/>
    <mergeCell ref="H4:R4"/>
    <mergeCell ref="G22"/>
    <mergeCell ref="A11:R1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2"/>
  <sheetViews>
    <sheetView workbookViewId="0"/>
  </sheetViews>
  <sheetFormatPr defaultRowHeight="15.6" outlineLevelCol="1" x14ac:dyDescent="0.3"/>
  <cols>
    <col min="1" max="1" width="9.88671875" style="220" bestFit="1" customWidth="1"/>
    <col min="2" max="2" width="10.109375" style="220" bestFit="1" customWidth="1"/>
    <col min="3" max="3" width="6.77734375" style="220" bestFit="1" customWidth="1"/>
    <col min="4" max="4" width="5.5546875" style="220" bestFit="1" customWidth="1"/>
    <col min="5" max="5" width="7.44140625" style="220" bestFit="1" customWidth="1"/>
    <col min="6" max="6" width="4.21875" style="220" bestFit="1" customWidth="1"/>
    <col min="7" max="7" width="8.44140625" style="220" bestFit="1" customWidth="1"/>
    <col min="8" max="8" width="8.5546875" style="220" bestFit="1" customWidth="1"/>
    <col min="9" max="10" width="7" style="220" bestFit="1" customWidth="1"/>
    <col min="11" max="11" width="10.5546875" style="220" bestFit="1" customWidth="1"/>
    <col min="12" max="12" width="18.109375" style="220" bestFit="1" customWidth="1"/>
    <col min="13" max="13" width="7.6640625" style="220" bestFit="1" customWidth="1" outlineLevel="1"/>
    <col min="14" max="14" width="6.33203125" style="220" bestFit="1" customWidth="1" outlineLevel="1"/>
    <col min="15" max="15" width="8" style="220" bestFit="1" customWidth="1" outlineLevel="1"/>
    <col min="16" max="16" width="13.6640625" style="220" bestFit="1" customWidth="1"/>
    <col min="17" max="26" width="3.88671875" style="220" bestFit="1" customWidth="1"/>
    <col min="27" max="27" width="4" style="220" bestFit="1" customWidth="1"/>
    <col min="28" max="36" width="3.88671875" style="220" bestFit="1" customWidth="1"/>
    <col min="37" max="16384" width="8.88671875" style="220"/>
  </cols>
  <sheetData>
    <row r="1" spans="1:36" x14ac:dyDescent="0.3">
      <c r="A1" s="219" t="s">
        <v>80</v>
      </c>
      <c r="B1" s="219" t="s">
        <v>81</v>
      </c>
      <c r="C1" s="219" t="s">
        <v>82</v>
      </c>
      <c r="D1" s="219" t="s">
        <v>25</v>
      </c>
      <c r="E1" s="219" t="s">
        <v>83</v>
      </c>
      <c r="F1" s="219" t="s">
        <v>84</v>
      </c>
      <c r="G1" s="219" t="s">
        <v>18</v>
      </c>
      <c r="H1" s="219" t="s">
        <v>85</v>
      </c>
      <c r="I1" s="219" t="s">
        <v>86</v>
      </c>
      <c r="J1" s="219" t="s">
        <v>87</v>
      </c>
      <c r="K1" s="219" t="s">
        <v>88</v>
      </c>
      <c r="L1" s="219" t="s">
        <v>20</v>
      </c>
      <c r="M1" s="219" t="s">
        <v>22</v>
      </c>
      <c r="N1" s="219" t="s">
        <v>23</v>
      </c>
      <c r="O1" s="219" t="s">
        <v>21</v>
      </c>
      <c r="P1" s="219" t="s">
        <v>24</v>
      </c>
      <c r="Q1" s="219" t="s">
        <v>89</v>
      </c>
      <c r="R1" s="219" t="s">
        <v>90</v>
      </c>
      <c r="S1" s="219" t="s">
        <v>91</v>
      </c>
      <c r="T1" s="219" t="s">
        <v>92</v>
      </c>
      <c r="U1" s="219" t="s">
        <v>93</v>
      </c>
      <c r="V1" s="219" t="s">
        <v>94</v>
      </c>
      <c r="W1" s="219" t="s">
        <v>95</v>
      </c>
      <c r="X1" s="219" t="s">
        <v>96</v>
      </c>
      <c r="Y1" s="219" t="s">
        <v>97</v>
      </c>
      <c r="Z1" s="219" t="s">
        <v>98</v>
      </c>
      <c r="AA1" s="219" t="s">
        <v>99</v>
      </c>
      <c r="AB1" s="219" t="s">
        <v>100</v>
      </c>
      <c r="AC1" s="219" t="s">
        <v>101</v>
      </c>
      <c r="AD1" s="219" t="s">
        <v>102</v>
      </c>
      <c r="AE1" s="219" t="s">
        <v>103</v>
      </c>
      <c r="AF1" s="219" t="s">
        <v>104</v>
      </c>
      <c r="AG1" s="219" t="s">
        <v>105</v>
      </c>
      <c r="AH1" s="219" t="s">
        <v>106</v>
      </c>
      <c r="AI1" s="219" t="s">
        <v>107</v>
      </c>
      <c r="AJ1" s="219" t="s">
        <v>108</v>
      </c>
    </row>
    <row r="2" spans="1:36" x14ac:dyDescent="0.3">
      <c r="A2" s="221" t="s">
        <v>109</v>
      </c>
      <c r="B2" s="222">
        <v>46051</v>
      </c>
      <c r="C2" s="223" t="s">
        <v>371</v>
      </c>
      <c r="D2" s="224" t="s">
        <v>376</v>
      </c>
      <c r="E2" s="223" t="s">
        <v>370</v>
      </c>
      <c r="F2" s="223" t="s">
        <v>111</v>
      </c>
      <c r="G2" s="225">
        <v>0</v>
      </c>
      <c r="H2" s="226">
        <v>179</v>
      </c>
      <c r="I2" s="226">
        <v>0</v>
      </c>
      <c r="J2" s="226">
        <v>0</v>
      </c>
      <c r="K2" s="223" t="s">
        <v>112</v>
      </c>
      <c r="L2" s="227" t="s">
        <v>36</v>
      </c>
      <c r="M2" s="226">
        <v>0</v>
      </c>
      <c r="N2" s="226">
        <v>0</v>
      </c>
      <c r="O2" s="226">
        <v>0</v>
      </c>
      <c r="P2" s="223" t="s">
        <v>276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</row>
    <row r="3" spans="1:36" x14ac:dyDescent="0.3">
      <c r="A3" s="221" t="s">
        <v>113</v>
      </c>
      <c r="B3" s="222">
        <v>46053</v>
      </c>
      <c r="C3" s="223" t="s">
        <v>371</v>
      </c>
      <c r="D3" s="224" t="s">
        <v>376</v>
      </c>
      <c r="E3" s="223" t="s">
        <v>370</v>
      </c>
      <c r="F3" s="223" t="s">
        <v>111</v>
      </c>
      <c r="G3" s="225">
        <v>2.23E-2</v>
      </c>
      <c r="H3" s="226">
        <v>179</v>
      </c>
      <c r="I3" s="226">
        <v>4</v>
      </c>
      <c r="J3" s="226">
        <v>0</v>
      </c>
      <c r="K3" s="223" t="s">
        <v>112</v>
      </c>
      <c r="L3" s="227" t="s">
        <v>173</v>
      </c>
      <c r="M3" s="226">
        <v>0</v>
      </c>
      <c r="N3" s="226">
        <v>0</v>
      </c>
      <c r="O3" s="226">
        <v>4</v>
      </c>
      <c r="P3" s="223" t="s">
        <v>123</v>
      </c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26" t="s">
        <v>311</v>
      </c>
      <c r="AB3" s="219"/>
      <c r="AC3" s="226" t="s">
        <v>147</v>
      </c>
      <c r="AD3" s="219"/>
      <c r="AE3" s="226" t="s">
        <v>43</v>
      </c>
      <c r="AF3" s="219"/>
      <c r="AG3" s="219"/>
      <c r="AH3" s="219"/>
      <c r="AI3" s="219"/>
      <c r="AJ3" s="219"/>
    </row>
    <row r="4" spans="1:36" x14ac:dyDescent="0.3">
      <c r="A4" s="221" t="s">
        <v>109</v>
      </c>
      <c r="B4" s="222">
        <v>46058</v>
      </c>
      <c r="C4" s="223" t="s">
        <v>371</v>
      </c>
      <c r="D4" s="224" t="s">
        <v>376</v>
      </c>
      <c r="E4" s="223" t="s">
        <v>370</v>
      </c>
      <c r="F4" s="223" t="s">
        <v>111</v>
      </c>
      <c r="G4" s="225">
        <v>5.5999999999999999E-3</v>
      </c>
      <c r="H4" s="226">
        <v>179</v>
      </c>
      <c r="I4" s="226">
        <v>1</v>
      </c>
      <c r="J4" s="226">
        <v>0</v>
      </c>
      <c r="K4" s="223" t="s">
        <v>112</v>
      </c>
      <c r="L4" s="227" t="s">
        <v>179</v>
      </c>
      <c r="M4" s="226">
        <v>0</v>
      </c>
      <c r="N4" s="226">
        <v>0</v>
      </c>
      <c r="O4" s="226">
        <v>1</v>
      </c>
      <c r="P4" s="223" t="s">
        <v>125</v>
      </c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26" t="s">
        <v>43</v>
      </c>
      <c r="AF4" s="219"/>
      <c r="AG4" s="219"/>
      <c r="AH4" s="219"/>
      <c r="AI4" s="219"/>
      <c r="AJ4" s="219"/>
    </row>
    <row r="5" spans="1:36" x14ac:dyDescent="0.3">
      <c r="A5" s="221" t="s">
        <v>113</v>
      </c>
      <c r="B5" s="222">
        <v>46060</v>
      </c>
      <c r="C5" s="223" t="s">
        <v>371</v>
      </c>
      <c r="D5" s="224" t="s">
        <v>376</v>
      </c>
      <c r="E5" s="223" t="s">
        <v>370</v>
      </c>
      <c r="F5" s="223" t="s">
        <v>111</v>
      </c>
      <c r="G5" s="225">
        <v>2.7900000000000001E-2</v>
      </c>
      <c r="H5" s="226">
        <v>179</v>
      </c>
      <c r="I5" s="226">
        <v>5</v>
      </c>
      <c r="J5" s="226">
        <v>0</v>
      </c>
      <c r="K5" s="223" t="s">
        <v>112</v>
      </c>
      <c r="L5" s="227" t="s">
        <v>334</v>
      </c>
      <c r="M5" s="226">
        <v>0</v>
      </c>
      <c r="N5" s="226">
        <v>0</v>
      </c>
      <c r="O5" s="226">
        <v>5</v>
      </c>
      <c r="P5" s="223" t="s">
        <v>117</v>
      </c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26" t="s">
        <v>43</v>
      </c>
      <c r="AF5" s="226" t="s">
        <v>75</v>
      </c>
      <c r="AG5" s="219"/>
      <c r="AH5" s="219"/>
      <c r="AI5" s="219"/>
      <c r="AJ5" s="219"/>
    </row>
    <row r="6" spans="1:36" x14ac:dyDescent="0.3">
      <c r="A6" s="221" t="s">
        <v>109</v>
      </c>
      <c r="B6" s="222">
        <v>46065</v>
      </c>
      <c r="C6" s="223" t="s">
        <v>371</v>
      </c>
      <c r="D6" s="224" t="s">
        <v>376</v>
      </c>
      <c r="E6" s="223" t="s">
        <v>370</v>
      </c>
      <c r="F6" s="223" t="s">
        <v>111</v>
      </c>
      <c r="G6" s="225">
        <v>1.6799999999999999E-2</v>
      </c>
      <c r="H6" s="226">
        <v>179</v>
      </c>
      <c r="I6" s="226">
        <v>3</v>
      </c>
      <c r="J6" s="226">
        <v>0</v>
      </c>
      <c r="K6" s="223" t="s">
        <v>112</v>
      </c>
      <c r="L6" s="227" t="s">
        <v>374</v>
      </c>
      <c r="M6" s="226">
        <v>0</v>
      </c>
      <c r="N6" s="226">
        <v>0</v>
      </c>
      <c r="O6" s="226">
        <v>3</v>
      </c>
      <c r="P6" s="223" t="s">
        <v>281</v>
      </c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26" t="s">
        <v>60</v>
      </c>
      <c r="AG6" s="219"/>
      <c r="AH6" s="219"/>
      <c r="AI6" s="219"/>
      <c r="AJ6" s="219"/>
    </row>
    <row r="7" spans="1:36" x14ac:dyDescent="0.3">
      <c r="A7" s="221" t="s">
        <v>113</v>
      </c>
      <c r="B7" s="222">
        <v>46067</v>
      </c>
      <c r="C7" s="223" t="s">
        <v>371</v>
      </c>
      <c r="D7" s="224" t="s">
        <v>376</v>
      </c>
      <c r="E7" s="223" t="s">
        <v>370</v>
      </c>
      <c r="F7" s="223" t="s">
        <v>111</v>
      </c>
      <c r="G7" s="225">
        <v>5.5999999999999999E-3</v>
      </c>
      <c r="H7" s="226">
        <v>179</v>
      </c>
      <c r="I7" s="226">
        <v>1</v>
      </c>
      <c r="J7" s="226">
        <v>0</v>
      </c>
      <c r="K7" s="223" t="s">
        <v>112</v>
      </c>
      <c r="L7" s="227" t="s">
        <v>275</v>
      </c>
      <c r="M7" s="226">
        <v>0</v>
      </c>
      <c r="N7" s="226">
        <v>0</v>
      </c>
      <c r="O7" s="226">
        <v>1</v>
      </c>
      <c r="P7" s="223" t="s">
        <v>281</v>
      </c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26" t="s">
        <v>124</v>
      </c>
      <c r="AG7" s="219"/>
      <c r="AH7" s="219"/>
      <c r="AI7" s="219"/>
      <c r="AJ7" s="219"/>
    </row>
    <row r="8" spans="1:36" x14ac:dyDescent="0.3">
      <c r="A8" s="221" t="s">
        <v>109</v>
      </c>
      <c r="B8" s="222">
        <v>46072</v>
      </c>
      <c r="C8" s="223" t="s">
        <v>371</v>
      </c>
      <c r="D8" s="224" t="s">
        <v>376</v>
      </c>
      <c r="E8" s="223" t="s">
        <v>370</v>
      </c>
      <c r="F8" s="223" t="s">
        <v>111</v>
      </c>
      <c r="G8" s="225">
        <v>5.5999999999999999E-3</v>
      </c>
      <c r="H8" s="226">
        <v>179</v>
      </c>
      <c r="I8" s="226">
        <v>1</v>
      </c>
      <c r="J8" s="226">
        <v>0</v>
      </c>
      <c r="K8" s="223" t="s">
        <v>112</v>
      </c>
      <c r="L8" s="227" t="s">
        <v>375</v>
      </c>
      <c r="M8" s="226">
        <v>0</v>
      </c>
      <c r="N8" s="226">
        <v>0</v>
      </c>
      <c r="O8" s="226">
        <v>1</v>
      </c>
      <c r="P8" s="223" t="s">
        <v>281</v>
      </c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26" t="s">
        <v>147</v>
      </c>
      <c r="AD8" s="219"/>
      <c r="AE8" s="219"/>
      <c r="AF8" s="219"/>
      <c r="AG8" s="219"/>
      <c r="AH8" s="219"/>
      <c r="AI8" s="219"/>
      <c r="AJ8" s="219"/>
    </row>
    <row r="9" spans="1:36" x14ac:dyDescent="0.3">
      <c r="A9" s="221" t="s">
        <v>113</v>
      </c>
      <c r="B9" s="222">
        <v>46074</v>
      </c>
      <c r="C9" s="223" t="s">
        <v>371</v>
      </c>
      <c r="D9" s="224" t="s">
        <v>376</v>
      </c>
      <c r="E9" s="223" t="s">
        <v>370</v>
      </c>
      <c r="F9" s="223" t="s">
        <v>111</v>
      </c>
      <c r="G9" s="225">
        <v>0</v>
      </c>
      <c r="H9" s="226">
        <v>179</v>
      </c>
      <c r="I9" s="226">
        <v>0</v>
      </c>
      <c r="J9" s="226">
        <v>0</v>
      </c>
      <c r="K9" s="223" t="s">
        <v>112</v>
      </c>
      <c r="L9" s="227" t="s">
        <v>36</v>
      </c>
      <c r="M9" s="226">
        <v>0</v>
      </c>
      <c r="N9" s="226">
        <v>0</v>
      </c>
      <c r="O9" s="226">
        <v>0</v>
      </c>
      <c r="P9" s="223" t="s">
        <v>281</v>
      </c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</row>
    <row r="10" spans="1:36" x14ac:dyDescent="0.3">
      <c r="A10" s="221" t="s">
        <v>109</v>
      </c>
      <c r="B10" s="222">
        <v>46079</v>
      </c>
      <c r="C10" s="223" t="s">
        <v>371</v>
      </c>
      <c r="D10" s="224" t="s">
        <v>376</v>
      </c>
      <c r="E10" s="223" t="s">
        <v>370</v>
      </c>
      <c r="F10" s="223" t="s">
        <v>111</v>
      </c>
      <c r="G10" s="225">
        <v>2.7900000000000001E-2</v>
      </c>
      <c r="H10" s="226">
        <v>179</v>
      </c>
      <c r="I10" s="226">
        <v>5</v>
      </c>
      <c r="J10" s="226">
        <v>0</v>
      </c>
      <c r="K10" s="223" t="s">
        <v>112</v>
      </c>
      <c r="L10" s="227" t="s">
        <v>306</v>
      </c>
      <c r="M10" s="226">
        <v>0</v>
      </c>
      <c r="N10" s="226">
        <v>0</v>
      </c>
      <c r="O10" s="226">
        <v>5</v>
      </c>
      <c r="P10" s="223" t="s">
        <v>323</v>
      </c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26" t="s">
        <v>175</v>
      </c>
      <c r="AD10" s="219"/>
      <c r="AE10" s="219"/>
      <c r="AF10" s="219"/>
      <c r="AG10" s="219"/>
      <c r="AH10" s="219"/>
      <c r="AI10" s="219"/>
      <c r="AJ10" s="219"/>
    </row>
    <row r="11" spans="1:36" x14ac:dyDescent="0.3">
      <c r="A11" s="221" t="s">
        <v>113</v>
      </c>
      <c r="B11" s="222">
        <v>46081</v>
      </c>
      <c r="C11" s="223" t="s">
        <v>371</v>
      </c>
      <c r="D11" s="224" t="s">
        <v>376</v>
      </c>
      <c r="E11" s="223" t="s">
        <v>370</v>
      </c>
      <c r="F11" s="223" t="s">
        <v>111</v>
      </c>
      <c r="G11" s="225">
        <v>0</v>
      </c>
      <c r="H11" s="226">
        <v>179</v>
      </c>
      <c r="I11" s="226">
        <v>0</v>
      </c>
      <c r="J11" s="226">
        <v>0</v>
      </c>
      <c r="K11" s="223" t="s">
        <v>112</v>
      </c>
      <c r="L11" s="227" t="s">
        <v>36</v>
      </c>
      <c r="M11" s="226">
        <v>0</v>
      </c>
      <c r="N11" s="226">
        <v>0</v>
      </c>
      <c r="O11" s="226">
        <v>0</v>
      </c>
      <c r="P11" s="223" t="s">
        <v>133</v>
      </c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</row>
    <row r="12" spans="1:36" ht="21" x14ac:dyDescent="0.3">
      <c r="A12" s="228" t="s">
        <v>377</v>
      </c>
      <c r="B12" s="229"/>
      <c r="C12" s="228">
        <f>SUBTOTAL(103,CAI_GIZ_LF_LEGACY[Flt])</f>
        <v>10</v>
      </c>
      <c r="D12" s="228"/>
      <c r="E12" s="228">
        <f>SUBTOTAL(103,CAI_GIZ_LF_LEGACY[Brd-Off])</f>
        <v>10</v>
      </c>
      <c r="F12" s="228"/>
      <c r="G12" s="230">
        <f>SUBTOTAL(101,CAI_GIZ_LF_LEGACY[LF%])</f>
        <v>1.1169999999999999E-2</v>
      </c>
      <c r="H12" s="231">
        <f>SUBTOTAL(109,CAI_GIZ_LF_LEGACY[CAP])</f>
        <v>1790</v>
      </c>
      <c r="I12" s="231">
        <f>SUBTOTAL(109,CAI_GIZ_LF_LEGACY[BKG(Y)])</f>
        <v>20</v>
      </c>
      <c r="J12" s="231">
        <f>SUBTOTAL(109,CAI_GIZ_LF_LEGACY[GRP(Y)])</f>
        <v>0</v>
      </c>
      <c r="K12" s="228"/>
      <c r="L12" s="229"/>
      <c r="M12" s="231">
        <f>SUBTOTAL(109,CAI_GIZ_LF_LEGACY[TO-DAY])</f>
        <v>0</v>
      </c>
      <c r="N12" s="231">
        <f>SUBTOTAL(109,CAI_GIZ_LF_LEGACY[Y-DAY])</f>
        <v>0</v>
      </c>
      <c r="O12" s="231">
        <f>SUBTOTAL(109,CAI_GIZ_LF_LEGACY[WEEKLY])</f>
        <v>20</v>
      </c>
      <c r="P12" s="232"/>
      <c r="Q12" s="231">
        <f>SUBTOTAL(109,CAI_GIZ_LF_LEGACY[Y])</f>
        <v>0</v>
      </c>
      <c r="R12" s="231">
        <f>SUBTOTAL(109,CAI_GIZ_LF_LEGACY[B])</f>
        <v>0</v>
      </c>
      <c r="S12" s="231">
        <f>SUBTOTAL(109,CAI_GIZ_LF_LEGACY[M])</f>
        <v>0</v>
      </c>
      <c r="T12" s="231">
        <f>SUBTOTAL(109,CAI_GIZ_LF_LEGACY[H])</f>
        <v>0</v>
      </c>
      <c r="U12" s="231">
        <f>SUBTOTAL(109,CAI_GIZ_LF_LEGACY[Q])</f>
        <v>0</v>
      </c>
      <c r="V12" s="231">
        <f>SUBTOTAL(109,CAI_GIZ_LF_LEGACY[K])</f>
        <v>0</v>
      </c>
      <c r="W12" s="231">
        <f>SUBTOTAL(109,CAI_GIZ_LF_LEGACY[V])</f>
        <v>0</v>
      </c>
      <c r="X12" s="231">
        <f>SUBTOTAL(109,CAI_GIZ_LF_LEGACY[L])</f>
        <v>0</v>
      </c>
      <c r="Y12" s="231">
        <f>SUBTOTAL(109,CAI_GIZ_LF_LEGACY[G])</f>
        <v>0</v>
      </c>
      <c r="Z12" s="231">
        <f>SUBTOTAL(109,CAI_GIZ_LF_LEGACY[S])</f>
        <v>0</v>
      </c>
      <c r="AA12" s="231">
        <f>SUBTOTAL(109,CAI_GIZ_LF_LEGACY[W])</f>
        <v>0</v>
      </c>
      <c r="AB12" s="231">
        <f>SUBTOTAL(109,CAI_GIZ_LF_LEGACY[T])</f>
        <v>0</v>
      </c>
      <c r="AC12" s="231">
        <f>SUBTOTAL(109,CAI_GIZ_LF_LEGACY[X])</f>
        <v>0</v>
      </c>
      <c r="AD12" s="231">
        <f>SUBTOTAL(109,CAI_GIZ_LF_LEGACY[U])</f>
        <v>0</v>
      </c>
      <c r="AE12" s="231">
        <f>SUBTOTAL(109,CAI_GIZ_LF_LEGACY[O])</f>
        <v>0</v>
      </c>
      <c r="AF12" s="231">
        <f>SUBTOTAL(109,CAI_GIZ_LF_LEGACY[I])</f>
        <v>0</v>
      </c>
      <c r="AG12" s="231">
        <f>SUBTOTAL(109,CAI_GIZ_LF_LEGACY[E])</f>
        <v>0</v>
      </c>
      <c r="AH12" s="231">
        <f>SUBTOTAL(109,CAI_GIZ_LF_LEGACY[A])</f>
        <v>0</v>
      </c>
      <c r="AI12" s="231">
        <f>SUBTOTAL(109,CAI_GIZ_LF_LEGACY[P])</f>
        <v>0</v>
      </c>
      <c r="AJ12" s="231">
        <f>SUBTOTAL(103,CAI_GIZ_LF_LEGACY[N])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CAI-MED</vt:lpstr>
      <vt:lpstr>CAI-MED LF LEGACY</vt:lpstr>
      <vt:lpstr>CAI-JED</vt:lpstr>
      <vt:lpstr>CAI-JED LF LEGACY</vt:lpstr>
      <vt:lpstr>CAI-RUH</vt:lpstr>
      <vt:lpstr>CAI-RUH LF LEGACY</vt:lpstr>
      <vt:lpstr>CAI-DMM</vt:lpstr>
      <vt:lpstr>CAI-DMM LF LEGACY</vt:lpstr>
      <vt:lpstr>CAI-TUU</vt:lpstr>
      <vt:lpstr>CAI-TUU LF LEGACY</vt:lpstr>
      <vt:lpstr>CAI-AJF</vt:lpstr>
      <vt:lpstr>CAI-AJF LF LEGACY</vt:lpstr>
      <vt:lpstr>CAI-YNB</vt:lpstr>
      <vt:lpstr>CAI-YNB LF LEGACY</vt:lpstr>
      <vt:lpstr>CAI-AHB</vt:lpstr>
      <vt:lpstr>CAI-AHB LF LEGACY</vt:lpstr>
      <vt:lpstr>CAI-ELQ</vt:lpstr>
      <vt:lpstr>CAI-ELQ LF LEGACY</vt:lpstr>
      <vt:lpstr>CAI-GIZ</vt:lpstr>
      <vt:lpstr>CAI-GIZ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2025-11-22T23:43:51Z</dcterms:created>
  <dcterms:modified xsi:type="dcterms:W3CDTF">2025-11-22T23:44:28Z</dcterms:modified>
</cp:coreProperties>
</file>