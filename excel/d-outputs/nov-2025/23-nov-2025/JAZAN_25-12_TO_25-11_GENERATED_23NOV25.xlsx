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27258B2-47E3-4B4F-AE80-5661D0DF9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Z-CAI" sheetId="1" r:id="rId1"/>
    <sheet name="GIZ-CAI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E11" i="2"/>
  <c r="G11" i="2"/>
  <c r="H11" i="2"/>
  <c r="I11" i="2"/>
  <c r="J11" i="2"/>
  <c r="M11" i="2"/>
  <c r="N11" i="2"/>
  <c r="O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</calcChain>
</file>

<file path=xl/sharedStrings.xml><?xml version="1.0" encoding="utf-8"?>
<sst xmlns="http://schemas.openxmlformats.org/spreadsheetml/2006/main" count="395" uniqueCount="101">
  <si>
    <t>COMPREHENSIVE REPORT</t>
  </si>
  <si>
    <t>GIZ-CAI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</si>
  <si>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</si>
  <si>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</si>
  <si>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</si>
  <si>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</si>
  <si>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</si>
  <si>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</si>
  <si>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</si>
  <si>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</si>
  <si>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</si>
  <si>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</si>
  <si>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</si>
  <si>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</si>
  <si>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</si>
  <si>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</si>
  <si>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</si>
  <si>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</si>
  <si>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</si>
  <si>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</si>
  <si>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</si>
  <si>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</si>
  <si>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</si>
  <si>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</si>
  <si>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</si>
  <si>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</si>
  <si>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</si>
  <si>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</si>
  <si>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</si>
  <si>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SM330</t>
  </si>
  <si>
    <t>30KG + 7KG CABIN</t>
  </si>
  <si>
    <t>SEATS AVAILABLE</t>
  </si>
  <si>
    <t>2025-11-22 00:00:00</t>
  </si>
  <si>
    <t>X3</t>
  </si>
  <si>
    <t>S1 &amp; W5 &amp; X15 &amp; U35</t>
  </si>
  <si>
    <t>LOW DEMAND</t>
  </si>
  <si>
    <t>U5</t>
  </si>
  <si>
    <t>X5 &amp; U29 &amp; O5 &amp; I5</t>
  </si>
  <si>
    <t>U9</t>
  </si>
  <si>
    <t>S2 &amp; X1 &amp; U21 &amp; O5</t>
  </si>
  <si>
    <t>S2 &amp; U8 &amp; O3</t>
  </si>
  <si>
    <t>2025-11-20 00:00:00</t>
  </si>
  <si>
    <t>S1 &amp; W2 &amp; U4</t>
  </si>
  <si>
    <t>2025-11-21 00:00:00</t>
  </si>
  <si>
    <t>U1</t>
  </si>
  <si>
    <t>S5 &amp; X2 &amp; U5 &amp; O4</t>
  </si>
  <si>
    <t>U10 &amp; O4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</si>
  <si>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</si>
  <si>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</si>
  <si>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</si>
  <si>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</si>
  <si>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</si>
  <si>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</si>
  <si>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</si>
  <si>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</si>
  <si>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</si>
  <si>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</si>
  <si>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</si>
  <si>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</si>
  <si>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</si>
  <si>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</si>
  <si>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</si>
  <si>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</si>
  <si>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</si>
  <si>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</si>
  <si>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</si>
  <si>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</si>
  <si>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</si>
  <si>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</si>
  <si>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</si>
  <si>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</si>
  <si>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</si>
  <si>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</si>
  <si>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</si>
  <si>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</si>
  <si>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</si>
  <si>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</si>
  <si>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00:30</t>
  </si>
  <si>
    <t>320</t>
  </si>
  <si>
    <t>UPCOMING</t>
  </si>
  <si>
    <t>S1</t>
  </si>
  <si>
    <t>W5</t>
  </si>
  <si>
    <t>X15</t>
  </si>
  <si>
    <t>U35</t>
  </si>
  <si>
    <t>SUNDAY</t>
  </si>
  <si>
    <t>X5</t>
  </si>
  <si>
    <t>U29</t>
  </si>
  <si>
    <t>O5</t>
  </si>
  <si>
    <t>I5</t>
  </si>
  <si>
    <t>S2</t>
  </si>
  <si>
    <t>X1</t>
  </si>
  <si>
    <t>U21</t>
  </si>
  <si>
    <t>U8</t>
  </si>
  <si>
    <t>O3</t>
  </si>
  <si>
    <t>W2</t>
  </si>
  <si>
    <t>U4</t>
  </si>
  <si>
    <t>S5</t>
  </si>
  <si>
    <t>X2</t>
  </si>
  <si>
    <t>O4</t>
  </si>
  <si>
    <t>U10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</si>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</sst>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4" xfId="0" applyBorder="1"/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15" fontId="18" fillId="14" borderId="0" xfId="0" applyNumberFormat="1" applyFont="1" applyFill="1" applyAlignment="1">
      <alignment horizontal="center" vertical="center"/>
    </xf>
    <xf numFmtId="168" fontId="18" fillId="14" borderId="0" xfId="0" applyNumberFormat="1" applyFont="1" applyFill="1" applyAlignment="1">
      <alignment horizontal="center" vertical="center"/>
    </xf>
    <xf numFmtId="1" fontId="18" fillId="14" borderId="0" xfId="0" applyNumberFormat="1" applyFont="1" applyFill="1" applyAlignment="1">
      <alignment horizontal="center" vertical="center"/>
    </xf>
    <xf numFmtId="0" fontId="18" fillId="14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IZ_CAI_LF_LEGACY" displayName="GIZ_CAI_LF_LEGACY" ref="A1:AJ11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24.44140625" bestFit="1" customWidth="1"/>
  </cols>
  <sheetData>
    <row r="1" spans="1:92" ht="28.8" customHeight="1" x14ac:dyDescent="0.3">
      <c r="A1" s="73" t="s">
        <v>0</v>
      </c>
      <c r="B1" s="72"/>
      <c r="C1" s="72"/>
      <c r="D1" s="72"/>
      <c r="E1" s="72"/>
      <c r="F1" s="1" t="s">
        <v>1</v>
      </c>
      <c r="G1" s="2" t="s">
        <v>2</v>
      </c>
      <c r="H1" s="71" t="s">
        <v>3</v>
      </c>
      <c r="I1" s="72"/>
      <c r="J1" s="72"/>
      <c r="K1" s="72"/>
      <c r="L1" s="72"/>
      <c r="M1" s="1" t="s">
        <v>4</v>
      </c>
      <c r="N1" s="80" t="s">
        <v>5</v>
      </c>
      <c r="O1" s="72"/>
      <c r="P1" s="72"/>
      <c r="Q1" s="72"/>
      <c r="R1" s="7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6" t="s">
        <v>6</v>
      </c>
      <c r="B2" s="72"/>
      <c r="C2" s="72"/>
      <c r="D2" s="72"/>
      <c r="E2" s="72"/>
      <c r="F2" s="72"/>
      <c r="G2" s="78">
        <v>45984.228755659511</v>
      </c>
      <c r="H2" s="72"/>
      <c r="I2" s="72"/>
      <c r="J2" s="72"/>
      <c r="K2" s="81">
        <v>45984.228755660057</v>
      </c>
      <c r="L2" s="72"/>
      <c r="M2" s="72"/>
      <c r="N2" s="72"/>
      <c r="O2" s="72"/>
      <c r="P2" s="72"/>
      <c r="Q2" s="72"/>
      <c r="R2" s="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77" t="s">
        <v>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79" t="s">
        <v>8</v>
      </c>
      <c r="B4" s="67"/>
      <c r="C4" s="67"/>
      <c r="D4" s="67"/>
      <c r="E4" s="67"/>
      <c r="F4" s="68"/>
      <c r="G4" s="4">
        <v>45989</v>
      </c>
      <c r="H4" s="74" t="s">
        <v>9</v>
      </c>
      <c r="I4" s="67"/>
      <c r="J4" s="67"/>
      <c r="K4" s="67"/>
      <c r="L4" s="67"/>
      <c r="M4" s="67"/>
      <c r="N4" s="67"/>
      <c r="O4" s="67"/>
      <c r="P4" s="67"/>
      <c r="Q4" s="67"/>
      <c r="R4" s="6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2.0833333333333329E-2</v>
      </c>
      <c r="D6" s="8" t="s">
        <v>30</v>
      </c>
      <c r="E6" s="10"/>
      <c r="F6" s="8" t="s">
        <v>31</v>
      </c>
      <c r="G6" s="70"/>
      <c r="H6" s="11" t="s">
        <v>29</v>
      </c>
      <c r="I6" s="12">
        <v>0.33329999999999999</v>
      </c>
      <c r="J6" s="13">
        <v>56</v>
      </c>
      <c r="K6" s="14" t="s">
        <v>32</v>
      </c>
      <c r="L6" s="13">
        <v>18</v>
      </c>
      <c r="M6" s="13">
        <v>0</v>
      </c>
      <c r="N6" s="13">
        <v>4</v>
      </c>
      <c r="O6" s="15" t="s">
        <v>33</v>
      </c>
      <c r="P6" s="16">
        <v>2.0833333333333329E-2</v>
      </c>
      <c r="Q6" s="13">
        <v>168</v>
      </c>
      <c r="R6" s="17" t="s">
        <v>34</v>
      </c>
    </row>
    <row r="7" spans="1:92" ht="17.399999999999999" customHeight="1" thickBot="1" x14ac:dyDescent="0.35">
      <c r="A7" s="96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</row>
    <row r="8" spans="1:92" ht="22.05" customHeight="1" thickTop="1" thickBot="1" x14ac:dyDescent="0.35">
      <c r="A8" s="66" t="s">
        <v>8</v>
      </c>
      <c r="B8" s="67"/>
      <c r="C8" s="67"/>
      <c r="D8" s="67"/>
      <c r="E8" s="67"/>
      <c r="F8" s="68"/>
      <c r="G8" s="18">
        <v>45991</v>
      </c>
      <c r="H8" s="69" t="s">
        <v>9</v>
      </c>
      <c r="I8" s="67"/>
      <c r="J8" s="67"/>
      <c r="K8" s="67"/>
      <c r="L8" s="67"/>
      <c r="M8" s="67"/>
      <c r="N8" s="67"/>
      <c r="O8" s="67"/>
      <c r="P8" s="67"/>
      <c r="Q8" s="67"/>
      <c r="R8" s="6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2.0833333333333329E-2</v>
      </c>
      <c r="D10" s="26" t="s">
        <v>30</v>
      </c>
      <c r="E10" s="28"/>
      <c r="F10" s="26" t="s">
        <v>35</v>
      </c>
      <c r="G10" s="75"/>
      <c r="H10" s="29" t="s">
        <v>29</v>
      </c>
      <c r="I10" s="30">
        <v>0.26190000000000002</v>
      </c>
      <c r="J10" s="31">
        <v>44</v>
      </c>
      <c r="K10" s="32" t="s">
        <v>32</v>
      </c>
      <c r="L10" s="31">
        <v>11</v>
      </c>
      <c r="M10" s="31">
        <v>0</v>
      </c>
      <c r="N10" s="31">
        <v>3</v>
      </c>
      <c r="O10" s="33" t="s">
        <v>36</v>
      </c>
      <c r="P10" s="34">
        <v>2.0833333333333329E-2</v>
      </c>
      <c r="Q10" s="31">
        <v>168</v>
      </c>
      <c r="R10" s="35" t="s">
        <v>37</v>
      </c>
    </row>
    <row r="11" spans="1:92" ht="17.399999999999999" customHeight="1" thickBot="1" x14ac:dyDescent="0.3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8"/>
    </row>
    <row r="12" spans="1:92" ht="22.05" customHeight="1" thickTop="1" thickBot="1" x14ac:dyDescent="0.35">
      <c r="A12" s="66" t="s">
        <v>8</v>
      </c>
      <c r="B12" s="67"/>
      <c r="C12" s="67"/>
      <c r="D12" s="67"/>
      <c r="E12" s="67"/>
      <c r="F12" s="68"/>
      <c r="G12" s="18">
        <v>45996</v>
      </c>
      <c r="H12" s="69" t="s">
        <v>9</v>
      </c>
      <c r="I12" s="67"/>
      <c r="J12" s="67"/>
      <c r="K12" s="67"/>
      <c r="L12" s="67"/>
      <c r="M12" s="67"/>
      <c r="N12" s="67"/>
      <c r="O12" s="67"/>
      <c r="P12" s="67"/>
      <c r="Q12" s="67"/>
      <c r="R12" s="6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29</v>
      </c>
      <c r="C14" s="27">
        <v>2.0833333333333329E-2</v>
      </c>
      <c r="D14" s="26" t="s">
        <v>30</v>
      </c>
      <c r="E14" s="28"/>
      <c r="F14" s="26" t="s">
        <v>35</v>
      </c>
      <c r="G14" s="75"/>
      <c r="H14" s="29" t="s">
        <v>29</v>
      </c>
      <c r="I14" s="30">
        <v>0.1726</v>
      </c>
      <c r="J14" s="31">
        <v>29</v>
      </c>
      <c r="K14" s="32" t="s">
        <v>32</v>
      </c>
      <c r="L14" s="31">
        <v>17</v>
      </c>
      <c r="M14" s="31">
        <v>0</v>
      </c>
      <c r="N14" s="31">
        <v>3</v>
      </c>
      <c r="O14" s="33" t="s">
        <v>38</v>
      </c>
      <c r="P14" s="34">
        <v>2.0833333333333329E-2</v>
      </c>
      <c r="Q14" s="31">
        <v>168</v>
      </c>
      <c r="R14" s="35" t="s">
        <v>39</v>
      </c>
    </row>
    <row r="15" spans="1:92" ht="17.399999999999999" customHeight="1" thickBot="1" x14ac:dyDescent="0.35">
      <c r="A15" s="96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</row>
    <row r="16" spans="1:92" ht="22.05" customHeight="1" thickTop="1" thickBot="1" x14ac:dyDescent="0.35">
      <c r="A16" s="66" t="s">
        <v>8</v>
      </c>
      <c r="B16" s="67"/>
      <c r="C16" s="67"/>
      <c r="D16" s="67"/>
      <c r="E16" s="67"/>
      <c r="F16" s="68"/>
      <c r="G16" s="18">
        <v>45998</v>
      </c>
      <c r="H16" s="69" t="s">
        <v>9</v>
      </c>
      <c r="I16" s="67"/>
      <c r="J16" s="67"/>
      <c r="K16" s="67"/>
      <c r="L16" s="67"/>
      <c r="M16" s="67"/>
      <c r="N16" s="67"/>
      <c r="O16" s="67"/>
      <c r="P16" s="67"/>
      <c r="Q16" s="67"/>
      <c r="R16" s="6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6" t="s">
        <v>28</v>
      </c>
      <c r="B18" s="36" t="s">
        <v>29</v>
      </c>
      <c r="C18" s="37">
        <v>2.0833333333333329E-2</v>
      </c>
      <c r="D18" s="36" t="s">
        <v>30</v>
      </c>
      <c r="E18" s="38"/>
      <c r="F18" s="36" t="s">
        <v>35</v>
      </c>
      <c r="G18" s="75"/>
      <c r="H18" s="39" t="s">
        <v>29</v>
      </c>
      <c r="I18" s="40">
        <v>7.7399999999999997E-2</v>
      </c>
      <c r="J18" s="41">
        <v>13</v>
      </c>
      <c r="K18" s="42" t="s">
        <v>32</v>
      </c>
      <c r="L18" s="41">
        <v>4</v>
      </c>
      <c r="M18" s="41">
        <v>0</v>
      </c>
      <c r="N18" s="41">
        <v>2</v>
      </c>
      <c r="O18" s="43" t="s">
        <v>38</v>
      </c>
      <c r="P18" s="44">
        <v>2.0833333333333329E-2</v>
      </c>
      <c r="Q18" s="41">
        <v>168</v>
      </c>
      <c r="R18" s="45" t="s">
        <v>40</v>
      </c>
    </row>
    <row r="19" spans="1:18" ht="17.399999999999999" customHeight="1" thickBot="1" x14ac:dyDescent="0.35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8"/>
    </row>
    <row r="20" spans="1:18" ht="22.05" customHeight="1" thickTop="1" thickBot="1" x14ac:dyDescent="0.35">
      <c r="A20" s="66" t="s">
        <v>8</v>
      </c>
      <c r="B20" s="67"/>
      <c r="C20" s="67"/>
      <c r="D20" s="67"/>
      <c r="E20" s="67"/>
      <c r="F20" s="68"/>
      <c r="G20" s="18">
        <v>46003</v>
      </c>
      <c r="H20" s="69" t="s">
        <v>9</v>
      </c>
      <c r="I20" s="67"/>
      <c r="J20" s="67"/>
      <c r="K20" s="67"/>
      <c r="L20" s="67"/>
      <c r="M20" s="67"/>
      <c r="N20" s="67"/>
      <c r="O20" s="67"/>
      <c r="P20" s="67"/>
      <c r="Q20" s="67"/>
      <c r="R20" s="6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29</v>
      </c>
      <c r="C22" s="27">
        <v>2.0833333333333329E-2</v>
      </c>
      <c r="D22" s="26" t="s">
        <v>30</v>
      </c>
      <c r="E22" s="28"/>
      <c r="F22" s="26" t="s">
        <v>35</v>
      </c>
      <c r="G22" s="75"/>
      <c r="H22" s="29" t="s">
        <v>29</v>
      </c>
      <c r="I22" s="30">
        <v>4.1700000000000001E-2</v>
      </c>
      <c r="J22" s="31">
        <v>7</v>
      </c>
      <c r="K22" s="32" t="s">
        <v>41</v>
      </c>
      <c r="L22" s="31">
        <v>3</v>
      </c>
      <c r="M22" s="31">
        <v>0</v>
      </c>
      <c r="N22" s="31">
        <v>0</v>
      </c>
      <c r="O22" s="33" t="s">
        <v>38</v>
      </c>
      <c r="P22" s="34">
        <v>2.0833333333333329E-2</v>
      </c>
      <c r="Q22" s="31">
        <v>168</v>
      </c>
      <c r="R22" s="35" t="s">
        <v>42</v>
      </c>
    </row>
    <row r="23" spans="1:18" ht="17.399999999999999" customHeight="1" thickBot="1" x14ac:dyDescent="0.3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8"/>
    </row>
    <row r="24" spans="1:18" ht="22.05" customHeight="1" thickTop="1" thickBot="1" x14ac:dyDescent="0.35">
      <c r="A24" s="66" t="s">
        <v>8</v>
      </c>
      <c r="B24" s="67"/>
      <c r="C24" s="67"/>
      <c r="D24" s="67"/>
      <c r="E24" s="67"/>
      <c r="F24" s="68"/>
      <c r="G24" s="18">
        <v>46005</v>
      </c>
      <c r="H24" s="69" t="s">
        <v>9</v>
      </c>
      <c r="I24" s="67"/>
      <c r="J24" s="67"/>
      <c r="K24" s="67"/>
      <c r="L24" s="67"/>
      <c r="M24" s="67"/>
      <c r="N24" s="67"/>
      <c r="O24" s="67"/>
      <c r="P24" s="67"/>
      <c r="Q24" s="67"/>
      <c r="R24" s="6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46" t="s">
        <v>28</v>
      </c>
      <c r="B26" s="46" t="s">
        <v>29</v>
      </c>
      <c r="C26" s="47">
        <v>2.0833333333333329E-2</v>
      </c>
      <c r="D26" s="46" t="s">
        <v>30</v>
      </c>
      <c r="E26" s="48"/>
      <c r="F26" s="46" t="s">
        <v>35</v>
      </c>
      <c r="G26" s="70"/>
      <c r="H26" s="49" t="s">
        <v>29</v>
      </c>
      <c r="I26" s="50">
        <v>6.0000000000000001E-3</v>
      </c>
      <c r="J26" s="51">
        <v>1</v>
      </c>
      <c r="K26" s="52" t="s">
        <v>43</v>
      </c>
      <c r="L26" s="51">
        <v>1</v>
      </c>
      <c r="M26" s="51">
        <v>0</v>
      </c>
      <c r="N26" s="51">
        <v>0</v>
      </c>
      <c r="O26" s="53" t="s">
        <v>38</v>
      </c>
      <c r="P26" s="54">
        <v>2.0833333333333329E-2</v>
      </c>
      <c r="Q26" s="51">
        <v>168</v>
      </c>
      <c r="R26" s="55" t="s">
        <v>44</v>
      </c>
    </row>
    <row r="27" spans="1:18" ht="17.399999999999999" customHeight="1" thickBot="1" x14ac:dyDescent="0.35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8"/>
    </row>
    <row r="28" spans="1:18" ht="22.05" customHeight="1" thickTop="1" thickBot="1" x14ac:dyDescent="0.35">
      <c r="A28" s="66" t="s">
        <v>8</v>
      </c>
      <c r="B28" s="67"/>
      <c r="C28" s="67"/>
      <c r="D28" s="67"/>
      <c r="E28" s="67"/>
      <c r="F28" s="68"/>
      <c r="G28" s="18">
        <v>46010</v>
      </c>
      <c r="H28" s="69" t="s">
        <v>9</v>
      </c>
      <c r="I28" s="67"/>
      <c r="J28" s="67"/>
      <c r="K28" s="67"/>
      <c r="L28" s="67"/>
      <c r="M28" s="67"/>
      <c r="N28" s="67"/>
      <c r="O28" s="67"/>
      <c r="P28" s="67"/>
      <c r="Q28" s="67"/>
      <c r="R28" s="6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29</v>
      </c>
      <c r="C30" s="57">
        <v>2.0833333333333329E-2</v>
      </c>
      <c r="D30" s="56" t="s">
        <v>30</v>
      </c>
      <c r="E30" s="58"/>
      <c r="F30" s="56" t="s">
        <v>35</v>
      </c>
      <c r="G30" s="75"/>
      <c r="H30" s="59" t="s">
        <v>29</v>
      </c>
      <c r="I30" s="60">
        <v>9.5200000000000007E-2</v>
      </c>
      <c r="J30" s="61">
        <v>16</v>
      </c>
      <c r="K30" s="62" t="s">
        <v>43</v>
      </c>
      <c r="L30" s="61">
        <v>7</v>
      </c>
      <c r="M30" s="61">
        <v>0</v>
      </c>
      <c r="N30" s="61">
        <v>0</v>
      </c>
      <c r="O30" s="63" t="s">
        <v>38</v>
      </c>
      <c r="P30" s="64">
        <v>2.0833333333333329E-2</v>
      </c>
      <c r="Q30" s="61">
        <v>168</v>
      </c>
      <c r="R30" s="65" t="s">
        <v>45</v>
      </c>
    </row>
    <row r="31" spans="1:18" ht="17.399999999999999" customHeight="1" thickBot="1" x14ac:dyDescent="0.35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</row>
    <row r="32" spans="1:18" ht="22.05" customHeight="1" thickTop="1" thickBot="1" x14ac:dyDescent="0.35">
      <c r="A32" s="66" t="s">
        <v>8</v>
      </c>
      <c r="B32" s="67"/>
      <c r="C32" s="67"/>
      <c r="D32" s="67"/>
      <c r="E32" s="67"/>
      <c r="F32" s="68"/>
      <c r="G32" s="18">
        <v>46012</v>
      </c>
      <c r="H32" s="69" t="s">
        <v>9</v>
      </c>
      <c r="I32" s="67"/>
      <c r="J32" s="67"/>
      <c r="K32" s="67"/>
      <c r="L32" s="67"/>
      <c r="M32" s="67"/>
      <c r="N32" s="67"/>
      <c r="O32" s="67"/>
      <c r="P32" s="67"/>
      <c r="Q32" s="67"/>
      <c r="R32" s="6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26" t="s">
        <v>28</v>
      </c>
      <c r="B34" s="26" t="s">
        <v>29</v>
      </c>
      <c r="C34" s="27">
        <v>2.0833333333333329E-2</v>
      </c>
      <c r="D34" s="26" t="s">
        <v>30</v>
      </c>
      <c r="E34" s="28"/>
      <c r="F34" s="26" t="s">
        <v>35</v>
      </c>
      <c r="G34" s="70"/>
      <c r="H34" s="29" t="s">
        <v>29</v>
      </c>
      <c r="I34" s="30">
        <v>6.0000000000000001E-3</v>
      </c>
      <c r="J34" s="31">
        <v>1</v>
      </c>
      <c r="K34" s="32" t="s">
        <v>32</v>
      </c>
      <c r="L34" s="31">
        <v>1</v>
      </c>
      <c r="M34" s="31">
        <v>0</v>
      </c>
      <c r="N34" s="31">
        <v>1</v>
      </c>
      <c r="O34" s="33" t="s">
        <v>38</v>
      </c>
      <c r="P34" s="34">
        <v>2.0833333333333329E-2</v>
      </c>
      <c r="Q34" s="31">
        <v>168</v>
      </c>
      <c r="R34" s="35" t="s">
        <v>44</v>
      </c>
    </row>
    <row r="35" spans="1:18" ht="17.399999999999999" customHeight="1" thickBot="1" x14ac:dyDescent="0.35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</row>
    <row r="36" spans="1:18" ht="22.05" customHeight="1" thickTop="1" thickBot="1" x14ac:dyDescent="0.35">
      <c r="A36" s="66" t="s">
        <v>8</v>
      </c>
      <c r="B36" s="67"/>
      <c r="C36" s="67"/>
      <c r="D36" s="67"/>
      <c r="E36" s="67"/>
      <c r="F36" s="68"/>
      <c r="G36" s="18">
        <v>46017</v>
      </c>
      <c r="H36" s="69" t="s">
        <v>9</v>
      </c>
      <c r="I36" s="67"/>
      <c r="J36" s="67"/>
      <c r="K36" s="67"/>
      <c r="L36" s="67"/>
      <c r="M36" s="67"/>
      <c r="N36" s="67"/>
      <c r="O36" s="67"/>
      <c r="P36" s="67"/>
      <c r="Q36" s="67"/>
      <c r="R36" s="6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x14ac:dyDescent="0.45">
      <c r="A38" s="46" t="s">
        <v>28</v>
      </c>
      <c r="B38" s="46" t="s">
        <v>29</v>
      </c>
      <c r="C38" s="47">
        <v>2.0833333333333329E-2</v>
      </c>
      <c r="D38" s="46" t="s">
        <v>30</v>
      </c>
      <c r="E38" s="48"/>
      <c r="F38" s="46" t="s">
        <v>35</v>
      </c>
      <c r="G38" s="70"/>
      <c r="H38" s="49" t="s">
        <v>29</v>
      </c>
      <c r="I38" s="50">
        <v>8.3299999999999999E-2</v>
      </c>
      <c r="J38" s="51">
        <v>14</v>
      </c>
      <c r="K38" s="52" t="s">
        <v>43</v>
      </c>
      <c r="L38" s="51">
        <v>4</v>
      </c>
      <c r="M38" s="51">
        <v>0</v>
      </c>
      <c r="N38" s="51">
        <v>0</v>
      </c>
      <c r="O38" s="53" t="s">
        <v>38</v>
      </c>
      <c r="P38" s="54">
        <v>2.0833333333333329E-2</v>
      </c>
      <c r="Q38" s="51">
        <v>168</v>
      </c>
      <c r="R38" s="55" t="s">
        <v>46</v>
      </c>
    </row>
  </sheetData>
  <mergeCells count="42">
    <mergeCell ref="G38"/>
    <mergeCell ref="A31:R31"/>
    <mergeCell ref="G10"/>
    <mergeCell ref="H28:R28"/>
    <mergeCell ref="G6"/>
    <mergeCell ref="G18"/>
    <mergeCell ref="A24:F24"/>
    <mergeCell ref="A15:R15"/>
    <mergeCell ref="H12:R12"/>
    <mergeCell ref="A36:F36"/>
    <mergeCell ref="G34"/>
    <mergeCell ref="A11:R11"/>
    <mergeCell ref="G30"/>
    <mergeCell ref="H24:R24"/>
    <mergeCell ref="G14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"/>
  <sheetViews>
    <sheetView workbookViewId="0"/>
  </sheetViews>
  <sheetFormatPr defaultRowHeight="15.6" outlineLevelCol="1" x14ac:dyDescent="0.3"/>
  <cols>
    <col min="1" max="1" width="7.88671875" style="83" bestFit="1" customWidth="1"/>
    <col min="2" max="2" width="10.44140625" style="83" bestFit="1" customWidth="1"/>
    <col min="3" max="3" width="6.77734375" style="83" bestFit="1" customWidth="1"/>
    <col min="4" max="4" width="5.5546875" style="83" bestFit="1" customWidth="1"/>
    <col min="5" max="5" width="7.44140625" style="83" bestFit="1" customWidth="1"/>
    <col min="6" max="6" width="4.21875" style="83" bestFit="1" customWidth="1"/>
    <col min="7" max="7" width="10" style="83" bestFit="1" customWidth="1"/>
    <col min="8" max="8" width="8.5546875" style="83" bestFit="1" customWidth="1"/>
    <col min="9" max="10" width="7" style="83" bestFit="1" customWidth="1"/>
    <col min="11" max="11" width="10.5546875" style="83" bestFit="1" customWidth="1"/>
    <col min="12" max="12" width="18.109375" style="83" bestFit="1" customWidth="1"/>
    <col min="13" max="13" width="7.6640625" style="83" bestFit="1" customWidth="1" outlineLevel="1"/>
    <col min="14" max="14" width="6.33203125" style="83" bestFit="1" customWidth="1" outlineLevel="1"/>
    <col min="15" max="15" width="8" style="83" bestFit="1" customWidth="1" outlineLevel="1"/>
    <col min="16" max="16" width="13.6640625" style="83" bestFit="1" customWidth="1"/>
    <col min="17" max="26" width="3.88671875" style="83" bestFit="1" customWidth="1"/>
    <col min="27" max="27" width="4" style="83" bestFit="1" customWidth="1"/>
    <col min="28" max="28" width="3.88671875" style="83" bestFit="1" customWidth="1"/>
    <col min="29" max="29" width="4.21875" style="83" bestFit="1" customWidth="1"/>
    <col min="30" max="30" width="4.5546875" style="83" bestFit="1" customWidth="1"/>
    <col min="31" max="36" width="3.88671875" style="83" bestFit="1" customWidth="1"/>
    <col min="37" max="16384" width="8.88671875" style="83"/>
  </cols>
  <sheetData>
    <row r="1" spans="1:36" x14ac:dyDescent="0.3">
      <c r="A1" s="82" t="s">
        <v>47</v>
      </c>
      <c r="B1" s="82" t="s">
        <v>48</v>
      </c>
      <c r="C1" s="82" t="s">
        <v>49</v>
      </c>
      <c r="D1" s="82" t="s">
        <v>25</v>
      </c>
      <c r="E1" s="82" t="s">
        <v>50</v>
      </c>
      <c r="F1" s="82" t="s">
        <v>51</v>
      </c>
      <c r="G1" s="82" t="s">
        <v>18</v>
      </c>
      <c r="H1" s="82" t="s">
        <v>52</v>
      </c>
      <c r="I1" s="82" t="s">
        <v>53</v>
      </c>
      <c r="J1" s="82" t="s">
        <v>54</v>
      </c>
      <c r="K1" s="82" t="s">
        <v>55</v>
      </c>
      <c r="L1" s="82" t="s">
        <v>20</v>
      </c>
      <c r="M1" s="82" t="s">
        <v>22</v>
      </c>
      <c r="N1" s="82" t="s">
        <v>23</v>
      </c>
      <c r="O1" s="82" t="s">
        <v>21</v>
      </c>
      <c r="P1" s="82" t="s">
        <v>24</v>
      </c>
      <c r="Q1" s="82" t="s">
        <v>56</v>
      </c>
      <c r="R1" s="82" t="s">
        <v>57</v>
      </c>
      <c r="S1" s="82" t="s">
        <v>58</v>
      </c>
      <c r="T1" s="82" t="s">
        <v>59</v>
      </c>
      <c r="U1" s="82" t="s">
        <v>60</v>
      </c>
      <c r="V1" s="82" t="s">
        <v>61</v>
      </c>
      <c r="W1" s="82" t="s">
        <v>62</v>
      </c>
      <c r="X1" s="82" t="s">
        <v>63</v>
      </c>
      <c r="Y1" s="82" t="s">
        <v>64</v>
      </c>
      <c r="Z1" s="82" t="s">
        <v>65</v>
      </c>
      <c r="AA1" s="82" t="s">
        <v>66</v>
      </c>
      <c r="AB1" s="82" t="s">
        <v>67</v>
      </c>
      <c r="AC1" s="82" t="s">
        <v>68</v>
      </c>
      <c r="AD1" s="82" t="s">
        <v>69</v>
      </c>
      <c r="AE1" s="82" t="s">
        <v>70</v>
      </c>
      <c r="AF1" s="82" t="s">
        <v>71</v>
      </c>
      <c r="AG1" s="82" t="s">
        <v>72</v>
      </c>
      <c r="AH1" s="82" t="s">
        <v>73</v>
      </c>
      <c r="AI1" s="82" t="s">
        <v>74</v>
      </c>
      <c r="AJ1" s="82" t="s">
        <v>75</v>
      </c>
    </row>
    <row r="2" spans="1:36" x14ac:dyDescent="0.3">
      <c r="A2" s="84" t="s">
        <v>76</v>
      </c>
      <c r="B2" s="85">
        <v>45989</v>
      </c>
      <c r="C2" s="86" t="s">
        <v>29</v>
      </c>
      <c r="D2" s="87" t="s">
        <v>77</v>
      </c>
      <c r="E2" s="86" t="s">
        <v>1</v>
      </c>
      <c r="F2" s="86" t="s">
        <v>78</v>
      </c>
      <c r="G2" s="88">
        <v>0.33329999999999999</v>
      </c>
      <c r="H2" s="89">
        <v>168</v>
      </c>
      <c r="I2" s="89">
        <v>56</v>
      </c>
      <c r="J2" s="89">
        <v>0</v>
      </c>
      <c r="K2" s="86" t="s">
        <v>79</v>
      </c>
      <c r="L2" s="90" t="s">
        <v>32</v>
      </c>
      <c r="M2" s="89">
        <v>0</v>
      </c>
      <c r="N2" s="89">
        <v>4</v>
      </c>
      <c r="O2" s="89">
        <v>18</v>
      </c>
      <c r="P2" s="86" t="s">
        <v>33</v>
      </c>
      <c r="Q2" s="82"/>
      <c r="R2" s="82"/>
      <c r="S2" s="82"/>
      <c r="T2" s="82"/>
      <c r="U2" s="82"/>
      <c r="V2" s="82"/>
      <c r="W2" s="82"/>
      <c r="X2" s="82"/>
      <c r="Y2" s="82"/>
      <c r="Z2" s="89" t="s">
        <v>80</v>
      </c>
      <c r="AA2" s="89" t="s">
        <v>81</v>
      </c>
      <c r="AB2" s="82"/>
      <c r="AC2" s="89" t="s">
        <v>82</v>
      </c>
      <c r="AD2" s="89" t="s">
        <v>83</v>
      </c>
      <c r="AE2" s="82"/>
      <c r="AF2" s="82"/>
      <c r="AG2" s="82"/>
      <c r="AH2" s="82"/>
      <c r="AI2" s="82"/>
      <c r="AJ2" s="82"/>
    </row>
    <row r="3" spans="1:36" x14ac:dyDescent="0.3">
      <c r="A3" s="84" t="s">
        <v>84</v>
      </c>
      <c r="B3" s="85">
        <v>45991</v>
      </c>
      <c r="C3" s="86" t="s">
        <v>29</v>
      </c>
      <c r="D3" s="87" t="s">
        <v>77</v>
      </c>
      <c r="E3" s="86" t="s">
        <v>1</v>
      </c>
      <c r="F3" s="86" t="s">
        <v>78</v>
      </c>
      <c r="G3" s="88">
        <v>0.26190000000000002</v>
      </c>
      <c r="H3" s="89">
        <v>168</v>
      </c>
      <c r="I3" s="89">
        <v>44</v>
      </c>
      <c r="J3" s="89">
        <v>0</v>
      </c>
      <c r="K3" s="86" t="s">
        <v>79</v>
      </c>
      <c r="L3" s="90" t="s">
        <v>32</v>
      </c>
      <c r="M3" s="89">
        <v>0</v>
      </c>
      <c r="N3" s="89">
        <v>3</v>
      </c>
      <c r="O3" s="89">
        <v>11</v>
      </c>
      <c r="P3" s="86" t="s">
        <v>36</v>
      </c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9" t="s">
        <v>85</v>
      </c>
      <c r="AD3" s="89" t="s">
        <v>86</v>
      </c>
      <c r="AE3" s="89" t="s">
        <v>87</v>
      </c>
      <c r="AF3" s="89" t="s">
        <v>88</v>
      </c>
      <c r="AG3" s="82"/>
      <c r="AH3" s="82"/>
      <c r="AI3" s="82"/>
      <c r="AJ3" s="82"/>
    </row>
    <row r="4" spans="1:36" x14ac:dyDescent="0.3">
      <c r="A4" s="84" t="s">
        <v>76</v>
      </c>
      <c r="B4" s="85">
        <v>45996</v>
      </c>
      <c r="C4" s="86" t="s">
        <v>29</v>
      </c>
      <c r="D4" s="87" t="s">
        <v>77</v>
      </c>
      <c r="E4" s="86" t="s">
        <v>1</v>
      </c>
      <c r="F4" s="86" t="s">
        <v>78</v>
      </c>
      <c r="G4" s="88">
        <v>0.1726</v>
      </c>
      <c r="H4" s="89">
        <v>168</v>
      </c>
      <c r="I4" s="89">
        <v>29</v>
      </c>
      <c r="J4" s="89">
        <v>0</v>
      </c>
      <c r="K4" s="86" t="s">
        <v>79</v>
      </c>
      <c r="L4" s="90" t="s">
        <v>32</v>
      </c>
      <c r="M4" s="89">
        <v>0</v>
      </c>
      <c r="N4" s="89">
        <v>3</v>
      </c>
      <c r="O4" s="89">
        <v>17</v>
      </c>
      <c r="P4" s="86" t="s">
        <v>38</v>
      </c>
      <c r="Q4" s="82"/>
      <c r="R4" s="82"/>
      <c r="S4" s="82"/>
      <c r="T4" s="82"/>
      <c r="U4" s="82"/>
      <c r="V4" s="82"/>
      <c r="W4" s="82"/>
      <c r="X4" s="82"/>
      <c r="Y4" s="82"/>
      <c r="Z4" s="89" t="s">
        <v>89</v>
      </c>
      <c r="AA4" s="82"/>
      <c r="AB4" s="82"/>
      <c r="AC4" s="89" t="s">
        <v>90</v>
      </c>
      <c r="AD4" s="89" t="s">
        <v>91</v>
      </c>
      <c r="AE4" s="89" t="s">
        <v>87</v>
      </c>
      <c r="AF4" s="82"/>
      <c r="AG4" s="82"/>
      <c r="AH4" s="82"/>
      <c r="AI4" s="82"/>
      <c r="AJ4" s="82"/>
    </row>
    <row r="5" spans="1:36" x14ac:dyDescent="0.3">
      <c r="A5" s="84" t="s">
        <v>84</v>
      </c>
      <c r="B5" s="85">
        <v>45998</v>
      </c>
      <c r="C5" s="86" t="s">
        <v>29</v>
      </c>
      <c r="D5" s="87" t="s">
        <v>77</v>
      </c>
      <c r="E5" s="86" t="s">
        <v>1</v>
      </c>
      <c r="F5" s="86" t="s">
        <v>78</v>
      </c>
      <c r="G5" s="88">
        <v>7.7399999999999997E-2</v>
      </c>
      <c r="H5" s="89">
        <v>168</v>
      </c>
      <c r="I5" s="89">
        <v>13</v>
      </c>
      <c r="J5" s="89">
        <v>0</v>
      </c>
      <c r="K5" s="86" t="s">
        <v>79</v>
      </c>
      <c r="L5" s="90" t="s">
        <v>32</v>
      </c>
      <c r="M5" s="89">
        <v>0</v>
      </c>
      <c r="N5" s="89">
        <v>2</v>
      </c>
      <c r="O5" s="89">
        <v>4</v>
      </c>
      <c r="P5" s="86" t="s">
        <v>38</v>
      </c>
      <c r="Q5" s="82"/>
      <c r="R5" s="82"/>
      <c r="S5" s="82"/>
      <c r="T5" s="82"/>
      <c r="U5" s="82"/>
      <c r="V5" s="82"/>
      <c r="W5" s="82"/>
      <c r="X5" s="82"/>
      <c r="Y5" s="82"/>
      <c r="Z5" s="89" t="s">
        <v>89</v>
      </c>
      <c r="AA5" s="82"/>
      <c r="AB5" s="82"/>
      <c r="AC5" s="82"/>
      <c r="AD5" s="89" t="s">
        <v>92</v>
      </c>
      <c r="AE5" s="89" t="s">
        <v>93</v>
      </c>
      <c r="AF5" s="82"/>
      <c r="AG5" s="82"/>
      <c r="AH5" s="82"/>
      <c r="AI5" s="82"/>
      <c r="AJ5" s="82"/>
    </row>
    <row r="6" spans="1:36" x14ac:dyDescent="0.3">
      <c r="A6" s="84" t="s">
        <v>76</v>
      </c>
      <c r="B6" s="85">
        <v>46003</v>
      </c>
      <c r="C6" s="86" t="s">
        <v>29</v>
      </c>
      <c r="D6" s="87" t="s">
        <v>77</v>
      </c>
      <c r="E6" s="86" t="s">
        <v>1</v>
      </c>
      <c r="F6" s="86" t="s">
        <v>78</v>
      </c>
      <c r="G6" s="88">
        <v>4.1700000000000001E-2</v>
      </c>
      <c r="H6" s="89">
        <v>168</v>
      </c>
      <c r="I6" s="89">
        <v>7</v>
      </c>
      <c r="J6" s="89">
        <v>0</v>
      </c>
      <c r="K6" s="86" t="s">
        <v>79</v>
      </c>
      <c r="L6" s="90" t="s">
        <v>41</v>
      </c>
      <c r="M6" s="89">
        <v>0</v>
      </c>
      <c r="N6" s="89">
        <v>0</v>
      </c>
      <c r="O6" s="89">
        <v>3</v>
      </c>
      <c r="P6" s="86" t="s">
        <v>38</v>
      </c>
      <c r="Q6" s="82"/>
      <c r="R6" s="82"/>
      <c r="S6" s="82"/>
      <c r="T6" s="82"/>
      <c r="U6" s="82"/>
      <c r="V6" s="82"/>
      <c r="W6" s="82"/>
      <c r="X6" s="82"/>
      <c r="Y6" s="82"/>
      <c r="Z6" s="89" t="s">
        <v>80</v>
      </c>
      <c r="AA6" s="89" t="s">
        <v>94</v>
      </c>
      <c r="AB6" s="82"/>
      <c r="AC6" s="82"/>
      <c r="AD6" s="89" t="s">
        <v>95</v>
      </c>
      <c r="AE6" s="82"/>
      <c r="AF6" s="82"/>
      <c r="AG6" s="82"/>
      <c r="AH6" s="82"/>
      <c r="AI6" s="82"/>
      <c r="AJ6" s="82"/>
    </row>
    <row r="7" spans="1:36" x14ac:dyDescent="0.3">
      <c r="A7" s="84" t="s">
        <v>84</v>
      </c>
      <c r="B7" s="85">
        <v>46005</v>
      </c>
      <c r="C7" s="86" t="s">
        <v>29</v>
      </c>
      <c r="D7" s="87" t="s">
        <v>77</v>
      </c>
      <c r="E7" s="86" t="s">
        <v>1</v>
      </c>
      <c r="F7" s="86" t="s">
        <v>78</v>
      </c>
      <c r="G7" s="88">
        <v>6.0000000000000001E-3</v>
      </c>
      <c r="H7" s="89">
        <v>168</v>
      </c>
      <c r="I7" s="89">
        <v>1</v>
      </c>
      <c r="J7" s="89">
        <v>0</v>
      </c>
      <c r="K7" s="86" t="s">
        <v>79</v>
      </c>
      <c r="L7" s="90" t="s">
        <v>43</v>
      </c>
      <c r="M7" s="89">
        <v>0</v>
      </c>
      <c r="N7" s="89">
        <v>0</v>
      </c>
      <c r="O7" s="89">
        <v>1</v>
      </c>
      <c r="P7" s="86" t="s">
        <v>38</v>
      </c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9" t="s">
        <v>44</v>
      </c>
      <c r="AE7" s="82"/>
      <c r="AF7" s="82"/>
      <c r="AG7" s="82"/>
      <c r="AH7" s="82"/>
      <c r="AI7" s="82"/>
      <c r="AJ7" s="82"/>
    </row>
    <row r="8" spans="1:36" x14ac:dyDescent="0.3">
      <c r="A8" s="84" t="s">
        <v>76</v>
      </c>
      <c r="B8" s="85">
        <v>46010</v>
      </c>
      <c r="C8" s="86" t="s">
        <v>29</v>
      </c>
      <c r="D8" s="87" t="s">
        <v>77</v>
      </c>
      <c r="E8" s="86" t="s">
        <v>1</v>
      </c>
      <c r="F8" s="86" t="s">
        <v>78</v>
      </c>
      <c r="G8" s="88">
        <v>9.5200000000000007E-2</v>
      </c>
      <c r="H8" s="89">
        <v>168</v>
      </c>
      <c r="I8" s="89">
        <v>16</v>
      </c>
      <c r="J8" s="89">
        <v>0</v>
      </c>
      <c r="K8" s="86" t="s">
        <v>79</v>
      </c>
      <c r="L8" s="90" t="s">
        <v>43</v>
      </c>
      <c r="M8" s="89">
        <v>0</v>
      </c>
      <c r="N8" s="89">
        <v>0</v>
      </c>
      <c r="O8" s="89">
        <v>7</v>
      </c>
      <c r="P8" s="86" t="s">
        <v>38</v>
      </c>
      <c r="Q8" s="82"/>
      <c r="R8" s="82"/>
      <c r="S8" s="82"/>
      <c r="T8" s="82"/>
      <c r="U8" s="82"/>
      <c r="V8" s="82"/>
      <c r="W8" s="82"/>
      <c r="X8" s="82"/>
      <c r="Y8" s="82"/>
      <c r="Z8" s="89" t="s">
        <v>96</v>
      </c>
      <c r="AA8" s="82"/>
      <c r="AB8" s="82"/>
      <c r="AC8" s="89" t="s">
        <v>97</v>
      </c>
      <c r="AD8" s="89" t="s">
        <v>36</v>
      </c>
      <c r="AE8" s="89" t="s">
        <v>98</v>
      </c>
      <c r="AF8" s="82"/>
      <c r="AG8" s="82"/>
      <c r="AH8" s="82"/>
      <c r="AI8" s="82"/>
      <c r="AJ8" s="82"/>
    </row>
    <row r="9" spans="1:36" x14ac:dyDescent="0.3">
      <c r="A9" s="84" t="s">
        <v>84</v>
      </c>
      <c r="B9" s="85">
        <v>46012</v>
      </c>
      <c r="C9" s="86" t="s">
        <v>29</v>
      </c>
      <c r="D9" s="87" t="s">
        <v>77</v>
      </c>
      <c r="E9" s="86" t="s">
        <v>1</v>
      </c>
      <c r="F9" s="86" t="s">
        <v>78</v>
      </c>
      <c r="G9" s="88">
        <v>6.0000000000000001E-3</v>
      </c>
      <c r="H9" s="89">
        <v>168</v>
      </c>
      <c r="I9" s="89">
        <v>1</v>
      </c>
      <c r="J9" s="89">
        <v>0</v>
      </c>
      <c r="K9" s="86" t="s">
        <v>79</v>
      </c>
      <c r="L9" s="90" t="s">
        <v>32</v>
      </c>
      <c r="M9" s="89">
        <v>0</v>
      </c>
      <c r="N9" s="89">
        <v>1</v>
      </c>
      <c r="O9" s="89">
        <v>1</v>
      </c>
      <c r="P9" s="86" t="s">
        <v>38</v>
      </c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9" t="s">
        <v>44</v>
      </c>
      <c r="AE9" s="82"/>
      <c r="AF9" s="82"/>
      <c r="AG9" s="82"/>
      <c r="AH9" s="82"/>
      <c r="AI9" s="82"/>
      <c r="AJ9" s="82"/>
    </row>
    <row r="10" spans="1:36" x14ac:dyDescent="0.3">
      <c r="A10" s="84" t="s">
        <v>76</v>
      </c>
      <c r="B10" s="85">
        <v>46017</v>
      </c>
      <c r="C10" s="86" t="s">
        <v>29</v>
      </c>
      <c r="D10" s="87" t="s">
        <v>77</v>
      </c>
      <c r="E10" s="86" t="s">
        <v>1</v>
      </c>
      <c r="F10" s="86" t="s">
        <v>78</v>
      </c>
      <c r="G10" s="88">
        <v>8.3299999999999999E-2</v>
      </c>
      <c r="H10" s="89">
        <v>168</v>
      </c>
      <c r="I10" s="89">
        <v>14</v>
      </c>
      <c r="J10" s="89">
        <v>0</v>
      </c>
      <c r="K10" s="86" t="s">
        <v>79</v>
      </c>
      <c r="L10" s="90" t="s">
        <v>43</v>
      </c>
      <c r="M10" s="89">
        <v>0</v>
      </c>
      <c r="N10" s="89">
        <v>0</v>
      </c>
      <c r="O10" s="89">
        <v>4</v>
      </c>
      <c r="P10" s="86" t="s">
        <v>38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9" t="s">
        <v>99</v>
      </c>
      <c r="AE10" s="89" t="s">
        <v>98</v>
      </c>
      <c r="AF10" s="82"/>
      <c r="AG10" s="82"/>
      <c r="AH10" s="82"/>
      <c r="AI10" s="82"/>
      <c r="AJ10" s="82"/>
    </row>
    <row r="11" spans="1:36" ht="21" x14ac:dyDescent="0.3">
      <c r="A11" s="91" t="s">
        <v>100</v>
      </c>
      <c r="B11" s="92"/>
      <c r="C11" s="91">
        <f>SUBTOTAL(103,GIZ_CAI_LF_LEGACY[Flt])</f>
        <v>9</v>
      </c>
      <c r="D11" s="91"/>
      <c r="E11" s="91">
        <f>SUBTOTAL(103,GIZ_CAI_LF_LEGACY[Brd-Off])</f>
        <v>9</v>
      </c>
      <c r="F11" s="91"/>
      <c r="G11" s="93">
        <f>SUBTOTAL(101,GIZ_CAI_LF_LEGACY[LF%])</f>
        <v>0.1197111111111111</v>
      </c>
      <c r="H11" s="94">
        <f>SUBTOTAL(109,GIZ_CAI_LF_LEGACY[CAP])</f>
        <v>1512</v>
      </c>
      <c r="I11" s="94">
        <f>SUBTOTAL(109,GIZ_CAI_LF_LEGACY[BKG(Y)])</f>
        <v>181</v>
      </c>
      <c r="J11" s="94">
        <f>SUBTOTAL(109,GIZ_CAI_LF_LEGACY[GRP(Y)])</f>
        <v>0</v>
      </c>
      <c r="K11" s="91"/>
      <c r="L11" s="92"/>
      <c r="M11" s="94">
        <f>SUBTOTAL(109,GIZ_CAI_LF_LEGACY[TO-DAY])</f>
        <v>0</v>
      </c>
      <c r="N11" s="94">
        <f>SUBTOTAL(109,GIZ_CAI_LF_LEGACY[Y-DAY])</f>
        <v>13</v>
      </c>
      <c r="O11" s="94">
        <f>SUBTOTAL(109,GIZ_CAI_LF_LEGACY[WEEKLY])</f>
        <v>66</v>
      </c>
      <c r="P11" s="95"/>
      <c r="Q11" s="94">
        <f>SUBTOTAL(109,GIZ_CAI_LF_LEGACY[Y])</f>
        <v>0</v>
      </c>
      <c r="R11" s="94">
        <f>SUBTOTAL(109,GIZ_CAI_LF_LEGACY[B])</f>
        <v>0</v>
      </c>
      <c r="S11" s="94">
        <f>SUBTOTAL(109,GIZ_CAI_LF_LEGACY[M])</f>
        <v>0</v>
      </c>
      <c r="T11" s="94">
        <f>SUBTOTAL(109,GIZ_CAI_LF_LEGACY[H])</f>
        <v>0</v>
      </c>
      <c r="U11" s="94">
        <f>SUBTOTAL(109,GIZ_CAI_LF_LEGACY[Q])</f>
        <v>0</v>
      </c>
      <c r="V11" s="94">
        <f>SUBTOTAL(109,GIZ_CAI_LF_LEGACY[K])</f>
        <v>0</v>
      </c>
      <c r="W11" s="94">
        <f>SUBTOTAL(109,GIZ_CAI_LF_LEGACY[V])</f>
        <v>0</v>
      </c>
      <c r="X11" s="94">
        <f>SUBTOTAL(109,GIZ_CAI_LF_LEGACY[L])</f>
        <v>0</v>
      </c>
      <c r="Y11" s="94">
        <f>SUBTOTAL(109,GIZ_CAI_LF_LEGACY[G])</f>
        <v>0</v>
      </c>
      <c r="Z11" s="94">
        <f>SUBTOTAL(109,GIZ_CAI_LF_LEGACY[S])</f>
        <v>0</v>
      </c>
      <c r="AA11" s="94">
        <f>SUBTOTAL(109,GIZ_CAI_LF_LEGACY[W])</f>
        <v>0</v>
      </c>
      <c r="AB11" s="94">
        <f>SUBTOTAL(109,GIZ_CAI_LF_LEGACY[T])</f>
        <v>0</v>
      </c>
      <c r="AC11" s="94">
        <f>SUBTOTAL(109,GIZ_CAI_LF_LEGACY[X])</f>
        <v>0</v>
      </c>
      <c r="AD11" s="94">
        <f>SUBTOTAL(109,GIZ_CAI_LF_LEGACY[U])</f>
        <v>0</v>
      </c>
      <c r="AE11" s="94">
        <f>SUBTOTAL(109,GIZ_CAI_LF_LEGACY[O])</f>
        <v>0</v>
      </c>
      <c r="AF11" s="94">
        <f>SUBTOTAL(109,GIZ_CAI_LF_LEGACY[I])</f>
        <v>0</v>
      </c>
      <c r="AG11" s="94">
        <f>SUBTOTAL(109,GIZ_CAI_LF_LEGACY[E])</f>
        <v>0</v>
      </c>
      <c r="AH11" s="94">
        <f>SUBTOTAL(109,GIZ_CAI_LF_LEGACY[A])</f>
        <v>0</v>
      </c>
      <c r="AI11" s="94">
        <f>SUBTOTAL(109,GIZ_CAI_LF_LEGACY[P])</f>
        <v>0</v>
      </c>
      <c r="AJ11" s="94">
        <f>SUBTOTAL(103,GIZ_CAI_LF_LEGACY[N])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GIZ-CAI</vt:lpstr>
      <vt:lpstr>GIZ-CAI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2025-11-23T02:32:22Z</dcterms:created>
  <dcterms:modified xsi:type="dcterms:W3CDTF">2025-11-23T02:32:25Z</dcterms:modified>
</cp:coreProperties>
</file>