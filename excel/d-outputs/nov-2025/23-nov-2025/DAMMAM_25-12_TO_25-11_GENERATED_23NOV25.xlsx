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2BC216FE-3957-4AF8-A8A9-449B4B2011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M-CAI" sheetId="1" r:id="rId1"/>
    <sheet name="DMM-CAI LF LEGACY" sheetId="2" r:id="rId2"/>
    <sheet name="DMM-ATZ" sheetId="3" r:id="rId3"/>
    <sheet name="DMM-ATZ LF LEGAC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4" l="1"/>
  <c r="E12" i="4"/>
  <c r="G12" i="4"/>
  <c r="H12" i="4"/>
  <c r="I12" i="4"/>
  <c r="J12" i="4"/>
  <c r="M12" i="4"/>
  <c r="N12" i="4"/>
  <c r="O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C21" i="2"/>
  <c r="E21" i="2"/>
  <c r="G21" i="2"/>
  <c r="H21" i="2"/>
  <c r="I21" i="2"/>
  <c r="J21" i="2"/>
  <c r="M21" i="2"/>
  <c r="N21" i="2"/>
  <c r="O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</calcChain>
</file>

<file path=xl/sharedStrings.xml><?xml version="1.0" encoding="utf-8"?>
<sst xmlns="http://schemas.openxmlformats.org/spreadsheetml/2006/main" count="1271" uniqueCount="197">
  <si>
    <t>COMPREHENSIVE REPORT</t>
  </si>
  <si>
    <t>DMM-CAI</t>
  </si>
  <si>
    <t>FROM</t>
  </si>
  <si>
    <t>2025-11-23</t>
  </si>
  <si>
    <t>TO</t>
  </si>
  <si>
    <t>2025-12-26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</si>
  <si>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</si>
  <si>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</si>
  <si>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</si>
  <si>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</si>
  <si>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</si>
  <si>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</si>
  <si>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</si>
  <si>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</si>
  <si>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</si>
  <si>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</si>
  <si>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</si>
  <si>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</si>
  <si>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</si>
  <si>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</si>
  <si>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</si>
  <si>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</si>
  <si>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</si>
  <si>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</si>
  <si>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</si>
  <si>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</si>
  <si>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</si>
  <si>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</si>
  <si>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Air Cairo</t>
  </si>
  <si>
    <t>SM434</t>
  </si>
  <si>
    <t>30KG + 7KG CABIN</t>
  </si>
  <si>
    <t>SEATS AVAILABLE</t>
  </si>
  <si>
    <t>2025-11-22 00:00:00</t>
  </si>
  <si>
    <t>U6</t>
  </si>
  <si>
    <t>S8 &amp; W5 &amp; U2 &amp; O8 &amp; I46</t>
  </si>
  <si>
    <t>LOW DEMAND</t>
  </si>
  <si>
    <t>I8</t>
  </si>
  <si>
    <t>L1 &amp; S2 &amp; W4 &amp; X2 &amp; U4 &amp; O1 &amp; I28</t>
  </si>
  <si>
    <t>I9</t>
  </si>
  <si>
    <t>G3 &amp; S10 &amp; W1 &amp; O7 &amp; I30</t>
  </si>
  <si>
    <t>2025-11-18 00:00:00</t>
  </si>
  <si>
    <t>L2 &amp; G1 &amp; S7 &amp; W6 &amp; U1 &amp; I13</t>
  </si>
  <si>
    <t>2025-11-21 00:00:00</t>
  </si>
  <si>
    <t>O6</t>
  </si>
  <si>
    <t>S9 &amp; T2 &amp; X7 &amp; U2 &amp; O4 &amp; I26</t>
  </si>
  <si>
    <t>I4</t>
  </si>
  <si>
    <t>S4 &amp; W2 &amp; T10 &amp; X3 &amp; U4 &amp; O3 &amp; I22</t>
  </si>
  <si>
    <t>I1</t>
  </si>
  <si>
    <t>S6 &amp; T1 &amp; X8 &amp; U10 &amp; O7 &amp; I25</t>
  </si>
  <si>
    <t>S1 &amp; U8 &amp; O2 &amp; I10</t>
  </si>
  <si>
    <t>2025-11-23 00:00:00</t>
  </si>
  <si>
    <t>I6</t>
  </si>
  <si>
    <t>S7 &amp; X7 &amp; U4 &amp; I20</t>
  </si>
  <si>
    <t>S1 &amp; W2 &amp; O1 &amp; I20</t>
  </si>
  <si>
    <t>O8</t>
  </si>
  <si>
    <t>S2 &amp; W6 &amp; I26</t>
  </si>
  <si>
    <t>S6 &amp; W1 &amp; I14</t>
  </si>
  <si>
    <t>S3 &amp; X6 &amp; U3 &amp; O5 &amp; I11</t>
  </si>
  <si>
    <t>2025-11-19 00:00:00</t>
  </si>
  <si>
    <t>I3</t>
  </si>
  <si>
    <t>S1 &amp; X5 &amp; U7 &amp; O3 &amp; I23</t>
  </si>
  <si>
    <t>S1 &amp; U9 &amp; O3 &amp; I16</t>
  </si>
  <si>
    <t>G1 &amp; S1 &amp; X15 &amp; U5 &amp; O1 &amp; I6</t>
  </si>
  <si>
    <t>U3 &amp; O5 &amp; I4</t>
  </si>
  <si>
    <t>S1 &amp; X2 &amp; U6 &amp; O4 &amp; I25</t>
  </si>
  <si>
    <t>2025-11-20 00:00:00</t>
  </si>
  <si>
    <t>S1 &amp; W1 &amp; X8 &amp; U6 &amp; O2 &amp; I14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</si>
  <si>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</si>
  <si>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</si>
  <si>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</si>
  <si>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</si>
  <si>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</si>
  <si>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</si>
  <si>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</si>
  <si>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</si>
  <si>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</si>
  <si>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</si>
  <si>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</si>
  <si>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</si>
  <si>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</si>
  <si>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</si>
  <si>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</si>
  <si>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</si>
  <si>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</si>
  <si>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</si>
  <si>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</si>
  <si>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</si>
  <si>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</si>
  <si>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</si>
  <si>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</si>
  <si>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</si>
  <si>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</si>
  <si>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</si>
  <si>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</si>
  <si>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</si>
  <si>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</si>
  <si>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TUESDAY</t>
  </si>
  <si>
    <t>06:30</t>
  </si>
  <si>
    <t>320</t>
  </si>
  <si>
    <t>UPCOMING</t>
  </si>
  <si>
    <t>S8</t>
  </si>
  <si>
    <t>W5</t>
  </si>
  <si>
    <t>U2</t>
  </si>
  <si>
    <t>I46</t>
  </si>
  <si>
    <t>THURSDAY</t>
  </si>
  <si>
    <t>22:10</t>
  </si>
  <si>
    <t>L1</t>
  </si>
  <si>
    <t>S2</t>
  </si>
  <si>
    <t>W4</t>
  </si>
  <si>
    <t>X2</t>
  </si>
  <si>
    <t>U4</t>
  </si>
  <si>
    <t>O1</t>
  </si>
  <si>
    <t>I28</t>
  </si>
  <si>
    <t>FRIDAY</t>
  </si>
  <si>
    <t>13:55</t>
  </si>
  <si>
    <t>G3</t>
  </si>
  <si>
    <t>S10</t>
  </si>
  <si>
    <t>W1</t>
  </si>
  <si>
    <t>O7</t>
  </si>
  <si>
    <t>I30</t>
  </si>
  <si>
    <t>SATURDAY</t>
  </si>
  <si>
    <t>L2</t>
  </si>
  <si>
    <t>G1</t>
  </si>
  <si>
    <t>S7</t>
  </si>
  <si>
    <t>W6</t>
  </si>
  <si>
    <t>U1</t>
  </si>
  <si>
    <t>I13</t>
  </si>
  <si>
    <t>S9</t>
  </si>
  <si>
    <t>T2</t>
  </si>
  <si>
    <t>X7</t>
  </si>
  <si>
    <t>O4</t>
  </si>
  <si>
    <t>I26</t>
  </si>
  <si>
    <t>S4</t>
  </si>
  <si>
    <t>W2</t>
  </si>
  <si>
    <t>T10</t>
  </si>
  <si>
    <t>X3</t>
  </si>
  <si>
    <t>O3</t>
  </si>
  <si>
    <t>I22</t>
  </si>
  <si>
    <t>S6</t>
  </si>
  <si>
    <t>T1</t>
  </si>
  <si>
    <t>X8</t>
  </si>
  <si>
    <t>U10</t>
  </si>
  <si>
    <t>I25</t>
  </si>
  <si>
    <t>S1</t>
  </si>
  <si>
    <t>U8</t>
  </si>
  <si>
    <t>O2</t>
  </si>
  <si>
    <t>I10</t>
  </si>
  <si>
    <t>I20</t>
  </si>
  <si>
    <t>I14</t>
  </si>
  <si>
    <t>S3</t>
  </si>
  <si>
    <t>X6</t>
  </si>
  <si>
    <t>U3</t>
  </si>
  <si>
    <t>O5</t>
  </si>
  <si>
    <t>I11</t>
  </si>
  <si>
    <t>X5</t>
  </si>
  <si>
    <t>U7</t>
  </si>
  <si>
    <t>I23</t>
  </si>
  <si>
    <t>U9</t>
  </si>
  <si>
    <t>I16</t>
  </si>
  <si>
    <t>X15</t>
  </si>
  <si>
    <t>U5</t>
  </si>
  <si>
    <t>DMM-ATZ</t>
  </si>
  <si>
    <t>SM438</t>
  </si>
  <si>
    <t>S2 &amp; W7 &amp; T26 &amp; X10 &amp; U10 &amp; O23 &amp; I17</t>
  </si>
  <si>
    <t>S2 &amp; W3 &amp; T1 &amp; X2 &amp; U39 &amp; O18 &amp; I10</t>
  </si>
  <si>
    <t>T9</t>
  </si>
  <si>
    <t>T1 &amp; X15 &amp; U30 &amp; O15 &amp; I15</t>
  </si>
  <si>
    <t>S3 &amp; X5 &amp; U28 &amp; O3</t>
  </si>
  <si>
    <t>U7 &amp; O25 &amp; I15</t>
  </si>
  <si>
    <t>X9</t>
  </si>
  <si>
    <t>S6 &amp; W4 &amp; U10</t>
  </si>
  <si>
    <t>S3 &amp; W1 &amp; U19</t>
  </si>
  <si>
    <t>S1 &amp; U6 &amp; O5</t>
  </si>
  <si>
    <t>2025-11-16 00:00:00</t>
  </si>
  <si>
    <t>X1</t>
  </si>
  <si>
    <t>S4 &amp; X2 &amp; U5 &amp; O3</t>
  </si>
  <si>
    <t>T7</t>
  </si>
  <si>
    <t>S5 &amp; W6 &amp; X7 &amp; U6</t>
  </si>
  <si>
    <t>MONDAY</t>
  </si>
  <si>
    <t>12:15</t>
  </si>
  <si>
    <t>W7</t>
  </si>
  <si>
    <t>T26</t>
  </si>
  <si>
    <t>X10</t>
  </si>
  <si>
    <t>O23</t>
  </si>
  <si>
    <t>I17</t>
  </si>
  <si>
    <t>07:00</t>
  </si>
  <si>
    <t>W3</t>
  </si>
  <si>
    <t>U39</t>
  </si>
  <si>
    <t>O18</t>
  </si>
  <si>
    <t>U30</t>
  </si>
  <si>
    <t>O15</t>
  </si>
  <si>
    <t>I15</t>
  </si>
  <si>
    <t>U28</t>
  </si>
  <si>
    <t>O25</t>
  </si>
  <si>
    <t>U19</t>
  </si>
  <si>
    <t>S5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</si>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</sst>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F800]dddd\,\ mmmm\ dd\,\ yyyy"/>
    <numFmt numFmtId="166" formatCode="dddd\,\ mmmm\ dd\,\ yyyy"/>
    <numFmt numFmtId="167" formatCode="h:mm;@"/>
    <numFmt numFmtId="168" formatCode="0.0%"/>
    <numFmt numFmtId="169" formatCode="[$-409]dddd"/>
  </numFmts>
  <fonts count="19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i/>
      <sz val="18"/>
      <color rgb="FFFF0000"/>
      <name val="Calibri"/>
    </font>
    <font>
      <b/>
      <i/>
      <sz val="13"/>
      <name val="Calibri"/>
    </font>
    <font>
      <b/>
      <i/>
      <sz val="13"/>
      <color rgb="FF9C0006"/>
      <name val="Calibri"/>
    </font>
    <font>
      <b/>
      <i/>
      <sz val="14"/>
      <name val="Calibri"/>
    </font>
    <font>
      <sz val="12"/>
      <color theme="1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C7FFFF"/>
      </patternFill>
    </fill>
    <fill>
      <patternFill patternType="solid">
        <fgColor rgb="FFCCCCCC"/>
        <bgColor rgb="FFCCCCCC"/>
      </patternFill>
    </fill>
    <fill>
      <patternFill patternType="solid">
        <fgColor rgb="FFFFE4B5"/>
      </patternFill>
    </fill>
    <fill>
      <patternFill patternType="solid">
        <fgColor rgb="FFC5D9F1"/>
      </patternFill>
    </fill>
    <fill>
      <patternFill patternType="solid">
        <fgColor rgb="FFF2CA93"/>
      </patternFill>
    </fill>
    <fill>
      <patternFill patternType="solid">
        <fgColor rgb="FFD8E4BC"/>
      </patternFill>
    </fill>
    <fill>
      <patternFill patternType="solid">
        <fgColor rgb="FFE6D5E6"/>
      </patternFill>
    </fill>
    <fill>
      <patternFill patternType="solid">
        <fgColor rgb="FFFFFFCC"/>
      </patternFill>
    </fill>
    <fill>
      <patternFill patternType="solid">
        <fgColor rgb="FFB5E7D3"/>
      </patternFill>
    </fill>
    <fill>
      <patternFill patternType="solid">
        <fgColor rgb="FF365492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0" borderId="1" xfId="0" applyBorder="1"/>
    <xf numFmtId="166" fontId="7" fillId="5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167" fontId="11" fillId="8" borderId="2" xfId="0" applyNumberFormat="1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49" fontId="13" fillId="8" borderId="5" xfId="0" applyNumberFormat="1" applyFont="1" applyFill="1" applyBorder="1" applyAlignment="1">
      <alignment horizontal="center" vertical="center"/>
    </xf>
    <xf numFmtId="168" fontId="14" fillId="8" borderId="6" xfId="0" applyNumberFormat="1" applyFont="1" applyFill="1" applyBorder="1" applyAlignment="1">
      <alignment horizontal="center" vertical="center"/>
    </xf>
    <xf numFmtId="1" fontId="13" fillId="8" borderId="6" xfId="0" applyNumberFormat="1" applyFont="1" applyFill="1" applyBorder="1" applyAlignment="1">
      <alignment horizontal="center" vertical="center"/>
    </xf>
    <xf numFmtId="16" fontId="13" fillId="8" borderId="6" xfId="0" applyNumberFormat="1" applyFont="1" applyFill="1" applyBorder="1" applyAlignment="1">
      <alignment horizontal="center" vertical="center"/>
    </xf>
    <xf numFmtId="49" fontId="15" fillId="8" borderId="6" xfId="0" applyNumberFormat="1" applyFont="1" applyFill="1" applyBorder="1" applyAlignment="1">
      <alignment horizontal="center" vertical="center"/>
    </xf>
    <xf numFmtId="167" fontId="13" fillId="8" borderId="6" xfId="0" applyNumberFormat="1" applyFont="1" applyFill="1" applyBorder="1" applyAlignment="1">
      <alignment horizontal="center" vertical="center"/>
    </xf>
    <xf numFmtId="49" fontId="13" fillId="8" borderId="7" xfId="0" applyNumberFormat="1" applyFont="1" applyFill="1" applyBorder="1" applyAlignment="1">
      <alignment horizontal="center" vertical="center"/>
    </xf>
    <xf numFmtId="166" fontId="4" fillId="5" borderId="2" xfId="0" applyNumberFormat="1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68" fontId="9" fillId="6" borderId="2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10" borderId="2" xfId="0" applyNumberFormat="1" applyFont="1" applyFill="1" applyBorder="1" applyAlignment="1">
      <alignment horizontal="center" vertical="center"/>
    </xf>
    <xf numFmtId="167" fontId="11" fillId="10" borderId="2" xfId="0" applyNumberFormat="1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49" fontId="13" fillId="10" borderId="5" xfId="0" applyNumberFormat="1" applyFont="1" applyFill="1" applyBorder="1" applyAlignment="1">
      <alignment horizontal="center" vertical="center"/>
    </xf>
    <xf numFmtId="168" fontId="14" fillId="10" borderId="6" xfId="0" applyNumberFormat="1" applyFont="1" applyFill="1" applyBorder="1" applyAlignment="1">
      <alignment horizontal="center" vertical="center"/>
    </xf>
    <xf numFmtId="1" fontId="13" fillId="10" borderId="6" xfId="0" applyNumberFormat="1" applyFont="1" applyFill="1" applyBorder="1" applyAlignment="1">
      <alignment horizontal="center" vertical="center"/>
    </xf>
    <xf numFmtId="16" fontId="13" fillId="10" borderId="6" xfId="0" applyNumberFormat="1" applyFont="1" applyFill="1" applyBorder="1" applyAlignment="1">
      <alignment horizontal="center" vertical="center"/>
    </xf>
    <xf numFmtId="49" fontId="15" fillId="10" borderId="6" xfId="0" applyNumberFormat="1" applyFont="1" applyFill="1" applyBorder="1" applyAlignment="1">
      <alignment horizontal="center" vertical="center"/>
    </xf>
    <xf numFmtId="167" fontId="13" fillId="10" borderId="6" xfId="0" applyNumberFormat="1" applyFont="1" applyFill="1" applyBorder="1" applyAlignment="1">
      <alignment horizontal="center" vertical="center"/>
    </xf>
    <xf numFmtId="49" fontId="13" fillId="10" borderId="7" xfId="0" applyNumberFormat="1" applyFont="1" applyFill="1" applyBorder="1" applyAlignment="1">
      <alignment horizontal="center" vertical="center"/>
    </xf>
    <xf numFmtId="49" fontId="11" fillId="11" borderId="2" xfId="0" applyNumberFormat="1" applyFont="1" applyFill="1" applyBorder="1" applyAlignment="1">
      <alignment horizontal="center" vertical="center"/>
    </xf>
    <xf numFmtId="167" fontId="11" fillId="11" borderId="2" xfId="0" applyNumberFormat="1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49" fontId="13" fillId="11" borderId="5" xfId="0" applyNumberFormat="1" applyFont="1" applyFill="1" applyBorder="1" applyAlignment="1">
      <alignment horizontal="center" vertical="center"/>
    </xf>
    <xf numFmtId="168" fontId="14" fillId="11" borderId="6" xfId="0" applyNumberFormat="1" applyFont="1" applyFill="1" applyBorder="1" applyAlignment="1">
      <alignment horizontal="center" vertical="center"/>
    </xf>
    <xf numFmtId="1" fontId="13" fillId="11" borderId="6" xfId="0" applyNumberFormat="1" applyFont="1" applyFill="1" applyBorder="1" applyAlignment="1">
      <alignment horizontal="center" vertical="center"/>
    </xf>
    <xf numFmtId="16" fontId="13" fillId="11" borderId="6" xfId="0" applyNumberFormat="1" applyFont="1" applyFill="1" applyBorder="1" applyAlignment="1">
      <alignment horizontal="center" vertical="center"/>
    </xf>
    <xf numFmtId="49" fontId="15" fillId="11" borderId="6" xfId="0" applyNumberFormat="1" applyFont="1" applyFill="1" applyBorder="1" applyAlignment="1">
      <alignment horizontal="center" vertical="center"/>
    </xf>
    <xf numFmtId="167" fontId="13" fillId="11" borderId="6" xfId="0" applyNumberFormat="1" applyFont="1" applyFill="1" applyBorder="1" applyAlignment="1">
      <alignment horizontal="center" vertical="center"/>
    </xf>
    <xf numFmtId="49" fontId="13" fillId="11" borderId="7" xfId="0" applyNumberFormat="1" applyFont="1" applyFill="1" applyBorder="1" applyAlignment="1">
      <alignment horizontal="center" vertical="center"/>
    </xf>
    <xf numFmtId="49" fontId="11" fillId="12" borderId="2" xfId="0" applyNumberFormat="1" applyFont="1" applyFill="1" applyBorder="1" applyAlignment="1">
      <alignment horizontal="center" vertical="center"/>
    </xf>
    <xf numFmtId="167" fontId="11" fillId="12" borderId="2" xfId="0" applyNumberFormat="1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49" fontId="13" fillId="12" borderId="5" xfId="0" applyNumberFormat="1" applyFont="1" applyFill="1" applyBorder="1" applyAlignment="1">
      <alignment horizontal="center" vertical="center"/>
    </xf>
    <xf numFmtId="168" fontId="14" fillId="12" borderId="6" xfId="0" applyNumberFormat="1" applyFont="1" applyFill="1" applyBorder="1" applyAlignment="1">
      <alignment horizontal="center" vertical="center"/>
    </xf>
    <xf numFmtId="1" fontId="13" fillId="12" borderId="6" xfId="0" applyNumberFormat="1" applyFont="1" applyFill="1" applyBorder="1" applyAlignment="1">
      <alignment horizontal="center" vertical="center"/>
    </xf>
    <xf numFmtId="16" fontId="13" fillId="12" borderId="6" xfId="0" applyNumberFormat="1" applyFont="1" applyFill="1" applyBorder="1" applyAlignment="1">
      <alignment horizontal="center" vertical="center"/>
    </xf>
    <xf numFmtId="49" fontId="15" fillId="12" borderId="6" xfId="0" applyNumberFormat="1" applyFont="1" applyFill="1" applyBorder="1" applyAlignment="1">
      <alignment horizontal="center" vertical="center"/>
    </xf>
    <xf numFmtId="167" fontId="13" fillId="12" borderId="6" xfId="0" applyNumberFormat="1" applyFont="1" applyFill="1" applyBorder="1" applyAlignment="1">
      <alignment horizontal="center" vertical="center"/>
    </xf>
    <xf numFmtId="49" fontId="13" fillId="12" borderId="7" xfId="0" applyNumberFormat="1" applyFont="1" applyFill="1" applyBorder="1" applyAlignment="1">
      <alignment horizontal="center" vertical="center"/>
    </xf>
    <xf numFmtId="49" fontId="11" fillId="13" borderId="2" xfId="0" applyNumberFormat="1" applyFont="1" applyFill="1" applyBorder="1" applyAlignment="1">
      <alignment horizontal="center" vertical="center"/>
    </xf>
    <xf numFmtId="167" fontId="11" fillId="13" borderId="2" xfId="0" applyNumberFormat="1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center" vertical="center"/>
    </xf>
    <xf numFmtId="49" fontId="13" fillId="13" borderId="5" xfId="0" applyNumberFormat="1" applyFont="1" applyFill="1" applyBorder="1" applyAlignment="1">
      <alignment horizontal="center" vertical="center"/>
    </xf>
    <xf numFmtId="168" fontId="14" fillId="13" borderId="6" xfId="0" applyNumberFormat="1" applyFont="1" applyFill="1" applyBorder="1" applyAlignment="1">
      <alignment horizontal="center" vertical="center"/>
    </xf>
    <xf numFmtId="1" fontId="13" fillId="13" borderId="6" xfId="0" applyNumberFormat="1" applyFont="1" applyFill="1" applyBorder="1" applyAlignment="1">
      <alignment horizontal="center" vertical="center"/>
    </xf>
    <xf numFmtId="16" fontId="13" fillId="13" borderId="6" xfId="0" applyNumberFormat="1" applyFont="1" applyFill="1" applyBorder="1" applyAlignment="1">
      <alignment horizontal="center" vertical="center"/>
    </xf>
    <xf numFmtId="49" fontId="15" fillId="13" borderId="6" xfId="0" applyNumberFormat="1" applyFont="1" applyFill="1" applyBorder="1" applyAlignment="1">
      <alignment horizontal="center" vertical="center"/>
    </xf>
    <xf numFmtId="167" fontId="13" fillId="13" borderId="6" xfId="0" applyNumberFormat="1" applyFont="1" applyFill="1" applyBorder="1" applyAlignment="1">
      <alignment horizontal="center" vertical="center"/>
    </xf>
    <xf numFmtId="49" fontId="13" fillId="13" borderId="7" xfId="0" applyNumberFormat="1" applyFont="1" applyFill="1" applyBorder="1" applyAlignment="1">
      <alignment horizontal="center" vertical="center"/>
    </xf>
    <xf numFmtId="49" fontId="11" fillId="14" borderId="2" xfId="0" applyNumberFormat="1" applyFont="1" applyFill="1" applyBorder="1" applyAlignment="1">
      <alignment horizontal="center" vertical="center"/>
    </xf>
    <xf numFmtId="167" fontId="11" fillId="14" borderId="2" xfId="0" applyNumberFormat="1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center" vertical="center"/>
    </xf>
    <xf numFmtId="49" fontId="13" fillId="14" borderId="5" xfId="0" applyNumberFormat="1" applyFont="1" applyFill="1" applyBorder="1" applyAlignment="1">
      <alignment horizontal="center" vertical="center"/>
    </xf>
    <xf numFmtId="168" fontId="14" fillId="14" borderId="6" xfId="0" applyNumberFormat="1" applyFont="1" applyFill="1" applyBorder="1" applyAlignment="1">
      <alignment horizontal="center" vertical="center"/>
    </xf>
    <xf numFmtId="1" fontId="13" fillId="14" borderId="6" xfId="0" applyNumberFormat="1" applyFont="1" applyFill="1" applyBorder="1" applyAlignment="1">
      <alignment horizontal="center" vertical="center"/>
    </xf>
    <xf numFmtId="16" fontId="13" fillId="14" borderId="6" xfId="0" applyNumberFormat="1" applyFont="1" applyFill="1" applyBorder="1" applyAlignment="1">
      <alignment horizontal="center" vertical="center"/>
    </xf>
    <xf numFmtId="49" fontId="15" fillId="14" borderId="6" xfId="0" applyNumberFormat="1" applyFont="1" applyFill="1" applyBorder="1" applyAlignment="1">
      <alignment horizontal="center" vertical="center"/>
    </xf>
    <xf numFmtId="167" fontId="13" fillId="14" borderId="6" xfId="0" applyNumberFormat="1" applyFont="1" applyFill="1" applyBorder="1" applyAlignment="1">
      <alignment horizontal="center" vertical="center"/>
    </xf>
    <xf numFmtId="49" fontId="13" fillId="14" borderId="7" xfId="0" applyNumberFormat="1" applyFont="1" applyFill="1" applyBorder="1" applyAlignment="1">
      <alignment horizontal="center" vertical="center"/>
    </xf>
    <xf numFmtId="49" fontId="11" fillId="15" borderId="2" xfId="0" applyNumberFormat="1" applyFont="1" applyFill="1" applyBorder="1" applyAlignment="1">
      <alignment horizontal="center" vertical="center"/>
    </xf>
    <xf numFmtId="167" fontId="11" fillId="15" borderId="2" xfId="0" applyNumberFormat="1" applyFont="1" applyFill="1" applyBorder="1" applyAlignment="1">
      <alignment horizontal="center" vertical="center"/>
    </xf>
    <xf numFmtId="0" fontId="11" fillId="15" borderId="2" xfId="0" applyFont="1" applyFill="1" applyBorder="1" applyAlignment="1">
      <alignment horizontal="center" vertical="center"/>
    </xf>
    <xf numFmtId="49" fontId="13" fillId="15" borderId="5" xfId="0" applyNumberFormat="1" applyFont="1" applyFill="1" applyBorder="1" applyAlignment="1">
      <alignment horizontal="center" vertical="center"/>
    </xf>
    <xf numFmtId="168" fontId="14" fillId="15" borderId="6" xfId="0" applyNumberFormat="1" applyFont="1" applyFill="1" applyBorder="1" applyAlignment="1">
      <alignment horizontal="center" vertical="center"/>
    </xf>
    <xf numFmtId="1" fontId="13" fillId="15" borderId="6" xfId="0" applyNumberFormat="1" applyFont="1" applyFill="1" applyBorder="1" applyAlignment="1">
      <alignment horizontal="center" vertical="center"/>
    </xf>
    <xf numFmtId="16" fontId="13" fillId="15" borderId="6" xfId="0" applyNumberFormat="1" applyFont="1" applyFill="1" applyBorder="1" applyAlignment="1">
      <alignment horizontal="center" vertical="center"/>
    </xf>
    <xf numFmtId="49" fontId="15" fillId="15" borderId="6" xfId="0" applyNumberFormat="1" applyFont="1" applyFill="1" applyBorder="1" applyAlignment="1">
      <alignment horizontal="center" vertical="center"/>
    </xf>
    <xf numFmtId="167" fontId="13" fillId="15" borderId="6" xfId="0" applyNumberFormat="1" applyFont="1" applyFill="1" applyBorder="1" applyAlignment="1">
      <alignment horizontal="center" vertical="center"/>
    </xf>
    <xf numFmtId="49" fontId="13" fillId="15" borderId="7" xfId="0" applyNumberFormat="1" applyFont="1" applyFill="1" applyBorder="1" applyAlignment="1">
      <alignment horizontal="center" vertical="center"/>
    </xf>
    <xf numFmtId="49" fontId="11" fillId="16" borderId="2" xfId="0" applyNumberFormat="1" applyFont="1" applyFill="1" applyBorder="1" applyAlignment="1">
      <alignment horizontal="center" vertical="center"/>
    </xf>
    <xf numFmtId="167" fontId="11" fillId="16" borderId="2" xfId="0" applyNumberFormat="1" applyFont="1" applyFill="1" applyBorder="1" applyAlignment="1">
      <alignment horizontal="center" vertical="center"/>
    </xf>
    <xf numFmtId="0" fontId="11" fillId="16" borderId="2" xfId="0" applyFont="1" applyFill="1" applyBorder="1" applyAlignment="1">
      <alignment horizontal="center" vertical="center"/>
    </xf>
    <xf numFmtId="49" fontId="13" fillId="16" borderId="5" xfId="0" applyNumberFormat="1" applyFont="1" applyFill="1" applyBorder="1" applyAlignment="1">
      <alignment horizontal="center" vertical="center"/>
    </xf>
    <xf numFmtId="168" fontId="14" fillId="16" borderId="6" xfId="0" applyNumberFormat="1" applyFont="1" applyFill="1" applyBorder="1" applyAlignment="1">
      <alignment horizontal="center" vertical="center"/>
    </xf>
    <xf numFmtId="1" fontId="13" fillId="16" borderId="6" xfId="0" applyNumberFormat="1" applyFont="1" applyFill="1" applyBorder="1" applyAlignment="1">
      <alignment horizontal="center" vertical="center"/>
    </xf>
    <xf numFmtId="16" fontId="13" fillId="16" borderId="6" xfId="0" applyNumberFormat="1" applyFont="1" applyFill="1" applyBorder="1" applyAlignment="1">
      <alignment horizontal="center" vertical="center"/>
    </xf>
    <xf numFmtId="49" fontId="15" fillId="16" borderId="6" xfId="0" applyNumberFormat="1" applyFont="1" applyFill="1" applyBorder="1" applyAlignment="1">
      <alignment horizontal="center" vertical="center"/>
    </xf>
    <xf numFmtId="167" fontId="13" fillId="16" borderId="6" xfId="0" applyNumberFormat="1" applyFont="1" applyFill="1" applyBorder="1" applyAlignment="1">
      <alignment horizontal="center" vertical="center"/>
    </xf>
    <xf numFmtId="49" fontId="13" fillId="16" borderId="7" xfId="0" applyNumberFormat="1" applyFont="1" applyFill="1" applyBorder="1" applyAlignment="1">
      <alignment horizontal="center" vertical="center"/>
    </xf>
    <xf numFmtId="168" fontId="13" fillId="8" borderId="6" xfId="0" applyNumberFormat="1" applyFont="1" applyFill="1" applyBorder="1" applyAlignment="1">
      <alignment horizontal="center" vertical="center"/>
    </xf>
    <xf numFmtId="0" fontId="12" fillId="0" borderId="4" xfId="0" applyFont="1" applyBorder="1"/>
    <xf numFmtId="164" fontId="2" fillId="2" borderId="0" xfId="0" applyNumberFormat="1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4" xfId="0" applyBorder="1"/>
    <xf numFmtId="49" fontId="6" fillId="4" borderId="2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49" fontId="8" fillId="4" borderId="2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166" fontId="3" fillId="3" borderId="0" xfId="0" applyNumberFormat="1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0" fontId="8" fillId="4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/>
    <xf numFmtId="169" fontId="17" fillId="0" borderId="0" xfId="0" applyNumberFormat="1" applyFont="1" applyAlignment="1">
      <alignment horizontal="center" vertical="center"/>
    </xf>
    <xf numFmtId="15" fontId="17" fillId="0" borderId="0" xfId="0" applyNumberFormat="1" applyFont="1" applyAlignment="1">
      <alignment horizontal="center" vertical="center"/>
    </xf>
    <xf numFmtId="49" fontId="17" fillId="0" borderId="0" xfId="0" applyNumberFormat="1" applyFont="1" applyAlignment="1">
      <alignment horizontal="center" vertical="center"/>
    </xf>
    <xf numFmtId="167" fontId="17" fillId="0" borderId="0" xfId="0" applyNumberFormat="1" applyFont="1" applyAlignment="1">
      <alignment horizontal="center" vertical="center"/>
    </xf>
    <xf numFmtId="168" fontId="17" fillId="0" borderId="0" xfId="0" applyNumberFormat="1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16" fontId="17" fillId="0" borderId="0" xfId="0" applyNumberFormat="1" applyFont="1" applyAlignment="1">
      <alignment horizontal="center" vertical="center"/>
    </xf>
    <xf numFmtId="0" fontId="18" fillId="17" borderId="0" xfId="0" applyFont="1" applyFill="1" applyAlignment="1">
      <alignment horizontal="center" vertical="center"/>
    </xf>
    <xf numFmtId="15" fontId="18" fillId="17" borderId="0" xfId="0" applyNumberFormat="1" applyFont="1" applyFill="1" applyAlignment="1">
      <alignment horizontal="center" vertical="center"/>
    </xf>
    <xf numFmtId="168" fontId="18" fillId="17" borderId="0" xfId="0" applyNumberFormat="1" applyFont="1" applyFill="1" applyAlignment="1">
      <alignment horizontal="center" vertical="center"/>
    </xf>
    <xf numFmtId="1" fontId="18" fillId="17" borderId="0" xfId="0" applyNumberFormat="1" applyFont="1" applyFill="1" applyAlignment="1">
      <alignment horizontal="center" vertical="center"/>
    </xf>
    <xf numFmtId="0" fontId="18" fillId="17" borderId="0" xfId="0" applyNumberFormat="1" applyFont="1" applyFill="1" applyAlignment="1">
      <alignment horizontal="center" vertical="center"/>
    </xf>
    <xf numFmtId="0" fontId="16" fillId="9" borderId="10" xfId="0" applyFont="1" applyFill="1" applyBorder="1" applyAlignment="1">
      <alignment horizontal="center" vertical="center"/>
    </xf>
    <xf numFmtId="0" fontId="16" fillId="9" borderId="11" xfId="0" applyFont="1" applyFill="1" applyBorder="1" applyAlignment="1">
      <alignment horizontal="center" vertical="center"/>
    </xf>
    <xf numFmtId="0" fontId="16" fillId="9" borderId="12" xfId="0" applyFont="1" applyFill="1" applyBorder="1" applyAlignment="1">
      <alignment horizontal="center" vertical="center"/>
    </xf>
  </cellXfs>
  <cellStyles count="1">
    <cellStyle name="Normal" xfId="0" builtinId="0"/>
  </cellStyles>
  <dxfs count="150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MM_CAI_LF_LEGACY" displayName="DMM_CAI_LF_LEGACY" ref="A1:AJ21" totalsRowCount="1" headerRowDxfId="149" dataDxfId="112" totalsRowDxfId="75">
  <tableColumns count="36">
    <tableColumn id="1" xr3:uid="{00000000-0010-0000-0000-000001000000}" name="Day" totalsRowLabel="TOTAL" dataDxfId="148" totalsRowDxfId="111"/>
    <tableColumn id="2" xr3:uid="{00000000-0010-0000-0000-000002000000}" name="Flt Dt" dataDxfId="147" totalsRowDxfId="110"/>
    <tableColumn id="3" xr3:uid="{00000000-0010-0000-0000-000003000000}" name="Flt" totalsRowFunction="count" dataDxfId="146" totalsRowDxfId="109"/>
    <tableColumn id="4" xr3:uid="{00000000-0010-0000-0000-000004000000}" name="DEP" dataDxfId="145" totalsRowDxfId="108"/>
    <tableColumn id="5" xr3:uid="{00000000-0010-0000-0000-000005000000}" name="Brd-Off" totalsRowFunction="count" dataDxfId="144" totalsRowDxfId="107"/>
    <tableColumn id="6" xr3:uid="{00000000-0010-0000-0000-000006000000}" name="Eqp" dataDxfId="143" totalsRowDxfId="106"/>
    <tableColumn id="7" xr3:uid="{00000000-0010-0000-0000-000007000000}" name="LF%" totalsRowFunction="average" dataDxfId="142" totalsRowDxfId="105"/>
    <tableColumn id="8" xr3:uid="{00000000-0010-0000-0000-000008000000}" name="CAP" totalsRowFunction="sum" dataDxfId="141" totalsRowDxfId="104"/>
    <tableColumn id="9" xr3:uid="{00000000-0010-0000-0000-000009000000}" name="BKG(Y)" totalsRowFunction="sum" dataDxfId="140" totalsRowDxfId="103"/>
    <tableColumn id="10" xr3:uid="{00000000-0010-0000-0000-00000A000000}" name="GRP(Y)" totalsRowFunction="sum" dataDxfId="139" totalsRowDxfId="102"/>
    <tableColumn id="11" xr3:uid="{00000000-0010-0000-0000-00000B000000}" name="FLT ST" dataDxfId="138" totalsRowDxfId="101"/>
    <tableColumn id="12" xr3:uid="{00000000-0010-0000-0000-00000C000000}" name="LST-SOLD" dataDxfId="137" totalsRowDxfId="100"/>
    <tableColumn id="13" xr3:uid="{00000000-0010-0000-0000-00000D000000}" name="TO-DAY" totalsRowFunction="sum" dataDxfId="136" totalsRowDxfId="99"/>
    <tableColumn id="14" xr3:uid="{00000000-0010-0000-0000-00000E000000}" name="Y-DAY" totalsRowFunction="sum" dataDxfId="135" totalsRowDxfId="98"/>
    <tableColumn id="15" xr3:uid="{00000000-0010-0000-0000-00000F000000}" name="WEEKLY" totalsRowFunction="sum" dataDxfId="134" totalsRowDxfId="97"/>
    <tableColumn id="16" xr3:uid="{00000000-0010-0000-0000-000010000000}" name="LOWEST AVAIL" dataDxfId="133" totalsRowDxfId="96"/>
    <tableColumn id="17" xr3:uid="{00000000-0010-0000-0000-000011000000}" name="Y" totalsRowFunction="sum" dataDxfId="132" totalsRowDxfId="95"/>
    <tableColumn id="18" xr3:uid="{00000000-0010-0000-0000-000012000000}" name="B" totalsRowFunction="sum" dataDxfId="131" totalsRowDxfId="94"/>
    <tableColumn id="19" xr3:uid="{00000000-0010-0000-0000-000013000000}" name="M" totalsRowFunction="sum" dataDxfId="130" totalsRowDxfId="93"/>
    <tableColumn id="20" xr3:uid="{00000000-0010-0000-0000-000014000000}" name="H" totalsRowFunction="sum" dataDxfId="129" totalsRowDxfId="92"/>
    <tableColumn id="21" xr3:uid="{00000000-0010-0000-0000-000015000000}" name="Q" totalsRowFunction="sum" dataDxfId="128" totalsRowDxfId="91"/>
    <tableColumn id="22" xr3:uid="{00000000-0010-0000-0000-000016000000}" name="K" totalsRowFunction="sum" dataDxfId="127" totalsRowDxfId="90"/>
    <tableColumn id="23" xr3:uid="{00000000-0010-0000-0000-000017000000}" name="V" totalsRowFunction="sum" dataDxfId="126" totalsRowDxfId="89"/>
    <tableColumn id="24" xr3:uid="{00000000-0010-0000-0000-000018000000}" name="L" totalsRowFunction="sum" dataDxfId="125" totalsRowDxfId="88"/>
    <tableColumn id="25" xr3:uid="{00000000-0010-0000-0000-000019000000}" name="G" totalsRowFunction="sum" dataDxfId="124" totalsRowDxfId="87"/>
    <tableColumn id="26" xr3:uid="{00000000-0010-0000-0000-00001A000000}" name="S" totalsRowFunction="sum" dataDxfId="123" totalsRowDxfId="86"/>
    <tableColumn id="27" xr3:uid="{00000000-0010-0000-0000-00001B000000}" name="W" totalsRowFunction="sum" dataDxfId="122" totalsRowDxfId="85"/>
    <tableColumn id="28" xr3:uid="{00000000-0010-0000-0000-00001C000000}" name="T" totalsRowFunction="sum" dataDxfId="121" totalsRowDxfId="84"/>
    <tableColumn id="29" xr3:uid="{00000000-0010-0000-0000-00001D000000}" name="X" totalsRowFunction="sum" dataDxfId="120" totalsRowDxfId="83"/>
    <tableColumn id="30" xr3:uid="{00000000-0010-0000-0000-00001E000000}" name="U" totalsRowFunction="sum" dataDxfId="119" totalsRowDxfId="82"/>
    <tableColumn id="31" xr3:uid="{00000000-0010-0000-0000-00001F000000}" name="O" totalsRowFunction="sum" dataDxfId="118" totalsRowDxfId="81"/>
    <tableColumn id="32" xr3:uid="{00000000-0010-0000-0000-000020000000}" name="I" totalsRowFunction="sum" dataDxfId="117" totalsRowDxfId="80"/>
    <tableColumn id="33" xr3:uid="{00000000-0010-0000-0000-000021000000}" name="E" totalsRowFunction="sum" dataDxfId="116" totalsRowDxfId="79"/>
    <tableColumn id="34" xr3:uid="{00000000-0010-0000-0000-000022000000}" name="A" totalsRowFunction="sum" dataDxfId="115" totalsRowDxfId="78"/>
    <tableColumn id="35" xr3:uid="{00000000-0010-0000-0000-000023000000}" name="P" totalsRowFunction="sum" dataDxfId="114" totalsRowDxfId="77"/>
    <tableColumn id="36" xr3:uid="{00000000-0010-0000-0000-000024000000}" name="N" totalsRowFunction="count" dataDxfId="113" totalsRowDxfId="7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MM_ATZ_LF_LEGACY" displayName="DMM_ATZ_LF_LEGACY" ref="A1:AJ12" totalsRowCount="1" headerRowDxfId="74" dataDxfId="37" totalsRowDxfId="0">
  <tableColumns count="36">
    <tableColumn id="1" xr3:uid="{00000000-0010-0000-0100-000001000000}" name="Day" totalsRowLabel="TOTAL" dataDxfId="73" totalsRowDxfId="36"/>
    <tableColumn id="2" xr3:uid="{00000000-0010-0000-0100-000002000000}" name="Flt Dt" dataDxfId="72" totalsRowDxfId="35"/>
    <tableColumn id="3" xr3:uid="{00000000-0010-0000-0100-000003000000}" name="Flt" totalsRowFunction="count" dataDxfId="71" totalsRowDxfId="34"/>
    <tableColumn id="4" xr3:uid="{00000000-0010-0000-0100-000004000000}" name="DEP" dataDxfId="70" totalsRowDxfId="33"/>
    <tableColumn id="5" xr3:uid="{00000000-0010-0000-0100-000005000000}" name="Brd-Off" totalsRowFunction="count" dataDxfId="69" totalsRowDxfId="32"/>
    <tableColumn id="6" xr3:uid="{00000000-0010-0000-0100-000006000000}" name="Eqp" dataDxfId="68" totalsRowDxfId="31"/>
    <tableColumn id="7" xr3:uid="{00000000-0010-0000-0100-000007000000}" name="LF%" totalsRowFunction="average" dataDxfId="67" totalsRowDxfId="30"/>
    <tableColumn id="8" xr3:uid="{00000000-0010-0000-0100-000008000000}" name="CAP" totalsRowFunction="sum" dataDxfId="66" totalsRowDxfId="29"/>
    <tableColumn id="9" xr3:uid="{00000000-0010-0000-0100-000009000000}" name="BKG(Y)" totalsRowFunction="sum" dataDxfId="65" totalsRowDxfId="28"/>
    <tableColumn id="10" xr3:uid="{00000000-0010-0000-0100-00000A000000}" name="GRP(Y)" totalsRowFunction="sum" dataDxfId="64" totalsRowDxfId="27"/>
    <tableColumn id="11" xr3:uid="{00000000-0010-0000-0100-00000B000000}" name="FLT ST" dataDxfId="63" totalsRowDxfId="26"/>
    <tableColumn id="12" xr3:uid="{00000000-0010-0000-0100-00000C000000}" name="LST-SOLD" dataDxfId="62" totalsRowDxfId="25"/>
    <tableColumn id="13" xr3:uid="{00000000-0010-0000-0100-00000D000000}" name="TO-DAY" totalsRowFunction="sum" dataDxfId="61" totalsRowDxfId="24"/>
    <tableColumn id="14" xr3:uid="{00000000-0010-0000-0100-00000E000000}" name="Y-DAY" totalsRowFunction="sum" dataDxfId="60" totalsRowDxfId="23"/>
    <tableColumn id="15" xr3:uid="{00000000-0010-0000-0100-00000F000000}" name="WEEKLY" totalsRowFunction="sum" dataDxfId="59" totalsRowDxfId="22"/>
    <tableColumn id="16" xr3:uid="{00000000-0010-0000-0100-000010000000}" name="LOWEST AVAIL" dataDxfId="58" totalsRowDxfId="21"/>
    <tableColumn id="17" xr3:uid="{00000000-0010-0000-0100-000011000000}" name="Y" totalsRowFunction="sum" dataDxfId="57" totalsRowDxfId="20"/>
    <tableColumn id="18" xr3:uid="{00000000-0010-0000-0100-000012000000}" name="B" totalsRowFunction="sum" dataDxfId="56" totalsRowDxfId="19"/>
    <tableColumn id="19" xr3:uid="{00000000-0010-0000-0100-000013000000}" name="M" totalsRowFunction="sum" dataDxfId="55" totalsRowDxfId="18"/>
    <tableColumn id="20" xr3:uid="{00000000-0010-0000-0100-000014000000}" name="H" totalsRowFunction="sum" dataDxfId="54" totalsRowDxfId="17"/>
    <tableColumn id="21" xr3:uid="{00000000-0010-0000-0100-000015000000}" name="Q" totalsRowFunction="sum" dataDxfId="53" totalsRowDxfId="16"/>
    <tableColumn id="22" xr3:uid="{00000000-0010-0000-0100-000016000000}" name="K" totalsRowFunction="sum" dataDxfId="52" totalsRowDxfId="15"/>
    <tableColumn id="23" xr3:uid="{00000000-0010-0000-0100-000017000000}" name="V" totalsRowFunction="sum" dataDxfId="51" totalsRowDxfId="14"/>
    <tableColumn id="24" xr3:uid="{00000000-0010-0000-0100-000018000000}" name="L" totalsRowFunction="sum" dataDxfId="50" totalsRowDxfId="13"/>
    <tableColumn id="25" xr3:uid="{00000000-0010-0000-0100-000019000000}" name="G" totalsRowFunction="sum" dataDxfId="49" totalsRowDxfId="12"/>
    <tableColumn id="26" xr3:uid="{00000000-0010-0000-0100-00001A000000}" name="S" totalsRowFunction="sum" dataDxfId="48" totalsRowDxfId="11"/>
    <tableColumn id="27" xr3:uid="{00000000-0010-0000-0100-00001B000000}" name="W" totalsRowFunction="sum" dataDxfId="47" totalsRowDxfId="10"/>
    <tableColumn id="28" xr3:uid="{00000000-0010-0000-0100-00001C000000}" name="T" totalsRowFunction="sum" dataDxfId="46" totalsRowDxfId="9"/>
    <tableColumn id="29" xr3:uid="{00000000-0010-0000-0100-00001D000000}" name="X" totalsRowFunction="sum" dataDxfId="45" totalsRowDxfId="8"/>
    <tableColumn id="30" xr3:uid="{00000000-0010-0000-0100-00001E000000}" name="U" totalsRowFunction="sum" dataDxfId="44" totalsRowDxfId="7"/>
    <tableColumn id="31" xr3:uid="{00000000-0010-0000-0100-00001F000000}" name="O" totalsRowFunction="sum" dataDxfId="43" totalsRowDxfId="6"/>
    <tableColumn id="32" xr3:uid="{00000000-0010-0000-0100-000020000000}" name="I" totalsRowFunction="sum" dataDxfId="42" totalsRowDxfId="5"/>
    <tableColumn id="33" xr3:uid="{00000000-0010-0000-0100-000021000000}" name="E" totalsRowFunction="sum" dataDxfId="41" totalsRowDxfId="4"/>
    <tableColumn id="34" xr3:uid="{00000000-0010-0000-0100-000022000000}" name="A" totalsRowFunction="sum" dataDxfId="40" totalsRowDxfId="3"/>
    <tableColumn id="35" xr3:uid="{00000000-0010-0000-0100-000023000000}" name="P" totalsRowFunction="sum" dataDxfId="39" totalsRowDxfId="2"/>
    <tableColumn id="36" xr3:uid="{00000000-0010-0000-0100-000024000000}" name="N" totalsRowFunction="count" dataDxfId="38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78"/>
  <sheetViews>
    <sheetView tabSelected="1" workbookViewId="0">
      <selection sqref="A1:E1"/>
    </sheetView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7.664062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40.77734375" bestFit="1" customWidth="1"/>
  </cols>
  <sheetData>
    <row r="1" spans="1:92" ht="28.8" customHeight="1" x14ac:dyDescent="0.3">
      <c r="A1" s="100" t="s">
        <v>0</v>
      </c>
      <c r="B1" s="99"/>
      <c r="C1" s="99"/>
      <c r="D1" s="99"/>
      <c r="E1" s="99"/>
      <c r="F1" s="1" t="s">
        <v>1</v>
      </c>
      <c r="G1" s="2" t="s">
        <v>2</v>
      </c>
      <c r="H1" s="98" t="s">
        <v>3</v>
      </c>
      <c r="I1" s="99"/>
      <c r="J1" s="99"/>
      <c r="K1" s="99"/>
      <c r="L1" s="99"/>
      <c r="M1" s="1" t="s">
        <v>4</v>
      </c>
      <c r="N1" s="108" t="s">
        <v>5</v>
      </c>
      <c r="O1" s="99"/>
      <c r="P1" s="99"/>
      <c r="Q1" s="99"/>
      <c r="R1" s="99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06" t="s">
        <v>6</v>
      </c>
      <c r="B2" s="99"/>
      <c r="C2" s="99"/>
      <c r="D2" s="99"/>
      <c r="E2" s="99"/>
      <c r="F2" s="99"/>
      <c r="G2" s="107">
        <v>45984.228671128782</v>
      </c>
      <c r="H2" s="99"/>
      <c r="I2" s="99"/>
      <c r="J2" s="99"/>
      <c r="K2" s="109">
        <v>45984.228671130819</v>
      </c>
      <c r="L2" s="99"/>
      <c r="M2" s="99"/>
      <c r="N2" s="99"/>
      <c r="O2" s="99"/>
      <c r="P2" s="99"/>
      <c r="Q2" s="99"/>
      <c r="R2" s="9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11" t="s">
        <v>7</v>
      </c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12" t="s">
        <v>8</v>
      </c>
      <c r="B4" s="103"/>
      <c r="C4" s="103"/>
      <c r="D4" s="103"/>
      <c r="E4" s="103"/>
      <c r="F4" s="104"/>
      <c r="G4" s="4">
        <v>45986</v>
      </c>
      <c r="H4" s="110" t="s">
        <v>9</v>
      </c>
      <c r="I4" s="103"/>
      <c r="J4" s="103"/>
      <c r="K4" s="103"/>
      <c r="L4" s="103"/>
      <c r="M4" s="103"/>
      <c r="N4" s="103"/>
      <c r="O4" s="103"/>
      <c r="P4" s="103"/>
      <c r="Q4" s="103"/>
      <c r="R4" s="10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5">
      <c r="A6" s="8" t="s">
        <v>28</v>
      </c>
      <c r="B6" s="8" t="s">
        <v>29</v>
      </c>
      <c r="C6" s="9">
        <v>0.27083333333333331</v>
      </c>
      <c r="D6" s="8" t="s">
        <v>30</v>
      </c>
      <c r="E6" s="10"/>
      <c r="F6" s="8" t="s">
        <v>31</v>
      </c>
      <c r="G6" s="97"/>
      <c r="H6" s="11" t="s">
        <v>29</v>
      </c>
      <c r="I6" s="12">
        <v>0.41070000000000001</v>
      </c>
      <c r="J6" s="13">
        <v>69</v>
      </c>
      <c r="K6" s="14" t="s">
        <v>32</v>
      </c>
      <c r="L6" s="13">
        <v>31</v>
      </c>
      <c r="M6" s="13">
        <v>0</v>
      </c>
      <c r="N6" s="13">
        <v>3</v>
      </c>
      <c r="O6" s="15" t="s">
        <v>33</v>
      </c>
      <c r="P6" s="16">
        <v>0.27083333333333331</v>
      </c>
      <c r="Q6" s="13">
        <v>168</v>
      </c>
      <c r="R6" s="17" t="s">
        <v>34</v>
      </c>
    </row>
    <row r="7" spans="1:92" ht="17.399999999999999" customHeight="1" thickBot="1" x14ac:dyDescent="0.35">
      <c r="A7" s="127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9"/>
    </row>
    <row r="8" spans="1:92" ht="22.05" customHeight="1" thickTop="1" thickBot="1" x14ac:dyDescent="0.35">
      <c r="A8" s="102" t="s">
        <v>8</v>
      </c>
      <c r="B8" s="103"/>
      <c r="C8" s="103"/>
      <c r="D8" s="103"/>
      <c r="E8" s="103"/>
      <c r="F8" s="104"/>
      <c r="G8" s="18">
        <v>45988</v>
      </c>
      <c r="H8" s="105" t="s">
        <v>9</v>
      </c>
      <c r="I8" s="103"/>
      <c r="J8" s="103"/>
      <c r="K8" s="103"/>
      <c r="L8" s="103"/>
      <c r="M8" s="103"/>
      <c r="N8" s="103"/>
      <c r="O8" s="103"/>
      <c r="P8" s="103"/>
      <c r="Q8" s="103"/>
      <c r="R8" s="104"/>
    </row>
    <row r="9" spans="1:92" ht="24" customHeight="1" x14ac:dyDescent="0.3">
      <c r="A9" s="19" t="s">
        <v>10</v>
      </c>
      <c r="B9" s="19" t="s">
        <v>11</v>
      </c>
      <c r="C9" s="20" t="s">
        <v>12</v>
      </c>
      <c r="D9" s="19" t="s">
        <v>13</v>
      </c>
      <c r="E9" s="19" t="s">
        <v>14</v>
      </c>
      <c r="F9" s="21" t="s">
        <v>15</v>
      </c>
      <c r="G9" s="22" t="s">
        <v>16</v>
      </c>
      <c r="H9" s="19" t="s">
        <v>17</v>
      </c>
      <c r="I9" s="23" t="s">
        <v>18</v>
      </c>
      <c r="J9" s="24" t="s">
        <v>19</v>
      </c>
      <c r="K9" s="25" t="s">
        <v>20</v>
      </c>
      <c r="L9" s="24" t="s">
        <v>21</v>
      </c>
      <c r="M9" s="24" t="s">
        <v>22</v>
      </c>
      <c r="N9" s="24" t="s">
        <v>23</v>
      </c>
      <c r="O9" s="19" t="s">
        <v>24</v>
      </c>
      <c r="P9" s="20" t="s">
        <v>25</v>
      </c>
      <c r="Q9" s="24" t="s">
        <v>26</v>
      </c>
      <c r="R9" s="19" t="s">
        <v>27</v>
      </c>
    </row>
    <row r="10" spans="1:92" ht="49.95" customHeight="1" thickTop="1" thickBot="1" x14ac:dyDescent="0.35">
      <c r="A10" s="8" t="s">
        <v>28</v>
      </c>
      <c r="B10" s="8" t="s">
        <v>29</v>
      </c>
      <c r="C10" s="9">
        <v>0.92361111111111116</v>
      </c>
      <c r="D10" s="8" t="s">
        <v>30</v>
      </c>
      <c r="E10" s="10"/>
      <c r="F10" s="8" t="s">
        <v>35</v>
      </c>
      <c r="G10" s="101"/>
      <c r="H10" s="11" t="s">
        <v>29</v>
      </c>
      <c r="I10" s="12">
        <v>0.25</v>
      </c>
      <c r="J10" s="13">
        <v>42</v>
      </c>
      <c r="K10" s="14" t="s">
        <v>32</v>
      </c>
      <c r="L10" s="13">
        <v>14</v>
      </c>
      <c r="M10" s="13">
        <v>0</v>
      </c>
      <c r="N10" s="13">
        <v>2</v>
      </c>
      <c r="O10" s="15" t="s">
        <v>36</v>
      </c>
      <c r="P10" s="16">
        <v>0.92361111111111116</v>
      </c>
      <c r="Q10" s="13">
        <v>168</v>
      </c>
      <c r="R10" s="17" t="s">
        <v>37</v>
      </c>
    </row>
    <row r="11" spans="1:92" ht="17.399999999999999" customHeight="1" thickBot="1" x14ac:dyDescent="0.35">
      <c r="A11" s="127"/>
      <c r="B11" s="128"/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9"/>
    </row>
    <row r="12" spans="1:92" ht="22.05" customHeight="1" thickTop="1" thickBot="1" x14ac:dyDescent="0.35">
      <c r="A12" s="102" t="s">
        <v>8</v>
      </c>
      <c r="B12" s="103"/>
      <c r="C12" s="103"/>
      <c r="D12" s="103"/>
      <c r="E12" s="103"/>
      <c r="F12" s="104"/>
      <c r="G12" s="18">
        <v>45989</v>
      </c>
      <c r="H12" s="105" t="s">
        <v>9</v>
      </c>
      <c r="I12" s="103"/>
      <c r="J12" s="103"/>
      <c r="K12" s="103"/>
      <c r="L12" s="103"/>
      <c r="M12" s="103"/>
      <c r="N12" s="103"/>
      <c r="O12" s="103"/>
      <c r="P12" s="103"/>
      <c r="Q12" s="103"/>
      <c r="R12" s="104"/>
    </row>
    <row r="13" spans="1:92" ht="24" customHeight="1" x14ac:dyDescent="0.3">
      <c r="A13" s="19" t="s">
        <v>10</v>
      </c>
      <c r="B13" s="19" t="s">
        <v>11</v>
      </c>
      <c r="C13" s="20" t="s">
        <v>12</v>
      </c>
      <c r="D13" s="19" t="s">
        <v>13</v>
      </c>
      <c r="E13" s="19" t="s">
        <v>14</v>
      </c>
      <c r="F13" s="21" t="s">
        <v>15</v>
      </c>
      <c r="G13" s="22" t="s">
        <v>16</v>
      </c>
      <c r="H13" s="19" t="s">
        <v>17</v>
      </c>
      <c r="I13" s="23" t="s">
        <v>18</v>
      </c>
      <c r="J13" s="24" t="s">
        <v>19</v>
      </c>
      <c r="K13" s="25" t="s">
        <v>20</v>
      </c>
      <c r="L13" s="24" t="s">
        <v>21</v>
      </c>
      <c r="M13" s="24" t="s">
        <v>22</v>
      </c>
      <c r="N13" s="24" t="s">
        <v>23</v>
      </c>
      <c r="O13" s="19" t="s">
        <v>24</v>
      </c>
      <c r="P13" s="20" t="s">
        <v>25</v>
      </c>
      <c r="Q13" s="24" t="s">
        <v>26</v>
      </c>
      <c r="R13" s="19" t="s">
        <v>27</v>
      </c>
    </row>
    <row r="14" spans="1:92" ht="49.95" customHeight="1" thickTop="1" thickBot="1" x14ac:dyDescent="0.35">
      <c r="A14" s="8" t="s">
        <v>28</v>
      </c>
      <c r="B14" s="8" t="s">
        <v>29</v>
      </c>
      <c r="C14" s="9">
        <v>0.57986111111111105</v>
      </c>
      <c r="D14" s="8" t="s">
        <v>30</v>
      </c>
      <c r="E14" s="10"/>
      <c r="F14" s="8" t="s">
        <v>31</v>
      </c>
      <c r="G14" s="101"/>
      <c r="H14" s="11" t="s">
        <v>29</v>
      </c>
      <c r="I14" s="12">
        <v>0.30359999999999998</v>
      </c>
      <c r="J14" s="13">
        <v>51</v>
      </c>
      <c r="K14" s="14" t="s">
        <v>32</v>
      </c>
      <c r="L14" s="13">
        <v>16</v>
      </c>
      <c r="M14" s="13">
        <v>0</v>
      </c>
      <c r="N14" s="13">
        <v>1</v>
      </c>
      <c r="O14" s="15" t="s">
        <v>38</v>
      </c>
      <c r="P14" s="16">
        <v>0.57986111111111105</v>
      </c>
      <c r="Q14" s="13">
        <v>168</v>
      </c>
      <c r="R14" s="17" t="s">
        <v>39</v>
      </c>
    </row>
    <row r="15" spans="1:92" ht="17.399999999999999" customHeight="1" thickBot="1" x14ac:dyDescent="0.35">
      <c r="A15" s="127"/>
      <c r="B15" s="128"/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9"/>
    </row>
    <row r="16" spans="1:92" ht="22.05" customHeight="1" thickTop="1" thickBot="1" x14ac:dyDescent="0.35">
      <c r="A16" s="102" t="s">
        <v>8</v>
      </c>
      <c r="B16" s="103"/>
      <c r="C16" s="103"/>
      <c r="D16" s="103"/>
      <c r="E16" s="103"/>
      <c r="F16" s="104"/>
      <c r="G16" s="18">
        <v>45990</v>
      </c>
      <c r="H16" s="105" t="s">
        <v>9</v>
      </c>
      <c r="I16" s="103"/>
      <c r="J16" s="103"/>
      <c r="K16" s="103"/>
      <c r="L16" s="103"/>
      <c r="M16" s="103"/>
      <c r="N16" s="103"/>
      <c r="O16" s="103"/>
      <c r="P16" s="103"/>
      <c r="Q16" s="103"/>
      <c r="R16" s="104"/>
    </row>
    <row r="17" spans="1:18" ht="24" customHeight="1" x14ac:dyDescent="0.3">
      <c r="A17" s="19" t="s">
        <v>10</v>
      </c>
      <c r="B17" s="19" t="s">
        <v>11</v>
      </c>
      <c r="C17" s="20" t="s">
        <v>12</v>
      </c>
      <c r="D17" s="19" t="s">
        <v>13</v>
      </c>
      <c r="E17" s="19" t="s">
        <v>14</v>
      </c>
      <c r="F17" s="21" t="s">
        <v>15</v>
      </c>
      <c r="G17" s="22" t="s">
        <v>16</v>
      </c>
      <c r="H17" s="19" t="s">
        <v>17</v>
      </c>
      <c r="I17" s="23" t="s">
        <v>18</v>
      </c>
      <c r="J17" s="24" t="s">
        <v>19</v>
      </c>
      <c r="K17" s="25" t="s">
        <v>20</v>
      </c>
      <c r="L17" s="24" t="s">
        <v>21</v>
      </c>
      <c r="M17" s="24" t="s">
        <v>22</v>
      </c>
      <c r="N17" s="24" t="s">
        <v>23</v>
      </c>
      <c r="O17" s="19" t="s">
        <v>24</v>
      </c>
      <c r="P17" s="20" t="s">
        <v>25</v>
      </c>
      <c r="Q17" s="24" t="s">
        <v>26</v>
      </c>
      <c r="R17" s="19" t="s">
        <v>27</v>
      </c>
    </row>
    <row r="18" spans="1:18" ht="49.95" customHeight="1" thickTop="1" thickBot="1" x14ac:dyDescent="0.35">
      <c r="A18" s="26" t="s">
        <v>28</v>
      </c>
      <c r="B18" s="26" t="s">
        <v>29</v>
      </c>
      <c r="C18" s="27">
        <v>0.92361111111111116</v>
      </c>
      <c r="D18" s="26" t="s">
        <v>30</v>
      </c>
      <c r="E18" s="28"/>
      <c r="F18" s="26" t="s">
        <v>35</v>
      </c>
      <c r="G18" s="101"/>
      <c r="H18" s="29" t="s">
        <v>29</v>
      </c>
      <c r="I18" s="30">
        <v>0.17860000000000001</v>
      </c>
      <c r="J18" s="31">
        <v>30</v>
      </c>
      <c r="K18" s="32" t="s">
        <v>40</v>
      </c>
      <c r="L18" s="31">
        <v>1</v>
      </c>
      <c r="M18" s="31">
        <v>0</v>
      </c>
      <c r="N18" s="31">
        <v>0</v>
      </c>
      <c r="O18" s="33" t="s">
        <v>38</v>
      </c>
      <c r="P18" s="34">
        <v>0.92361111111111116</v>
      </c>
      <c r="Q18" s="31">
        <v>168</v>
      </c>
      <c r="R18" s="35" t="s">
        <v>41</v>
      </c>
    </row>
    <row r="19" spans="1:18" ht="17.399999999999999" customHeight="1" thickBot="1" x14ac:dyDescent="0.35">
      <c r="A19" s="127"/>
      <c r="B19" s="128"/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9"/>
    </row>
    <row r="20" spans="1:18" ht="22.05" customHeight="1" thickTop="1" thickBot="1" x14ac:dyDescent="0.35">
      <c r="A20" s="102" t="s">
        <v>8</v>
      </c>
      <c r="B20" s="103"/>
      <c r="C20" s="103"/>
      <c r="D20" s="103"/>
      <c r="E20" s="103"/>
      <c r="F20" s="104"/>
      <c r="G20" s="18">
        <v>45993</v>
      </c>
      <c r="H20" s="105" t="s">
        <v>9</v>
      </c>
      <c r="I20" s="103"/>
      <c r="J20" s="103"/>
      <c r="K20" s="103"/>
      <c r="L20" s="103"/>
      <c r="M20" s="103"/>
      <c r="N20" s="103"/>
      <c r="O20" s="103"/>
      <c r="P20" s="103"/>
      <c r="Q20" s="103"/>
      <c r="R20" s="104"/>
    </row>
    <row r="21" spans="1:18" ht="24" customHeight="1" x14ac:dyDescent="0.3">
      <c r="A21" s="19" t="s">
        <v>10</v>
      </c>
      <c r="B21" s="19" t="s">
        <v>11</v>
      </c>
      <c r="C21" s="20" t="s">
        <v>12</v>
      </c>
      <c r="D21" s="19" t="s">
        <v>13</v>
      </c>
      <c r="E21" s="19" t="s">
        <v>14</v>
      </c>
      <c r="F21" s="21" t="s">
        <v>15</v>
      </c>
      <c r="G21" s="22" t="s">
        <v>16</v>
      </c>
      <c r="H21" s="19" t="s">
        <v>17</v>
      </c>
      <c r="I21" s="23" t="s">
        <v>18</v>
      </c>
      <c r="J21" s="24" t="s">
        <v>19</v>
      </c>
      <c r="K21" s="25" t="s">
        <v>20</v>
      </c>
      <c r="L21" s="24" t="s">
        <v>21</v>
      </c>
      <c r="M21" s="24" t="s">
        <v>22</v>
      </c>
      <c r="N21" s="24" t="s">
        <v>23</v>
      </c>
      <c r="O21" s="19" t="s">
        <v>24</v>
      </c>
      <c r="P21" s="20" t="s">
        <v>25</v>
      </c>
      <c r="Q21" s="24" t="s">
        <v>26</v>
      </c>
      <c r="R21" s="19" t="s">
        <v>27</v>
      </c>
    </row>
    <row r="22" spans="1:18" ht="49.95" customHeight="1" thickTop="1" thickBot="1" x14ac:dyDescent="0.35">
      <c r="A22" s="36" t="s">
        <v>28</v>
      </c>
      <c r="B22" s="36" t="s">
        <v>29</v>
      </c>
      <c r="C22" s="37">
        <v>0.27083333333333331</v>
      </c>
      <c r="D22" s="36" t="s">
        <v>30</v>
      </c>
      <c r="E22" s="38"/>
      <c r="F22" s="36" t="s">
        <v>35</v>
      </c>
      <c r="G22" s="101"/>
      <c r="H22" s="39" t="s">
        <v>29</v>
      </c>
      <c r="I22" s="40">
        <v>0.29759999999999998</v>
      </c>
      <c r="J22" s="41">
        <v>50</v>
      </c>
      <c r="K22" s="42" t="s">
        <v>42</v>
      </c>
      <c r="L22" s="41">
        <v>14</v>
      </c>
      <c r="M22" s="41">
        <v>0</v>
      </c>
      <c r="N22" s="41">
        <v>0</v>
      </c>
      <c r="O22" s="43" t="s">
        <v>43</v>
      </c>
      <c r="P22" s="44">
        <v>0.27083333333333331</v>
      </c>
      <c r="Q22" s="41">
        <v>168</v>
      </c>
      <c r="R22" s="45" t="s">
        <v>44</v>
      </c>
    </row>
    <row r="23" spans="1:18" ht="17.399999999999999" customHeight="1" thickBot="1" x14ac:dyDescent="0.35">
      <c r="A23" s="127"/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9"/>
    </row>
    <row r="24" spans="1:18" ht="22.05" customHeight="1" thickTop="1" thickBot="1" x14ac:dyDescent="0.35">
      <c r="A24" s="102" t="s">
        <v>8</v>
      </c>
      <c r="B24" s="103"/>
      <c r="C24" s="103"/>
      <c r="D24" s="103"/>
      <c r="E24" s="103"/>
      <c r="F24" s="104"/>
      <c r="G24" s="18">
        <v>45995</v>
      </c>
      <c r="H24" s="105" t="s">
        <v>9</v>
      </c>
      <c r="I24" s="103"/>
      <c r="J24" s="103"/>
      <c r="K24" s="103"/>
      <c r="L24" s="103"/>
      <c r="M24" s="103"/>
      <c r="N24" s="103"/>
      <c r="O24" s="103"/>
      <c r="P24" s="103"/>
      <c r="Q24" s="103"/>
      <c r="R24" s="104"/>
    </row>
    <row r="25" spans="1:18" ht="24" customHeight="1" x14ac:dyDescent="0.3">
      <c r="A25" s="19" t="s">
        <v>10</v>
      </c>
      <c r="B25" s="19" t="s">
        <v>11</v>
      </c>
      <c r="C25" s="20" t="s">
        <v>12</v>
      </c>
      <c r="D25" s="19" t="s">
        <v>13</v>
      </c>
      <c r="E25" s="19" t="s">
        <v>14</v>
      </c>
      <c r="F25" s="21" t="s">
        <v>15</v>
      </c>
      <c r="G25" s="22" t="s">
        <v>16</v>
      </c>
      <c r="H25" s="19" t="s">
        <v>17</v>
      </c>
      <c r="I25" s="23" t="s">
        <v>18</v>
      </c>
      <c r="J25" s="24" t="s">
        <v>19</v>
      </c>
      <c r="K25" s="25" t="s">
        <v>20</v>
      </c>
      <c r="L25" s="24" t="s">
        <v>21</v>
      </c>
      <c r="M25" s="24" t="s">
        <v>22</v>
      </c>
      <c r="N25" s="24" t="s">
        <v>23</v>
      </c>
      <c r="O25" s="19" t="s">
        <v>24</v>
      </c>
      <c r="P25" s="20" t="s">
        <v>25</v>
      </c>
      <c r="Q25" s="24" t="s">
        <v>26</v>
      </c>
      <c r="R25" s="19" t="s">
        <v>27</v>
      </c>
    </row>
    <row r="26" spans="1:18" ht="49.95" customHeight="1" thickTop="1" thickBot="1" x14ac:dyDescent="0.5">
      <c r="A26" s="26" t="s">
        <v>28</v>
      </c>
      <c r="B26" s="26" t="s">
        <v>29</v>
      </c>
      <c r="C26" s="27">
        <v>0.92361111111111116</v>
      </c>
      <c r="D26" s="26" t="s">
        <v>30</v>
      </c>
      <c r="E26" s="28"/>
      <c r="F26" s="26" t="s">
        <v>35</v>
      </c>
      <c r="G26" s="97"/>
      <c r="H26" s="29" t="s">
        <v>29</v>
      </c>
      <c r="I26" s="30">
        <v>0.28570000000000001</v>
      </c>
      <c r="J26" s="31">
        <v>48</v>
      </c>
      <c r="K26" s="32" t="s">
        <v>32</v>
      </c>
      <c r="L26" s="31">
        <v>11</v>
      </c>
      <c r="M26" s="31">
        <v>0</v>
      </c>
      <c r="N26" s="31">
        <v>3</v>
      </c>
      <c r="O26" s="33" t="s">
        <v>45</v>
      </c>
      <c r="P26" s="34">
        <v>0.92361111111111116</v>
      </c>
      <c r="Q26" s="31">
        <v>168</v>
      </c>
      <c r="R26" s="35" t="s">
        <v>46</v>
      </c>
    </row>
    <row r="27" spans="1:18" ht="17.399999999999999" customHeight="1" thickBot="1" x14ac:dyDescent="0.35">
      <c r="A27" s="127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9"/>
    </row>
    <row r="28" spans="1:18" ht="22.05" customHeight="1" thickTop="1" thickBot="1" x14ac:dyDescent="0.35">
      <c r="A28" s="102" t="s">
        <v>8</v>
      </c>
      <c r="B28" s="103"/>
      <c r="C28" s="103"/>
      <c r="D28" s="103"/>
      <c r="E28" s="103"/>
      <c r="F28" s="104"/>
      <c r="G28" s="18">
        <v>45996</v>
      </c>
      <c r="H28" s="105" t="s">
        <v>9</v>
      </c>
      <c r="I28" s="103"/>
      <c r="J28" s="103"/>
      <c r="K28" s="103"/>
      <c r="L28" s="103"/>
      <c r="M28" s="103"/>
      <c r="N28" s="103"/>
      <c r="O28" s="103"/>
      <c r="P28" s="103"/>
      <c r="Q28" s="103"/>
      <c r="R28" s="104"/>
    </row>
    <row r="29" spans="1:18" ht="24" customHeight="1" x14ac:dyDescent="0.3">
      <c r="A29" s="19" t="s">
        <v>10</v>
      </c>
      <c r="B29" s="19" t="s">
        <v>11</v>
      </c>
      <c r="C29" s="20" t="s">
        <v>12</v>
      </c>
      <c r="D29" s="19" t="s">
        <v>13</v>
      </c>
      <c r="E29" s="19" t="s">
        <v>14</v>
      </c>
      <c r="F29" s="21" t="s">
        <v>15</v>
      </c>
      <c r="G29" s="22" t="s">
        <v>16</v>
      </c>
      <c r="H29" s="19" t="s">
        <v>17</v>
      </c>
      <c r="I29" s="23" t="s">
        <v>18</v>
      </c>
      <c r="J29" s="24" t="s">
        <v>19</v>
      </c>
      <c r="K29" s="25" t="s">
        <v>20</v>
      </c>
      <c r="L29" s="24" t="s">
        <v>21</v>
      </c>
      <c r="M29" s="24" t="s">
        <v>22</v>
      </c>
      <c r="N29" s="24" t="s">
        <v>23</v>
      </c>
      <c r="O29" s="19" t="s">
        <v>24</v>
      </c>
      <c r="P29" s="20" t="s">
        <v>25</v>
      </c>
      <c r="Q29" s="24" t="s">
        <v>26</v>
      </c>
      <c r="R29" s="19" t="s">
        <v>27</v>
      </c>
    </row>
    <row r="30" spans="1:18" ht="49.95" customHeight="1" thickTop="1" thickBot="1" x14ac:dyDescent="0.35">
      <c r="A30" s="8" t="s">
        <v>28</v>
      </c>
      <c r="B30" s="8" t="s">
        <v>29</v>
      </c>
      <c r="C30" s="9">
        <v>0.57986111111111105</v>
      </c>
      <c r="D30" s="8" t="s">
        <v>30</v>
      </c>
      <c r="E30" s="10"/>
      <c r="F30" s="8" t="s">
        <v>31</v>
      </c>
      <c r="G30" s="101"/>
      <c r="H30" s="11" t="s">
        <v>29</v>
      </c>
      <c r="I30" s="12">
        <v>0.33929999999999999</v>
      </c>
      <c r="J30" s="13">
        <v>57</v>
      </c>
      <c r="K30" s="14" t="s">
        <v>42</v>
      </c>
      <c r="L30" s="13">
        <v>9</v>
      </c>
      <c r="M30" s="13">
        <v>0</v>
      </c>
      <c r="N30" s="13">
        <v>0</v>
      </c>
      <c r="O30" s="15" t="s">
        <v>47</v>
      </c>
      <c r="P30" s="16">
        <v>0.57986111111111105</v>
      </c>
      <c r="Q30" s="13">
        <v>168</v>
      </c>
      <c r="R30" s="17" t="s">
        <v>48</v>
      </c>
    </row>
    <row r="31" spans="1:18" ht="17.399999999999999" customHeight="1" thickBot="1" x14ac:dyDescent="0.35">
      <c r="A31" s="127"/>
      <c r="B31" s="128"/>
      <c r="C31" s="128"/>
      <c r="D31" s="128"/>
      <c r="E31" s="128"/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128"/>
      <c r="R31" s="129"/>
    </row>
    <row r="32" spans="1:18" ht="22.05" customHeight="1" thickTop="1" thickBot="1" x14ac:dyDescent="0.35">
      <c r="A32" s="102" t="s">
        <v>8</v>
      </c>
      <c r="B32" s="103"/>
      <c r="C32" s="103"/>
      <c r="D32" s="103"/>
      <c r="E32" s="103"/>
      <c r="F32" s="104"/>
      <c r="G32" s="18">
        <v>45997</v>
      </c>
      <c r="H32" s="105" t="s">
        <v>9</v>
      </c>
      <c r="I32" s="103"/>
      <c r="J32" s="103"/>
      <c r="K32" s="103"/>
      <c r="L32" s="103"/>
      <c r="M32" s="103"/>
      <c r="N32" s="103"/>
      <c r="O32" s="103"/>
      <c r="P32" s="103"/>
      <c r="Q32" s="103"/>
      <c r="R32" s="104"/>
    </row>
    <row r="33" spans="1:18" ht="24" customHeight="1" x14ac:dyDescent="0.3">
      <c r="A33" s="19" t="s">
        <v>10</v>
      </c>
      <c r="B33" s="19" t="s">
        <v>11</v>
      </c>
      <c r="C33" s="20" t="s">
        <v>12</v>
      </c>
      <c r="D33" s="19" t="s">
        <v>13</v>
      </c>
      <c r="E33" s="19" t="s">
        <v>14</v>
      </c>
      <c r="F33" s="21" t="s">
        <v>15</v>
      </c>
      <c r="G33" s="22" t="s">
        <v>16</v>
      </c>
      <c r="H33" s="19" t="s">
        <v>17</v>
      </c>
      <c r="I33" s="23" t="s">
        <v>18</v>
      </c>
      <c r="J33" s="24" t="s">
        <v>19</v>
      </c>
      <c r="K33" s="25" t="s">
        <v>20</v>
      </c>
      <c r="L33" s="24" t="s">
        <v>21</v>
      </c>
      <c r="M33" s="24" t="s">
        <v>22</v>
      </c>
      <c r="N33" s="24" t="s">
        <v>23</v>
      </c>
      <c r="O33" s="19" t="s">
        <v>24</v>
      </c>
      <c r="P33" s="20" t="s">
        <v>25</v>
      </c>
      <c r="Q33" s="24" t="s">
        <v>26</v>
      </c>
      <c r="R33" s="19" t="s">
        <v>27</v>
      </c>
    </row>
    <row r="34" spans="1:18" ht="49.95" customHeight="1" thickTop="1" thickBot="1" x14ac:dyDescent="0.5">
      <c r="A34" s="36" t="s">
        <v>28</v>
      </c>
      <c r="B34" s="36" t="s">
        <v>29</v>
      </c>
      <c r="C34" s="37">
        <v>0.92361111111111116</v>
      </c>
      <c r="D34" s="36" t="s">
        <v>30</v>
      </c>
      <c r="E34" s="38"/>
      <c r="F34" s="36" t="s">
        <v>35</v>
      </c>
      <c r="G34" s="97"/>
      <c r="H34" s="39" t="s">
        <v>29</v>
      </c>
      <c r="I34" s="40">
        <v>0.125</v>
      </c>
      <c r="J34" s="41">
        <v>21</v>
      </c>
      <c r="K34" s="42" t="s">
        <v>42</v>
      </c>
      <c r="L34" s="41">
        <v>1</v>
      </c>
      <c r="M34" s="41">
        <v>0</v>
      </c>
      <c r="N34" s="41">
        <v>0</v>
      </c>
      <c r="O34" s="43" t="s">
        <v>38</v>
      </c>
      <c r="P34" s="44">
        <v>0.92361111111111116</v>
      </c>
      <c r="Q34" s="41">
        <v>168</v>
      </c>
      <c r="R34" s="45" t="s">
        <v>49</v>
      </c>
    </row>
    <row r="35" spans="1:18" ht="17.399999999999999" customHeight="1" thickBot="1" x14ac:dyDescent="0.35">
      <c r="A35" s="127"/>
      <c r="B35" s="128"/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9"/>
    </row>
    <row r="36" spans="1:18" ht="22.05" customHeight="1" thickTop="1" thickBot="1" x14ac:dyDescent="0.35">
      <c r="A36" s="102" t="s">
        <v>8</v>
      </c>
      <c r="B36" s="103"/>
      <c r="C36" s="103"/>
      <c r="D36" s="103"/>
      <c r="E36" s="103"/>
      <c r="F36" s="104"/>
      <c r="G36" s="18">
        <v>46000</v>
      </c>
      <c r="H36" s="105" t="s">
        <v>9</v>
      </c>
      <c r="I36" s="103"/>
      <c r="J36" s="103"/>
      <c r="K36" s="103"/>
      <c r="L36" s="103"/>
      <c r="M36" s="103"/>
      <c r="N36" s="103"/>
      <c r="O36" s="103"/>
      <c r="P36" s="103"/>
      <c r="Q36" s="103"/>
      <c r="R36" s="104"/>
    </row>
    <row r="37" spans="1:18" ht="24" customHeight="1" x14ac:dyDescent="0.3">
      <c r="A37" s="19" t="s">
        <v>10</v>
      </c>
      <c r="B37" s="19" t="s">
        <v>11</v>
      </c>
      <c r="C37" s="20" t="s">
        <v>12</v>
      </c>
      <c r="D37" s="19" t="s">
        <v>13</v>
      </c>
      <c r="E37" s="19" t="s">
        <v>14</v>
      </c>
      <c r="F37" s="21" t="s">
        <v>15</v>
      </c>
      <c r="G37" s="22" t="s">
        <v>16</v>
      </c>
      <c r="H37" s="19" t="s">
        <v>17</v>
      </c>
      <c r="I37" s="23" t="s">
        <v>18</v>
      </c>
      <c r="J37" s="24" t="s">
        <v>19</v>
      </c>
      <c r="K37" s="25" t="s">
        <v>20</v>
      </c>
      <c r="L37" s="24" t="s">
        <v>21</v>
      </c>
      <c r="M37" s="24" t="s">
        <v>22</v>
      </c>
      <c r="N37" s="24" t="s">
        <v>23</v>
      </c>
      <c r="O37" s="19" t="s">
        <v>24</v>
      </c>
      <c r="P37" s="20" t="s">
        <v>25</v>
      </c>
      <c r="Q37" s="24" t="s">
        <v>26</v>
      </c>
      <c r="R37" s="19" t="s">
        <v>27</v>
      </c>
    </row>
    <row r="38" spans="1:18" ht="49.95" customHeight="1" thickTop="1" thickBot="1" x14ac:dyDescent="0.35">
      <c r="A38" s="26" t="s">
        <v>28</v>
      </c>
      <c r="B38" s="26" t="s">
        <v>29</v>
      </c>
      <c r="C38" s="27">
        <v>0.27083333333333331</v>
      </c>
      <c r="D38" s="26" t="s">
        <v>30</v>
      </c>
      <c r="E38" s="28"/>
      <c r="F38" s="26" t="s">
        <v>35</v>
      </c>
      <c r="G38" s="101"/>
      <c r="H38" s="29" t="s">
        <v>29</v>
      </c>
      <c r="I38" s="30">
        <v>0.22620000000000001</v>
      </c>
      <c r="J38" s="31">
        <v>38</v>
      </c>
      <c r="K38" s="32" t="s">
        <v>50</v>
      </c>
      <c r="L38" s="31">
        <v>12</v>
      </c>
      <c r="M38" s="31">
        <v>3</v>
      </c>
      <c r="N38" s="31">
        <v>1</v>
      </c>
      <c r="O38" s="33" t="s">
        <v>51</v>
      </c>
      <c r="P38" s="34">
        <v>0.27083333333333331</v>
      </c>
      <c r="Q38" s="31">
        <v>168</v>
      </c>
      <c r="R38" s="35" t="s">
        <v>52</v>
      </c>
    </row>
    <row r="39" spans="1:18" ht="17.399999999999999" customHeight="1" thickBot="1" x14ac:dyDescent="0.35">
      <c r="A39" s="127"/>
      <c r="B39" s="128"/>
      <c r="C39" s="128"/>
      <c r="D39" s="128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8"/>
      <c r="R39" s="129"/>
    </row>
    <row r="40" spans="1:18" ht="22.05" customHeight="1" thickTop="1" thickBot="1" x14ac:dyDescent="0.35">
      <c r="A40" s="102" t="s">
        <v>8</v>
      </c>
      <c r="B40" s="103"/>
      <c r="C40" s="103"/>
      <c r="D40" s="103"/>
      <c r="E40" s="103"/>
      <c r="F40" s="104"/>
      <c r="G40" s="18">
        <v>46002</v>
      </c>
      <c r="H40" s="105" t="s">
        <v>9</v>
      </c>
      <c r="I40" s="103"/>
      <c r="J40" s="103"/>
      <c r="K40" s="103"/>
      <c r="L40" s="103"/>
      <c r="M40" s="103"/>
      <c r="N40" s="103"/>
      <c r="O40" s="103"/>
      <c r="P40" s="103"/>
      <c r="Q40" s="103"/>
      <c r="R40" s="104"/>
    </row>
    <row r="41" spans="1:18" ht="24" customHeight="1" x14ac:dyDescent="0.3">
      <c r="A41" s="19" t="s">
        <v>10</v>
      </c>
      <c r="B41" s="19" t="s">
        <v>11</v>
      </c>
      <c r="C41" s="20" t="s">
        <v>12</v>
      </c>
      <c r="D41" s="19" t="s">
        <v>13</v>
      </c>
      <c r="E41" s="19" t="s">
        <v>14</v>
      </c>
      <c r="F41" s="21" t="s">
        <v>15</v>
      </c>
      <c r="G41" s="22" t="s">
        <v>16</v>
      </c>
      <c r="H41" s="19" t="s">
        <v>17</v>
      </c>
      <c r="I41" s="23" t="s">
        <v>18</v>
      </c>
      <c r="J41" s="24" t="s">
        <v>19</v>
      </c>
      <c r="K41" s="25" t="s">
        <v>20</v>
      </c>
      <c r="L41" s="24" t="s">
        <v>21</v>
      </c>
      <c r="M41" s="24" t="s">
        <v>22</v>
      </c>
      <c r="N41" s="24" t="s">
        <v>23</v>
      </c>
      <c r="O41" s="19" t="s">
        <v>24</v>
      </c>
      <c r="P41" s="20" t="s">
        <v>25</v>
      </c>
      <c r="Q41" s="24" t="s">
        <v>26</v>
      </c>
      <c r="R41" s="19" t="s">
        <v>27</v>
      </c>
    </row>
    <row r="42" spans="1:18" ht="49.95" customHeight="1" thickTop="1" thickBot="1" x14ac:dyDescent="0.35">
      <c r="A42" s="46" t="s">
        <v>28</v>
      </c>
      <c r="B42" s="46" t="s">
        <v>29</v>
      </c>
      <c r="C42" s="47">
        <v>0.92361111111111116</v>
      </c>
      <c r="D42" s="46" t="s">
        <v>30</v>
      </c>
      <c r="E42" s="48"/>
      <c r="F42" s="46" t="s">
        <v>35</v>
      </c>
      <c r="G42" s="101"/>
      <c r="H42" s="49" t="s">
        <v>29</v>
      </c>
      <c r="I42" s="50">
        <v>0.1429</v>
      </c>
      <c r="J42" s="51">
        <v>24</v>
      </c>
      <c r="K42" s="52" t="s">
        <v>32</v>
      </c>
      <c r="L42" s="51">
        <v>7</v>
      </c>
      <c r="M42" s="51">
        <v>0</v>
      </c>
      <c r="N42" s="51">
        <v>3</v>
      </c>
      <c r="O42" s="53" t="s">
        <v>51</v>
      </c>
      <c r="P42" s="54">
        <v>0.92361111111111116</v>
      </c>
      <c r="Q42" s="51">
        <v>168</v>
      </c>
      <c r="R42" s="55" t="s">
        <v>53</v>
      </c>
    </row>
    <row r="43" spans="1:18" ht="17.399999999999999" customHeight="1" thickBot="1" x14ac:dyDescent="0.35">
      <c r="A43" s="127"/>
      <c r="B43" s="128"/>
      <c r="C43" s="128"/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9"/>
    </row>
    <row r="44" spans="1:18" ht="22.05" customHeight="1" thickTop="1" thickBot="1" x14ac:dyDescent="0.35">
      <c r="A44" s="102" t="s">
        <v>8</v>
      </c>
      <c r="B44" s="103"/>
      <c r="C44" s="103"/>
      <c r="D44" s="103"/>
      <c r="E44" s="103"/>
      <c r="F44" s="104"/>
      <c r="G44" s="18">
        <v>46003</v>
      </c>
      <c r="H44" s="105" t="s">
        <v>9</v>
      </c>
      <c r="I44" s="103"/>
      <c r="J44" s="103"/>
      <c r="K44" s="103"/>
      <c r="L44" s="103"/>
      <c r="M44" s="103"/>
      <c r="N44" s="103"/>
      <c r="O44" s="103"/>
      <c r="P44" s="103"/>
      <c r="Q44" s="103"/>
      <c r="R44" s="104"/>
    </row>
    <row r="45" spans="1:18" ht="24" customHeight="1" x14ac:dyDescent="0.3">
      <c r="A45" s="19" t="s">
        <v>10</v>
      </c>
      <c r="B45" s="19" t="s">
        <v>11</v>
      </c>
      <c r="C45" s="20" t="s">
        <v>12</v>
      </c>
      <c r="D45" s="19" t="s">
        <v>13</v>
      </c>
      <c r="E45" s="19" t="s">
        <v>14</v>
      </c>
      <c r="F45" s="21" t="s">
        <v>15</v>
      </c>
      <c r="G45" s="22" t="s">
        <v>16</v>
      </c>
      <c r="H45" s="19" t="s">
        <v>17</v>
      </c>
      <c r="I45" s="23" t="s">
        <v>18</v>
      </c>
      <c r="J45" s="24" t="s">
        <v>19</v>
      </c>
      <c r="K45" s="25" t="s">
        <v>20</v>
      </c>
      <c r="L45" s="24" t="s">
        <v>21</v>
      </c>
      <c r="M45" s="24" t="s">
        <v>22</v>
      </c>
      <c r="N45" s="24" t="s">
        <v>23</v>
      </c>
      <c r="O45" s="19" t="s">
        <v>24</v>
      </c>
      <c r="P45" s="20" t="s">
        <v>25</v>
      </c>
      <c r="Q45" s="24" t="s">
        <v>26</v>
      </c>
      <c r="R45" s="19" t="s">
        <v>27</v>
      </c>
    </row>
    <row r="46" spans="1:18" ht="49.95" customHeight="1" thickTop="1" thickBot="1" x14ac:dyDescent="0.35">
      <c r="A46" s="56" t="s">
        <v>28</v>
      </c>
      <c r="B46" s="56" t="s">
        <v>29</v>
      </c>
      <c r="C46" s="57">
        <v>0.57986111111111105</v>
      </c>
      <c r="D46" s="56" t="s">
        <v>30</v>
      </c>
      <c r="E46" s="58"/>
      <c r="F46" s="56" t="s">
        <v>35</v>
      </c>
      <c r="G46" s="101"/>
      <c r="H46" s="59" t="s">
        <v>29</v>
      </c>
      <c r="I46" s="60">
        <v>0.2024</v>
      </c>
      <c r="J46" s="61">
        <v>34</v>
      </c>
      <c r="K46" s="62" t="s">
        <v>32</v>
      </c>
      <c r="L46" s="61">
        <v>13</v>
      </c>
      <c r="M46" s="61">
        <v>0</v>
      </c>
      <c r="N46" s="61">
        <v>1</v>
      </c>
      <c r="O46" s="63" t="s">
        <v>54</v>
      </c>
      <c r="P46" s="64">
        <v>0.57986111111111105</v>
      </c>
      <c r="Q46" s="61">
        <v>168</v>
      </c>
      <c r="R46" s="65" t="s">
        <v>55</v>
      </c>
    </row>
    <row r="47" spans="1:18" ht="17.399999999999999" customHeight="1" thickBot="1" x14ac:dyDescent="0.35">
      <c r="A47" s="127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9"/>
    </row>
    <row r="48" spans="1:18" ht="22.05" customHeight="1" thickTop="1" thickBot="1" x14ac:dyDescent="0.35">
      <c r="A48" s="102" t="s">
        <v>8</v>
      </c>
      <c r="B48" s="103"/>
      <c r="C48" s="103"/>
      <c r="D48" s="103"/>
      <c r="E48" s="103"/>
      <c r="F48" s="104"/>
      <c r="G48" s="18">
        <v>46004</v>
      </c>
      <c r="H48" s="105" t="s">
        <v>9</v>
      </c>
      <c r="I48" s="103"/>
      <c r="J48" s="103"/>
      <c r="K48" s="103"/>
      <c r="L48" s="103"/>
      <c r="M48" s="103"/>
      <c r="N48" s="103"/>
      <c r="O48" s="103"/>
      <c r="P48" s="103"/>
      <c r="Q48" s="103"/>
      <c r="R48" s="104"/>
    </row>
    <row r="49" spans="1:18" ht="24" customHeight="1" x14ac:dyDescent="0.3">
      <c r="A49" s="19" t="s">
        <v>10</v>
      </c>
      <c r="B49" s="19" t="s">
        <v>11</v>
      </c>
      <c r="C49" s="20" t="s">
        <v>12</v>
      </c>
      <c r="D49" s="19" t="s">
        <v>13</v>
      </c>
      <c r="E49" s="19" t="s">
        <v>14</v>
      </c>
      <c r="F49" s="21" t="s">
        <v>15</v>
      </c>
      <c r="G49" s="22" t="s">
        <v>16</v>
      </c>
      <c r="H49" s="19" t="s">
        <v>17</v>
      </c>
      <c r="I49" s="23" t="s">
        <v>18</v>
      </c>
      <c r="J49" s="24" t="s">
        <v>19</v>
      </c>
      <c r="K49" s="25" t="s">
        <v>20</v>
      </c>
      <c r="L49" s="24" t="s">
        <v>21</v>
      </c>
      <c r="M49" s="24" t="s">
        <v>22</v>
      </c>
      <c r="N49" s="24" t="s">
        <v>23</v>
      </c>
      <c r="O49" s="19" t="s">
        <v>24</v>
      </c>
      <c r="P49" s="20" t="s">
        <v>25</v>
      </c>
      <c r="Q49" s="24" t="s">
        <v>26</v>
      </c>
      <c r="R49" s="19" t="s">
        <v>27</v>
      </c>
    </row>
    <row r="50" spans="1:18" ht="49.95" customHeight="1" thickTop="1" thickBot="1" x14ac:dyDescent="0.35">
      <c r="A50" s="66" t="s">
        <v>28</v>
      </c>
      <c r="B50" s="66" t="s">
        <v>29</v>
      </c>
      <c r="C50" s="67">
        <v>0.92361111111111116</v>
      </c>
      <c r="D50" s="66" t="s">
        <v>30</v>
      </c>
      <c r="E50" s="68"/>
      <c r="F50" s="66" t="s">
        <v>35</v>
      </c>
      <c r="G50" s="101"/>
      <c r="H50" s="69" t="s">
        <v>29</v>
      </c>
      <c r="I50" s="70">
        <v>0.125</v>
      </c>
      <c r="J50" s="71">
        <v>21</v>
      </c>
      <c r="K50" s="72" t="s">
        <v>32</v>
      </c>
      <c r="L50" s="71">
        <v>10</v>
      </c>
      <c r="M50" s="71">
        <v>0</v>
      </c>
      <c r="N50" s="71">
        <v>2</v>
      </c>
      <c r="O50" s="73" t="s">
        <v>38</v>
      </c>
      <c r="P50" s="74">
        <v>0.92361111111111116</v>
      </c>
      <c r="Q50" s="71">
        <v>168</v>
      </c>
      <c r="R50" s="75" t="s">
        <v>56</v>
      </c>
    </row>
    <row r="51" spans="1:18" ht="17.399999999999999" customHeight="1" thickBot="1" x14ac:dyDescent="0.35">
      <c r="A51" s="127"/>
      <c r="B51" s="128"/>
      <c r="C51" s="128"/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128"/>
      <c r="R51" s="129"/>
    </row>
    <row r="52" spans="1:18" ht="22.05" customHeight="1" thickTop="1" thickBot="1" x14ac:dyDescent="0.35">
      <c r="A52" s="102" t="s">
        <v>8</v>
      </c>
      <c r="B52" s="103"/>
      <c r="C52" s="103"/>
      <c r="D52" s="103"/>
      <c r="E52" s="103"/>
      <c r="F52" s="104"/>
      <c r="G52" s="18">
        <v>46007</v>
      </c>
      <c r="H52" s="105" t="s">
        <v>9</v>
      </c>
      <c r="I52" s="103"/>
      <c r="J52" s="103"/>
      <c r="K52" s="103"/>
      <c r="L52" s="103"/>
      <c r="M52" s="103"/>
      <c r="N52" s="103"/>
      <c r="O52" s="103"/>
      <c r="P52" s="103"/>
      <c r="Q52" s="103"/>
      <c r="R52" s="104"/>
    </row>
    <row r="53" spans="1:18" ht="24" customHeight="1" x14ac:dyDescent="0.3">
      <c r="A53" s="19" t="s">
        <v>10</v>
      </c>
      <c r="B53" s="19" t="s">
        <v>11</v>
      </c>
      <c r="C53" s="20" t="s">
        <v>12</v>
      </c>
      <c r="D53" s="19" t="s">
        <v>13</v>
      </c>
      <c r="E53" s="19" t="s">
        <v>14</v>
      </c>
      <c r="F53" s="21" t="s">
        <v>15</v>
      </c>
      <c r="G53" s="22" t="s">
        <v>16</v>
      </c>
      <c r="H53" s="19" t="s">
        <v>17</v>
      </c>
      <c r="I53" s="23" t="s">
        <v>18</v>
      </c>
      <c r="J53" s="24" t="s">
        <v>19</v>
      </c>
      <c r="K53" s="25" t="s">
        <v>20</v>
      </c>
      <c r="L53" s="24" t="s">
        <v>21</v>
      </c>
      <c r="M53" s="24" t="s">
        <v>22</v>
      </c>
      <c r="N53" s="24" t="s">
        <v>23</v>
      </c>
      <c r="O53" s="19" t="s">
        <v>24</v>
      </c>
      <c r="P53" s="20" t="s">
        <v>25</v>
      </c>
      <c r="Q53" s="24" t="s">
        <v>26</v>
      </c>
      <c r="R53" s="19" t="s">
        <v>27</v>
      </c>
    </row>
    <row r="54" spans="1:18" ht="49.95" customHeight="1" thickTop="1" thickBot="1" x14ac:dyDescent="0.35">
      <c r="A54" s="76" t="s">
        <v>28</v>
      </c>
      <c r="B54" s="76" t="s">
        <v>29</v>
      </c>
      <c r="C54" s="77">
        <v>0.27083333333333331</v>
      </c>
      <c r="D54" s="76" t="s">
        <v>30</v>
      </c>
      <c r="E54" s="78"/>
      <c r="F54" s="76" t="s">
        <v>35</v>
      </c>
      <c r="G54" s="101"/>
      <c r="H54" s="79" t="s">
        <v>29</v>
      </c>
      <c r="I54" s="80">
        <v>0.16669999999999999</v>
      </c>
      <c r="J54" s="81">
        <v>28</v>
      </c>
      <c r="K54" s="82" t="s">
        <v>32</v>
      </c>
      <c r="L54" s="81">
        <v>3</v>
      </c>
      <c r="M54" s="81">
        <v>0</v>
      </c>
      <c r="N54" s="81">
        <v>1</v>
      </c>
      <c r="O54" s="83" t="s">
        <v>38</v>
      </c>
      <c r="P54" s="84">
        <v>0.27083333333333331</v>
      </c>
      <c r="Q54" s="81">
        <v>168</v>
      </c>
      <c r="R54" s="85" t="s">
        <v>57</v>
      </c>
    </row>
    <row r="55" spans="1:18" ht="17.399999999999999" customHeight="1" thickBot="1" x14ac:dyDescent="0.35">
      <c r="A55" s="127"/>
      <c r="B55" s="128"/>
      <c r="C55" s="128"/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128"/>
      <c r="R55" s="129"/>
    </row>
    <row r="56" spans="1:18" ht="22.05" customHeight="1" thickTop="1" thickBot="1" x14ac:dyDescent="0.35">
      <c r="A56" s="102" t="s">
        <v>8</v>
      </c>
      <c r="B56" s="103"/>
      <c r="C56" s="103"/>
      <c r="D56" s="103"/>
      <c r="E56" s="103"/>
      <c r="F56" s="104"/>
      <c r="G56" s="18">
        <v>46009</v>
      </c>
      <c r="H56" s="105" t="s">
        <v>9</v>
      </c>
      <c r="I56" s="103"/>
      <c r="J56" s="103"/>
      <c r="K56" s="103"/>
      <c r="L56" s="103"/>
      <c r="M56" s="103"/>
      <c r="N56" s="103"/>
      <c r="O56" s="103"/>
      <c r="P56" s="103"/>
      <c r="Q56" s="103"/>
      <c r="R56" s="104"/>
    </row>
    <row r="57" spans="1:18" ht="24" customHeight="1" x14ac:dyDescent="0.3">
      <c r="A57" s="19" t="s">
        <v>10</v>
      </c>
      <c r="B57" s="19" t="s">
        <v>11</v>
      </c>
      <c r="C57" s="20" t="s">
        <v>12</v>
      </c>
      <c r="D57" s="19" t="s">
        <v>13</v>
      </c>
      <c r="E57" s="19" t="s">
        <v>14</v>
      </c>
      <c r="F57" s="21" t="s">
        <v>15</v>
      </c>
      <c r="G57" s="22" t="s">
        <v>16</v>
      </c>
      <c r="H57" s="19" t="s">
        <v>17</v>
      </c>
      <c r="I57" s="23" t="s">
        <v>18</v>
      </c>
      <c r="J57" s="24" t="s">
        <v>19</v>
      </c>
      <c r="K57" s="25" t="s">
        <v>20</v>
      </c>
      <c r="L57" s="24" t="s">
        <v>21</v>
      </c>
      <c r="M57" s="24" t="s">
        <v>22</v>
      </c>
      <c r="N57" s="24" t="s">
        <v>23</v>
      </c>
      <c r="O57" s="19" t="s">
        <v>24</v>
      </c>
      <c r="P57" s="20" t="s">
        <v>25</v>
      </c>
      <c r="Q57" s="24" t="s">
        <v>26</v>
      </c>
      <c r="R57" s="19" t="s">
        <v>27</v>
      </c>
    </row>
    <row r="58" spans="1:18" ht="49.95" customHeight="1" thickTop="1" thickBot="1" x14ac:dyDescent="0.5">
      <c r="A58" s="86" t="s">
        <v>28</v>
      </c>
      <c r="B58" s="86" t="s">
        <v>29</v>
      </c>
      <c r="C58" s="87">
        <v>0.92361111111111116</v>
      </c>
      <c r="D58" s="86" t="s">
        <v>30</v>
      </c>
      <c r="E58" s="88"/>
      <c r="F58" s="86" t="s">
        <v>35</v>
      </c>
      <c r="G58" s="97"/>
      <c r="H58" s="89" t="s">
        <v>29</v>
      </c>
      <c r="I58" s="90">
        <v>0.2321</v>
      </c>
      <c r="J58" s="91">
        <v>39</v>
      </c>
      <c r="K58" s="92" t="s">
        <v>58</v>
      </c>
      <c r="L58" s="91">
        <v>10</v>
      </c>
      <c r="M58" s="91">
        <v>0</v>
      </c>
      <c r="N58" s="91">
        <v>0</v>
      </c>
      <c r="O58" s="93" t="s">
        <v>59</v>
      </c>
      <c r="P58" s="94">
        <v>0.92361111111111116</v>
      </c>
      <c r="Q58" s="91">
        <v>168</v>
      </c>
      <c r="R58" s="95" t="s">
        <v>60</v>
      </c>
    </row>
    <row r="59" spans="1:18" ht="17.399999999999999" customHeight="1" thickBot="1" x14ac:dyDescent="0.35">
      <c r="A59" s="127"/>
      <c r="B59" s="128"/>
      <c r="C59" s="128"/>
      <c r="D59" s="128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128"/>
      <c r="R59" s="129"/>
    </row>
    <row r="60" spans="1:18" ht="22.05" customHeight="1" thickTop="1" thickBot="1" x14ac:dyDescent="0.35">
      <c r="A60" s="102" t="s">
        <v>8</v>
      </c>
      <c r="B60" s="103"/>
      <c r="C60" s="103"/>
      <c r="D60" s="103"/>
      <c r="E60" s="103"/>
      <c r="F60" s="104"/>
      <c r="G60" s="18">
        <v>46010</v>
      </c>
      <c r="H60" s="105" t="s">
        <v>9</v>
      </c>
      <c r="I60" s="103"/>
      <c r="J60" s="103"/>
      <c r="K60" s="103"/>
      <c r="L60" s="103"/>
      <c r="M60" s="103"/>
      <c r="N60" s="103"/>
      <c r="O60" s="103"/>
      <c r="P60" s="103"/>
      <c r="Q60" s="103"/>
      <c r="R60" s="104"/>
    </row>
    <row r="61" spans="1:18" ht="24" customHeight="1" x14ac:dyDescent="0.3">
      <c r="A61" s="19" t="s">
        <v>10</v>
      </c>
      <c r="B61" s="19" t="s">
        <v>11</v>
      </c>
      <c r="C61" s="20" t="s">
        <v>12</v>
      </c>
      <c r="D61" s="19" t="s">
        <v>13</v>
      </c>
      <c r="E61" s="19" t="s">
        <v>14</v>
      </c>
      <c r="F61" s="21" t="s">
        <v>15</v>
      </c>
      <c r="G61" s="22" t="s">
        <v>16</v>
      </c>
      <c r="H61" s="19" t="s">
        <v>17</v>
      </c>
      <c r="I61" s="23" t="s">
        <v>18</v>
      </c>
      <c r="J61" s="24" t="s">
        <v>19</v>
      </c>
      <c r="K61" s="25" t="s">
        <v>20</v>
      </c>
      <c r="L61" s="24" t="s">
        <v>21</v>
      </c>
      <c r="M61" s="24" t="s">
        <v>22</v>
      </c>
      <c r="N61" s="24" t="s">
        <v>23</v>
      </c>
      <c r="O61" s="19" t="s">
        <v>24</v>
      </c>
      <c r="P61" s="20" t="s">
        <v>25</v>
      </c>
      <c r="Q61" s="24" t="s">
        <v>26</v>
      </c>
      <c r="R61" s="19" t="s">
        <v>27</v>
      </c>
    </row>
    <row r="62" spans="1:18" ht="49.95" customHeight="1" thickTop="1" thickBot="1" x14ac:dyDescent="0.35">
      <c r="A62" s="76" t="s">
        <v>28</v>
      </c>
      <c r="B62" s="76" t="s">
        <v>29</v>
      </c>
      <c r="C62" s="77">
        <v>0.57986111111111105</v>
      </c>
      <c r="D62" s="76" t="s">
        <v>30</v>
      </c>
      <c r="E62" s="78"/>
      <c r="F62" s="76" t="s">
        <v>35</v>
      </c>
      <c r="G62" s="101"/>
      <c r="H62" s="79" t="s">
        <v>29</v>
      </c>
      <c r="I62" s="80">
        <v>0.1726</v>
      </c>
      <c r="J62" s="81">
        <v>29</v>
      </c>
      <c r="K62" s="82" t="s">
        <v>32</v>
      </c>
      <c r="L62" s="81">
        <v>8</v>
      </c>
      <c r="M62" s="81">
        <v>0</v>
      </c>
      <c r="N62" s="81">
        <v>4</v>
      </c>
      <c r="O62" s="83" t="s">
        <v>38</v>
      </c>
      <c r="P62" s="84">
        <v>0.57986111111111105</v>
      </c>
      <c r="Q62" s="81">
        <v>168</v>
      </c>
      <c r="R62" s="85" t="s">
        <v>61</v>
      </c>
    </row>
    <row r="63" spans="1:18" ht="17.399999999999999" customHeight="1" thickBot="1" x14ac:dyDescent="0.35">
      <c r="A63" s="127"/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9"/>
    </row>
    <row r="64" spans="1:18" ht="22.05" customHeight="1" thickTop="1" thickBot="1" x14ac:dyDescent="0.35">
      <c r="A64" s="102" t="s">
        <v>8</v>
      </c>
      <c r="B64" s="103"/>
      <c r="C64" s="103"/>
      <c r="D64" s="103"/>
      <c r="E64" s="103"/>
      <c r="F64" s="104"/>
      <c r="G64" s="18">
        <v>46011</v>
      </c>
      <c r="H64" s="105" t="s">
        <v>9</v>
      </c>
      <c r="I64" s="103"/>
      <c r="J64" s="103"/>
      <c r="K64" s="103"/>
      <c r="L64" s="103"/>
      <c r="M64" s="103"/>
      <c r="N64" s="103"/>
      <c r="O64" s="103"/>
      <c r="P64" s="103"/>
      <c r="Q64" s="103"/>
      <c r="R64" s="104"/>
    </row>
    <row r="65" spans="1:18" ht="24" customHeight="1" x14ac:dyDescent="0.3">
      <c r="A65" s="19" t="s">
        <v>10</v>
      </c>
      <c r="B65" s="19" t="s">
        <v>11</v>
      </c>
      <c r="C65" s="20" t="s">
        <v>12</v>
      </c>
      <c r="D65" s="19" t="s">
        <v>13</v>
      </c>
      <c r="E65" s="19" t="s">
        <v>14</v>
      </c>
      <c r="F65" s="21" t="s">
        <v>15</v>
      </c>
      <c r="G65" s="22" t="s">
        <v>16</v>
      </c>
      <c r="H65" s="19" t="s">
        <v>17</v>
      </c>
      <c r="I65" s="23" t="s">
        <v>18</v>
      </c>
      <c r="J65" s="24" t="s">
        <v>19</v>
      </c>
      <c r="K65" s="25" t="s">
        <v>20</v>
      </c>
      <c r="L65" s="24" t="s">
        <v>21</v>
      </c>
      <c r="M65" s="24" t="s">
        <v>22</v>
      </c>
      <c r="N65" s="24" t="s">
        <v>23</v>
      </c>
      <c r="O65" s="19" t="s">
        <v>24</v>
      </c>
      <c r="P65" s="20" t="s">
        <v>25</v>
      </c>
      <c r="Q65" s="24" t="s">
        <v>26</v>
      </c>
      <c r="R65" s="19" t="s">
        <v>27</v>
      </c>
    </row>
    <row r="66" spans="1:18" ht="49.95" customHeight="1" thickTop="1" thickBot="1" x14ac:dyDescent="0.35">
      <c r="A66" s="56" t="s">
        <v>28</v>
      </c>
      <c r="B66" s="56" t="s">
        <v>29</v>
      </c>
      <c r="C66" s="57">
        <v>0.92361111111111116</v>
      </c>
      <c r="D66" s="56" t="s">
        <v>30</v>
      </c>
      <c r="E66" s="58"/>
      <c r="F66" s="56" t="s">
        <v>35</v>
      </c>
      <c r="G66" s="101"/>
      <c r="H66" s="59" t="s">
        <v>29</v>
      </c>
      <c r="I66" s="60">
        <v>0.1726</v>
      </c>
      <c r="J66" s="61">
        <v>29</v>
      </c>
      <c r="K66" s="62" t="s">
        <v>58</v>
      </c>
      <c r="L66" s="61">
        <v>2</v>
      </c>
      <c r="M66" s="61">
        <v>0</v>
      </c>
      <c r="N66" s="61">
        <v>0</v>
      </c>
      <c r="O66" s="63" t="s">
        <v>38</v>
      </c>
      <c r="P66" s="64">
        <v>0.92361111111111116</v>
      </c>
      <c r="Q66" s="61">
        <v>168</v>
      </c>
      <c r="R66" s="65" t="s">
        <v>62</v>
      </c>
    </row>
    <row r="67" spans="1:18" ht="17.399999999999999" customHeight="1" thickBot="1" x14ac:dyDescent="0.35">
      <c r="A67" s="127"/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9"/>
    </row>
    <row r="68" spans="1:18" ht="22.05" customHeight="1" thickTop="1" thickBot="1" x14ac:dyDescent="0.35">
      <c r="A68" s="102" t="s">
        <v>8</v>
      </c>
      <c r="B68" s="103"/>
      <c r="C68" s="103"/>
      <c r="D68" s="103"/>
      <c r="E68" s="103"/>
      <c r="F68" s="104"/>
      <c r="G68" s="18">
        <v>46014</v>
      </c>
      <c r="H68" s="105" t="s">
        <v>9</v>
      </c>
      <c r="I68" s="103"/>
      <c r="J68" s="103"/>
      <c r="K68" s="103"/>
      <c r="L68" s="103"/>
      <c r="M68" s="103"/>
      <c r="N68" s="103"/>
      <c r="O68" s="103"/>
      <c r="P68" s="103"/>
      <c r="Q68" s="103"/>
      <c r="R68" s="104"/>
    </row>
    <row r="69" spans="1:18" ht="24" customHeight="1" x14ac:dyDescent="0.3">
      <c r="A69" s="19" t="s">
        <v>10</v>
      </c>
      <c r="B69" s="19" t="s">
        <v>11</v>
      </c>
      <c r="C69" s="20" t="s">
        <v>12</v>
      </c>
      <c r="D69" s="19" t="s">
        <v>13</v>
      </c>
      <c r="E69" s="19" t="s">
        <v>14</v>
      </c>
      <c r="F69" s="21" t="s">
        <v>15</v>
      </c>
      <c r="G69" s="22" t="s">
        <v>16</v>
      </c>
      <c r="H69" s="19" t="s">
        <v>17</v>
      </c>
      <c r="I69" s="23" t="s">
        <v>18</v>
      </c>
      <c r="J69" s="24" t="s">
        <v>19</v>
      </c>
      <c r="K69" s="25" t="s">
        <v>20</v>
      </c>
      <c r="L69" s="24" t="s">
        <v>21</v>
      </c>
      <c r="M69" s="24" t="s">
        <v>22</v>
      </c>
      <c r="N69" s="24" t="s">
        <v>23</v>
      </c>
      <c r="O69" s="19" t="s">
        <v>24</v>
      </c>
      <c r="P69" s="20" t="s">
        <v>25</v>
      </c>
      <c r="Q69" s="24" t="s">
        <v>26</v>
      </c>
      <c r="R69" s="19" t="s">
        <v>27</v>
      </c>
    </row>
    <row r="70" spans="1:18" ht="49.95" customHeight="1" thickTop="1" thickBot="1" x14ac:dyDescent="0.5">
      <c r="A70" s="46" t="s">
        <v>28</v>
      </c>
      <c r="B70" s="46" t="s">
        <v>29</v>
      </c>
      <c r="C70" s="47">
        <v>0.27083333333333331</v>
      </c>
      <c r="D70" s="46" t="s">
        <v>30</v>
      </c>
      <c r="E70" s="48"/>
      <c r="F70" s="46" t="s">
        <v>35</v>
      </c>
      <c r="G70" s="97"/>
      <c r="H70" s="49" t="s">
        <v>29</v>
      </c>
      <c r="I70" s="50">
        <v>7.1400000000000005E-2</v>
      </c>
      <c r="J70" s="51">
        <v>12</v>
      </c>
      <c r="K70" s="52" t="s">
        <v>58</v>
      </c>
      <c r="L70" s="51">
        <v>2</v>
      </c>
      <c r="M70" s="51">
        <v>0</v>
      </c>
      <c r="N70" s="51">
        <v>0</v>
      </c>
      <c r="O70" s="53" t="s">
        <v>38</v>
      </c>
      <c r="P70" s="54">
        <v>0.27083333333333331</v>
      </c>
      <c r="Q70" s="51">
        <v>168</v>
      </c>
      <c r="R70" s="55" t="s">
        <v>63</v>
      </c>
    </row>
    <row r="71" spans="1:18" ht="17.399999999999999" customHeight="1" thickBot="1" x14ac:dyDescent="0.35">
      <c r="A71" s="127"/>
      <c r="B71" s="128"/>
      <c r="C71" s="128"/>
      <c r="D71" s="128"/>
      <c r="E71" s="128"/>
      <c r="F71" s="128"/>
      <c r="G71" s="128"/>
      <c r="H71" s="128"/>
      <c r="I71" s="128"/>
      <c r="J71" s="128"/>
      <c r="K71" s="128"/>
      <c r="L71" s="128"/>
      <c r="M71" s="128"/>
      <c r="N71" s="128"/>
      <c r="O71" s="128"/>
      <c r="P71" s="128"/>
      <c r="Q71" s="128"/>
      <c r="R71" s="129"/>
    </row>
    <row r="72" spans="1:18" ht="22.05" customHeight="1" thickTop="1" thickBot="1" x14ac:dyDescent="0.35">
      <c r="A72" s="102" t="s">
        <v>8</v>
      </c>
      <c r="B72" s="103"/>
      <c r="C72" s="103"/>
      <c r="D72" s="103"/>
      <c r="E72" s="103"/>
      <c r="F72" s="104"/>
      <c r="G72" s="18">
        <v>46016</v>
      </c>
      <c r="H72" s="105" t="s">
        <v>9</v>
      </c>
      <c r="I72" s="103"/>
      <c r="J72" s="103"/>
      <c r="K72" s="103"/>
      <c r="L72" s="103"/>
      <c r="M72" s="103"/>
      <c r="N72" s="103"/>
      <c r="O72" s="103"/>
      <c r="P72" s="103"/>
      <c r="Q72" s="103"/>
      <c r="R72" s="104"/>
    </row>
    <row r="73" spans="1:18" ht="24" customHeight="1" x14ac:dyDescent="0.3">
      <c r="A73" s="19" t="s">
        <v>10</v>
      </c>
      <c r="B73" s="19" t="s">
        <v>11</v>
      </c>
      <c r="C73" s="20" t="s">
        <v>12</v>
      </c>
      <c r="D73" s="19" t="s">
        <v>13</v>
      </c>
      <c r="E73" s="19" t="s">
        <v>14</v>
      </c>
      <c r="F73" s="21" t="s">
        <v>15</v>
      </c>
      <c r="G73" s="22" t="s">
        <v>16</v>
      </c>
      <c r="H73" s="19" t="s">
        <v>17</v>
      </c>
      <c r="I73" s="23" t="s">
        <v>18</v>
      </c>
      <c r="J73" s="24" t="s">
        <v>19</v>
      </c>
      <c r="K73" s="25" t="s">
        <v>20</v>
      </c>
      <c r="L73" s="24" t="s">
        <v>21</v>
      </c>
      <c r="M73" s="24" t="s">
        <v>22</v>
      </c>
      <c r="N73" s="24" t="s">
        <v>23</v>
      </c>
      <c r="O73" s="19" t="s">
        <v>24</v>
      </c>
      <c r="P73" s="20" t="s">
        <v>25</v>
      </c>
      <c r="Q73" s="24" t="s">
        <v>26</v>
      </c>
      <c r="R73" s="19" t="s">
        <v>27</v>
      </c>
    </row>
    <row r="74" spans="1:18" ht="49.95" customHeight="1" thickTop="1" thickBot="1" x14ac:dyDescent="0.5">
      <c r="A74" s="46" t="s">
        <v>28</v>
      </c>
      <c r="B74" s="46" t="s">
        <v>29</v>
      </c>
      <c r="C74" s="47">
        <v>0.92361111111111116</v>
      </c>
      <c r="D74" s="46" t="s">
        <v>30</v>
      </c>
      <c r="E74" s="48"/>
      <c r="F74" s="46" t="s">
        <v>35</v>
      </c>
      <c r="G74" s="97"/>
      <c r="H74" s="49" t="s">
        <v>29</v>
      </c>
      <c r="I74" s="50">
        <v>0.22620000000000001</v>
      </c>
      <c r="J74" s="51">
        <v>38</v>
      </c>
      <c r="K74" s="52" t="s">
        <v>32</v>
      </c>
      <c r="L74" s="51">
        <v>13</v>
      </c>
      <c r="M74" s="51">
        <v>0</v>
      </c>
      <c r="N74" s="51">
        <v>2</v>
      </c>
      <c r="O74" s="53" t="s">
        <v>47</v>
      </c>
      <c r="P74" s="54">
        <v>0.92361111111111116</v>
      </c>
      <c r="Q74" s="51">
        <v>168</v>
      </c>
      <c r="R74" s="55" t="s">
        <v>64</v>
      </c>
    </row>
    <row r="75" spans="1:18" ht="17.399999999999999" customHeight="1" thickBot="1" x14ac:dyDescent="0.35">
      <c r="A75" s="127"/>
      <c r="B75" s="128"/>
      <c r="C75" s="128"/>
      <c r="D75" s="128"/>
      <c r="E75" s="128"/>
      <c r="F75" s="128"/>
      <c r="G75" s="128"/>
      <c r="H75" s="128"/>
      <c r="I75" s="128"/>
      <c r="J75" s="128"/>
      <c r="K75" s="128"/>
      <c r="L75" s="128"/>
      <c r="M75" s="128"/>
      <c r="N75" s="128"/>
      <c r="O75" s="128"/>
      <c r="P75" s="128"/>
      <c r="Q75" s="128"/>
      <c r="R75" s="129"/>
    </row>
    <row r="76" spans="1:18" ht="22.05" customHeight="1" thickTop="1" thickBot="1" x14ac:dyDescent="0.35">
      <c r="A76" s="102" t="s">
        <v>8</v>
      </c>
      <c r="B76" s="103"/>
      <c r="C76" s="103"/>
      <c r="D76" s="103"/>
      <c r="E76" s="103"/>
      <c r="F76" s="104"/>
      <c r="G76" s="18">
        <v>46017</v>
      </c>
      <c r="H76" s="105" t="s">
        <v>9</v>
      </c>
      <c r="I76" s="103"/>
      <c r="J76" s="103"/>
      <c r="K76" s="103"/>
      <c r="L76" s="103"/>
      <c r="M76" s="103"/>
      <c r="N76" s="103"/>
      <c r="O76" s="103"/>
      <c r="P76" s="103"/>
      <c r="Q76" s="103"/>
      <c r="R76" s="104"/>
    </row>
    <row r="77" spans="1:18" ht="24" customHeight="1" x14ac:dyDescent="0.3">
      <c r="A77" s="19" t="s">
        <v>10</v>
      </c>
      <c r="B77" s="19" t="s">
        <v>11</v>
      </c>
      <c r="C77" s="20" t="s">
        <v>12</v>
      </c>
      <c r="D77" s="19" t="s">
        <v>13</v>
      </c>
      <c r="E77" s="19" t="s">
        <v>14</v>
      </c>
      <c r="F77" s="21" t="s">
        <v>15</v>
      </c>
      <c r="G77" s="22" t="s">
        <v>16</v>
      </c>
      <c r="H77" s="19" t="s">
        <v>17</v>
      </c>
      <c r="I77" s="23" t="s">
        <v>18</v>
      </c>
      <c r="J77" s="24" t="s">
        <v>19</v>
      </c>
      <c r="K77" s="25" t="s">
        <v>20</v>
      </c>
      <c r="L77" s="24" t="s">
        <v>21</v>
      </c>
      <c r="M77" s="24" t="s">
        <v>22</v>
      </c>
      <c r="N77" s="24" t="s">
        <v>23</v>
      </c>
      <c r="O77" s="19" t="s">
        <v>24</v>
      </c>
      <c r="P77" s="20" t="s">
        <v>25</v>
      </c>
      <c r="Q77" s="24" t="s">
        <v>26</v>
      </c>
      <c r="R77" s="19" t="s">
        <v>27</v>
      </c>
    </row>
    <row r="78" spans="1:18" ht="49.95" customHeight="1" x14ac:dyDescent="0.45">
      <c r="A78" s="86" t="s">
        <v>28</v>
      </c>
      <c r="B78" s="86" t="s">
        <v>29</v>
      </c>
      <c r="C78" s="87">
        <v>0.57986111111111105</v>
      </c>
      <c r="D78" s="86" t="s">
        <v>30</v>
      </c>
      <c r="E78" s="88"/>
      <c r="F78" s="86" t="s">
        <v>35</v>
      </c>
      <c r="G78" s="97"/>
      <c r="H78" s="89" t="s">
        <v>29</v>
      </c>
      <c r="I78" s="90">
        <v>0.1905</v>
      </c>
      <c r="J78" s="91">
        <v>32</v>
      </c>
      <c r="K78" s="92" t="s">
        <v>65</v>
      </c>
      <c r="L78" s="91">
        <v>2</v>
      </c>
      <c r="M78" s="91">
        <v>0</v>
      </c>
      <c r="N78" s="91">
        <v>0</v>
      </c>
      <c r="O78" s="93" t="s">
        <v>38</v>
      </c>
      <c r="P78" s="94">
        <v>0.57986111111111105</v>
      </c>
      <c r="Q78" s="91">
        <v>168</v>
      </c>
      <c r="R78" s="95" t="s">
        <v>66</v>
      </c>
    </row>
  </sheetData>
  <mergeCells count="82">
    <mergeCell ref="G78"/>
    <mergeCell ref="A15:R15"/>
    <mergeCell ref="A51:R51"/>
    <mergeCell ref="H24:R24"/>
    <mergeCell ref="H76:R76"/>
    <mergeCell ref="A75:R75"/>
    <mergeCell ref="H4:R4"/>
    <mergeCell ref="H44:R44"/>
    <mergeCell ref="A3:R3"/>
    <mergeCell ref="A55:R55"/>
    <mergeCell ref="A47:R47"/>
    <mergeCell ref="H64:R64"/>
    <mergeCell ref="A4:F4"/>
    <mergeCell ref="A52:F52"/>
    <mergeCell ref="G38"/>
    <mergeCell ref="A31:R31"/>
    <mergeCell ref="A76:F76"/>
    <mergeCell ref="H68:R68"/>
    <mergeCell ref="A8:F8"/>
    <mergeCell ref="H60:R60"/>
    <mergeCell ref="G2:J2"/>
    <mergeCell ref="A23:R23"/>
    <mergeCell ref="G70"/>
    <mergeCell ref="A43:R43"/>
    <mergeCell ref="A68:F68"/>
    <mergeCell ref="H16:R16"/>
    <mergeCell ref="K2:R2"/>
    <mergeCell ref="A67:R67"/>
    <mergeCell ref="G62"/>
    <mergeCell ref="A36:F36"/>
    <mergeCell ref="H20:R20"/>
    <mergeCell ref="A12:F12"/>
    <mergeCell ref="G74"/>
    <mergeCell ref="H48:R48"/>
    <mergeCell ref="G58"/>
    <mergeCell ref="A56:F56"/>
    <mergeCell ref="G22"/>
    <mergeCell ref="H40:R40"/>
    <mergeCell ref="G54"/>
    <mergeCell ref="G46"/>
    <mergeCell ref="A2:F2"/>
    <mergeCell ref="H56:R56"/>
    <mergeCell ref="A71:R71"/>
    <mergeCell ref="H36:R36"/>
    <mergeCell ref="A28:F28"/>
    <mergeCell ref="A63:R63"/>
    <mergeCell ref="A48:F48"/>
    <mergeCell ref="G10"/>
    <mergeCell ref="G66"/>
    <mergeCell ref="H28:R28"/>
    <mergeCell ref="G18"/>
    <mergeCell ref="A39:R39"/>
    <mergeCell ref="H12:R12"/>
    <mergeCell ref="G34"/>
    <mergeCell ref="G50"/>
    <mergeCell ref="A32:F32"/>
    <mergeCell ref="A20:F20"/>
    <mergeCell ref="A72:F72"/>
    <mergeCell ref="G42"/>
    <mergeCell ref="A35:R35"/>
    <mergeCell ref="H52:R52"/>
    <mergeCell ref="A44:F44"/>
    <mergeCell ref="H72:R72"/>
    <mergeCell ref="A40:F40"/>
    <mergeCell ref="H32:R32"/>
    <mergeCell ref="A64:F64"/>
    <mergeCell ref="A24:F24"/>
    <mergeCell ref="A59:R59"/>
    <mergeCell ref="A60:F60"/>
    <mergeCell ref="G30"/>
    <mergeCell ref="A7:R7"/>
    <mergeCell ref="G26"/>
    <mergeCell ref="H1:L1"/>
    <mergeCell ref="A1:E1"/>
    <mergeCell ref="A27:R27"/>
    <mergeCell ref="A19:R19"/>
    <mergeCell ref="G6"/>
    <mergeCell ref="A11:R11"/>
    <mergeCell ref="G14"/>
    <mergeCell ref="A16:F16"/>
    <mergeCell ref="H8:R8"/>
    <mergeCell ref="N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1"/>
  <sheetViews>
    <sheetView workbookViewId="0"/>
  </sheetViews>
  <sheetFormatPr defaultRowHeight="15.6" outlineLevelCol="1" x14ac:dyDescent="0.3"/>
  <cols>
    <col min="1" max="1" width="9.88671875" style="114" bestFit="1" customWidth="1"/>
    <col min="2" max="2" width="10.44140625" style="114" bestFit="1" customWidth="1"/>
    <col min="3" max="3" width="6.77734375" style="114" bestFit="1" customWidth="1"/>
    <col min="4" max="4" width="5.5546875" style="114" bestFit="1" customWidth="1"/>
    <col min="5" max="5" width="9.21875" style="114" bestFit="1" customWidth="1"/>
    <col min="6" max="6" width="4.21875" style="114" bestFit="1" customWidth="1"/>
    <col min="7" max="7" width="10" style="114" bestFit="1" customWidth="1"/>
    <col min="8" max="8" width="8.5546875" style="114" bestFit="1" customWidth="1"/>
    <col min="9" max="10" width="7" style="114" bestFit="1" customWidth="1"/>
    <col min="11" max="11" width="10.5546875" style="114" bestFit="1" customWidth="1"/>
    <col min="12" max="12" width="18.109375" style="114" bestFit="1" customWidth="1"/>
    <col min="13" max="13" width="7.6640625" style="114" bestFit="1" customWidth="1" outlineLevel="1"/>
    <col min="14" max="14" width="6.33203125" style="114" bestFit="1" customWidth="1" outlineLevel="1"/>
    <col min="15" max="15" width="8" style="114" bestFit="1" customWidth="1" outlineLevel="1"/>
    <col min="16" max="16" width="13.6640625" style="114" bestFit="1" customWidth="1"/>
    <col min="17" max="25" width="3.88671875" style="114" bestFit="1" customWidth="1"/>
    <col min="26" max="26" width="4.109375" style="114" bestFit="1" customWidth="1"/>
    <col min="27" max="27" width="4" style="114" bestFit="1" customWidth="1"/>
    <col min="28" max="29" width="4.21875" style="114" bestFit="1" customWidth="1"/>
    <col min="30" max="30" width="4.5546875" style="114" bestFit="1" customWidth="1"/>
    <col min="31" max="36" width="3.88671875" style="114" bestFit="1" customWidth="1"/>
    <col min="37" max="16384" width="8.88671875" style="114"/>
  </cols>
  <sheetData>
    <row r="1" spans="1:36" x14ac:dyDescent="0.3">
      <c r="A1" s="113" t="s">
        <v>67</v>
      </c>
      <c r="B1" s="113" t="s">
        <v>68</v>
      </c>
      <c r="C1" s="113" t="s">
        <v>69</v>
      </c>
      <c r="D1" s="113" t="s">
        <v>25</v>
      </c>
      <c r="E1" s="113" t="s">
        <v>70</v>
      </c>
      <c r="F1" s="113" t="s">
        <v>71</v>
      </c>
      <c r="G1" s="113" t="s">
        <v>18</v>
      </c>
      <c r="H1" s="113" t="s">
        <v>72</v>
      </c>
      <c r="I1" s="113" t="s">
        <v>73</v>
      </c>
      <c r="J1" s="113" t="s">
        <v>74</v>
      </c>
      <c r="K1" s="113" t="s">
        <v>75</v>
      </c>
      <c r="L1" s="113" t="s">
        <v>20</v>
      </c>
      <c r="M1" s="113" t="s">
        <v>22</v>
      </c>
      <c r="N1" s="113" t="s">
        <v>23</v>
      </c>
      <c r="O1" s="113" t="s">
        <v>21</v>
      </c>
      <c r="P1" s="113" t="s">
        <v>24</v>
      </c>
      <c r="Q1" s="113" t="s">
        <v>76</v>
      </c>
      <c r="R1" s="113" t="s">
        <v>77</v>
      </c>
      <c r="S1" s="113" t="s">
        <v>78</v>
      </c>
      <c r="T1" s="113" t="s">
        <v>79</v>
      </c>
      <c r="U1" s="113" t="s">
        <v>80</v>
      </c>
      <c r="V1" s="113" t="s">
        <v>81</v>
      </c>
      <c r="W1" s="113" t="s">
        <v>82</v>
      </c>
      <c r="X1" s="113" t="s">
        <v>83</v>
      </c>
      <c r="Y1" s="113" t="s">
        <v>84</v>
      </c>
      <c r="Z1" s="113" t="s">
        <v>85</v>
      </c>
      <c r="AA1" s="113" t="s">
        <v>86</v>
      </c>
      <c r="AB1" s="113" t="s">
        <v>87</v>
      </c>
      <c r="AC1" s="113" t="s">
        <v>88</v>
      </c>
      <c r="AD1" s="113" t="s">
        <v>89</v>
      </c>
      <c r="AE1" s="113" t="s">
        <v>90</v>
      </c>
      <c r="AF1" s="113" t="s">
        <v>91</v>
      </c>
      <c r="AG1" s="113" t="s">
        <v>92</v>
      </c>
      <c r="AH1" s="113" t="s">
        <v>93</v>
      </c>
      <c r="AI1" s="113" t="s">
        <v>94</v>
      </c>
      <c r="AJ1" s="113" t="s">
        <v>95</v>
      </c>
    </row>
    <row r="2" spans="1:36" x14ac:dyDescent="0.3">
      <c r="A2" s="115" t="s">
        <v>96</v>
      </c>
      <c r="B2" s="116">
        <v>45986</v>
      </c>
      <c r="C2" s="117" t="s">
        <v>29</v>
      </c>
      <c r="D2" s="118" t="s">
        <v>97</v>
      </c>
      <c r="E2" s="117" t="s">
        <v>1</v>
      </c>
      <c r="F2" s="117" t="s">
        <v>98</v>
      </c>
      <c r="G2" s="119">
        <v>0.41070000000000001</v>
      </c>
      <c r="H2" s="120">
        <v>168</v>
      </c>
      <c r="I2" s="120">
        <v>69</v>
      </c>
      <c r="J2" s="120">
        <v>0</v>
      </c>
      <c r="K2" s="117" t="s">
        <v>99</v>
      </c>
      <c r="L2" s="121" t="s">
        <v>32</v>
      </c>
      <c r="M2" s="120">
        <v>0</v>
      </c>
      <c r="N2" s="120">
        <v>3</v>
      </c>
      <c r="O2" s="120">
        <v>31</v>
      </c>
      <c r="P2" s="117" t="s">
        <v>33</v>
      </c>
      <c r="Q2" s="113"/>
      <c r="R2" s="113"/>
      <c r="S2" s="113"/>
      <c r="T2" s="113"/>
      <c r="U2" s="113"/>
      <c r="V2" s="113"/>
      <c r="W2" s="113"/>
      <c r="X2" s="113"/>
      <c r="Y2" s="113"/>
      <c r="Z2" s="120" t="s">
        <v>100</v>
      </c>
      <c r="AA2" s="120" t="s">
        <v>101</v>
      </c>
      <c r="AB2" s="113"/>
      <c r="AC2" s="113"/>
      <c r="AD2" s="120" t="s">
        <v>102</v>
      </c>
      <c r="AE2" s="120" t="s">
        <v>54</v>
      </c>
      <c r="AF2" s="120" t="s">
        <v>103</v>
      </c>
      <c r="AG2" s="113"/>
      <c r="AH2" s="113"/>
      <c r="AI2" s="113"/>
      <c r="AJ2" s="113"/>
    </row>
    <row r="3" spans="1:36" x14ac:dyDescent="0.3">
      <c r="A3" s="115" t="s">
        <v>104</v>
      </c>
      <c r="B3" s="116">
        <v>45988</v>
      </c>
      <c r="C3" s="117" t="s">
        <v>29</v>
      </c>
      <c r="D3" s="118" t="s">
        <v>105</v>
      </c>
      <c r="E3" s="117" t="s">
        <v>1</v>
      </c>
      <c r="F3" s="117" t="s">
        <v>98</v>
      </c>
      <c r="G3" s="119">
        <v>0.25</v>
      </c>
      <c r="H3" s="120">
        <v>168</v>
      </c>
      <c r="I3" s="120">
        <v>42</v>
      </c>
      <c r="J3" s="120">
        <v>0</v>
      </c>
      <c r="K3" s="117" t="s">
        <v>99</v>
      </c>
      <c r="L3" s="121" t="s">
        <v>32</v>
      </c>
      <c r="M3" s="120">
        <v>0</v>
      </c>
      <c r="N3" s="120">
        <v>2</v>
      </c>
      <c r="O3" s="120">
        <v>14</v>
      </c>
      <c r="P3" s="117" t="s">
        <v>36</v>
      </c>
      <c r="Q3" s="113"/>
      <c r="R3" s="113"/>
      <c r="S3" s="113"/>
      <c r="T3" s="113"/>
      <c r="U3" s="113"/>
      <c r="V3" s="113"/>
      <c r="W3" s="113"/>
      <c r="X3" s="120" t="s">
        <v>106</v>
      </c>
      <c r="Y3" s="113"/>
      <c r="Z3" s="120" t="s">
        <v>107</v>
      </c>
      <c r="AA3" s="120" t="s">
        <v>108</v>
      </c>
      <c r="AB3" s="113"/>
      <c r="AC3" s="120" t="s">
        <v>109</v>
      </c>
      <c r="AD3" s="120" t="s">
        <v>110</v>
      </c>
      <c r="AE3" s="120" t="s">
        <v>111</v>
      </c>
      <c r="AF3" s="120" t="s">
        <v>112</v>
      </c>
      <c r="AG3" s="113"/>
      <c r="AH3" s="113"/>
      <c r="AI3" s="113"/>
      <c r="AJ3" s="113"/>
    </row>
    <row r="4" spans="1:36" x14ac:dyDescent="0.3">
      <c r="A4" s="115" t="s">
        <v>113</v>
      </c>
      <c r="B4" s="116">
        <v>45989</v>
      </c>
      <c r="C4" s="117" t="s">
        <v>29</v>
      </c>
      <c r="D4" s="118" t="s">
        <v>114</v>
      </c>
      <c r="E4" s="117" t="s">
        <v>1</v>
      </c>
      <c r="F4" s="117" t="s">
        <v>98</v>
      </c>
      <c r="G4" s="119">
        <v>0.30359999999999998</v>
      </c>
      <c r="H4" s="120">
        <v>168</v>
      </c>
      <c r="I4" s="120">
        <v>51</v>
      </c>
      <c r="J4" s="120">
        <v>0</v>
      </c>
      <c r="K4" s="117" t="s">
        <v>99</v>
      </c>
      <c r="L4" s="121" t="s">
        <v>32</v>
      </c>
      <c r="M4" s="120">
        <v>0</v>
      </c>
      <c r="N4" s="120">
        <v>1</v>
      </c>
      <c r="O4" s="120">
        <v>16</v>
      </c>
      <c r="P4" s="117" t="s">
        <v>38</v>
      </c>
      <c r="Q4" s="113"/>
      <c r="R4" s="113"/>
      <c r="S4" s="113"/>
      <c r="T4" s="113"/>
      <c r="U4" s="113"/>
      <c r="V4" s="113"/>
      <c r="W4" s="113"/>
      <c r="X4" s="113"/>
      <c r="Y4" s="120" t="s">
        <v>115</v>
      </c>
      <c r="Z4" s="120" t="s">
        <v>116</v>
      </c>
      <c r="AA4" s="120" t="s">
        <v>117</v>
      </c>
      <c r="AB4" s="113"/>
      <c r="AC4" s="113"/>
      <c r="AD4" s="113"/>
      <c r="AE4" s="120" t="s">
        <v>118</v>
      </c>
      <c r="AF4" s="120" t="s">
        <v>119</v>
      </c>
      <c r="AG4" s="113"/>
      <c r="AH4" s="113"/>
      <c r="AI4" s="113"/>
      <c r="AJ4" s="113"/>
    </row>
    <row r="5" spans="1:36" x14ac:dyDescent="0.3">
      <c r="A5" s="115" t="s">
        <v>120</v>
      </c>
      <c r="B5" s="116">
        <v>45990</v>
      </c>
      <c r="C5" s="117" t="s">
        <v>29</v>
      </c>
      <c r="D5" s="118" t="s">
        <v>105</v>
      </c>
      <c r="E5" s="117" t="s">
        <v>1</v>
      </c>
      <c r="F5" s="117" t="s">
        <v>98</v>
      </c>
      <c r="G5" s="119">
        <v>0.17860000000000001</v>
      </c>
      <c r="H5" s="120">
        <v>168</v>
      </c>
      <c r="I5" s="120">
        <v>30</v>
      </c>
      <c r="J5" s="120">
        <v>0</v>
      </c>
      <c r="K5" s="117" t="s">
        <v>99</v>
      </c>
      <c r="L5" s="121" t="s">
        <v>40</v>
      </c>
      <c r="M5" s="120">
        <v>0</v>
      </c>
      <c r="N5" s="120">
        <v>0</v>
      </c>
      <c r="O5" s="120">
        <v>1</v>
      </c>
      <c r="P5" s="117" t="s">
        <v>38</v>
      </c>
      <c r="Q5" s="113"/>
      <c r="R5" s="113"/>
      <c r="S5" s="113"/>
      <c r="T5" s="113"/>
      <c r="U5" s="113"/>
      <c r="V5" s="113"/>
      <c r="W5" s="113"/>
      <c r="X5" s="120" t="s">
        <v>121</v>
      </c>
      <c r="Y5" s="120" t="s">
        <v>122</v>
      </c>
      <c r="Z5" s="120" t="s">
        <v>123</v>
      </c>
      <c r="AA5" s="120" t="s">
        <v>124</v>
      </c>
      <c r="AB5" s="113"/>
      <c r="AC5" s="113"/>
      <c r="AD5" s="120" t="s">
        <v>125</v>
      </c>
      <c r="AE5" s="113"/>
      <c r="AF5" s="120" t="s">
        <v>126</v>
      </c>
      <c r="AG5" s="113"/>
      <c r="AH5" s="113"/>
      <c r="AI5" s="113"/>
      <c r="AJ5" s="113"/>
    </row>
    <row r="6" spans="1:36" x14ac:dyDescent="0.3">
      <c r="A6" s="115" t="s">
        <v>96</v>
      </c>
      <c r="B6" s="116">
        <v>45993</v>
      </c>
      <c r="C6" s="117" t="s">
        <v>29</v>
      </c>
      <c r="D6" s="118" t="s">
        <v>97</v>
      </c>
      <c r="E6" s="117" t="s">
        <v>1</v>
      </c>
      <c r="F6" s="117" t="s">
        <v>98</v>
      </c>
      <c r="G6" s="119">
        <v>0.29759999999999998</v>
      </c>
      <c r="H6" s="120">
        <v>168</v>
      </c>
      <c r="I6" s="120">
        <v>50</v>
      </c>
      <c r="J6" s="120">
        <v>0</v>
      </c>
      <c r="K6" s="117" t="s">
        <v>99</v>
      </c>
      <c r="L6" s="121" t="s">
        <v>42</v>
      </c>
      <c r="M6" s="120">
        <v>0</v>
      </c>
      <c r="N6" s="120">
        <v>0</v>
      </c>
      <c r="O6" s="120">
        <v>14</v>
      </c>
      <c r="P6" s="117" t="s">
        <v>43</v>
      </c>
      <c r="Q6" s="113"/>
      <c r="R6" s="113"/>
      <c r="S6" s="113"/>
      <c r="T6" s="113"/>
      <c r="U6" s="113"/>
      <c r="V6" s="113"/>
      <c r="W6" s="113"/>
      <c r="X6" s="113"/>
      <c r="Y6" s="113"/>
      <c r="Z6" s="120" t="s">
        <v>127</v>
      </c>
      <c r="AA6" s="113"/>
      <c r="AB6" s="120" t="s">
        <v>128</v>
      </c>
      <c r="AC6" s="120" t="s">
        <v>129</v>
      </c>
      <c r="AD6" s="120" t="s">
        <v>102</v>
      </c>
      <c r="AE6" s="120" t="s">
        <v>130</v>
      </c>
      <c r="AF6" s="120" t="s">
        <v>131</v>
      </c>
      <c r="AG6" s="113"/>
      <c r="AH6" s="113"/>
      <c r="AI6" s="113"/>
      <c r="AJ6" s="113"/>
    </row>
    <row r="7" spans="1:36" x14ac:dyDescent="0.3">
      <c r="A7" s="115" t="s">
        <v>104</v>
      </c>
      <c r="B7" s="116">
        <v>45995</v>
      </c>
      <c r="C7" s="117" t="s">
        <v>29</v>
      </c>
      <c r="D7" s="118" t="s">
        <v>105</v>
      </c>
      <c r="E7" s="117" t="s">
        <v>1</v>
      </c>
      <c r="F7" s="117" t="s">
        <v>98</v>
      </c>
      <c r="G7" s="119">
        <v>0.28570000000000001</v>
      </c>
      <c r="H7" s="120">
        <v>168</v>
      </c>
      <c r="I7" s="120">
        <v>48</v>
      </c>
      <c r="J7" s="120">
        <v>0</v>
      </c>
      <c r="K7" s="117" t="s">
        <v>99</v>
      </c>
      <c r="L7" s="121" t="s">
        <v>32</v>
      </c>
      <c r="M7" s="120">
        <v>0</v>
      </c>
      <c r="N7" s="120">
        <v>3</v>
      </c>
      <c r="O7" s="120">
        <v>11</v>
      </c>
      <c r="P7" s="117" t="s">
        <v>45</v>
      </c>
      <c r="Q7" s="113"/>
      <c r="R7" s="113"/>
      <c r="S7" s="113"/>
      <c r="T7" s="113"/>
      <c r="U7" s="113"/>
      <c r="V7" s="113"/>
      <c r="W7" s="113"/>
      <c r="X7" s="113"/>
      <c r="Y7" s="113"/>
      <c r="Z7" s="120" t="s">
        <v>132</v>
      </c>
      <c r="AA7" s="120" t="s">
        <v>133</v>
      </c>
      <c r="AB7" s="120" t="s">
        <v>134</v>
      </c>
      <c r="AC7" s="120" t="s">
        <v>135</v>
      </c>
      <c r="AD7" s="120" t="s">
        <v>110</v>
      </c>
      <c r="AE7" s="120" t="s">
        <v>136</v>
      </c>
      <c r="AF7" s="120" t="s">
        <v>137</v>
      </c>
      <c r="AG7" s="113"/>
      <c r="AH7" s="113"/>
      <c r="AI7" s="113"/>
      <c r="AJ7" s="113"/>
    </row>
    <row r="8" spans="1:36" x14ac:dyDescent="0.3">
      <c r="A8" s="115" t="s">
        <v>113</v>
      </c>
      <c r="B8" s="116">
        <v>45996</v>
      </c>
      <c r="C8" s="117" t="s">
        <v>29</v>
      </c>
      <c r="D8" s="118" t="s">
        <v>114</v>
      </c>
      <c r="E8" s="117" t="s">
        <v>1</v>
      </c>
      <c r="F8" s="117" t="s">
        <v>98</v>
      </c>
      <c r="G8" s="119">
        <v>0.33929999999999999</v>
      </c>
      <c r="H8" s="120">
        <v>168</v>
      </c>
      <c r="I8" s="120">
        <v>57</v>
      </c>
      <c r="J8" s="120">
        <v>0</v>
      </c>
      <c r="K8" s="117" t="s">
        <v>99</v>
      </c>
      <c r="L8" s="121" t="s">
        <v>42</v>
      </c>
      <c r="M8" s="120">
        <v>0</v>
      </c>
      <c r="N8" s="120">
        <v>0</v>
      </c>
      <c r="O8" s="120">
        <v>9</v>
      </c>
      <c r="P8" s="117" t="s">
        <v>47</v>
      </c>
      <c r="Q8" s="113"/>
      <c r="R8" s="113"/>
      <c r="S8" s="113"/>
      <c r="T8" s="113"/>
      <c r="U8" s="113"/>
      <c r="V8" s="113"/>
      <c r="W8" s="113"/>
      <c r="X8" s="113"/>
      <c r="Y8" s="113"/>
      <c r="Z8" s="120" t="s">
        <v>138</v>
      </c>
      <c r="AA8" s="113"/>
      <c r="AB8" s="120" t="s">
        <v>139</v>
      </c>
      <c r="AC8" s="120" t="s">
        <v>140</v>
      </c>
      <c r="AD8" s="120" t="s">
        <v>141</v>
      </c>
      <c r="AE8" s="120" t="s">
        <v>118</v>
      </c>
      <c r="AF8" s="120" t="s">
        <v>142</v>
      </c>
      <c r="AG8" s="113"/>
      <c r="AH8" s="113"/>
      <c r="AI8" s="113"/>
      <c r="AJ8" s="113"/>
    </row>
    <row r="9" spans="1:36" x14ac:dyDescent="0.3">
      <c r="A9" s="115" t="s">
        <v>120</v>
      </c>
      <c r="B9" s="116">
        <v>45997</v>
      </c>
      <c r="C9" s="117" t="s">
        <v>29</v>
      </c>
      <c r="D9" s="118" t="s">
        <v>105</v>
      </c>
      <c r="E9" s="117" t="s">
        <v>1</v>
      </c>
      <c r="F9" s="117" t="s">
        <v>98</v>
      </c>
      <c r="G9" s="119">
        <v>0.125</v>
      </c>
      <c r="H9" s="120">
        <v>168</v>
      </c>
      <c r="I9" s="120">
        <v>21</v>
      </c>
      <c r="J9" s="120">
        <v>0</v>
      </c>
      <c r="K9" s="117" t="s">
        <v>99</v>
      </c>
      <c r="L9" s="121" t="s">
        <v>42</v>
      </c>
      <c r="M9" s="120">
        <v>0</v>
      </c>
      <c r="N9" s="120">
        <v>0</v>
      </c>
      <c r="O9" s="120">
        <v>1</v>
      </c>
      <c r="P9" s="117" t="s">
        <v>38</v>
      </c>
      <c r="Q9" s="113"/>
      <c r="R9" s="113"/>
      <c r="S9" s="113"/>
      <c r="T9" s="113"/>
      <c r="U9" s="113"/>
      <c r="V9" s="113"/>
      <c r="W9" s="113"/>
      <c r="X9" s="113"/>
      <c r="Y9" s="113"/>
      <c r="Z9" s="120" t="s">
        <v>143</v>
      </c>
      <c r="AA9" s="113"/>
      <c r="AB9" s="113"/>
      <c r="AC9" s="113"/>
      <c r="AD9" s="120" t="s">
        <v>144</v>
      </c>
      <c r="AE9" s="120" t="s">
        <v>145</v>
      </c>
      <c r="AF9" s="120" t="s">
        <v>146</v>
      </c>
      <c r="AG9" s="113"/>
      <c r="AH9" s="113"/>
      <c r="AI9" s="113"/>
      <c r="AJ9" s="113"/>
    </row>
    <row r="10" spans="1:36" x14ac:dyDescent="0.3">
      <c r="A10" s="115" t="s">
        <v>96</v>
      </c>
      <c r="B10" s="116">
        <v>46000</v>
      </c>
      <c r="C10" s="117" t="s">
        <v>29</v>
      </c>
      <c r="D10" s="118" t="s">
        <v>97</v>
      </c>
      <c r="E10" s="117" t="s">
        <v>1</v>
      </c>
      <c r="F10" s="117" t="s">
        <v>98</v>
      </c>
      <c r="G10" s="119">
        <v>0.22620000000000001</v>
      </c>
      <c r="H10" s="120">
        <v>168</v>
      </c>
      <c r="I10" s="120">
        <v>38</v>
      </c>
      <c r="J10" s="120">
        <v>0</v>
      </c>
      <c r="K10" s="117" t="s">
        <v>99</v>
      </c>
      <c r="L10" s="121" t="s">
        <v>50</v>
      </c>
      <c r="M10" s="120">
        <v>3</v>
      </c>
      <c r="N10" s="120">
        <v>1</v>
      </c>
      <c r="O10" s="120">
        <v>12</v>
      </c>
      <c r="P10" s="117" t="s">
        <v>51</v>
      </c>
      <c r="Q10" s="113"/>
      <c r="R10" s="113"/>
      <c r="S10" s="113"/>
      <c r="T10" s="113"/>
      <c r="U10" s="113"/>
      <c r="V10" s="113"/>
      <c r="W10" s="113"/>
      <c r="X10" s="113"/>
      <c r="Y10" s="113"/>
      <c r="Z10" s="120" t="s">
        <v>123</v>
      </c>
      <c r="AA10" s="113"/>
      <c r="AB10" s="113"/>
      <c r="AC10" s="120" t="s">
        <v>129</v>
      </c>
      <c r="AD10" s="120" t="s">
        <v>110</v>
      </c>
      <c r="AE10" s="113"/>
      <c r="AF10" s="120" t="s">
        <v>147</v>
      </c>
      <c r="AG10" s="113"/>
      <c r="AH10" s="113"/>
      <c r="AI10" s="113"/>
      <c r="AJ10" s="113"/>
    </row>
    <row r="11" spans="1:36" x14ac:dyDescent="0.3">
      <c r="A11" s="115" t="s">
        <v>104</v>
      </c>
      <c r="B11" s="116">
        <v>46002</v>
      </c>
      <c r="C11" s="117" t="s">
        <v>29</v>
      </c>
      <c r="D11" s="118" t="s">
        <v>105</v>
      </c>
      <c r="E11" s="117" t="s">
        <v>1</v>
      </c>
      <c r="F11" s="117" t="s">
        <v>98</v>
      </c>
      <c r="G11" s="119">
        <v>0.1429</v>
      </c>
      <c r="H11" s="120">
        <v>168</v>
      </c>
      <c r="I11" s="120">
        <v>24</v>
      </c>
      <c r="J11" s="120">
        <v>0</v>
      </c>
      <c r="K11" s="117" t="s">
        <v>99</v>
      </c>
      <c r="L11" s="121" t="s">
        <v>32</v>
      </c>
      <c r="M11" s="120">
        <v>0</v>
      </c>
      <c r="N11" s="120">
        <v>3</v>
      </c>
      <c r="O11" s="120">
        <v>7</v>
      </c>
      <c r="P11" s="117" t="s">
        <v>51</v>
      </c>
      <c r="Q11" s="113"/>
      <c r="R11" s="113"/>
      <c r="S11" s="113"/>
      <c r="T11" s="113"/>
      <c r="U11" s="113"/>
      <c r="V11" s="113"/>
      <c r="W11" s="113"/>
      <c r="X11" s="113"/>
      <c r="Y11" s="113"/>
      <c r="Z11" s="120" t="s">
        <v>143</v>
      </c>
      <c r="AA11" s="120" t="s">
        <v>133</v>
      </c>
      <c r="AB11" s="113"/>
      <c r="AC11" s="113"/>
      <c r="AD11" s="113"/>
      <c r="AE11" s="120" t="s">
        <v>111</v>
      </c>
      <c r="AF11" s="120" t="s">
        <v>147</v>
      </c>
      <c r="AG11" s="113"/>
      <c r="AH11" s="113"/>
      <c r="AI11" s="113"/>
      <c r="AJ11" s="113"/>
    </row>
    <row r="12" spans="1:36" x14ac:dyDescent="0.3">
      <c r="A12" s="115" t="s">
        <v>113</v>
      </c>
      <c r="B12" s="116">
        <v>46003</v>
      </c>
      <c r="C12" s="117" t="s">
        <v>29</v>
      </c>
      <c r="D12" s="118" t="s">
        <v>114</v>
      </c>
      <c r="E12" s="117" t="s">
        <v>1</v>
      </c>
      <c r="F12" s="117" t="s">
        <v>98</v>
      </c>
      <c r="G12" s="119">
        <v>0.2024</v>
      </c>
      <c r="H12" s="120">
        <v>168</v>
      </c>
      <c r="I12" s="120">
        <v>34</v>
      </c>
      <c r="J12" s="120">
        <v>0</v>
      </c>
      <c r="K12" s="117" t="s">
        <v>99</v>
      </c>
      <c r="L12" s="121" t="s">
        <v>32</v>
      </c>
      <c r="M12" s="120">
        <v>0</v>
      </c>
      <c r="N12" s="120">
        <v>1</v>
      </c>
      <c r="O12" s="120">
        <v>13</v>
      </c>
      <c r="P12" s="117" t="s">
        <v>54</v>
      </c>
      <c r="Q12" s="113"/>
      <c r="R12" s="113"/>
      <c r="S12" s="113"/>
      <c r="T12" s="113"/>
      <c r="U12" s="113"/>
      <c r="V12" s="113"/>
      <c r="W12" s="113"/>
      <c r="X12" s="113"/>
      <c r="Y12" s="113"/>
      <c r="Z12" s="120" t="s">
        <v>107</v>
      </c>
      <c r="AA12" s="120" t="s">
        <v>124</v>
      </c>
      <c r="AB12" s="113"/>
      <c r="AC12" s="113"/>
      <c r="AD12" s="113"/>
      <c r="AE12" s="113"/>
      <c r="AF12" s="120" t="s">
        <v>131</v>
      </c>
      <c r="AG12" s="113"/>
      <c r="AH12" s="113"/>
      <c r="AI12" s="113"/>
      <c r="AJ12" s="113"/>
    </row>
    <row r="13" spans="1:36" x14ac:dyDescent="0.3">
      <c r="A13" s="115" t="s">
        <v>120</v>
      </c>
      <c r="B13" s="116">
        <v>46004</v>
      </c>
      <c r="C13" s="117" t="s">
        <v>29</v>
      </c>
      <c r="D13" s="118" t="s">
        <v>105</v>
      </c>
      <c r="E13" s="117" t="s">
        <v>1</v>
      </c>
      <c r="F13" s="117" t="s">
        <v>98</v>
      </c>
      <c r="G13" s="119">
        <v>0.125</v>
      </c>
      <c r="H13" s="120">
        <v>168</v>
      </c>
      <c r="I13" s="120">
        <v>21</v>
      </c>
      <c r="J13" s="120">
        <v>0</v>
      </c>
      <c r="K13" s="117" t="s">
        <v>99</v>
      </c>
      <c r="L13" s="121" t="s">
        <v>32</v>
      </c>
      <c r="M13" s="120">
        <v>0</v>
      </c>
      <c r="N13" s="120">
        <v>2</v>
      </c>
      <c r="O13" s="120">
        <v>10</v>
      </c>
      <c r="P13" s="117" t="s">
        <v>38</v>
      </c>
      <c r="Q13" s="113"/>
      <c r="R13" s="113"/>
      <c r="S13" s="113"/>
      <c r="T13" s="113"/>
      <c r="U13" s="113"/>
      <c r="V13" s="113"/>
      <c r="W13" s="113"/>
      <c r="X13" s="113"/>
      <c r="Y13" s="113"/>
      <c r="Z13" s="120" t="s">
        <v>138</v>
      </c>
      <c r="AA13" s="120" t="s">
        <v>117</v>
      </c>
      <c r="AB13" s="113"/>
      <c r="AC13" s="113"/>
      <c r="AD13" s="113"/>
      <c r="AE13" s="113"/>
      <c r="AF13" s="120" t="s">
        <v>148</v>
      </c>
      <c r="AG13" s="113"/>
      <c r="AH13" s="113"/>
      <c r="AI13" s="113"/>
      <c r="AJ13" s="113"/>
    </row>
    <row r="14" spans="1:36" x14ac:dyDescent="0.3">
      <c r="A14" s="115" t="s">
        <v>96</v>
      </c>
      <c r="B14" s="116">
        <v>46007</v>
      </c>
      <c r="C14" s="117" t="s">
        <v>29</v>
      </c>
      <c r="D14" s="118" t="s">
        <v>97</v>
      </c>
      <c r="E14" s="117" t="s">
        <v>1</v>
      </c>
      <c r="F14" s="117" t="s">
        <v>98</v>
      </c>
      <c r="G14" s="119">
        <v>0.16669999999999999</v>
      </c>
      <c r="H14" s="120">
        <v>168</v>
      </c>
      <c r="I14" s="120">
        <v>28</v>
      </c>
      <c r="J14" s="120">
        <v>0</v>
      </c>
      <c r="K14" s="117" t="s">
        <v>99</v>
      </c>
      <c r="L14" s="121" t="s">
        <v>32</v>
      </c>
      <c r="M14" s="120">
        <v>0</v>
      </c>
      <c r="N14" s="120">
        <v>1</v>
      </c>
      <c r="O14" s="120">
        <v>3</v>
      </c>
      <c r="P14" s="117" t="s">
        <v>38</v>
      </c>
      <c r="Q14" s="113"/>
      <c r="R14" s="113"/>
      <c r="S14" s="113"/>
      <c r="T14" s="113"/>
      <c r="U14" s="113"/>
      <c r="V14" s="113"/>
      <c r="W14" s="113"/>
      <c r="X14" s="113"/>
      <c r="Y14" s="113"/>
      <c r="Z14" s="120" t="s">
        <v>149</v>
      </c>
      <c r="AA14" s="113"/>
      <c r="AB14" s="113"/>
      <c r="AC14" s="120" t="s">
        <v>150</v>
      </c>
      <c r="AD14" s="120" t="s">
        <v>151</v>
      </c>
      <c r="AE14" s="120" t="s">
        <v>152</v>
      </c>
      <c r="AF14" s="120" t="s">
        <v>153</v>
      </c>
      <c r="AG14" s="113"/>
      <c r="AH14" s="113"/>
      <c r="AI14" s="113"/>
      <c r="AJ14" s="113"/>
    </row>
    <row r="15" spans="1:36" x14ac:dyDescent="0.3">
      <c r="A15" s="115" t="s">
        <v>104</v>
      </c>
      <c r="B15" s="116">
        <v>46009</v>
      </c>
      <c r="C15" s="117" t="s">
        <v>29</v>
      </c>
      <c r="D15" s="118" t="s">
        <v>105</v>
      </c>
      <c r="E15" s="117" t="s">
        <v>1</v>
      </c>
      <c r="F15" s="117" t="s">
        <v>98</v>
      </c>
      <c r="G15" s="119">
        <v>0.2321</v>
      </c>
      <c r="H15" s="120">
        <v>168</v>
      </c>
      <c r="I15" s="120">
        <v>39</v>
      </c>
      <c r="J15" s="120">
        <v>0</v>
      </c>
      <c r="K15" s="117" t="s">
        <v>99</v>
      </c>
      <c r="L15" s="121" t="s">
        <v>58</v>
      </c>
      <c r="M15" s="120">
        <v>0</v>
      </c>
      <c r="N15" s="120">
        <v>0</v>
      </c>
      <c r="O15" s="120">
        <v>10</v>
      </c>
      <c r="P15" s="117" t="s">
        <v>59</v>
      </c>
      <c r="Q15" s="113"/>
      <c r="R15" s="113"/>
      <c r="S15" s="113"/>
      <c r="T15" s="113"/>
      <c r="U15" s="113"/>
      <c r="V15" s="113"/>
      <c r="W15" s="113"/>
      <c r="X15" s="113"/>
      <c r="Y15" s="113"/>
      <c r="Z15" s="120" t="s">
        <v>143</v>
      </c>
      <c r="AA15" s="113"/>
      <c r="AB15" s="113"/>
      <c r="AC15" s="120" t="s">
        <v>154</v>
      </c>
      <c r="AD15" s="120" t="s">
        <v>155</v>
      </c>
      <c r="AE15" s="120" t="s">
        <v>136</v>
      </c>
      <c r="AF15" s="120" t="s">
        <v>156</v>
      </c>
      <c r="AG15" s="113"/>
      <c r="AH15" s="113"/>
      <c r="AI15" s="113"/>
      <c r="AJ15" s="113"/>
    </row>
    <row r="16" spans="1:36" x14ac:dyDescent="0.3">
      <c r="A16" s="115" t="s">
        <v>113</v>
      </c>
      <c r="B16" s="116">
        <v>46010</v>
      </c>
      <c r="C16" s="117" t="s">
        <v>29</v>
      </c>
      <c r="D16" s="118" t="s">
        <v>114</v>
      </c>
      <c r="E16" s="117" t="s">
        <v>1</v>
      </c>
      <c r="F16" s="117" t="s">
        <v>98</v>
      </c>
      <c r="G16" s="119">
        <v>0.1726</v>
      </c>
      <c r="H16" s="120">
        <v>168</v>
      </c>
      <c r="I16" s="120">
        <v>29</v>
      </c>
      <c r="J16" s="120">
        <v>0</v>
      </c>
      <c r="K16" s="117" t="s">
        <v>99</v>
      </c>
      <c r="L16" s="121" t="s">
        <v>32</v>
      </c>
      <c r="M16" s="120">
        <v>0</v>
      </c>
      <c r="N16" s="120">
        <v>4</v>
      </c>
      <c r="O16" s="120">
        <v>8</v>
      </c>
      <c r="P16" s="117" t="s">
        <v>38</v>
      </c>
      <c r="Q16" s="113"/>
      <c r="R16" s="113"/>
      <c r="S16" s="113"/>
      <c r="T16" s="113"/>
      <c r="U16" s="113"/>
      <c r="V16" s="113"/>
      <c r="W16" s="113"/>
      <c r="X16" s="113"/>
      <c r="Y16" s="113"/>
      <c r="Z16" s="120" t="s">
        <v>143</v>
      </c>
      <c r="AA16" s="113"/>
      <c r="AB16" s="113"/>
      <c r="AC16" s="113"/>
      <c r="AD16" s="120" t="s">
        <v>157</v>
      </c>
      <c r="AE16" s="120" t="s">
        <v>136</v>
      </c>
      <c r="AF16" s="120" t="s">
        <v>158</v>
      </c>
      <c r="AG16" s="113"/>
      <c r="AH16" s="113"/>
      <c r="AI16" s="113"/>
      <c r="AJ16" s="113"/>
    </row>
    <row r="17" spans="1:36" x14ac:dyDescent="0.3">
      <c r="A17" s="115" t="s">
        <v>120</v>
      </c>
      <c r="B17" s="116">
        <v>46011</v>
      </c>
      <c r="C17" s="117" t="s">
        <v>29</v>
      </c>
      <c r="D17" s="118" t="s">
        <v>105</v>
      </c>
      <c r="E17" s="117" t="s">
        <v>1</v>
      </c>
      <c r="F17" s="117" t="s">
        <v>98</v>
      </c>
      <c r="G17" s="119">
        <v>0.1726</v>
      </c>
      <c r="H17" s="120">
        <v>168</v>
      </c>
      <c r="I17" s="120">
        <v>29</v>
      </c>
      <c r="J17" s="120">
        <v>0</v>
      </c>
      <c r="K17" s="117" t="s">
        <v>99</v>
      </c>
      <c r="L17" s="121" t="s">
        <v>58</v>
      </c>
      <c r="M17" s="120">
        <v>0</v>
      </c>
      <c r="N17" s="120">
        <v>0</v>
      </c>
      <c r="O17" s="120">
        <v>2</v>
      </c>
      <c r="P17" s="117" t="s">
        <v>38</v>
      </c>
      <c r="Q17" s="113"/>
      <c r="R17" s="113"/>
      <c r="S17" s="113"/>
      <c r="T17" s="113"/>
      <c r="U17" s="113"/>
      <c r="V17" s="113"/>
      <c r="W17" s="113"/>
      <c r="X17" s="113"/>
      <c r="Y17" s="120" t="s">
        <v>122</v>
      </c>
      <c r="Z17" s="120" t="s">
        <v>143</v>
      </c>
      <c r="AA17" s="113"/>
      <c r="AB17" s="113"/>
      <c r="AC17" s="120" t="s">
        <v>159</v>
      </c>
      <c r="AD17" s="120" t="s">
        <v>160</v>
      </c>
      <c r="AE17" s="120" t="s">
        <v>111</v>
      </c>
      <c r="AF17" s="120" t="s">
        <v>51</v>
      </c>
      <c r="AG17" s="113"/>
      <c r="AH17" s="113"/>
      <c r="AI17" s="113"/>
      <c r="AJ17" s="113"/>
    </row>
    <row r="18" spans="1:36" x14ac:dyDescent="0.3">
      <c r="A18" s="115" t="s">
        <v>96</v>
      </c>
      <c r="B18" s="116">
        <v>46014</v>
      </c>
      <c r="C18" s="117" t="s">
        <v>29</v>
      </c>
      <c r="D18" s="118" t="s">
        <v>97</v>
      </c>
      <c r="E18" s="117" t="s">
        <v>1</v>
      </c>
      <c r="F18" s="117" t="s">
        <v>98</v>
      </c>
      <c r="G18" s="119">
        <v>7.1400000000000005E-2</v>
      </c>
      <c r="H18" s="120">
        <v>168</v>
      </c>
      <c r="I18" s="120">
        <v>12</v>
      </c>
      <c r="J18" s="120">
        <v>0</v>
      </c>
      <c r="K18" s="117" t="s">
        <v>99</v>
      </c>
      <c r="L18" s="121" t="s">
        <v>58</v>
      </c>
      <c r="M18" s="120">
        <v>0</v>
      </c>
      <c r="N18" s="120">
        <v>0</v>
      </c>
      <c r="O18" s="120">
        <v>2</v>
      </c>
      <c r="P18" s="117" t="s">
        <v>38</v>
      </c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20" t="s">
        <v>151</v>
      </c>
      <c r="AE18" s="120" t="s">
        <v>152</v>
      </c>
      <c r="AF18" s="120" t="s">
        <v>45</v>
      </c>
      <c r="AG18" s="113"/>
      <c r="AH18" s="113"/>
      <c r="AI18" s="113"/>
      <c r="AJ18" s="113"/>
    </row>
    <row r="19" spans="1:36" x14ac:dyDescent="0.3">
      <c r="A19" s="115" t="s">
        <v>104</v>
      </c>
      <c r="B19" s="116">
        <v>46016</v>
      </c>
      <c r="C19" s="117" t="s">
        <v>29</v>
      </c>
      <c r="D19" s="118" t="s">
        <v>105</v>
      </c>
      <c r="E19" s="117" t="s">
        <v>1</v>
      </c>
      <c r="F19" s="117" t="s">
        <v>98</v>
      </c>
      <c r="G19" s="119">
        <v>0.22620000000000001</v>
      </c>
      <c r="H19" s="120">
        <v>168</v>
      </c>
      <c r="I19" s="120">
        <v>38</v>
      </c>
      <c r="J19" s="120">
        <v>0</v>
      </c>
      <c r="K19" s="117" t="s">
        <v>99</v>
      </c>
      <c r="L19" s="121" t="s">
        <v>32</v>
      </c>
      <c r="M19" s="120">
        <v>0</v>
      </c>
      <c r="N19" s="120">
        <v>2</v>
      </c>
      <c r="O19" s="120">
        <v>13</v>
      </c>
      <c r="P19" s="117" t="s">
        <v>47</v>
      </c>
      <c r="Q19" s="113"/>
      <c r="R19" s="113"/>
      <c r="S19" s="113"/>
      <c r="T19" s="113"/>
      <c r="U19" s="113"/>
      <c r="V19" s="113"/>
      <c r="W19" s="113"/>
      <c r="X19" s="113"/>
      <c r="Y19" s="113"/>
      <c r="Z19" s="120" t="s">
        <v>143</v>
      </c>
      <c r="AA19" s="113"/>
      <c r="AB19" s="113"/>
      <c r="AC19" s="120" t="s">
        <v>109</v>
      </c>
      <c r="AD19" s="120" t="s">
        <v>33</v>
      </c>
      <c r="AE19" s="120" t="s">
        <v>130</v>
      </c>
      <c r="AF19" s="120" t="s">
        <v>142</v>
      </c>
      <c r="AG19" s="113"/>
      <c r="AH19" s="113"/>
      <c r="AI19" s="113"/>
      <c r="AJ19" s="113"/>
    </row>
    <row r="20" spans="1:36" x14ac:dyDescent="0.3">
      <c r="A20" s="115" t="s">
        <v>113</v>
      </c>
      <c r="B20" s="116">
        <v>46017</v>
      </c>
      <c r="C20" s="117" t="s">
        <v>29</v>
      </c>
      <c r="D20" s="118" t="s">
        <v>114</v>
      </c>
      <c r="E20" s="117" t="s">
        <v>1</v>
      </c>
      <c r="F20" s="117" t="s">
        <v>98</v>
      </c>
      <c r="G20" s="119">
        <v>0.1905</v>
      </c>
      <c r="H20" s="120">
        <v>168</v>
      </c>
      <c r="I20" s="120">
        <v>32</v>
      </c>
      <c r="J20" s="120">
        <v>0</v>
      </c>
      <c r="K20" s="117" t="s">
        <v>99</v>
      </c>
      <c r="L20" s="121" t="s">
        <v>65</v>
      </c>
      <c r="M20" s="120">
        <v>0</v>
      </c>
      <c r="N20" s="120">
        <v>0</v>
      </c>
      <c r="O20" s="120">
        <v>2</v>
      </c>
      <c r="P20" s="117" t="s">
        <v>38</v>
      </c>
      <c r="Q20" s="113"/>
      <c r="R20" s="113"/>
      <c r="S20" s="113"/>
      <c r="T20" s="113"/>
      <c r="U20" s="113"/>
      <c r="V20" s="113"/>
      <c r="W20" s="113"/>
      <c r="X20" s="113"/>
      <c r="Y20" s="113"/>
      <c r="Z20" s="120" t="s">
        <v>143</v>
      </c>
      <c r="AA20" s="120" t="s">
        <v>117</v>
      </c>
      <c r="AB20" s="113"/>
      <c r="AC20" s="120" t="s">
        <v>140</v>
      </c>
      <c r="AD20" s="120" t="s">
        <v>33</v>
      </c>
      <c r="AE20" s="120" t="s">
        <v>145</v>
      </c>
      <c r="AF20" s="120" t="s">
        <v>148</v>
      </c>
      <c r="AG20" s="113"/>
      <c r="AH20" s="113"/>
      <c r="AI20" s="113"/>
      <c r="AJ20" s="113"/>
    </row>
    <row r="21" spans="1:36" ht="21" x14ac:dyDescent="0.3">
      <c r="A21" s="122" t="s">
        <v>196</v>
      </c>
      <c r="B21" s="123"/>
      <c r="C21" s="122">
        <f>SUBTOTAL(103,DMM_CAI_LF_LEGACY[Flt])</f>
        <v>19</v>
      </c>
      <c r="D21" s="122"/>
      <c r="E21" s="122">
        <f>SUBTOTAL(103,DMM_CAI_LF_LEGACY[Brd-Off])</f>
        <v>19</v>
      </c>
      <c r="F21" s="122"/>
      <c r="G21" s="124">
        <f>SUBTOTAL(101,DMM_CAI_LF_LEGACY[LF%])</f>
        <v>0.21679473684210529</v>
      </c>
      <c r="H21" s="125">
        <f>SUBTOTAL(109,DMM_CAI_LF_LEGACY[CAP])</f>
        <v>3192</v>
      </c>
      <c r="I21" s="125">
        <f>SUBTOTAL(109,DMM_CAI_LF_LEGACY[BKG(Y)])</f>
        <v>692</v>
      </c>
      <c r="J21" s="125">
        <f>SUBTOTAL(109,DMM_CAI_LF_LEGACY[GRP(Y)])</f>
        <v>0</v>
      </c>
      <c r="K21" s="122"/>
      <c r="L21" s="123"/>
      <c r="M21" s="125">
        <f>SUBTOTAL(109,DMM_CAI_LF_LEGACY[TO-DAY])</f>
        <v>3</v>
      </c>
      <c r="N21" s="125">
        <f>SUBTOTAL(109,DMM_CAI_LF_LEGACY[Y-DAY])</f>
        <v>23</v>
      </c>
      <c r="O21" s="125">
        <f>SUBTOTAL(109,DMM_CAI_LF_LEGACY[WEEKLY])</f>
        <v>179</v>
      </c>
      <c r="P21" s="126"/>
      <c r="Q21" s="125">
        <f>SUBTOTAL(109,DMM_CAI_LF_LEGACY[Y])</f>
        <v>0</v>
      </c>
      <c r="R21" s="125">
        <f>SUBTOTAL(109,DMM_CAI_LF_LEGACY[B])</f>
        <v>0</v>
      </c>
      <c r="S21" s="125">
        <f>SUBTOTAL(109,DMM_CAI_LF_LEGACY[M])</f>
        <v>0</v>
      </c>
      <c r="T21" s="125">
        <f>SUBTOTAL(109,DMM_CAI_LF_LEGACY[H])</f>
        <v>0</v>
      </c>
      <c r="U21" s="125">
        <f>SUBTOTAL(109,DMM_CAI_LF_LEGACY[Q])</f>
        <v>0</v>
      </c>
      <c r="V21" s="125">
        <f>SUBTOTAL(109,DMM_CAI_LF_LEGACY[K])</f>
        <v>0</v>
      </c>
      <c r="W21" s="125">
        <f>SUBTOTAL(109,DMM_CAI_LF_LEGACY[V])</f>
        <v>0</v>
      </c>
      <c r="X21" s="125">
        <f>SUBTOTAL(109,DMM_CAI_LF_LEGACY[L])</f>
        <v>0</v>
      </c>
      <c r="Y21" s="125">
        <f>SUBTOTAL(109,DMM_CAI_LF_LEGACY[G])</f>
        <v>0</v>
      </c>
      <c r="Z21" s="125">
        <f>SUBTOTAL(109,DMM_CAI_LF_LEGACY[S])</f>
        <v>0</v>
      </c>
      <c r="AA21" s="125">
        <f>SUBTOTAL(109,DMM_CAI_LF_LEGACY[W])</f>
        <v>0</v>
      </c>
      <c r="AB21" s="125">
        <f>SUBTOTAL(109,DMM_CAI_LF_LEGACY[T])</f>
        <v>0</v>
      </c>
      <c r="AC21" s="125">
        <f>SUBTOTAL(109,DMM_CAI_LF_LEGACY[X])</f>
        <v>0</v>
      </c>
      <c r="AD21" s="125">
        <f>SUBTOTAL(109,DMM_CAI_LF_LEGACY[U])</f>
        <v>0</v>
      </c>
      <c r="AE21" s="125">
        <f>SUBTOTAL(109,DMM_CAI_LF_LEGACY[O])</f>
        <v>0</v>
      </c>
      <c r="AF21" s="125">
        <f>SUBTOTAL(109,DMM_CAI_LF_LEGACY[I])</f>
        <v>0</v>
      </c>
      <c r="AG21" s="125">
        <f>SUBTOTAL(109,DMM_CAI_LF_LEGACY[E])</f>
        <v>0</v>
      </c>
      <c r="AH21" s="125">
        <f>SUBTOTAL(109,DMM_CAI_LF_LEGACY[A])</f>
        <v>0</v>
      </c>
      <c r="AI21" s="125">
        <f>SUBTOTAL(109,DMM_CAI_LF_LEGACY[P])</f>
        <v>0</v>
      </c>
      <c r="AJ21" s="125">
        <f>SUBTOTAL(103,DMM_CAI_LF_LEGACY[N])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N42"/>
  <sheetViews>
    <sheetView workbookViewId="0"/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7.7773437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44.5546875" bestFit="1" customWidth="1"/>
  </cols>
  <sheetData>
    <row r="1" spans="1:92" ht="28.8" customHeight="1" x14ac:dyDescent="0.3">
      <c r="A1" s="100" t="s">
        <v>0</v>
      </c>
      <c r="B1" s="99"/>
      <c r="C1" s="99"/>
      <c r="D1" s="99"/>
      <c r="E1" s="99"/>
      <c r="F1" s="1" t="s">
        <v>161</v>
      </c>
      <c r="G1" s="2" t="s">
        <v>2</v>
      </c>
      <c r="H1" s="98" t="s">
        <v>3</v>
      </c>
      <c r="I1" s="99"/>
      <c r="J1" s="99"/>
      <c r="K1" s="99"/>
      <c r="L1" s="99"/>
      <c r="M1" s="1" t="s">
        <v>4</v>
      </c>
      <c r="N1" s="108" t="s">
        <v>5</v>
      </c>
      <c r="O1" s="99"/>
      <c r="P1" s="99"/>
      <c r="Q1" s="99"/>
      <c r="R1" s="99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06" t="s">
        <v>6</v>
      </c>
      <c r="B2" s="99"/>
      <c r="C2" s="99"/>
      <c r="D2" s="99"/>
      <c r="E2" s="99"/>
      <c r="F2" s="99"/>
      <c r="G2" s="107">
        <v>45984.228673622412</v>
      </c>
      <c r="H2" s="99"/>
      <c r="I2" s="99"/>
      <c r="J2" s="99"/>
      <c r="K2" s="109">
        <v>45984.228673622827</v>
      </c>
      <c r="L2" s="99"/>
      <c r="M2" s="99"/>
      <c r="N2" s="99"/>
      <c r="O2" s="99"/>
      <c r="P2" s="99"/>
      <c r="Q2" s="99"/>
      <c r="R2" s="9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11" t="s">
        <v>7</v>
      </c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12" t="s">
        <v>8</v>
      </c>
      <c r="B4" s="103"/>
      <c r="C4" s="103"/>
      <c r="D4" s="103"/>
      <c r="E4" s="103"/>
      <c r="F4" s="104"/>
      <c r="G4" s="4">
        <v>45985</v>
      </c>
      <c r="H4" s="110" t="s">
        <v>9</v>
      </c>
      <c r="I4" s="103"/>
      <c r="J4" s="103"/>
      <c r="K4" s="103"/>
      <c r="L4" s="103"/>
      <c r="M4" s="103"/>
      <c r="N4" s="103"/>
      <c r="O4" s="103"/>
      <c r="P4" s="103"/>
      <c r="Q4" s="103"/>
      <c r="R4" s="10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5">
      <c r="A6" s="8" t="s">
        <v>28</v>
      </c>
      <c r="B6" s="8" t="s">
        <v>162</v>
      </c>
      <c r="C6" s="9">
        <v>0.51041666666666663</v>
      </c>
      <c r="D6" s="8" t="s">
        <v>30</v>
      </c>
      <c r="E6" s="10"/>
      <c r="F6" s="8" t="s">
        <v>31</v>
      </c>
      <c r="G6" s="97"/>
      <c r="H6" s="11" t="s">
        <v>162</v>
      </c>
      <c r="I6" s="96">
        <v>0.5655</v>
      </c>
      <c r="J6" s="13">
        <v>95</v>
      </c>
      <c r="K6" s="14" t="s">
        <v>32</v>
      </c>
      <c r="L6" s="13">
        <v>36</v>
      </c>
      <c r="M6" s="13">
        <v>0</v>
      </c>
      <c r="N6" s="13">
        <v>9</v>
      </c>
      <c r="O6" s="15" t="s">
        <v>128</v>
      </c>
      <c r="P6" s="16">
        <v>0.51041666666666663</v>
      </c>
      <c r="Q6" s="13">
        <v>168</v>
      </c>
      <c r="R6" s="17" t="s">
        <v>163</v>
      </c>
    </row>
    <row r="7" spans="1:92" ht="17.399999999999999" customHeight="1" thickBot="1" x14ac:dyDescent="0.35">
      <c r="A7" s="127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9"/>
    </row>
    <row r="8" spans="1:92" ht="22.05" customHeight="1" thickTop="1" thickBot="1" x14ac:dyDescent="0.35">
      <c r="A8" s="102" t="s">
        <v>8</v>
      </c>
      <c r="B8" s="103"/>
      <c r="C8" s="103"/>
      <c r="D8" s="103"/>
      <c r="E8" s="103"/>
      <c r="F8" s="104"/>
      <c r="G8" s="18">
        <v>45989</v>
      </c>
      <c r="H8" s="105" t="s">
        <v>9</v>
      </c>
      <c r="I8" s="103"/>
      <c r="J8" s="103"/>
      <c r="K8" s="103"/>
      <c r="L8" s="103"/>
      <c r="M8" s="103"/>
      <c r="N8" s="103"/>
      <c r="O8" s="103"/>
      <c r="P8" s="103"/>
      <c r="Q8" s="103"/>
      <c r="R8" s="104"/>
    </row>
    <row r="9" spans="1:92" ht="24" customHeight="1" x14ac:dyDescent="0.3">
      <c r="A9" s="19" t="s">
        <v>10</v>
      </c>
      <c r="B9" s="19" t="s">
        <v>11</v>
      </c>
      <c r="C9" s="20" t="s">
        <v>12</v>
      </c>
      <c r="D9" s="19" t="s">
        <v>13</v>
      </c>
      <c r="E9" s="19" t="s">
        <v>14</v>
      </c>
      <c r="F9" s="21" t="s">
        <v>15</v>
      </c>
      <c r="G9" s="22" t="s">
        <v>16</v>
      </c>
      <c r="H9" s="19" t="s">
        <v>17</v>
      </c>
      <c r="I9" s="23" t="s">
        <v>18</v>
      </c>
      <c r="J9" s="24" t="s">
        <v>19</v>
      </c>
      <c r="K9" s="25" t="s">
        <v>20</v>
      </c>
      <c r="L9" s="24" t="s">
        <v>21</v>
      </c>
      <c r="M9" s="24" t="s">
        <v>22</v>
      </c>
      <c r="N9" s="24" t="s">
        <v>23</v>
      </c>
      <c r="O9" s="19" t="s">
        <v>24</v>
      </c>
      <c r="P9" s="20" t="s">
        <v>25</v>
      </c>
      <c r="Q9" s="24" t="s">
        <v>26</v>
      </c>
      <c r="R9" s="19" t="s">
        <v>27</v>
      </c>
    </row>
    <row r="10" spans="1:92" ht="49.95" customHeight="1" thickTop="1" thickBot="1" x14ac:dyDescent="0.35">
      <c r="A10" s="56" t="s">
        <v>28</v>
      </c>
      <c r="B10" s="56" t="s">
        <v>162</v>
      </c>
      <c r="C10" s="57">
        <v>0.29166666666666669</v>
      </c>
      <c r="D10" s="56" t="s">
        <v>30</v>
      </c>
      <c r="E10" s="58"/>
      <c r="F10" s="56" t="s">
        <v>31</v>
      </c>
      <c r="G10" s="101"/>
      <c r="H10" s="59" t="s">
        <v>162</v>
      </c>
      <c r="I10" s="60">
        <v>0.44640000000000002</v>
      </c>
      <c r="J10" s="61">
        <v>75</v>
      </c>
      <c r="K10" s="62" t="s">
        <v>32</v>
      </c>
      <c r="L10" s="61">
        <v>29</v>
      </c>
      <c r="M10" s="61">
        <v>0</v>
      </c>
      <c r="N10" s="61">
        <v>9</v>
      </c>
      <c r="O10" s="63" t="s">
        <v>151</v>
      </c>
      <c r="P10" s="64">
        <v>0.29166666666666669</v>
      </c>
      <c r="Q10" s="61">
        <v>168</v>
      </c>
      <c r="R10" s="65" t="s">
        <v>164</v>
      </c>
    </row>
    <row r="11" spans="1:92" ht="17.399999999999999" customHeight="1" thickBot="1" x14ac:dyDescent="0.35">
      <c r="A11" s="127"/>
      <c r="B11" s="128"/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9"/>
    </row>
    <row r="12" spans="1:92" ht="22.05" customHeight="1" thickTop="1" thickBot="1" x14ac:dyDescent="0.35">
      <c r="A12" s="102" t="s">
        <v>8</v>
      </c>
      <c r="B12" s="103"/>
      <c r="C12" s="103"/>
      <c r="D12" s="103"/>
      <c r="E12" s="103"/>
      <c r="F12" s="104"/>
      <c r="G12" s="18">
        <v>45992</v>
      </c>
      <c r="H12" s="105" t="s">
        <v>9</v>
      </c>
      <c r="I12" s="103"/>
      <c r="J12" s="103"/>
      <c r="K12" s="103"/>
      <c r="L12" s="103"/>
      <c r="M12" s="103"/>
      <c r="N12" s="103"/>
      <c r="O12" s="103"/>
      <c r="P12" s="103"/>
      <c r="Q12" s="103"/>
      <c r="R12" s="104"/>
    </row>
    <row r="13" spans="1:92" ht="24" customHeight="1" x14ac:dyDescent="0.3">
      <c r="A13" s="19" t="s">
        <v>10</v>
      </c>
      <c r="B13" s="19" t="s">
        <v>11</v>
      </c>
      <c r="C13" s="20" t="s">
        <v>12</v>
      </c>
      <c r="D13" s="19" t="s">
        <v>13</v>
      </c>
      <c r="E13" s="19" t="s">
        <v>14</v>
      </c>
      <c r="F13" s="21" t="s">
        <v>15</v>
      </c>
      <c r="G13" s="22" t="s">
        <v>16</v>
      </c>
      <c r="H13" s="19" t="s">
        <v>17</v>
      </c>
      <c r="I13" s="23" t="s">
        <v>18</v>
      </c>
      <c r="J13" s="24" t="s">
        <v>19</v>
      </c>
      <c r="K13" s="25" t="s">
        <v>20</v>
      </c>
      <c r="L13" s="24" t="s">
        <v>21</v>
      </c>
      <c r="M13" s="24" t="s">
        <v>22</v>
      </c>
      <c r="N13" s="24" t="s">
        <v>23</v>
      </c>
      <c r="O13" s="19" t="s">
        <v>24</v>
      </c>
      <c r="P13" s="20" t="s">
        <v>25</v>
      </c>
      <c r="Q13" s="24" t="s">
        <v>26</v>
      </c>
      <c r="R13" s="19" t="s">
        <v>27</v>
      </c>
    </row>
    <row r="14" spans="1:92" ht="49.95" customHeight="1" thickTop="1" thickBot="1" x14ac:dyDescent="0.35">
      <c r="A14" s="26" t="s">
        <v>28</v>
      </c>
      <c r="B14" s="26" t="s">
        <v>162</v>
      </c>
      <c r="C14" s="27">
        <v>0.51041666666666663</v>
      </c>
      <c r="D14" s="26" t="s">
        <v>30</v>
      </c>
      <c r="E14" s="28"/>
      <c r="F14" s="26" t="s">
        <v>31</v>
      </c>
      <c r="G14" s="101"/>
      <c r="H14" s="29" t="s">
        <v>162</v>
      </c>
      <c r="I14" s="30">
        <v>0.45240000000000002</v>
      </c>
      <c r="J14" s="31">
        <v>76</v>
      </c>
      <c r="K14" s="32" t="s">
        <v>65</v>
      </c>
      <c r="L14" s="31">
        <v>21</v>
      </c>
      <c r="M14" s="31">
        <v>0</v>
      </c>
      <c r="N14" s="31">
        <v>0</v>
      </c>
      <c r="O14" s="33" t="s">
        <v>165</v>
      </c>
      <c r="P14" s="34">
        <v>0.51041666666666663</v>
      </c>
      <c r="Q14" s="31">
        <v>168</v>
      </c>
      <c r="R14" s="35" t="s">
        <v>166</v>
      </c>
    </row>
    <row r="15" spans="1:92" ht="17.399999999999999" customHeight="1" thickBot="1" x14ac:dyDescent="0.35">
      <c r="A15" s="127"/>
      <c r="B15" s="128"/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9"/>
    </row>
    <row r="16" spans="1:92" ht="22.05" customHeight="1" thickTop="1" thickBot="1" x14ac:dyDescent="0.35">
      <c r="A16" s="102" t="s">
        <v>8</v>
      </c>
      <c r="B16" s="103"/>
      <c r="C16" s="103"/>
      <c r="D16" s="103"/>
      <c r="E16" s="103"/>
      <c r="F16" s="104"/>
      <c r="G16" s="18">
        <v>45996</v>
      </c>
      <c r="H16" s="105" t="s">
        <v>9</v>
      </c>
      <c r="I16" s="103"/>
      <c r="J16" s="103"/>
      <c r="K16" s="103"/>
      <c r="L16" s="103"/>
      <c r="M16" s="103"/>
      <c r="N16" s="103"/>
      <c r="O16" s="103"/>
      <c r="P16" s="103"/>
      <c r="Q16" s="103"/>
      <c r="R16" s="104"/>
    </row>
    <row r="17" spans="1:18" ht="24" customHeight="1" x14ac:dyDescent="0.3">
      <c r="A17" s="19" t="s">
        <v>10</v>
      </c>
      <c r="B17" s="19" t="s">
        <v>11</v>
      </c>
      <c r="C17" s="20" t="s">
        <v>12</v>
      </c>
      <c r="D17" s="19" t="s">
        <v>13</v>
      </c>
      <c r="E17" s="19" t="s">
        <v>14</v>
      </c>
      <c r="F17" s="21" t="s">
        <v>15</v>
      </c>
      <c r="G17" s="22" t="s">
        <v>16</v>
      </c>
      <c r="H17" s="19" t="s">
        <v>17</v>
      </c>
      <c r="I17" s="23" t="s">
        <v>18</v>
      </c>
      <c r="J17" s="24" t="s">
        <v>19</v>
      </c>
      <c r="K17" s="25" t="s">
        <v>20</v>
      </c>
      <c r="L17" s="24" t="s">
        <v>21</v>
      </c>
      <c r="M17" s="24" t="s">
        <v>22</v>
      </c>
      <c r="N17" s="24" t="s">
        <v>23</v>
      </c>
      <c r="O17" s="19" t="s">
        <v>24</v>
      </c>
      <c r="P17" s="20" t="s">
        <v>25</v>
      </c>
      <c r="Q17" s="24" t="s">
        <v>26</v>
      </c>
      <c r="R17" s="19" t="s">
        <v>27</v>
      </c>
    </row>
    <row r="18" spans="1:18" ht="49.95" customHeight="1" thickTop="1" thickBot="1" x14ac:dyDescent="0.35">
      <c r="A18" s="86" t="s">
        <v>28</v>
      </c>
      <c r="B18" s="86" t="s">
        <v>162</v>
      </c>
      <c r="C18" s="87">
        <v>0.29166666666666669</v>
      </c>
      <c r="D18" s="86" t="s">
        <v>30</v>
      </c>
      <c r="E18" s="88"/>
      <c r="F18" s="86" t="s">
        <v>35</v>
      </c>
      <c r="G18" s="101"/>
      <c r="H18" s="89" t="s">
        <v>162</v>
      </c>
      <c r="I18" s="90">
        <v>0.2321</v>
      </c>
      <c r="J18" s="91">
        <v>39</v>
      </c>
      <c r="K18" s="92" t="s">
        <v>32</v>
      </c>
      <c r="L18" s="91">
        <v>12</v>
      </c>
      <c r="M18" s="91">
        <v>0</v>
      </c>
      <c r="N18" s="91">
        <v>2</v>
      </c>
      <c r="O18" s="93" t="s">
        <v>151</v>
      </c>
      <c r="P18" s="94">
        <v>0.29166666666666669</v>
      </c>
      <c r="Q18" s="91">
        <v>168</v>
      </c>
      <c r="R18" s="95" t="s">
        <v>167</v>
      </c>
    </row>
    <row r="19" spans="1:18" ht="17.399999999999999" customHeight="1" thickBot="1" x14ac:dyDescent="0.35">
      <c r="A19" s="127"/>
      <c r="B19" s="128"/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9"/>
    </row>
    <row r="20" spans="1:18" ht="22.05" customHeight="1" thickTop="1" thickBot="1" x14ac:dyDescent="0.35">
      <c r="A20" s="102" t="s">
        <v>8</v>
      </c>
      <c r="B20" s="103"/>
      <c r="C20" s="103"/>
      <c r="D20" s="103"/>
      <c r="E20" s="103"/>
      <c r="F20" s="104"/>
      <c r="G20" s="18">
        <v>45999</v>
      </c>
      <c r="H20" s="105" t="s">
        <v>9</v>
      </c>
      <c r="I20" s="103"/>
      <c r="J20" s="103"/>
      <c r="K20" s="103"/>
      <c r="L20" s="103"/>
      <c r="M20" s="103"/>
      <c r="N20" s="103"/>
      <c r="O20" s="103"/>
      <c r="P20" s="103"/>
      <c r="Q20" s="103"/>
      <c r="R20" s="104"/>
    </row>
    <row r="21" spans="1:18" ht="24" customHeight="1" x14ac:dyDescent="0.3">
      <c r="A21" s="19" t="s">
        <v>10</v>
      </c>
      <c r="B21" s="19" t="s">
        <v>11</v>
      </c>
      <c r="C21" s="20" t="s">
        <v>12</v>
      </c>
      <c r="D21" s="19" t="s">
        <v>13</v>
      </c>
      <c r="E21" s="19" t="s">
        <v>14</v>
      </c>
      <c r="F21" s="21" t="s">
        <v>15</v>
      </c>
      <c r="G21" s="22" t="s">
        <v>16</v>
      </c>
      <c r="H21" s="19" t="s">
        <v>17</v>
      </c>
      <c r="I21" s="23" t="s">
        <v>18</v>
      </c>
      <c r="J21" s="24" t="s">
        <v>19</v>
      </c>
      <c r="K21" s="25" t="s">
        <v>20</v>
      </c>
      <c r="L21" s="24" t="s">
        <v>21</v>
      </c>
      <c r="M21" s="24" t="s">
        <v>22</v>
      </c>
      <c r="N21" s="24" t="s">
        <v>23</v>
      </c>
      <c r="O21" s="19" t="s">
        <v>24</v>
      </c>
      <c r="P21" s="20" t="s">
        <v>25</v>
      </c>
      <c r="Q21" s="24" t="s">
        <v>26</v>
      </c>
      <c r="R21" s="19" t="s">
        <v>27</v>
      </c>
    </row>
    <row r="22" spans="1:18" ht="49.95" customHeight="1" thickTop="1" thickBot="1" x14ac:dyDescent="0.35">
      <c r="A22" s="86" t="s">
        <v>28</v>
      </c>
      <c r="B22" s="86" t="s">
        <v>162</v>
      </c>
      <c r="C22" s="87">
        <v>0.51041666666666663</v>
      </c>
      <c r="D22" s="86" t="s">
        <v>30</v>
      </c>
      <c r="E22" s="88"/>
      <c r="F22" s="86" t="s">
        <v>35</v>
      </c>
      <c r="G22" s="101"/>
      <c r="H22" s="89" t="s">
        <v>162</v>
      </c>
      <c r="I22" s="90">
        <v>0.27979999999999999</v>
      </c>
      <c r="J22" s="91">
        <v>47</v>
      </c>
      <c r="K22" s="92" t="s">
        <v>32</v>
      </c>
      <c r="L22" s="91">
        <v>16</v>
      </c>
      <c r="M22" s="91">
        <v>0</v>
      </c>
      <c r="N22" s="91">
        <v>3</v>
      </c>
      <c r="O22" s="93" t="s">
        <v>144</v>
      </c>
      <c r="P22" s="94">
        <v>0.51041666666666663</v>
      </c>
      <c r="Q22" s="91">
        <v>168</v>
      </c>
      <c r="R22" s="95" t="s">
        <v>168</v>
      </c>
    </row>
    <row r="23" spans="1:18" ht="17.399999999999999" customHeight="1" thickBot="1" x14ac:dyDescent="0.35">
      <c r="A23" s="127"/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9"/>
    </row>
    <row r="24" spans="1:18" ht="22.05" customHeight="1" thickTop="1" thickBot="1" x14ac:dyDescent="0.35">
      <c r="A24" s="102" t="s">
        <v>8</v>
      </c>
      <c r="B24" s="103"/>
      <c r="C24" s="103"/>
      <c r="D24" s="103"/>
      <c r="E24" s="103"/>
      <c r="F24" s="104"/>
      <c r="G24" s="18">
        <v>46003</v>
      </c>
      <c r="H24" s="105" t="s">
        <v>9</v>
      </c>
      <c r="I24" s="103"/>
      <c r="J24" s="103"/>
      <c r="K24" s="103"/>
      <c r="L24" s="103"/>
      <c r="M24" s="103"/>
      <c r="N24" s="103"/>
      <c r="O24" s="103"/>
      <c r="P24" s="103"/>
      <c r="Q24" s="103"/>
      <c r="R24" s="104"/>
    </row>
    <row r="25" spans="1:18" ht="24" customHeight="1" x14ac:dyDescent="0.3">
      <c r="A25" s="19" t="s">
        <v>10</v>
      </c>
      <c r="B25" s="19" t="s">
        <v>11</v>
      </c>
      <c r="C25" s="20" t="s">
        <v>12</v>
      </c>
      <c r="D25" s="19" t="s">
        <v>13</v>
      </c>
      <c r="E25" s="19" t="s">
        <v>14</v>
      </c>
      <c r="F25" s="21" t="s">
        <v>15</v>
      </c>
      <c r="G25" s="22" t="s">
        <v>16</v>
      </c>
      <c r="H25" s="19" t="s">
        <v>17</v>
      </c>
      <c r="I25" s="23" t="s">
        <v>18</v>
      </c>
      <c r="J25" s="24" t="s">
        <v>19</v>
      </c>
      <c r="K25" s="25" t="s">
        <v>20</v>
      </c>
      <c r="L25" s="24" t="s">
        <v>21</v>
      </c>
      <c r="M25" s="24" t="s">
        <v>22</v>
      </c>
      <c r="N25" s="24" t="s">
        <v>23</v>
      </c>
      <c r="O25" s="19" t="s">
        <v>24</v>
      </c>
      <c r="P25" s="20" t="s">
        <v>25</v>
      </c>
      <c r="Q25" s="24" t="s">
        <v>26</v>
      </c>
      <c r="R25" s="19" t="s">
        <v>27</v>
      </c>
    </row>
    <row r="26" spans="1:18" ht="49.95" customHeight="1" thickTop="1" thickBot="1" x14ac:dyDescent="0.5">
      <c r="A26" s="76" t="s">
        <v>28</v>
      </c>
      <c r="B26" s="76" t="s">
        <v>162</v>
      </c>
      <c r="C26" s="77">
        <v>0.29166666666666669</v>
      </c>
      <c r="D26" s="76" t="s">
        <v>30</v>
      </c>
      <c r="E26" s="78"/>
      <c r="F26" s="76" t="s">
        <v>35</v>
      </c>
      <c r="G26" s="97"/>
      <c r="H26" s="79" t="s">
        <v>162</v>
      </c>
      <c r="I26" s="80">
        <v>0.11899999999999999</v>
      </c>
      <c r="J26" s="81">
        <v>20</v>
      </c>
      <c r="K26" s="82" t="s">
        <v>58</v>
      </c>
      <c r="L26" s="81">
        <v>5</v>
      </c>
      <c r="M26" s="81">
        <v>0</v>
      </c>
      <c r="N26" s="81">
        <v>0</v>
      </c>
      <c r="O26" s="83" t="s">
        <v>169</v>
      </c>
      <c r="P26" s="84">
        <v>0.29166666666666669</v>
      </c>
      <c r="Q26" s="81">
        <v>168</v>
      </c>
      <c r="R26" s="85" t="s">
        <v>170</v>
      </c>
    </row>
    <row r="27" spans="1:18" ht="17.399999999999999" customHeight="1" thickBot="1" x14ac:dyDescent="0.35">
      <c r="A27" s="127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9"/>
    </row>
    <row r="28" spans="1:18" ht="22.05" customHeight="1" thickTop="1" thickBot="1" x14ac:dyDescent="0.35">
      <c r="A28" s="102" t="s">
        <v>8</v>
      </c>
      <c r="B28" s="103"/>
      <c r="C28" s="103"/>
      <c r="D28" s="103"/>
      <c r="E28" s="103"/>
      <c r="F28" s="104"/>
      <c r="G28" s="18">
        <v>46006</v>
      </c>
      <c r="H28" s="105" t="s">
        <v>9</v>
      </c>
      <c r="I28" s="103"/>
      <c r="J28" s="103"/>
      <c r="K28" s="103"/>
      <c r="L28" s="103"/>
      <c r="M28" s="103"/>
      <c r="N28" s="103"/>
      <c r="O28" s="103"/>
      <c r="P28" s="103"/>
      <c r="Q28" s="103"/>
      <c r="R28" s="104"/>
    </row>
    <row r="29" spans="1:18" ht="24" customHeight="1" x14ac:dyDescent="0.3">
      <c r="A29" s="19" t="s">
        <v>10</v>
      </c>
      <c r="B29" s="19" t="s">
        <v>11</v>
      </c>
      <c r="C29" s="20" t="s">
        <v>12</v>
      </c>
      <c r="D29" s="19" t="s">
        <v>13</v>
      </c>
      <c r="E29" s="19" t="s">
        <v>14</v>
      </c>
      <c r="F29" s="21" t="s">
        <v>15</v>
      </c>
      <c r="G29" s="22" t="s">
        <v>16</v>
      </c>
      <c r="H29" s="19" t="s">
        <v>17</v>
      </c>
      <c r="I29" s="23" t="s">
        <v>18</v>
      </c>
      <c r="J29" s="24" t="s">
        <v>19</v>
      </c>
      <c r="K29" s="25" t="s">
        <v>20</v>
      </c>
      <c r="L29" s="24" t="s">
        <v>21</v>
      </c>
      <c r="M29" s="24" t="s">
        <v>22</v>
      </c>
      <c r="N29" s="24" t="s">
        <v>23</v>
      </c>
      <c r="O29" s="19" t="s">
        <v>24</v>
      </c>
      <c r="P29" s="20" t="s">
        <v>25</v>
      </c>
      <c r="Q29" s="24" t="s">
        <v>26</v>
      </c>
      <c r="R29" s="19" t="s">
        <v>27</v>
      </c>
    </row>
    <row r="30" spans="1:18" ht="49.95" customHeight="1" thickTop="1" thickBot="1" x14ac:dyDescent="0.35">
      <c r="A30" s="8" t="s">
        <v>28</v>
      </c>
      <c r="B30" s="8" t="s">
        <v>162</v>
      </c>
      <c r="C30" s="9">
        <v>0.51041666666666663</v>
      </c>
      <c r="D30" s="8" t="s">
        <v>30</v>
      </c>
      <c r="E30" s="10"/>
      <c r="F30" s="8" t="s">
        <v>35</v>
      </c>
      <c r="G30" s="101"/>
      <c r="H30" s="11" t="s">
        <v>162</v>
      </c>
      <c r="I30" s="12">
        <v>0.13689999999999999</v>
      </c>
      <c r="J30" s="13">
        <v>23</v>
      </c>
      <c r="K30" s="14" t="s">
        <v>32</v>
      </c>
      <c r="L30" s="13">
        <v>14</v>
      </c>
      <c r="M30" s="13">
        <v>0</v>
      </c>
      <c r="N30" s="13">
        <v>11</v>
      </c>
      <c r="O30" s="15" t="s">
        <v>125</v>
      </c>
      <c r="P30" s="16">
        <v>0.51041666666666663</v>
      </c>
      <c r="Q30" s="13">
        <v>168</v>
      </c>
      <c r="R30" s="17" t="s">
        <v>171</v>
      </c>
    </row>
    <row r="31" spans="1:18" ht="17.399999999999999" customHeight="1" thickBot="1" x14ac:dyDescent="0.35">
      <c r="A31" s="127"/>
      <c r="B31" s="128"/>
      <c r="C31" s="128"/>
      <c r="D31" s="128"/>
      <c r="E31" s="128"/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128"/>
      <c r="R31" s="129"/>
    </row>
    <row r="32" spans="1:18" ht="22.05" customHeight="1" thickTop="1" thickBot="1" x14ac:dyDescent="0.35">
      <c r="A32" s="102" t="s">
        <v>8</v>
      </c>
      <c r="B32" s="103"/>
      <c r="C32" s="103"/>
      <c r="D32" s="103"/>
      <c r="E32" s="103"/>
      <c r="F32" s="104"/>
      <c r="G32" s="18">
        <v>46010</v>
      </c>
      <c r="H32" s="105" t="s">
        <v>9</v>
      </c>
      <c r="I32" s="103"/>
      <c r="J32" s="103"/>
      <c r="K32" s="103"/>
      <c r="L32" s="103"/>
      <c r="M32" s="103"/>
      <c r="N32" s="103"/>
      <c r="O32" s="103"/>
      <c r="P32" s="103"/>
      <c r="Q32" s="103"/>
      <c r="R32" s="104"/>
    </row>
    <row r="33" spans="1:18" ht="24" customHeight="1" x14ac:dyDescent="0.3">
      <c r="A33" s="19" t="s">
        <v>10</v>
      </c>
      <c r="B33" s="19" t="s">
        <v>11</v>
      </c>
      <c r="C33" s="20" t="s">
        <v>12</v>
      </c>
      <c r="D33" s="19" t="s">
        <v>13</v>
      </c>
      <c r="E33" s="19" t="s">
        <v>14</v>
      </c>
      <c r="F33" s="21" t="s">
        <v>15</v>
      </c>
      <c r="G33" s="22" t="s">
        <v>16</v>
      </c>
      <c r="H33" s="19" t="s">
        <v>17</v>
      </c>
      <c r="I33" s="23" t="s">
        <v>18</v>
      </c>
      <c r="J33" s="24" t="s">
        <v>19</v>
      </c>
      <c r="K33" s="25" t="s">
        <v>20</v>
      </c>
      <c r="L33" s="24" t="s">
        <v>21</v>
      </c>
      <c r="M33" s="24" t="s">
        <v>22</v>
      </c>
      <c r="N33" s="24" t="s">
        <v>23</v>
      </c>
      <c r="O33" s="19" t="s">
        <v>24</v>
      </c>
      <c r="P33" s="20" t="s">
        <v>25</v>
      </c>
      <c r="Q33" s="24" t="s">
        <v>26</v>
      </c>
      <c r="R33" s="19" t="s">
        <v>27</v>
      </c>
    </row>
    <row r="34" spans="1:18" ht="49.95" customHeight="1" thickTop="1" thickBot="1" x14ac:dyDescent="0.5">
      <c r="A34" s="36" t="s">
        <v>28</v>
      </c>
      <c r="B34" s="36" t="s">
        <v>162</v>
      </c>
      <c r="C34" s="37">
        <v>0.29166666666666669</v>
      </c>
      <c r="D34" s="36" t="s">
        <v>30</v>
      </c>
      <c r="E34" s="38"/>
      <c r="F34" s="36" t="s">
        <v>35</v>
      </c>
      <c r="G34" s="97"/>
      <c r="H34" s="39" t="s">
        <v>162</v>
      </c>
      <c r="I34" s="40">
        <v>7.1400000000000005E-2</v>
      </c>
      <c r="J34" s="41">
        <v>12</v>
      </c>
      <c r="K34" s="42" t="s">
        <v>58</v>
      </c>
      <c r="L34" s="41">
        <v>2</v>
      </c>
      <c r="M34" s="41">
        <v>0</v>
      </c>
      <c r="N34" s="41">
        <v>0</v>
      </c>
      <c r="O34" s="43" t="s">
        <v>125</v>
      </c>
      <c r="P34" s="44">
        <v>0.29166666666666669</v>
      </c>
      <c r="Q34" s="41">
        <v>168</v>
      </c>
      <c r="R34" s="45" t="s">
        <v>172</v>
      </c>
    </row>
    <row r="35" spans="1:18" ht="17.399999999999999" customHeight="1" thickBot="1" x14ac:dyDescent="0.35">
      <c r="A35" s="127"/>
      <c r="B35" s="128"/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9"/>
    </row>
    <row r="36" spans="1:18" ht="22.05" customHeight="1" thickTop="1" thickBot="1" x14ac:dyDescent="0.35">
      <c r="A36" s="102" t="s">
        <v>8</v>
      </c>
      <c r="B36" s="103"/>
      <c r="C36" s="103"/>
      <c r="D36" s="103"/>
      <c r="E36" s="103"/>
      <c r="F36" s="104"/>
      <c r="G36" s="18">
        <v>46013</v>
      </c>
      <c r="H36" s="105" t="s">
        <v>9</v>
      </c>
      <c r="I36" s="103"/>
      <c r="J36" s="103"/>
      <c r="K36" s="103"/>
      <c r="L36" s="103"/>
      <c r="M36" s="103"/>
      <c r="N36" s="103"/>
      <c r="O36" s="103"/>
      <c r="P36" s="103"/>
      <c r="Q36" s="103"/>
      <c r="R36" s="104"/>
    </row>
    <row r="37" spans="1:18" ht="24" customHeight="1" x14ac:dyDescent="0.3">
      <c r="A37" s="19" t="s">
        <v>10</v>
      </c>
      <c r="B37" s="19" t="s">
        <v>11</v>
      </c>
      <c r="C37" s="20" t="s">
        <v>12</v>
      </c>
      <c r="D37" s="19" t="s">
        <v>13</v>
      </c>
      <c r="E37" s="19" t="s">
        <v>14</v>
      </c>
      <c r="F37" s="21" t="s">
        <v>15</v>
      </c>
      <c r="G37" s="22" t="s">
        <v>16</v>
      </c>
      <c r="H37" s="19" t="s">
        <v>17</v>
      </c>
      <c r="I37" s="23" t="s">
        <v>18</v>
      </c>
      <c r="J37" s="24" t="s">
        <v>19</v>
      </c>
      <c r="K37" s="25" t="s">
        <v>20</v>
      </c>
      <c r="L37" s="24" t="s">
        <v>21</v>
      </c>
      <c r="M37" s="24" t="s">
        <v>22</v>
      </c>
      <c r="N37" s="24" t="s">
        <v>23</v>
      </c>
      <c r="O37" s="19" t="s">
        <v>24</v>
      </c>
      <c r="P37" s="20" t="s">
        <v>25</v>
      </c>
      <c r="Q37" s="24" t="s">
        <v>26</v>
      </c>
      <c r="R37" s="19" t="s">
        <v>27</v>
      </c>
    </row>
    <row r="38" spans="1:18" ht="49.95" customHeight="1" thickTop="1" thickBot="1" x14ac:dyDescent="0.5">
      <c r="A38" s="26" t="s">
        <v>28</v>
      </c>
      <c r="B38" s="26" t="s">
        <v>162</v>
      </c>
      <c r="C38" s="27">
        <v>0.51041666666666663</v>
      </c>
      <c r="D38" s="26" t="s">
        <v>30</v>
      </c>
      <c r="E38" s="28"/>
      <c r="F38" s="26" t="s">
        <v>35</v>
      </c>
      <c r="G38" s="97"/>
      <c r="H38" s="29" t="s">
        <v>162</v>
      </c>
      <c r="I38" s="30">
        <v>8.3299999999999999E-2</v>
      </c>
      <c r="J38" s="31">
        <v>14</v>
      </c>
      <c r="K38" s="32" t="s">
        <v>173</v>
      </c>
      <c r="L38" s="31">
        <v>1</v>
      </c>
      <c r="M38" s="31">
        <v>0</v>
      </c>
      <c r="N38" s="31">
        <v>0</v>
      </c>
      <c r="O38" s="33" t="s">
        <v>174</v>
      </c>
      <c r="P38" s="34">
        <v>0.51041666666666663</v>
      </c>
      <c r="Q38" s="31">
        <v>168</v>
      </c>
      <c r="R38" s="35" t="s">
        <v>175</v>
      </c>
    </row>
    <row r="39" spans="1:18" ht="17.399999999999999" customHeight="1" thickBot="1" x14ac:dyDescent="0.35">
      <c r="A39" s="127"/>
      <c r="B39" s="128"/>
      <c r="C39" s="128"/>
      <c r="D39" s="128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8"/>
      <c r="R39" s="129"/>
    </row>
    <row r="40" spans="1:18" ht="22.05" customHeight="1" thickTop="1" thickBot="1" x14ac:dyDescent="0.35">
      <c r="A40" s="102" t="s">
        <v>8</v>
      </c>
      <c r="B40" s="103"/>
      <c r="C40" s="103"/>
      <c r="D40" s="103"/>
      <c r="E40" s="103"/>
      <c r="F40" s="104"/>
      <c r="G40" s="18">
        <v>46017</v>
      </c>
      <c r="H40" s="105" t="s">
        <v>9</v>
      </c>
      <c r="I40" s="103"/>
      <c r="J40" s="103"/>
      <c r="K40" s="103"/>
      <c r="L40" s="103"/>
      <c r="M40" s="103"/>
      <c r="N40" s="103"/>
      <c r="O40" s="103"/>
      <c r="P40" s="103"/>
      <c r="Q40" s="103"/>
      <c r="R40" s="104"/>
    </row>
    <row r="41" spans="1:18" ht="24" customHeight="1" x14ac:dyDescent="0.3">
      <c r="A41" s="19" t="s">
        <v>10</v>
      </c>
      <c r="B41" s="19" t="s">
        <v>11</v>
      </c>
      <c r="C41" s="20" t="s">
        <v>12</v>
      </c>
      <c r="D41" s="19" t="s">
        <v>13</v>
      </c>
      <c r="E41" s="19" t="s">
        <v>14</v>
      </c>
      <c r="F41" s="21" t="s">
        <v>15</v>
      </c>
      <c r="G41" s="22" t="s">
        <v>16</v>
      </c>
      <c r="H41" s="19" t="s">
        <v>17</v>
      </c>
      <c r="I41" s="23" t="s">
        <v>18</v>
      </c>
      <c r="J41" s="24" t="s">
        <v>19</v>
      </c>
      <c r="K41" s="25" t="s">
        <v>20</v>
      </c>
      <c r="L41" s="24" t="s">
        <v>21</v>
      </c>
      <c r="M41" s="24" t="s">
        <v>22</v>
      </c>
      <c r="N41" s="24" t="s">
        <v>23</v>
      </c>
      <c r="O41" s="19" t="s">
        <v>24</v>
      </c>
      <c r="P41" s="20" t="s">
        <v>25</v>
      </c>
      <c r="Q41" s="24" t="s">
        <v>26</v>
      </c>
      <c r="R41" s="19" t="s">
        <v>27</v>
      </c>
    </row>
    <row r="42" spans="1:18" ht="49.95" customHeight="1" x14ac:dyDescent="0.45">
      <c r="A42" s="56" t="s">
        <v>28</v>
      </c>
      <c r="B42" s="56" t="s">
        <v>162</v>
      </c>
      <c r="C42" s="57">
        <v>0.29166666666666669</v>
      </c>
      <c r="D42" s="56" t="s">
        <v>30</v>
      </c>
      <c r="E42" s="58"/>
      <c r="F42" s="56" t="s">
        <v>35</v>
      </c>
      <c r="G42" s="97"/>
      <c r="H42" s="59" t="s">
        <v>162</v>
      </c>
      <c r="I42" s="60">
        <v>0.1429</v>
      </c>
      <c r="J42" s="61">
        <v>24</v>
      </c>
      <c r="K42" s="62" t="s">
        <v>32</v>
      </c>
      <c r="L42" s="61">
        <v>7</v>
      </c>
      <c r="M42" s="61">
        <v>0</v>
      </c>
      <c r="N42" s="61">
        <v>4</v>
      </c>
      <c r="O42" s="63" t="s">
        <v>176</v>
      </c>
      <c r="P42" s="64">
        <v>0.29166666666666669</v>
      </c>
      <c r="Q42" s="61">
        <v>168</v>
      </c>
      <c r="R42" s="65" t="s">
        <v>177</v>
      </c>
    </row>
  </sheetData>
  <mergeCells count="46">
    <mergeCell ref="G30"/>
    <mergeCell ref="H24:R24"/>
    <mergeCell ref="G14"/>
    <mergeCell ref="G42"/>
    <mergeCell ref="A35:R35"/>
    <mergeCell ref="N1:R1"/>
    <mergeCell ref="A28:F28"/>
    <mergeCell ref="A19:R19"/>
    <mergeCell ref="H16:R16"/>
    <mergeCell ref="K2:R2"/>
    <mergeCell ref="A40:F40"/>
    <mergeCell ref="H32:R32"/>
    <mergeCell ref="G38"/>
    <mergeCell ref="A31:R31"/>
    <mergeCell ref="G10"/>
    <mergeCell ref="H28:R28"/>
    <mergeCell ref="G6"/>
    <mergeCell ref="G18"/>
    <mergeCell ref="A24:F24"/>
    <mergeCell ref="H40:R40"/>
    <mergeCell ref="A2:F2"/>
    <mergeCell ref="A3:R3"/>
    <mergeCell ref="A32:F32"/>
    <mergeCell ref="A8:F8"/>
    <mergeCell ref="G2:J2"/>
    <mergeCell ref="A4:F4"/>
    <mergeCell ref="A23:R23"/>
    <mergeCell ref="A20:F20"/>
    <mergeCell ref="H36:R36"/>
    <mergeCell ref="A39:R39"/>
    <mergeCell ref="A15:R15"/>
    <mergeCell ref="H12:R12"/>
    <mergeCell ref="A36:F36"/>
    <mergeCell ref="G34"/>
    <mergeCell ref="A11:R11"/>
    <mergeCell ref="H1:L1"/>
    <mergeCell ref="A1:E1"/>
    <mergeCell ref="A12:F12"/>
    <mergeCell ref="A27:R27"/>
    <mergeCell ref="H4:R4"/>
    <mergeCell ref="G22"/>
    <mergeCell ref="A16:F16"/>
    <mergeCell ref="H8:R8"/>
    <mergeCell ref="A7:R7"/>
    <mergeCell ref="G26"/>
    <mergeCell ref="H20:R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12"/>
  <sheetViews>
    <sheetView workbookViewId="0"/>
  </sheetViews>
  <sheetFormatPr defaultRowHeight="15.6" outlineLevelCol="1" x14ac:dyDescent="0.3"/>
  <cols>
    <col min="1" max="1" width="8.6640625" style="114" bestFit="1" customWidth="1"/>
    <col min="2" max="2" width="10.44140625" style="114" bestFit="1" customWidth="1"/>
    <col min="3" max="3" width="6.77734375" style="114" bestFit="1" customWidth="1"/>
    <col min="4" max="4" width="5.5546875" style="114" bestFit="1" customWidth="1"/>
    <col min="5" max="5" width="9.44140625" style="114" bestFit="1" customWidth="1"/>
    <col min="6" max="6" width="4.21875" style="114" bestFit="1" customWidth="1"/>
    <col min="7" max="7" width="10" style="114" bestFit="1" customWidth="1"/>
    <col min="8" max="8" width="8.5546875" style="114" bestFit="1" customWidth="1"/>
    <col min="9" max="10" width="7" style="114" bestFit="1" customWidth="1"/>
    <col min="11" max="11" width="10.5546875" style="114" bestFit="1" customWidth="1"/>
    <col min="12" max="12" width="18.109375" style="114" bestFit="1" customWidth="1"/>
    <col min="13" max="13" width="7.6640625" style="114" bestFit="1" customWidth="1" outlineLevel="1"/>
    <col min="14" max="14" width="6.33203125" style="114" bestFit="1" customWidth="1" outlineLevel="1"/>
    <col min="15" max="15" width="8" style="114" bestFit="1" customWidth="1" outlineLevel="1"/>
    <col min="16" max="16" width="13.6640625" style="114" bestFit="1" customWidth="1"/>
    <col min="17" max="26" width="3.88671875" style="114" bestFit="1" customWidth="1"/>
    <col min="27" max="27" width="4" style="114" bestFit="1" customWidth="1"/>
    <col min="28" max="29" width="4.21875" style="114" bestFit="1" customWidth="1"/>
    <col min="30" max="31" width="4.5546875" style="114" bestFit="1" customWidth="1"/>
    <col min="32" max="36" width="3.88671875" style="114" bestFit="1" customWidth="1"/>
    <col min="37" max="16384" width="8.88671875" style="114"/>
  </cols>
  <sheetData>
    <row r="1" spans="1:36" x14ac:dyDescent="0.3">
      <c r="A1" s="113" t="s">
        <v>67</v>
      </c>
      <c r="B1" s="113" t="s">
        <v>68</v>
      </c>
      <c r="C1" s="113" t="s">
        <v>69</v>
      </c>
      <c r="D1" s="113" t="s">
        <v>25</v>
      </c>
      <c r="E1" s="113" t="s">
        <v>70</v>
      </c>
      <c r="F1" s="113" t="s">
        <v>71</v>
      </c>
      <c r="G1" s="113" t="s">
        <v>18</v>
      </c>
      <c r="H1" s="113" t="s">
        <v>72</v>
      </c>
      <c r="I1" s="113" t="s">
        <v>73</v>
      </c>
      <c r="J1" s="113" t="s">
        <v>74</v>
      </c>
      <c r="K1" s="113" t="s">
        <v>75</v>
      </c>
      <c r="L1" s="113" t="s">
        <v>20</v>
      </c>
      <c r="M1" s="113" t="s">
        <v>22</v>
      </c>
      <c r="N1" s="113" t="s">
        <v>23</v>
      </c>
      <c r="O1" s="113" t="s">
        <v>21</v>
      </c>
      <c r="P1" s="113" t="s">
        <v>24</v>
      </c>
      <c r="Q1" s="113" t="s">
        <v>76</v>
      </c>
      <c r="R1" s="113" t="s">
        <v>77</v>
      </c>
      <c r="S1" s="113" t="s">
        <v>78</v>
      </c>
      <c r="T1" s="113" t="s">
        <v>79</v>
      </c>
      <c r="U1" s="113" t="s">
        <v>80</v>
      </c>
      <c r="V1" s="113" t="s">
        <v>81</v>
      </c>
      <c r="W1" s="113" t="s">
        <v>82</v>
      </c>
      <c r="X1" s="113" t="s">
        <v>83</v>
      </c>
      <c r="Y1" s="113" t="s">
        <v>84</v>
      </c>
      <c r="Z1" s="113" t="s">
        <v>85</v>
      </c>
      <c r="AA1" s="113" t="s">
        <v>86</v>
      </c>
      <c r="AB1" s="113" t="s">
        <v>87</v>
      </c>
      <c r="AC1" s="113" t="s">
        <v>88</v>
      </c>
      <c r="AD1" s="113" t="s">
        <v>89</v>
      </c>
      <c r="AE1" s="113" t="s">
        <v>90</v>
      </c>
      <c r="AF1" s="113" t="s">
        <v>91</v>
      </c>
      <c r="AG1" s="113" t="s">
        <v>92</v>
      </c>
      <c r="AH1" s="113" t="s">
        <v>93</v>
      </c>
      <c r="AI1" s="113" t="s">
        <v>94</v>
      </c>
      <c r="AJ1" s="113" t="s">
        <v>95</v>
      </c>
    </row>
    <row r="2" spans="1:36" x14ac:dyDescent="0.3">
      <c r="A2" s="115" t="s">
        <v>178</v>
      </c>
      <c r="B2" s="116">
        <v>45985</v>
      </c>
      <c r="C2" s="117" t="s">
        <v>162</v>
      </c>
      <c r="D2" s="118" t="s">
        <v>179</v>
      </c>
      <c r="E2" s="117" t="s">
        <v>161</v>
      </c>
      <c r="F2" s="117" t="s">
        <v>98</v>
      </c>
      <c r="G2" s="119">
        <v>0.5655</v>
      </c>
      <c r="H2" s="120">
        <v>168</v>
      </c>
      <c r="I2" s="120">
        <v>95</v>
      </c>
      <c r="J2" s="120">
        <v>0</v>
      </c>
      <c r="K2" s="117" t="s">
        <v>99</v>
      </c>
      <c r="L2" s="121" t="s">
        <v>32</v>
      </c>
      <c r="M2" s="120">
        <v>0</v>
      </c>
      <c r="N2" s="120">
        <v>9</v>
      </c>
      <c r="O2" s="120">
        <v>36</v>
      </c>
      <c r="P2" s="117" t="s">
        <v>128</v>
      </c>
      <c r="Q2" s="113"/>
      <c r="R2" s="113"/>
      <c r="S2" s="113"/>
      <c r="T2" s="113"/>
      <c r="U2" s="113"/>
      <c r="V2" s="113"/>
      <c r="W2" s="113"/>
      <c r="X2" s="113"/>
      <c r="Y2" s="113"/>
      <c r="Z2" s="120" t="s">
        <v>107</v>
      </c>
      <c r="AA2" s="120" t="s">
        <v>180</v>
      </c>
      <c r="AB2" s="120" t="s">
        <v>181</v>
      </c>
      <c r="AC2" s="120" t="s">
        <v>182</v>
      </c>
      <c r="AD2" s="120" t="s">
        <v>141</v>
      </c>
      <c r="AE2" s="120" t="s">
        <v>183</v>
      </c>
      <c r="AF2" s="120" t="s">
        <v>184</v>
      </c>
      <c r="AG2" s="113"/>
      <c r="AH2" s="113"/>
      <c r="AI2" s="113"/>
      <c r="AJ2" s="113"/>
    </row>
    <row r="3" spans="1:36" x14ac:dyDescent="0.3">
      <c r="A3" s="115" t="s">
        <v>113</v>
      </c>
      <c r="B3" s="116">
        <v>45989</v>
      </c>
      <c r="C3" s="117" t="s">
        <v>162</v>
      </c>
      <c r="D3" s="118" t="s">
        <v>185</v>
      </c>
      <c r="E3" s="117" t="s">
        <v>161</v>
      </c>
      <c r="F3" s="117" t="s">
        <v>98</v>
      </c>
      <c r="G3" s="119">
        <v>0.44640000000000002</v>
      </c>
      <c r="H3" s="120">
        <v>168</v>
      </c>
      <c r="I3" s="120">
        <v>75</v>
      </c>
      <c r="J3" s="120">
        <v>0</v>
      </c>
      <c r="K3" s="117" t="s">
        <v>99</v>
      </c>
      <c r="L3" s="121" t="s">
        <v>32</v>
      </c>
      <c r="M3" s="120">
        <v>0</v>
      </c>
      <c r="N3" s="120">
        <v>9</v>
      </c>
      <c r="O3" s="120">
        <v>29</v>
      </c>
      <c r="P3" s="117" t="s">
        <v>151</v>
      </c>
      <c r="Q3" s="113"/>
      <c r="R3" s="113"/>
      <c r="S3" s="113"/>
      <c r="T3" s="113"/>
      <c r="U3" s="113"/>
      <c r="V3" s="113"/>
      <c r="W3" s="113"/>
      <c r="X3" s="113"/>
      <c r="Y3" s="113"/>
      <c r="Z3" s="120" t="s">
        <v>107</v>
      </c>
      <c r="AA3" s="120" t="s">
        <v>186</v>
      </c>
      <c r="AB3" s="120" t="s">
        <v>139</v>
      </c>
      <c r="AC3" s="120" t="s">
        <v>109</v>
      </c>
      <c r="AD3" s="120" t="s">
        <v>187</v>
      </c>
      <c r="AE3" s="120" t="s">
        <v>188</v>
      </c>
      <c r="AF3" s="120" t="s">
        <v>146</v>
      </c>
      <c r="AG3" s="113"/>
      <c r="AH3" s="113"/>
      <c r="AI3" s="113"/>
      <c r="AJ3" s="113"/>
    </row>
    <row r="4" spans="1:36" x14ac:dyDescent="0.3">
      <c r="A4" s="115" t="s">
        <v>178</v>
      </c>
      <c r="B4" s="116">
        <v>45992</v>
      </c>
      <c r="C4" s="117" t="s">
        <v>162</v>
      </c>
      <c r="D4" s="118" t="s">
        <v>179</v>
      </c>
      <c r="E4" s="117" t="s">
        <v>161</v>
      </c>
      <c r="F4" s="117" t="s">
        <v>98</v>
      </c>
      <c r="G4" s="119">
        <v>0.45240000000000002</v>
      </c>
      <c r="H4" s="120">
        <v>168</v>
      </c>
      <c r="I4" s="120">
        <v>76</v>
      </c>
      <c r="J4" s="120">
        <v>0</v>
      </c>
      <c r="K4" s="117" t="s">
        <v>99</v>
      </c>
      <c r="L4" s="121" t="s">
        <v>65</v>
      </c>
      <c r="M4" s="120">
        <v>0</v>
      </c>
      <c r="N4" s="120">
        <v>0</v>
      </c>
      <c r="O4" s="120">
        <v>21</v>
      </c>
      <c r="P4" s="117" t="s">
        <v>165</v>
      </c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20" t="s">
        <v>139</v>
      </c>
      <c r="AC4" s="120" t="s">
        <v>159</v>
      </c>
      <c r="AD4" s="120" t="s">
        <v>189</v>
      </c>
      <c r="AE4" s="120" t="s">
        <v>190</v>
      </c>
      <c r="AF4" s="120" t="s">
        <v>191</v>
      </c>
      <c r="AG4" s="113"/>
      <c r="AH4" s="113"/>
      <c r="AI4" s="113"/>
      <c r="AJ4" s="113"/>
    </row>
    <row r="5" spans="1:36" x14ac:dyDescent="0.3">
      <c r="A5" s="115" t="s">
        <v>113</v>
      </c>
      <c r="B5" s="116">
        <v>45996</v>
      </c>
      <c r="C5" s="117" t="s">
        <v>162</v>
      </c>
      <c r="D5" s="118" t="s">
        <v>185</v>
      </c>
      <c r="E5" s="117" t="s">
        <v>161</v>
      </c>
      <c r="F5" s="117" t="s">
        <v>98</v>
      </c>
      <c r="G5" s="119">
        <v>0.2321</v>
      </c>
      <c r="H5" s="120">
        <v>168</v>
      </c>
      <c r="I5" s="120">
        <v>39</v>
      </c>
      <c r="J5" s="120">
        <v>0</v>
      </c>
      <c r="K5" s="117" t="s">
        <v>99</v>
      </c>
      <c r="L5" s="121" t="s">
        <v>32</v>
      </c>
      <c r="M5" s="120">
        <v>0</v>
      </c>
      <c r="N5" s="120">
        <v>2</v>
      </c>
      <c r="O5" s="120">
        <v>12</v>
      </c>
      <c r="P5" s="117" t="s">
        <v>151</v>
      </c>
      <c r="Q5" s="113"/>
      <c r="R5" s="113"/>
      <c r="S5" s="113"/>
      <c r="T5" s="113"/>
      <c r="U5" s="113"/>
      <c r="V5" s="113"/>
      <c r="W5" s="113"/>
      <c r="X5" s="113"/>
      <c r="Y5" s="113"/>
      <c r="Z5" s="120" t="s">
        <v>149</v>
      </c>
      <c r="AA5" s="113"/>
      <c r="AB5" s="113"/>
      <c r="AC5" s="120" t="s">
        <v>154</v>
      </c>
      <c r="AD5" s="120" t="s">
        <v>192</v>
      </c>
      <c r="AE5" s="120" t="s">
        <v>136</v>
      </c>
      <c r="AF5" s="113"/>
      <c r="AG5" s="113"/>
      <c r="AH5" s="113"/>
      <c r="AI5" s="113"/>
      <c r="AJ5" s="113"/>
    </row>
    <row r="6" spans="1:36" x14ac:dyDescent="0.3">
      <c r="A6" s="115" t="s">
        <v>178</v>
      </c>
      <c r="B6" s="116">
        <v>45999</v>
      </c>
      <c r="C6" s="117" t="s">
        <v>162</v>
      </c>
      <c r="D6" s="118" t="s">
        <v>179</v>
      </c>
      <c r="E6" s="117" t="s">
        <v>161</v>
      </c>
      <c r="F6" s="117" t="s">
        <v>98</v>
      </c>
      <c r="G6" s="119">
        <v>0.27979999999999999</v>
      </c>
      <c r="H6" s="120">
        <v>168</v>
      </c>
      <c r="I6" s="120">
        <v>47</v>
      </c>
      <c r="J6" s="120">
        <v>0</v>
      </c>
      <c r="K6" s="117" t="s">
        <v>99</v>
      </c>
      <c r="L6" s="121" t="s">
        <v>32</v>
      </c>
      <c r="M6" s="120">
        <v>0</v>
      </c>
      <c r="N6" s="120">
        <v>3</v>
      </c>
      <c r="O6" s="120">
        <v>16</v>
      </c>
      <c r="P6" s="117" t="s">
        <v>144</v>
      </c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20" t="s">
        <v>155</v>
      </c>
      <c r="AE6" s="120" t="s">
        <v>193</v>
      </c>
      <c r="AF6" s="120" t="s">
        <v>191</v>
      </c>
      <c r="AG6" s="113"/>
      <c r="AH6" s="113"/>
      <c r="AI6" s="113"/>
      <c r="AJ6" s="113"/>
    </row>
    <row r="7" spans="1:36" x14ac:dyDescent="0.3">
      <c r="A7" s="115" t="s">
        <v>113</v>
      </c>
      <c r="B7" s="116">
        <v>46003</v>
      </c>
      <c r="C7" s="117" t="s">
        <v>162</v>
      </c>
      <c r="D7" s="118" t="s">
        <v>185</v>
      </c>
      <c r="E7" s="117" t="s">
        <v>161</v>
      </c>
      <c r="F7" s="117" t="s">
        <v>98</v>
      </c>
      <c r="G7" s="119">
        <v>0.11899999999999999</v>
      </c>
      <c r="H7" s="120">
        <v>168</v>
      </c>
      <c r="I7" s="120">
        <v>20</v>
      </c>
      <c r="J7" s="120">
        <v>0</v>
      </c>
      <c r="K7" s="117" t="s">
        <v>99</v>
      </c>
      <c r="L7" s="121" t="s">
        <v>58</v>
      </c>
      <c r="M7" s="120">
        <v>0</v>
      </c>
      <c r="N7" s="120">
        <v>0</v>
      </c>
      <c r="O7" s="120">
        <v>5</v>
      </c>
      <c r="P7" s="117" t="s">
        <v>169</v>
      </c>
      <c r="Q7" s="113"/>
      <c r="R7" s="113"/>
      <c r="S7" s="113"/>
      <c r="T7" s="113"/>
      <c r="U7" s="113"/>
      <c r="V7" s="113"/>
      <c r="W7" s="113"/>
      <c r="X7" s="113"/>
      <c r="Y7" s="113"/>
      <c r="Z7" s="120" t="s">
        <v>138</v>
      </c>
      <c r="AA7" s="120" t="s">
        <v>108</v>
      </c>
      <c r="AB7" s="113"/>
      <c r="AC7" s="113"/>
      <c r="AD7" s="120" t="s">
        <v>141</v>
      </c>
      <c r="AE7" s="113"/>
      <c r="AF7" s="113"/>
      <c r="AG7" s="113"/>
      <c r="AH7" s="113"/>
      <c r="AI7" s="113"/>
      <c r="AJ7" s="113"/>
    </row>
    <row r="8" spans="1:36" x14ac:dyDescent="0.3">
      <c r="A8" s="115" t="s">
        <v>178</v>
      </c>
      <c r="B8" s="116">
        <v>46006</v>
      </c>
      <c r="C8" s="117" t="s">
        <v>162</v>
      </c>
      <c r="D8" s="118" t="s">
        <v>179</v>
      </c>
      <c r="E8" s="117" t="s">
        <v>161</v>
      </c>
      <c r="F8" s="117" t="s">
        <v>98</v>
      </c>
      <c r="G8" s="119">
        <v>0.13689999999999999</v>
      </c>
      <c r="H8" s="120">
        <v>168</v>
      </c>
      <c r="I8" s="120">
        <v>23</v>
      </c>
      <c r="J8" s="120">
        <v>0</v>
      </c>
      <c r="K8" s="117" t="s">
        <v>99</v>
      </c>
      <c r="L8" s="121" t="s">
        <v>32</v>
      </c>
      <c r="M8" s="120">
        <v>0</v>
      </c>
      <c r="N8" s="120">
        <v>11</v>
      </c>
      <c r="O8" s="120">
        <v>14</v>
      </c>
      <c r="P8" s="117" t="s">
        <v>125</v>
      </c>
      <c r="Q8" s="113"/>
      <c r="R8" s="113"/>
      <c r="S8" s="113"/>
      <c r="T8" s="113"/>
      <c r="U8" s="113"/>
      <c r="V8" s="113"/>
      <c r="W8" s="113"/>
      <c r="X8" s="113"/>
      <c r="Y8" s="113"/>
      <c r="Z8" s="120" t="s">
        <v>149</v>
      </c>
      <c r="AA8" s="120" t="s">
        <v>117</v>
      </c>
      <c r="AB8" s="113"/>
      <c r="AC8" s="113"/>
      <c r="AD8" s="120" t="s">
        <v>194</v>
      </c>
      <c r="AE8" s="113"/>
      <c r="AF8" s="113"/>
      <c r="AG8" s="113"/>
      <c r="AH8" s="113"/>
      <c r="AI8" s="113"/>
      <c r="AJ8" s="113"/>
    </row>
    <row r="9" spans="1:36" x14ac:dyDescent="0.3">
      <c r="A9" s="115" t="s">
        <v>113</v>
      </c>
      <c r="B9" s="116">
        <v>46010</v>
      </c>
      <c r="C9" s="117" t="s">
        <v>162</v>
      </c>
      <c r="D9" s="118" t="s">
        <v>185</v>
      </c>
      <c r="E9" s="117" t="s">
        <v>161</v>
      </c>
      <c r="F9" s="117" t="s">
        <v>98</v>
      </c>
      <c r="G9" s="119">
        <v>7.1400000000000005E-2</v>
      </c>
      <c r="H9" s="120">
        <v>168</v>
      </c>
      <c r="I9" s="120">
        <v>12</v>
      </c>
      <c r="J9" s="120">
        <v>0</v>
      </c>
      <c r="K9" s="117" t="s">
        <v>99</v>
      </c>
      <c r="L9" s="121" t="s">
        <v>58</v>
      </c>
      <c r="M9" s="120">
        <v>0</v>
      </c>
      <c r="N9" s="120">
        <v>0</v>
      </c>
      <c r="O9" s="120">
        <v>2</v>
      </c>
      <c r="P9" s="117" t="s">
        <v>125</v>
      </c>
      <c r="Q9" s="113"/>
      <c r="R9" s="113"/>
      <c r="S9" s="113"/>
      <c r="T9" s="113"/>
      <c r="U9" s="113"/>
      <c r="V9" s="113"/>
      <c r="W9" s="113"/>
      <c r="X9" s="113"/>
      <c r="Y9" s="113"/>
      <c r="Z9" s="120" t="s">
        <v>143</v>
      </c>
      <c r="AA9" s="113"/>
      <c r="AB9" s="113"/>
      <c r="AC9" s="113"/>
      <c r="AD9" s="120" t="s">
        <v>33</v>
      </c>
      <c r="AE9" s="120" t="s">
        <v>152</v>
      </c>
      <c r="AF9" s="113"/>
      <c r="AG9" s="113"/>
      <c r="AH9" s="113"/>
      <c r="AI9" s="113"/>
      <c r="AJ9" s="113"/>
    </row>
    <row r="10" spans="1:36" x14ac:dyDescent="0.3">
      <c r="A10" s="115" t="s">
        <v>178</v>
      </c>
      <c r="B10" s="116">
        <v>46013</v>
      </c>
      <c r="C10" s="117" t="s">
        <v>162</v>
      </c>
      <c r="D10" s="118" t="s">
        <v>179</v>
      </c>
      <c r="E10" s="117" t="s">
        <v>161</v>
      </c>
      <c r="F10" s="117" t="s">
        <v>98</v>
      </c>
      <c r="G10" s="119">
        <v>8.3299999999999999E-2</v>
      </c>
      <c r="H10" s="120">
        <v>168</v>
      </c>
      <c r="I10" s="120">
        <v>14</v>
      </c>
      <c r="J10" s="120">
        <v>0</v>
      </c>
      <c r="K10" s="117" t="s">
        <v>99</v>
      </c>
      <c r="L10" s="121" t="s">
        <v>173</v>
      </c>
      <c r="M10" s="120">
        <v>0</v>
      </c>
      <c r="N10" s="120">
        <v>0</v>
      </c>
      <c r="O10" s="120">
        <v>1</v>
      </c>
      <c r="P10" s="117" t="s">
        <v>174</v>
      </c>
      <c r="Q10" s="113"/>
      <c r="R10" s="113"/>
      <c r="S10" s="113"/>
      <c r="T10" s="113"/>
      <c r="U10" s="113"/>
      <c r="V10" s="113"/>
      <c r="W10" s="113"/>
      <c r="X10" s="113"/>
      <c r="Y10" s="113"/>
      <c r="Z10" s="120" t="s">
        <v>132</v>
      </c>
      <c r="AA10" s="113"/>
      <c r="AB10" s="113"/>
      <c r="AC10" s="120" t="s">
        <v>109</v>
      </c>
      <c r="AD10" s="120" t="s">
        <v>160</v>
      </c>
      <c r="AE10" s="120" t="s">
        <v>136</v>
      </c>
      <c r="AF10" s="113"/>
      <c r="AG10" s="113"/>
      <c r="AH10" s="113"/>
      <c r="AI10" s="113"/>
      <c r="AJ10" s="113"/>
    </row>
    <row r="11" spans="1:36" x14ac:dyDescent="0.3">
      <c r="A11" s="115" t="s">
        <v>113</v>
      </c>
      <c r="B11" s="116">
        <v>46017</v>
      </c>
      <c r="C11" s="117" t="s">
        <v>162</v>
      </c>
      <c r="D11" s="118" t="s">
        <v>185</v>
      </c>
      <c r="E11" s="117" t="s">
        <v>161</v>
      </c>
      <c r="F11" s="117" t="s">
        <v>98</v>
      </c>
      <c r="G11" s="119">
        <v>0.1429</v>
      </c>
      <c r="H11" s="120">
        <v>168</v>
      </c>
      <c r="I11" s="120">
        <v>24</v>
      </c>
      <c r="J11" s="120">
        <v>0</v>
      </c>
      <c r="K11" s="117" t="s">
        <v>99</v>
      </c>
      <c r="L11" s="121" t="s">
        <v>32</v>
      </c>
      <c r="M11" s="120">
        <v>0</v>
      </c>
      <c r="N11" s="120">
        <v>4</v>
      </c>
      <c r="O11" s="120">
        <v>7</v>
      </c>
      <c r="P11" s="117" t="s">
        <v>176</v>
      </c>
      <c r="Q11" s="113"/>
      <c r="R11" s="113"/>
      <c r="S11" s="113"/>
      <c r="T11" s="113"/>
      <c r="U11" s="113"/>
      <c r="V11" s="113"/>
      <c r="W11" s="113"/>
      <c r="X11" s="113"/>
      <c r="Y11" s="113"/>
      <c r="Z11" s="120" t="s">
        <v>195</v>
      </c>
      <c r="AA11" s="120" t="s">
        <v>124</v>
      </c>
      <c r="AB11" s="113"/>
      <c r="AC11" s="120" t="s">
        <v>129</v>
      </c>
      <c r="AD11" s="120" t="s">
        <v>33</v>
      </c>
      <c r="AE11" s="113"/>
      <c r="AF11" s="113"/>
      <c r="AG11" s="113"/>
      <c r="AH11" s="113"/>
      <c r="AI11" s="113"/>
      <c r="AJ11" s="113"/>
    </row>
    <row r="12" spans="1:36" ht="21" x14ac:dyDescent="0.3">
      <c r="A12" s="122" t="s">
        <v>196</v>
      </c>
      <c r="B12" s="123"/>
      <c r="C12" s="122">
        <f>SUBTOTAL(103,DMM_ATZ_LF_LEGACY[Flt])</f>
        <v>10</v>
      </c>
      <c r="D12" s="122"/>
      <c r="E12" s="122">
        <f>SUBTOTAL(103,DMM_ATZ_LF_LEGACY[Brd-Off])</f>
        <v>10</v>
      </c>
      <c r="F12" s="122"/>
      <c r="G12" s="124">
        <f>SUBTOTAL(101,DMM_ATZ_LF_LEGACY[LF%])</f>
        <v>0.25297000000000003</v>
      </c>
      <c r="H12" s="125">
        <f>SUBTOTAL(109,DMM_ATZ_LF_LEGACY[CAP])</f>
        <v>1680</v>
      </c>
      <c r="I12" s="125">
        <f>SUBTOTAL(109,DMM_ATZ_LF_LEGACY[BKG(Y)])</f>
        <v>425</v>
      </c>
      <c r="J12" s="125">
        <f>SUBTOTAL(109,DMM_ATZ_LF_LEGACY[GRP(Y)])</f>
        <v>0</v>
      </c>
      <c r="K12" s="122"/>
      <c r="L12" s="123"/>
      <c r="M12" s="125">
        <f>SUBTOTAL(109,DMM_ATZ_LF_LEGACY[TO-DAY])</f>
        <v>0</v>
      </c>
      <c r="N12" s="125">
        <f>SUBTOTAL(109,DMM_ATZ_LF_LEGACY[Y-DAY])</f>
        <v>38</v>
      </c>
      <c r="O12" s="125">
        <f>SUBTOTAL(109,DMM_ATZ_LF_LEGACY[WEEKLY])</f>
        <v>143</v>
      </c>
      <c r="P12" s="126"/>
      <c r="Q12" s="125">
        <f>SUBTOTAL(109,DMM_ATZ_LF_LEGACY[Y])</f>
        <v>0</v>
      </c>
      <c r="R12" s="125">
        <f>SUBTOTAL(109,DMM_ATZ_LF_LEGACY[B])</f>
        <v>0</v>
      </c>
      <c r="S12" s="125">
        <f>SUBTOTAL(109,DMM_ATZ_LF_LEGACY[M])</f>
        <v>0</v>
      </c>
      <c r="T12" s="125">
        <f>SUBTOTAL(109,DMM_ATZ_LF_LEGACY[H])</f>
        <v>0</v>
      </c>
      <c r="U12" s="125">
        <f>SUBTOTAL(109,DMM_ATZ_LF_LEGACY[Q])</f>
        <v>0</v>
      </c>
      <c r="V12" s="125">
        <f>SUBTOTAL(109,DMM_ATZ_LF_LEGACY[K])</f>
        <v>0</v>
      </c>
      <c r="W12" s="125">
        <f>SUBTOTAL(109,DMM_ATZ_LF_LEGACY[V])</f>
        <v>0</v>
      </c>
      <c r="X12" s="125">
        <f>SUBTOTAL(109,DMM_ATZ_LF_LEGACY[L])</f>
        <v>0</v>
      </c>
      <c r="Y12" s="125">
        <f>SUBTOTAL(109,DMM_ATZ_LF_LEGACY[G])</f>
        <v>0</v>
      </c>
      <c r="Z12" s="125">
        <f>SUBTOTAL(109,DMM_ATZ_LF_LEGACY[S])</f>
        <v>0</v>
      </c>
      <c r="AA12" s="125">
        <f>SUBTOTAL(109,DMM_ATZ_LF_LEGACY[W])</f>
        <v>0</v>
      </c>
      <c r="AB12" s="125">
        <f>SUBTOTAL(109,DMM_ATZ_LF_LEGACY[T])</f>
        <v>0</v>
      </c>
      <c r="AC12" s="125">
        <f>SUBTOTAL(109,DMM_ATZ_LF_LEGACY[X])</f>
        <v>0</v>
      </c>
      <c r="AD12" s="125">
        <f>SUBTOTAL(109,DMM_ATZ_LF_LEGACY[U])</f>
        <v>0</v>
      </c>
      <c r="AE12" s="125">
        <f>SUBTOTAL(109,DMM_ATZ_LF_LEGACY[O])</f>
        <v>0</v>
      </c>
      <c r="AF12" s="125">
        <f>SUBTOTAL(109,DMM_ATZ_LF_LEGACY[I])</f>
        <v>0</v>
      </c>
      <c r="AG12" s="125">
        <f>SUBTOTAL(109,DMM_ATZ_LF_LEGACY[E])</f>
        <v>0</v>
      </c>
      <c r="AH12" s="125">
        <f>SUBTOTAL(109,DMM_ATZ_LF_LEGACY[A])</f>
        <v>0</v>
      </c>
      <c r="AI12" s="125">
        <f>SUBTOTAL(109,DMM_ATZ_LF_LEGACY[P])</f>
        <v>0</v>
      </c>
      <c r="AJ12" s="125">
        <f>SUBTOTAL(103,DMM_ATZ_LF_LEGACY[N])</f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DMM-CAI</vt:lpstr>
      <vt:lpstr>DMM-CAI LF LEGACY</vt:lpstr>
      <vt:lpstr>DMM-ATZ</vt:lpstr>
      <vt:lpstr>DMM-ATZ LF LEGACY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2025-11-23T02:30:20Z</dcterms:created>
  <dcterms:modified xsi:type="dcterms:W3CDTF">2025-11-23T02:30:29Z</dcterms:modified>
</cp:coreProperties>
</file>