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26AF6429-8947-4143-BEA2-477D828C8F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HBE" sheetId="3" r:id="rId3"/>
    <sheet name="MED-HBE LF LEGACY" sheetId="4" r:id="rId4"/>
    <sheet name="MED-ATZ" sheetId="5" r:id="rId5"/>
    <sheet name="MED-ATZ LF LEGAC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1" i="6" l="1"/>
  <c r="E31" i="6"/>
  <c r="G31" i="6"/>
  <c r="H31" i="6"/>
  <c r="I31" i="6"/>
  <c r="J31" i="6"/>
  <c r="M31" i="6"/>
  <c r="N31" i="6"/>
  <c r="O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C33" i="4"/>
  <c r="E33" i="4"/>
  <c r="G33" i="4"/>
  <c r="H33" i="4"/>
  <c r="I33" i="4"/>
  <c r="J33" i="4"/>
  <c r="M33" i="4"/>
  <c r="N33" i="4"/>
  <c r="O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C47" i="2"/>
  <c r="E47" i="2"/>
  <c r="G47" i="2"/>
  <c r="H47" i="2"/>
  <c r="I47" i="2"/>
  <c r="J47" i="2"/>
  <c r="M47" i="2"/>
  <c r="N47" i="2"/>
  <c r="O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</calcChain>
</file>

<file path=xl/sharedStrings.xml><?xml version="1.0" encoding="utf-8"?>
<sst xmlns="http://schemas.openxmlformats.org/spreadsheetml/2006/main" count="3920" uniqueCount="252">
  <si>
    <t>COMPREHENSIVE REPORT</t>
  </si>
  <si>
    <t>MED-CAI</t>
  </si>
  <si>
    <t>FROM</t>
  </si>
  <si>
    <t>2025-12-27</t>
  </si>
  <si>
    <t>TO</t>
  </si>
  <si>
    <t>2026-03-02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</si>
  <si>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</si>
  <si>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</si>
  <si>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</si>
  <si>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</si>
  <si>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</si>
  <si>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</si>
  <si>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</si>
  <si>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</si>
  <si>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</si>
  <si>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</si>
  <si>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</si>
  <si>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</si>
  <si>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</si>
  <si>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</si>
  <si>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</si>
  <si>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</si>
  <si>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</si>
  <si>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</si>
  <si>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</si>
  <si>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</si>
  <si>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</si>
  <si>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</si>
  <si>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</si>
  <si>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SM494</t>
  </si>
  <si>
    <t>30KG + 7KG CABIN</t>
  </si>
  <si>
    <t>FULLY BOOKED</t>
  </si>
  <si>
    <t>2025-11-18 00:00:00</t>
  </si>
  <si>
    <t>CLOSED</t>
  </si>
  <si>
    <t>S1 &amp; T2 &amp; X7 &amp; U8 &amp; O9 &amp; I17 &amp; P135</t>
  </si>
  <si>
    <t>HIGH DEMAND</t>
  </si>
  <si>
    <t>2025-11-21 00:00:00</t>
  </si>
  <si>
    <t>W2</t>
  </si>
  <si>
    <t>W6 &amp; T9 &amp; X8 &amp; U8 &amp; O9 &amp; I17 &amp; P90</t>
  </si>
  <si>
    <t>SM496</t>
  </si>
  <si>
    <t>2025-11-22 00:00:00</t>
  </si>
  <si>
    <t>S5 &amp; W5 &amp; T6 &amp; X6 &amp; U6 &amp; O6 &amp; I6 &amp; E80 &amp; P45</t>
  </si>
  <si>
    <t>2025-11-20 00:00:00</t>
  </si>
  <si>
    <t>U7 &amp; O9 &amp; I17 &amp; P135</t>
  </si>
  <si>
    <t>2026-11-21 00:00:00</t>
  </si>
  <si>
    <t>S9</t>
  </si>
  <si>
    <t>S10 &amp; E45 &amp; P90</t>
  </si>
  <si>
    <t>2026-11-17 00:00:00</t>
  </si>
  <si>
    <t>S8 &amp; P160</t>
  </si>
  <si>
    <t>2026-11-22 00:00:00</t>
  </si>
  <si>
    <t>G3 &amp; S5 &amp; E45 &amp; P90 &amp; N5</t>
  </si>
  <si>
    <t>2026-11-11 00:00:00</t>
  </si>
  <si>
    <t>Q4 &amp; K2 &amp; V7 &amp; G4 &amp; S8 &amp; E40 &amp; P90</t>
  </si>
  <si>
    <t>2026-11-18 00:00:00</t>
  </si>
  <si>
    <t>S3 &amp; P180</t>
  </si>
  <si>
    <t>P180</t>
  </si>
  <si>
    <t>SEATS AVAILABLE</t>
  </si>
  <si>
    <t>2026-11-08 00:00:00</t>
  </si>
  <si>
    <t>S4 &amp; P135</t>
  </si>
  <si>
    <t>W9</t>
  </si>
  <si>
    <t>W2 &amp; P135</t>
  </si>
  <si>
    <t>S1 &amp; P135</t>
  </si>
  <si>
    <t>LOW DEMAND</t>
  </si>
  <si>
    <t>W8</t>
  </si>
  <si>
    <t>2026-11-12 00:00:00</t>
  </si>
  <si>
    <t>O9</t>
  </si>
  <si>
    <t>O5</t>
  </si>
  <si>
    <t>S1 &amp; O1</t>
  </si>
  <si>
    <t>2026-10-30 00:00:00</t>
  </si>
  <si>
    <t>W1</t>
  </si>
  <si>
    <t>2026-11-20 00:00:00</t>
  </si>
  <si>
    <t>O6</t>
  </si>
  <si>
    <t>NO BOOKINGS YET</t>
  </si>
  <si>
    <t>NIL</t>
  </si>
  <si>
    <t>O4</t>
  </si>
  <si>
    <t>O8</t>
  </si>
  <si>
    <t>O8 &amp; I1</t>
  </si>
  <si>
    <t>T1</t>
  </si>
  <si>
    <t>T7 &amp; X8 &amp; U9 &amp; O17</t>
  </si>
  <si>
    <t>U7</t>
  </si>
  <si>
    <t>S1 &amp; U2 &amp; O17</t>
  </si>
  <si>
    <t>O3</t>
  </si>
  <si>
    <t>O14 &amp; E25</t>
  </si>
  <si>
    <t>O13</t>
  </si>
  <si>
    <t>T8</t>
  </si>
  <si>
    <t>X8 &amp; U6 &amp; O20</t>
  </si>
  <si>
    <t>U9</t>
  </si>
  <si>
    <t>O17</t>
  </si>
  <si>
    <t>O7</t>
  </si>
  <si>
    <t>O10</t>
  </si>
  <si>
    <t>2026-07-08 00:00:00</t>
  </si>
  <si>
    <t>E25</t>
  </si>
  <si>
    <t>O2</t>
  </si>
  <si>
    <t>2026-09-06 00:00:00</t>
  </si>
  <si>
    <t>2026-11-19 00:00:00</t>
  </si>
  <si>
    <t>2026-10-15 00:00:00</t>
  </si>
  <si>
    <t>X9</t>
  </si>
  <si>
    <t>X1</t>
  </si>
  <si>
    <t>2026-11-15 00:00:00</t>
  </si>
  <si>
    <t>X4</t>
  </si>
  <si>
    <t>T6</t>
  </si>
  <si>
    <t>T3 &amp; X17</t>
  </si>
  <si>
    <t>E40</t>
  </si>
  <si>
    <t>2026-10-25 00:00:00</t>
  </si>
  <si>
    <t>T5</t>
  </si>
  <si>
    <t>T4 &amp; X17</t>
  </si>
  <si>
    <t>2026-11-16 00:00:00</t>
  </si>
  <si>
    <t>X7</t>
  </si>
  <si>
    <t>X10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</si>
  <si>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</si>
  <si>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</si>
  <si>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</si>
  <si>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</si>
  <si>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</si>
  <si>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</si>
  <si>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</si>
  <si>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</si>
  <si>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</si>
  <si>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</si>
  <si>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</si>
  <si>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</si>
  <si>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</si>
  <si>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</si>
  <si>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</si>
  <si>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</si>
  <si>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</si>
  <si>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</si>
  <si>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</si>
  <si>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</si>
  <si>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</si>
  <si>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</si>
  <si>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</si>
  <si>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</si>
  <si>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</si>
  <si>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</si>
  <si>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</si>
  <si>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</si>
  <si>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</si>
  <si>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</si>
  <si>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09:30</t>
  </si>
  <si>
    <t>320</t>
  </si>
  <si>
    <t>UPCOMING</t>
  </si>
  <si>
    <t>S1</t>
  </si>
  <si>
    <t>T2</t>
  </si>
  <si>
    <t>U8</t>
  </si>
  <si>
    <t>I17</t>
  </si>
  <si>
    <t>P135</t>
  </si>
  <si>
    <t>SUNDAY</t>
  </si>
  <si>
    <t>21:40</t>
  </si>
  <si>
    <t>W6</t>
  </si>
  <si>
    <t>T9</t>
  </si>
  <si>
    <t>X8</t>
  </si>
  <si>
    <t>P90</t>
  </si>
  <si>
    <t>TUESDAY</t>
  </si>
  <si>
    <t>01:10</t>
  </si>
  <si>
    <t>S5</t>
  </si>
  <si>
    <t>W5</t>
  </si>
  <si>
    <t>X6</t>
  </si>
  <si>
    <t>U6</t>
  </si>
  <si>
    <t>I6</t>
  </si>
  <si>
    <t>E80</t>
  </si>
  <si>
    <t>P45</t>
  </si>
  <si>
    <t>23:30</t>
  </si>
  <si>
    <t>THURSDAY</t>
  </si>
  <si>
    <t>12:55</t>
  </si>
  <si>
    <t>S10</t>
  </si>
  <si>
    <t>E45</t>
  </si>
  <si>
    <t>S8</t>
  </si>
  <si>
    <t>P160</t>
  </si>
  <si>
    <t>G3</t>
  </si>
  <si>
    <t>N5</t>
  </si>
  <si>
    <t>Q4</t>
  </si>
  <si>
    <t>K2</t>
  </si>
  <si>
    <t>V7</t>
  </si>
  <si>
    <t>G4</t>
  </si>
  <si>
    <t>S3</t>
  </si>
  <si>
    <t>S4</t>
  </si>
  <si>
    <t>O1</t>
  </si>
  <si>
    <t>I1</t>
  </si>
  <si>
    <t>T7</t>
  </si>
  <si>
    <t>U2</t>
  </si>
  <si>
    <t>O14</t>
  </si>
  <si>
    <t>O20</t>
  </si>
  <si>
    <t>T3</t>
  </si>
  <si>
    <t>X17</t>
  </si>
  <si>
    <t>T4</t>
  </si>
  <si>
    <t>MED-HBE</t>
  </si>
  <si>
    <t>2025-12-26</t>
  </si>
  <si>
    <t>SM486</t>
  </si>
  <si>
    <t>T4 &amp; X10 &amp; P135</t>
  </si>
  <si>
    <t>X3</t>
  </si>
  <si>
    <t>X7 &amp; E45 &amp; P90</t>
  </si>
  <si>
    <t>2025-11-15 00:00:00</t>
  </si>
  <si>
    <t>X3 &amp; U1 &amp; I11 &amp; P170</t>
  </si>
  <si>
    <t>2026-08-25 00:00:00</t>
  </si>
  <si>
    <t>2026-10-31 00:00:00</t>
  </si>
  <si>
    <t>S2 &amp; P135</t>
  </si>
  <si>
    <t>S2 &amp; P170</t>
  </si>
  <si>
    <t>I2</t>
  </si>
  <si>
    <t>O1 &amp; I6 &amp; P135</t>
  </si>
  <si>
    <t>O2 &amp; P135</t>
  </si>
  <si>
    <t>O7 &amp; P135</t>
  </si>
  <si>
    <t>O4 &amp; P135</t>
  </si>
  <si>
    <t>O6 &amp; P135</t>
  </si>
  <si>
    <t>O3 &amp; P135</t>
  </si>
  <si>
    <t>O10 &amp; P135</t>
  </si>
  <si>
    <t>O1 &amp; P135</t>
  </si>
  <si>
    <t>U1 &amp; O9</t>
  </si>
  <si>
    <t>S2 &amp; X5</t>
  </si>
  <si>
    <t>X5</t>
  </si>
  <si>
    <t>X12</t>
  </si>
  <si>
    <t>09:40</t>
  </si>
  <si>
    <t>07:50</t>
  </si>
  <si>
    <t>WEDNESDAY</t>
  </si>
  <si>
    <t>22:40</t>
  </si>
  <si>
    <t>U1</t>
  </si>
  <si>
    <t>I11</t>
  </si>
  <si>
    <t>P170</t>
  </si>
  <si>
    <t>S2</t>
  </si>
  <si>
    <t>15:30</t>
  </si>
  <si>
    <t>MED-ATZ</t>
  </si>
  <si>
    <t>2026-03-01</t>
  </si>
  <si>
    <t>SM488</t>
  </si>
  <si>
    <t>I3</t>
  </si>
  <si>
    <t>S1 &amp; I2</t>
  </si>
  <si>
    <t>I4</t>
  </si>
  <si>
    <t>I5</t>
  </si>
  <si>
    <t>S4 &amp; I4</t>
  </si>
  <si>
    <t>I7</t>
  </si>
  <si>
    <t>S2 &amp; I2 &amp; P45</t>
  </si>
  <si>
    <t>SM490</t>
  </si>
  <si>
    <t>I9</t>
  </si>
  <si>
    <t>S2 &amp; E70 &amp; P45</t>
  </si>
  <si>
    <t>S1 &amp; I3</t>
  </si>
  <si>
    <t>I2 &amp; P90</t>
  </si>
  <si>
    <t>O4 &amp; I2</t>
  </si>
  <si>
    <t>2026-09-22 00:00:00</t>
  </si>
  <si>
    <t>O1 &amp; I3</t>
  </si>
  <si>
    <t>I8</t>
  </si>
  <si>
    <t>O4 &amp; I1</t>
  </si>
  <si>
    <t>S1 &amp; O6</t>
  </si>
  <si>
    <t>2026-11-03 00:00:00</t>
  </si>
  <si>
    <t>2026-11-10 00:00:00</t>
  </si>
  <si>
    <t>S2 &amp; O4</t>
  </si>
  <si>
    <t>2026-11-13 00:00:00</t>
  </si>
  <si>
    <t>22:55</t>
  </si>
  <si>
    <t>MONDAY</t>
  </si>
  <si>
    <t>19:20</t>
  </si>
  <si>
    <t>06:40</t>
  </si>
  <si>
    <t>14:50</t>
  </si>
  <si>
    <t>E70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</si>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</sst>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365492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3" fillId="8" borderId="9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1" fontId="13" fillId="8" borderId="10" xfId="0" applyNumberFormat="1" applyFont="1" applyFill="1" applyBorder="1" applyAlignment="1">
      <alignment horizontal="center" vertical="center"/>
    </xf>
    <xf numFmtId="16" fontId="13" fillId="8" borderId="10" xfId="0" applyNumberFormat="1" applyFont="1" applyFill="1" applyBorder="1" applyAlignment="1">
      <alignment horizontal="center" vertical="center"/>
    </xf>
    <xf numFmtId="49" fontId="15" fillId="8" borderId="10" xfId="0" applyNumberFormat="1" applyFont="1" applyFill="1" applyBorder="1" applyAlignment="1">
      <alignment horizontal="center" vertical="center"/>
    </xf>
    <xf numFmtId="167" fontId="13" fillId="8" borderId="10" xfId="0" applyNumberFormat="1" applyFont="1" applyFill="1" applyBorder="1" applyAlignment="1">
      <alignment horizontal="center" vertical="center"/>
    </xf>
    <xf numFmtId="49" fontId="13" fillId="8" borderId="11" xfId="0" applyNumberFormat="1" applyFont="1" applyFill="1" applyBorder="1" applyAlignment="1">
      <alignment horizontal="center" vertical="center"/>
    </xf>
    <xf numFmtId="49" fontId="17" fillId="11" borderId="12" xfId="0" applyNumberFormat="1" applyFont="1" applyFill="1" applyBorder="1" applyAlignment="1">
      <alignment horizontal="center" vertical="center"/>
    </xf>
    <xf numFmtId="167" fontId="17" fillId="11" borderId="12" xfId="0" applyNumberFormat="1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9" xfId="0" applyNumberFormat="1" applyFont="1" applyFill="1" applyBorder="1" applyAlignment="1">
      <alignment horizontal="center" vertical="center"/>
    </xf>
    <xf numFmtId="168" fontId="14" fillId="14" borderId="10" xfId="0" applyNumberFormat="1" applyFont="1" applyFill="1" applyBorder="1" applyAlignment="1">
      <alignment horizontal="center" vertical="center"/>
    </xf>
    <xf numFmtId="1" fontId="13" fillId="14" borderId="10" xfId="0" applyNumberFormat="1" applyFont="1" applyFill="1" applyBorder="1" applyAlignment="1">
      <alignment horizontal="center" vertical="center"/>
    </xf>
    <xf numFmtId="16" fontId="13" fillId="14" borderId="10" xfId="0" applyNumberFormat="1" applyFont="1" applyFill="1" applyBorder="1" applyAlignment="1">
      <alignment horizontal="center" vertical="center"/>
    </xf>
    <xf numFmtId="49" fontId="15" fillId="14" borderId="10" xfId="0" applyNumberFormat="1" applyFont="1" applyFill="1" applyBorder="1" applyAlignment="1">
      <alignment horizontal="center" vertical="center"/>
    </xf>
    <xf numFmtId="167" fontId="13" fillId="14" borderId="10" xfId="0" applyNumberFormat="1" applyFont="1" applyFill="1" applyBorder="1" applyAlignment="1">
      <alignment horizontal="center" vertical="center"/>
    </xf>
    <xf numFmtId="49" fontId="13" fillId="14" borderId="11" xfId="0" applyNumberFormat="1" applyFont="1" applyFill="1" applyBorder="1" applyAlignment="1">
      <alignment horizontal="center" vertical="center"/>
    </xf>
    <xf numFmtId="49" fontId="17" fillId="13" borderId="12" xfId="0" applyNumberFormat="1" applyFont="1" applyFill="1" applyBorder="1" applyAlignment="1">
      <alignment horizontal="center" vertical="center"/>
    </xf>
    <xf numFmtId="167" fontId="17" fillId="13" borderId="12" xfId="0" applyNumberFormat="1" applyFont="1" applyFill="1" applyBorder="1" applyAlignment="1">
      <alignment horizontal="center" vertical="center"/>
    </xf>
    <xf numFmtId="0" fontId="17" fillId="13" borderId="12" xfId="0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168" fontId="13" fillId="13" borderId="6" xfId="0" applyNumberFormat="1" applyFont="1" applyFill="1" applyBorder="1" applyAlignment="1">
      <alignment horizontal="center" vertical="center"/>
    </xf>
    <xf numFmtId="168" fontId="13" fillId="12" borderId="6" xfId="0" applyNumberFormat="1" applyFont="1" applyFill="1" applyBorder="1" applyAlignment="1">
      <alignment horizontal="center" vertical="center"/>
    </xf>
    <xf numFmtId="49" fontId="13" fillId="11" borderId="9" xfId="0" applyNumberFormat="1" applyFont="1" applyFill="1" applyBorder="1" applyAlignment="1">
      <alignment horizontal="center" vertical="center"/>
    </xf>
    <xf numFmtId="168" fontId="13" fillId="11" borderId="10" xfId="0" applyNumberFormat="1" applyFont="1" applyFill="1" applyBorder="1" applyAlignment="1">
      <alignment horizontal="center" vertical="center"/>
    </xf>
    <xf numFmtId="1" fontId="13" fillId="11" borderId="10" xfId="0" applyNumberFormat="1" applyFont="1" applyFill="1" applyBorder="1" applyAlignment="1">
      <alignment horizontal="center" vertical="center"/>
    </xf>
    <xf numFmtId="16" fontId="13" fillId="11" borderId="10" xfId="0" applyNumberFormat="1" applyFont="1" applyFill="1" applyBorder="1" applyAlignment="1">
      <alignment horizontal="center" vertical="center"/>
    </xf>
    <xf numFmtId="49" fontId="15" fillId="11" borderId="10" xfId="0" applyNumberFormat="1" applyFont="1" applyFill="1" applyBorder="1" applyAlignment="1">
      <alignment horizontal="center" vertical="center"/>
    </xf>
    <xf numFmtId="167" fontId="13" fillId="11" borderId="10" xfId="0" applyNumberFormat="1" applyFont="1" applyFill="1" applyBorder="1" applyAlignment="1">
      <alignment horizontal="center" vertical="center"/>
    </xf>
    <xf numFmtId="49" fontId="13" fillId="11" borderId="11" xfId="0" applyNumberFormat="1" applyFont="1" applyFill="1" applyBorder="1" applyAlignment="1">
      <alignment horizontal="center" vertical="center"/>
    </xf>
    <xf numFmtId="49" fontId="17" fillId="15" borderId="12" xfId="0" applyNumberFormat="1" applyFont="1" applyFill="1" applyBorder="1" applyAlignment="1">
      <alignment horizontal="center" vertical="center"/>
    </xf>
    <xf numFmtId="167" fontId="17" fillId="15" borderId="12" xfId="0" applyNumberFormat="1" applyFont="1" applyFill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168" fontId="13" fillId="15" borderId="6" xfId="0" applyNumberFormat="1" applyFont="1" applyFill="1" applyBorder="1" applyAlignment="1">
      <alignment horizontal="center" vertical="center"/>
    </xf>
    <xf numFmtId="168" fontId="18" fillId="11" borderId="6" xfId="0" applyNumberFormat="1" applyFont="1" applyFill="1" applyBorder="1" applyAlignment="1">
      <alignment horizontal="center" vertical="center"/>
    </xf>
    <xf numFmtId="49" fontId="13" fillId="10" borderId="9" xfId="0" applyNumberFormat="1" applyFont="1" applyFill="1" applyBorder="1" applyAlignment="1">
      <alignment horizontal="center" vertical="center"/>
    </xf>
    <xf numFmtId="168" fontId="18" fillId="10" borderId="10" xfId="0" applyNumberFormat="1" applyFont="1" applyFill="1" applyBorder="1" applyAlignment="1">
      <alignment horizontal="center" vertical="center"/>
    </xf>
    <xf numFmtId="1" fontId="13" fillId="10" borderId="10" xfId="0" applyNumberFormat="1" applyFont="1" applyFill="1" applyBorder="1" applyAlignment="1">
      <alignment horizontal="center" vertical="center"/>
    </xf>
    <xf numFmtId="16" fontId="13" fillId="10" borderId="10" xfId="0" applyNumberFormat="1" applyFont="1" applyFill="1" applyBorder="1" applyAlignment="1">
      <alignment horizontal="center" vertical="center"/>
    </xf>
    <xf numFmtId="49" fontId="15" fillId="10" borderId="10" xfId="0" applyNumberFormat="1" applyFont="1" applyFill="1" applyBorder="1" applyAlignment="1">
      <alignment horizontal="center" vertical="center"/>
    </xf>
    <xf numFmtId="167" fontId="13" fillId="10" borderId="10" xfId="0" applyNumberFormat="1" applyFont="1" applyFill="1" applyBorder="1" applyAlignment="1">
      <alignment horizontal="center" vertical="center"/>
    </xf>
    <xf numFmtId="49" fontId="13" fillId="10" borderId="11" xfId="0" applyNumberFormat="1" applyFont="1" applyFill="1" applyBorder="1" applyAlignment="1">
      <alignment horizontal="center" vertical="center"/>
    </xf>
    <xf numFmtId="168" fontId="18" fillId="13" borderId="6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8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168" fontId="18" fillId="10" borderId="6" xfId="0" applyNumberFormat="1" applyFont="1" applyFill="1" applyBorder="1" applyAlignment="1">
      <alignment horizontal="center" vertical="center"/>
    </xf>
    <xf numFmtId="49" fontId="13" fillId="15" borderId="9" xfId="0" applyNumberFormat="1" applyFont="1" applyFill="1" applyBorder="1" applyAlignment="1">
      <alignment horizontal="center" vertical="center"/>
    </xf>
    <xf numFmtId="168" fontId="18" fillId="15" borderId="10" xfId="0" applyNumberFormat="1" applyFont="1" applyFill="1" applyBorder="1" applyAlignment="1">
      <alignment horizontal="center" vertical="center"/>
    </xf>
    <xf numFmtId="1" fontId="13" fillId="15" borderId="10" xfId="0" applyNumberFormat="1" applyFont="1" applyFill="1" applyBorder="1" applyAlignment="1">
      <alignment horizontal="center" vertical="center"/>
    </xf>
    <xf numFmtId="16" fontId="13" fillId="15" borderId="10" xfId="0" applyNumberFormat="1" applyFont="1" applyFill="1" applyBorder="1" applyAlignment="1">
      <alignment horizontal="center" vertical="center"/>
    </xf>
    <xf numFmtId="49" fontId="15" fillId="15" borderId="10" xfId="0" applyNumberFormat="1" applyFont="1" applyFill="1" applyBorder="1" applyAlignment="1">
      <alignment horizontal="center" vertical="center"/>
    </xf>
    <xf numFmtId="167" fontId="13" fillId="15" borderId="10" xfId="0" applyNumberFormat="1" applyFont="1" applyFill="1" applyBorder="1" applyAlignment="1">
      <alignment horizontal="center" vertical="center"/>
    </xf>
    <xf numFmtId="49" fontId="13" fillId="15" borderId="11" xfId="0" applyNumberFormat="1" applyFont="1" applyFill="1" applyBorder="1" applyAlignment="1">
      <alignment horizontal="center" vertical="center"/>
    </xf>
    <xf numFmtId="49" fontId="17" fillId="8" borderId="12" xfId="0" applyNumberFormat="1" applyFont="1" applyFill="1" applyBorder="1" applyAlignment="1">
      <alignment horizontal="center" vertical="center"/>
    </xf>
    <xf numFmtId="167" fontId="17" fillId="8" borderId="12" xfId="0" applyNumberFormat="1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/>
    </xf>
    <xf numFmtId="168" fontId="18" fillId="8" borderId="6" xfId="0" applyNumberFormat="1" applyFont="1" applyFill="1" applyBorder="1" applyAlignment="1">
      <alignment horizontal="center" vertical="center"/>
    </xf>
    <xf numFmtId="168" fontId="18" fillId="12" borderId="6" xfId="0" applyNumberFormat="1" applyFont="1" applyFill="1" applyBorder="1" applyAlignment="1">
      <alignment horizontal="center" vertical="center"/>
    </xf>
    <xf numFmtId="49" fontId="13" fillId="13" borderId="9" xfId="0" applyNumberFormat="1" applyFont="1" applyFill="1" applyBorder="1" applyAlignment="1">
      <alignment horizontal="center" vertical="center"/>
    </xf>
    <xf numFmtId="168" fontId="18" fillId="13" borderId="10" xfId="0" applyNumberFormat="1" applyFont="1" applyFill="1" applyBorder="1" applyAlignment="1">
      <alignment horizontal="center" vertical="center"/>
    </xf>
    <xf numFmtId="1" fontId="13" fillId="13" borderId="10" xfId="0" applyNumberFormat="1" applyFont="1" applyFill="1" applyBorder="1" applyAlignment="1">
      <alignment horizontal="center" vertical="center"/>
    </xf>
    <xf numFmtId="16" fontId="13" fillId="13" borderId="10" xfId="0" applyNumberFormat="1" applyFont="1" applyFill="1" applyBorder="1" applyAlignment="1">
      <alignment horizontal="center" vertical="center"/>
    </xf>
    <xf numFmtId="49" fontId="15" fillId="13" borderId="10" xfId="0" applyNumberFormat="1" applyFont="1" applyFill="1" applyBorder="1" applyAlignment="1">
      <alignment horizontal="center" vertical="center"/>
    </xf>
    <xf numFmtId="167" fontId="13" fillId="13" borderId="10" xfId="0" applyNumberFormat="1" applyFont="1" applyFill="1" applyBorder="1" applyAlignment="1">
      <alignment horizontal="center" vertical="center"/>
    </xf>
    <xf numFmtId="49" fontId="13" fillId="13" borderId="11" xfId="0" applyNumberFormat="1" applyFont="1" applyFill="1" applyBorder="1" applyAlignment="1">
      <alignment horizontal="center" vertical="center"/>
    </xf>
    <xf numFmtId="49" fontId="17" fillId="16" borderId="12" xfId="0" applyNumberFormat="1" applyFont="1" applyFill="1" applyBorder="1" applyAlignment="1">
      <alignment horizontal="center" vertical="center"/>
    </xf>
    <xf numFmtId="167" fontId="17" fillId="16" borderId="12" xfId="0" applyNumberFormat="1" applyFont="1" applyFill="1" applyBorder="1" applyAlignment="1">
      <alignment horizontal="center" vertical="center"/>
    </xf>
    <xf numFmtId="0" fontId="17" fillId="16" borderId="1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8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7" fillId="10" borderId="12" xfId="0" applyNumberFormat="1" applyFont="1" applyFill="1" applyBorder="1" applyAlignment="1">
      <alignment horizontal="center" vertical="center"/>
    </xf>
    <xf numFmtId="167" fontId="17" fillId="10" borderId="12" xfId="0" applyNumberFormat="1" applyFont="1" applyFill="1" applyBorder="1" applyAlignment="1">
      <alignment horizontal="center" vertical="center"/>
    </xf>
    <xf numFmtId="0" fontId="17" fillId="10" borderId="12" xfId="0" applyFont="1" applyFill="1" applyBorder="1" applyAlignment="1">
      <alignment horizontal="center" vertical="center"/>
    </xf>
    <xf numFmtId="49" fontId="13" fillId="12" borderId="9" xfId="0" applyNumberFormat="1" applyFont="1" applyFill="1" applyBorder="1" applyAlignment="1">
      <alignment horizontal="center" vertical="center"/>
    </xf>
    <xf numFmtId="168" fontId="18" fillId="12" borderId="10" xfId="0" applyNumberFormat="1" applyFont="1" applyFill="1" applyBorder="1" applyAlignment="1">
      <alignment horizontal="center" vertical="center"/>
    </xf>
    <xf numFmtId="1" fontId="13" fillId="12" borderId="10" xfId="0" applyNumberFormat="1" applyFont="1" applyFill="1" applyBorder="1" applyAlignment="1">
      <alignment horizontal="center" vertical="center"/>
    </xf>
    <xf numFmtId="16" fontId="13" fillId="12" borderId="10" xfId="0" applyNumberFormat="1" applyFont="1" applyFill="1" applyBorder="1" applyAlignment="1">
      <alignment horizontal="center" vertical="center"/>
    </xf>
    <xf numFmtId="49" fontId="15" fillId="12" borderId="10" xfId="0" applyNumberFormat="1" applyFont="1" applyFill="1" applyBorder="1" applyAlignment="1">
      <alignment horizontal="center" vertical="center"/>
    </xf>
    <xf numFmtId="167" fontId="13" fillId="12" borderId="10" xfId="0" applyNumberFormat="1" applyFont="1" applyFill="1" applyBorder="1" applyAlignment="1">
      <alignment horizontal="center" vertical="center"/>
    </xf>
    <xf numFmtId="49" fontId="13" fillId="12" borderId="11" xfId="0" applyNumberFormat="1" applyFont="1" applyFill="1" applyBorder="1" applyAlignment="1">
      <alignment horizontal="center" vertical="center"/>
    </xf>
    <xf numFmtId="168" fontId="18" fillId="15" borderId="6" xfId="0" applyNumberFormat="1" applyFont="1" applyFill="1" applyBorder="1" applyAlignment="1">
      <alignment horizontal="center" vertical="center"/>
    </xf>
    <xf numFmtId="168" fontId="13" fillId="11" borderId="6" xfId="0" applyNumberFormat="1" applyFont="1" applyFill="1" applyBorder="1" applyAlignment="1">
      <alignment horizontal="center" vertical="center"/>
    </xf>
    <xf numFmtId="168" fontId="13" fillId="8" borderId="6" xfId="0" applyNumberFormat="1" applyFont="1" applyFill="1" applyBorder="1" applyAlignment="1">
      <alignment horizontal="center" vertical="center"/>
    </xf>
    <xf numFmtId="168" fontId="14" fillId="16" borderId="6" xfId="0" applyNumberFormat="1" applyFont="1" applyFill="1" applyBorder="1" applyAlignment="1">
      <alignment horizontal="center" vertical="center"/>
    </xf>
    <xf numFmtId="168" fontId="13" fillId="10" borderId="6" xfId="0" applyNumberFormat="1" applyFont="1" applyFill="1" applyBorder="1" applyAlignment="1">
      <alignment horizontal="center" vertical="center"/>
    </xf>
    <xf numFmtId="168" fontId="13" fillId="16" borderId="6" xfId="0" applyNumberFormat="1" applyFont="1" applyFill="1" applyBorder="1" applyAlignment="1">
      <alignment horizontal="center" vertical="center"/>
    </xf>
    <xf numFmtId="168" fontId="13" fillId="14" borderId="6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0" fontId="0" fillId="0" borderId="4" xfId="0" applyBorder="1"/>
    <xf numFmtId="0" fontId="16" fillId="9" borderId="8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2" fillId="0" borderId="4" xfId="0" applyFont="1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49" fontId="6" fillId="4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6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169" fontId="19" fillId="0" borderId="0" xfId="0" applyNumberFormat="1" applyFont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8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" fontId="19" fillId="0" borderId="0" xfId="0" applyNumberFormat="1" applyFont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15" fontId="20" fillId="17" borderId="0" xfId="0" applyNumberFormat="1" applyFont="1" applyFill="1" applyAlignment="1">
      <alignment horizontal="center" vertical="center"/>
    </xf>
    <xf numFmtId="168" fontId="20" fillId="17" borderId="0" xfId="0" applyNumberFormat="1" applyFont="1" applyFill="1" applyAlignment="1">
      <alignment horizontal="center" vertical="center"/>
    </xf>
    <xf numFmtId="1" fontId="20" fillId="17" borderId="0" xfId="0" applyNumberFormat="1" applyFont="1" applyFill="1" applyAlignment="1">
      <alignment horizontal="center" vertical="center"/>
    </xf>
    <xf numFmtId="0" fontId="20" fillId="17" borderId="0" xfId="0" applyNumberFormat="1" applyFont="1" applyFill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  <xf numFmtId="0" fontId="16" fillId="9" borderId="19" xfId="0" applyFont="1" applyFill="1" applyBorder="1" applyAlignment="1">
      <alignment horizontal="center" vertical="center"/>
    </xf>
    <xf numFmtId="0" fontId="16" fillId="9" borderId="20" xfId="0" applyFont="1" applyFill="1" applyBorder="1" applyAlignment="1">
      <alignment horizontal="center" vertical="center"/>
    </xf>
  </cellXfs>
  <cellStyles count="1">
    <cellStyle name="Normal" xfId="0" builtinId="0"/>
  </cellStyles>
  <dxfs count="22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_CAI_LF_LEGACY" displayName="MED_CAI_LF_LEGACY" ref="A1:AJ47" totalsRowCount="1" headerRowDxfId="224" dataDxfId="187" totalsRowDxfId="150">
  <tableColumns count="36">
    <tableColumn id="1" xr3:uid="{00000000-0010-0000-0000-000001000000}" name="Day" totalsRowLabel="TOTAL" dataDxfId="223" totalsRowDxfId="186"/>
    <tableColumn id="2" xr3:uid="{00000000-0010-0000-0000-000002000000}" name="Flt Dt" dataDxfId="222" totalsRowDxfId="185"/>
    <tableColumn id="3" xr3:uid="{00000000-0010-0000-0000-000003000000}" name="Flt" totalsRowFunction="count" dataDxfId="221" totalsRowDxfId="184"/>
    <tableColumn id="4" xr3:uid="{00000000-0010-0000-0000-000004000000}" name="DEP" dataDxfId="220" totalsRowDxfId="183"/>
    <tableColumn id="5" xr3:uid="{00000000-0010-0000-0000-000005000000}" name="Brd-Off" totalsRowFunction="count" dataDxfId="219" totalsRowDxfId="182"/>
    <tableColumn id="6" xr3:uid="{00000000-0010-0000-0000-000006000000}" name="Eqp" dataDxfId="218" totalsRowDxfId="181"/>
    <tableColumn id="7" xr3:uid="{00000000-0010-0000-0000-000007000000}" name="LF%" totalsRowFunction="average" dataDxfId="217" totalsRowDxfId="180"/>
    <tableColumn id="8" xr3:uid="{00000000-0010-0000-0000-000008000000}" name="CAP" totalsRowFunction="sum" dataDxfId="216" totalsRowDxfId="179"/>
    <tableColumn id="9" xr3:uid="{00000000-0010-0000-0000-000009000000}" name="BKG(Y)" totalsRowFunction="sum" dataDxfId="215" totalsRowDxfId="178"/>
    <tableColumn id="10" xr3:uid="{00000000-0010-0000-0000-00000A000000}" name="GRP(Y)" totalsRowFunction="sum" dataDxfId="214" totalsRowDxfId="177"/>
    <tableColumn id="11" xr3:uid="{00000000-0010-0000-0000-00000B000000}" name="FLT ST" dataDxfId="213" totalsRowDxfId="176"/>
    <tableColumn id="12" xr3:uid="{00000000-0010-0000-0000-00000C000000}" name="LST-SOLD" dataDxfId="212" totalsRowDxfId="175"/>
    <tableColumn id="13" xr3:uid="{00000000-0010-0000-0000-00000D000000}" name="TO-DAY" totalsRowFunction="sum" dataDxfId="211" totalsRowDxfId="174"/>
    <tableColumn id="14" xr3:uid="{00000000-0010-0000-0000-00000E000000}" name="Y-DAY" totalsRowFunction="sum" dataDxfId="210" totalsRowDxfId="173"/>
    <tableColumn id="15" xr3:uid="{00000000-0010-0000-0000-00000F000000}" name="WEEKLY" totalsRowFunction="sum" dataDxfId="209" totalsRowDxfId="172"/>
    <tableColumn id="16" xr3:uid="{00000000-0010-0000-0000-000010000000}" name="LOWEST AVAIL" dataDxfId="208" totalsRowDxfId="171"/>
    <tableColumn id="17" xr3:uid="{00000000-0010-0000-0000-000011000000}" name="Y" totalsRowFunction="sum" dataDxfId="207" totalsRowDxfId="170"/>
    <tableColumn id="18" xr3:uid="{00000000-0010-0000-0000-000012000000}" name="B" totalsRowFunction="sum" dataDxfId="206" totalsRowDxfId="169"/>
    <tableColumn id="19" xr3:uid="{00000000-0010-0000-0000-000013000000}" name="M" totalsRowFunction="sum" dataDxfId="205" totalsRowDxfId="168"/>
    <tableColumn id="20" xr3:uid="{00000000-0010-0000-0000-000014000000}" name="H" totalsRowFunction="sum" dataDxfId="204" totalsRowDxfId="167"/>
    <tableColumn id="21" xr3:uid="{00000000-0010-0000-0000-000015000000}" name="Q" totalsRowFunction="sum" dataDxfId="203" totalsRowDxfId="166"/>
    <tableColumn id="22" xr3:uid="{00000000-0010-0000-0000-000016000000}" name="K" totalsRowFunction="sum" dataDxfId="202" totalsRowDxfId="165"/>
    <tableColumn id="23" xr3:uid="{00000000-0010-0000-0000-000017000000}" name="V" totalsRowFunction="sum" dataDxfId="201" totalsRowDxfId="164"/>
    <tableColumn id="24" xr3:uid="{00000000-0010-0000-0000-000018000000}" name="L" totalsRowFunction="sum" dataDxfId="200" totalsRowDxfId="163"/>
    <tableColumn id="25" xr3:uid="{00000000-0010-0000-0000-000019000000}" name="G" totalsRowFunction="sum" dataDxfId="199" totalsRowDxfId="162"/>
    <tableColumn id="26" xr3:uid="{00000000-0010-0000-0000-00001A000000}" name="S" totalsRowFunction="sum" dataDxfId="198" totalsRowDxfId="161"/>
    <tableColumn id="27" xr3:uid="{00000000-0010-0000-0000-00001B000000}" name="W" totalsRowFunction="sum" dataDxfId="197" totalsRowDxfId="160"/>
    <tableColumn id="28" xr3:uid="{00000000-0010-0000-0000-00001C000000}" name="T" totalsRowFunction="sum" dataDxfId="196" totalsRowDxfId="159"/>
    <tableColumn id="29" xr3:uid="{00000000-0010-0000-0000-00001D000000}" name="X" totalsRowFunction="sum" dataDxfId="195" totalsRowDxfId="158"/>
    <tableColumn id="30" xr3:uid="{00000000-0010-0000-0000-00001E000000}" name="U" totalsRowFunction="sum" dataDxfId="194" totalsRowDxfId="157"/>
    <tableColumn id="31" xr3:uid="{00000000-0010-0000-0000-00001F000000}" name="O" totalsRowFunction="sum" dataDxfId="193" totalsRowDxfId="156"/>
    <tableColumn id="32" xr3:uid="{00000000-0010-0000-0000-000020000000}" name="I" totalsRowFunction="sum" dataDxfId="192" totalsRowDxfId="155"/>
    <tableColumn id="33" xr3:uid="{00000000-0010-0000-0000-000021000000}" name="E" totalsRowFunction="sum" dataDxfId="191" totalsRowDxfId="154"/>
    <tableColumn id="34" xr3:uid="{00000000-0010-0000-0000-000022000000}" name="A" totalsRowFunction="sum" dataDxfId="190" totalsRowDxfId="153"/>
    <tableColumn id="35" xr3:uid="{00000000-0010-0000-0000-000023000000}" name="P" totalsRowFunction="sum" dataDxfId="189" totalsRowDxfId="152"/>
    <tableColumn id="36" xr3:uid="{00000000-0010-0000-0000-000024000000}" name="N" totalsRowFunction="count" dataDxfId="188" totalsRow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D_HBE_LF_LEGACY" displayName="MED_HBE_LF_LEGACY" ref="A1:AJ33" totalsRowCount="1" headerRowDxfId="149" dataDxfId="112" totalsRowDxfId="75">
  <tableColumns count="36">
    <tableColumn id="1" xr3:uid="{00000000-0010-0000-0100-000001000000}" name="Day" totalsRowLabel="TOTAL" dataDxfId="148" totalsRowDxfId="111"/>
    <tableColumn id="2" xr3:uid="{00000000-0010-0000-0100-000002000000}" name="Flt Dt" dataDxfId="147" totalsRowDxfId="110"/>
    <tableColumn id="3" xr3:uid="{00000000-0010-0000-0100-000003000000}" name="Flt" totalsRowFunction="count" dataDxfId="146" totalsRowDxfId="109"/>
    <tableColumn id="4" xr3:uid="{00000000-0010-0000-0100-000004000000}" name="DEP" dataDxfId="145" totalsRowDxfId="108"/>
    <tableColumn id="5" xr3:uid="{00000000-0010-0000-0100-000005000000}" name="Brd-Off" totalsRowFunction="count" dataDxfId="144" totalsRowDxfId="107"/>
    <tableColumn id="6" xr3:uid="{00000000-0010-0000-0100-000006000000}" name="Eqp" dataDxfId="143" totalsRowDxfId="106"/>
    <tableColumn id="7" xr3:uid="{00000000-0010-0000-0100-000007000000}" name="LF%" totalsRowFunction="average" dataDxfId="142" totalsRowDxfId="105"/>
    <tableColumn id="8" xr3:uid="{00000000-0010-0000-0100-000008000000}" name="CAP" totalsRowFunction="sum" dataDxfId="141" totalsRowDxfId="104"/>
    <tableColumn id="9" xr3:uid="{00000000-0010-0000-0100-000009000000}" name="BKG(Y)" totalsRowFunction="sum" dataDxfId="140" totalsRowDxfId="103"/>
    <tableColumn id="10" xr3:uid="{00000000-0010-0000-0100-00000A000000}" name="GRP(Y)" totalsRowFunction="sum" dataDxfId="139" totalsRowDxfId="102"/>
    <tableColumn id="11" xr3:uid="{00000000-0010-0000-0100-00000B000000}" name="FLT ST" dataDxfId="138" totalsRowDxfId="101"/>
    <tableColumn id="12" xr3:uid="{00000000-0010-0000-0100-00000C000000}" name="LST-SOLD" dataDxfId="137" totalsRowDxfId="100"/>
    <tableColumn id="13" xr3:uid="{00000000-0010-0000-0100-00000D000000}" name="TO-DAY" totalsRowFunction="sum" dataDxfId="136" totalsRowDxfId="99"/>
    <tableColumn id="14" xr3:uid="{00000000-0010-0000-0100-00000E000000}" name="Y-DAY" totalsRowFunction="sum" dataDxfId="135" totalsRowDxfId="98"/>
    <tableColumn id="15" xr3:uid="{00000000-0010-0000-0100-00000F000000}" name="WEEKLY" totalsRowFunction="sum" dataDxfId="134" totalsRowDxfId="97"/>
    <tableColumn id="16" xr3:uid="{00000000-0010-0000-0100-000010000000}" name="LOWEST AVAIL" dataDxfId="133" totalsRowDxfId="96"/>
    <tableColumn id="17" xr3:uid="{00000000-0010-0000-0100-000011000000}" name="Y" totalsRowFunction="sum" dataDxfId="132" totalsRowDxfId="95"/>
    <tableColumn id="18" xr3:uid="{00000000-0010-0000-0100-000012000000}" name="B" totalsRowFunction="sum" dataDxfId="131" totalsRowDxfId="94"/>
    <tableColumn id="19" xr3:uid="{00000000-0010-0000-0100-000013000000}" name="M" totalsRowFunction="sum" dataDxfId="130" totalsRowDxfId="93"/>
    <tableColumn id="20" xr3:uid="{00000000-0010-0000-0100-000014000000}" name="H" totalsRowFunction="sum" dataDxfId="129" totalsRowDxfId="92"/>
    <tableColumn id="21" xr3:uid="{00000000-0010-0000-0100-000015000000}" name="Q" totalsRowFunction="sum" dataDxfId="128" totalsRowDxfId="91"/>
    <tableColumn id="22" xr3:uid="{00000000-0010-0000-0100-000016000000}" name="K" totalsRowFunction="sum" dataDxfId="127" totalsRowDxfId="90"/>
    <tableColumn id="23" xr3:uid="{00000000-0010-0000-0100-000017000000}" name="V" totalsRowFunction="sum" dataDxfId="126" totalsRowDxfId="89"/>
    <tableColumn id="24" xr3:uid="{00000000-0010-0000-0100-000018000000}" name="L" totalsRowFunction="sum" dataDxfId="125" totalsRowDxfId="88"/>
    <tableColumn id="25" xr3:uid="{00000000-0010-0000-0100-000019000000}" name="G" totalsRowFunction="sum" dataDxfId="124" totalsRowDxfId="87"/>
    <tableColumn id="26" xr3:uid="{00000000-0010-0000-0100-00001A000000}" name="S" totalsRowFunction="sum" dataDxfId="123" totalsRowDxfId="86"/>
    <tableColumn id="27" xr3:uid="{00000000-0010-0000-0100-00001B000000}" name="W" totalsRowFunction="sum" dataDxfId="122" totalsRowDxfId="85"/>
    <tableColumn id="28" xr3:uid="{00000000-0010-0000-0100-00001C000000}" name="T" totalsRowFunction="sum" dataDxfId="121" totalsRowDxfId="84"/>
    <tableColumn id="29" xr3:uid="{00000000-0010-0000-0100-00001D000000}" name="X" totalsRowFunction="sum" dataDxfId="120" totalsRowDxfId="83"/>
    <tableColumn id="30" xr3:uid="{00000000-0010-0000-0100-00001E000000}" name="U" totalsRowFunction="sum" dataDxfId="119" totalsRowDxfId="82"/>
    <tableColumn id="31" xr3:uid="{00000000-0010-0000-0100-00001F000000}" name="O" totalsRowFunction="sum" dataDxfId="118" totalsRowDxfId="81"/>
    <tableColumn id="32" xr3:uid="{00000000-0010-0000-0100-000020000000}" name="I" totalsRowFunction="sum" dataDxfId="117" totalsRowDxfId="80"/>
    <tableColumn id="33" xr3:uid="{00000000-0010-0000-0100-000021000000}" name="E" totalsRowFunction="sum" dataDxfId="116" totalsRowDxfId="79"/>
    <tableColumn id="34" xr3:uid="{00000000-0010-0000-0100-000022000000}" name="A" totalsRowFunction="sum" dataDxfId="115" totalsRowDxfId="78"/>
    <tableColumn id="35" xr3:uid="{00000000-0010-0000-0100-000023000000}" name="P" totalsRowFunction="sum" dataDxfId="114" totalsRowDxfId="77"/>
    <tableColumn id="36" xr3:uid="{00000000-0010-0000-0100-000024000000}" name="N" totalsRowFunction="count" dataDxfId="113" totalsRowDxfId="7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D_ATZ_LF_LEGACY" displayName="MED_ATZ_LF_LEGACY" ref="A1:AJ31" totalsRowCount="1" headerRowDxfId="74" dataDxfId="37" totalsRowDxfId="0">
  <tableColumns count="36">
    <tableColumn id="1" xr3:uid="{00000000-0010-0000-0200-000001000000}" name="Day" totalsRowLabel="TOTAL" dataDxfId="73" totalsRowDxfId="36"/>
    <tableColumn id="2" xr3:uid="{00000000-0010-0000-0200-000002000000}" name="Flt Dt" dataDxfId="72" totalsRowDxfId="35"/>
    <tableColumn id="3" xr3:uid="{00000000-0010-0000-0200-000003000000}" name="Flt" totalsRowFunction="count" dataDxfId="71" totalsRowDxfId="34"/>
    <tableColumn id="4" xr3:uid="{00000000-0010-0000-0200-000004000000}" name="DEP" dataDxfId="70" totalsRowDxfId="33"/>
    <tableColumn id="5" xr3:uid="{00000000-0010-0000-0200-000005000000}" name="Brd-Off" totalsRowFunction="count" dataDxfId="69" totalsRowDxfId="32"/>
    <tableColumn id="6" xr3:uid="{00000000-0010-0000-0200-000006000000}" name="Eqp" dataDxfId="68" totalsRowDxfId="31"/>
    <tableColumn id="7" xr3:uid="{00000000-0010-0000-0200-000007000000}" name="LF%" totalsRowFunction="average" dataDxfId="67" totalsRowDxfId="30"/>
    <tableColumn id="8" xr3:uid="{00000000-0010-0000-0200-000008000000}" name="CAP" totalsRowFunction="sum" dataDxfId="66" totalsRowDxfId="29"/>
    <tableColumn id="9" xr3:uid="{00000000-0010-0000-0200-000009000000}" name="BKG(Y)" totalsRowFunction="sum" dataDxfId="65" totalsRowDxfId="28"/>
    <tableColumn id="10" xr3:uid="{00000000-0010-0000-0200-00000A000000}" name="GRP(Y)" totalsRowFunction="sum" dataDxfId="64" totalsRowDxfId="27"/>
    <tableColumn id="11" xr3:uid="{00000000-0010-0000-0200-00000B000000}" name="FLT ST" dataDxfId="63" totalsRowDxfId="26"/>
    <tableColumn id="12" xr3:uid="{00000000-0010-0000-0200-00000C000000}" name="LST-SOLD" dataDxfId="62" totalsRowDxfId="25"/>
    <tableColumn id="13" xr3:uid="{00000000-0010-0000-0200-00000D000000}" name="TO-DAY" totalsRowFunction="sum" dataDxfId="61" totalsRowDxfId="24"/>
    <tableColumn id="14" xr3:uid="{00000000-0010-0000-0200-00000E000000}" name="Y-DAY" totalsRowFunction="sum" dataDxfId="60" totalsRowDxfId="23"/>
    <tableColumn id="15" xr3:uid="{00000000-0010-0000-0200-00000F000000}" name="WEEKLY" totalsRowFunction="sum" dataDxfId="59" totalsRowDxfId="22"/>
    <tableColumn id="16" xr3:uid="{00000000-0010-0000-0200-000010000000}" name="LOWEST AVAIL" dataDxfId="58" totalsRowDxfId="21"/>
    <tableColumn id="17" xr3:uid="{00000000-0010-0000-0200-000011000000}" name="Y" totalsRowFunction="sum" dataDxfId="57" totalsRowDxfId="20"/>
    <tableColumn id="18" xr3:uid="{00000000-0010-0000-0200-000012000000}" name="B" totalsRowFunction="sum" dataDxfId="56" totalsRowDxfId="19"/>
    <tableColumn id="19" xr3:uid="{00000000-0010-0000-0200-000013000000}" name="M" totalsRowFunction="sum" dataDxfId="55" totalsRowDxfId="18"/>
    <tableColumn id="20" xr3:uid="{00000000-0010-0000-0200-000014000000}" name="H" totalsRowFunction="sum" dataDxfId="54" totalsRowDxfId="17"/>
    <tableColumn id="21" xr3:uid="{00000000-0010-0000-0200-000015000000}" name="Q" totalsRowFunction="sum" dataDxfId="53" totalsRowDxfId="16"/>
    <tableColumn id="22" xr3:uid="{00000000-0010-0000-0200-000016000000}" name="K" totalsRowFunction="sum" dataDxfId="52" totalsRowDxfId="15"/>
    <tableColumn id="23" xr3:uid="{00000000-0010-0000-0200-000017000000}" name="V" totalsRowFunction="sum" dataDxfId="51" totalsRowDxfId="14"/>
    <tableColumn id="24" xr3:uid="{00000000-0010-0000-0200-000018000000}" name="L" totalsRowFunction="sum" dataDxfId="50" totalsRowDxfId="13"/>
    <tableColumn id="25" xr3:uid="{00000000-0010-0000-0200-000019000000}" name="G" totalsRowFunction="sum" dataDxfId="49" totalsRowDxfId="12"/>
    <tableColumn id="26" xr3:uid="{00000000-0010-0000-0200-00001A000000}" name="S" totalsRowFunction="sum" dataDxfId="48" totalsRowDxfId="11"/>
    <tableColumn id="27" xr3:uid="{00000000-0010-0000-0200-00001B000000}" name="W" totalsRowFunction="sum" dataDxfId="47" totalsRowDxfId="10"/>
    <tableColumn id="28" xr3:uid="{00000000-0010-0000-0200-00001C000000}" name="T" totalsRowFunction="sum" dataDxfId="46" totalsRowDxfId="9"/>
    <tableColumn id="29" xr3:uid="{00000000-0010-0000-0200-00001D000000}" name="X" totalsRowFunction="sum" dataDxfId="45" totalsRowDxfId="8"/>
    <tableColumn id="30" xr3:uid="{00000000-0010-0000-0200-00001E000000}" name="U" totalsRowFunction="sum" dataDxfId="44" totalsRowDxfId="7"/>
    <tableColumn id="31" xr3:uid="{00000000-0010-0000-0200-00001F000000}" name="O" totalsRowFunction="sum" dataDxfId="43" totalsRowDxfId="6"/>
    <tableColumn id="32" xr3:uid="{00000000-0010-0000-0200-000020000000}" name="I" totalsRowFunction="sum" dataDxfId="42" totalsRowDxfId="5"/>
    <tableColumn id="33" xr3:uid="{00000000-0010-0000-0200-000021000000}" name="E" totalsRowFunction="sum" dataDxfId="41" totalsRowDxfId="4"/>
    <tableColumn id="34" xr3:uid="{00000000-0010-0000-0200-000022000000}" name="A" totalsRowFunction="sum" dataDxfId="40" totalsRowDxfId="3"/>
    <tableColumn id="35" xr3:uid="{00000000-0010-0000-0200-000023000000}" name="P" totalsRowFunction="sum" dataDxfId="39" totalsRowDxfId="2"/>
    <tableColumn id="36" xr3:uid="{00000000-0010-0000-02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57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441406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1.88671875" bestFit="1" customWidth="1"/>
  </cols>
  <sheetData>
    <row r="1" spans="1:92" ht="28.8" customHeight="1" x14ac:dyDescent="0.3">
      <c r="A1" s="186" t="s">
        <v>0</v>
      </c>
      <c r="B1" s="185"/>
      <c r="C1" s="185"/>
      <c r="D1" s="185"/>
      <c r="E1" s="185"/>
      <c r="F1" s="1" t="s">
        <v>1</v>
      </c>
      <c r="G1" s="2" t="s">
        <v>2</v>
      </c>
      <c r="H1" s="184" t="s">
        <v>3</v>
      </c>
      <c r="I1" s="185"/>
      <c r="J1" s="185"/>
      <c r="K1" s="185"/>
      <c r="L1" s="185"/>
      <c r="M1" s="1" t="s">
        <v>4</v>
      </c>
      <c r="N1" s="194" t="s">
        <v>5</v>
      </c>
      <c r="O1" s="185"/>
      <c r="P1" s="185"/>
      <c r="Q1" s="185"/>
      <c r="R1" s="18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2" t="s">
        <v>6</v>
      </c>
      <c r="B2" s="185"/>
      <c r="C2" s="185"/>
      <c r="D2" s="185"/>
      <c r="E2" s="185"/>
      <c r="F2" s="185"/>
      <c r="G2" s="193">
        <v>45984.126452894408</v>
      </c>
      <c r="H2" s="185"/>
      <c r="I2" s="185"/>
      <c r="J2" s="185"/>
      <c r="K2" s="195">
        <v>45984.126452896577</v>
      </c>
      <c r="L2" s="185"/>
      <c r="M2" s="185"/>
      <c r="N2" s="185"/>
      <c r="O2" s="185"/>
      <c r="P2" s="185"/>
      <c r="Q2" s="185"/>
      <c r="R2" s="18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7" t="s">
        <v>7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98" t="s">
        <v>8</v>
      </c>
      <c r="B4" s="189"/>
      <c r="C4" s="189"/>
      <c r="D4" s="189"/>
      <c r="E4" s="189"/>
      <c r="F4" s="190"/>
      <c r="G4" s="4">
        <v>46018</v>
      </c>
      <c r="H4" s="196" t="s">
        <v>9</v>
      </c>
      <c r="I4" s="189"/>
      <c r="J4" s="189"/>
      <c r="K4" s="189"/>
      <c r="L4" s="189"/>
      <c r="M4" s="189"/>
      <c r="N4" s="189"/>
      <c r="O4" s="189"/>
      <c r="P4" s="189"/>
      <c r="Q4" s="189"/>
      <c r="R4" s="19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0.39583333333333331</v>
      </c>
      <c r="D6" s="8" t="s">
        <v>30</v>
      </c>
      <c r="E6" s="10"/>
      <c r="F6" s="8" t="s">
        <v>31</v>
      </c>
      <c r="G6" s="187"/>
      <c r="H6" s="11" t="s">
        <v>29</v>
      </c>
      <c r="I6" s="12">
        <v>1.0654999999999999</v>
      </c>
      <c r="J6" s="13">
        <v>179</v>
      </c>
      <c r="K6" s="14" t="s">
        <v>32</v>
      </c>
      <c r="L6" s="13">
        <v>7</v>
      </c>
      <c r="M6" s="13">
        <v>0</v>
      </c>
      <c r="N6" s="13">
        <v>0</v>
      </c>
      <c r="O6" s="15" t="s">
        <v>33</v>
      </c>
      <c r="P6" s="16">
        <v>0.39583333333333331</v>
      </c>
      <c r="Q6" s="13">
        <v>168</v>
      </c>
      <c r="R6" s="17" t="s">
        <v>34</v>
      </c>
    </row>
    <row r="7" spans="1:92" ht="17.399999999999999" customHeight="1" thickBot="1" x14ac:dyDescent="0.35">
      <c r="A7" s="213"/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5"/>
    </row>
    <row r="8" spans="1:92" ht="22.05" customHeight="1" thickTop="1" thickBot="1" x14ac:dyDescent="0.35">
      <c r="A8" s="191" t="s">
        <v>8</v>
      </c>
      <c r="B8" s="189"/>
      <c r="C8" s="189"/>
      <c r="D8" s="189"/>
      <c r="E8" s="189"/>
      <c r="F8" s="190"/>
      <c r="G8" s="18">
        <v>46019</v>
      </c>
      <c r="H8" s="188" t="s">
        <v>9</v>
      </c>
      <c r="I8" s="189"/>
      <c r="J8" s="189"/>
      <c r="K8" s="189"/>
      <c r="L8" s="189"/>
      <c r="M8" s="189"/>
      <c r="N8" s="189"/>
      <c r="O8" s="189"/>
      <c r="P8" s="189"/>
      <c r="Q8" s="189"/>
      <c r="R8" s="190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</v>
      </c>
      <c r="C10" s="27">
        <v>0.90277777777777779</v>
      </c>
      <c r="D10" s="26" t="s">
        <v>30</v>
      </c>
      <c r="E10" s="28"/>
      <c r="F10" s="26" t="s">
        <v>35</v>
      </c>
      <c r="G10" s="179"/>
      <c r="H10" s="29" t="s">
        <v>29</v>
      </c>
      <c r="I10" s="30">
        <v>0.875</v>
      </c>
      <c r="J10" s="31">
        <v>147</v>
      </c>
      <c r="K10" s="32" t="s">
        <v>36</v>
      </c>
      <c r="L10" s="31">
        <v>10</v>
      </c>
      <c r="M10" s="31">
        <v>0</v>
      </c>
      <c r="N10" s="31">
        <v>2</v>
      </c>
      <c r="O10" s="33" t="s">
        <v>37</v>
      </c>
      <c r="P10" s="34">
        <v>0.90277777777777779</v>
      </c>
      <c r="Q10" s="31">
        <v>168</v>
      </c>
      <c r="R10" s="35" t="s">
        <v>38</v>
      </c>
    </row>
    <row r="11" spans="1:92" ht="17.399999999999999" customHeight="1" thickBot="1" x14ac:dyDescent="0.35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5"/>
    </row>
    <row r="12" spans="1:92" ht="22.05" customHeight="1" thickTop="1" thickBot="1" x14ac:dyDescent="0.35">
      <c r="A12" s="191" t="s">
        <v>8</v>
      </c>
      <c r="B12" s="189"/>
      <c r="C12" s="189"/>
      <c r="D12" s="189"/>
      <c r="E12" s="189"/>
      <c r="F12" s="190"/>
      <c r="G12" s="18">
        <v>46021</v>
      </c>
      <c r="H12" s="188" t="s">
        <v>9</v>
      </c>
      <c r="I12" s="189"/>
      <c r="J12" s="189"/>
      <c r="K12" s="189"/>
      <c r="L12" s="189"/>
      <c r="M12" s="189"/>
      <c r="N12" s="189"/>
      <c r="O12" s="189"/>
      <c r="P12" s="189"/>
      <c r="Q12" s="189"/>
      <c r="R12" s="190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x14ac:dyDescent="0.3">
      <c r="A14" s="8" t="s">
        <v>28</v>
      </c>
      <c r="B14" s="8" t="s">
        <v>39</v>
      </c>
      <c r="C14" s="9">
        <v>4.8611111111111112E-2</v>
      </c>
      <c r="D14" s="8" t="s">
        <v>30</v>
      </c>
      <c r="E14" s="10"/>
      <c r="F14" s="8" t="s">
        <v>31</v>
      </c>
      <c r="G14" s="179"/>
      <c r="H14" s="36" t="s">
        <v>39</v>
      </c>
      <c r="I14" s="37">
        <v>0.98209999999999997</v>
      </c>
      <c r="J14" s="38">
        <v>165</v>
      </c>
      <c r="K14" s="39" t="s">
        <v>40</v>
      </c>
      <c r="L14" s="38">
        <v>23</v>
      </c>
      <c r="M14" s="38">
        <v>6</v>
      </c>
      <c r="N14" s="38">
        <v>0</v>
      </c>
      <c r="O14" s="40" t="s">
        <v>33</v>
      </c>
      <c r="P14" s="41">
        <v>4.8611111111111112E-2</v>
      </c>
      <c r="Q14" s="38">
        <v>168</v>
      </c>
      <c r="R14" s="42" t="s">
        <v>41</v>
      </c>
    </row>
    <row r="15" spans="1:92" ht="49.95" customHeight="1" thickBot="1" x14ac:dyDescent="0.35">
      <c r="A15" s="43" t="s">
        <v>28</v>
      </c>
      <c r="B15" s="43" t="s">
        <v>29</v>
      </c>
      <c r="C15" s="44">
        <v>0.97916666666666663</v>
      </c>
      <c r="D15" s="43" t="s">
        <v>30</v>
      </c>
      <c r="E15" s="45"/>
      <c r="F15" s="43" t="s">
        <v>31</v>
      </c>
      <c r="G15" s="183"/>
      <c r="H15" s="46" t="s">
        <v>29</v>
      </c>
      <c r="I15" s="47">
        <v>1</v>
      </c>
      <c r="J15" s="48">
        <v>168</v>
      </c>
      <c r="K15" s="49" t="s">
        <v>42</v>
      </c>
      <c r="L15" s="48">
        <v>1</v>
      </c>
      <c r="M15" s="48">
        <v>0</v>
      </c>
      <c r="N15" s="48">
        <v>0</v>
      </c>
      <c r="O15" s="50" t="s">
        <v>33</v>
      </c>
      <c r="P15" s="51">
        <v>0.97916666666666663</v>
      </c>
      <c r="Q15" s="48">
        <v>168</v>
      </c>
      <c r="R15" s="52" t="s">
        <v>43</v>
      </c>
    </row>
    <row r="16" spans="1:92" ht="17.399999999999999" customHeight="1" thickBot="1" x14ac:dyDescent="0.35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5"/>
    </row>
    <row r="17" spans="1:18" ht="22.05" customHeight="1" thickTop="1" thickBot="1" x14ac:dyDescent="0.35">
      <c r="A17" s="191" t="s">
        <v>8</v>
      </c>
      <c r="B17" s="189"/>
      <c r="C17" s="189"/>
      <c r="D17" s="189"/>
      <c r="E17" s="189"/>
      <c r="F17" s="190"/>
      <c r="G17" s="18">
        <v>46023</v>
      </c>
      <c r="H17" s="188" t="s">
        <v>9</v>
      </c>
      <c r="I17" s="189"/>
      <c r="J17" s="189"/>
      <c r="K17" s="189"/>
      <c r="L17" s="189"/>
      <c r="M17" s="189"/>
      <c r="N17" s="189"/>
      <c r="O17" s="189"/>
      <c r="P17" s="189"/>
      <c r="Q17" s="189"/>
      <c r="R17" s="190"/>
    </row>
    <row r="18" spans="1:18" ht="24" customHeight="1" x14ac:dyDescent="0.3">
      <c r="A18" s="19" t="s">
        <v>10</v>
      </c>
      <c r="B18" s="19" t="s">
        <v>11</v>
      </c>
      <c r="C18" s="20" t="s">
        <v>12</v>
      </c>
      <c r="D18" s="19" t="s">
        <v>13</v>
      </c>
      <c r="E18" s="19" t="s">
        <v>14</v>
      </c>
      <c r="F18" s="21" t="s">
        <v>15</v>
      </c>
      <c r="G18" s="22" t="s">
        <v>16</v>
      </c>
      <c r="H18" s="19" t="s">
        <v>17</v>
      </c>
      <c r="I18" s="23" t="s">
        <v>18</v>
      </c>
      <c r="J18" s="24" t="s">
        <v>19</v>
      </c>
      <c r="K18" s="25" t="s">
        <v>20</v>
      </c>
      <c r="L18" s="24" t="s">
        <v>21</v>
      </c>
      <c r="M18" s="24" t="s">
        <v>22</v>
      </c>
      <c r="N18" s="24" t="s">
        <v>23</v>
      </c>
      <c r="O18" s="19" t="s">
        <v>24</v>
      </c>
      <c r="P18" s="20" t="s">
        <v>25</v>
      </c>
      <c r="Q18" s="24" t="s">
        <v>26</v>
      </c>
      <c r="R18" s="19" t="s">
        <v>27</v>
      </c>
    </row>
    <row r="19" spans="1:18" ht="49.95" customHeight="1" thickTop="1" thickBot="1" x14ac:dyDescent="0.35">
      <c r="A19" s="53" t="s">
        <v>28</v>
      </c>
      <c r="B19" s="53" t="s">
        <v>29</v>
      </c>
      <c r="C19" s="54">
        <v>0.53819444444444442</v>
      </c>
      <c r="D19" s="53" t="s">
        <v>30</v>
      </c>
      <c r="E19" s="55"/>
      <c r="F19" s="53" t="s">
        <v>35</v>
      </c>
      <c r="G19" s="179"/>
      <c r="H19" s="56" t="s">
        <v>29</v>
      </c>
      <c r="I19" s="57">
        <v>0.86309999999999998</v>
      </c>
      <c r="J19" s="58">
        <v>145</v>
      </c>
      <c r="K19" s="59" t="s">
        <v>44</v>
      </c>
      <c r="L19" s="58">
        <v>13</v>
      </c>
      <c r="M19" s="58">
        <v>0</v>
      </c>
      <c r="N19" s="58">
        <v>0</v>
      </c>
      <c r="O19" s="60" t="s">
        <v>45</v>
      </c>
      <c r="P19" s="61">
        <v>0.53819444444444442</v>
      </c>
      <c r="Q19" s="58">
        <v>168</v>
      </c>
      <c r="R19" s="62" t="s">
        <v>46</v>
      </c>
    </row>
    <row r="20" spans="1:18" ht="17.399999999999999" customHeight="1" thickBot="1" x14ac:dyDescent="0.35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5"/>
    </row>
    <row r="21" spans="1:18" ht="22.05" customHeight="1" thickTop="1" thickBot="1" x14ac:dyDescent="0.35">
      <c r="A21" s="191" t="s">
        <v>8</v>
      </c>
      <c r="B21" s="189"/>
      <c r="C21" s="189"/>
      <c r="D21" s="189"/>
      <c r="E21" s="189"/>
      <c r="F21" s="190"/>
      <c r="G21" s="18">
        <v>46025</v>
      </c>
      <c r="H21" s="188" t="s">
        <v>9</v>
      </c>
      <c r="I21" s="189"/>
      <c r="J21" s="189"/>
      <c r="K21" s="189"/>
      <c r="L21" s="189"/>
      <c r="M21" s="189"/>
      <c r="N21" s="189"/>
      <c r="O21" s="189"/>
      <c r="P21" s="189"/>
      <c r="Q21" s="189"/>
      <c r="R21" s="190"/>
    </row>
    <row r="22" spans="1:18" ht="24" customHeight="1" x14ac:dyDescent="0.3">
      <c r="A22" s="19" t="s">
        <v>10</v>
      </c>
      <c r="B22" s="19" t="s">
        <v>11</v>
      </c>
      <c r="C22" s="20" t="s">
        <v>12</v>
      </c>
      <c r="D22" s="19" t="s">
        <v>13</v>
      </c>
      <c r="E22" s="19" t="s">
        <v>14</v>
      </c>
      <c r="F22" s="21" t="s">
        <v>15</v>
      </c>
      <c r="G22" s="22" t="s">
        <v>16</v>
      </c>
      <c r="H22" s="19" t="s">
        <v>17</v>
      </c>
      <c r="I22" s="23" t="s">
        <v>18</v>
      </c>
      <c r="J22" s="24" t="s">
        <v>19</v>
      </c>
      <c r="K22" s="25" t="s">
        <v>20</v>
      </c>
      <c r="L22" s="24" t="s">
        <v>21</v>
      </c>
      <c r="M22" s="24" t="s">
        <v>22</v>
      </c>
      <c r="N22" s="24" t="s">
        <v>23</v>
      </c>
      <c r="O22" s="19" t="s">
        <v>24</v>
      </c>
      <c r="P22" s="20" t="s">
        <v>25</v>
      </c>
      <c r="Q22" s="24" t="s">
        <v>26</v>
      </c>
      <c r="R22" s="19" t="s">
        <v>27</v>
      </c>
    </row>
    <row r="23" spans="1:18" ht="49.95" customHeight="1" thickTop="1" thickBot="1" x14ac:dyDescent="0.35">
      <c r="A23" s="63" t="s">
        <v>28</v>
      </c>
      <c r="B23" s="63" t="s">
        <v>29</v>
      </c>
      <c r="C23" s="64">
        <v>0.39583333333333331</v>
      </c>
      <c r="D23" s="63" t="s">
        <v>30</v>
      </c>
      <c r="E23" s="65"/>
      <c r="F23" s="63" t="s">
        <v>31</v>
      </c>
      <c r="G23" s="179"/>
      <c r="H23" s="46" t="s">
        <v>29</v>
      </c>
      <c r="I23" s="47">
        <v>1</v>
      </c>
      <c r="J23" s="48">
        <v>168</v>
      </c>
      <c r="K23" s="49" t="s">
        <v>47</v>
      </c>
      <c r="L23" s="48">
        <v>13</v>
      </c>
      <c r="M23" s="48">
        <v>0</v>
      </c>
      <c r="N23" s="48">
        <v>0</v>
      </c>
      <c r="O23" s="50" t="s">
        <v>33</v>
      </c>
      <c r="P23" s="51">
        <v>0.39583333333333331</v>
      </c>
      <c r="Q23" s="48">
        <v>168</v>
      </c>
      <c r="R23" s="52" t="s">
        <v>48</v>
      </c>
    </row>
    <row r="24" spans="1:18" ht="17.399999999999999" customHeight="1" thickBot="1" x14ac:dyDescent="0.35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5"/>
    </row>
    <row r="25" spans="1:18" ht="22.05" customHeight="1" thickTop="1" thickBot="1" x14ac:dyDescent="0.35">
      <c r="A25" s="191" t="s">
        <v>8</v>
      </c>
      <c r="B25" s="189"/>
      <c r="C25" s="189"/>
      <c r="D25" s="189"/>
      <c r="E25" s="189"/>
      <c r="F25" s="190"/>
      <c r="G25" s="18">
        <v>46026</v>
      </c>
      <c r="H25" s="188" t="s">
        <v>9</v>
      </c>
      <c r="I25" s="189"/>
      <c r="J25" s="189"/>
      <c r="K25" s="189"/>
      <c r="L25" s="189"/>
      <c r="M25" s="189"/>
      <c r="N25" s="189"/>
      <c r="O25" s="189"/>
      <c r="P25" s="189"/>
      <c r="Q25" s="189"/>
      <c r="R25" s="190"/>
    </row>
    <row r="26" spans="1:18" ht="24" customHeight="1" x14ac:dyDescent="0.3">
      <c r="A26" s="19" t="s">
        <v>10</v>
      </c>
      <c r="B26" s="19" t="s">
        <v>11</v>
      </c>
      <c r="C26" s="20" t="s">
        <v>12</v>
      </c>
      <c r="D26" s="19" t="s">
        <v>13</v>
      </c>
      <c r="E26" s="19" t="s">
        <v>14</v>
      </c>
      <c r="F26" s="21" t="s">
        <v>15</v>
      </c>
      <c r="G26" s="22" t="s">
        <v>16</v>
      </c>
      <c r="H26" s="19" t="s">
        <v>17</v>
      </c>
      <c r="I26" s="23" t="s">
        <v>18</v>
      </c>
      <c r="J26" s="24" t="s">
        <v>19</v>
      </c>
      <c r="K26" s="25" t="s">
        <v>20</v>
      </c>
      <c r="L26" s="24" t="s">
        <v>21</v>
      </c>
      <c r="M26" s="24" t="s">
        <v>22</v>
      </c>
      <c r="N26" s="24" t="s">
        <v>23</v>
      </c>
      <c r="O26" s="19" t="s">
        <v>24</v>
      </c>
      <c r="P26" s="20" t="s">
        <v>25</v>
      </c>
      <c r="Q26" s="24" t="s">
        <v>26</v>
      </c>
      <c r="R26" s="19" t="s">
        <v>27</v>
      </c>
    </row>
    <row r="27" spans="1:18" ht="49.95" customHeight="1" thickTop="1" thickBot="1" x14ac:dyDescent="0.35">
      <c r="A27" s="66" t="s">
        <v>28</v>
      </c>
      <c r="B27" s="66" t="s">
        <v>29</v>
      </c>
      <c r="C27" s="67">
        <v>0.90277777777777779</v>
      </c>
      <c r="D27" s="66" t="s">
        <v>30</v>
      </c>
      <c r="E27" s="68"/>
      <c r="F27" s="66" t="s">
        <v>35</v>
      </c>
      <c r="G27" s="179"/>
      <c r="H27" s="69" t="s">
        <v>29</v>
      </c>
      <c r="I27" s="70">
        <v>0.88100000000000001</v>
      </c>
      <c r="J27" s="71">
        <v>148</v>
      </c>
      <c r="K27" s="72" t="s">
        <v>49</v>
      </c>
      <c r="L27" s="71">
        <v>17</v>
      </c>
      <c r="M27" s="71">
        <v>0</v>
      </c>
      <c r="N27" s="71">
        <v>0</v>
      </c>
      <c r="O27" s="73" t="s">
        <v>45</v>
      </c>
      <c r="P27" s="74">
        <v>0.90277777777777779</v>
      </c>
      <c r="Q27" s="71">
        <v>168</v>
      </c>
      <c r="R27" s="75" t="s">
        <v>50</v>
      </c>
    </row>
    <row r="28" spans="1:18" ht="17.399999999999999" customHeight="1" thickBot="1" x14ac:dyDescent="0.35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5"/>
    </row>
    <row r="29" spans="1:18" ht="22.05" customHeight="1" thickTop="1" thickBot="1" x14ac:dyDescent="0.35">
      <c r="A29" s="191" t="s">
        <v>8</v>
      </c>
      <c r="B29" s="189"/>
      <c r="C29" s="189"/>
      <c r="D29" s="189"/>
      <c r="E29" s="189"/>
      <c r="F29" s="190"/>
      <c r="G29" s="18">
        <v>46028</v>
      </c>
      <c r="H29" s="188" t="s">
        <v>9</v>
      </c>
      <c r="I29" s="189"/>
      <c r="J29" s="189"/>
      <c r="K29" s="189"/>
      <c r="L29" s="189"/>
      <c r="M29" s="189"/>
      <c r="N29" s="189"/>
      <c r="O29" s="189"/>
      <c r="P29" s="189"/>
      <c r="Q29" s="189"/>
      <c r="R29" s="190"/>
    </row>
    <row r="30" spans="1:18" ht="24" customHeight="1" x14ac:dyDescent="0.3">
      <c r="A30" s="19" t="s">
        <v>10</v>
      </c>
      <c r="B30" s="19" t="s">
        <v>11</v>
      </c>
      <c r="C30" s="20" t="s">
        <v>12</v>
      </c>
      <c r="D30" s="19" t="s">
        <v>13</v>
      </c>
      <c r="E30" s="19" t="s">
        <v>14</v>
      </c>
      <c r="F30" s="21" t="s">
        <v>15</v>
      </c>
      <c r="G30" s="22" t="s">
        <v>16</v>
      </c>
      <c r="H30" s="19" t="s">
        <v>17</v>
      </c>
      <c r="I30" s="23" t="s">
        <v>18</v>
      </c>
      <c r="J30" s="24" t="s">
        <v>19</v>
      </c>
      <c r="K30" s="25" t="s">
        <v>20</v>
      </c>
      <c r="L30" s="24" t="s">
        <v>21</v>
      </c>
      <c r="M30" s="24" t="s">
        <v>22</v>
      </c>
      <c r="N30" s="24" t="s">
        <v>23</v>
      </c>
      <c r="O30" s="19" t="s">
        <v>24</v>
      </c>
      <c r="P30" s="20" t="s">
        <v>25</v>
      </c>
      <c r="Q30" s="24" t="s">
        <v>26</v>
      </c>
      <c r="R30" s="19" t="s">
        <v>27</v>
      </c>
    </row>
    <row r="31" spans="1:18" ht="49.95" customHeight="1" x14ac:dyDescent="0.3">
      <c r="A31" s="76" t="s">
        <v>28</v>
      </c>
      <c r="B31" s="76" t="s">
        <v>39</v>
      </c>
      <c r="C31" s="77">
        <v>4.8611111111111112E-2</v>
      </c>
      <c r="D31" s="76" t="s">
        <v>30</v>
      </c>
      <c r="E31" s="78"/>
      <c r="F31" s="76" t="s">
        <v>35</v>
      </c>
      <c r="G31" s="179"/>
      <c r="H31" s="79" t="s">
        <v>39</v>
      </c>
      <c r="I31" s="80">
        <v>0.92259999999999998</v>
      </c>
      <c r="J31" s="81">
        <v>155</v>
      </c>
      <c r="K31" s="82" t="s">
        <v>51</v>
      </c>
      <c r="L31" s="81">
        <v>30</v>
      </c>
      <c r="M31" s="81">
        <v>0</v>
      </c>
      <c r="N31" s="81">
        <v>0</v>
      </c>
      <c r="O31" s="83" t="s">
        <v>45</v>
      </c>
      <c r="P31" s="84">
        <v>4.8611111111111112E-2</v>
      </c>
      <c r="Q31" s="81">
        <v>168</v>
      </c>
      <c r="R31" s="85" t="s">
        <v>52</v>
      </c>
    </row>
    <row r="32" spans="1:18" ht="49.95" customHeight="1" thickBot="1" x14ac:dyDescent="0.35">
      <c r="A32" s="86" t="s">
        <v>28</v>
      </c>
      <c r="B32" s="86" t="s">
        <v>29</v>
      </c>
      <c r="C32" s="87">
        <v>0.97916666666666663</v>
      </c>
      <c r="D32" s="86" t="s">
        <v>30</v>
      </c>
      <c r="E32" s="88"/>
      <c r="F32" s="86" t="s">
        <v>31</v>
      </c>
      <c r="G32" s="183"/>
      <c r="H32" s="69" t="s">
        <v>29</v>
      </c>
      <c r="I32" s="70">
        <v>1.0892999999999999</v>
      </c>
      <c r="J32" s="71">
        <v>183</v>
      </c>
      <c r="K32" s="72" t="s">
        <v>53</v>
      </c>
      <c r="L32" s="71">
        <v>8</v>
      </c>
      <c r="M32" s="71">
        <v>0</v>
      </c>
      <c r="N32" s="71">
        <v>0</v>
      </c>
      <c r="O32" s="73" t="s">
        <v>33</v>
      </c>
      <c r="P32" s="74">
        <v>0.97916666666666663</v>
      </c>
      <c r="Q32" s="71">
        <v>168</v>
      </c>
      <c r="R32" s="75" t="s">
        <v>54</v>
      </c>
    </row>
    <row r="33" spans="1:18" ht="17.399999999999999" customHeight="1" thickBot="1" x14ac:dyDescent="0.35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5"/>
    </row>
    <row r="34" spans="1:18" ht="22.05" customHeight="1" thickTop="1" thickBot="1" x14ac:dyDescent="0.35">
      <c r="A34" s="191" t="s">
        <v>8</v>
      </c>
      <c r="B34" s="189"/>
      <c r="C34" s="189"/>
      <c r="D34" s="189"/>
      <c r="E34" s="189"/>
      <c r="F34" s="190"/>
      <c r="G34" s="18">
        <v>46030</v>
      </c>
      <c r="H34" s="188" t="s">
        <v>9</v>
      </c>
      <c r="I34" s="189"/>
      <c r="J34" s="189"/>
      <c r="K34" s="189"/>
      <c r="L34" s="189"/>
      <c r="M34" s="189"/>
      <c r="N34" s="189"/>
      <c r="O34" s="189"/>
      <c r="P34" s="189"/>
      <c r="Q34" s="189"/>
      <c r="R34" s="190"/>
    </row>
    <row r="35" spans="1:18" ht="24" customHeight="1" x14ac:dyDescent="0.3">
      <c r="A35" s="19" t="s">
        <v>10</v>
      </c>
      <c r="B35" s="19" t="s">
        <v>11</v>
      </c>
      <c r="C35" s="20" t="s">
        <v>12</v>
      </c>
      <c r="D35" s="19" t="s">
        <v>13</v>
      </c>
      <c r="E35" s="19" t="s">
        <v>14</v>
      </c>
      <c r="F35" s="21" t="s">
        <v>15</v>
      </c>
      <c r="G35" s="22" t="s">
        <v>16</v>
      </c>
      <c r="H35" s="19" t="s">
        <v>17</v>
      </c>
      <c r="I35" s="23" t="s">
        <v>18</v>
      </c>
      <c r="J35" s="24" t="s">
        <v>19</v>
      </c>
      <c r="K35" s="25" t="s">
        <v>20</v>
      </c>
      <c r="L35" s="24" t="s">
        <v>21</v>
      </c>
      <c r="M35" s="24" t="s">
        <v>22</v>
      </c>
      <c r="N35" s="24" t="s">
        <v>23</v>
      </c>
      <c r="O35" s="19" t="s">
        <v>24</v>
      </c>
      <c r="P35" s="20" t="s">
        <v>25</v>
      </c>
      <c r="Q35" s="24" t="s">
        <v>26</v>
      </c>
      <c r="R35" s="19" t="s">
        <v>27</v>
      </c>
    </row>
    <row r="36" spans="1:18" ht="49.95" customHeight="1" thickTop="1" thickBot="1" x14ac:dyDescent="0.35">
      <c r="A36" s="89" t="s">
        <v>28</v>
      </c>
      <c r="B36" s="89" t="s">
        <v>29</v>
      </c>
      <c r="C36" s="90">
        <v>0.53819444444444442</v>
      </c>
      <c r="D36" s="89" t="s">
        <v>30</v>
      </c>
      <c r="E36" s="91"/>
      <c r="F36" s="89" t="s">
        <v>31</v>
      </c>
      <c r="G36" s="179"/>
      <c r="H36" s="92" t="s">
        <v>29</v>
      </c>
      <c r="I36" s="93">
        <v>1.0713999999999999</v>
      </c>
      <c r="J36" s="94">
        <v>180</v>
      </c>
      <c r="K36" s="95" t="s">
        <v>47</v>
      </c>
      <c r="L36" s="94">
        <v>5</v>
      </c>
      <c r="M36" s="94">
        <v>0</v>
      </c>
      <c r="N36" s="94">
        <v>0</v>
      </c>
      <c r="O36" s="96" t="s">
        <v>33</v>
      </c>
      <c r="P36" s="97">
        <v>0.53819444444444442</v>
      </c>
      <c r="Q36" s="94">
        <v>168</v>
      </c>
      <c r="R36" s="98" t="s">
        <v>55</v>
      </c>
    </row>
    <row r="37" spans="1:18" ht="17.399999999999999" customHeight="1" thickBot="1" x14ac:dyDescent="0.35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5"/>
    </row>
    <row r="38" spans="1:18" ht="22.05" customHeight="1" thickTop="1" thickBot="1" x14ac:dyDescent="0.35">
      <c r="A38" s="191" t="s">
        <v>8</v>
      </c>
      <c r="B38" s="189"/>
      <c r="C38" s="189"/>
      <c r="D38" s="189"/>
      <c r="E38" s="189"/>
      <c r="F38" s="190"/>
      <c r="G38" s="18">
        <v>46032</v>
      </c>
      <c r="H38" s="188" t="s">
        <v>9</v>
      </c>
      <c r="I38" s="189"/>
      <c r="J38" s="189"/>
      <c r="K38" s="189"/>
      <c r="L38" s="189"/>
      <c r="M38" s="189"/>
      <c r="N38" s="189"/>
      <c r="O38" s="189"/>
      <c r="P38" s="189"/>
      <c r="Q38" s="189"/>
      <c r="R38" s="190"/>
    </row>
    <row r="39" spans="1:18" ht="24" customHeight="1" x14ac:dyDescent="0.3">
      <c r="A39" s="19" t="s">
        <v>10</v>
      </c>
      <c r="B39" s="19" t="s">
        <v>11</v>
      </c>
      <c r="C39" s="20" t="s">
        <v>12</v>
      </c>
      <c r="D39" s="19" t="s">
        <v>13</v>
      </c>
      <c r="E39" s="19" t="s">
        <v>14</v>
      </c>
      <c r="F39" s="21" t="s">
        <v>15</v>
      </c>
      <c r="G39" s="22" t="s">
        <v>16</v>
      </c>
      <c r="H39" s="19" t="s">
        <v>17</v>
      </c>
      <c r="I39" s="23" t="s">
        <v>18</v>
      </c>
      <c r="J39" s="24" t="s">
        <v>19</v>
      </c>
      <c r="K39" s="25" t="s">
        <v>20</v>
      </c>
      <c r="L39" s="24" t="s">
        <v>21</v>
      </c>
      <c r="M39" s="24" t="s">
        <v>22</v>
      </c>
      <c r="N39" s="24" t="s">
        <v>23</v>
      </c>
      <c r="O39" s="19" t="s">
        <v>24</v>
      </c>
      <c r="P39" s="20" t="s">
        <v>25</v>
      </c>
      <c r="Q39" s="24" t="s">
        <v>26</v>
      </c>
      <c r="R39" s="19" t="s">
        <v>27</v>
      </c>
    </row>
    <row r="40" spans="1:18" ht="49.95" customHeight="1" thickTop="1" thickBot="1" x14ac:dyDescent="0.5">
      <c r="A40" s="66" t="s">
        <v>28</v>
      </c>
      <c r="B40" s="66" t="s">
        <v>29</v>
      </c>
      <c r="C40" s="67">
        <v>0.39583333333333331</v>
      </c>
      <c r="D40" s="66" t="s">
        <v>30</v>
      </c>
      <c r="E40" s="68"/>
      <c r="F40" s="66" t="s">
        <v>56</v>
      </c>
      <c r="G40" s="187"/>
      <c r="H40" s="69" t="s">
        <v>29</v>
      </c>
      <c r="I40" s="99">
        <v>0.82740000000000002</v>
      </c>
      <c r="J40" s="71">
        <v>139</v>
      </c>
      <c r="K40" s="72" t="s">
        <v>57</v>
      </c>
      <c r="L40" s="71">
        <v>8</v>
      </c>
      <c r="M40" s="71">
        <v>0</v>
      </c>
      <c r="N40" s="71">
        <v>0</v>
      </c>
      <c r="O40" s="73" t="s">
        <v>45</v>
      </c>
      <c r="P40" s="74">
        <v>0.39583333333333331</v>
      </c>
      <c r="Q40" s="71">
        <v>168</v>
      </c>
      <c r="R40" s="75" t="s">
        <v>58</v>
      </c>
    </row>
    <row r="41" spans="1:18" ht="17.399999999999999" customHeight="1" thickBot="1" x14ac:dyDescent="0.35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5"/>
    </row>
    <row r="42" spans="1:18" ht="22.05" customHeight="1" thickTop="1" thickBot="1" x14ac:dyDescent="0.35">
      <c r="A42" s="191" t="s">
        <v>8</v>
      </c>
      <c r="B42" s="189"/>
      <c r="C42" s="189"/>
      <c r="D42" s="189"/>
      <c r="E42" s="189"/>
      <c r="F42" s="190"/>
      <c r="G42" s="18">
        <v>46033</v>
      </c>
      <c r="H42" s="188" t="s">
        <v>9</v>
      </c>
      <c r="I42" s="189"/>
      <c r="J42" s="189"/>
      <c r="K42" s="189"/>
      <c r="L42" s="189"/>
      <c r="M42" s="189"/>
      <c r="N42" s="189"/>
      <c r="O42" s="189"/>
      <c r="P42" s="189"/>
      <c r="Q42" s="189"/>
      <c r="R42" s="190"/>
    </row>
    <row r="43" spans="1:18" ht="24" customHeight="1" x14ac:dyDescent="0.3">
      <c r="A43" s="19" t="s">
        <v>10</v>
      </c>
      <c r="B43" s="19" t="s">
        <v>11</v>
      </c>
      <c r="C43" s="20" t="s">
        <v>12</v>
      </c>
      <c r="D43" s="19" t="s">
        <v>13</v>
      </c>
      <c r="E43" s="19" t="s">
        <v>14</v>
      </c>
      <c r="F43" s="21" t="s">
        <v>15</v>
      </c>
      <c r="G43" s="22" t="s">
        <v>16</v>
      </c>
      <c r="H43" s="19" t="s">
        <v>17</v>
      </c>
      <c r="I43" s="23" t="s">
        <v>18</v>
      </c>
      <c r="J43" s="24" t="s">
        <v>19</v>
      </c>
      <c r="K43" s="25" t="s">
        <v>20</v>
      </c>
      <c r="L43" s="24" t="s">
        <v>21</v>
      </c>
      <c r="M43" s="24" t="s">
        <v>22</v>
      </c>
      <c r="N43" s="24" t="s">
        <v>23</v>
      </c>
      <c r="O43" s="19" t="s">
        <v>24</v>
      </c>
      <c r="P43" s="20" t="s">
        <v>25</v>
      </c>
      <c r="Q43" s="24" t="s">
        <v>26</v>
      </c>
      <c r="R43" s="19" t="s">
        <v>27</v>
      </c>
    </row>
    <row r="44" spans="1:18" ht="49.95" customHeight="1" thickTop="1" thickBot="1" x14ac:dyDescent="0.35">
      <c r="A44" s="53" t="s">
        <v>28</v>
      </c>
      <c r="B44" s="53" t="s">
        <v>29</v>
      </c>
      <c r="C44" s="54">
        <v>0.90277777777777779</v>
      </c>
      <c r="D44" s="53" t="s">
        <v>30</v>
      </c>
      <c r="E44" s="55"/>
      <c r="F44" s="53" t="s">
        <v>56</v>
      </c>
      <c r="G44" s="179"/>
      <c r="H44" s="56" t="s">
        <v>29</v>
      </c>
      <c r="I44" s="100">
        <v>0.8155</v>
      </c>
      <c r="J44" s="58">
        <v>137</v>
      </c>
      <c r="K44" s="59" t="s">
        <v>47</v>
      </c>
      <c r="L44" s="58">
        <v>5</v>
      </c>
      <c r="M44" s="58">
        <v>0</v>
      </c>
      <c r="N44" s="58">
        <v>0</v>
      </c>
      <c r="O44" s="60" t="s">
        <v>59</v>
      </c>
      <c r="P44" s="61">
        <v>0.90277777777777779</v>
      </c>
      <c r="Q44" s="58">
        <v>168</v>
      </c>
      <c r="R44" s="62" t="s">
        <v>60</v>
      </c>
    </row>
    <row r="45" spans="1:18" ht="17.399999999999999" customHeight="1" thickBot="1" x14ac:dyDescent="0.35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5"/>
    </row>
    <row r="46" spans="1:18" ht="22.05" customHeight="1" thickTop="1" thickBot="1" x14ac:dyDescent="0.35">
      <c r="A46" s="191" t="s">
        <v>8</v>
      </c>
      <c r="B46" s="189"/>
      <c r="C46" s="189"/>
      <c r="D46" s="189"/>
      <c r="E46" s="189"/>
      <c r="F46" s="190"/>
      <c r="G46" s="18">
        <v>46035</v>
      </c>
      <c r="H46" s="188" t="s">
        <v>9</v>
      </c>
      <c r="I46" s="189"/>
      <c r="J46" s="189"/>
      <c r="K46" s="189"/>
      <c r="L46" s="189"/>
      <c r="M46" s="189"/>
      <c r="N46" s="189"/>
      <c r="O46" s="189"/>
      <c r="P46" s="189"/>
      <c r="Q46" s="189"/>
      <c r="R46" s="190"/>
    </row>
    <row r="47" spans="1:18" ht="24" customHeight="1" x14ac:dyDescent="0.3">
      <c r="A47" s="19" t="s">
        <v>10</v>
      </c>
      <c r="B47" s="19" t="s">
        <v>11</v>
      </c>
      <c r="C47" s="20" t="s">
        <v>12</v>
      </c>
      <c r="D47" s="19" t="s">
        <v>13</v>
      </c>
      <c r="E47" s="19" t="s">
        <v>14</v>
      </c>
      <c r="F47" s="21" t="s">
        <v>15</v>
      </c>
      <c r="G47" s="22" t="s">
        <v>16</v>
      </c>
      <c r="H47" s="19" t="s">
        <v>17</v>
      </c>
      <c r="I47" s="23" t="s">
        <v>18</v>
      </c>
      <c r="J47" s="24" t="s">
        <v>19</v>
      </c>
      <c r="K47" s="25" t="s">
        <v>20</v>
      </c>
      <c r="L47" s="24" t="s">
        <v>21</v>
      </c>
      <c r="M47" s="24" t="s">
        <v>22</v>
      </c>
      <c r="N47" s="24" t="s">
        <v>23</v>
      </c>
      <c r="O47" s="19" t="s">
        <v>24</v>
      </c>
      <c r="P47" s="20" t="s">
        <v>25</v>
      </c>
      <c r="Q47" s="24" t="s">
        <v>26</v>
      </c>
      <c r="R47" s="19" t="s">
        <v>27</v>
      </c>
    </row>
    <row r="48" spans="1:18" ht="49.95" customHeight="1" x14ac:dyDescent="0.3">
      <c r="A48" s="63" t="s">
        <v>28</v>
      </c>
      <c r="B48" s="63" t="s">
        <v>39</v>
      </c>
      <c r="C48" s="64">
        <v>4.8611111111111112E-2</v>
      </c>
      <c r="D48" s="63" t="s">
        <v>30</v>
      </c>
      <c r="E48" s="65"/>
      <c r="F48" s="63" t="s">
        <v>56</v>
      </c>
      <c r="G48" s="179"/>
      <c r="H48" s="101" t="s">
        <v>39</v>
      </c>
      <c r="I48" s="102">
        <v>0.8095</v>
      </c>
      <c r="J48" s="103">
        <v>136</v>
      </c>
      <c r="K48" s="104" t="s">
        <v>49</v>
      </c>
      <c r="L48" s="103">
        <v>4</v>
      </c>
      <c r="M48" s="103">
        <v>0</v>
      </c>
      <c r="N48" s="103">
        <v>0</v>
      </c>
      <c r="O48" s="105" t="s">
        <v>59</v>
      </c>
      <c r="P48" s="106">
        <v>4.8611111111111112E-2</v>
      </c>
      <c r="Q48" s="103">
        <v>168</v>
      </c>
      <c r="R48" s="107" t="s">
        <v>61</v>
      </c>
    </row>
    <row r="49" spans="1:18" ht="49.95" customHeight="1" thickBot="1" x14ac:dyDescent="0.35">
      <c r="A49" s="108" t="s">
        <v>28</v>
      </c>
      <c r="B49" s="108" t="s">
        <v>29</v>
      </c>
      <c r="C49" s="109">
        <v>0.97916666666666663</v>
      </c>
      <c r="D49" s="108" t="s">
        <v>30</v>
      </c>
      <c r="E49" s="110"/>
      <c r="F49" s="108" t="s">
        <v>56</v>
      </c>
      <c r="G49" s="183"/>
      <c r="H49" s="92" t="s">
        <v>29</v>
      </c>
      <c r="I49" s="111">
        <v>0.8155</v>
      </c>
      <c r="J49" s="94">
        <v>137</v>
      </c>
      <c r="K49" s="95" t="s">
        <v>51</v>
      </c>
      <c r="L49" s="94">
        <v>6</v>
      </c>
      <c r="M49" s="94">
        <v>0</v>
      </c>
      <c r="N49" s="94">
        <v>0</v>
      </c>
      <c r="O49" s="96" t="s">
        <v>59</v>
      </c>
      <c r="P49" s="97">
        <v>0.97916666666666663</v>
      </c>
      <c r="Q49" s="94">
        <v>168</v>
      </c>
      <c r="R49" s="98" t="s">
        <v>60</v>
      </c>
    </row>
    <row r="50" spans="1:18" ht="17.399999999999999" customHeight="1" thickBot="1" x14ac:dyDescent="0.35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5"/>
    </row>
    <row r="51" spans="1:18" ht="22.05" customHeight="1" thickTop="1" thickBot="1" x14ac:dyDescent="0.35">
      <c r="A51" s="191" t="s">
        <v>8</v>
      </c>
      <c r="B51" s="189"/>
      <c r="C51" s="189"/>
      <c r="D51" s="189"/>
      <c r="E51" s="189"/>
      <c r="F51" s="190"/>
      <c r="G51" s="18">
        <v>46037</v>
      </c>
      <c r="H51" s="188" t="s">
        <v>9</v>
      </c>
      <c r="I51" s="189"/>
      <c r="J51" s="189"/>
      <c r="K51" s="189"/>
      <c r="L51" s="189"/>
      <c r="M51" s="189"/>
      <c r="N51" s="189"/>
      <c r="O51" s="189"/>
      <c r="P51" s="189"/>
      <c r="Q51" s="189"/>
      <c r="R51" s="190"/>
    </row>
    <row r="52" spans="1:18" ht="24" customHeight="1" x14ac:dyDescent="0.3">
      <c r="A52" s="19" t="s">
        <v>10</v>
      </c>
      <c r="B52" s="19" t="s">
        <v>11</v>
      </c>
      <c r="C52" s="20" t="s">
        <v>12</v>
      </c>
      <c r="D52" s="19" t="s">
        <v>13</v>
      </c>
      <c r="E52" s="19" t="s">
        <v>14</v>
      </c>
      <c r="F52" s="21" t="s">
        <v>15</v>
      </c>
      <c r="G52" s="22" t="s">
        <v>16</v>
      </c>
      <c r="H52" s="19" t="s">
        <v>17</v>
      </c>
      <c r="I52" s="23" t="s">
        <v>18</v>
      </c>
      <c r="J52" s="24" t="s">
        <v>19</v>
      </c>
      <c r="K52" s="25" t="s">
        <v>20</v>
      </c>
      <c r="L52" s="24" t="s">
        <v>21</v>
      </c>
      <c r="M52" s="24" t="s">
        <v>22</v>
      </c>
      <c r="N52" s="24" t="s">
        <v>23</v>
      </c>
      <c r="O52" s="19" t="s">
        <v>24</v>
      </c>
      <c r="P52" s="20" t="s">
        <v>25</v>
      </c>
      <c r="Q52" s="24" t="s">
        <v>26</v>
      </c>
      <c r="R52" s="19" t="s">
        <v>27</v>
      </c>
    </row>
    <row r="53" spans="1:18" ht="49.95" customHeight="1" thickTop="1" thickBot="1" x14ac:dyDescent="0.35">
      <c r="A53" s="63" t="s">
        <v>28</v>
      </c>
      <c r="B53" s="63" t="s">
        <v>29</v>
      </c>
      <c r="C53" s="64">
        <v>0.53819444444444442</v>
      </c>
      <c r="D53" s="63" t="s">
        <v>30</v>
      </c>
      <c r="E53" s="65"/>
      <c r="F53" s="63" t="s">
        <v>62</v>
      </c>
      <c r="G53" s="179"/>
      <c r="H53" s="46" t="s">
        <v>29</v>
      </c>
      <c r="I53" s="112">
        <v>4.7600000000000003E-2</v>
      </c>
      <c r="J53" s="48">
        <v>8</v>
      </c>
      <c r="K53" s="49" t="s">
        <v>47</v>
      </c>
      <c r="L53" s="48">
        <v>10</v>
      </c>
      <c r="M53" s="48">
        <v>0</v>
      </c>
      <c r="N53" s="48">
        <v>0</v>
      </c>
      <c r="O53" s="50" t="s">
        <v>59</v>
      </c>
      <c r="P53" s="51">
        <v>0.53819444444444442</v>
      </c>
      <c r="Q53" s="48">
        <v>168</v>
      </c>
      <c r="R53" s="52" t="s">
        <v>63</v>
      </c>
    </row>
    <row r="54" spans="1:18" ht="17.399999999999999" customHeight="1" thickBot="1" x14ac:dyDescent="0.35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5"/>
    </row>
    <row r="55" spans="1:18" ht="22.05" customHeight="1" thickTop="1" thickBot="1" x14ac:dyDescent="0.35">
      <c r="A55" s="191" t="s">
        <v>8</v>
      </c>
      <c r="B55" s="189"/>
      <c r="C55" s="189"/>
      <c r="D55" s="189"/>
      <c r="E55" s="189"/>
      <c r="F55" s="190"/>
      <c r="G55" s="18">
        <v>46040</v>
      </c>
      <c r="H55" s="188" t="s">
        <v>9</v>
      </c>
      <c r="I55" s="189"/>
      <c r="J55" s="189"/>
      <c r="K55" s="189"/>
      <c r="L55" s="189"/>
      <c r="M55" s="189"/>
      <c r="N55" s="189"/>
      <c r="O55" s="189"/>
      <c r="P55" s="189"/>
      <c r="Q55" s="189"/>
      <c r="R55" s="190"/>
    </row>
    <row r="56" spans="1:18" ht="24" customHeight="1" x14ac:dyDescent="0.3">
      <c r="A56" s="19" t="s">
        <v>10</v>
      </c>
      <c r="B56" s="19" t="s">
        <v>11</v>
      </c>
      <c r="C56" s="20" t="s">
        <v>12</v>
      </c>
      <c r="D56" s="19" t="s">
        <v>13</v>
      </c>
      <c r="E56" s="19" t="s">
        <v>14</v>
      </c>
      <c r="F56" s="21" t="s">
        <v>15</v>
      </c>
      <c r="G56" s="22" t="s">
        <v>16</v>
      </c>
      <c r="H56" s="19" t="s">
        <v>17</v>
      </c>
      <c r="I56" s="23" t="s">
        <v>18</v>
      </c>
      <c r="J56" s="24" t="s">
        <v>19</v>
      </c>
      <c r="K56" s="25" t="s">
        <v>20</v>
      </c>
      <c r="L56" s="24" t="s">
        <v>21</v>
      </c>
      <c r="M56" s="24" t="s">
        <v>22</v>
      </c>
      <c r="N56" s="24" t="s">
        <v>23</v>
      </c>
      <c r="O56" s="19" t="s">
        <v>24</v>
      </c>
      <c r="P56" s="20" t="s">
        <v>25</v>
      </c>
      <c r="Q56" s="24" t="s">
        <v>26</v>
      </c>
      <c r="R56" s="19" t="s">
        <v>27</v>
      </c>
    </row>
    <row r="57" spans="1:18" ht="49.95" customHeight="1" thickTop="1" thickBot="1" x14ac:dyDescent="0.35">
      <c r="A57" s="63" t="s">
        <v>28</v>
      </c>
      <c r="B57" s="63" t="s">
        <v>29</v>
      </c>
      <c r="C57" s="64">
        <v>0.90277777777777779</v>
      </c>
      <c r="D57" s="63" t="s">
        <v>30</v>
      </c>
      <c r="E57" s="65"/>
      <c r="F57" s="63" t="s">
        <v>62</v>
      </c>
      <c r="G57" s="179"/>
      <c r="H57" s="46" t="s">
        <v>29</v>
      </c>
      <c r="I57" s="112">
        <v>2.98E-2</v>
      </c>
      <c r="J57" s="48">
        <v>5</v>
      </c>
      <c r="K57" s="49" t="s">
        <v>64</v>
      </c>
      <c r="L57" s="48">
        <v>6</v>
      </c>
      <c r="M57" s="48">
        <v>0</v>
      </c>
      <c r="N57" s="48">
        <v>0</v>
      </c>
      <c r="O57" s="50" t="s">
        <v>65</v>
      </c>
      <c r="P57" s="51">
        <v>0.90277777777777779</v>
      </c>
      <c r="Q57" s="48">
        <v>168</v>
      </c>
      <c r="R57" s="52" t="s">
        <v>66</v>
      </c>
    </row>
    <row r="58" spans="1:18" ht="17.399999999999999" customHeight="1" thickBot="1" x14ac:dyDescent="0.35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5"/>
    </row>
    <row r="59" spans="1:18" ht="22.05" customHeight="1" thickTop="1" thickBot="1" x14ac:dyDescent="0.35">
      <c r="A59" s="191" t="s">
        <v>8</v>
      </c>
      <c r="B59" s="189"/>
      <c r="C59" s="189"/>
      <c r="D59" s="189"/>
      <c r="E59" s="189"/>
      <c r="F59" s="190"/>
      <c r="G59" s="18">
        <v>46042</v>
      </c>
      <c r="H59" s="188" t="s">
        <v>9</v>
      </c>
      <c r="I59" s="189"/>
      <c r="J59" s="189"/>
      <c r="K59" s="189"/>
      <c r="L59" s="189"/>
      <c r="M59" s="189"/>
      <c r="N59" s="189"/>
      <c r="O59" s="189"/>
      <c r="P59" s="189"/>
      <c r="Q59" s="189"/>
      <c r="R59" s="190"/>
    </row>
    <row r="60" spans="1:18" ht="24" customHeight="1" x14ac:dyDescent="0.3">
      <c r="A60" s="19" t="s">
        <v>10</v>
      </c>
      <c r="B60" s="19" t="s">
        <v>11</v>
      </c>
      <c r="C60" s="20" t="s">
        <v>12</v>
      </c>
      <c r="D60" s="19" t="s">
        <v>13</v>
      </c>
      <c r="E60" s="19" t="s">
        <v>14</v>
      </c>
      <c r="F60" s="21" t="s">
        <v>15</v>
      </c>
      <c r="G60" s="22" t="s">
        <v>16</v>
      </c>
      <c r="H60" s="19" t="s">
        <v>17</v>
      </c>
      <c r="I60" s="23" t="s">
        <v>18</v>
      </c>
      <c r="J60" s="24" t="s">
        <v>19</v>
      </c>
      <c r="K60" s="25" t="s">
        <v>20</v>
      </c>
      <c r="L60" s="24" t="s">
        <v>21</v>
      </c>
      <c r="M60" s="24" t="s">
        <v>22</v>
      </c>
      <c r="N60" s="24" t="s">
        <v>23</v>
      </c>
      <c r="O60" s="19" t="s">
        <v>24</v>
      </c>
      <c r="P60" s="20" t="s">
        <v>25</v>
      </c>
      <c r="Q60" s="24" t="s">
        <v>26</v>
      </c>
      <c r="R60" s="19" t="s">
        <v>27</v>
      </c>
    </row>
    <row r="61" spans="1:18" ht="49.95" customHeight="1" x14ac:dyDescent="0.3">
      <c r="A61" s="26" t="s">
        <v>28</v>
      </c>
      <c r="B61" s="26" t="s">
        <v>39</v>
      </c>
      <c r="C61" s="27">
        <v>4.8611111111111112E-2</v>
      </c>
      <c r="D61" s="26" t="s">
        <v>30</v>
      </c>
      <c r="E61" s="28"/>
      <c r="F61" s="26" t="s">
        <v>62</v>
      </c>
      <c r="G61" s="179"/>
      <c r="H61" s="113" t="s">
        <v>39</v>
      </c>
      <c r="I61" s="114">
        <v>1.1900000000000001E-2</v>
      </c>
      <c r="J61" s="115">
        <v>2</v>
      </c>
      <c r="K61" s="116" t="s">
        <v>44</v>
      </c>
      <c r="L61" s="115">
        <v>2</v>
      </c>
      <c r="M61" s="115">
        <v>0</v>
      </c>
      <c r="N61" s="115">
        <v>0</v>
      </c>
      <c r="O61" s="117" t="s">
        <v>65</v>
      </c>
      <c r="P61" s="118">
        <v>4.8611111111111112E-2</v>
      </c>
      <c r="Q61" s="115">
        <v>168</v>
      </c>
      <c r="R61" s="119" t="s">
        <v>67</v>
      </c>
    </row>
    <row r="62" spans="1:18" ht="49.95" customHeight="1" thickBot="1" x14ac:dyDescent="0.35">
      <c r="A62" s="86" t="s">
        <v>28</v>
      </c>
      <c r="B62" s="86" t="s">
        <v>29</v>
      </c>
      <c r="C62" s="87">
        <v>0.97916666666666663</v>
      </c>
      <c r="D62" s="86" t="s">
        <v>30</v>
      </c>
      <c r="E62" s="88"/>
      <c r="F62" s="86" t="s">
        <v>62</v>
      </c>
      <c r="G62" s="183"/>
      <c r="H62" s="69" t="s">
        <v>29</v>
      </c>
      <c r="I62" s="120">
        <v>6.0000000000000001E-3</v>
      </c>
      <c r="J62" s="71">
        <v>1</v>
      </c>
      <c r="K62" s="72" t="s">
        <v>68</v>
      </c>
      <c r="L62" s="71">
        <v>2</v>
      </c>
      <c r="M62" s="71">
        <v>0</v>
      </c>
      <c r="N62" s="71">
        <v>0</v>
      </c>
      <c r="O62" s="73" t="s">
        <v>65</v>
      </c>
      <c r="P62" s="74">
        <v>0.97916666666666663</v>
      </c>
      <c r="Q62" s="71">
        <v>168</v>
      </c>
      <c r="R62" s="75" t="s">
        <v>69</v>
      </c>
    </row>
    <row r="63" spans="1:18" ht="17.399999999999999" customHeight="1" thickBot="1" x14ac:dyDescent="0.35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5"/>
    </row>
    <row r="64" spans="1:18" ht="22.05" customHeight="1" thickTop="1" thickBot="1" x14ac:dyDescent="0.35">
      <c r="A64" s="191" t="s">
        <v>8</v>
      </c>
      <c r="B64" s="189"/>
      <c r="C64" s="189"/>
      <c r="D64" s="189"/>
      <c r="E64" s="189"/>
      <c r="F64" s="190"/>
      <c r="G64" s="18">
        <v>46044</v>
      </c>
      <c r="H64" s="188" t="s">
        <v>9</v>
      </c>
      <c r="I64" s="189"/>
      <c r="J64" s="189"/>
      <c r="K64" s="189"/>
      <c r="L64" s="189"/>
      <c r="M64" s="189"/>
      <c r="N64" s="189"/>
      <c r="O64" s="189"/>
      <c r="P64" s="189"/>
      <c r="Q64" s="189"/>
      <c r="R64" s="190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121" t="s">
        <v>28</v>
      </c>
      <c r="B66" s="121" t="s">
        <v>29</v>
      </c>
      <c r="C66" s="122">
        <v>0.53819444444444442</v>
      </c>
      <c r="D66" s="121" t="s">
        <v>30</v>
      </c>
      <c r="E66" s="123"/>
      <c r="F66" s="121" t="s">
        <v>62</v>
      </c>
      <c r="G66" s="179"/>
      <c r="H66" s="124" t="s">
        <v>29</v>
      </c>
      <c r="I66" s="125">
        <v>2.98E-2</v>
      </c>
      <c r="J66" s="126">
        <v>5</v>
      </c>
      <c r="K66" s="127" t="s">
        <v>70</v>
      </c>
      <c r="L66" s="126">
        <v>6</v>
      </c>
      <c r="M66" s="126">
        <v>0</v>
      </c>
      <c r="N66" s="126">
        <v>0</v>
      </c>
      <c r="O66" s="128" t="s">
        <v>65</v>
      </c>
      <c r="P66" s="129">
        <v>0.53819444444444442</v>
      </c>
      <c r="Q66" s="126">
        <v>168</v>
      </c>
      <c r="R66" s="130" t="s">
        <v>66</v>
      </c>
    </row>
    <row r="67" spans="1:18" ht="17.399999999999999" customHeight="1" thickBot="1" x14ac:dyDescent="0.35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5"/>
    </row>
    <row r="68" spans="1:18" ht="22.05" customHeight="1" thickTop="1" thickBot="1" x14ac:dyDescent="0.35">
      <c r="A68" s="191" t="s">
        <v>8</v>
      </c>
      <c r="B68" s="189"/>
      <c r="C68" s="189"/>
      <c r="D68" s="189"/>
      <c r="E68" s="189"/>
      <c r="F68" s="190"/>
      <c r="G68" s="18">
        <v>46047</v>
      </c>
      <c r="H68" s="188" t="s">
        <v>9</v>
      </c>
      <c r="I68" s="189"/>
      <c r="J68" s="189"/>
      <c r="K68" s="189"/>
      <c r="L68" s="189"/>
      <c r="M68" s="189"/>
      <c r="N68" s="189"/>
      <c r="O68" s="189"/>
      <c r="P68" s="189"/>
      <c r="Q68" s="189"/>
      <c r="R68" s="190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35">
      <c r="A70" s="26" t="s">
        <v>28</v>
      </c>
      <c r="B70" s="26" t="s">
        <v>29</v>
      </c>
      <c r="C70" s="27">
        <v>0.90277777777777779</v>
      </c>
      <c r="D70" s="26" t="s">
        <v>30</v>
      </c>
      <c r="E70" s="28"/>
      <c r="F70" s="26" t="s">
        <v>62</v>
      </c>
      <c r="G70" s="179"/>
      <c r="H70" s="29" t="s">
        <v>29</v>
      </c>
      <c r="I70" s="131">
        <v>3.5700000000000003E-2</v>
      </c>
      <c r="J70" s="31">
        <v>6</v>
      </c>
      <c r="K70" s="32" t="s">
        <v>49</v>
      </c>
      <c r="L70" s="31">
        <v>7</v>
      </c>
      <c r="M70" s="31">
        <v>0</v>
      </c>
      <c r="N70" s="31">
        <v>0</v>
      </c>
      <c r="O70" s="33" t="s">
        <v>65</v>
      </c>
      <c r="P70" s="34">
        <v>0.90277777777777779</v>
      </c>
      <c r="Q70" s="31">
        <v>168</v>
      </c>
      <c r="R70" s="35" t="s">
        <v>71</v>
      </c>
    </row>
    <row r="71" spans="1:18" ht="17.399999999999999" customHeight="1" thickBot="1" x14ac:dyDescent="0.35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5"/>
    </row>
    <row r="72" spans="1:18" ht="22.05" customHeight="1" thickTop="1" thickBot="1" x14ac:dyDescent="0.35">
      <c r="A72" s="191" t="s">
        <v>8</v>
      </c>
      <c r="B72" s="189"/>
      <c r="C72" s="189"/>
      <c r="D72" s="189"/>
      <c r="E72" s="189"/>
      <c r="F72" s="190"/>
      <c r="G72" s="18">
        <v>46049</v>
      </c>
      <c r="H72" s="188" t="s">
        <v>9</v>
      </c>
      <c r="I72" s="189"/>
      <c r="J72" s="189"/>
      <c r="K72" s="189"/>
      <c r="L72" s="189"/>
      <c r="M72" s="189"/>
      <c r="N72" s="189"/>
      <c r="O72" s="189"/>
      <c r="P72" s="189"/>
      <c r="Q72" s="189"/>
      <c r="R72" s="190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x14ac:dyDescent="0.3">
      <c r="A74" s="89" t="s">
        <v>28</v>
      </c>
      <c r="B74" s="89" t="s">
        <v>39</v>
      </c>
      <c r="C74" s="90">
        <v>4.8611111111111112E-2</v>
      </c>
      <c r="D74" s="89" t="s">
        <v>30</v>
      </c>
      <c r="E74" s="91"/>
      <c r="F74" s="89" t="s">
        <v>72</v>
      </c>
      <c r="G74" s="179"/>
      <c r="H74" s="132" t="s">
        <v>39</v>
      </c>
      <c r="I74" s="133">
        <v>0</v>
      </c>
      <c r="J74" s="134">
        <v>0</v>
      </c>
      <c r="K74" s="135" t="s">
        <v>73</v>
      </c>
      <c r="L74" s="134">
        <v>0</v>
      </c>
      <c r="M74" s="134">
        <v>0</v>
      </c>
      <c r="N74" s="134">
        <v>0</v>
      </c>
      <c r="O74" s="136" t="s">
        <v>65</v>
      </c>
      <c r="P74" s="137">
        <v>4.8611111111111112E-2</v>
      </c>
      <c r="Q74" s="134">
        <v>168</v>
      </c>
      <c r="R74" s="138" t="s">
        <v>73</v>
      </c>
    </row>
    <row r="75" spans="1:18" ht="49.95" customHeight="1" thickBot="1" x14ac:dyDescent="0.35">
      <c r="A75" s="139" t="s">
        <v>28</v>
      </c>
      <c r="B75" s="139" t="s">
        <v>29</v>
      </c>
      <c r="C75" s="140">
        <v>0.97916666666666663</v>
      </c>
      <c r="D75" s="139" t="s">
        <v>30</v>
      </c>
      <c r="E75" s="141"/>
      <c r="F75" s="139" t="s">
        <v>62</v>
      </c>
      <c r="G75" s="183"/>
      <c r="H75" s="11" t="s">
        <v>29</v>
      </c>
      <c r="I75" s="142">
        <v>2.3800000000000002E-2</v>
      </c>
      <c r="J75" s="13">
        <v>4</v>
      </c>
      <c r="K75" s="14" t="s">
        <v>49</v>
      </c>
      <c r="L75" s="13">
        <v>5</v>
      </c>
      <c r="M75" s="13">
        <v>0</v>
      </c>
      <c r="N75" s="13">
        <v>0</v>
      </c>
      <c r="O75" s="15" t="s">
        <v>65</v>
      </c>
      <c r="P75" s="16">
        <v>0.97916666666666663</v>
      </c>
      <c r="Q75" s="13">
        <v>168</v>
      </c>
      <c r="R75" s="17" t="s">
        <v>74</v>
      </c>
    </row>
    <row r="76" spans="1:18" ht="17.399999999999999" customHeight="1" thickBot="1" x14ac:dyDescent="0.35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215"/>
    </row>
    <row r="77" spans="1:18" ht="22.05" customHeight="1" thickTop="1" thickBot="1" x14ac:dyDescent="0.35">
      <c r="A77" s="191" t="s">
        <v>8</v>
      </c>
      <c r="B77" s="189"/>
      <c r="C77" s="189"/>
      <c r="D77" s="189"/>
      <c r="E77" s="189"/>
      <c r="F77" s="190"/>
      <c r="G77" s="18">
        <v>46051</v>
      </c>
      <c r="H77" s="188" t="s">
        <v>9</v>
      </c>
      <c r="I77" s="189"/>
      <c r="J77" s="189"/>
      <c r="K77" s="189"/>
      <c r="L77" s="189"/>
      <c r="M77" s="189"/>
      <c r="N77" s="189"/>
      <c r="O77" s="189"/>
      <c r="P77" s="189"/>
      <c r="Q77" s="189"/>
      <c r="R77" s="190"/>
    </row>
    <row r="78" spans="1:18" ht="24" customHeight="1" x14ac:dyDescent="0.3">
      <c r="A78" s="19" t="s">
        <v>10</v>
      </c>
      <c r="B78" s="19" t="s">
        <v>11</v>
      </c>
      <c r="C78" s="20" t="s">
        <v>12</v>
      </c>
      <c r="D78" s="19" t="s">
        <v>13</v>
      </c>
      <c r="E78" s="19" t="s">
        <v>14</v>
      </c>
      <c r="F78" s="21" t="s">
        <v>15</v>
      </c>
      <c r="G78" s="22" t="s">
        <v>16</v>
      </c>
      <c r="H78" s="19" t="s">
        <v>17</v>
      </c>
      <c r="I78" s="23" t="s">
        <v>18</v>
      </c>
      <c r="J78" s="24" t="s">
        <v>19</v>
      </c>
      <c r="K78" s="25" t="s">
        <v>20</v>
      </c>
      <c r="L78" s="24" t="s">
        <v>21</v>
      </c>
      <c r="M78" s="24" t="s">
        <v>22</v>
      </c>
      <c r="N78" s="24" t="s">
        <v>23</v>
      </c>
      <c r="O78" s="19" t="s">
        <v>24</v>
      </c>
      <c r="P78" s="20" t="s">
        <v>25</v>
      </c>
      <c r="Q78" s="24" t="s">
        <v>26</v>
      </c>
      <c r="R78" s="19" t="s">
        <v>27</v>
      </c>
    </row>
    <row r="79" spans="1:18" ht="49.95" customHeight="1" thickTop="1" thickBot="1" x14ac:dyDescent="0.35">
      <c r="A79" s="26" t="s">
        <v>28</v>
      </c>
      <c r="B79" s="26" t="s">
        <v>29</v>
      </c>
      <c r="C79" s="27">
        <v>0.53819444444444442</v>
      </c>
      <c r="D79" s="26" t="s">
        <v>30</v>
      </c>
      <c r="E79" s="28"/>
      <c r="F79" s="26" t="s">
        <v>62</v>
      </c>
      <c r="G79" s="179"/>
      <c r="H79" s="29" t="s">
        <v>29</v>
      </c>
      <c r="I79" s="131">
        <v>5.3600000000000002E-2</v>
      </c>
      <c r="J79" s="31">
        <v>9</v>
      </c>
      <c r="K79" s="32" t="s">
        <v>47</v>
      </c>
      <c r="L79" s="31">
        <v>9</v>
      </c>
      <c r="M79" s="31">
        <v>0</v>
      </c>
      <c r="N79" s="31">
        <v>0</v>
      </c>
      <c r="O79" s="33" t="s">
        <v>75</v>
      </c>
      <c r="P79" s="34">
        <v>0.53819444444444442</v>
      </c>
      <c r="Q79" s="31">
        <v>168</v>
      </c>
      <c r="R79" s="35" t="s">
        <v>76</v>
      </c>
    </row>
    <row r="80" spans="1:18" ht="17.399999999999999" customHeight="1" thickBot="1" x14ac:dyDescent="0.35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5"/>
    </row>
    <row r="81" spans="1:18" ht="22.05" customHeight="1" thickTop="1" thickBot="1" x14ac:dyDescent="0.35">
      <c r="A81" s="191" t="s">
        <v>8</v>
      </c>
      <c r="B81" s="189"/>
      <c r="C81" s="189"/>
      <c r="D81" s="189"/>
      <c r="E81" s="189"/>
      <c r="F81" s="190"/>
      <c r="G81" s="18">
        <v>46053</v>
      </c>
      <c r="H81" s="188" t="s">
        <v>9</v>
      </c>
      <c r="I81" s="189"/>
      <c r="J81" s="189"/>
      <c r="K81" s="189"/>
      <c r="L81" s="189"/>
      <c r="M81" s="189"/>
      <c r="N81" s="189"/>
      <c r="O81" s="189"/>
      <c r="P81" s="189"/>
      <c r="Q81" s="189"/>
      <c r="R81" s="190"/>
    </row>
    <row r="82" spans="1:18" ht="24" customHeight="1" x14ac:dyDescent="0.3">
      <c r="A82" s="19" t="s">
        <v>10</v>
      </c>
      <c r="B82" s="19" t="s">
        <v>11</v>
      </c>
      <c r="C82" s="20" t="s">
        <v>12</v>
      </c>
      <c r="D82" s="19" t="s">
        <v>13</v>
      </c>
      <c r="E82" s="19" t="s">
        <v>14</v>
      </c>
      <c r="F82" s="21" t="s">
        <v>15</v>
      </c>
      <c r="G82" s="22" t="s">
        <v>16</v>
      </c>
      <c r="H82" s="19" t="s">
        <v>17</v>
      </c>
      <c r="I82" s="23" t="s">
        <v>18</v>
      </c>
      <c r="J82" s="24" t="s">
        <v>19</v>
      </c>
      <c r="K82" s="25" t="s">
        <v>20</v>
      </c>
      <c r="L82" s="24" t="s">
        <v>21</v>
      </c>
      <c r="M82" s="24" t="s">
        <v>22</v>
      </c>
      <c r="N82" s="24" t="s">
        <v>23</v>
      </c>
      <c r="O82" s="19" t="s">
        <v>24</v>
      </c>
      <c r="P82" s="20" t="s">
        <v>25</v>
      </c>
      <c r="Q82" s="24" t="s">
        <v>26</v>
      </c>
      <c r="R82" s="19" t="s">
        <v>27</v>
      </c>
    </row>
    <row r="83" spans="1:18" ht="49.95" customHeight="1" thickTop="1" thickBot="1" x14ac:dyDescent="0.35">
      <c r="A83" s="53" t="s">
        <v>28</v>
      </c>
      <c r="B83" s="53" t="s">
        <v>29</v>
      </c>
      <c r="C83" s="54">
        <v>0.39583333333333331</v>
      </c>
      <c r="D83" s="53" t="s">
        <v>30</v>
      </c>
      <c r="E83" s="55"/>
      <c r="F83" s="53" t="s">
        <v>62</v>
      </c>
      <c r="G83" s="179"/>
      <c r="H83" s="56" t="s">
        <v>29</v>
      </c>
      <c r="I83" s="143">
        <v>0.24399999999999999</v>
      </c>
      <c r="J83" s="58">
        <v>41</v>
      </c>
      <c r="K83" s="59" t="s">
        <v>70</v>
      </c>
      <c r="L83" s="58">
        <v>42</v>
      </c>
      <c r="M83" s="58">
        <v>0</v>
      </c>
      <c r="N83" s="58">
        <v>0</v>
      </c>
      <c r="O83" s="60" t="s">
        <v>77</v>
      </c>
      <c r="P83" s="61">
        <v>0.39583333333333331</v>
      </c>
      <c r="Q83" s="58">
        <v>168</v>
      </c>
      <c r="R83" s="62" t="s">
        <v>78</v>
      </c>
    </row>
    <row r="84" spans="1:18" ht="17.399999999999999" customHeight="1" thickBot="1" x14ac:dyDescent="0.35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5"/>
    </row>
    <row r="85" spans="1:18" ht="22.05" customHeight="1" thickTop="1" thickBot="1" x14ac:dyDescent="0.35">
      <c r="A85" s="191" t="s">
        <v>8</v>
      </c>
      <c r="B85" s="189"/>
      <c r="C85" s="189"/>
      <c r="D85" s="189"/>
      <c r="E85" s="189"/>
      <c r="F85" s="190"/>
      <c r="G85" s="18">
        <v>46054</v>
      </c>
      <c r="H85" s="188" t="s">
        <v>9</v>
      </c>
      <c r="I85" s="189"/>
      <c r="J85" s="189"/>
      <c r="K85" s="189"/>
      <c r="L85" s="189"/>
      <c r="M85" s="189"/>
      <c r="N85" s="189"/>
      <c r="O85" s="189"/>
      <c r="P85" s="189"/>
      <c r="Q85" s="189"/>
      <c r="R85" s="190"/>
    </row>
    <row r="86" spans="1:18" ht="24" customHeight="1" x14ac:dyDescent="0.3">
      <c r="A86" s="19" t="s">
        <v>10</v>
      </c>
      <c r="B86" s="19" t="s">
        <v>11</v>
      </c>
      <c r="C86" s="20" t="s">
        <v>12</v>
      </c>
      <c r="D86" s="19" t="s">
        <v>13</v>
      </c>
      <c r="E86" s="19" t="s">
        <v>14</v>
      </c>
      <c r="F86" s="21" t="s">
        <v>15</v>
      </c>
      <c r="G86" s="22" t="s">
        <v>16</v>
      </c>
      <c r="H86" s="19" t="s">
        <v>17</v>
      </c>
      <c r="I86" s="23" t="s">
        <v>18</v>
      </c>
      <c r="J86" s="24" t="s">
        <v>19</v>
      </c>
      <c r="K86" s="25" t="s">
        <v>20</v>
      </c>
      <c r="L86" s="24" t="s">
        <v>21</v>
      </c>
      <c r="M86" s="24" t="s">
        <v>22</v>
      </c>
      <c r="N86" s="24" t="s">
        <v>23</v>
      </c>
      <c r="O86" s="19" t="s">
        <v>24</v>
      </c>
      <c r="P86" s="20" t="s">
        <v>25</v>
      </c>
      <c r="Q86" s="24" t="s">
        <v>26</v>
      </c>
      <c r="R86" s="19" t="s">
        <v>27</v>
      </c>
    </row>
    <row r="87" spans="1:18" ht="49.95" customHeight="1" thickTop="1" thickBot="1" x14ac:dyDescent="0.35">
      <c r="A87" s="8" t="s">
        <v>28</v>
      </c>
      <c r="B87" s="8" t="s">
        <v>29</v>
      </c>
      <c r="C87" s="9">
        <v>0.90277777777777779</v>
      </c>
      <c r="D87" s="8" t="s">
        <v>30</v>
      </c>
      <c r="E87" s="10"/>
      <c r="F87" s="8" t="s">
        <v>62</v>
      </c>
      <c r="G87" s="179"/>
      <c r="H87" s="11" t="s">
        <v>29</v>
      </c>
      <c r="I87" s="142">
        <v>0.11899999999999999</v>
      </c>
      <c r="J87" s="13">
        <v>20</v>
      </c>
      <c r="K87" s="14" t="s">
        <v>70</v>
      </c>
      <c r="L87" s="13">
        <v>21</v>
      </c>
      <c r="M87" s="13">
        <v>0</v>
      </c>
      <c r="N87" s="13">
        <v>0</v>
      </c>
      <c r="O87" s="15" t="s">
        <v>79</v>
      </c>
      <c r="P87" s="16">
        <v>0.90277777777777779</v>
      </c>
      <c r="Q87" s="13">
        <v>168</v>
      </c>
      <c r="R87" s="17" t="s">
        <v>80</v>
      </c>
    </row>
    <row r="88" spans="1:18" ht="17.399999999999999" customHeight="1" thickBot="1" x14ac:dyDescent="0.35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5"/>
    </row>
    <row r="89" spans="1:18" ht="22.05" customHeight="1" thickTop="1" thickBot="1" x14ac:dyDescent="0.35">
      <c r="A89" s="191" t="s">
        <v>8</v>
      </c>
      <c r="B89" s="189"/>
      <c r="C89" s="189"/>
      <c r="D89" s="189"/>
      <c r="E89" s="189"/>
      <c r="F89" s="190"/>
      <c r="G89" s="18">
        <v>46056</v>
      </c>
      <c r="H89" s="188" t="s">
        <v>9</v>
      </c>
      <c r="I89" s="189"/>
      <c r="J89" s="189"/>
      <c r="K89" s="189"/>
      <c r="L89" s="189"/>
      <c r="M89" s="189"/>
      <c r="N89" s="189"/>
      <c r="O89" s="189"/>
      <c r="P89" s="189"/>
      <c r="Q89" s="189"/>
      <c r="R89" s="190"/>
    </row>
    <row r="90" spans="1:18" ht="24" customHeight="1" x14ac:dyDescent="0.3">
      <c r="A90" s="19" t="s">
        <v>10</v>
      </c>
      <c r="B90" s="19" t="s">
        <v>11</v>
      </c>
      <c r="C90" s="20" t="s">
        <v>12</v>
      </c>
      <c r="D90" s="19" t="s">
        <v>13</v>
      </c>
      <c r="E90" s="19" t="s">
        <v>14</v>
      </c>
      <c r="F90" s="21" t="s">
        <v>15</v>
      </c>
      <c r="G90" s="22" t="s">
        <v>16</v>
      </c>
      <c r="H90" s="19" t="s">
        <v>17</v>
      </c>
      <c r="I90" s="23" t="s">
        <v>18</v>
      </c>
      <c r="J90" s="24" t="s">
        <v>19</v>
      </c>
      <c r="K90" s="25" t="s">
        <v>20</v>
      </c>
      <c r="L90" s="24" t="s">
        <v>21</v>
      </c>
      <c r="M90" s="24" t="s">
        <v>22</v>
      </c>
      <c r="N90" s="24" t="s">
        <v>23</v>
      </c>
      <c r="O90" s="19" t="s">
        <v>24</v>
      </c>
      <c r="P90" s="20" t="s">
        <v>25</v>
      </c>
      <c r="Q90" s="24" t="s">
        <v>26</v>
      </c>
      <c r="R90" s="19" t="s">
        <v>27</v>
      </c>
    </row>
    <row r="91" spans="1:18" ht="49.95" customHeight="1" x14ac:dyDescent="0.3">
      <c r="A91" s="66" t="s">
        <v>28</v>
      </c>
      <c r="B91" s="66" t="s">
        <v>39</v>
      </c>
      <c r="C91" s="67">
        <v>4.8611111111111112E-2</v>
      </c>
      <c r="D91" s="66" t="s">
        <v>30</v>
      </c>
      <c r="E91" s="68"/>
      <c r="F91" s="66" t="s">
        <v>62</v>
      </c>
      <c r="G91" s="179"/>
      <c r="H91" s="144" t="s">
        <v>39</v>
      </c>
      <c r="I91" s="145">
        <v>0.2321</v>
      </c>
      <c r="J91" s="146">
        <v>39</v>
      </c>
      <c r="K91" s="147" t="s">
        <v>70</v>
      </c>
      <c r="L91" s="146">
        <v>15</v>
      </c>
      <c r="M91" s="146">
        <v>0</v>
      </c>
      <c r="N91" s="146">
        <v>0</v>
      </c>
      <c r="O91" s="148" t="s">
        <v>81</v>
      </c>
      <c r="P91" s="149">
        <v>4.8611111111111112E-2</v>
      </c>
      <c r="Q91" s="146">
        <v>168</v>
      </c>
      <c r="R91" s="150" t="s">
        <v>82</v>
      </c>
    </row>
    <row r="92" spans="1:18" ht="49.95" customHeight="1" thickBot="1" x14ac:dyDescent="0.35">
      <c r="A92" s="151" t="s">
        <v>28</v>
      </c>
      <c r="B92" s="151" t="s">
        <v>29</v>
      </c>
      <c r="C92" s="152">
        <v>0.97916666666666663</v>
      </c>
      <c r="D92" s="151" t="s">
        <v>30</v>
      </c>
      <c r="E92" s="153"/>
      <c r="F92" s="151" t="s">
        <v>62</v>
      </c>
      <c r="G92" s="183"/>
      <c r="H92" s="124" t="s">
        <v>29</v>
      </c>
      <c r="I92" s="125">
        <v>7.7399999999999997E-2</v>
      </c>
      <c r="J92" s="126">
        <v>13</v>
      </c>
      <c r="K92" s="127" t="s">
        <v>70</v>
      </c>
      <c r="L92" s="126">
        <v>14</v>
      </c>
      <c r="M92" s="126">
        <v>0</v>
      </c>
      <c r="N92" s="126">
        <v>0</v>
      </c>
      <c r="O92" s="128" t="s">
        <v>74</v>
      </c>
      <c r="P92" s="129">
        <v>0.97916666666666663</v>
      </c>
      <c r="Q92" s="126">
        <v>168</v>
      </c>
      <c r="R92" s="130" t="s">
        <v>83</v>
      </c>
    </row>
    <row r="93" spans="1:18" ht="17.399999999999999" customHeight="1" thickBot="1" x14ac:dyDescent="0.35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5"/>
    </row>
    <row r="94" spans="1:18" ht="22.05" customHeight="1" thickTop="1" thickBot="1" x14ac:dyDescent="0.35">
      <c r="A94" s="191" t="s">
        <v>8</v>
      </c>
      <c r="B94" s="189"/>
      <c r="C94" s="189"/>
      <c r="D94" s="189"/>
      <c r="E94" s="189"/>
      <c r="F94" s="190"/>
      <c r="G94" s="18">
        <v>46058</v>
      </c>
      <c r="H94" s="188" t="s">
        <v>9</v>
      </c>
      <c r="I94" s="189"/>
      <c r="J94" s="189"/>
      <c r="K94" s="189"/>
      <c r="L94" s="189"/>
      <c r="M94" s="189"/>
      <c r="N94" s="189"/>
      <c r="O94" s="189"/>
      <c r="P94" s="189"/>
      <c r="Q94" s="189"/>
      <c r="R94" s="190"/>
    </row>
    <row r="95" spans="1:18" ht="24" customHeight="1" x14ac:dyDescent="0.3">
      <c r="A95" s="19" t="s">
        <v>10</v>
      </c>
      <c r="B95" s="19" t="s">
        <v>11</v>
      </c>
      <c r="C95" s="20" t="s">
        <v>12</v>
      </c>
      <c r="D95" s="19" t="s">
        <v>13</v>
      </c>
      <c r="E95" s="19" t="s">
        <v>14</v>
      </c>
      <c r="F95" s="21" t="s">
        <v>15</v>
      </c>
      <c r="G95" s="22" t="s">
        <v>16</v>
      </c>
      <c r="H95" s="19" t="s">
        <v>17</v>
      </c>
      <c r="I95" s="23" t="s">
        <v>18</v>
      </c>
      <c r="J95" s="24" t="s">
        <v>19</v>
      </c>
      <c r="K95" s="25" t="s">
        <v>20</v>
      </c>
      <c r="L95" s="24" t="s">
        <v>21</v>
      </c>
      <c r="M95" s="24" t="s">
        <v>22</v>
      </c>
      <c r="N95" s="24" t="s">
        <v>23</v>
      </c>
      <c r="O95" s="19" t="s">
        <v>24</v>
      </c>
      <c r="P95" s="20" t="s">
        <v>25</v>
      </c>
      <c r="Q95" s="24" t="s">
        <v>26</v>
      </c>
      <c r="R95" s="19" t="s">
        <v>27</v>
      </c>
    </row>
    <row r="96" spans="1:18" ht="49.95" customHeight="1" thickTop="1" thickBot="1" x14ac:dyDescent="0.35">
      <c r="A96" s="63" t="s">
        <v>28</v>
      </c>
      <c r="B96" s="63" t="s">
        <v>29</v>
      </c>
      <c r="C96" s="64">
        <v>0.53819444444444442</v>
      </c>
      <c r="D96" s="63" t="s">
        <v>30</v>
      </c>
      <c r="E96" s="65"/>
      <c r="F96" s="63" t="s">
        <v>62</v>
      </c>
      <c r="G96" s="179"/>
      <c r="H96" s="46" t="s">
        <v>29</v>
      </c>
      <c r="I96" s="112">
        <v>0.2024</v>
      </c>
      <c r="J96" s="48">
        <v>34</v>
      </c>
      <c r="K96" s="49" t="s">
        <v>47</v>
      </c>
      <c r="L96" s="48">
        <v>34</v>
      </c>
      <c r="M96" s="48">
        <v>0</v>
      </c>
      <c r="N96" s="48">
        <v>0</v>
      </c>
      <c r="O96" s="50" t="s">
        <v>84</v>
      </c>
      <c r="P96" s="51">
        <v>0.53819444444444442</v>
      </c>
      <c r="Q96" s="48">
        <v>168</v>
      </c>
      <c r="R96" s="52" t="s">
        <v>85</v>
      </c>
    </row>
    <row r="97" spans="1:18" ht="17.399999999999999" customHeight="1" thickBot="1" x14ac:dyDescent="0.35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5"/>
    </row>
    <row r="98" spans="1:18" ht="22.05" customHeight="1" thickTop="1" thickBot="1" x14ac:dyDescent="0.35">
      <c r="A98" s="191" t="s">
        <v>8</v>
      </c>
      <c r="B98" s="189"/>
      <c r="C98" s="189"/>
      <c r="D98" s="189"/>
      <c r="E98" s="189"/>
      <c r="F98" s="190"/>
      <c r="G98" s="18">
        <v>46060</v>
      </c>
      <c r="H98" s="188" t="s">
        <v>9</v>
      </c>
      <c r="I98" s="189"/>
      <c r="J98" s="189"/>
      <c r="K98" s="189"/>
      <c r="L98" s="189"/>
      <c r="M98" s="189"/>
      <c r="N98" s="189"/>
      <c r="O98" s="189"/>
      <c r="P98" s="189"/>
      <c r="Q98" s="189"/>
      <c r="R98" s="190"/>
    </row>
    <row r="99" spans="1:18" ht="24" customHeight="1" x14ac:dyDescent="0.3">
      <c r="A99" s="19" t="s">
        <v>10</v>
      </c>
      <c r="B99" s="19" t="s">
        <v>11</v>
      </c>
      <c r="C99" s="20" t="s">
        <v>12</v>
      </c>
      <c r="D99" s="19" t="s">
        <v>13</v>
      </c>
      <c r="E99" s="19" t="s">
        <v>14</v>
      </c>
      <c r="F99" s="21" t="s">
        <v>15</v>
      </c>
      <c r="G99" s="22" t="s">
        <v>16</v>
      </c>
      <c r="H99" s="19" t="s">
        <v>17</v>
      </c>
      <c r="I99" s="23" t="s">
        <v>18</v>
      </c>
      <c r="J99" s="24" t="s">
        <v>19</v>
      </c>
      <c r="K99" s="25" t="s">
        <v>20</v>
      </c>
      <c r="L99" s="24" t="s">
        <v>21</v>
      </c>
      <c r="M99" s="24" t="s">
        <v>22</v>
      </c>
      <c r="N99" s="24" t="s">
        <v>23</v>
      </c>
      <c r="O99" s="19" t="s">
        <v>24</v>
      </c>
      <c r="P99" s="20" t="s">
        <v>25</v>
      </c>
      <c r="Q99" s="24" t="s">
        <v>26</v>
      </c>
      <c r="R99" s="19" t="s">
        <v>27</v>
      </c>
    </row>
    <row r="100" spans="1:18" ht="49.95" customHeight="1" thickTop="1" thickBot="1" x14ac:dyDescent="0.5">
      <c r="A100" s="8" t="s">
        <v>28</v>
      </c>
      <c r="B100" s="8" t="s">
        <v>29</v>
      </c>
      <c r="C100" s="9">
        <v>0.39583333333333331</v>
      </c>
      <c r="D100" s="8" t="s">
        <v>30</v>
      </c>
      <c r="E100" s="10"/>
      <c r="F100" s="8" t="s">
        <v>62</v>
      </c>
      <c r="G100" s="187"/>
      <c r="H100" s="11" t="s">
        <v>29</v>
      </c>
      <c r="I100" s="142">
        <v>0.1012</v>
      </c>
      <c r="J100" s="13">
        <v>17</v>
      </c>
      <c r="K100" s="14" t="s">
        <v>49</v>
      </c>
      <c r="L100" s="13">
        <v>18</v>
      </c>
      <c r="M100" s="13">
        <v>0</v>
      </c>
      <c r="N100" s="13">
        <v>0</v>
      </c>
      <c r="O100" s="15" t="s">
        <v>86</v>
      </c>
      <c r="P100" s="16">
        <v>0.39583333333333331</v>
      </c>
      <c r="Q100" s="13">
        <v>168</v>
      </c>
      <c r="R100" s="17" t="s">
        <v>87</v>
      </c>
    </row>
    <row r="101" spans="1:18" ht="17.399999999999999" customHeight="1" thickBot="1" x14ac:dyDescent="0.35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5"/>
    </row>
    <row r="102" spans="1:18" ht="22.05" customHeight="1" thickTop="1" thickBot="1" x14ac:dyDescent="0.35">
      <c r="A102" s="191" t="s">
        <v>8</v>
      </c>
      <c r="B102" s="189"/>
      <c r="C102" s="189"/>
      <c r="D102" s="189"/>
      <c r="E102" s="189"/>
      <c r="F102" s="190"/>
      <c r="G102" s="18">
        <v>46061</v>
      </c>
      <c r="H102" s="188" t="s">
        <v>9</v>
      </c>
      <c r="I102" s="189"/>
      <c r="J102" s="189"/>
      <c r="K102" s="189"/>
      <c r="L102" s="189"/>
      <c r="M102" s="189"/>
      <c r="N102" s="189"/>
      <c r="O102" s="189"/>
      <c r="P102" s="189"/>
      <c r="Q102" s="189"/>
      <c r="R102" s="190"/>
    </row>
    <row r="103" spans="1:18" ht="24" customHeight="1" x14ac:dyDescent="0.3">
      <c r="A103" s="19" t="s">
        <v>10</v>
      </c>
      <c r="B103" s="19" t="s">
        <v>11</v>
      </c>
      <c r="C103" s="20" t="s">
        <v>12</v>
      </c>
      <c r="D103" s="19" t="s">
        <v>13</v>
      </c>
      <c r="E103" s="19" t="s">
        <v>14</v>
      </c>
      <c r="F103" s="21" t="s">
        <v>15</v>
      </c>
      <c r="G103" s="22" t="s">
        <v>16</v>
      </c>
      <c r="H103" s="19" t="s">
        <v>17</v>
      </c>
      <c r="I103" s="23" t="s">
        <v>18</v>
      </c>
      <c r="J103" s="24" t="s">
        <v>19</v>
      </c>
      <c r="K103" s="25" t="s">
        <v>20</v>
      </c>
      <c r="L103" s="24" t="s">
        <v>21</v>
      </c>
      <c r="M103" s="24" t="s">
        <v>22</v>
      </c>
      <c r="N103" s="24" t="s">
        <v>23</v>
      </c>
      <c r="O103" s="19" t="s">
        <v>24</v>
      </c>
      <c r="P103" s="20" t="s">
        <v>25</v>
      </c>
      <c r="Q103" s="24" t="s">
        <v>26</v>
      </c>
      <c r="R103" s="19" t="s">
        <v>27</v>
      </c>
    </row>
    <row r="104" spans="1:18" ht="49.95" customHeight="1" thickTop="1" thickBot="1" x14ac:dyDescent="0.35">
      <c r="A104" s="76" t="s">
        <v>28</v>
      </c>
      <c r="B104" s="76" t="s">
        <v>29</v>
      </c>
      <c r="C104" s="77">
        <v>0.90277777777777779</v>
      </c>
      <c r="D104" s="76" t="s">
        <v>30</v>
      </c>
      <c r="E104" s="78"/>
      <c r="F104" s="76" t="s">
        <v>62</v>
      </c>
      <c r="G104" s="179"/>
      <c r="H104" s="154" t="s">
        <v>29</v>
      </c>
      <c r="I104" s="155">
        <v>5.9499999999999997E-2</v>
      </c>
      <c r="J104" s="156">
        <v>10</v>
      </c>
      <c r="K104" s="157" t="s">
        <v>49</v>
      </c>
      <c r="L104" s="156">
        <v>11</v>
      </c>
      <c r="M104" s="156">
        <v>0</v>
      </c>
      <c r="N104" s="156">
        <v>0</v>
      </c>
      <c r="O104" s="158" t="s">
        <v>88</v>
      </c>
      <c r="P104" s="159">
        <v>0.90277777777777779</v>
      </c>
      <c r="Q104" s="156">
        <v>168</v>
      </c>
      <c r="R104" s="160" t="s">
        <v>89</v>
      </c>
    </row>
    <row r="105" spans="1:18" ht="17.399999999999999" customHeight="1" thickBot="1" x14ac:dyDescent="0.35">
      <c r="A105" s="213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5"/>
    </row>
    <row r="106" spans="1:18" ht="22.05" customHeight="1" thickTop="1" thickBot="1" x14ac:dyDescent="0.35">
      <c r="A106" s="191" t="s">
        <v>8</v>
      </c>
      <c r="B106" s="189"/>
      <c r="C106" s="189"/>
      <c r="D106" s="189"/>
      <c r="E106" s="189"/>
      <c r="F106" s="190"/>
      <c r="G106" s="18">
        <v>46063</v>
      </c>
      <c r="H106" s="188" t="s">
        <v>9</v>
      </c>
      <c r="I106" s="189"/>
      <c r="J106" s="189"/>
      <c r="K106" s="189"/>
      <c r="L106" s="189"/>
      <c r="M106" s="189"/>
      <c r="N106" s="189"/>
      <c r="O106" s="189"/>
      <c r="P106" s="189"/>
      <c r="Q106" s="189"/>
      <c r="R106" s="190"/>
    </row>
    <row r="107" spans="1:18" ht="24" customHeight="1" x14ac:dyDescent="0.3">
      <c r="A107" s="19" t="s">
        <v>10</v>
      </c>
      <c r="B107" s="19" t="s">
        <v>11</v>
      </c>
      <c r="C107" s="20" t="s">
        <v>12</v>
      </c>
      <c r="D107" s="19" t="s">
        <v>13</v>
      </c>
      <c r="E107" s="19" t="s">
        <v>14</v>
      </c>
      <c r="F107" s="21" t="s">
        <v>15</v>
      </c>
      <c r="G107" s="22" t="s">
        <v>16</v>
      </c>
      <c r="H107" s="19" t="s">
        <v>17</v>
      </c>
      <c r="I107" s="23" t="s">
        <v>18</v>
      </c>
      <c r="J107" s="24" t="s">
        <v>19</v>
      </c>
      <c r="K107" s="25" t="s">
        <v>20</v>
      </c>
      <c r="L107" s="24" t="s">
        <v>21</v>
      </c>
      <c r="M107" s="24" t="s">
        <v>22</v>
      </c>
      <c r="N107" s="24" t="s">
        <v>23</v>
      </c>
      <c r="O107" s="19" t="s">
        <v>24</v>
      </c>
      <c r="P107" s="20" t="s">
        <v>25</v>
      </c>
      <c r="Q107" s="24" t="s">
        <v>26</v>
      </c>
      <c r="R107" s="19" t="s">
        <v>27</v>
      </c>
    </row>
    <row r="108" spans="1:18" ht="49.95" customHeight="1" x14ac:dyDescent="0.3">
      <c r="A108" s="26" t="s">
        <v>28</v>
      </c>
      <c r="B108" s="26" t="s">
        <v>39</v>
      </c>
      <c r="C108" s="27">
        <v>4.8611111111111112E-2</v>
      </c>
      <c r="D108" s="26" t="s">
        <v>30</v>
      </c>
      <c r="E108" s="28"/>
      <c r="F108" s="26" t="s">
        <v>62</v>
      </c>
      <c r="G108" s="179"/>
      <c r="H108" s="113" t="s">
        <v>39</v>
      </c>
      <c r="I108" s="114">
        <v>0.14879999999999999</v>
      </c>
      <c r="J108" s="115">
        <v>25</v>
      </c>
      <c r="K108" s="116" t="s">
        <v>90</v>
      </c>
      <c r="L108" s="115">
        <v>1</v>
      </c>
      <c r="M108" s="115">
        <v>0</v>
      </c>
      <c r="N108" s="115">
        <v>0</v>
      </c>
      <c r="O108" s="117" t="s">
        <v>65</v>
      </c>
      <c r="P108" s="118">
        <v>4.8611111111111112E-2</v>
      </c>
      <c r="Q108" s="115">
        <v>168</v>
      </c>
      <c r="R108" s="119" t="s">
        <v>91</v>
      </c>
    </row>
    <row r="109" spans="1:18" ht="49.95" customHeight="1" thickBot="1" x14ac:dyDescent="0.35">
      <c r="A109" s="139" t="s">
        <v>28</v>
      </c>
      <c r="B109" s="139" t="s">
        <v>29</v>
      </c>
      <c r="C109" s="140">
        <v>0.97916666666666663</v>
      </c>
      <c r="D109" s="139" t="s">
        <v>30</v>
      </c>
      <c r="E109" s="141"/>
      <c r="F109" s="139" t="s">
        <v>62</v>
      </c>
      <c r="G109" s="183"/>
      <c r="H109" s="11" t="s">
        <v>29</v>
      </c>
      <c r="I109" s="142">
        <v>1.1900000000000001E-2</v>
      </c>
      <c r="J109" s="13">
        <v>2</v>
      </c>
      <c r="K109" s="14" t="s">
        <v>64</v>
      </c>
      <c r="L109" s="13">
        <v>3</v>
      </c>
      <c r="M109" s="13">
        <v>0</v>
      </c>
      <c r="N109" s="13">
        <v>0</v>
      </c>
      <c r="O109" s="15" t="s">
        <v>65</v>
      </c>
      <c r="P109" s="16">
        <v>0.97916666666666663</v>
      </c>
      <c r="Q109" s="13">
        <v>168</v>
      </c>
      <c r="R109" s="17" t="s">
        <v>92</v>
      </c>
    </row>
    <row r="110" spans="1:18" ht="17.399999999999999" customHeight="1" thickBot="1" x14ac:dyDescent="0.35">
      <c r="A110" s="213"/>
      <c r="B110" s="214"/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5"/>
    </row>
    <row r="111" spans="1:18" ht="22.05" customHeight="1" thickTop="1" thickBot="1" x14ac:dyDescent="0.35">
      <c r="A111" s="191" t="s">
        <v>8</v>
      </c>
      <c r="B111" s="189"/>
      <c r="C111" s="189"/>
      <c r="D111" s="189"/>
      <c r="E111" s="189"/>
      <c r="F111" s="190"/>
      <c r="G111" s="18">
        <v>46065</v>
      </c>
      <c r="H111" s="188" t="s">
        <v>9</v>
      </c>
      <c r="I111" s="189"/>
      <c r="J111" s="189"/>
      <c r="K111" s="189"/>
      <c r="L111" s="189"/>
      <c r="M111" s="189"/>
      <c r="N111" s="189"/>
      <c r="O111" s="189"/>
      <c r="P111" s="189"/>
      <c r="Q111" s="189"/>
      <c r="R111" s="190"/>
    </row>
    <row r="112" spans="1:18" ht="24" customHeight="1" x14ac:dyDescent="0.3">
      <c r="A112" s="19" t="s">
        <v>10</v>
      </c>
      <c r="B112" s="19" t="s">
        <v>11</v>
      </c>
      <c r="C112" s="20" t="s">
        <v>12</v>
      </c>
      <c r="D112" s="19" t="s">
        <v>13</v>
      </c>
      <c r="E112" s="19" t="s">
        <v>14</v>
      </c>
      <c r="F112" s="21" t="s">
        <v>15</v>
      </c>
      <c r="G112" s="22" t="s">
        <v>16</v>
      </c>
      <c r="H112" s="19" t="s">
        <v>17</v>
      </c>
      <c r="I112" s="23" t="s">
        <v>18</v>
      </c>
      <c r="J112" s="24" t="s">
        <v>19</v>
      </c>
      <c r="K112" s="25" t="s">
        <v>20</v>
      </c>
      <c r="L112" s="24" t="s">
        <v>21</v>
      </c>
      <c r="M112" s="24" t="s">
        <v>22</v>
      </c>
      <c r="N112" s="24" t="s">
        <v>23</v>
      </c>
      <c r="O112" s="19" t="s">
        <v>24</v>
      </c>
      <c r="P112" s="20" t="s">
        <v>25</v>
      </c>
      <c r="Q112" s="24" t="s">
        <v>26</v>
      </c>
      <c r="R112" s="19" t="s">
        <v>27</v>
      </c>
    </row>
    <row r="113" spans="1:18" ht="49.95" customHeight="1" thickTop="1" thickBot="1" x14ac:dyDescent="0.35">
      <c r="A113" s="53" t="s">
        <v>28</v>
      </c>
      <c r="B113" s="53" t="s">
        <v>29</v>
      </c>
      <c r="C113" s="54">
        <v>0.53819444444444442</v>
      </c>
      <c r="D113" s="53" t="s">
        <v>30</v>
      </c>
      <c r="E113" s="55"/>
      <c r="F113" s="53" t="s">
        <v>62</v>
      </c>
      <c r="G113" s="179"/>
      <c r="H113" s="56" t="s">
        <v>29</v>
      </c>
      <c r="I113" s="143">
        <v>2.98E-2</v>
      </c>
      <c r="J113" s="58">
        <v>5</v>
      </c>
      <c r="K113" s="59" t="s">
        <v>70</v>
      </c>
      <c r="L113" s="58">
        <v>5</v>
      </c>
      <c r="M113" s="58">
        <v>0</v>
      </c>
      <c r="N113" s="58">
        <v>0</v>
      </c>
      <c r="O113" s="60" t="s">
        <v>65</v>
      </c>
      <c r="P113" s="61">
        <v>0.53819444444444442</v>
      </c>
      <c r="Q113" s="58">
        <v>168</v>
      </c>
      <c r="R113" s="62" t="s">
        <v>66</v>
      </c>
    </row>
    <row r="114" spans="1:18" ht="17.399999999999999" customHeight="1" thickBot="1" x14ac:dyDescent="0.35">
      <c r="A114" s="213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5"/>
    </row>
    <row r="115" spans="1:18" ht="22.05" customHeight="1" thickTop="1" thickBot="1" x14ac:dyDescent="0.35">
      <c r="A115" s="191" t="s">
        <v>8</v>
      </c>
      <c r="B115" s="189"/>
      <c r="C115" s="189"/>
      <c r="D115" s="189"/>
      <c r="E115" s="189"/>
      <c r="F115" s="190"/>
      <c r="G115" s="18">
        <v>46067</v>
      </c>
      <c r="H115" s="188" t="s">
        <v>9</v>
      </c>
      <c r="I115" s="189"/>
      <c r="J115" s="189"/>
      <c r="K115" s="189"/>
      <c r="L115" s="189"/>
      <c r="M115" s="189"/>
      <c r="N115" s="189"/>
      <c r="O115" s="189"/>
      <c r="P115" s="189"/>
      <c r="Q115" s="189"/>
      <c r="R115" s="190"/>
    </row>
    <row r="116" spans="1:18" ht="24" customHeight="1" x14ac:dyDescent="0.3">
      <c r="A116" s="19" t="s">
        <v>10</v>
      </c>
      <c r="B116" s="19" t="s">
        <v>11</v>
      </c>
      <c r="C116" s="20" t="s">
        <v>12</v>
      </c>
      <c r="D116" s="19" t="s">
        <v>13</v>
      </c>
      <c r="E116" s="19" t="s">
        <v>14</v>
      </c>
      <c r="F116" s="21" t="s">
        <v>15</v>
      </c>
      <c r="G116" s="22" t="s">
        <v>16</v>
      </c>
      <c r="H116" s="19" t="s">
        <v>17</v>
      </c>
      <c r="I116" s="23" t="s">
        <v>18</v>
      </c>
      <c r="J116" s="24" t="s">
        <v>19</v>
      </c>
      <c r="K116" s="25" t="s">
        <v>20</v>
      </c>
      <c r="L116" s="24" t="s">
        <v>21</v>
      </c>
      <c r="M116" s="24" t="s">
        <v>22</v>
      </c>
      <c r="N116" s="24" t="s">
        <v>23</v>
      </c>
      <c r="O116" s="19" t="s">
        <v>24</v>
      </c>
      <c r="P116" s="20" t="s">
        <v>25</v>
      </c>
      <c r="Q116" s="24" t="s">
        <v>26</v>
      </c>
      <c r="R116" s="19" t="s">
        <v>27</v>
      </c>
    </row>
    <row r="117" spans="1:18" ht="49.95" customHeight="1" thickTop="1" thickBot="1" x14ac:dyDescent="0.35">
      <c r="A117" s="121" t="s">
        <v>28</v>
      </c>
      <c r="B117" s="121" t="s">
        <v>29</v>
      </c>
      <c r="C117" s="122">
        <v>0.39583333333333331</v>
      </c>
      <c r="D117" s="121" t="s">
        <v>30</v>
      </c>
      <c r="E117" s="123"/>
      <c r="F117" s="121" t="s">
        <v>62</v>
      </c>
      <c r="G117" s="179"/>
      <c r="H117" s="124" t="s">
        <v>29</v>
      </c>
      <c r="I117" s="125">
        <v>2.3800000000000002E-2</v>
      </c>
      <c r="J117" s="126">
        <v>4</v>
      </c>
      <c r="K117" s="127" t="s">
        <v>93</v>
      </c>
      <c r="L117" s="126">
        <v>4</v>
      </c>
      <c r="M117" s="126">
        <v>0</v>
      </c>
      <c r="N117" s="126">
        <v>0</v>
      </c>
      <c r="O117" s="128" t="s">
        <v>65</v>
      </c>
      <c r="P117" s="129">
        <v>0.39583333333333331</v>
      </c>
      <c r="Q117" s="126">
        <v>168</v>
      </c>
      <c r="R117" s="130" t="s">
        <v>74</v>
      </c>
    </row>
    <row r="118" spans="1:18" ht="17.399999999999999" customHeight="1" thickBot="1" x14ac:dyDescent="0.35">
      <c r="A118" s="213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5"/>
    </row>
    <row r="119" spans="1:18" ht="22.05" customHeight="1" thickTop="1" thickBot="1" x14ac:dyDescent="0.35">
      <c r="A119" s="191" t="s">
        <v>8</v>
      </c>
      <c r="B119" s="189"/>
      <c r="C119" s="189"/>
      <c r="D119" s="189"/>
      <c r="E119" s="189"/>
      <c r="F119" s="190"/>
      <c r="G119" s="18">
        <v>46068</v>
      </c>
      <c r="H119" s="188" t="s">
        <v>9</v>
      </c>
      <c r="I119" s="189"/>
      <c r="J119" s="189"/>
      <c r="K119" s="189"/>
      <c r="L119" s="189"/>
      <c r="M119" s="189"/>
      <c r="N119" s="189"/>
      <c r="O119" s="189"/>
      <c r="P119" s="189"/>
      <c r="Q119" s="189"/>
      <c r="R119" s="190"/>
    </row>
    <row r="120" spans="1:18" ht="24" customHeight="1" x14ac:dyDescent="0.3">
      <c r="A120" s="19" t="s">
        <v>10</v>
      </c>
      <c r="B120" s="19" t="s">
        <v>11</v>
      </c>
      <c r="C120" s="20" t="s">
        <v>12</v>
      </c>
      <c r="D120" s="19" t="s">
        <v>13</v>
      </c>
      <c r="E120" s="19" t="s">
        <v>14</v>
      </c>
      <c r="F120" s="21" t="s">
        <v>15</v>
      </c>
      <c r="G120" s="22" t="s">
        <v>16</v>
      </c>
      <c r="H120" s="19" t="s">
        <v>17</v>
      </c>
      <c r="I120" s="23" t="s">
        <v>18</v>
      </c>
      <c r="J120" s="24" t="s">
        <v>19</v>
      </c>
      <c r="K120" s="25" t="s">
        <v>20</v>
      </c>
      <c r="L120" s="24" t="s">
        <v>21</v>
      </c>
      <c r="M120" s="24" t="s">
        <v>22</v>
      </c>
      <c r="N120" s="24" t="s">
        <v>23</v>
      </c>
      <c r="O120" s="19" t="s">
        <v>24</v>
      </c>
      <c r="P120" s="20" t="s">
        <v>25</v>
      </c>
      <c r="Q120" s="24" t="s">
        <v>26</v>
      </c>
      <c r="R120" s="19" t="s">
        <v>27</v>
      </c>
    </row>
    <row r="121" spans="1:18" ht="49.95" customHeight="1" thickTop="1" thickBot="1" x14ac:dyDescent="0.35">
      <c r="A121" s="76" t="s">
        <v>28</v>
      </c>
      <c r="B121" s="76" t="s">
        <v>29</v>
      </c>
      <c r="C121" s="77">
        <v>0.90277777777777779</v>
      </c>
      <c r="D121" s="76" t="s">
        <v>30</v>
      </c>
      <c r="E121" s="78"/>
      <c r="F121" s="76" t="s">
        <v>62</v>
      </c>
      <c r="G121" s="179"/>
      <c r="H121" s="154" t="s">
        <v>29</v>
      </c>
      <c r="I121" s="155">
        <v>2.3800000000000002E-2</v>
      </c>
      <c r="J121" s="156">
        <v>4</v>
      </c>
      <c r="K121" s="157" t="s">
        <v>94</v>
      </c>
      <c r="L121" s="156">
        <v>4</v>
      </c>
      <c r="M121" s="156">
        <v>0</v>
      </c>
      <c r="N121" s="156">
        <v>0</v>
      </c>
      <c r="O121" s="158" t="s">
        <v>65</v>
      </c>
      <c r="P121" s="159">
        <v>0.90277777777777779</v>
      </c>
      <c r="Q121" s="156">
        <v>168</v>
      </c>
      <c r="R121" s="160" t="s">
        <v>74</v>
      </c>
    </row>
    <row r="122" spans="1:18" ht="17.399999999999999" customHeight="1" thickBot="1" x14ac:dyDescent="0.35">
      <c r="A122" s="213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5"/>
    </row>
    <row r="123" spans="1:18" ht="22.05" customHeight="1" thickTop="1" thickBot="1" x14ac:dyDescent="0.35">
      <c r="A123" s="191" t="s">
        <v>8</v>
      </c>
      <c r="B123" s="189"/>
      <c r="C123" s="189"/>
      <c r="D123" s="189"/>
      <c r="E123" s="189"/>
      <c r="F123" s="190"/>
      <c r="G123" s="18">
        <v>46070</v>
      </c>
      <c r="H123" s="188" t="s">
        <v>9</v>
      </c>
      <c r="I123" s="189"/>
      <c r="J123" s="189"/>
      <c r="K123" s="189"/>
      <c r="L123" s="189"/>
      <c r="M123" s="189"/>
      <c r="N123" s="189"/>
      <c r="O123" s="189"/>
      <c r="P123" s="189"/>
      <c r="Q123" s="189"/>
      <c r="R123" s="190"/>
    </row>
    <row r="124" spans="1:18" ht="24" customHeight="1" x14ac:dyDescent="0.3">
      <c r="A124" s="19" t="s">
        <v>10</v>
      </c>
      <c r="B124" s="19" t="s">
        <v>11</v>
      </c>
      <c r="C124" s="20" t="s">
        <v>12</v>
      </c>
      <c r="D124" s="19" t="s">
        <v>13</v>
      </c>
      <c r="E124" s="19" t="s">
        <v>14</v>
      </c>
      <c r="F124" s="21" t="s">
        <v>15</v>
      </c>
      <c r="G124" s="22" t="s">
        <v>16</v>
      </c>
      <c r="H124" s="19" t="s">
        <v>17</v>
      </c>
      <c r="I124" s="23" t="s">
        <v>18</v>
      </c>
      <c r="J124" s="24" t="s">
        <v>19</v>
      </c>
      <c r="K124" s="25" t="s">
        <v>20</v>
      </c>
      <c r="L124" s="24" t="s">
        <v>21</v>
      </c>
      <c r="M124" s="24" t="s">
        <v>22</v>
      </c>
      <c r="N124" s="24" t="s">
        <v>23</v>
      </c>
      <c r="O124" s="19" t="s">
        <v>24</v>
      </c>
      <c r="P124" s="20" t="s">
        <v>25</v>
      </c>
      <c r="Q124" s="24" t="s">
        <v>26</v>
      </c>
      <c r="R124" s="19" t="s">
        <v>27</v>
      </c>
    </row>
    <row r="125" spans="1:18" ht="49.95" customHeight="1" x14ac:dyDescent="0.3">
      <c r="A125" s="89" t="s">
        <v>28</v>
      </c>
      <c r="B125" s="89" t="s">
        <v>39</v>
      </c>
      <c r="C125" s="90">
        <v>4.8611111111111112E-2</v>
      </c>
      <c r="D125" s="89" t="s">
        <v>30</v>
      </c>
      <c r="E125" s="91"/>
      <c r="F125" s="89" t="s">
        <v>62</v>
      </c>
      <c r="G125" s="179"/>
      <c r="H125" s="132" t="s">
        <v>39</v>
      </c>
      <c r="I125" s="133">
        <v>6.0000000000000001E-3</v>
      </c>
      <c r="J125" s="134">
        <v>1</v>
      </c>
      <c r="K125" s="135" t="s">
        <v>95</v>
      </c>
      <c r="L125" s="134">
        <v>1</v>
      </c>
      <c r="M125" s="134">
        <v>0</v>
      </c>
      <c r="N125" s="134">
        <v>0</v>
      </c>
      <c r="O125" s="136" t="s">
        <v>96</v>
      </c>
      <c r="P125" s="137">
        <v>4.8611111111111112E-2</v>
      </c>
      <c r="Q125" s="134">
        <v>168</v>
      </c>
      <c r="R125" s="138" t="s">
        <v>97</v>
      </c>
    </row>
    <row r="126" spans="1:18" ht="49.95" customHeight="1" thickBot="1" x14ac:dyDescent="0.35">
      <c r="A126" s="161" t="s">
        <v>28</v>
      </c>
      <c r="B126" s="161" t="s">
        <v>29</v>
      </c>
      <c r="C126" s="162">
        <v>0.97916666666666663</v>
      </c>
      <c r="D126" s="161" t="s">
        <v>30</v>
      </c>
      <c r="E126" s="163"/>
      <c r="F126" s="161" t="s">
        <v>72</v>
      </c>
      <c r="G126" s="183"/>
      <c r="H126" s="29" t="s">
        <v>29</v>
      </c>
      <c r="I126" s="131">
        <v>0</v>
      </c>
      <c r="J126" s="31">
        <v>0</v>
      </c>
      <c r="K126" s="32" t="s">
        <v>73</v>
      </c>
      <c r="L126" s="31">
        <v>0</v>
      </c>
      <c r="M126" s="31">
        <v>0</v>
      </c>
      <c r="N126" s="31">
        <v>0</v>
      </c>
      <c r="O126" s="33" t="s">
        <v>96</v>
      </c>
      <c r="P126" s="34">
        <v>0.97916666666666663</v>
      </c>
      <c r="Q126" s="31">
        <v>168</v>
      </c>
      <c r="R126" s="35" t="s">
        <v>73</v>
      </c>
    </row>
    <row r="127" spans="1:18" ht="17.399999999999999" customHeight="1" thickBot="1" x14ac:dyDescent="0.35">
      <c r="A127" s="213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5"/>
    </row>
    <row r="128" spans="1:18" ht="22.05" customHeight="1" thickTop="1" thickBot="1" x14ac:dyDescent="0.35">
      <c r="A128" s="191" t="s">
        <v>8</v>
      </c>
      <c r="B128" s="189"/>
      <c r="C128" s="189"/>
      <c r="D128" s="189"/>
      <c r="E128" s="189"/>
      <c r="F128" s="190"/>
      <c r="G128" s="18">
        <v>46072</v>
      </c>
      <c r="H128" s="188" t="s">
        <v>9</v>
      </c>
      <c r="I128" s="189"/>
      <c r="J128" s="189"/>
      <c r="K128" s="189"/>
      <c r="L128" s="189"/>
      <c r="M128" s="189"/>
      <c r="N128" s="189"/>
      <c r="O128" s="189"/>
      <c r="P128" s="189"/>
      <c r="Q128" s="189"/>
      <c r="R128" s="190"/>
    </row>
    <row r="129" spans="1:18" ht="24" customHeight="1" x14ac:dyDescent="0.3">
      <c r="A129" s="19" t="s">
        <v>10</v>
      </c>
      <c r="B129" s="19" t="s">
        <v>11</v>
      </c>
      <c r="C129" s="20" t="s">
        <v>12</v>
      </c>
      <c r="D129" s="19" t="s">
        <v>13</v>
      </c>
      <c r="E129" s="19" t="s">
        <v>14</v>
      </c>
      <c r="F129" s="21" t="s">
        <v>15</v>
      </c>
      <c r="G129" s="22" t="s">
        <v>16</v>
      </c>
      <c r="H129" s="19" t="s">
        <v>17</v>
      </c>
      <c r="I129" s="23" t="s">
        <v>18</v>
      </c>
      <c r="J129" s="24" t="s">
        <v>19</v>
      </c>
      <c r="K129" s="25" t="s">
        <v>20</v>
      </c>
      <c r="L129" s="24" t="s">
        <v>21</v>
      </c>
      <c r="M129" s="24" t="s">
        <v>22</v>
      </c>
      <c r="N129" s="24" t="s">
        <v>23</v>
      </c>
      <c r="O129" s="19" t="s">
        <v>24</v>
      </c>
      <c r="P129" s="20" t="s">
        <v>25</v>
      </c>
      <c r="Q129" s="24" t="s">
        <v>26</v>
      </c>
      <c r="R129" s="19" t="s">
        <v>27</v>
      </c>
    </row>
    <row r="130" spans="1:18" ht="49.95" customHeight="1" thickTop="1" thickBot="1" x14ac:dyDescent="0.35">
      <c r="A130" s="66" t="s">
        <v>28</v>
      </c>
      <c r="B130" s="66" t="s">
        <v>29</v>
      </c>
      <c r="C130" s="67">
        <v>0.53819444444444442</v>
      </c>
      <c r="D130" s="66" t="s">
        <v>30</v>
      </c>
      <c r="E130" s="68"/>
      <c r="F130" s="66" t="s">
        <v>62</v>
      </c>
      <c r="G130" s="179"/>
      <c r="H130" s="69" t="s">
        <v>29</v>
      </c>
      <c r="I130" s="120">
        <v>6.0000000000000001E-3</v>
      </c>
      <c r="J130" s="71">
        <v>1</v>
      </c>
      <c r="K130" s="72" t="s">
        <v>98</v>
      </c>
      <c r="L130" s="71">
        <v>1</v>
      </c>
      <c r="M130" s="71">
        <v>0</v>
      </c>
      <c r="N130" s="71">
        <v>0</v>
      </c>
      <c r="O130" s="73" t="s">
        <v>96</v>
      </c>
      <c r="P130" s="74">
        <v>0.53819444444444442</v>
      </c>
      <c r="Q130" s="71">
        <v>168</v>
      </c>
      <c r="R130" s="75" t="s">
        <v>97</v>
      </c>
    </row>
    <row r="131" spans="1:18" ht="17.399999999999999" customHeight="1" thickBot="1" x14ac:dyDescent="0.35">
      <c r="A131" s="213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5"/>
    </row>
    <row r="132" spans="1:18" ht="22.05" customHeight="1" thickTop="1" thickBot="1" x14ac:dyDescent="0.35">
      <c r="A132" s="191" t="s">
        <v>8</v>
      </c>
      <c r="B132" s="189"/>
      <c r="C132" s="189"/>
      <c r="D132" s="189"/>
      <c r="E132" s="189"/>
      <c r="F132" s="190"/>
      <c r="G132" s="18">
        <v>46074</v>
      </c>
      <c r="H132" s="188" t="s">
        <v>9</v>
      </c>
      <c r="I132" s="189"/>
      <c r="J132" s="189"/>
      <c r="K132" s="189"/>
      <c r="L132" s="189"/>
      <c r="M132" s="189"/>
      <c r="N132" s="189"/>
      <c r="O132" s="189"/>
      <c r="P132" s="189"/>
      <c r="Q132" s="189"/>
      <c r="R132" s="190"/>
    </row>
    <row r="133" spans="1:18" ht="24" customHeight="1" x14ac:dyDescent="0.3">
      <c r="A133" s="19" t="s">
        <v>10</v>
      </c>
      <c r="B133" s="19" t="s">
        <v>11</v>
      </c>
      <c r="C133" s="20" t="s">
        <v>12</v>
      </c>
      <c r="D133" s="19" t="s">
        <v>13</v>
      </c>
      <c r="E133" s="19" t="s">
        <v>14</v>
      </c>
      <c r="F133" s="21" t="s">
        <v>15</v>
      </c>
      <c r="G133" s="22" t="s">
        <v>16</v>
      </c>
      <c r="H133" s="19" t="s">
        <v>17</v>
      </c>
      <c r="I133" s="23" t="s">
        <v>18</v>
      </c>
      <c r="J133" s="24" t="s">
        <v>19</v>
      </c>
      <c r="K133" s="25" t="s">
        <v>20</v>
      </c>
      <c r="L133" s="24" t="s">
        <v>21</v>
      </c>
      <c r="M133" s="24" t="s">
        <v>22</v>
      </c>
      <c r="N133" s="24" t="s">
        <v>23</v>
      </c>
      <c r="O133" s="19" t="s">
        <v>24</v>
      </c>
      <c r="P133" s="20" t="s">
        <v>25</v>
      </c>
      <c r="Q133" s="24" t="s">
        <v>26</v>
      </c>
      <c r="R133" s="19" t="s">
        <v>27</v>
      </c>
    </row>
    <row r="134" spans="1:18" ht="49.95" customHeight="1" thickTop="1" thickBot="1" x14ac:dyDescent="0.5">
      <c r="A134" s="66" t="s">
        <v>28</v>
      </c>
      <c r="B134" s="66" t="s">
        <v>29</v>
      </c>
      <c r="C134" s="67">
        <v>0.39583333333333331</v>
      </c>
      <c r="D134" s="66" t="s">
        <v>30</v>
      </c>
      <c r="E134" s="68"/>
      <c r="F134" s="66" t="s">
        <v>62</v>
      </c>
      <c r="G134" s="187"/>
      <c r="H134" s="69" t="s">
        <v>29</v>
      </c>
      <c r="I134" s="120">
        <v>2.3800000000000002E-2</v>
      </c>
      <c r="J134" s="71">
        <v>4</v>
      </c>
      <c r="K134" s="72" t="s">
        <v>47</v>
      </c>
      <c r="L134" s="71">
        <v>4</v>
      </c>
      <c r="M134" s="71">
        <v>0</v>
      </c>
      <c r="N134" s="71">
        <v>0</v>
      </c>
      <c r="O134" s="73" t="s">
        <v>96</v>
      </c>
      <c r="P134" s="74">
        <v>0.39583333333333331</v>
      </c>
      <c r="Q134" s="71">
        <v>168</v>
      </c>
      <c r="R134" s="75" t="s">
        <v>99</v>
      </c>
    </row>
    <row r="135" spans="1:18" ht="17.399999999999999" customHeight="1" thickBot="1" x14ac:dyDescent="0.35">
      <c r="A135" s="213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  <c r="R135" s="215"/>
    </row>
    <row r="136" spans="1:18" ht="22.05" customHeight="1" thickTop="1" thickBot="1" x14ac:dyDescent="0.35">
      <c r="A136" s="191" t="s">
        <v>8</v>
      </c>
      <c r="B136" s="189"/>
      <c r="C136" s="189"/>
      <c r="D136" s="189"/>
      <c r="E136" s="189"/>
      <c r="F136" s="190"/>
      <c r="G136" s="18">
        <v>46075</v>
      </c>
      <c r="H136" s="188" t="s">
        <v>9</v>
      </c>
      <c r="I136" s="189"/>
      <c r="J136" s="189"/>
      <c r="K136" s="189"/>
      <c r="L136" s="189"/>
      <c r="M136" s="189"/>
      <c r="N136" s="189"/>
      <c r="O136" s="189"/>
      <c r="P136" s="189"/>
      <c r="Q136" s="189"/>
      <c r="R136" s="190"/>
    </row>
    <row r="137" spans="1:18" ht="24" customHeight="1" x14ac:dyDescent="0.3">
      <c r="A137" s="19" t="s">
        <v>10</v>
      </c>
      <c r="B137" s="19" t="s">
        <v>11</v>
      </c>
      <c r="C137" s="20" t="s">
        <v>12</v>
      </c>
      <c r="D137" s="19" t="s">
        <v>13</v>
      </c>
      <c r="E137" s="19" t="s">
        <v>14</v>
      </c>
      <c r="F137" s="21" t="s">
        <v>15</v>
      </c>
      <c r="G137" s="22" t="s">
        <v>16</v>
      </c>
      <c r="H137" s="19" t="s">
        <v>17</v>
      </c>
      <c r="I137" s="23" t="s">
        <v>18</v>
      </c>
      <c r="J137" s="24" t="s">
        <v>19</v>
      </c>
      <c r="K137" s="25" t="s">
        <v>20</v>
      </c>
      <c r="L137" s="24" t="s">
        <v>21</v>
      </c>
      <c r="M137" s="24" t="s">
        <v>22</v>
      </c>
      <c r="N137" s="24" t="s">
        <v>23</v>
      </c>
      <c r="O137" s="19" t="s">
        <v>24</v>
      </c>
      <c r="P137" s="20" t="s">
        <v>25</v>
      </c>
      <c r="Q137" s="24" t="s">
        <v>26</v>
      </c>
      <c r="R137" s="19" t="s">
        <v>27</v>
      </c>
    </row>
    <row r="138" spans="1:18" ht="49.95" customHeight="1" thickTop="1" thickBot="1" x14ac:dyDescent="0.5">
      <c r="A138" s="76" t="s">
        <v>28</v>
      </c>
      <c r="B138" s="76" t="s">
        <v>29</v>
      </c>
      <c r="C138" s="77">
        <v>0.90277777777777779</v>
      </c>
      <c r="D138" s="76" t="s">
        <v>30</v>
      </c>
      <c r="E138" s="78"/>
      <c r="F138" s="76" t="s">
        <v>62</v>
      </c>
      <c r="G138" s="187"/>
      <c r="H138" s="154" t="s">
        <v>29</v>
      </c>
      <c r="I138" s="155">
        <v>0.11899999999999999</v>
      </c>
      <c r="J138" s="156">
        <v>20</v>
      </c>
      <c r="K138" s="157" t="s">
        <v>94</v>
      </c>
      <c r="L138" s="156">
        <v>20</v>
      </c>
      <c r="M138" s="156">
        <v>0</v>
      </c>
      <c r="N138" s="156">
        <v>0</v>
      </c>
      <c r="O138" s="158" t="s">
        <v>100</v>
      </c>
      <c r="P138" s="159">
        <v>0.90277777777777779</v>
      </c>
      <c r="Q138" s="156">
        <v>168</v>
      </c>
      <c r="R138" s="160" t="s">
        <v>101</v>
      </c>
    </row>
    <row r="139" spans="1:18" ht="17.399999999999999" customHeight="1" thickBot="1" x14ac:dyDescent="0.35">
      <c r="A139" s="213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  <c r="R139" s="215"/>
    </row>
    <row r="140" spans="1:18" ht="22.05" customHeight="1" thickTop="1" thickBot="1" x14ac:dyDescent="0.35">
      <c r="A140" s="191" t="s">
        <v>8</v>
      </c>
      <c r="B140" s="189"/>
      <c r="C140" s="189"/>
      <c r="D140" s="189"/>
      <c r="E140" s="189"/>
      <c r="F140" s="190"/>
      <c r="G140" s="18">
        <v>46077</v>
      </c>
      <c r="H140" s="188" t="s">
        <v>9</v>
      </c>
      <c r="I140" s="189"/>
      <c r="J140" s="189"/>
      <c r="K140" s="189"/>
      <c r="L140" s="189"/>
      <c r="M140" s="189"/>
      <c r="N140" s="189"/>
      <c r="O140" s="189"/>
      <c r="P140" s="189"/>
      <c r="Q140" s="189"/>
      <c r="R140" s="190"/>
    </row>
    <row r="141" spans="1:18" ht="24" customHeight="1" x14ac:dyDescent="0.3">
      <c r="A141" s="19" t="s">
        <v>10</v>
      </c>
      <c r="B141" s="19" t="s">
        <v>11</v>
      </c>
      <c r="C141" s="20" t="s">
        <v>12</v>
      </c>
      <c r="D141" s="19" t="s">
        <v>13</v>
      </c>
      <c r="E141" s="19" t="s">
        <v>14</v>
      </c>
      <c r="F141" s="21" t="s">
        <v>15</v>
      </c>
      <c r="G141" s="22" t="s">
        <v>16</v>
      </c>
      <c r="H141" s="19" t="s">
        <v>17</v>
      </c>
      <c r="I141" s="23" t="s">
        <v>18</v>
      </c>
      <c r="J141" s="24" t="s">
        <v>19</v>
      </c>
      <c r="K141" s="25" t="s">
        <v>20</v>
      </c>
      <c r="L141" s="24" t="s">
        <v>21</v>
      </c>
      <c r="M141" s="24" t="s">
        <v>22</v>
      </c>
      <c r="N141" s="24" t="s">
        <v>23</v>
      </c>
      <c r="O141" s="19" t="s">
        <v>24</v>
      </c>
      <c r="P141" s="20" t="s">
        <v>25</v>
      </c>
      <c r="Q141" s="24" t="s">
        <v>26</v>
      </c>
      <c r="R141" s="19" t="s">
        <v>27</v>
      </c>
    </row>
    <row r="142" spans="1:18" ht="49.95" customHeight="1" x14ac:dyDescent="0.3">
      <c r="A142" s="53" t="s">
        <v>28</v>
      </c>
      <c r="B142" s="53" t="s">
        <v>39</v>
      </c>
      <c r="C142" s="54">
        <v>4.8611111111111112E-2</v>
      </c>
      <c r="D142" s="53" t="s">
        <v>30</v>
      </c>
      <c r="E142" s="55"/>
      <c r="F142" s="53" t="s">
        <v>62</v>
      </c>
      <c r="G142" s="179"/>
      <c r="H142" s="164" t="s">
        <v>39</v>
      </c>
      <c r="I142" s="165">
        <v>0.23810000000000001</v>
      </c>
      <c r="J142" s="166">
        <v>40</v>
      </c>
      <c r="K142" s="167" t="s">
        <v>90</v>
      </c>
      <c r="L142" s="166">
        <v>1</v>
      </c>
      <c r="M142" s="166">
        <v>0</v>
      </c>
      <c r="N142" s="166">
        <v>0</v>
      </c>
      <c r="O142" s="168" t="s">
        <v>96</v>
      </c>
      <c r="P142" s="169">
        <v>4.8611111111111112E-2</v>
      </c>
      <c r="Q142" s="166">
        <v>168</v>
      </c>
      <c r="R142" s="170" t="s">
        <v>102</v>
      </c>
    </row>
    <row r="143" spans="1:18" ht="49.95" customHeight="1" thickBot="1" x14ac:dyDescent="0.35">
      <c r="A143" s="108" t="s">
        <v>28</v>
      </c>
      <c r="B143" s="108" t="s">
        <v>29</v>
      </c>
      <c r="C143" s="109">
        <v>0.97916666666666663</v>
      </c>
      <c r="D143" s="108" t="s">
        <v>30</v>
      </c>
      <c r="E143" s="110"/>
      <c r="F143" s="108" t="s">
        <v>62</v>
      </c>
      <c r="G143" s="183"/>
      <c r="H143" s="92" t="s">
        <v>29</v>
      </c>
      <c r="I143" s="171">
        <v>2.3800000000000002E-2</v>
      </c>
      <c r="J143" s="94">
        <v>4</v>
      </c>
      <c r="K143" s="95" t="s">
        <v>70</v>
      </c>
      <c r="L143" s="94">
        <v>4</v>
      </c>
      <c r="M143" s="94">
        <v>0</v>
      </c>
      <c r="N143" s="94">
        <v>0</v>
      </c>
      <c r="O143" s="96" t="s">
        <v>96</v>
      </c>
      <c r="P143" s="97">
        <v>0.97916666666666663</v>
      </c>
      <c r="Q143" s="94">
        <v>168</v>
      </c>
      <c r="R143" s="98" t="s">
        <v>99</v>
      </c>
    </row>
    <row r="144" spans="1:18" ht="17.399999999999999" customHeight="1" thickBot="1" x14ac:dyDescent="0.35">
      <c r="A144" s="213"/>
      <c r="B144" s="214"/>
      <c r="C144" s="214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5"/>
    </row>
    <row r="145" spans="1:18" ht="22.05" customHeight="1" thickTop="1" thickBot="1" x14ac:dyDescent="0.35">
      <c r="A145" s="191" t="s">
        <v>8</v>
      </c>
      <c r="B145" s="189"/>
      <c r="C145" s="189"/>
      <c r="D145" s="189"/>
      <c r="E145" s="189"/>
      <c r="F145" s="190"/>
      <c r="G145" s="18">
        <v>46079</v>
      </c>
      <c r="H145" s="188" t="s">
        <v>9</v>
      </c>
      <c r="I145" s="189"/>
      <c r="J145" s="189"/>
      <c r="K145" s="189"/>
      <c r="L145" s="189"/>
      <c r="M145" s="189"/>
      <c r="N145" s="189"/>
      <c r="O145" s="189"/>
      <c r="P145" s="189"/>
      <c r="Q145" s="189"/>
      <c r="R145" s="190"/>
    </row>
    <row r="146" spans="1:18" ht="24" customHeight="1" x14ac:dyDescent="0.3">
      <c r="A146" s="19" t="s">
        <v>10</v>
      </c>
      <c r="B146" s="19" t="s">
        <v>11</v>
      </c>
      <c r="C146" s="20" t="s">
        <v>12</v>
      </c>
      <c r="D146" s="19" t="s">
        <v>13</v>
      </c>
      <c r="E146" s="19" t="s">
        <v>14</v>
      </c>
      <c r="F146" s="21" t="s">
        <v>15</v>
      </c>
      <c r="G146" s="22" t="s">
        <v>16</v>
      </c>
      <c r="H146" s="19" t="s">
        <v>17</v>
      </c>
      <c r="I146" s="23" t="s">
        <v>18</v>
      </c>
      <c r="J146" s="24" t="s">
        <v>19</v>
      </c>
      <c r="K146" s="25" t="s">
        <v>20</v>
      </c>
      <c r="L146" s="24" t="s">
        <v>21</v>
      </c>
      <c r="M146" s="24" t="s">
        <v>22</v>
      </c>
      <c r="N146" s="24" t="s">
        <v>23</v>
      </c>
      <c r="O146" s="19" t="s">
        <v>24</v>
      </c>
      <c r="P146" s="20" t="s">
        <v>25</v>
      </c>
      <c r="Q146" s="24" t="s">
        <v>26</v>
      </c>
      <c r="R146" s="19" t="s">
        <v>27</v>
      </c>
    </row>
    <row r="147" spans="1:18" ht="49.95" customHeight="1" thickTop="1" thickBot="1" x14ac:dyDescent="0.35">
      <c r="A147" s="121" t="s">
        <v>28</v>
      </c>
      <c r="B147" s="121" t="s">
        <v>29</v>
      </c>
      <c r="C147" s="122">
        <v>0.53819444444444442</v>
      </c>
      <c r="D147" s="121" t="s">
        <v>30</v>
      </c>
      <c r="E147" s="123"/>
      <c r="F147" s="121" t="s">
        <v>62</v>
      </c>
      <c r="G147" s="179"/>
      <c r="H147" s="124" t="s">
        <v>29</v>
      </c>
      <c r="I147" s="125">
        <v>2.3800000000000002E-2</v>
      </c>
      <c r="J147" s="126">
        <v>4</v>
      </c>
      <c r="K147" s="127" t="s">
        <v>103</v>
      </c>
      <c r="L147" s="126">
        <v>4</v>
      </c>
      <c r="M147" s="126">
        <v>0</v>
      </c>
      <c r="N147" s="126">
        <v>0</v>
      </c>
      <c r="O147" s="128" t="s">
        <v>96</v>
      </c>
      <c r="P147" s="129">
        <v>0.53819444444444442</v>
      </c>
      <c r="Q147" s="126">
        <v>168</v>
      </c>
      <c r="R147" s="130" t="s">
        <v>99</v>
      </c>
    </row>
    <row r="148" spans="1:18" ht="17.399999999999999" customHeight="1" thickBot="1" x14ac:dyDescent="0.35">
      <c r="A148" s="213"/>
      <c r="B148" s="214"/>
      <c r="C148" s="214"/>
      <c r="D148" s="214"/>
      <c r="E148" s="214"/>
      <c r="F148" s="214"/>
      <c r="G148" s="214"/>
      <c r="H148" s="214"/>
      <c r="I148" s="214"/>
      <c r="J148" s="214"/>
      <c r="K148" s="214"/>
      <c r="L148" s="214"/>
      <c r="M148" s="214"/>
      <c r="N148" s="214"/>
      <c r="O148" s="214"/>
      <c r="P148" s="214"/>
      <c r="Q148" s="214"/>
      <c r="R148" s="215"/>
    </row>
    <row r="149" spans="1:18" ht="22.05" customHeight="1" thickTop="1" thickBot="1" x14ac:dyDescent="0.35">
      <c r="A149" s="191" t="s">
        <v>8</v>
      </c>
      <c r="B149" s="189"/>
      <c r="C149" s="189"/>
      <c r="D149" s="189"/>
      <c r="E149" s="189"/>
      <c r="F149" s="190"/>
      <c r="G149" s="18">
        <v>46081</v>
      </c>
      <c r="H149" s="188" t="s">
        <v>9</v>
      </c>
      <c r="I149" s="189"/>
      <c r="J149" s="189"/>
      <c r="K149" s="189"/>
      <c r="L149" s="189"/>
      <c r="M149" s="189"/>
      <c r="N149" s="189"/>
      <c r="O149" s="189"/>
      <c r="P149" s="189"/>
      <c r="Q149" s="189"/>
      <c r="R149" s="190"/>
    </row>
    <row r="150" spans="1:18" ht="24" customHeight="1" x14ac:dyDescent="0.3">
      <c r="A150" s="19" t="s">
        <v>10</v>
      </c>
      <c r="B150" s="19" t="s">
        <v>11</v>
      </c>
      <c r="C150" s="20" t="s">
        <v>12</v>
      </c>
      <c r="D150" s="19" t="s">
        <v>13</v>
      </c>
      <c r="E150" s="19" t="s">
        <v>14</v>
      </c>
      <c r="F150" s="21" t="s">
        <v>15</v>
      </c>
      <c r="G150" s="22" t="s">
        <v>16</v>
      </c>
      <c r="H150" s="19" t="s">
        <v>17</v>
      </c>
      <c r="I150" s="23" t="s">
        <v>18</v>
      </c>
      <c r="J150" s="24" t="s">
        <v>19</v>
      </c>
      <c r="K150" s="25" t="s">
        <v>20</v>
      </c>
      <c r="L150" s="24" t="s">
        <v>21</v>
      </c>
      <c r="M150" s="24" t="s">
        <v>22</v>
      </c>
      <c r="N150" s="24" t="s">
        <v>23</v>
      </c>
      <c r="O150" s="19" t="s">
        <v>24</v>
      </c>
      <c r="P150" s="20" t="s">
        <v>25</v>
      </c>
      <c r="Q150" s="24" t="s">
        <v>26</v>
      </c>
      <c r="R150" s="19" t="s">
        <v>27</v>
      </c>
    </row>
    <row r="151" spans="1:18" ht="49.95" customHeight="1" thickTop="1" thickBot="1" x14ac:dyDescent="0.35">
      <c r="A151" s="66" t="s">
        <v>28</v>
      </c>
      <c r="B151" s="66" t="s">
        <v>29</v>
      </c>
      <c r="C151" s="67">
        <v>0.39583333333333331</v>
      </c>
      <c r="D151" s="66" t="s">
        <v>30</v>
      </c>
      <c r="E151" s="68"/>
      <c r="F151" s="66" t="s">
        <v>62</v>
      </c>
      <c r="G151" s="179"/>
      <c r="H151" s="69" t="s">
        <v>29</v>
      </c>
      <c r="I151" s="120">
        <v>0.125</v>
      </c>
      <c r="J151" s="71">
        <v>21</v>
      </c>
      <c r="K151" s="72" t="s">
        <v>49</v>
      </c>
      <c r="L151" s="71">
        <v>21</v>
      </c>
      <c r="M151" s="71">
        <v>0</v>
      </c>
      <c r="N151" s="71">
        <v>0</v>
      </c>
      <c r="O151" s="73" t="s">
        <v>104</v>
      </c>
      <c r="P151" s="74">
        <v>0.39583333333333331</v>
      </c>
      <c r="Q151" s="71">
        <v>168</v>
      </c>
      <c r="R151" s="75" t="s">
        <v>105</v>
      </c>
    </row>
    <row r="152" spans="1:18" ht="17.399999999999999" customHeight="1" thickBot="1" x14ac:dyDescent="0.35">
      <c r="A152" s="213"/>
      <c r="B152" s="214"/>
      <c r="C152" s="214"/>
      <c r="D152" s="214"/>
      <c r="E152" s="214"/>
      <c r="F152" s="214"/>
      <c r="G152" s="214"/>
      <c r="H152" s="214"/>
      <c r="I152" s="214"/>
      <c r="J152" s="214"/>
      <c r="K152" s="214"/>
      <c r="L152" s="214"/>
      <c r="M152" s="214"/>
      <c r="N152" s="214"/>
      <c r="O152" s="214"/>
      <c r="P152" s="214"/>
      <c r="Q152" s="214"/>
      <c r="R152" s="215"/>
    </row>
    <row r="153" spans="1:18" ht="22.05" customHeight="1" thickTop="1" thickBot="1" x14ac:dyDescent="0.35">
      <c r="A153" s="191" t="s">
        <v>8</v>
      </c>
      <c r="B153" s="189"/>
      <c r="C153" s="189"/>
      <c r="D153" s="189"/>
      <c r="E153" s="189"/>
      <c r="F153" s="190"/>
      <c r="G153" s="18">
        <v>46082</v>
      </c>
      <c r="H153" s="188" t="s">
        <v>9</v>
      </c>
      <c r="I153" s="189"/>
      <c r="J153" s="189"/>
      <c r="K153" s="189"/>
      <c r="L153" s="189"/>
      <c r="M153" s="189"/>
      <c r="N153" s="189"/>
      <c r="O153" s="189"/>
      <c r="P153" s="189"/>
      <c r="Q153" s="189"/>
      <c r="R153" s="190"/>
    </row>
    <row r="154" spans="1:18" ht="24" customHeight="1" x14ac:dyDescent="0.3">
      <c r="A154" s="19" t="s">
        <v>10</v>
      </c>
      <c r="B154" s="19" t="s">
        <v>11</v>
      </c>
      <c r="C154" s="20" t="s">
        <v>12</v>
      </c>
      <c r="D154" s="19" t="s">
        <v>13</v>
      </c>
      <c r="E154" s="19" t="s">
        <v>14</v>
      </c>
      <c r="F154" s="21" t="s">
        <v>15</v>
      </c>
      <c r="G154" s="22" t="s">
        <v>16</v>
      </c>
      <c r="H154" s="19" t="s">
        <v>17</v>
      </c>
      <c r="I154" s="23" t="s">
        <v>18</v>
      </c>
      <c r="J154" s="24" t="s">
        <v>19</v>
      </c>
      <c r="K154" s="25" t="s">
        <v>20</v>
      </c>
      <c r="L154" s="24" t="s">
        <v>21</v>
      </c>
      <c r="M154" s="24" t="s">
        <v>22</v>
      </c>
      <c r="N154" s="24" t="s">
        <v>23</v>
      </c>
      <c r="O154" s="19" t="s">
        <v>24</v>
      </c>
      <c r="P154" s="20" t="s">
        <v>25</v>
      </c>
      <c r="Q154" s="24" t="s">
        <v>26</v>
      </c>
      <c r="R154" s="19" t="s">
        <v>27</v>
      </c>
    </row>
    <row r="155" spans="1:18" ht="49.95" customHeight="1" thickTop="1" thickBot="1" x14ac:dyDescent="0.5">
      <c r="A155" s="76" t="s">
        <v>28</v>
      </c>
      <c r="B155" s="76" t="s">
        <v>29</v>
      </c>
      <c r="C155" s="77">
        <v>0.90277777777777779</v>
      </c>
      <c r="D155" s="76" t="s">
        <v>30</v>
      </c>
      <c r="E155" s="78"/>
      <c r="F155" s="76" t="s">
        <v>62</v>
      </c>
      <c r="G155" s="187"/>
      <c r="H155" s="154" t="s">
        <v>29</v>
      </c>
      <c r="I155" s="155">
        <v>5.9499999999999997E-2</v>
      </c>
      <c r="J155" s="156">
        <v>10</v>
      </c>
      <c r="K155" s="157" t="s">
        <v>106</v>
      </c>
      <c r="L155" s="156">
        <v>10</v>
      </c>
      <c r="M155" s="156">
        <v>0</v>
      </c>
      <c r="N155" s="156">
        <v>0</v>
      </c>
      <c r="O155" s="158" t="s">
        <v>107</v>
      </c>
      <c r="P155" s="159">
        <v>0.90277777777777779</v>
      </c>
      <c r="Q155" s="156">
        <v>168</v>
      </c>
      <c r="R155" s="160" t="s">
        <v>108</v>
      </c>
    </row>
    <row r="156" spans="1:18" ht="17.399999999999999" customHeight="1" thickBot="1" x14ac:dyDescent="0.35">
      <c r="A156" s="213"/>
      <c r="B156" s="214"/>
      <c r="C156" s="214"/>
      <c r="D156" s="214"/>
      <c r="E156" s="214"/>
      <c r="F156" s="214"/>
      <c r="G156" s="214"/>
      <c r="H156" s="214"/>
      <c r="I156" s="214"/>
      <c r="J156" s="214"/>
      <c r="K156" s="214"/>
      <c r="L156" s="214"/>
      <c r="M156" s="214"/>
      <c r="N156" s="214"/>
      <c r="O156" s="214"/>
      <c r="P156" s="214"/>
      <c r="Q156" s="214"/>
      <c r="R156" s="215"/>
    </row>
    <row r="157" spans="1:18" ht="15" thickTop="1" x14ac:dyDescent="0.3"/>
  </sheetData>
  <mergeCells count="151">
    <mergeCell ref="A156:R156"/>
    <mergeCell ref="A102:F102"/>
    <mergeCell ref="A111:F111"/>
    <mergeCell ref="K2:R2"/>
    <mergeCell ref="A34:F34"/>
    <mergeCell ref="A67:R67"/>
    <mergeCell ref="H149:R149"/>
    <mergeCell ref="A148:R148"/>
    <mergeCell ref="H77:R77"/>
    <mergeCell ref="A94:F94"/>
    <mergeCell ref="A110:R110"/>
    <mergeCell ref="A128:F128"/>
    <mergeCell ref="H29:R29"/>
    <mergeCell ref="A84:R84"/>
    <mergeCell ref="A89:F89"/>
    <mergeCell ref="G138"/>
    <mergeCell ref="A12:F12"/>
    <mergeCell ref="A118:R118"/>
    <mergeCell ref="A21:F21"/>
    <mergeCell ref="H4:R4"/>
    <mergeCell ref="A50:R50"/>
    <mergeCell ref="A3:R3"/>
    <mergeCell ref="H46:R46"/>
    <mergeCell ref="H21:R21"/>
    <mergeCell ref="A8:F8"/>
    <mergeCell ref="G2:J2"/>
    <mergeCell ref="A17:F17"/>
    <mergeCell ref="G108:G109"/>
    <mergeCell ref="G142:G143"/>
    <mergeCell ref="A140:F140"/>
    <mergeCell ref="H123:R123"/>
    <mergeCell ref="N1:R1"/>
    <mergeCell ref="G70"/>
    <mergeCell ref="H132:R132"/>
    <mergeCell ref="G23"/>
    <mergeCell ref="A115:F115"/>
    <mergeCell ref="A68:F68"/>
    <mergeCell ref="H64:R64"/>
    <mergeCell ref="H98:R98"/>
    <mergeCell ref="A106:F106"/>
    <mergeCell ref="G130"/>
    <mergeCell ref="H51:R51"/>
    <mergeCell ref="A4:F4"/>
    <mergeCell ref="G117"/>
    <mergeCell ref="A97:R97"/>
    <mergeCell ref="G14:G15"/>
    <mergeCell ref="A20:R20"/>
    <mergeCell ref="H115:R115"/>
    <mergeCell ref="A153:F153"/>
    <mergeCell ref="H145:R145"/>
    <mergeCell ref="H106:R106"/>
    <mergeCell ref="A46:F46"/>
    <mergeCell ref="G61:G62"/>
    <mergeCell ref="G113"/>
    <mergeCell ref="H38:R38"/>
    <mergeCell ref="G100"/>
    <mergeCell ref="A136:F136"/>
    <mergeCell ref="A80:R80"/>
    <mergeCell ref="A145:F145"/>
    <mergeCell ref="G125:G126"/>
    <mergeCell ref="G44"/>
    <mergeCell ref="H68:R68"/>
    <mergeCell ref="A144:R144"/>
    <mergeCell ref="G151"/>
    <mergeCell ref="A152:R152"/>
    <mergeCell ref="A77:F77"/>
    <mergeCell ref="A58:R58"/>
    <mergeCell ref="A114:R114"/>
    <mergeCell ref="H140:R140"/>
    <mergeCell ref="G87"/>
    <mergeCell ref="A123:F123"/>
    <mergeCell ref="A132:F132"/>
    <mergeCell ref="G147"/>
    <mergeCell ref="G91:G92"/>
    <mergeCell ref="G57"/>
    <mergeCell ref="G10"/>
    <mergeCell ref="G66"/>
    <mergeCell ref="A59:F59"/>
    <mergeCell ref="H111:R111"/>
    <mergeCell ref="G53"/>
    <mergeCell ref="A98:F98"/>
    <mergeCell ref="H12:R12"/>
    <mergeCell ref="G121"/>
    <mergeCell ref="A45:R45"/>
    <mergeCell ref="H136:R136"/>
    <mergeCell ref="A37:R37"/>
    <mergeCell ref="A24:R24"/>
    <mergeCell ref="A119:F119"/>
    <mergeCell ref="G31:G32"/>
    <mergeCell ref="H42:R42"/>
    <mergeCell ref="G104"/>
    <mergeCell ref="A25:F25"/>
    <mergeCell ref="A71:R71"/>
    <mergeCell ref="G96"/>
    <mergeCell ref="A76:R76"/>
    <mergeCell ref="H85:R85"/>
    <mergeCell ref="G27"/>
    <mergeCell ref="H119:R119"/>
    <mergeCell ref="H94:R94"/>
    <mergeCell ref="A131:R131"/>
    <mergeCell ref="H17:R17"/>
    <mergeCell ref="A63:R63"/>
    <mergeCell ref="A93:R93"/>
    <mergeCell ref="G155"/>
    <mergeCell ref="H89:R89"/>
    <mergeCell ref="G36"/>
    <mergeCell ref="A72:F72"/>
    <mergeCell ref="A29:F29"/>
    <mergeCell ref="A135:R135"/>
    <mergeCell ref="A81:F81"/>
    <mergeCell ref="A38:F38"/>
    <mergeCell ref="A122:R122"/>
    <mergeCell ref="H153:R153"/>
    <mergeCell ref="H72:R72"/>
    <mergeCell ref="H128:R128"/>
    <mergeCell ref="H81:R81"/>
    <mergeCell ref="A64:F64"/>
    <mergeCell ref="A127:R127"/>
    <mergeCell ref="A51:F51"/>
    <mergeCell ref="G83"/>
    <mergeCell ref="A88:R88"/>
    <mergeCell ref="A54:R54"/>
    <mergeCell ref="A149:F149"/>
    <mergeCell ref="A105:R105"/>
    <mergeCell ref="H102:R102"/>
    <mergeCell ref="G40"/>
    <mergeCell ref="A139:R139"/>
    <mergeCell ref="G79"/>
    <mergeCell ref="A7:R7"/>
    <mergeCell ref="A41:R41"/>
    <mergeCell ref="A16:R16"/>
    <mergeCell ref="G48:G49"/>
    <mergeCell ref="H1:L1"/>
    <mergeCell ref="A1:E1"/>
    <mergeCell ref="G134"/>
    <mergeCell ref="H55:R55"/>
    <mergeCell ref="A55:F55"/>
    <mergeCell ref="A101:R101"/>
    <mergeCell ref="A33:R33"/>
    <mergeCell ref="G74:G75"/>
    <mergeCell ref="H59:R59"/>
    <mergeCell ref="A28:R28"/>
    <mergeCell ref="G19"/>
    <mergeCell ref="G6"/>
    <mergeCell ref="A11:R11"/>
    <mergeCell ref="H8:R8"/>
    <mergeCell ref="A2:F2"/>
    <mergeCell ref="A85:F85"/>
    <mergeCell ref="A42:F42"/>
    <mergeCell ref="H25:R25"/>
    <mergeCell ref="H34:R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7"/>
  <sheetViews>
    <sheetView workbookViewId="0"/>
  </sheetViews>
  <sheetFormatPr defaultRowHeight="15.6" outlineLevelCol="1" x14ac:dyDescent="0.3"/>
  <cols>
    <col min="1" max="1" width="9.88671875" style="200" bestFit="1" customWidth="1"/>
    <col min="2" max="2" width="10.109375" style="200" bestFit="1" customWidth="1"/>
    <col min="3" max="3" width="6.77734375" style="200" bestFit="1" customWidth="1"/>
    <col min="4" max="4" width="5.5546875" style="200" bestFit="1" customWidth="1"/>
    <col min="5" max="5" width="8.5546875" style="200" bestFit="1" customWidth="1"/>
    <col min="6" max="6" width="4.21875" style="200" bestFit="1" customWidth="1"/>
    <col min="7" max="7" width="10" style="200" bestFit="1" customWidth="1"/>
    <col min="8" max="10" width="8.5546875" style="200" bestFit="1" customWidth="1"/>
    <col min="11" max="11" width="10.5546875" style="200" bestFit="1" customWidth="1"/>
    <col min="12" max="12" width="18.109375" style="200" bestFit="1" customWidth="1"/>
    <col min="13" max="13" width="7.6640625" style="200" bestFit="1" customWidth="1" outlineLevel="1"/>
    <col min="14" max="14" width="6.33203125" style="200" bestFit="1" customWidth="1" outlineLevel="1"/>
    <col min="15" max="15" width="8" style="200" bestFit="1" customWidth="1" outlineLevel="1"/>
    <col min="16" max="16" width="13.6640625" style="200" bestFit="1" customWidth="1"/>
    <col min="17" max="25" width="3.88671875" style="200" bestFit="1" customWidth="1"/>
    <col min="26" max="26" width="4.109375" style="200" bestFit="1" customWidth="1"/>
    <col min="27" max="27" width="4" style="200" bestFit="1" customWidth="1"/>
    <col min="28" max="28" width="3.88671875" style="200" bestFit="1" customWidth="1"/>
    <col min="29" max="29" width="4.21875" style="200" bestFit="1" customWidth="1"/>
    <col min="30" max="30" width="3.88671875" style="200" bestFit="1" customWidth="1"/>
    <col min="31" max="31" width="4.5546875" style="200" bestFit="1" customWidth="1"/>
    <col min="32" max="32" width="3.88671875" style="200" bestFit="1" customWidth="1"/>
    <col min="33" max="33" width="4.21875" style="200" bestFit="1" customWidth="1"/>
    <col min="34" max="34" width="3.88671875" style="200" bestFit="1" customWidth="1"/>
    <col min="35" max="35" width="5.21875" style="200" bestFit="1" customWidth="1"/>
    <col min="36" max="36" width="3.88671875" style="200" bestFit="1" customWidth="1"/>
    <col min="37" max="16384" width="8.88671875" style="200"/>
  </cols>
  <sheetData>
    <row r="1" spans="1:36" x14ac:dyDescent="0.3">
      <c r="A1" s="199" t="s">
        <v>109</v>
      </c>
      <c r="B1" s="199" t="s">
        <v>110</v>
      </c>
      <c r="C1" s="199" t="s">
        <v>111</v>
      </c>
      <c r="D1" s="199" t="s">
        <v>25</v>
      </c>
      <c r="E1" s="199" t="s">
        <v>112</v>
      </c>
      <c r="F1" s="199" t="s">
        <v>113</v>
      </c>
      <c r="G1" s="199" t="s">
        <v>18</v>
      </c>
      <c r="H1" s="199" t="s">
        <v>114</v>
      </c>
      <c r="I1" s="199" t="s">
        <v>115</v>
      </c>
      <c r="J1" s="199" t="s">
        <v>116</v>
      </c>
      <c r="K1" s="199" t="s">
        <v>117</v>
      </c>
      <c r="L1" s="199" t="s">
        <v>20</v>
      </c>
      <c r="M1" s="199" t="s">
        <v>22</v>
      </c>
      <c r="N1" s="199" t="s">
        <v>23</v>
      </c>
      <c r="O1" s="199" t="s">
        <v>21</v>
      </c>
      <c r="P1" s="199" t="s">
        <v>24</v>
      </c>
      <c r="Q1" s="199" t="s">
        <v>118</v>
      </c>
      <c r="R1" s="199" t="s">
        <v>119</v>
      </c>
      <c r="S1" s="199" t="s">
        <v>120</v>
      </c>
      <c r="T1" s="199" t="s">
        <v>121</v>
      </c>
      <c r="U1" s="199" t="s">
        <v>122</v>
      </c>
      <c r="V1" s="199" t="s">
        <v>123</v>
      </c>
      <c r="W1" s="199" t="s">
        <v>124</v>
      </c>
      <c r="X1" s="199" t="s">
        <v>125</v>
      </c>
      <c r="Y1" s="199" t="s">
        <v>126</v>
      </c>
      <c r="Z1" s="199" t="s">
        <v>127</v>
      </c>
      <c r="AA1" s="199" t="s">
        <v>128</v>
      </c>
      <c r="AB1" s="199" t="s">
        <v>129</v>
      </c>
      <c r="AC1" s="199" t="s">
        <v>130</v>
      </c>
      <c r="AD1" s="199" t="s">
        <v>131</v>
      </c>
      <c r="AE1" s="199" t="s">
        <v>132</v>
      </c>
      <c r="AF1" s="199" t="s">
        <v>133</v>
      </c>
      <c r="AG1" s="199" t="s">
        <v>134</v>
      </c>
      <c r="AH1" s="199" t="s">
        <v>135</v>
      </c>
      <c r="AI1" s="199" t="s">
        <v>136</v>
      </c>
      <c r="AJ1" s="199" t="s">
        <v>137</v>
      </c>
    </row>
    <row r="2" spans="1:36" x14ac:dyDescent="0.3">
      <c r="A2" s="201" t="s">
        <v>138</v>
      </c>
      <c r="B2" s="202">
        <v>46018</v>
      </c>
      <c r="C2" s="203" t="s">
        <v>29</v>
      </c>
      <c r="D2" s="204" t="s">
        <v>139</v>
      </c>
      <c r="E2" s="203" t="s">
        <v>1</v>
      </c>
      <c r="F2" s="203" t="s">
        <v>140</v>
      </c>
      <c r="G2" s="205">
        <v>1.0654999999999999</v>
      </c>
      <c r="H2" s="206">
        <v>168</v>
      </c>
      <c r="I2" s="206">
        <v>179</v>
      </c>
      <c r="J2" s="206">
        <v>135</v>
      </c>
      <c r="K2" s="203" t="s">
        <v>141</v>
      </c>
      <c r="L2" s="207" t="s">
        <v>32</v>
      </c>
      <c r="M2" s="206">
        <v>0</v>
      </c>
      <c r="N2" s="206">
        <v>0</v>
      </c>
      <c r="O2" s="206">
        <v>7</v>
      </c>
      <c r="P2" s="203" t="s">
        <v>33</v>
      </c>
      <c r="Q2" s="199"/>
      <c r="R2" s="199"/>
      <c r="S2" s="199"/>
      <c r="T2" s="199"/>
      <c r="U2" s="199"/>
      <c r="V2" s="199"/>
      <c r="W2" s="199"/>
      <c r="X2" s="199"/>
      <c r="Y2" s="199"/>
      <c r="Z2" s="206" t="s">
        <v>142</v>
      </c>
      <c r="AA2" s="199"/>
      <c r="AB2" s="206" t="s">
        <v>143</v>
      </c>
      <c r="AC2" s="206" t="s">
        <v>107</v>
      </c>
      <c r="AD2" s="206" t="s">
        <v>144</v>
      </c>
      <c r="AE2" s="206" t="s">
        <v>65</v>
      </c>
      <c r="AF2" s="206" t="s">
        <v>145</v>
      </c>
      <c r="AG2" s="199"/>
      <c r="AH2" s="199"/>
      <c r="AI2" s="206" t="s">
        <v>146</v>
      </c>
      <c r="AJ2" s="199"/>
    </row>
    <row r="3" spans="1:36" x14ac:dyDescent="0.3">
      <c r="A3" s="201" t="s">
        <v>147</v>
      </c>
      <c r="B3" s="202">
        <v>46019</v>
      </c>
      <c r="C3" s="203" t="s">
        <v>29</v>
      </c>
      <c r="D3" s="204" t="s">
        <v>148</v>
      </c>
      <c r="E3" s="203" t="s">
        <v>1</v>
      </c>
      <c r="F3" s="203" t="s">
        <v>140</v>
      </c>
      <c r="G3" s="205">
        <v>0.875</v>
      </c>
      <c r="H3" s="206">
        <v>168</v>
      </c>
      <c r="I3" s="206">
        <v>147</v>
      </c>
      <c r="J3" s="206">
        <v>90</v>
      </c>
      <c r="K3" s="203" t="s">
        <v>141</v>
      </c>
      <c r="L3" s="207" t="s">
        <v>36</v>
      </c>
      <c r="M3" s="206">
        <v>0</v>
      </c>
      <c r="N3" s="206">
        <v>2</v>
      </c>
      <c r="O3" s="206">
        <v>10</v>
      </c>
      <c r="P3" s="203" t="s">
        <v>37</v>
      </c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206" t="s">
        <v>149</v>
      </c>
      <c r="AB3" s="206" t="s">
        <v>150</v>
      </c>
      <c r="AC3" s="206" t="s">
        <v>151</v>
      </c>
      <c r="AD3" s="206" t="s">
        <v>144</v>
      </c>
      <c r="AE3" s="206" t="s">
        <v>65</v>
      </c>
      <c r="AF3" s="206" t="s">
        <v>145</v>
      </c>
      <c r="AG3" s="199"/>
      <c r="AH3" s="199"/>
      <c r="AI3" s="206" t="s">
        <v>152</v>
      </c>
      <c r="AJ3" s="199"/>
    </row>
    <row r="4" spans="1:36" x14ac:dyDescent="0.3">
      <c r="A4" s="201" t="s">
        <v>153</v>
      </c>
      <c r="B4" s="202">
        <v>46021</v>
      </c>
      <c r="C4" s="203" t="s">
        <v>39</v>
      </c>
      <c r="D4" s="204" t="s">
        <v>154</v>
      </c>
      <c r="E4" s="203" t="s">
        <v>1</v>
      </c>
      <c r="F4" s="203" t="s">
        <v>140</v>
      </c>
      <c r="G4" s="205">
        <v>0.98209999999999997</v>
      </c>
      <c r="H4" s="206">
        <v>168</v>
      </c>
      <c r="I4" s="206">
        <v>165</v>
      </c>
      <c r="J4" s="206">
        <v>125</v>
      </c>
      <c r="K4" s="203" t="s">
        <v>141</v>
      </c>
      <c r="L4" s="207" t="s">
        <v>40</v>
      </c>
      <c r="M4" s="206">
        <v>6</v>
      </c>
      <c r="N4" s="206">
        <v>0</v>
      </c>
      <c r="O4" s="206">
        <v>23</v>
      </c>
      <c r="P4" s="203" t="s">
        <v>33</v>
      </c>
      <c r="Q4" s="199"/>
      <c r="R4" s="199"/>
      <c r="S4" s="199"/>
      <c r="T4" s="199"/>
      <c r="U4" s="199"/>
      <c r="V4" s="199"/>
      <c r="W4" s="199"/>
      <c r="X4" s="199"/>
      <c r="Y4" s="199"/>
      <c r="Z4" s="206" t="s">
        <v>155</v>
      </c>
      <c r="AA4" s="206" t="s">
        <v>156</v>
      </c>
      <c r="AB4" s="206" t="s">
        <v>100</v>
      </c>
      <c r="AC4" s="206" t="s">
        <v>157</v>
      </c>
      <c r="AD4" s="206" t="s">
        <v>158</v>
      </c>
      <c r="AE4" s="206" t="s">
        <v>71</v>
      </c>
      <c r="AF4" s="206" t="s">
        <v>159</v>
      </c>
      <c r="AG4" s="206" t="s">
        <v>160</v>
      </c>
      <c r="AH4" s="199"/>
      <c r="AI4" s="206" t="s">
        <v>161</v>
      </c>
      <c r="AJ4" s="199"/>
    </row>
    <row r="5" spans="1:36" x14ac:dyDescent="0.3">
      <c r="A5" s="201" t="s">
        <v>153</v>
      </c>
      <c r="B5" s="202">
        <v>46021</v>
      </c>
      <c r="C5" s="203" t="s">
        <v>29</v>
      </c>
      <c r="D5" s="204" t="s">
        <v>162</v>
      </c>
      <c r="E5" s="203" t="s">
        <v>1</v>
      </c>
      <c r="F5" s="203" t="s">
        <v>140</v>
      </c>
      <c r="G5" s="205">
        <v>1</v>
      </c>
      <c r="H5" s="206">
        <v>168</v>
      </c>
      <c r="I5" s="206">
        <v>168</v>
      </c>
      <c r="J5" s="206">
        <v>135</v>
      </c>
      <c r="K5" s="203" t="s">
        <v>141</v>
      </c>
      <c r="L5" s="207" t="s">
        <v>42</v>
      </c>
      <c r="M5" s="206">
        <v>0</v>
      </c>
      <c r="N5" s="206">
        <v>0</v>
      </c>
      <c r="O5" s="206">
        <v>1</v>
      </c>
      <c r="P5" s="203" t="s">
        <v>33</v>
      </c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206" t="s">
        <v>79</v>
      </c>
      <c r="AE5" s="206" t="s">
        <v>65</v>
      </c>
      <c r="AF5" s="206" t="s">
        <v>145</v>
      </c>
      <c r="AG5" s="199"/>
      <c r="AH5" s="199"/>
      <c r="AI5" s="206" t="s">
        <v>146</v>
      </c>
      <c r="AJ5" s="199"/>
    </row>
    <row r="6" spans="1:36" x14ac:dyDescent="0.3">
      <c r="A6" s="201" t="s">
        <v>163</v>
      </c>
      <c r="B6" s="202">
        <v>46023</v>
      </c>
      <c r="C6" s="203" t="s">
        <v>29</v>
      </c>
      <c r="D6" s="204" t="s">
        <v>164</v>
      </c>
      <c r="E6" s="203" t="s">
        <v>1</v>
      </c>
      <c r="F6" s="203" t="s">
        <v>140</v>
      </c>
      <c r="G6" s="205">
        <v>0.86309999999999998</v>
      </c>
      <c r="H6" s="206">
        <v>168</v>
      </c>
      <c r="I6" s="206">
        <v>145</v>
      </c>
      <c r="J6" s="206">
        <v>135</v>
      </c>
      <c r="K6" s="203" t="s">
        <v>141</v>
      </c>
      <c r="L6" s="207" t="s">
        <v>44</v>
      </c>
      <c r="M6" s="206">
        <v>0</v>
      </c>
      <c r="N6" s="206">
        <v>0</v>
      </c>
      <c r="O6" s="206">
        <v>13</v>
      </c>
      <c r="P6" s="203" t="s">
        <v>45</v>
      </c>
      <c r="Q6" s="199"/>
      <c r="R6" s="199"/>
      <c r="S6" s="199"/>
      <c r="T6" s="199"/>
      <c r="U6" s="199"/>
      <c r="V6" s="199"/>
      <c r="W6" s="199"/>
      <c r="X6" s="199"/>
      <c r="Y6" s="199"/>
      <c r="Z6" s="206" t="s">
        <v>165</v>
      </c>
      <c r="AA6" s="199"/>
      <c r="AB6" s="199"/>
      <c r="AC6" s="199"/>
      <c r="AD6" s="199"/>
      <c r="AE6" s="199"/>
      <c r="AF6" s="199"/>
      <c r="AG6" s="206" t="s">
        <v>166</v>
      </c>
      <c r="AH6" s="199"/>
      <c r="AI6" s="206" t="s">
        <v>152</v>
      </c>
      <c r="AJ6" s="199"/>
    </row>
    <row r="7" spans="1:36" x14ac:dyDescent="0.3">
      <c r="A7" s="201" t="s">
        <v>138</v>
      </c>
      <c r="B7" s="202">
        <v>46025</v>
      </c>
      <c r="C7" s="203" t="s">
        <v>29</v>
      </c>
      <c r="D7" s="204" t="s">
        <v>139</v>
      </c>
      <c r="E7" s="203" t="s">
        <v>1</v>
      </c>
      <c r="F7" s="203" t="s">
        <v>140</v>
      </c>
      <c r="G7" s="205">
        <v>1</v>
      </c>
      <c r="H7" s="206">
        <v>168</v>
      </c>
      <c r="I7" s="206">
        <v>168</v>
      </c>
      <c r="J7" s="206">
        <v>160</v>
      </c>
      <c r="K7" s="203" t="s">
        <v>141</v>
      </c>
      <c r="L7" s="207" t="s">
        <v>47</v>
      </c>
      <c r="M7" s="206">
        <v>0</v>
      </c>
      <c r="N7" s="206">
        <v>0</v>
      </c>
      <c r="O7" s="206">
        <v>13</v>
      </c>
      <c r="P7" s="203" t="s">
        <v>33</v>
      </c>
      <c r="Q7" s="199"/>
      <c r="R7" s="199"/>
      <c r="S7" s="199"/>
      <c r="T7" s="199"/>
      <c r="U7" s="199"/>
      <c r="V7" s="199"/>
      <c r="W7" s="199"/>
      <c r="X7" s="199"/>
      <c r="Y7" s="199"/>
      <c r="Z7" s="206" t="s">
        <v>167</v>
      </c>
      <c r="AA7" s="199"/>
      <c r="AB7" s="199"/>
      <c r="AC7" s="199"/>
      <c r="AD7" s="199"/>
      <c r="AE7" s="199"/>
      <c r="AF7" s="199"/>
      <c r="AG7" s="199"/>
      <c r="AH7" s="199"/>
      <c r="AI7" s="206" t="s">
        <v>168</v>
      </c>
      <c r="AJ7" s="199"/>
    </row>
    <row r="8" spans="1:36" x14ac:dyDescent="0.3">
      <c r="A8" s="201" t="s">
        <v>147</v>
      </c>
      <c r="B8" s="202">
        <v>46026</v>
      </c>
      <c r="C8" s="203" t="s">
        <v>29</v>
      </c>
      <c r="D8" s="204" t="s">
        <v>148</v>
      </c>
      <c r="E8" s="203" t="s">
        <v>1</v>
      </c>
      <c r="F8" s="203" t="s">
        <v>140</v>
      </c>
      <c r="G8" s="205">
        <v>0.88100000000000001</v>
      </c>
      <c r="H8" s="206">
        <v>168</v>
      </c>
      <c r="I8" s="206">
        <v>148</v>
      </c>
      <c r="J8" s="206">
        <v>135</v>
      </c>
      <c r="K8" s="203" t="s">
        <v>141</v>
      </c>
      <c r="L8" s="207" t="s">
        <v>49</v>
      </c>
      <c r="M8" s="206">
        <v>0</v>
      </c>
      <c r="N8" s="206">
        <v>0</v>
      </c>
      <c r="O8" s="206">
        <v>17</v>
      </c>
      <c r="P8" s="203" t="s">
        <v>45</v>
      </c>
      <c r="Q8" s="199"/>
      <c r="R8" s="199"/>
      <c r="S8" s="199"/>
      <c r="T8" s="199"/>
      <c r="U8" s="199"/>
      <c r="V8" s="199"/>
      <c r="W8" s="199"/>
      <c r="X8" s="199"/>
      <c r="Y8" s="206" t="s">
        <v>169</v>
      </c>
      <c r="Z8" s="206" t="s">
        <v>155</v>
      </c>
      <c r="AA8" s="199"/>
      <c r="AB8" s="199"/>
      <c r="AC8" s="199"/>
      <c r="AD8" s="199"/>
      <c r="AE8" s="199"/>
      <c r="AF8" s="199"/>
      <c r="AG8" s="206" t="s">
        <v>166</v>
      </c>
      <c r="AH8" s="199"/>
      <c r="AI8" s="206" t="s">
        <v>152</v>
      </c>
      <c r="AJ8" s="206" t="s">
        <v>170</v>
      </c>
    </row>
    <row r="9" spans="1:36" x14ac:dyDescent="0.3">
      <c r="A9" s="201" t="s">
        <v>153</v>
      </c>
      <c r="B9" s="202">
        <v>46028</v>
      </c>
      <c r="C9" s="203" t="s">
        <v>39</v>
      </c>
      <c r="D9" s="204" t="s">
        <v>154</v>
      </c>
      <c r="E9" s="203" t="s">
        <v>1</v>
      </c>
      <c r="F9" s="203" t="s">
        <v>140</v>
      </c>
      <c r="G9" s="205">
        <v>0.92259999999999998</v>
      </c>
      <c r="H9" s="206">
        <v>168</v>
      </c>
      <c r="I9" s="206">
        <v>155</v>
      </c>
      <c r="J9" s="206">
        <v>130</v>
      </c>
      <c r="K9" s="203" t="s">
        <v>141</v>
      </c>
      <c r="L9" s="207" t="s">
        <v>51</v>
      </c>
      <c r="M9" s="206">
        <v>0</v>
      </c>
      <c r="N9" s="206">
        <v>0</v>
      </c>
      <c r="O9" s="206">
        <v>30</v>
      </c>
      <c r="P9" s="203" t="s">
        <v>45</v>
      </c>
      <c r="Q9" s="199"/>
      <c r="R9" s="199"/>
      <c r="S9" s="199"/>
      <c r="T9" s="199"/>
      <c r="U9" s="206" t="s">
        <v>171</v>
      </c>
      <c r="V9" s="206" t="s">
        <v>172</v>
      </c>
      <c r="W9" s="206" t="s">
        <v>173</v>
      </c>
      <c r="X9" s="199"/>
      <c r="Y9" s="206" t="s">
        <v>174</v>
      </c>
      <c r="Z9" s="206" t="s">
        <v>167</v>
      </c>
      <c r="AA9" s="199"/>
      <c r="AB9" s="199"/>
      <c r="AC9" s="199"/>
      <c r="AD9" s="199"/>
      <c r="AE9" s="199"/>
      <c r="AF9" s="199"/>
      <c r="AG9" s="206" t="s">
        <v>102</v>
      </c>
      <c r="AH9" s="199"/>
      <c r="AI9" s="206" t="s">
        <v>152</v>
      </c>
      <c r="AJ9" s="199"/>
    </row>
    <row r="10" spans="1:36" x14ac:dyDescent="0.3">
      <c r="A10" s="201" t="s">
        <v>153</v>
      </c>
      <c r="B10" s="202">
        <v>46028</v>
      </c>
      <c r="C10" s="203" t="s">
        <v>29</v>
      </c>
      <c r="D10" s="204" t="s">
        <v>162</v>
      </c>
      <c r="E10" s="203" t="s">
        <v>1</v>
      </c>
      <c r="F10" s="203" t="s">
        <v>140</v>
      </c>
      <c r="G10" s="205">
        <v>1.0892999999999999</v>
      </c>
      <c r="H10" s="206">
        <v>168</v>
      </c>
      <c r="I10" s="206">
        <v>183</v>
      </c>
      <c r="J10" s="206">
        <v>180</v>
      </c>
      <c r="K10" s="203" t="s">
        <v>141</v>
      </c>
      <c r="L10" s="207" t="s">
        <v>53</v>
      </c>
      <c r="M10" s="206">
        <v>0</v>
      </c>
      <c r="N10" s="206">
        <v>0</v>
      </c>
      <c r="O10" s="206">
        <v>8</v>
      </c>
      <c r="P10" s="203" t="s">
        <v>33</v>
      </c>
      <c r="Q10" s="199"/>
      <c r="R10" s="199"/>
      <c r="S10" s="199"/>
      <c r="T10" s="199"/>
      <c r="U10" s="199"/>
      <c r="V10" s="199"/>
      <c r="W10" s="199"/>
      <c r="X10" s="199"/>
      <c r="Y10" s="199"/>
      <c r="Z10" s="206" t="s">
        <v>175</v>
      </c>
      <c r="AA10" s="199"/>
      <c r="AB10" s="199"/>
      <c r="AC10" s="199"/>
      <c r="AD10" s="199"/>
      <c r="AE10" s="199"/>
      <c r="AF10" s="199"/>
      <c r="AG10" s="199"/>
      <c r="AH10" s="199"/>
      <c r="AI10" s="206" t="s">
        <v>55</v>
      </c>
      <c r="AJ10" s="199"/>
    </row>
    <row r="11" spans="1:36" x14ac:dyDescent="0.3">
      <c r="A11" s="201" t="s">
        <v>163</v>
      </c>
      <c r="B11" s="202">
        <v>46030</v>
      </c>
      <c r="C11" s="203" t="s">
        <v>29</v>
      </c>
      <c r="D11" s="204" t="s">
        <v>164</v>
      </c>
      <c r="E11" s="203" t="s">
        <v>1</v>
      </c>
      <c r="F11" s="203" t="s">
        <v>140</v>
      </c>
      <c r="G11" s="205">
        <v>1.0713999999999999</v>
      </c>
      <c r="H11" s="206">
        <v>168</v>
      </c>
      <c r="I11" s="206">
        <v>180</v>
      </c>
      <c r="J11" s="206">
        <v>180</v>
      </c>
      <c r="K11" s="203" t="s">
        <v>141</v>
      </c>
      <c r="L11" s="207" t="s">
        <v>47</v>
      </c>
      <c r="M11" s="206">
        <v>0</v>
      </c>
      <c r="N11" s="206">
        <v>0</v>
      </c>
      <c r="O11" s="206">
        <v>5</v>
      </c>
      <c r="P11" s="203" t="s">
        <v>33</v>
      </c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206" t="s">
        <v>55</v>
      </c>
      <c r="AJ11" s="199"/>
    </row>
    <row r="12" spans="1:36" x14ac:dyDescent="0.3">
      <c r="A12" s="201" t="s">
        <v>138</v>
      </c>
      <c r="B12" s="202">
        <v>46032</v>
      </c>
      <c r="C12" s="203" t="s">
        <v>29</v>
      </c>
      <c r="D12" s="204" t="s">
        <v>139</v>
      </c>
      <c r="E12" s="203" t="s">
        <v>1</v>
      </c>
      <c r="F12" s="203" t="s">
        <v>140</v>
      </c>
      <c r="G12" s="205">
        <v>0.82740000000000002</v>
      </c>
      <c r="H12" s="206">
        <v>168</v>
      </c>
      <c r="I12" s="206">
        <v>139</v>
      </c>
      <c r="J12" s="206">
        <v>135</v>
      </c>
      <c r="K12" s="203" t="s">
        <v>141</v>
      </c>
      <c r="L12" s="207" t="s">
        <v>57</v>
      </c>
      <c r="M12" s="206">
        <v>0</v>
      </c>
      <c r="N12" s="206">
        <v>0</v>
      </c>
      <c r="O12" s="206">
        <v>8</v>
      </c>
      <c r="P12" s="203" t="s">
        <v>45</v>
      </c>
      <c r="Q12" s="199"/>
      <c r="R12" s="199"/>
      <c r="S12" s="199"/>
      <c r="T12" s="199"/>
      <c r="U12" s="199"/>
      <c r="V12" s="199"/>
      <c r="W12" s="199"/>
      <c r="X12" s="199"/>
      <c r="Y12" s="199"/>
      <c r="Z12" s="206" t="s">
        <v>176</v>
      </c>
      <c r="AA12" s="199"/>
      <c r="AB12" s="199"/>
      <c r="AC12" s="199"/>
      <c r="AD12" s="199"/>
      <c r="AE12" s="199"/>
      <c r="AF12" s="199"/>
      <c r="AG12" s="199"/>
      <c r="AH12" s="199"/>
      <c r="AI12" s="206" t="s">
        <v>146</v>
      </c>
      <c r="AJ12" s="199"/>
    </row>
    <row r="13" spans="1:36" x14ac:dyDescent="0.3">
      <c r="A13" s="201" t="s">
        <v>147</v>
      </c>
      <c r="B13" s="202">
        <v>46033</v>
      </c>
      <c r="C13" s="203" t="s">
        <v>29</v>
      </c>
      <c r="D13" s="204" t="s">
        <v>148</v>
      </c>
      <c r="E13" s="203" t="s">
        <v>1</v>
      </c>
      <c r="F13" s="203" t="s">
        <v>140</v>
      </c>
      <c r="G13" s="205">
        <v>0.8155</v>
      </c>
      <c r="H13" s="206">
        <v>168</v>
      </c>
      <c r="I13" s="206">
        <v>137</v>
      </c>
      <c r="J13" s="206">
        <v>135</v>
      </c>
      <c r="K13" s="203" t="s">
        <v>141</v>
      </c>
      <c r="L13" s="207" t="s">
        <v>47</v>
      </c>
      <c r="M13" s="206">
        <v>0</v>
      </c>
      <c r="N13" s="206">
        <v>0</v>
      </c>
      <c r="O13" s="206">
        <v>5</v>
      </c>
      <c r="P13" s="203" t="s">
        <v>59</v>
      </c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206" t="s">
        <v>37</v>
      </c>
      <c r="AB13" s="199"/>
      <c r="AC13" s="199"/>
      <c r="AD13" s="199"/>
      <c r="AE13" s="199"/>
      <c r="AF13" s="199"/>
      <c r="AG13" s="199"/>
      <c r="AH13" s="199"/>
      <c r="AI13" s="206" t="s">
        <v>146</v>
      </c>
      <c r="AJ13" s="199"/>
    </row>
    <row r="14" spans="1:36" x14ac:dyDescent="0.3">
      <c r="A14" s="201" t="s">
        <v>153</v>
      </c>
      <c r="B14" s="202">
        <v>46035</v>
      </c>
      <c r="C14" s="203" t="s">
        <v>39</v>
      </c>
      <c r="D14" s="204" t="s">
        <v>154</v>
      </c>
      <c r="E14" s="203" t="s">
        <v>1</v>
      </c>
      <c r="F14" s="203" t="s">
        <v>140</v>
      </c>
      <c r="G14" s="205">
        <v>0.8095</v>
      </c>
      <c r="H14" s="206">
        <v>168</v>
      </c>
      <c r="I14" s="206">
        <v>136</v>
      </c>
      <c r="J14" s="206">
        <v>135</v>
      </c>
      <c r="K14" s="203" t="s">
        <v>141</v>
      </c>
      <c r="L14" s="207" t="s">
        <v>49</v>
      </c>
      <c r="M14" s="206">
        <v>0</v>
      </c>
      <c r="N14" s="206">
        <v>0</v>
      </c>
      <c r="O14" s="206">
        <v>4</v>
      </c>
      <c r="P14" s="203" t="s">
        <v>59</v>
      </c>
      <c r="Q14" s="199"/>
      <c r="R14" s="199"/>
      <c r="S14" s="199"/>
      <c r="T14" s="199"/>
      <c r="U14" s="199"/>
      <c r="V14" s="199"/>
      <c r="W14" s="199"/>
      <c r="X14" s="199"/>
      <c r="Y14" s="199"/>
      <c r="Z14" s="206" t="s">
        <v>142</v>
      </c>
      <c r="AA14" s="199"/>
      <c r="AB14" s="199"/>
      <c r="AC14" s="199"/>
      <c r="AD14" s="199"/>
      <c r="AE14" s="199"/>
      <c r="AF14" s="199"/>
      <c r="AG14" s="199"/>
      <c r="AH14" s="199"/>
      <c r="AI14" s="206" t="s">
        <v>146</v>
      </c>
      <c r="AJ14" s="199"/>
    </row>
    <row r="15" spans="1:36" x14ac:dyDescent="0.3">
      <c r="A15" s="201" t="s">
        <v>153</v>
      </c>
      <c r="B15" s="202">
        <v>46035</v>
      </c>
      <c r="C15" s="203" t="s">
        <v>29</v>
      </c>
      <c r="D15" s="204" t="s">
        <v>162</v>
      </c>
      <c r="E15" s="203" t="s">
        <v>1</v>
      </c>
      <c r="F15" s="203" t="s">
        <v>140</v>
      </c>
      <c r="G15" s="205">
        <v>0.8155</v>
      </c>
      <c r="H15" s="206">
        <v>168</v>
      </c>
      <c r="I15" s="206">
        <v>137</v>
      </c>
      <c r="J15" s="206">
        <v>135</v>
      </c>
      <c r="K15" s="203" t="s">
        <v>141</v>
      </c>
      <c r="L15" s="207" t="s">
        <v>51</v>
      </c>
      <c r="M15" s="206">
        <v>0</v>
      </c>
      <c r="N15" s="206">
        <v>0</v>
      </c>
      <c r="O15" s="206">
        <v>6</v>
      </c>
      <c r="P15" s="203" t="s">
        <v>59</v>
      </c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206" t="s">
        <v>37</v>
      </c>
      <c r="AB15" s="199"/>
      <c r="AC15" s="199"/>
      <c r="AD15" s="199"/>
      <c r="AE15" s="199"/>
      <c r="AF15" s="199"/>
      <c r="AG15" s="199"/>
      <c r="AH15" s="199"/>
      <c r="AI15" s="206" t="s">
        <v>146</v>
      </c>
      <c r="AJ15" s="199"/>
    </row>
    <row r="16" spans="1:36" x14ac:dyDescent="0.3">
      <c r="A16" s="201" t="s">
        <v>163</v>
      </c>
      <c r="B16" s="202">
        <v>46037</v>
      </c>
      <c r="C16" s="203" t="s">
        <v>29</v>
      </c>
      <c r="D16" s="204" t="s">
        <v>164</v>
      </c>
      <c r="E16" s="203" t="s">
        <v>1</v>
      </c>
      <c r="F16" s="203" t="s">
        <v>140</v>
      </c>
      <c r="G16" s="205">
        <v>4.7600000000000003E-2</v>
      </c>
      <c r="H16" s="206">
        <v>168</v>
      </c>
      <c r="I16" s="206">
        <v>8</v>
      </c>
      <c r="J16" s="206">
        <v>0</v>
      </c>
      <c r="K16" s="203" t="s">
        <v>141</v>
      </c>
      <c r="L16" s="207" t="s">
        <v>47</v>
      </c>
      <c r="M16" s="206">
        <v>0</v>
      </c>
      <c r="N16" s="206">
        <v>0</v>
      </c>
      <c r="O16" s="206">
        <v>10</v>
      </c>
      <c r="P16" s="203" t="s">
        <v>59</v>
      </c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206" t="s">
        <v>63</v>
      </c>
      <c r="AB16" s="199"/>
      <c r="AC16" s="199"/>
      <c r="AD16" s="199"/>
      <c r="AE16" s="199"/>
      <c r="AF16" s="199"/>
      <c r="AG16" s="199"/>
      <c r="AH16" s="199"/>
      <c r="AI16" s="199"/>
      <c r="AJ16" s="199"/>
    </row>
    <row r="17" spans="1:36" x14ac:dyDescent="0.3">
      <c r="A17" s="201" t="s">
        <v>147</v>
      </c>
      <c r="B17" s="202">
        <v>46040</v>
      </c>
      <c r="C17" s="203" t="s">
        <v>29</v>
      </c>
      <c r="D17" s="204" t="s">
        <v>148</v>
      </c>
      <c r="E17" s="203" t="s">
        <v>1</v>
      </c>
      <c r="F17" s="203" t="s">
        <v>140</v>
      </c>
      <c r="G17" s="205">
        <v>2.98E-2</v>
      </c>
      <c r="H17" s="206">
        <v>168</v>
      </c>
      <c r="I17" s="206">
        <v>5</v>
      </c>
      <c r="J17" s="206">
        <v>0</v>
      </c>
      <c r="K17" s="203" t="s">
        <v>141</v>
      </c>
      <c r="L17" s="207" t="s">
        <v>64</v>
      </c>
      <c r="M17" s="206">
        <v>0</v>
      </c>
      <c r="N17" s="206">
        <v>0</v>
      </c>
      <c r="O17" s="206">
        <v>6</v>
      </c>
      <c r="P17" s="203" t="s">
        <v>65</v>
      </c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206" t="s">
        <v>66</v>
      </c>
      <c r="AF17" s="199"/>
      <c r="AG17" s="199"/>
      <c r="AH17" s="199"/>
      <c r="AI17" s="199"/>
      <c r="AJ17" s="199"/>
    </row>
    <row r="18" spans="1:36" x14ac:dyDescent="0.3">
      <c r="A18" s="201" t="s">
        <v>153</v>
      </c>
      <c r="B18" s="202">
        <v>46042</v>
      </c>
      <c r="C18" s="203" t="s">
        <v>39</v>
      </c>
      <c r="D18" s="204" t="s">
        <v>154</v>
      </c>
      <c r="E18" s="203" t="s">
        <v>1</v>
      </c>
      <c r="F18" s="203" t="s">
        <v>140</v>
      </c>
      <c r="G18" s="205">
        <v>1.1900000000000001E-2</v>
      </c>
      <c r="H18" s="206">
        <v>168</v>
      </c>
      <c r="I18" s="206">
        <v>2</v>
      </c>
      <c r="J18" s="206">
        <v>0</v>
      </c>
      <c r="K18" s="203" t="s">
        <v>141</v>
      </c>
      <c r="L18" s="207" t="s">
        <v>44</v>
      </c>
      <c r="M18" s="206">
        <v>0</v>
      </c>
      <c r="N18" s="206">
        <v>0</v>
      </c>
      <c r="O18" s="206">
        <v>2</v>
      </c>
      <c r="P18" s="203" t="s">
        <v>65</v>
      </c>
      <c r="Q18" s="199"/>
      <c r="R18" s="199"/>
      <c r="S18" s="199"/>
      <c r="T18" s="199"/>
      <c r="U18" s="199"/>
      <c r="V18" s="199"/>
      <c r="W18" s="199"/>
      <c r="X18" s="199"/>
      <c r="Y18" s="199"/>
      <c r="Z18" s="206" t="s">
        <v>142</v>
      </c>
      <c r="AA18" s="199"/>
      <c r="AB18" s="199"/>
      <c r="AC18" s="199"/>
      <c r="AD18" s="199"/>
      <c r="AE18" s="206" t="s">
        <v>177</v>
      </c>
      <c r="AF18" s="199"/>
      <c r="AG18" s="199"/>
      <c r="AH18" s="199"/>
      <c r="AI18" s="199"/>
      <c r="AJ18" s="199"/>
    </row>
    <row r="19" spans="1:36" x14ac:dyDescent="0.3">
      <c r="A19" s="201" t="s">
        <v>153</v>
      </c>
      <c r="B19" s="202">
        <v>46042</v>
      </c>
      <c r="C19" s="203" t="s">
        <v>29</v>
      </c>
      <c r="D19" s="204" t="s">
        <v>162</v>
      </c>
      <c r="E19" s="203" t="s">
        <v>1</v>
      </c>
      <c r="F19" s="203" t="s">
        <v>140</v>
      </c>
      <c r="G19" s="205">
        <v>6.0000000000000001E-3</v>
      </c>
      <c r="H19" s="206">
        <v>168</v>
      </c>
      <c r="I19" s="206">
        <v>1</v>
      </c>
      <c r="J19" s="206">
        <v>0</v>
      </c>
      <c r="K19" s="203" t="s">
        <v>141</v>
      </c>
      <c r="L19" s="207" t="s">
        <v>68</v>
      </c>
      <c r="M19" s="206">
        <v>0</v>
      </c>
      <c r="N19" s="206">
        <v>0</v>
      </c>
      <c r="O19" s="206">
        <v>2</v>
      </c>
      <c r="P19" s="203" t="s">
        <v>65</v>
      </c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206" t="s">
        <v>69</v>
      </c>
      <c r="AB19" s="199"/>
      <c r="AC19" s="199"/>
      <c r="AD19" s="199"/>
      <c r="AE19" s="199"/>
      <c r="AF19" s="199"/>
      <c r="AG19" s="199"/>
      <c r="AH19" s="199"/>
      <c r="AI19" s="199"/>
      <c r="AJ19" s="199"/>
    </row>
    <row r="20" spans="1:36" x14ac:dyDescent="0.3">
      <c r="A20" s="201" t="s">
        <v>163</v>
      </c>
      <c r="B20" s="202">
        <v>46044</v>
      </c>
      <c r="C20" s="203" t="s">
        <v>29</v>
      </c>
      <c r="D20" s="204" t="s">
        <v>164</v>
      </c>
      <c r="E20" s="203" t="s">
        <v>1</v>
      </c>
      <c r="F20" s="203" t="s">
        <v>140</v>
      </c>
      <c r="G20" s="205">
        <v>2.98E-2</v>
      </c>
      <c r="H20" s="206">
        <v>168</v>
      </c>
      <c r="I20" s="206">
        <v>5</v>
      </c>
      <c r="J20" s="206">
        <v>0</v>
      </c>
      <c r="K20" s="203" t="s">
        <v>141</v>
      </c>
      <c r="L20" s="207" t="s">
        <v>70</v>
      </c>
      <c r="M20" s="206">
        <v>0</v>
      </c>
      <c r="N20" s="206">
        <v>0</v>
      </c>
      <c r="O20" s="206">
        <v>6</v>
      </c>
      <c r="P20" s="203" t="s">
        <v>65</v>
      </c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206" t="s">
        <v>66</v>
      </c>
      <c r="AF20" s="199"/>
      <c r="AG20" s="199"/>
      <c r="AH20" s="199"/>
      <c r="AI20" s="199"/>
      <c r="AJ20" s="199"/>
    </row>
    <row r="21" spans="1:36" x14ac:dyDescent="0.3">
      <c r="A21" s="201" t="s">
        <v>147</v>
      </c>
      <c r="B21" s="202">
        <v>46047</v>
      </c>
      <c r="C21" s="203" t="s">
        <v>29</v>
      </c>
      <c r="D21" s="204" t="s">
        <v>148</v>
      </c>
      <c r="E21" s="203" t="s">
        <v>1</v>
      </c>
      <c r="F21" s="203" t="s">
        <v>140</v>
      </c>
      <c r="G21" s="205">
        <v>3.5700000000000003E-2</v>
      </c>
      <c r="H21" s="206">
        <v>168</v>
      </c>
      <c r="I21" s="206">
        <v>6</v>
      </c>
      <c r="J21" s="206">
        <v>0</v>
      </c>
      <c r="K21" s="203" t="s">
        <v>141</v>
      </c>
      <c r="L21" s="207" t="s">
        <v>49</v>
      </c>
      <c r="M21" s="206">
        <v>0</v>
      </c>
      <c r="N21" s="206">
        <v>0</v>
      </c>
      <c r="O21" s="206">
        <v>7</v>
      </c>
      <c r="P21" s="203" t="s">
        <v>65</v>
      </c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206" t="s">
        <v>71</v>
      </c>
      <c r="AF21" s="199"/>
      <c r="AG21" s="199"/>
      <c r="AH21" s="199"/>
      <c r="AI21" s="199"/>
      <c r="AJ21" s="199"/>
    </row>
    <row r="22" spans="1:36" x14ac:dyDescent="0.3">
      <c r="A22" s="201" t="s">
        <v>153</v>
      </c>
      <c r="B22" s="202">
        <v>46049</v>
      </c>
      <c r="C22" s="203" t="s">
        <v>39</v>
      </c>
      <c r="D22" s="204" t="s">
        <v>154</v>
      </c>
      <c r="E22" s="203" t="s">
        <v>1</v>
      </c>
      <c r="F22" s="203" t="s">
        <v>140</v>
      </c>
      <c r="G22" s="205">
        <v>0</v>
      </c>
      <c r="H22" s="206">
        <v>168</v>
      </c>
      <c r="I22" s="206">
        <v>0</v>
      </c>
      <c r="J22" s="206">
        <v>0</v>
      </c>
      <c r="K22" s="203" t="s">
        <v>141</v>
      </c>
      <c r="L22" s="207" t="s">
        <v>73</v>
      </c>
      <c r="M22" s="206">
        <v>0</v>
      </c>
      <c r="N22" s="206">
        <v>0</v>
      </c>
      <c r="O22" s="206">
        <v>0</v>
      </c>
      <c r="P22" s="203" t="s">
        <v>65</v>
      </c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</row>
    <row r="23" spans="1:36" x14ac:dyDescent="0.3">
      <c r="A23" s="201" t="s">
        <v>153</v>
      </c>
      <c r="B23" s="202">
        <v>46049</v>
      </c>
      <c r="C23" s="203" t="s">
        <v>29</v>
      </c>
      <c r="D23" s="204" t="s">
        <v>162</v>
      </c>
      <c r="E23" s="203" t="s">
        <v>1</v>
      </c>
      <c r="F23" s="203" t="s">
        <v>140</v>
      </c>
      <c r="G23" s="205">
        <v>2.3800000000000002E-2</v>
      </c>
      <c r="H23" s="206">
        <v>168</v>
      </c>
      <c r="I23" s="206">
        <v>4</v>
      </c>
      <c r="J23" s="206">
        <v>0</v>
      </c>
      <c r="K23" s="203" t="s">
        <v>141</v>
      </c>
      <c r="L23" s="207" t="s">
        <v>49</v>
      </c>
      <c r="M23" s="206">
        <v>0</v>
      </c>
      <c r="N23" s="206">
        <v>0</v>
      </c>
      <c r="O23" s="206">
        <v>5</v>
      </c>
      <c r="P23" s="203" t="s">
        <v>65</v>
      </c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206" t="s">
        <v>74</v>
      </c>
      <c r="AF23" s="199"/>
      <c r="AG23" s="199"/>
      <c r="AH23" s="199"/>
      <c r="AI23" s="199"/>
      <c r="AJ23" s="199"/>
    </row>
    <row r="24" spans="1:36" x14ac:dyDescent="0.3">
      <c r="A24" s="201" t="s">
        <v>163</v>
      </c>
      <c r="B24" s="202">
        <v>46051</v>
      </c>
      <c r="C24" s="203" t="s">
        <v>29</v>
      </c>
      <c r="D24" s="204" t="s">
        <v>164</v>
      </c>
      <c r="E24" s="203" t="s">
        <v>1</v>
      </c>
      <c r="F24" s="203" t="s">
        <v>140</v>
      </c>
      <c r="G24" s="205">
        <v>5.3600000000000002E-2</v>
      </c>
      <c r="H24" s="206">
        <v>168</v>
      </c>
      <c r="I24" s="206">
        <v>9</v>
      </c>
      <c r="J24" s="206">
        <v>0</v>
      </c>
      <c r="K24" s="203" t="s">
        <v>141</v>
      </c>
      <c r="L24" s="207" t="s">
        <v>47</v>
      </c>
      <c r="M24" s="206">
        <v>0</v>
      </c>
      <c r="N24" s="206">
        <v>0</v>
      </c>
      <c r="O24" s="206">
        <v>9</v>
      </c>
      <c r="P24" s="203" t="s">
        <v>75</v>
      </c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206" t="s">
        <v>75</v>
      </c>
      <c r="AF24" s="206" t="s">
        <v>178</v>
      </c>
      <c r="AG24" s="199"/>
      <c r="AH24" s="199"/>
      <c r="AI24" s="199"/>
      <c r="AJ24" s="199"/>
    </row>
    <row r="25" spans="1:36" x14ac:dyDescent="0.3">
      <c r="A25" s="201" t="s">
        <v>138</v>
      </c>
      <c r="B25" s="202">
        <v>46053</v>
      </c>
      <c r="C25" s="203" t="s">
        <v>29</v>
      </c>
      <c r="D25" s="204" t="s">
        <v>139</v>
      </c>
      <c r="E25" s="203" t="s">
        <v>1</v>
      </c>
      <c r="F25" s="203" t="s">
        <v>140</v>
      </c>
      <c r="G25" s="205">
        <v>0.24399999999999999</v>
      </c>
      <c r="H25" s="206">
        <v>168</v>
      </c>
      <c r="I25" s="206">
        <v>41</v>
      </c>
      <c r="J25" s="206">
        <v>0</v>
      </c>
      <c r="K25" s="203" t="s">
        <v>141</v>
      </c>
      <c r="L25" s="207" t="s">
        <v>70</v>
      </c>
      <c r="M25" s="206">
        <v>0</v>
      </c>
      <c r="N25" s="206">
        <v>0</v>
      </c>
      <c r="O25" s="206">
        <v>42</v>
      </c>
      <c r="P25" s="203" t="s">
        <v>77</v>
      </c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206" t="s">
        <v>179</v>
      </c>
      <c r="AC25" s="206" t="s">
        <v>151</v>
      </c>
      <c r="AD25" s="206" t="s">
        <v>86</v>
      </c>
      <c r="AE25" s="206" t="s">
        <v>87</v>
      </c>
      <c r="AF25" s="199"/>
      <c r="AG25" s="199"/>
      <c r="AH25" s="199"/>
      <c r="AI25" s="199"/>
      <c r="AJ25" s="199"/>
    </row>
    <row r="26" spans="1:36" x14ac:dyDescent="0.3">
      <c r="A26" s="201" t="s">
        <v>147</v>
      </c>
      <c r="B26" s="202">
        <v>46054</v>
      </c>
      <c r="C26" s="203" t="s">
        <v>29</v>
      </c>
      <c r="D26" s="204" t="s">
        <v>148</v>
      </c>
      <c r="E26" s="203" t="s">
        <v>1</v>
      </c>
      <c r="F26" s="203" t="s">
        <v>140</v>
      </c>
      <c r="G26" s="205">
        <v>0.11899999999999999</v>
      </c>
      <c r="H26" s="206">
        <v>168</v>
      </c>
      <c r="I26" s="206">
        <v>20</v>
      </c>
      <c r="J26" s="206">
        <v>0</v>
      </c>
      <c r="K26" s="203" t="s">
        <v>141</v>
      </c>
      <c r="L26" s="207" t="s">
        <v>70</v>
      </c>
      <c r="M26" s="206">
        <v>0</v>
      </c>
      <c r="N26" s="206">
        <v>0</v>
      </c>
      <c r="O26" s="206">
        <v>21</v>
      </c>
      <c r="P26" s="203" t="s">
        <v>79</v>
      </c>
      <c r="Q26" s="199"/>
      <c r="R26" s="199"/>
      <c r="S26" s="199"/>
      <c r="T26" s="199"/>
      <c r="U26" s="199"/>
      <c r="V26" s="199"/>
      <c r="W26" s="199"/>
      <c r="X26" s="199"/>
      <c r="Y26" s="199"/>
      <c r="Z26" s="206" t="s">
        <v>142</v>
      </c>
      <c r="AA26" s="199"/>
      <c r="AB26" s="199"/>
      <c r="AC26" s="199"/>
      <c r="AD26" s="206" t="s">
        <v>180</v>
      </c>
      <c r="AE26" s="206" t="s">
        <v>87</v>
      </c>
      <c r="AF26" s="199"/>
      <c r="AG26" s="199"/>
      <c r="AH26" s="199"/>
      <c r="AI26" s="199"/>
      <c r="AJ26" s="199"/>
    </row>
    <row r="27" spans="1:36" x14ac:dyDescent="0.3">
      <c r="A27" s="201" t="s">
        <v>153</v>
      </c>
      <c r="B27" s="202">
        <v>46056</v>
      </c>
      <c r="C27" s="203" t="s">
        <v>39</v>
      </c>
      <c r="D27" s="204" t="s">
        <v>154</v>
      </c>
      <c r="E27" s="203" t="s">
        <v>1</v>
      </c>
      <c r="F27" s="203" t="s">
        <v>140</v>
      </c>
      <c r="G27" s="205">
        <v>0.2321</v>
      </c>
      <c r="H27" s="206">
        <v>168</v>
      </c>
      <c r="I27" s="206">
        <v>39</v>
      </c>
      <c r="J27" s="206">
        <v>25</v>
      </c>
      <c r="K27" s="203" t="s">
        <v>141</v>
      </c>
      <c r="L27" s="207" t="s">
        <v>70</v>
      </c>
      <c r="M27" s="206">
        <v>0</v>
      </c>
      <c r="N27" s="206">
        <v>0</v>
      </c>
      <c r="O27" s="206">
        <v>15</v>
      </c>
      <c r="P27" s="203" t="s">
        <v>81</v>
      </c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206" t="s">
        <v>181</v>
      </c>
      <c r="AF27" s="199"/>
      <c r="AG27" s="206" t="s">
        <v>91</v>
      </c>
      <c r="AH27" s="199"/>
      <c r="AI27" s="199"/>
      <c r="AJ27" s="199"/>
    </row>
    <row r="28" spans="1:36" x14ac:dyDescent="0.3">
      <c r="A28" s="201" t="s">
        <v>153</v>
      </c>
      <c r="B28" s="202">
        <v>46056</v>
      </c>
      <c r="C28" s="203" t="s">
        <v>29</v>
      </c>
      <c r="D28" s="204" t="s">
        <v>162</v>
      </c>
      <c r="E28" s="203" t="s">
        <v>1</v>
      </c>
      <c r="F28" s="203" t="s">
        <v>140</v>
      </c>
      <c r="G28" s="205">
        <v>7.7399999999999997E-2</v>
      </c>
      <c r="H28" s="206">
        <v>168</v>
      </c>
      <c r="I28" s="206">
        <v>13</v>
      </c>
      <c r="J28" s="206">
        <v>0</v>
      </c>
      <c r="K28" s="203" t="s">
        <v>141</v>
      </c>
      <c r="L28" s="207" t="s">
        <v>70</v>
      </c>
      <c r="M28" s="206">
        <v>0</v>
      </c>
      <c r="N28" s="206">
        <v>0</v>
      </c>
      <c r="O28" s="206">
        <v>14</v>
      </c>
      <c r="P28" s="203" t="s">
        <v>74</v>
      </c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206" t="s">
        <v>83</v>
      </c>
      <c r="AF28" s="199"/>
      <c r="AG28" s="199"/>
      <c r="AH28" s="199"/>
      <c r="AI28" s="199"/>
      <c r="AJ28" s="199"/>
    </row>
    <row r="29" spans="1:36" x14ac:dyDescent="0.3">
      <c r="A29" s="201" t="s">
        <v>163</v>
      </c>
      <c r="B29" s="202">
        <v>46058</v>
      </c>
      <c r="C29" s="203" t="s">
        <v>29</v>
      </c>
      <c r="D29" s="204" t="s">
        <v>164</v>
      </c>
      <c r="E29" s="203" t="s">
        <v>1</v>
      </c>
      <c r="F29" s="203" t="s">
        <v>140</v>
      </c>
      <c r="G29" s="205">
        <v>0.2024</v>
      </c>
      <c r="H29" s="206">
        <v>168</v>
      </c>
      <c r="I29" s="206">
        <v>34</v>
      </c>
      <c r="J29" s="206">
        <v>0</v>
      </c>
      <c r="K29" s="203" t="s">
        <v>141</v>
      </c>
      <c r="L29" s="207" t="s">
        <v>47</v>
      </c>
      <c r="M29" s="206">
        <v>0</v>
      </c>
      <c r="N29" s="206">
        <v>0</v>
      </c>
      <c r="O29" s="206">
        <v>34</v>
      </c>
      <c r="P29" s="203" t="s">
        <v>84</v>
      </c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206" t="s">
        <v>151</v>
      </c>
      <c r="AD29" s="206" t="s">
        <v>158</v>
      </c>
      <c r="AE29" s="206" t="s">
        <v>182</v>
      </c>
      <c r="AF29" s="199"/>
      <c r="AG29" s="199"/>
      <c r="AH29" s="199"/>
      <c r="AI29" s="199"/>
      <c r="AJ29" s="199"/>
    </row>
    <row r="30" spans="1:36" x14ac:dyDescent="0.3">
      <c r="A30" s="201" t="s">
        <v>138</v>
      </c>
      <c r="B30" s="202">
        <v>46060</v>
      </c>
      <c r="C30" s="203" t="s">
        <v>29</v>
      </c>
      <c r="D30" s="204" t="s">
        <v>139</v>
      </c>
      <c r="E30" s="203" t="s">
        <v>1</v>
      </c>
      <c r="F30" s="203" t="s">
        <v>140</v>
      </c>
      <c r="G30" s="205">
        <v>0.1012</v>
      </c>
      <c r="H30" s="206">
        <v>168</v>
      </c>
      <c r="I30" s="206">
        <v>17</v>
      </c>
      <c r="J30" s="206">
        <v>0</v>
      </c>
      <c r="K30" s="203" t="s">
        <v>141</v>
      </c>
      <c r="L30" s="207" t="s">
        <v>49</v>
      </c>
      <c r="M30" s="206">
        <v>0</v>
      </c>
      <c r="N30" s="206">
        <v>0</v>
      </c>
      <c r="O30" s="206">
        <v>18</v>
      </c>
      <c r="P30" s="203" t="s">
        <v>86</v>
      </c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206" t="s">
        <v>87</v>
      </c>
      <c r="AF30" s="199"/>
      <c r="AG30" s="199"/>
      <c r="AH30" s="199"/>
      <c r="AI30" s="199"/>
      <c r="AJ30" s="199"/>
    </row>
    <row r="31" spans="1:36" x14ac:dyDescent="0.3">
      <c r="A31" s="201" t="s">
        <v>147</v>
      </c>
      <c r="B31" s="202">
        <v>46061</v>
      </c>
      <c r="C31" s="203" t="s">
        <v>29</v>
      </c>
      <c r="D31" s="204" t="s">
        <v>148</v>
      </c>
      <c r="E31" s="203" t="s">
        <v>1</v>
      </c>
      <c r="F31" s="203" t="s">
        <v>140</v>
      </c>
      <c r="G31" s="205">
        <v>5.9499999999999997E-2</v>
      </c>
      <c r="H31" s="206">
        <v>168</v>
      </c>
      <c r="I31" s="206">
        <v>10</v>
      </c>
      <c r="J31" s="206">
        <v>0</v>
      </c>
      <c r="K31" s="203" t="s">
        <v>141</v>
      </c>
      <c r="L31" s="207" t="s">
        <v>49</v>
      </c>
      <c r="M31" s="206">
        <v>0</v>
      </c>
      <c r="N31" s="206">
        <v>0</v>
      </c>
      <c r="O31" s="206">
        <v>11</v>
      </c>
      <c r="P31" s="203" t="s">
        <v>88</v>
      </c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206" t="s">
        <v>89</v>
      </c>
      <c r="AF31" s="199"/>
      <c r="AG31" s="199"/>
      <c r="AH31" s="199"/>
      <c r="AI31" s="199"/>
      <c r="AJ31" s="199"/>
    </row>
    <row r="32" spans="1:36" x14ac:dyDescent="0.3">
      <c r="A32" s="201" t="s">
        <v>153</v>
      </c>
      <c r="B32" s="202">
        <v>46063</v>
      </c>
      <c r="C32" s="203" t="s">
        <v>39</v>
      </c>
      <c r="D32" s="204" t="s">
        <v>154</v>
      </c>
      <c r="E32" s="203" t="s">
        <v>1</v>
      </c>
      <c r="F32" s="203" t="s">
        <v>140</v>
      </c>
      <c r="G32" s="205">
        <v>0.14879999999999999</v>
      </c>
      <c r="H32" s="206">
        <v>168</v>
      </c>
      <c r="I32" s="206">
        <v>25</v>
      </c>
      <c r="J32" s="206">
        <v>25</v>
      </c>
      <c r="K32" s="203" t="s">
        <v>141</v>
      </c>
      <c r="L32" s="207" t="s">
        <v>90</v>
      </c>
      <c r="M32" s="206">
        <v>0</v>
      </c>
      <c r="N32" s="206">
        <v>0</v>
      </c>
      <c r="O32" s="206">
        <v>1</v>
      </c>
      <c r="P32" s="203" t="s">
        <v>65</v>
      </c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206" t="s">
        <v>91</v>
      </c>
      <c r="AH32" s="199"/>
      <c r="AI32" s="199"/>
      <c r="AJ32" s="199"/>
    </row>
    <row r="33" spans="1:36" x14ac:dyDescent="0.3">
      <c r="A33" s="201" t="s">
        <v>153</v>
      </c>
      <c r="B33" s="202">
        <v>46063</v>
      </c>
      <c r="C33" s="203" t="s">
        <v>29</v>
      </c>
      <c r="D33" s="204" t="s">
        <v>162</v>
      </c>
      <c r="E33" s="203" t="s">
        <v>1</v>
      </c>
      <c r="F33" s="203" t="s">
        <v>140</v>
      </c>
      <c r="G33" s="205">
        <v>1.1900000000000001E-2</v>
      </c>
      <c r="H33" s="206">
        <v>168</v>
      </c>
      <c r="I33" s="206">
        <v>2</v>
      </c>
      <c r="J33" s="206">
        <v>0</v>
      </c>
      <c r="K33" s="203" t="s">
        <v>141</v>
      </c>
      <c r="L33" s="207" t="s">
        <v>64</v>
      </c>
      <c r="M33" s="206">
        <v>0</v>
      </c>
      <c r="N33" s="206">
        <v>0</v>
      </c>
      <c r="O33" s="206">
        <v>3</v>
      </c>
      <c r="P33" s="203" t="s">
        <v>65</v>
      </c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206" t="s">
        <v>92</v>
      </c>
      <c r="AF33" s="199"/>
      <c r="AG33" s="199"/>
      <c r="AH33" s="199"/>
      <c r="AI33" s="199"/>
      <c r="AJ33" s="199"/>
    </row>
    <row r="34" spans="1:36" x14ac:dyDescent="0.3">
      <c r="A34" s="201" t="s">
        <v>163</v>
      </c>
      <c r="B34" s="202">
        <v>46065</v>
      </c>
      <c r="C34" s="203" t="s">
        <v>29</v>
      </c>
      <c r="D34" s="204" t="s">
        <v>164</v>
      </c>
      <c r="E34" s="203" t="s">
        <v>1</v>
      </c>
      <c r="F34" s="203" t="s">
        <v>140</v>
      </c>
      <c r="G34" s="205">
        <v>2.98E-2</v>
      </c>
      <c r="H34" s="206">
        <v>168</v>
      </c>
      <c r="I34" s="206">
        <v>5</v>
      </c>
      <c r="J34" s="206">
        <v>0</v>
      </c>
      <c r="K34" s="203" t="s">
        <v>141</v>
      </c>
      <c r="L34" s="207" t="s">
        <v>70</v>
      </c>
      <c r="M34" s="206">
        <v>0</v>
      </c>
      <c r="N34" s="206">
        <v>0</v>
      </c>
      <c r="O34" s="206">
        <v>5</v>
      </c>
      <c r="P34" s="203" t="s">
        <v>65</v>
      </c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206" t="s">
        <v>66</v>
      </c>
      <c r="AF34" s="199"/>
      <c r="AG34" s="199"/>
      <c r="AH34" s="199"/>
      <c r="AI34" s="199"/>
      <c r="AJ34" s="199"/>
    </row>
    <row r="35" spans="1:36" x14ac:dyDescent="0.3">
      <c r="A35" s="201" t="s">
        <v>138</v>
      </c>
      <c r="B35" s="202">
        <v>46067</v>
      </c>
      <c r="C35" s="203" t="s">
        <v>29</v>
      </c>
      <c r="D35" s="204" t="s">
        <v>139</v>
      </c>
      <c r="E35" s="203" t="s">
        <v>1</v>
      </c>
      <c r="F35" s="203" t="s">
        <v>140</v>
      </c>
      <c r="G35" s="205">
        <v>2.3800000000000002E-2</v>
      </c>
      <c r="H35" s="206">
        <v>168</v>
      </c>
      <c r="I35" s="206">
        <v>4</v>
      </c>
      <c r="J35" s="206">
        <v>0</v>
      </c>
      <c r="K35" s="203" t="s">
        <v>141</v>
      </c>
      <c r="L35" s="207" t="s">
        <v>93</v>
      </c>
      <c r="M35" s="206">
        <v>0</v>
      </c>
      <c r="N35" s="206">
        <v>0</v>
      </c>
      <c r="O35" s="206">
        <v>4</v>
      </c>
      <c r="P35" s="203" t="s">
        <v>65</v>
      </c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206" t="s">
        <v>74</v>
      </c>
      <c r="AF35" s="199"/>
      <c r="AG35" s="199"/>
      <c r="AH35" s="199"/>
      <c r="AI35" s="199"/>
      <c r="AJ35" s="199"/>
    </row>
    <row r="36" spans="1:36" x14ac:dyDescent="0.3">
      <c r="A36" s="201" t="s">
        <v>147</v>
      </c>
      <c r="B36" s="202">
        <v>46068</v>
      </c>
      <c r="C36" s="203" t="s">
        <v>29</v>
      </c>
      <c r="D36" s="204" t="s">
        <v>148</v>
      </c>
      <c r="E36" s="203" t="s">
        <v>1</v>
      </c>
      <c r="F36" s="203" t="s">
        <v>140</v>
      </c>
      <c r="G36" s="205">
        <v>2.3800000000000002E-2</v>
      </c>
      <c r="H36" s="206">
        <v>168</v>
      </c>
      <c r="I36" s="206">
        <v>4</v>
      </c>
      <c r="J36" s="206">
        <v>0</v>
      </c>
      <c r="K36" s="203" t="s">
        <v>141</v>
      </c>
      <c r="L36" s="207" t="s">
        <v>94</v>
      </c>
      <c r="M36" s="206">
        <v>0</v>
      </c>
      <c r="N36" s="206">
        <v>0</v>
      </c>
      <c r="O36" s="206">
        <v>4</v>
      </c>
      <c r="P36" s="203" t="s">
        <v>65</v>
      </c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206" t="s">
        <v>74</v>
      </c>
      <c r="AF36" s="199"/>
      <c r="AG36" s="199"/>
      <c r="AH36" s="199"/>
      <c r="AI36" s="199"/>
      <c r="AJ36" s="199"/>
    </row>
    <row r="37" spans="1:36" x14ac:dyDescent="0.3">
      <c r="A37" s="201" t="s">
        <v>153</v>
      </c>
      <c r="B37" s="202">
        <v>46070</v>
      </c>
      <c r="C37" s="203" t="s">
        <v>39</v>
      </c>
      <c r="D37" s="204" t="s">
        <v>154</v>
      </c>
      <c r="E37" s="203" t="s">
        <v>1</v>
      </c>
      <c r="F37" s="203" t="s">
        <v>140</v>
      </c>
      <c r="G37" s="205">
        <v>6.0000000000000001E-3</v>
      </c>
      <c r="H37" s="206">
        <v>168</v>
      </c>
      <c r="I37" s="206">
        <v>1</v>
      </c>
      <c r="J37" s="206">
        <v>0</v>
      </c>
      <c r="K37" s="203" t="s">
        <v>141</v>
      </c>
      <c r="L37" s="207" t="s">
        <v>95</v>
      </c>
      <c r="M37" s="206">
        <v>0</v>
      </c>
      <c r="N37" s="206">
        <v>0</v>
      </c>
      <c r="O37" s="206">
        <v>1</v>
      </c>
      <c r="P37" s="203" t="s">
        <v>96</v>
      </c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206" t="s">
        <v>97</v>
      </c>
      <c r="AD37" s="199"/>
      <c r="AE37" s="199"/>
      <c r="AF37" s="199"/>
      <c r="AG37" s="199"/>
      <c r="AH37" s="199"/>
      <c r="AI37" s="199"/>
      <c r="AJ37" s="199"/>
    </row>
    <row r="38" spans="1:36" x14ac:dyDescent="0.3">
      <c r="A38" s="201" t="s">
        <v>153</v>
      </c>
      <c r="B38" s="202">
        <v>46070</v>
      </c>
      <c r="C38" s="203" t="s">
        <v>29</v>
      </c>
      <c r="D38" s="204" t="s">
        <v>162</v>
      </c>
      <c r="E38" s="203" t="s">
        <v>1</v>
      </c>
      <c r="F38" s="203" t="s">
        <v>140</v>
      </c>
      <c r="G38" s="205">
        <v>0</v>
      </c>
      <c r="H38" s="206">
        <v>168</v>
      </c>
      <c r="I38" s="206">
        <v>0</v>
      </c>
      <c r="J38" s="206">
        <v>0</v>
      </c>
      <c r="K38" s="203" t="s">
        <v>141</v>
      </c>
      <c r="L38" s="207" t="s">
        <v>73</v>
      </c>
      <c r="M38" s="206">
        <v>0</v>
      </c>
      <c r="N38" s="206">
        <v>0</v>
      </c>
      <c r="O38" s="206">
        <v>0</v>
      </c>
      <c r="P38" s="203" t="s">
        <v>96</v>
      </c>
      <c r="Q38" s="199"/>
      <c r="R38" s="199"/>
      <c r="S38" s="199"/>
      <c r="T38" s="199"/>
      <c r="U38" s="199"/>
      <c r="V38" s="199"/>
      <c r="W38" s="199"/>
      <c r="X38" s="199"/>
      <c r="Y38" s="199"/>
      <c r="Z38" s="199"/>
      <c r="AA38" s="199"/>
      <c r="AB38" s="199"/>
      <c r="AC38" s="199"/>
      <c r="AD38" s="199"/>
      <c r="AE38" s="199"/>
      <c r="AF38" s="199"/>
      <c r="AG38" s="199"/>
      <c r="AH38" s="199"/>
      <c r="AI38" s="199"/>
      <c r="AJ38" s="199"/>
    </row>
    <row r="39" spans="1:36" x14ac:dyDescent="0.3">
      <c r="A39" s="201" t="s">
        <v>163</v>
      </c>
      <c r="B39" s="202">
        <v>46072</v>
      </c>
      <c r="C39" s="203" t="s">
        <v>29</v>
      </c>
      <c r="D39" s="204" t="s">
        <v>164</v>
      </c>
      <c r="E39" s="203" t="s">
        <v>1</v>
      </c>
      <c r="F39" s="203" t="s">
        <v>140</v>
      </c>
      <c r="G39" s="205">
        <v>6.0000000000000001E-3</v>
      </c>
      <c r="H39" s="206">
        <v>168</v>
      </c>
      <c r="I39" s="206">
        <v>1</v>
      </c>
      <c r="J39" s="206">
        <v>0</v>
      </c>
      <c r="K39" s="203" t="s">
        <v>141</v>
      </c>
      <c r="L39" s="207" t="s">
        <v>98</v>
      </c>
      <c r="M39" s="206">
        <v>0</v>
      </c>
      <c r="N39" s="206">
        <v>0</v>
      </c>
      <c r="O39" s="206">
        <v>1</v>
      </c>
      <c r="P39" s="203" t="s">
        <v>96</v>
      </c>
      <c r="Q39" s="199"/>
      <c r="R39" s="199"/>
      <c r="S39" s="199"/>
      <c r="T39" s="199"/>
      <c r="U39" s="199"/>
      <c r="V39" s="199"/>
      <c r="W39" s="199"/>
      <c r="X39" s="199"/>
      <c r="Y39" s="199"/>
      <c r="Z39" s="199"/>
      <c r="AA39" s="199"/>
      <c r="AB39" s="199"/>
      <c r="AC39" s="206" t="s">
        <v>97</v>
      </c>
      <c r="AD39" s="199"/>
      <c r="AE39" s="199"/>
      <c r="AF39" s="199"/>
      <c r="AG39" s="199"/>
      <c r="AH39" s="199"/>
      <c r="AI39" s="199"/>
      <c r="AJ39" s="199"/>
    </row>
    <row r="40" spans="1:36" x14ac:dyDescent="0.3">
      <c r="A40" s="201" t="s">
        <v>138</v>
      </c>
      <c r="B40" s="202">
        <v>46074</v>
      </c>
      <c r="C40" s="203" t="s">
        <v>29</v>
      </c>
      <c r="D40" s="204" t="s">
        <v>139</v>
      </c>
      <c r="E40" s="203" t="s">
        <v>1</v>
      </c>
      <c r="F40" s="203" t="s">
        <v>140</v>
      </c>
      <c r="G40" s="205">
        <v>2.3800000000000002E-2</v>
      </c>
      <c r="H40" s="206">
        <v>168</v>
      </c>
      <c r="I40" s="206">
        <v>4</v>
      </c>
      <c r="J40" s="206">
        <v>0</v>
      </c>
      <c r="K40" s="203" t="s">
        <v>141</v>
      </c>
      <c r="L40" s="207" t="s">
        <v>47</v>
      </c>
      <c r="M40" s="206">
        <v>0</v>
      </c>
      <c r="N40" s="206">
        <v>0</v>
      </c>
      <c r="O40" s="206">
        <v>4</v>
      </c>
      <c r="P40" s="203" t="s">
        <v>96</v>
      </c>
      <c r="Q40" s="199"/>
      <c r="R40" s="199"/>
      <c r="S40" s="199"/>
      <c r="T40" s="199"/>
      <c r="U40" s="199"/>
      <c r="V40" s="199"/>
      <c r="W40" s="199"/>
      <c r="X40" s="199"/>
      <c r="Y40" s="199"/>
      <c r="Z40" s="199"/>
      <c r="AA40" s="199"/>
      <c r="AB40" s="199"/>
      <c r="AC40" s="206" t="s">
        <v>99</v>
      </c>
      <c r="AD40" s="199"/>
      <c r="AE40" s="199"/>
      <c r="AF40" s="199"/>
      <c r="AG40" s="199"/>
      <c r="AH40" s="199"/>
      <c r="AI40" s="199"/>
      <c r="AJ40" s="199"/>
    </row>
    <row r="41" spans="1:36" x14ac:dyDescent="0.3">
      <c r="A41" s="201" t="s">
        <v>147</v>
      </c>
      <c r="B41" s="202">
        <v>46075</v>
      </c>
      <c r="C41" s="203" t="s">
        <v>29</v>
      </c>
      <c r="D41" s="204" t="s">
        <v>148</v>
      </c>
      <c r="E41" s="203" t="s">
        <v>1</v>
      </c>
      <c r="F41" s="203" t="s">
        <v>140</v>
      </c>
      <c r="G41" s="205">
        <v>0.11899999999999999</v>
      </c>
      <c r="H41" s="206">
        <v>168</v>
      </c>
      <c r="I41" s="206">
        <v>20</v>
      </c>
      <c r="J41" s="206">
        <v>0</v>
      </c>
      <c r="K41" s="203" t="s">
        <v>141</v>
      </c>
      <c r="L41" s="207" t="s">
        <v>94</v>
      </c>
      <c r="M41" s="206">
        <v>0</v>
      </c>
      <c r="N41" s="206">
        <v>0</v>
      </c>
      <c r="O41" s="206">
        <v>20</v>
      </c>
      <c r="P41" s="203" t="s">
        <v>100</v>
      </c>
      <c r="Q41" s="199"/>
      <c r="R41" s="199"/>
      <c r="S41" s="199"/>
      <c r="T41" s="199"/>
      <c r="U41" s="199"/>
      <c r="V41" s="199"/>
      <c r="W41" s="199"/>
      <c r="X41" s="199"/>
      <c r="Y41" s="199"/>
      <c r="Z41" s="199"/>
      <c r="AA41" s="199"/>
      <c r="AB41" s="206" t="s">
        <v>183</v>
      </c>
      <c r="AC41" s="206" t="s">
        <v>184</v>
      </c>
      <c r="AD41" s="199"/>
      <c r="AE41" s="199"/>
      <c r="AF41" s="199"/>
      <c r="AG41" s="199"/>
      <c r="AH41" s="199"/>
      <c r="AI41" s="199"/>
      <c r="AJ41" s="199"/>
    </row>
    <row r="42" spans="1:36" x14ac:dyDescent="0.3">
      <c r="A42" s="201" t="s">
        <v>153</v>
      </c>
      <c r="B42" s="202">
        <v>46077</v>
      </c>
      <c r="C42" s="203" t="s">
        <v>39</v>
      </c>
      <c r="D42" s="204" t="s">
        <v>154</v>
      </c>
      <c r="E42" s="203" t="s">
        <v>1</v>
      </c>
      <c r="F42" s="203" t="s">
        <v>140</v>
      </c>
      <c r="G42" s="205">
        <v>0.23810000000000001</v>
      </c>
      <c r="H42" s="206">
        <v>168</v>
      </c>
      <c r="I42" s="206">
        <v>40</v>
      </c>
      <c r="J42" s="206">
        <v>40</v>
      </c>
      <c r="K42" s="203" t="s">
        <v>141</v>
      </c>
      <c r="L42" s="207" t="s">
        <v>90</v>
      </c>
      <c r="M42" s="206">
        <v>0</v>
      </c>
      <c r="N42" s="206">
        <v>0</v>
      </c>
      <c r="O42" s="206">
        <v>1</v>
      </c>
      <c r="P42" s="203" t="s">
        <v>96</v>
      </c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  <c r="AD42" s="199"/>
      <c r="AE42" s="199"/>
      <c r="AF42" s="199"/>
      <c r="AG42" s="206" t="s">
        <v>102</v>
      </c>
      <c r="AH42" s="199"/>
      <c r="AI42" s="199"/>
      <c r="AJ42" s="199"/>
    </row>
    <row r="43" spans="1:36" x14ac:dyDescent="0.3">
      <c r="A43" s="201" t="s">
        <v>153</v>
      </c>
      <c r="B43" s="202">
        <v>46077</v>
      </c>
      <c r="C43" s="203" t="s">
        <v>29</v>
      </c>
      <c r="D43" s="204" t="s">
        <v>162</v>
      </c>
      <c r="E43" s="203" t="s">
        <v>1</v>
      </c>
      <c r="F43" s="203" t="s">
        <v>140</v>
      </c>
      <c r="G43" s="205">
        <v>2.3800000000000002E-2</v>
      </c>
      <c r="H43" s="206">
        <v>168</v>
      </c>
      <c r="I43" s="206">
        <v>4</v>
      </c>
      <c r="J43" s="206">
        <v>0</v>
      </c>
      <c r="K43" s="203" t="s">
        <v>141</v>
      </c>
      <c r="L43" s="207" t="s">
        <v>70</v>
      </c>
      <c r="M43" s="206">
        <v>0</v>
      </c>
      <c r="N43" s="206">
        <v>0</v>
      </c>
      <c r="O43" s="206">
        <v>4</v>
      </c>
      <c r="P43" s="203" t="s">
        <v>96</v>
      </c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206" t="s">
        <v>99</v>
      </c>
      <c r="AD43" s="199"/>
      <c r="AE43" s="199"/>
      <c r="AF43" s="199"/>
      <c r="AG43" s="199"/>
      <c r="AH43" s="199"/>
      <c r="AI43" s="199"/>
      <c r="AJ43" s="199"/>
    </row>
    <row r="44" spans="1:36" x14ac:dyDescent="0.3">
      <c r="A44" s="201" t="s">
        <v>163</v>
      </c>
      <c r="B44" s="202">
        <v>46079</v>
      </c>
      <c r="C44" s="203" t="s">
        <v>29</v>
      </c>
      <c r="D44" s="204" t="s">
        <v>164</v>
      </c>
      <c r="E44" s="203" t="s">
        <v>1</v>
      </c>
      <c r="F44" s="203" t="s">
        <v>140</v>
      </c>
      <c r="G44" s="205">
        <v>2.3800000000000002E-2</v>
      </c>
      <c r="H44" s="206">
        <v>168</v>
      </c>
      <c r="I44" s="206">
        <v>4</v>
      </c>
      <c r="J44" s="206">
        <v>0</v>
      </c>
      <c r="K44" s="203" t="s">
        <v>141</v>
      </c>
      <c r="L44" s="207" t="s">
        <v>103</v>
      </c>
      <c r="M44" s="206">
        <v>0</v>
      </c>
      <c r="N44" s="206">
        <v>0</v>
      </c>
      <c r="O44" s="206">
        <v>4</v>
      </c>
      <c r="P44" s="203" t="s">
        <v>96</v>
      </c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  <c r="AC44" s="206" t="s">
        <v>99</v>
      </c>
      <c r="AD44" s="199"/>
      <c r="AE44" s="199"/>
      <c r="AF44" s="199"/>
      <c r="AG44" s="199"/>
      <c r="AH44" s="199"/>
      <c r="AI44" s="199"/>
      <c r="AJ44" s="199"/>
    </row>
    <row r="45" spans="1:36" x14ac:dyDescent="0.3">
      <c r="A45" s="201" t="s">
        <v>138</v>
      </c>
      <c r="B45" s="202">
        <v>46081</v>
      </c>
      <c r="C45" s="203" t="s">
        <v>29</v>
      </c>
      <c r="D45" s="204" t="s">
        <v>139</v>
      </c>
      <c r="E45" s="203" t="s">
        <v>1</v>
      </c>
      <c r="F45" s="203" t="s">
        <v>140</v>
      </c>
      <c r="G45" s="205">
        <v>0.125</v>
      </c>
      <c r="H45" s="206">
        <v>168</v>
      </c>
      <c r="I45" s="206">
        <v>21</v>
      </c>
      <c r="J45" s="206">
        <v>0</v>
      </c>
      <c r="K45" s="203" t="s">
        <v>141</v>
      </c>
      <c r="L45" s="207" t="s">
        <v>49</v>
      </c>
      <c r="M45" s="206">
        <v>0</v>
      </c>
      <c r="N45" s="206">
        <v>0</v>
      </c>
      <c r="O45" s="206">
        <v>21</v>
      </c>
      <c r="P45" s="203" t="s">
        <v>104</v>
      </c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206" t="s">
        <v>185</v>
      </c>
      <c r="AC45" s="206" t="s">
        <v>184</v>
      </c>
      <c r="AD45" s="199"/>
      <c r="AE45" s="199"/>
      <c r="AF45" s="199"/>
      <c r="AG45" s="199"/>
      <c r="AH45" s="199"/>
      <c r="AI45" s="199"/>
      <c r="AJ45" s="199"/>
    </row>
    <row r="46" spans="1:36" x14ac:dyDescent="0.3">
      <c r="A46" s="201" t="s">
        <v>147</v>
      </c>
      <c r="B46" s="202">
        <v>46082</v>
      </c>
      <c r="C46" s="203" t="s">
        <v>29</v>
      </c>
      <c r="D46" s="204" t="s">
        <v>148</v>
      </c>
      <c r="E46" s="203" t="s">
        <v>1</v>
      </c>
      <c r="F46" s="203" t="s">
        <v>140</v>
      </c>
      <c r="G46" s="205">
        <v>5.9499999999999997E-2</v>
      </c>
      <c r="H46" s="206">
        <v>168</v>
      </c>
      <c r="I46" s="206">
        <v>10</v>
      </c>
      <c r="J46" s="206">
        <v>0</v>
      </c>
      <c r="K46" s="203" t="s">
        <v>141</v>
      </c>
      <c r="L46" s="207" t="s">
        <v>106</v>
      </c>
      <c r="M46" s="206">
        <v>0</v>
      </c>
      <c r="N46" s="206">
        <v>0</v>
      </c>
      <c r="O46" s="206">
        <v>10</v>
      </c>
      <c r="P46" s="203" t="s">
        <v>107</v>
      </c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206" t="s">
        <v>108</v>
      </c>
      <c r="AD46" s="199"/>
      <c r="AE46" s="199"/>
      <c r="AF46" s="199"/>
      <c r="AG46" s="199"/>
      <c r="AH46" s="199"/>
      <c r="AI46" s="199"/>
      <c r="AJ46" s="199"/>
    </row>
    <row r="47" spans="1:36" ht="21" x14ac:dyDescent="0.3">
      <c r="A47" s="208" t="s">
        <v>251</v>
      </c>
      <c r="B47" s="209"/>
      <c r="C47" s="208">
        <f>SUBTOTAL(103,MED_CAI_LF_LEGACY[Flt])</f>
        <v>45</v>
      </c>
      <c r="D47" s="208"/>
      <c r="E47" s="208">
        <f>SUBTOTAL(103,MED_CAI_LF_LEGACY[Brd-Off])</f>
        <v>45</v>
      </c>
      <c r="F47" s="208"/>
      <c r="G47" s="210">
        <f>SUBTOTAL(101,MED_CAI_LF_LEGACY[LF%])</f>
        <v>0.33677333333333337</v>
      </c>
      <c r="H47" s="211">
        <f>SUBTOTAL(109,MED_CAI_LF_LEGACY[CAP])</f>
        <v>7560</v>
      </c>
      <c r="I47" s="211">
        <f>SUBTOTAL(109,MED_CAI_LF_LEGACY[BKG(Y)])</f>
        <v>2546</v>
      </c>
      <c r="J47" s="211">
        <f>SUBTOTAL(109,MED_CAI_LF_LEGACY[GRP(Y)])</f>
        <v>2035</v>
      </c>
      <c r="K47" s="208"/>
      <c r="L47" s="209"/>
      <c r="M47" s="211">
        <f>SUBTOTAL(109,MED_CAI_LF_LEGACY[TO-DAY])</f>
        <v>6</v>
      </c>
      <c r="N47" s="211">
        <f>SUBTOTAL(109,MED_CAI_LF_LEGACY[Y-DAY])</f>
        <v>2</v>
      </c>
      <c r="O47" s="211">
        <f>SUBTOTAL(109,MED_CAI_LF_LEGACY[WEEKLY])</f>
        <v>435</v>
      </c>
      <c r="P47" s="212"/>
      <c r="Q47" s="211">
        <f>SUBTOTAL(109,MED_CAI_LF_LEGACY[Y])</f>
        <v>0</v>
      </c>
      <c r="R47" s="211">
        <f>SUBTOTAL(109,MED_CAI_LF_LEGACY[B])</f>
        <v>0</v>
      </c>
      <c r="S47" s="211">
        <f>SUBTOTAL(109,MED_CAI_LF_LEGACY[M])</f>
        <v>0</v>
      </c>
      <c r="T47" s="211">
        <f>SUBTOTAL(109,MED_CAI_LF_LEGACY[H])</f>
        <v>0</v>
      </c>
      <c r="U47" s="211">
        <f>SUBTOTAL(109,MED_CAI_LF_LEGACY[Q])</f>
        <v>0</v>
      </c>
      <c r="V47" s="211">
        <f>SUBTOTAL(109,MED_CAI_LF_LEGACY[K])</f>
        <v>0</v>
      </c>
      <c r="W47" s="211">
        <f>SUBTOTAL(109,MED_CAI_LF_LEGACY[V])</f>
        <v>0</v>
      </c>
      <c r="X47" s="211">
        <f>SUBTOTAL(109,MED_CAI_LF_LEGACY[L])</f>
        <v>0</v>
      </c>
      <c r="Y47" s="211">
        <f>SUBTOTAL(109,MED_CAI_LF_LEGACY[G])</f>
        <v>0</v>
      </c>
      <c r="Z47" s="211">
        <f>SUBTOTAL(109,MED_CAI_LF_LEGACY[S])</f>
        <v>0</v>
      </c>
      <c r="AA47" s="211">
        <f>SUBTOTAL(109,MED_CAI_LF_LEGACY[W])</f>
        <v>0</v>
      </c>
      <c r="AB47" s="211">
        <f>SUBTOTAL(109,MED_CAI_LF_LEGACY[T])</f>
        <v>0</v>
      </c>
      <c r="AC47" s="211">
        <f>SUBTOTAL(109,MED_CAI_LF_LEGACY[X])</f>
        <v>0</v>
      </c>
      <c r="AD47" s="211">
        <f>SUBTOTAL(109,MED_CAI_LF_LEGACY[U])</f>
        <v>0</v>
      </c>
      <c r="AE47" s="211">
        <f>SUBTOTAL(109,MED_CAI_LF_LEGACY[O])</f>
        <v>0</v>
      </c>
      <c r="AF47" s="211">
        <f>SUBTOTAL(109,MED_CAI_LF_LEGACY[I])</f>
        <v>0</v>
      </c>
      <c r="AG47" s="211">
        <f>SUBTOTAL(109,MED_CAI_LF_LEGACY[E])</f>
        <v>0</v>
      </c>
      <c r="AH47" s="211">
        <f>SUBTOTAL(109,MED_CAI_LF_LEGACY[A])</f>
        <v>0</v>
      </c>
      <c r="AI47" s="211">
        <f>SUBTOTAL(109,MED_CAI_LF_LEGACY[P])</f>
        <v>0</v>
      </c>
      <c r="AJ47" s="211">
        <f>SUBTOTAL(103,MED_CAI_LF_LEGACY[N])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128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24.33203125" bestFit="1" customWidth="1"/>
  </cols>
  <sheetData>
    <row r="1" spans="1:92" ht="28.8" customHeight="1" x14ac:dyDescent="0.3">
      <c r="A1" s="186" t="s">
        <v>0</v>
      </c>
      <c r="B1" s="185"/>
      <c r="C1" s="185"/>
      <c r="D1" s="185"/>
      <c r="E1" s="185"/>
      <c r="F1" s="1" t="s">
        <v>186</v>
      </c>
      <c r="G1" s="2" t="s">
        <v>2</v>
      </c>
      <c r="H1" s="184" t="s">
        <v>187</v>
      </c>
      <c r="I1" s="185"/>
      <c r="J1" s="185"/>
      <c r="K1" s="185"/>
      <c r="L1" s="185"/>
      <c r="M1" s="1" t="s">
        <v>4</v>
      </c>
      <c r="N1" s="194" t="s">
        <v>5</v>
      </c>
      <c r="O1" s="185"/>
      <c r="P1" s="185"/>
      <c r="Q1" s="185"/>
      <c r="R1" s="18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2" t="s">
        <v>6</v>
      </c>
      <c r="B2" s="185"/>
      <c r="C2" s="185"/>
      <c r="D2" s="185"/>
      <c r="E2" s="185"/>
      <c r="F2" s="185"/>
      <c r="G2" s="193">
        <v>45984.126458852537</v>
      </c>
      <c r="H2" s="185"/>
      <c r="I2" s="185"/>
      <c r="J2" s="185"/>
      <c r="K2" s="195">
        <v>45984.126458853207</v>
      </c>
      <c r="L2" s="185"/>
      <c r="M2" s="185"/>
      <c r="N2" s="185"/>
      <c r="O2" s="185"/>
      <c r="P2" s="185"/>
      <c r="Q2" s="185"/>
      <c r="R2" s="18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7" t="s">
        <v>7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98" t="s">
        <v>8</v>
      </c>
      <c r="B4" s="189"/>
      <c r="C4" s="189"/>
      <c r="D4" s="189"/>
      <c r="E4" s="189"/>
      <c r="F4" s="190"/>
      <c r="G4" s="4">
        <v>46019</v>
      </c>
      <c r="H4" s="196" t="s">
        <v>9</v>
      </c>
      <c r="I4" s="189"/>
      <c r="J4" s="189"/>
      <c r="K4" s="189"/>
      <c r="L4" s="189"/>
      <c r="M4" s="189"/>
      <c r="N4" s="189"/>
      <c r="O4" s="189"/>
      <c r="P4" s="189"/>
      <c r="Q4" s="189"/>
      <c r="R4" s="19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63" t="s">
        <v>28</v>
      </c>
      <c r="B6" s="63" t="s">
        <v>188</v>
      </c>
      <c r="C6" s="64">
        <v>0.40277777777777768</v>
      </c>
      <c r="D6" s="63" t="s">
        <v>30</v>
      </c>
      <c r="E6" s="65"/>
      <c r="F6" s="63" t="s">
        <v>56</v>
      </c>
      <c r="G6" s="187"/>
      <c r="H6" s="46" t="s">
        <v>188</v>
      </c>
      <c r="I6" s="172">
        <v>0.83240000000000003</v>
      </c>
      <c r="J6" s="48">
        <v>149</v>
      </c>
      <c r="K6" s="49" t="s">
        <v>42</v>
      </c>
      <c r="L6" s="48">
        <v>4</v>
      </c>
      <c r="M6" s="48">
        <v>0</v>
      </c>
      <c r="N6" s="48">
        <v>0</v>
      </c>
      <c r="O6" s="50" t="s">
        <v>100</v>
      </c>
      <c r="P6" s="51">
        <v>0.40277777777777768</v>
      </c>
      <c r="Q6" s="48">
        <v>179</v>
      </c>
      <c r="R6" s="52" t="s">
        <v>189</v>
      </c>
    </row>
    <row r="7" spans="1:92" ht="17.399999999999999" customHeight="1" thickBot="1" x14ac:dyDescent="0.35">
      <c r="A7" s="213"/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5"/>
    </row>
    <row r="8" spans="1:92" ht="22.05" customHeight="1" thickTop="1" thickBot="1" x14ac:dyDescent="0.35">
      <c r="A8" s="191" t="s">
        <v>8</v>
      </c>
      <c r="B8" s="189"/>
      <c r="C8" s="189"/>
      <c r="D8" s="189"/>
      <c r="E8" s="189"/>
      <c r="F8" s="190"/>
      <c r="G8" s="18">
        <v>46021</v>
      </c>
      <c r="H8" s="188" t="s">
        <v>9</v>
      </c>
      <c r="I8" s="189"/>
      <c r="J8" s="189"/>
      <c r="K8" s="189"/>
      <c r="L8" s="189"/>
      <c r="M8" s="189"/>
      <c r="N8" s="189"/>
      <c r="O8" s="189"/>
      <c r="P8" s="189"/>
      <c r="Q8" s="189"/>
      <c r="R8" s="190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8" t="s">
        <v>28</v>
      </c>
      <c r="B10" s="8" t="s">
        <v>188</v>
      </c>
      <c r="C10" s="9">
        <v>0.3263888888888889</v>
      </c>
      <c r="D10" s="8" t="s">
        <v>30</v>
      </c>
      <c r="E10" s="10"/>
      <c r="F10" s="8" t="s">
        <v>56</v>
      </c>
      <c r="G10" s="179"/>
      <c r="H10" s="11" t="s">
        <v>188</v>
      </c>
      <c r="I10" s="173">
        <v>0.79330000000000001</v>
      </c>
      <c r="J10" s="13">
        <v>142</v>
      </c>
      <c r="K10" s="14" t="s">
        <v>40</v>
      </c>
      <c r="L10" s="13">
        <v>5</v>
      </c>
      <c r="M10" s="13">
        <v>3</v>
      </c>
      <c r="N10" s="13">
        <v>0</v>
      </c>
      <c r="O10" s="15" t="s">
        <v>190</v>
      </c>
      <c r="P10" s="16">
        <v>0.3263888888888889</v>
      </c>
      <c r="Q10" s="13">
        <v>179</v>
      </c>
      <c r="R10" s="17" t="s">
        <v>191</v>
      </c>
    </row>
    <row r="11" spans="1:92" ht="17.399999999999999" customHeight="1" thickBot="1" x14ac:dyDescent="0.35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5"/>
    </row>
    <row r="12" spans="1:92" ht="22.05" customHeight="1" thickTop="1" thickBot="1" x14ac:dyDescent="0.35">
      <c r="A12" s="191" t="s">
        <v>8</v>
      </c>
      <c r="B12" s="189"/>
      <c r="C12" s="189"/>
      <c r="D12" s="189"/>
      <c r="E12" s="189"/>
      <c r="F12" s="190"/>
      <c r="G12" s="18">
        <v>46022</v>
      </c>
      <c r="H12" s="188" t="s">
        <v>9</v>
      </c>
      <c r="I12" s="189"/>
      <c r="J12" s="189"/>
      <c r="K12" s="189"/>
      <c r="L12" s="189"/>
      <c r="M12" s="189"/>
      <c r="N12" s="189"/>
      <c r="O12" s="189"/>
      <c r="P12" s="189"/>
      <c r="Q12" s="189"/>
      <c r="R12" s="190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89" t="s">
        <v>28</v>
      </c>
      <c r="B14" s="89" t="s">
        <v>188</v>
      </c>
      <c r="C14" s="90">
        <v>0.94444444444444453</v>
      </c>
      <c r="D14" s="89" t="s">
        <v>30</v>
      </c>
      <c r="E14" s="91"/>
      <c r="F14" s="89" t="s">
        <v>31</v>
      </c>
      <c r="G14" s="179"/>
      <c r="H14" s="92" t="s">
        <v>188</v>
      </c>
      <c r="I14" s="93">
        <v>1.0335000000000001</v>
      </c>
      <c r="J14" s="94">
        <v>185</v>
      </c>
      <c r="K14" s="95" t="s">
        <v>192</v>
      </c>
      <c r="L14" s="94">
        <v>1</v>
      </c>
      <c r="M14" s="94">
        <v>0</v>
      </c>
      <c r="N14" s="94">
        <v>0</v>
      </c>
      <c r="O14" s="96" t="s">
        <v>33</v>
      </c>
      <c r="P14" s="97">
        <v>0.94444444444444453</v>
      </c>
      <c r="Q14" s="94">
        <v>179</v>
      </c>
      <c r="R14" s="98" t="s">
        <v>193</v>
      </c>
    </row>
    <row r="15" spans="1:92" ht="17.399999999999999" customHeight="1" thickBot="1" x14ac:dyDescent="0.35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5"/>
    </row>
    <row r="16" spans="1:92" ht="22.05" customHeight="1" thickTop="1" thickBot="1" x14ac:dyDescent="0.35">
      <c r="A16" s="191" t="s">
        <v>8</v>
      </c>
      <c r="B16" s="189"/>
      <c r="C16" s="189"/>
      <c r="D16" s="189"/>
      <c r="E16" s="189"/>
      <c r="F16" s="190"/>
      <c r="G16" s="18">
        <v>46026</v>
      </c>
      <c r="H16" s="188" t="s">
        <v>9</v>
      </c>
      <c r="I16" s="189"/>
      <c r="J16" s="189"/>
      <c r="K16" s="189"/>
      <c r="L16" s="189"/>
      <c r="M16" s="189"/>
      <c r="N16" s="189"/>
      <c r="O16" s="189"/>
      <c r="P16" s="189"/>
      <c r="Q16" s="189"/>
      <c r="R16" s="190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63" t="s">
        <v>28</v>
      </c>
      <c r="B18" s="63" t="s">
        <v>188</v>
      </c>
      <c r="C18" s="64">
        <v>0.40277777777777768</v>
      </c>
      <c r="D18" s="63" t="s">
        <v>30</v>
      </c>
      <c r="E18" s="65"/>
      <c r="F18" s="63" t="s">
        <v>56</v>
      </c>
      <c r="G18" s="179"/>
      <c r="H18" s="46" t="s">
        <v>188</v>
      </c>
      <c r="I18" s="172">
        <v>0.8095</v>
      </c>
      <c r="J18" s="48">
        <v>136</v>
      </c>
      <c r="K18" s="49" t="s">
        <v>68</v>
      </c>
      <c r="L18" s="48">
        <v>5</v>
      </c>
      <c r="M18" s="48">
        <v>0</v>
      </c>
      <c r="N18" s="48">
        <v>0</v>
      </c>
      <c r="O18" s="50" t="s">
        <v>45</v>
      </c>
      <c r="P18" s="51">
        <v>0.40277777777777768</v>
      </c>
      <c r="Q18" s="48">
        <v>168</v>
      </c>
      <c r="R18" s="52" t="s">
        <v>61</v>
      </c>
    </row>
    <row r="19" spans="1:18" ht="17.399999999999999" customHeight="1" thickBot="1" x14ac:dyDescent="0.35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5"/>
    </row>
    <row r="20" spans="1:18" ht="22.05" customHeight="1" thickTop="1" thickBot="1" x14ac:dyDescent="0.35">
      <c r="A20" s="191" t="s">
        <v>8</v>
      </c>
      <c r="B20" s="189"/>
      <c r="C20" s="189"/>
      <c r="D20" s="189"/>
      <c r="E20" s="189"/>
      <c r="F20" s="190"/>
      <c r="G20" s="18">
        <v>46028</v>
      </c>
      <c r="H20" s="188" t="s">
        <v>9</v>
      </c>
      <c r="I20" s="189"/>
      <c r="J20" s="189"/>
      <c r="K20" s="189"/>
      <c r="L20" s="189"/>
      <c r="M20" s="189"/>
      <c r="N20" s="189"/>
      <c r="O20" s="189"/>
      <c r="P20" s="189"/>
      <c r="Q20" s="189"/>
      <c r="R20" s="190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121" t="s">
        <v>28</v>
      </c>
      <c r="B22" s="121" t="s">
        <v>188</v>
      </c>
      <c r="C22" s="122">
        <v>0.3263888888888889</v>
      </c>
      <c r="D22" s="121" t="s">
        <v>30</v>
      </c>
      <c r="E22" s="123"/>
      <c r="F22" s="121" t="s">
        <v>31</v>
      </c>
      <c r="G22" s="179"/>
      <c r="H22" s="124" t="s">
        <v>188</v>
      </c>
      <c r="I22" s="174">
        <v>1.0713999999999999</v>
      </c>
      <c r="J22" s="126">
        <v>180</v>
      </c>
      <c r="K22" s="127" t="s">
        <v>194</v>
      </c>
      <c r="L22" s="126">
        <v>4</v>
      </c>
      <c r="M22" s="126">
        <v>0</v>
      </c>
      <c r="N22" s="126">
        <v>0</v>
      </c>
      <c r="O22" s="128" t="s">
        <v>33</v>
      </c>
      <c r="P22" s="129">
        <v>0.3263888888888889</v>
      </c>
      <c r="Q22" s="126">
        <v>168</v>
      </c>
      <c r="R22" s="130" t="s">
        <v>55</v>
      </c>
    </row>
    <row r="23" spans="1:18" ht="17.399999999999999" customHeight="1" thickBot="1" x14ac:dyDescent="0.35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ht="22.05" customHeight="1" thickTop="1" thickBot="1" x14ac:dyDescent="0.35">
      <c r="A24" s="191" t="s">
        <v>8</v>
      </c>
      <c r="B24" s="189"/>
      <c r="C24" s="189"/>
      <c r="D24" s="189"/>
      <c r="E24" s="189"/>
      <c r="F24" s="190"/>
      <c r="G24" s="18">
        <v>46029</v>
      </c>
      <c r="H24" s="188" t="s">
        <v>9</v>
      </c>
      <c r="I24" s="189"/>
      <c r="J24" s="189"/>
      <c r="K24" s="189"/>
      <c r="L24" s="189"/>
      <c r="M24" s="189"/>
      <c r="N24" s="189"/>
      <c r="O24" s="189"/>
      <c r="P24" s="189"/>
      <c r="Q24" s="189"/>
      <c r="R24" s="190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35">
      <c r="A26" s="89" t="s">
        <v>28</v>
      </c>
      <c r="B26" s="89" t="s">
        <v>188</v>
      </c>
      <c r="C26" s="90">
        <v>0.94444444444444453</v>
      </c>
      <c r="D26" s="89" t="s">
        <v>30</v>
      </c>
      <c r="E26" s="91"/>
      <c r="F26" s="89" t="s">
        <v>56</v>
      </c>
      <c r="G26" s="179"/>
      <c r="H26" s="92" t="s">
        <v>188</v>
      </c>
      <c r="I26" s="111">
        <v>0.8155</v>
      </c>
      <c r="J26" s="94">
        <v>137</v>
      </c>
      <c r="K26" s="95" t="s">
        <v>195</v>
      </c>
      <c r="L26" s="94">
        <v>7</v>
      </c>
      <c r="M26" s="94">
        <v>0</v>
      </c>
      <c r="N26" s="94">
        <v>0</v>
      </c>
      <c r="O26" s="96" t="s">
        <v>45</v>
      </c>
      <c r="P26" s="97">
        <v>0.94444444444444453</v>
      </c>
      <c r="Q26" s="94">
        <v>168</v>
      </c>
      <c r="R26" s="98" t="s">
        <v>196</v>
      </c>
    </row>
    <row r="27" spans="1:18" ht="17.399999999999999" customHeight="1" thickBot="1" x14ac:dyDescent="0.35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5"/>
    </row>
    <row r="28" spans="1:18" ht="22.05" customHeight="1" thickTop="1" thickBot="1" x14ac:dyDescent="0.35">
      <c r="A28" s="191" t="s">
        <v>8</v>
      </c>
      <c r="B28" s="189"/>
      <c r="C28" s="189"/>
      <c r="D28" s="189"/>
      <c r="E28" s="189"/>
      <c r="F28" s="190"/>
      <c r="G28" s="18">
        <v>46033</v>
      </c>
      <c r="H28" s="188" t="s">
        <v>9</v>
      </c>
      <c r="I28" s="189"/>
      <c r="J28" s="189"/>
      <c r="K28" s="189"/>
      <c r="L28" s="189"/>
      <c r="M28" s="189"/>
      <c r="N28" s="189"/>
      <c r="O28" s="189"/>
      <c r="P28" s="189"/>
      <c r="Q28" s="189"/>
      <c r="R28" s="190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89" t="s">
        <v>28</v>
      </c>
      <c r="B30" s="89" t="s">
        <v>188</v>
      </c>
      <c r="C30" s="90">
        <v>0.40277777777777768</v>
      </c>
      <c r="D30" s="89" t="s">
        <v>30</v>
      </c>
      <c r="E30" s="91"/>
      <c r="F30" s="89" t="s">
        <v>31</v>
      </c>
      <c r="G30" s="179"/>
      <c r="H30" s="92" t="s">
        <v>188</v>
      </c>
      <c r="I30" s="93">
        <v>1.0238</v>
      </c>
      <c r="J30" s="94">
        <v>172</v>
      </c>
      <c r="K30" s="95" t="s">
        <v>98</v>
      </c>
      <c r="L30" s="94">
        <v>7</v>
      </c>
      <c r="M30" s="94">
        <v>0</v>
      </c>
      <c r="N30" s="94">
        <v>0</v>
      </c>
      <c r="O30" s="96" t="s">
        <v>33</v>
      </c>
      <c r="P30" s="97">
        <v>0.40277777777777768</v>
      </c>
      <c r="Q30" s="94">
        <v>168</v>
      </c>
      <c r="R30" s="98" t="s">
        <v>197</v>
      </c>
    </row>
    <row r="31" spans="1:18" ht="17.399999999999999" customHeight="1" thickBot="1" x14ac:dyDescent="0.35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5"/>
    </row>
    <row r="32" spans="1:18" ht="22.05" customHeight="1" thickTop="1" thickBot="1" x14ac:dyDescent="0.35">
      <c r="A32" s="191" t="s">
        <v>8</v>
      </c>
      <c r="B32" s="189"/>
      <c r="C32" s="189"/>
      <c r="D32" s="189"/>
      <c r="E32" s="189"/>
      <c r="F32" s="190"/>
      <c r="G32" s="18">
        <v>46035</v>
      </c>
      <c r="H32" s="188" t="s">
        <v>9</v>
      </c>
      <c r="I32" s="189"/>
      <c r="J32" s="189"/>
      <c r="K32" s="189"/>
      <c r="L32" s="189"/>
      <c r="M32" s="189"/>
      <c r="N32" s="189"/>
      <c r="O32" s="189"/>
      <c r="P32" s="189"/>
      <c r="Q32" s="189"/>
      <c r="R32" s="190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26" t="s">
        <v>28</v>
      </c>
      <c r="B34" s="26" t="s">
        <v>188</v>
      </c>
      <c r="C34" s="27">
        <v>0.3263888888888889</v>
      </c>
      <c r="D34" s="26" t="s">
        <v>30</v>
      </c>
      <c r="E34" s="28"/>
      <c r="F34" s="26" t="s">
        <v>56</v>
      </c>
      <c r="G34" s="179"/>
      <c r="H34" s="29" t="s">
        <v>188</v>
      </c>
      <c r="I34" s="175">
        <v>0.84519999999999995</v>
      </c>
      <c r="J34" s="31">
        <v>142</v>
      </c>
      <c r="K34" s="32" t="s">
        <v>49</v>
      </c>
      <c r="L34" s="31">
        <v>10</v>
      </c>
      <c r="M34" s="31">
        <v>0</v>
      </c>
      <c r="N34" s="31">
        <v>0</v>
      </c>
      <c r="O34" s="33" t="s">
        <v>198</v>
      </c>
      <c r="P34" s="34">
        <v>0.3263888888888889</v>
      </c>
      <c r="Q34" s="31">
        <v>168</v>
      </c>
      <c r="R34" s="35" t="s">
        <v>199</v>
      </c>
    </row>
    <row r="35" spans="1:18" ht="17.399999999999999" customHeight="1" thickBot="1" x14ac:dyDescent="0.35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5"/>
    </row>
    <row r="36" spans="1:18" ht="22.05" customHeight="1" thickTop="1" thickBot="1" x14ac:dyDescent="0.35">
      <c r="A36" s="191" t="s">
        <v>8</v>
      </c>
      <c r="B36" s="189"/>
      <c r="C36" s="189"/>
      <c r="D36" s="189"/>
      <c r="E36" s="189"/>
      <c r="F36" s="190"/>
      <c r="G36" s="18">
        <v>46037</v>
      </c>
      <c r="H36" s="188" t="s">
        <v>9</v>
      </c>
      <c r="I36" s="189"/>
      <c r="J36" s="189"/>
      <c r="K36" s="189"/>
      <c r="L36" s="189"/>
      <c r="M36" s="189"/>
      <c r="N36" s="189"/>
      <c r="O36" s="189"/>
      <c r="P36" s="189"/>
      <c r="Q36" s="189"/>
      <c r="R36" s="190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63" t="s">
        <v>28</v>
      </c>
      <c r="B38" s="63" t="s">
        <v>188</v>
      </c>
      <c r="C38" s="64">
        <v>0.64583333333333337</v>
      </c>
      <c r="D38" s="63" t="s">
        <v>30</v>
      </c>
      <c r="E38" s="65"/>
      <c r="F38" s="63" t="s">
        <v>56</v>
      </c>
      <c r="G38" s="179"/>
      <c r="H38" s="46" t="s">
        <v>188</v>
      </c>
      <c r="I38" s="112">
        <v>0.53569999999999995</v>
      </c>
      <c r="J38" s="48">
        <v>90</v>
      </c>
      <c r="K38" s="49" t="s">
        <v>44</v>
      </c>
      <c r="L38" s="48">
        <v>3</v>
      </c>
      <c r="M38" s="48">
        <v>0</v>
      </c>
      <c r="N38" s="48">
        <v>0</v>
      </c>
      <c r="O38" s="50" t="s">
        <v>59</v>
      </c>
      <c r="P38" s="51">
        <v>0.64583333333333337</v>
      </c>
      <c r="Q38" s="48">
        <v>168</v>
      </c>
      <c r="R38" s="52" t="s">
        <v>152</v>
      </c>
    </row>
    <row r="39" spans="1:18" ht="17.399999999999999" customHeight="1" thickBot="1" x14ac:dyDescent="0.35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5"/>
    </row>
    <row r="40" spans="1:18" ht="22.05" customHeight="1" thickTop="1" thickBot="1" x14ac:dyDescent="0.35">
      <c r="A40" s="191" t="s">
        <v>8</v>
      </c>
      <c r="B40" s="189"/>
      <c r="C40" s="189"/>
      <c r="D40" s="189"/>
      <c r="E40" s="189"/>
      <c r="F40" s="190"/>
      <c r="G40" s="18">
        <v>46040</v>
      </c>
      <c r="H40" s="188" t="s">
        <v>9</v>
      </c>
      <c r="I40" s="189"/>
      <c r="J40" s="189"/>
      <c r="K40" s="189"/>
      <c r="L40" s="189"/>
      <c r="M40" s="189"/>
      <c r="N40" s="189"/>
      <c r="O40" s="189"/>
      <c r="P40" s="189"/>
      <c r="Q40" s="189"/>
      <c r="R40" s="190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8" t="s">
        <v>28</v>
      </c>
      <c r="B42" s="8" t="s">
        <v>188</v>
      </c>
      <c r="C42" s="9">
        <v>0.40277777777777768</v>
      </c>
      <c r="D42" s="8" t="s">
        <v>30</v>
      </c>
      <c r="E42" s="10"/>
      <c r="F42" s="8" t="s">
        <v>56</v>
      </c>
      <c r="G42" s="179"/>
      <c r="H42" s="11" t="s">
        <v>188</v>
      </c>
      <c r="I42" s="173">
        <v>0.8155</v>
      </c>
      <c r="J42" s="13">
        <v>137</v>
      </c>
      <c r="K42" s="14" t="s">
        <v>44</v>
      </c>
      <c r="L42" s="13">
        <v>6</v>
      </c>
      <c r="M42" s="13">
        <v>0</v>
      </c>
      <c r="N42" s="13">
        <v>0</v>
      </c>
      <c r="O42" s="15" t="s">
        <v>65</v>
      </c>
      <c r="P42" s="16">
        <v>0.40277777777777768</v>
      </c>
      <c r="Q42" s="13">
        <v>168</v>
      </c>
      <c r="R42" s="17" t="s">
        <v>200</v>
      </c>
    </row>
    <row r="43" spans="1:18" ht="17.399999999999999" customHeight="1" thickBot="1" x14ac:dyDescent="0.35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5"/>
    </row>
    <row r="44" spans="1:18" ht="22.05" customHeight="1" thickTop="1" thickBot="1" x14ac:dyDescent="0.35">
      <c r="A44" s="191" t="s">
        <v>8</v>
      </c>
      <c r="B44" s="189"/>
      <c r="C44" s="189"/>
      <c r="D44" s="189"/>
      <c r="E44" s="189"/>
      <c r="F44" s="190"/>
      <c r="G44" s="18">
        <v>46042</v>
      </c>
      <c r="H44" s="188" t="s">
        <v>9</v>
      </c>
      <c r="I44" s="189"/>
      <c r="J44" s="189"/>
      <c r="K44" s="189"/>
      <c r="L44" s="189"/>
      <c r="M44" s="189"/>
      <c r="N44" s="189"/>
      <c r="O44" s="189"/>
      <c r="P44" s="189"/>
      <c r="Q44" s="189"/>
      <c r="R44" s="190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8" t="s">
        <v>28</v>
      </c>
      <c r="B46" s="8" t="s">
        <v>188</v>
      </c>
      <c r="C46" s="9">
        <v>0.3263888888888889</v>
      </c>
      <c r="D46" s="8" t="s">
        <v>30</v>
      </c>
      <c r="E46" s="10"/>
      <c r="F46" s="8" t="s">
        <v>56</v>
      </c>
      <c r="G46" s="179"/>
      <c r="H46" s="11" t="s">
        <v>188</v>
      </c>
      <c r="I46" s="173">
        <v>0.80359999999999998</v>
      </c>
      <c r="J46" s="13">
        <v>135</v>
      </c>
      <c r="K46" s="14" t="s">
        <v>44</v>
      </c>
      <c r="L46" s="13">
        <v>3</v>
      </c>
      <c r="M46" s="13">
        <v>0</v>
      </c>
      <c r="N46" s="13">
        <v>0</v>
      </c>
      <c r="O46" s="15" t="s">
        <v>65</v>
      </c>
      <c r="P46" s="16">
        <v>0.3263888888888889</v>
      </c>
      <c r="Q46" s="13">
        <v>168</v>
      </c>
      <c r="R46" s="17" t="s">
        <v>146</v>
      </c>
    </row>
    <row r="47" spans="1:18" ht="17.399999999999999" customHeight="1" thickBot="1" x14ac:dyDescent="0.35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5"/>
    </row>
    <row r="48" spans="1:18" ht="22.05" customHeight="1" thickTop="1" thickBot="1" x14ac:dyDescent="0.35">
      <c r="A48" s="191" t="s">
        <v>8</v>
      </c>
      <c r="B48" s="189"/>
      <c r="C48" s="189"/>
      <c r="D48" s="189"/>
      <c r="E48" s="189"/>
      <c r="F48" s="190"/>
      <c r="G48" s="18">
        <v>46043</v>
      </c>
      <c r="H48" s="188" t="s">
        <v>9</v>
      </c>
      <c r="I48" s="189"/>
      <c r="J48" s="189"/>
      <c r="K48" s="189"/>
      <c r="L48" s="189"/>
      <c r="M48" s="189"/>
      <c r="N48" s="189"/>
      <c r="O48" s="189"/>
      <c r="P48" s="189"/>
      <c r="Q48" s="189"/>
      <c r="R48" s="190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121" t="s">
        <v>28</v>
      </c>
      <c r="B50" s="121" t="s">
        <v>188</v>
      </c>
      <c r="C50" s="122">
        <v>0.94444444444444453</v>
      </c>
      <c r="D50" s="121" t="s">
        <v>30</v>
      </c>
      <c r="E50" s="123"/>
      <c r="F50" s="121" t="s">
        <v>56</v>
      </c>
      <c r="G50" s="179"/>
      <c r="H50" s="124" t="s">
        <v>188</v>
      </c>
      <c r="I50" s="176">
        <v>0.8155</v>
      </c>
      <c r="J50" s="126">
        <v>137</v>
      </c>
      <c r="K50" s="127" t="s">
        <v>44</v>
      </c>
      <c r="L50" s="126">
        <v>6</v>
      </c>
      <c r="M50" s="126">
        <v>0</v>
      </c>
      <c r="N50" s="126">
        <v>0</v>
      </c>
      <c r="O50" s="128" t="s">
        <v>65</v>
      </c>
      <c r="P50" s="129">
        <v>0.94444444444444453</v>
      </c>
      <c r="Q50" s="126">
        <v>168</v>
      </c>
      <c r="R50" s="130" t="s">
        <v>200</v>
      </c>
    </row>
    <row r="51" spans="1:18" ht="17.399999999999999" customHeight="1" thickBot="1" x14ac:dyDescent="0.35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5"/>
    </row>
    <row r="52" spans="1:18" ht="22.05" customHeight="1" thickTop="1" thickBot="1" x14ac:dyDescent="0.35">
      <c r="A52" s="191" t="s">
        <v>8</v>
      </c>
      <c r="B52" s="189"/>
      <c r="C52" s="189"/>
      <c r="D52" s="189"/>
      <c r="E52" s="189"/>
      <c r="F52" s="190"/>
      <c r="G52" s="18">
        <v>46044</v>
      </c>
      <c r="H52" s="188" t="s">
        <v>9</v>
      </c>
      <c r="I52" s="189"/>
      <c r="J52" s="189"/>
      <c r="K52" s="189"/>
      <c r="L52" s="189"/>
      <c r="M52" s="189"/>
      <c r="N52" s="189"/>
      <c r="O52" s="189"/>
      <c r="P52" s="189"/>
      <c r="Q52" s="189"/>
      <c r="R52" s="190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63" t="s">
        <v>28</v>
      </c>
      <c r="B54" s="63" t="s">
        <v>188</v>
      </c>
      <c r="C54" s="64">
        <v>0.64583333333333337</v>
      </c>
      <c r="D54" s="63" t="s">
        <v>30</v>
      </c>
      <c r="E54" s="65"/>
      <c r="F54" s="63" t="s">
        <v>56</v>
      </c>
      <c r="G54" s="179"/>
      <c r="H54" s="46" t="s">
        <v>188</v>
      </c>
      <c r="I54" s="172">
        <v>0.84519999999999995</v>
      </c>
      <c r="J54" s="48">
        <v>142</v>
      </c>
      <c r="K54" s="49" t="s">
        <v>49</v>
      </c>
      <c r="L54" s="48">
        <v>11</v>
      </c>
      <c r="M54" s="48">
        <v>0</v>
      </c>
      <c r="N54" s="48">
        <v>0</v>
      </c>
      <c r="O54" s="50" t="s">
        <v>65</v>
      </c>
      <c r="P54" s="51">
        <v>0.64583333333333337</v>
      </c>
      <c r="Q54" s="48">
        <v>168</v>
      </c>
      <c r="R54" s="52" t="s">
        <v>201</v>
      </c>
    </row>
    <row r="55" spans="1:18" ht="17.399999999999999" customHeight="1" thickBot="1" x14ac:dyDescent="0.35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5"/>
    </row>
    <row r="56" spans="1:18" ht="22.05" customHeight="1" thickTop="1" thickBot="1" x14ac:dyDescent="0.35">
      <c r="A56" s="191" t="s">
        <v>8</v>
      </c>
      <c r="B56" s="189"/>
      <c r="C56" s="189"/>
      <c r="D56" s="189"/>
      <c r="E56" s="189"/>
      <c r="F56" s="190"/>
      <c r="G56" s="18">
        <v>46049</v>
      </c>
      <c r="H56" s="188" t="s">
        <v>9</v>
      </c>
      <c r="I56" s="189"/>
      <c r="J56" s="189"/>
      <c r="K56" s="189"/>
      <c r="L56" s="189"/>
      <c r="M56" s="189"/>
      <c r="N56" s="189"/>
      <c r="O56" s="189"/>
      <c r="P56" s="189"/>
      <c r="Q56" s="189"/>
      <c r="R56" s="190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35">
      <c r="A58" s="53" t="s">
        <v>28</v>
      </c>
      <c r="B58" s="53" t="s">
        <v>188</v>
      </c>
      <c r="C58" s="54">
        <v>0.3263888888888889</v>
      </c>
      <c r="D58" s="53" t="s">
        <v>30</v>
      </c>
      <c r="E58" s="55"/>
      <c r="F58" s="53" t="s">
        <v>56</v>
      </c>
      <c r="G58" s="179"/>
      <c r="H58" s="56" t="s">
        <v>188</v>
      </c>
      <c r="I58" s="100">
        <v>0.80359999999999998</v>
      </c>
      <c r="J58" s="58">
        <v>135</v>
      </c>
      <c r="K58" s="59" t="s">
        <v>44</v>
      </c>
      <c r="L58" s="58">
        <v>3</v>
      </c>
      <c r="M58" s="58">
        <v>0</v>
      </c>
      <c r="N58" s="58">
        <v>0</v>
      </c>
      <c r="O58" s="60" t="s">
        <v>65</v>
      </c>
      <c r="P58" s="61">
        <v>0.3263888888888889</v>
      </c>
      <c r="Q58" s="58">
        <v>168</v>
      </c>
      <c r="R58" s="62" t="s">
        <v>146</v>
      </c>
    </row>
    <row r="59" spans="1:18" ht="17.399999999999999" customHeight="1" thickBot="1" x14ac:dyDescent="0.35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5"/>
    </row>
    <row r="60" spans="1:18" ht="22.05" customHeight="1" thickTop="1" thickBot="1" x14ac:dyDescent="0.35">
      <c r="A60" s="191" t="s">
        <v>8</v>
      </c>
      <c r="B60" s="189"/>
      <c r="C60" s="189"/>
      <c r="D60" s="189"/>
      <c r="E60" s="189"/>
      <c r="F60" s="190"/>
      <c r="G60" s="18">
        <v>46050</v>
      </c>
      <c r="H60" s="188" t="s">
        <v>9</v>
      </c>
      <c r="I60" s="189"/>
      <c r="J60" s="189"/>
      <c r="K60" s="189"/>
      <c r="L60" s="189"/>
      <c r="M60" s="189"/>
      <c r="N60" s="189"/>
      <c r="O60" s="189"/>
      <c r="P60" s="189"/>
      <c r="Q60" s="189"/>
      <c r="R60" s="190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66" t="s">
        <v>28</v>
      </c>
      <c r="B62" s="66" t="s">
        <v>188</v>
      </c>
      <c r="C62" s="67">
        <v>0.94444444444444453</v>
      </c>
      <c r="D62" s="66" t="s">
        <v>30</v>
      </c>
      <c r="E62" s="68"/>
      <c r="F62" s="66" t="s">
        <v>56</v>
      </c>
      <c r="G62" s="179"/>
      <c r="H62" s="69" t="s">
        <v>188</v>
      </c>
      <c r="I62" s="99">
        <v>0.82740000000000002</v>
      </c>
      <c r="J62" s="71">
        <v>139</v>
      </c>
      <c r="K62" s="72" t="s">
        <v>44</v>
      </c>
      <c r="L62" s="71">
        <v>7</v>
      </c>
      <c r="M62" s="71">
        <v>0</v>
      </c>
      <c r="N62" s="71">
        <v>0</v>
      </c>
      <c r="O62" s="73" t="s">
        <v>65</v>
      </c>
      <c r="P62" s="74">
        <v>0.94444444444444453</v>
      </c>
      <c r="Q62" s="71">
        <v>168</v>
      </c>
      <c r="R62" s="75" t="s">
        <v>202</v>
      </c>
    </row>
    <row r="63" spans="1:18" ht="17.399999999999999" customHeight="1" thickBot="1" x14ac:dyDescent="0.35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5"/>
    </row>
    <row r="64" spans="1:18" ht="22.05" customHeight="1" thickTop="1" thickBot="1" x14ac:dyDescent="0.35">
      <c r="A64" s="191" t="s">
        <v>8</v>
      </c>
      <c r="B64" s="189"/>
      <c r="C64" s="189"/>
      <c r="D64" s="189"/>
      <c r="E64" s="189"/>
      <c r="F64" s="190"/>
      <c r="G64" s="18">
        <v>46051</v>
      </c>
      <c r="H64" s="188" t="s">
        <v>9</v>
      </c>
      <c r="I64" s="189"/>
      <c r="J64" s="189"/>
      <c r="K64" s="189"/>
      <c r="L64" s="189"/>
      <c r="M64" s="189"/>
      <c r="N64" s="189"/>
      <c r="O64" s="189"/>
      <c r="P64" s="189"/>
      <c r="Q64" s="189"/>
      <c r="R64" s="190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63" t="s">
        <v>28</v>
      </c>
      <c r="B66" s="63" t="s">
        <v>188</v>
      </c>
      <c r="C66" s="64">
        <v>0.64583333333333337</v>
      </c>
      <c r="D66" s="63" t="s">
        <v>30</v>
      </c>
      <c r="E66" s="65"/>
      <c r="F66" s="63" t="s">
        <v>56</v>
      </c>
      <c r="G66" s="179"/>
      <c r="H66" s="46" t="s">
        <v>188</v>
      </c>
      <c r="I66" s="172">
        <v>0.83930000000000005</v>
      </c>
      <c r="J66" s="48">
        <v>141</v>
      </c>
      <c r="K66" s="49" t="s">
        <v>44</v>
      </c>
      <c r="L66" s="48">
        <v>9</v>
      </c>
      <c r="M66" s="48">
        <v>0</v>
      </c>
      <c r="N66" s="48">
        <v>0</v>
      </c>
      <c r="O66" s="50" t="s">
        <v>65</v>
      </c>
      <c r="P66" s="51">
        <v>0.64583333333333337</v>
      </c>
      <c r="Q66" s="48">
        <v>168</v>
      </c>
      <c r="R66" s="52" t="s">
        <v>203</v>
      </c>
    </row>
    <row r="67" spans="1:18" ht="17.399999999999999" customHeight="1" thickBot="1" x14ac:dyDescent="0.35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5"/>
    </row>
    <row r="68" spans="1:18" ht="22.05" customHeight="1" thickTop="1" thickBot="1" x14ac:dyDescent="0.35">
      <c r="A68" s="191" t="s">
        <v>8</v>
      </c>
      <c r="B68" s="189"/>
      <c r="C68" s="189"/>
      <c r="D68" s="189"/>
      <c r="E68" s="189"/>
      <c r="F68" s="190"/>
      <c r="G68" s="18">
        <v>46056</v>
      </c>
      <c r="H68" s="188" t="s">
        <v>9</v>
      </c>
      <c r="I68" s="189"/>
      <c r="J68" s="189"/>
      <c r="K68" s="189"/>
      <c r="L68" s="189"/>
      <c r="M68" s="189"/>
      <c r="N68" s="189"/>
      <c r="O68" s="189"/>
      <c r="P68" s="189"/>
      <c r="Q68" s="189"/>
      <c r="R68" s="190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35">
      <c r="A70" s="66" t="s">
        <v>28</v>
      </c>
      <c r="B70" s="66" t="s">
        <v>188</v>
      </c>
      <c r="C70" s="67">
        <v>0.3263888888888889</v>
      </c>
      <c r="D70" s="66" t="s">
        <v>30</v>
      </c>
      <c r="E70" s="68"/>
      <c r="F70" s="66" t="s">
        <v>56</v>
      </c>
      <c r="G70" s="179"/>
      <c r="H70" s="69" t="s">
        <v>188</v>
      </c>
      <c r="I70" s="99">
        <v>0.82140000000000002</v>
      </c>
      <c r="J70" s="71">
        <v>138</v>
      </c>
      <c r="K70" s="72" t="s">
        <v>44</v>
      </c>
      <c r="L70" s="71">
        <v>6</v>
      </c>
      <c r="M70" s="71">
        <v>0</v>
      </c>
      <c r="N70" s="71">
        <v>0</v>
      </c>
      <c r="O70" s="73" t="s">
        <v>65</v>
      </c>
      <c r="P70" s="74">
        <v>0.3263888888888889</v>
      </c>
      <c r="Q70" s="71">
        <v>168</v>
      </c>
      <c r="R70" s="75" t="s">
        <v>204</v>
      </c>
    </row>
    <row r="71" spans="1:18" ht="17.399999999999999" customHeight="1" thickBot="1" x14ac:dyDescent="0.35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5"/>
    </row>
    <row r="72" spans="1:18" ht="22.05" customHeight="1" thickTop="1" thickBot="1" x14ac:dyDescent="0.35">
      <c r="A72" s="191" t="s">
        <v>8</v>
      </c>
      <c r="B72" s="189"/>
      <c r="C72" s="189"/>
      <c r="D72" s="189"/>
      <c r="E72" s="189"/>
      <c r="F72" s="190"/>
      <c r="G72" s="18">
        <v>46057</v>
      </c>
      <c r="H72" s="188" t="s">
        <v>9</v>
      </c>
      <c r="I72" s="189"/>
      <c r="J72" s="189"/>
      <c r="K72" s="189"/>
      <c r="L72" s="189"/>
      <c r="M72" s="189"/>
      <c r="N72" s="189"/>
      <c r="O72" s="189"/>
      <c r="P72" s="189"/>
      <c r="Q72" s="189"/>
      <c r="R72" s="190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35">
      <c r="A74" s="53" t="s">
        <v>28</v>
      </c>
      <c r="B74" s="53" t="s">
        <v>188</v>
      </c>
      <c r="C74" s="54">
        <v>0.94444444444444453</v>
      </c>
      <c r="D74" s="53" t="s">
        <v>30</v>
      </c>
      <c r="E74" s="55"/>
      <c r="F74" s="53" t="s">
        <v>56</v>
      </c>
      <c r="G74" s="179"/>
      <c r="H74" s="56" t="s">
        <v>188</v>
      </c>
      <c r="I74" s="100">
        <v>0.8155</v>
      </c>
      <c r="J74" s="58">
        <v>137</v>
      </c>
      <c r="K74" s="59" t="s">
        <v>44</v>
      </c>
      <c r="L74" s="58">
        <v>5</v>
      </c>
      <c r="M74" s="58">
        <v>0</v>
      </c>
      <c r="N74" s="58">
        <v>0</v>
      </c>
      <c r="O74" s="60" t="s">
        <v>65</v>
      </c>
      <c r="P74" s="61">
        <v>0.94444444444444453</v>
      </c>
      <c r="Q74" s="58">
        <v>168</v>
      </c>
      <c r="R74" s="62" t="s">
        <v>200</v>
      </c>
    </row>
    <row r="75" spans="1:18" ht="17.399999999999999" customHeight="1" thickBot="1" x14ac:dyDescent="0.35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5"/>
    </row>
    <row r="76" spans="1:18" ht="22.05" customHeight="1" thickTop="1" thickBot="1" x14ac:dyDescent="0.35">
      <c r="A76" s="191" t="s">
        <v>8</v>
      </c>
      <c r="B76" s="189"/>
      <c r="C76" s="189"/>
      <c r="D76" s="189"/>
      <c r="E76" s="189"/>
      <c r="F76" s="190"/>
      <c r="G76" s="18">
        <v>46058</v>
      </c>
      <c r="H76" s="188" t="s">
        <v>9</v>
      </c>
      <c r="I76" s="189"/>
      <c r="J76" s="189"/>
      <c r="K76" s="189"/>
      <c r="L76" s="189"/>
      <c r="M76" s="189"/>
      <c r="N76" s="189"/>
      <c r="O76" s="189"/>
      <c r="P76" s="189"/>
      <c r="Q76" s="189"/>
      <c r="R76" s="190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thickTop="1" thickBot="1" x14ac:dyDescent="0.35">
      <c r="A78" s="121" t="s">
        <v>28</v>
      </c>
      <c r="B78" s="121" t="s">
        <v>188</v>
      </c>
      <c r="C78" s="122">
        <v>0.64583333333333337</v>
      </c>
      <c r="D78" s="121" t="s">
        <v>30</v>
      </c>
      <c r="E78" s="123"/>
      <c r="F78" s="121" t="s">
        <v>35</v>
      </c>
      <c r="G78" s="179"/>
      <c r="H78" s="124" t="s">
        <v>188</v>
      </c>
      <c r="I78" s="174">
        <v>0.86309999999999998</v>
      </c>
      <c r="J78" s="126">
        <v>145</v>
      </c>
      <c r="K78" s="127" t="s">
        <v>44</v>
      </c>
      <c r="L78" s="126">
        <v>13</v>
      </c>
      <c r="M78" s="126">
        <v>0</v>
      </c>
      <c r="N78" s="126">
        <v>0</v>
      </c>
      <c r="O78" s="128" t="s">
        <v>88</v>
      </c>
      <c r="P78" s="129">
        <v>0.64583333333333337</v>
      </c>
      <c r="Q78" s="126">
        <v>168</v>
      </c>
      <c r="R78" s="130" t="s">
        <v>205</v>
      </c>
    </row>
    <row r="79" spans="1:18" ht="17.399999999999999" customHeight="1" thickBot="1" x14ac:dyDescent="0.35">
      <c r="A79" s="213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5"/>
    </row>
    <row r="80" spans="1:18" ht="22.05" customHeight="1" thickTop="1" thickBot="1" x14ac:dyDescent="0.35">
      <c r="A80" s="191" t="s">
        <v>8</v>
      </c>
      <c r="B80" s="189"/>
      <c r="C80" s="189"/>
      <c r="D80" s="189"/>
      <c r="E80" s="189"/>
      <c r="F80" s="190"/>
      <c r="G80" s="18">
        <v>46063</v>
      </c>
      <c r="H80" s="188" t="s">
        <v>9</v>
      </c>
      <c r="I80" s="189"/>
      <c r="J80" s="189"/>
      <c r="K80" s="189"/>
      <c r="L80" s="189"/>
      <c r="M80" s="189"/>
      <c r="N80" s="189"/>
      <c r="O80" s="189"/>
      <c r="P80" s="189"/>
      <c r="Q80" s="189"/>
      <c r="R80" s="190"/>
    </row>
    <row r="81" spans="1:18" ht="24" customHeight="1" x14ac:dyDescent="0.3">
      <c r="A81" s="19" t="s">
        <v>10</v>
      </c>
      <c r="B81" s="19" t="s">
        <v>11</v>
      </c>
      <c r="C81" s="20" t="s">
        <v>12</v>
      </c>
      <c r="D81" s="19" t="s">
        <v>13</v>
      </c>
      <c r="E81" s="19" t="s">
        <v>14</v>
      </c>
      <c r="F81" s="21" t="s">
        <v>15</v>
      </c>
      <c r="G81" s="22" t="s">
        <v>16</v>
      </c>
      <c r="H81" s="19" t="s">
        <v>17</v>
      </c>
      <c r="I81" s="23" t="s">
        <v>18</v>
      </c>
      <c r="J81" s="24" t="s">
        <v>19</v>
      </c>
      <c r="K81" s="25" t="s">
        <v>20</v>
      </c>
      <c r="L81" s="24" t="s">
        <v>21</v>
      </c>
      <c r="M81" s="24" t="s">
        <v>22</v>
      </c>
      <c r="N81" s="24" t="s">
        <v>23</v>
      </c>
      <c r="O81" s="19" t="s">
        <v>24</v>
      </c>
      <c r="P81" s="20" t="s">
        <v>25</v>
      </c>
      <c r="Q81" s="24" t="s">
        <v>26</v>
      </c>
      <c r="R81" s="19" t="s">
        <v>27</v>
      </c>
    </row>
    <row r="82" spans="1:18" ht="49.95" customHeight="1" thickTop="1" thickBot="1" x14ac:dyDescent="0.35">
      <c r="A82" s="66" t="s">
        <v>28</v>
      </c>
      <c r="B82" s="66" t="s">
        <v>188</v>
      </c>
      <c r="C82" s="67">
        <v>0.3263888888888889</v>
      </c>
      <c r="D82" s="66" t="s">
        <v>30</v>
      </c>
      <c r="E82" s="68"/>
      <c r="F82" s="66" t="s">
        <v>56</v>
      </c>
      <c r="G82" s="179"/>
      <c r="H82" s="69" t="s">
        <v>188</v>
      </c>
      <c r="I82" s="99">
        <v>0.8095</v>
      </c>
      <c r="J82" s="71">
        <v>136</v>
      </c>
      <c r="K82" s="72" t="s">
        <v>44</v>
      </c>
      <c r="L82" s="71">
        <v>4</v>
      </c>
      <c r="M82" s="71">
        <v>0</v>
      </c>
      <c r="N82" s="71">
        <v>0</v>
      </c>
      <c r="O82" s="73" t="s">
        <v>65</v>
      </c>
      <c r="P82" s="74">
        <v>0.3263888888888889</v>
      </c>
      <c r="Q82" s="71">
        <v>168</v>
      </c>
      <c r="R82" s="75" t="s">
        <v>206</v>
      </c>
    </row>
    <row r="83" spans="1:18" ht="17.399999999999999" customHeight="1" thickBot="1" x14ac:dyDescent="0.35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5"/>
    </row>
    <row r="84" spans="1:18" ht="22.05" customHeight="1" thickTop="1" thickBot="1" x14ac:dyDescent="0.35">
      <c r="A84" s="191" t="s">
        <v>8</v>
      </c>
      <c r="B84" s="189"/>
      <c r="C84" s="189"/>
      <c r="D84" s="189"/>
      <c r="E84" s="189"/>
      <c r="F84" s="190"/>
      <c r="G84" s="18">
        <v>46064</v>
      </c>
      <c r="H84" s="188" t="s">
        <v>9</v>
      </c>
      <c r="I84" s="189"/>
      <c r="J84" s="189"/>
      <c r="K84" s="189"/>
      <c r="L84" s="189"/>
      <c r="M84" s="189"/>
      <c r="N84" s="189"/>
      <c r="O84" s="189"/>
      <c r="P84" s="189"/>
      <c r="Q84" s="189"/>
      <c r="R84" s="190"/>
    </row>
    <row r="85" spans="1:18" ht="24" customHeight="1" x14ac:dyDescent="0.3">
      <c r="A85" s="19" t="s">
        <v>10</v>
      </c>
      <c r="B85" s="19" t="s">
        <v>11</v>
      </c>
      <c r="C85" s="20" t="s">
        <v>12</v>
      </c>
      <c r="D85" s="19" t="s">
        <v>13</v>
      </c>
      <c r="E85" s="19" t="s">
        <v>14</v>
      </c>
      <c r="F85" s="21" t="s">
        <v>15</v>
      </c>
      <c r="G85" s="22" t="s">
        <v>16</v>
      </c>
      <c r="H85" s="19" t="s">
        <v>17</v>
      </c>
      <c r="I85" s="23" t="s">
        <v>18</v>
      </c>
      <c r="J85" s="24" t="s">
        <v>19</v>
      </c>
      <c r="K85" s="25" t="s">
        <v>20</v>
      </c>
      <c r="L85" s="24" t="s">
        <v>21</v>
      </c>
      <c r="M85" s="24" t="s">
        <v>22</v>
      </c>
      <c r="N85" s="24" t="s">
        <v>23</v>
      </c>
      <c r="O85" s="19" t="s">
        <v>24</v>
      </c>
      <c r="P85" s="20" t="s">
        <v>25</v>
      </c>
      <c r="Q85" s="24" t="s">
        <v>26</v>
      </c>
      <c r="R85" s="19" t="s">
        <v>27</v>
      </c>
    </row>
    <row r="86" spans="1:18" ht="49.95" customHeight="1" thickTop="1" thickBot="1" x14ac:dyDescent="0.35">
      <c r="A86" s="121" t="s">
        <v>28</v>
      </c>
      <c r="B86" s="121" t="s">
        <v>188</v>
      </c>
      <c r="C86" s="122">
        <v>0.94444444444444453</v>
      </c>
      <c r="D86" s="121" t="s">
        <v>30</v>
      </c>
      <c r="E86" s="123"/>
      <c r="F86" s="121" t="s">
        <v>56</v>
      </c>
      <c r="G86" s="179"/>
      <c r="H86" s="124" t="s">
        <v>188</v>
      </c>
      <c r="I86" s="176">
        <v>0.80359999999999998</v>
      </c>
      <c r="J86" s="126">
        <v>135</v>
      </c>
      <c r="K86" s="127" t="s">
        <v>44</v>
      </c>
      <c r="L86" s="126">
        <v>3</v>
      </c>
      <c r="M86" s="126">
        <v>0</v>
      </c>
      <c r="N86" s="126">
        <v>0</v>
      </c>
      <c r="O86" s="128" t="s">
        <v>65</v>
      </c>
      <c r="P86" s="129">
        <v>0.94444444444444453</v>
      </c>
      <c r="Q86" s="126">
        <v>168</v>
      </c>
      <c r="R86" s="130" t="s">
        <v>146</v>
      </c>
    </row>
    <row r="87" spans="1:18" ht="17.399999999999999" customHeight="1" thickBot="1" x14ac:dyDescent="0.35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5"/>
    </row>
    <row r="88" spans="1:18" ht="22.05" customHeight="1" thickTop="1" thickBot="1" x14ac:dyDescent="0.35">
      <c r="A88" s="191" t="s">
        <v>8</v>
      </c>
      <c r="B88" s="189"/>
      <c r="C88" s="189"/>
      <c r="D88" s="189"/>
      <c r="E88" s="189"/>
      <c r="F88" s="190"/>
      <c r="G88" s="18">
        <v>46065</v>
      </c>
      <c r="H88" s="188" t="s">
        <v>9</v>
      </c>
      <c r="I88" s="189"/>
      <c r="J88" s="189"/>
      <c r="K88" s="189"/>
      <c r="L88" s="189"/>
      <c r="M88" s="189"/>
      <c r="N88" s="189"/>
      <c r="O88" s="189"/>
      <c r="P88" s="189"/>
      <c r="Q88" s="189"/>
      <c r="R88" s="190"/>
    </row>
    <row r="89" spans="1:18" ht="24" customHeight="1" x14ac:dyDescent="0.3">
      <c r="A89" s="19" t="s">
        <v>10</v>
      </c>
      <c r="B89" s="19" t="s">
        <v>11</v>
      </c>
      <c r="C89" s="20" t="s">
        <v>12</v>
      </c>
      <c r="D89" s="19" t="s">
        <v>13</v>
      </c>
      <c r="E89" s="19" t="s">
        <v>14</v>
      </c>
      <c r="F89" s="21" t="s">
        <v>15</v>
      </c>
      <c r="G89" s="22" t="s">
        <v>16</v>
      </c>
      <c r="H89" s="19" t="s">
        <v>17</v>
      </c>
      <c r="I89" s="23" t="s">
        <v>18</v>
      </c>
      <c r="J89" s="24" t="s">
        <v>19</v>
      </c>
      <c r="K89" s="25" t="s">
        <v>20</v>
      </c>
      <c r="L89" s="24" t="s">
        <v>21</v>
      </c>
      <c r="M89" s="24" t="s">
        <v>22</v>
      </c>
      <c r="N89" s="24" t="s">
        <v>23</v>
      </c>
      <c r="O89" s="19" t="s">
        <v>24</v>
      </c>
      <c r="P89" s="20" t="s">
        <v>25</v>
      </c>
      <c r="Q89" s="24" t="s">
        <v>26</v>
      </c>
      <c r="R89" s="19" t="s">
        <v>27</v>
      </c>
    </row>
    <row r="90" spans="1:18" ht="49.95" customHeight="1" thickTop="1" thickBot="1" x14ac:dyDescent="0.35">
      <c r="A90" s="76" t="s">
        <v>28</v>
      </c>
      <c r="B90" s="76" t="s">
        <v>188</v>
      </c>
      <c r="C90" s="77">
        <v>0.64583333333333337</v>
      </c>
      <c r="D90" s="76" t="s">
        <v>30</v>
      </c>
      <c r="E90" s="78"/>
      <c r="F90" s="76" t="s">
        <v>56</v>
      </c>
      <c r="G90" s="179"/>
      <c r="H90" s="154" t="s">
        <v>188</v>
      </c>
      <c r="I90" s="177">
        <v>0.83930000000000005</v>
      </c>
      <c r="J90" s="156">
        <v>141</v>
      </c>
      <c r="K90" s="157" t="s">
        <v>44</v>
      </c>
      <c r="L90" s="156">
        <v>9</v>
      </c>
      <c r="M90" s="156">
        <v>0</v>
      </c>
      <c r="N90" s="156">
        <v>0</v>
      </c>
      <c r="O90" s="158" t="s">
        <v>65</v>
      </c>
      <c r="P90" s="159">
        <v>0.64583333333333337</v>
      </c>
      <c r="Q90" s="156">
        <v>168</v>
      </c>
      <c r="R90" s="160" t="s">
        <v>203</v>
      </c>
    </row>
    <row r="91" spans="1:18" ht="17.399999999999999" customHeight="1" thickBot="1" x14ac:dyDescent="0.35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5"/>
    </row>
    <row r="92" spans="1:18" ht="22.05" customHeight="1" thickTop="1" thickBot="1" x14ac:dyDescent="0.35">
      <c r="A92" s="191" t="s">
        <v>8</v>
      </c>
      <c r="B92" s="189"/>
      <c r="C92" s="189"/>
      <c r="D92" s="189"/>
      <c r="E92" s="189"/>
      <c r="F92" s="190"/>
      <c r="G92" s="18">
        <v>46068</v>
      </c>
      <c r="H92" s="188" t="s">
        <v>9</v>
      </c>
      <c r="I92" s="189"/>
      <c r="J92" s="189"/>
      <c r="K92" s="189"/>
      <c r="L92" s="189"/>
      <c r="M92" s="189"/>
      <c r="N92" s="189"/>
      <c r="O92" s="189"/>
      <c r="P92" s="189"/>
      <c r="Q92" s="189"/>
      <c r="R92" s="190"/>
    </row>
    <row r="93" spans="1:18" ht="24" customHeight="1" x14ac:dyDescent="0.3">
      <c r="A93" s="19" t="s">
        <v>10</v>
      </c>
      <c r="B93" s="19" t="s">
        <v>11</v>
      </c>
      <c r="C93" s="20" t="s">
        <v>12</v>
      </c>
      <c r="D93" s="19" t="s">
        <v>13</v>
      </c>
      <c r="E93" s="19" t="s">
        <v>14</v>
      </c>
      <c r="F93" s="21" t="s">
        <v>15</v>
      </c>
      <c r="G93" s="22" t="s">
        <v>16</v>
      </c>
      <c r="H93" s="19" t="s">
        <v>17</v>
      </c>
      <c r="I93" s="23" t="s">
        <v>18</v>
      </c>
      <c r="J93" s="24" t="s">
        <v>19</v>
      </c>
      <c r="K93" s="25" t="s">
        <v>20</v>
      </c>
      <c r="L93" s="24" t="s">
        <v>21</v>
      </c>
      <c r="M93" s="24" t="s">
        <v>22</v>
      </c>
      <c r="N93" s="24" t="s">
        <v>23</v>
      </c>
      <c r="O93" s="19" t="s">
        <v>24</v>
      </c>
      <c r="P93" s="20" t="s">
        <v>25</v>
      </c>
      <c r="Q93" s="24" t="s">
        <v>26</v>
      </c>
      <c r="R93" s="19" t="s">
        <v>27</v>
      </c>
    </row>
    <row r="94" spans="1:18" ht="49.95" customHeight="1" thickTop="1" thickBot="1" x14ac:dyDescent="0.35">
      <c r="A94" s="53" t="s">
        <v>28</v>
      </c>
      <c r="B94" s="53" t="s">
        <v>188</v>
      </c>
      <c r="C94" s="54">
        <v>0.40277777777777768</v>
      </c>
      <c r="D94" s="53" t="s">
        <v>30</v>
      </c>
      <c r="E94" s="55"/>
      <c r="F94" s="53" t="s">
        <v>62</v>
      </c>
      <c r="G94" s="179"/>
      <c r="H94" s="56" t="s">
        <v>188</v>
      </c>
      <c r="I94" s="143">
        <v>5.9499999999999997E-2</v>
      </c>
      <c r="J94" s="58">
        <v>10</v>
      </c>
      <c r="K94" s="59" t="s">
        <v>44</v>
      </c>
      <c r="L94" s="58">
        <v>10</v>
      </c>
      <c r="M94" s="58">
        <v>0</v>
      </c>
      <c r="N94" s="58">
        <v>0</v>
      </c>
      <c r="O94" s="60" t="s">
        <v>75</v>
      </c>
      <c r="P94" s="61">
        <v>0.40277777777777768</v>
      </c>
      <c r="Q94" s="58">
        <v>168</v>
      </c>
      <c r="R94" s="62" t="s">
        <v>207</v>
      </c>
    </row>
    <row r="95" spans="1:18" ht="17.399999999999999" customHeight="1" thickBot="1" x14ac:dyDescent="0.35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5"/>
    </row>
    <row r="96" spans="1:18" ht="22.05" customHeight="1" thickTop="1" thickBot="1" x14ac:dyDescent="0.35">
      <c r="A96" s="191" t="s">
        <v>8</v>
      </c>
      <c r="B96" s="189"/>
      <c r="C96" s="189"/>
      <c r="D96" s="189"/>
      <c r="E96" s="189"/>
      <c r="F96" s="190"/>
      <c r="G96" s="18">
        <v>46070</v>
      </c>
      <c r="H96" s="188" t="s">
        <v>9</v>
      </c>
      <c r="I96" s="189"/>
      <c r="J96" s="189"/>
      <c r="K96" s="189"/>
      <c r="L96" s="189"/>
      <c r="M96" s="189"/>
      <c r="N96" s="189"/>
      <c r="O96" s="189"/>
      <c r="P96" s="189"/>
      <c r="Q96" s="189"/>
      <c r="R96" s="190"/>
    </row>
    <row r="97" spans="1:18" ht="24" customHeight="1" x14ac:dyDescent="0.3">
      <c r="A97" s="19" t="s">
        <v>10</v>
      </c>
      <c r="B97" s="19" t="s">
        <v>11</v>
      </c>
      <c r="C97" s="20" t="s">
        <v>12</v>
      </c>
      <c r="D97" s="19" t="s">
        <v>13</v>
      </c>
      <c r="E97" s="19" t="s">
        <v>14</v>
      </c>
      <c r="F97" s="21" t="s">
        <v>15</v>
      </c>
      <c r="G97" s="22" t="s">
        <v>16</v>
      </c>
      <c r="H97" s="19" t="s">
        <v>17</v>
      </c>
      <c r="I97" s="23" t="s">
        <v>18</v>
      </c>
      <c r="J97" s="24" t="s">
        <v>19</v>
      </c>
      <c r="K97" s="25" t="s">
        <v>20</v>
      </c>
      <c r="L97" s="24" t="s">
        <v>21</v>
      </c>
      <c r="M97" s="24" t="s">
        <v>22</v>
      </c>
      <c r="N97" s="24" t="s">
        <v>23</v>
      </c>
      <c r="O97" s="19" t="s">
        <v>24</v>
      </c>
      <c r="P97" s="20" t="s">
        <v>25</v>
      </c>
      <c r="Q97" s="24" t="s">
        <v>26</v>
      </c>
      <c r="R97" s="19" t="s">
        <v>27</v>
      </c>
    </row>
    <row r="98" spans="1:18" ht="49.95" customHeight="1" thickTop="1" thickBot="1" x14ac:dyDescent="0.5">
      <c r="A98" s="76" t="s">
        <v>28</v>
      </c>
      <c r="B98" s="76" t="s">
        <v>188</v>
      </c>
      <c r="C98" s="77">
        <v>0.3263888888888889</v>
      </c>
      <c r="D98" s="76" t="s">
        <v>30</v>
      </c>
      <c r="E98" s="78"/>
      <c r="F98" s="76" t="s">
        <v>72</v>
      </c>
      <c r="G98" s="187"/>
      <c r="H98" s="154" t="s">
        <v>188</v>
      </c>
      <c r="I98" s="155">
        <v>0</v>
      </c>
      <c r="J98" s="156">
        <v>0</v>
      </c>
      <c r="K98" s="157" t="s">
        <v>73</v>
      </c>
      <c r="L98" s="156">
        <v>0</v>
      </c>
      <c r="M98" s="156">
        <v>0</v>
      </c>
      <c r="N98" s="156">
        <v>0</v>
      </c>
      <c r="O98" s="158" t="s">
        <v>96</v>
      </c>
      <c r="P98" s="159">
        <v>0.3263888888888889</v>
      </c>
      <c r="Q98" s="156">
        <v>168</v>
      </c>
      <c r="R98" s="160" t="s">
        <v>73</v>
      </c>
    </row>
    <row r="99" spans="1:18" ht="17.399999999999999" customHeight="1" thickBot="1" x14ac:dyDescent="0.35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5"/>
    </row>
    <row r="100" spans="1:18" ht="22.05" customHeight="1" thickTop="1" thickBot="1" x14ac:dyDescent="0.35">
      <c r="A100" s="191" t="s">
        <v>8</v>
      </c>
      <c r="B100" s="189"/>
      <c r="C100" s="189"/>
      <c r="D100" s="189"/>
      <c r="E100" s="189"/>
      <c r="F100" s="190"/>
      <c r="G100" s="18">
        <v>46071</v>
      </c>
      <c r="H100" s="188" t="s">
        <v>9</v>
      </c>
      <c r="I100" s="189"/>
      <c r="J100" s="189"/>
      <c r="K100" s="189"/>
      <c r="L100" s="189"/>
      <c r="M100" s="189"/>
      <c r="N100" s="189"/>
      <c r="O100" s="189"/>
      <c r="P100" s="189"/>
      <c r="Q100" s="189"/>
      <c r="R100" s="190"/>
    </row>
    <row r="101" spans="1:18" ht="24" customHeight="1" x14ac:dyDescent="0.3">
      <c r="A101" s="19" t="s">
        <v>10</v>
      </c>
      <c r="B101" s="19" t="s">
        <v>11</v>
      </c>
      <c r="C101" s="20" t="s">
        <v>12</v>
      </c>
      <c r="D101" s="19" t="s">
        <v>13</v>
      </c>
      <c r="E101" s="19" t="s">
        <v>14</v>
      </c>
      <c r="F101" s="21" t="s">
        <v>15</v>
      </c>
      <c r="G101" s="22" t="s">
        <v>16</v>
      </c>
      <c r="H101" s="19" t="s">
        <v>17</v>
      </c>
      <c r="I101" s="23" t="s">
        <v>18</v>
      </c>
      <c r="J101" s="24" t="s">
        <v>19</v>
      </c>
      <c r="K101" s="25" t="s">
        <v>20</v>
      </c>
      <c r="L101" s="24" t="s">
        <v>21</v>
      </c>
      <c r="M101" s="24" t="s">
        <v>22</v>
      </c>
      <c r="N101" s="24" t="s">
        <v>23</v>
      </c>
      <c r="O101" s="19" t="s">
        <v>24</v>
      </c>
      <c r="P101" s="20" t="s">
        <v>25</v>
      </c>
      <c r="Q101" s="24" t="s">
        <v>26</v>
      </c>
      <c r="R101" s="19" t="s">
        <v>27</v>
      </c>
    </row>
    <row r="102" spans="1:18" ht="49.95" customHeight="1" thickTop="1" thickBot="1" x14ac:dyDescent="0.35">
      <c r="A102" s="63" t="s">
        <v>28</v>
      </c>
      <c r="B102" s="63" t="s">
        <v>188</v>
      </c>
      <c r="C102" s="64">
        <v>0.94444444444444453</v>
      </c>
      <c r="D102" s="63" t="s">
        <v>30</v>
      </c>
      <c r="E102" s="65"/>
      <c r="F102" s="63" t="s">
        <v>72</v>
      </c>
      <c r="G102" s="179"/>
      <c r="H102" s="46" t="s">
        <v>188</v>
      </c>
      <c r="I102" s="112">
        <v>0</v>
      </c>
      <c r="J102" s="48">
        <v>0</v>
      </c>
      <c r="K102" s="49" t="s">
        <v>73</v>
      </c>
      <c r="L102" s="48">
        <v>0</v>
      </c>
      <c r="M102" s="48">
        <v>0</v>
      </c>
      <c r="N102" s="48">
        <v>0</v>
      </c>
      <c r="O102" s="50" t="s">
        <v>96</v>
      </c>
      <c r="P102" s="51">
        <v>0.94444444444444453</v>
      </c>
      <c r="Q102" s="48">
        <v>168</v>
      </c>
      <c r="R102" s="52" t="s">
        <v>73</v>
      </c>
    </row>
    <row r="103" spans="1:18" ht="17.399999999999999" customHeight="1" thickBot="1" x14ac:dyDescent="0.35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5"/>
    </row>
    <row r="104" spans="1:18" ht="22.05" customHeight="1" thickTop="1" thickBot="1" x14ac:dyDescent="0.35">
      <c r="A104" s="191" t="s">
        <v>8</v>
      </c>
      <c r="B104" s="189"/>
      <c r="C104" s="189"/>
      <c r="D104" s="189"/>
      <c r="E104" s="189"/>
      <c r="F104" s="190"/>
      <c r="G104" s="18">
        <v>46072</v>
      </c>
      <c r="H104" s="188" t="s">
        <v>9</v>
      </c>
      <c r="I104" s="189"/>
      <c r="J104" s="189"/>
      <c r="K104" s="189"/>
      <c r="L104" s="189"/>
      <c r="M104" s="189"/>
      <c r="N104" s="189"/>
      <c r="O104" s="189"/>
      <c r="P104" s="189"/>
      <c r="Q104" s="189"/>
      <c r="R104" s="190"/>
    </row>
    <row r="105" spans="1:18" ht="24" customHeight="1" x14ac:dyDescent="0.3">
      <c r="A105" s="19" t="s">
        <v>10</v>
      </c>
      <c r="B105" s="19" t="s">
        <v>11</v>
      </c>
      <c r="C105" s="20" t="s">
        <v>12</v>
      </c>
      <c r="D105" s="19" t="s">
        <v>13</v>
      </c>
      <c r="E105" s="19" t="s">
        <v>14</v>
      </c>
      <c r="F105" s="21" t="s">
        <v>15</v>
      </c>
      <c r="G105" s="22" t="s">
        <v>16</v>
      </c>
      <c r="H105" s="19" t="s">
        <v>17</v>
      </c>
      <c r="I105" s="23" t="s">
        <v>18</v>
      </c>
      <c r="J105" s="24" t="s">
        <v>19</v>
      </c>
      <c r="K105" s="25" t="s">
        <v>20</v>
      </c>
      <c r="L105" s="24" t="s">
        <v>21</v>
      </c>
      <c r="M105" s="24" t="s">
        <v>22</v>
      </c>
      <c r="N105" s="24" t="s">
        <v>23</v>
      </c>
      <c r="O105" s="19" t="s">
        <v>24</v>
      </c>
      <c r="P105" s="20" t="s">
        <v>25</v>
      </c>
      <c r="Q105" s="24" t="s">
        <v>26</v>
      </c>
      <c r="R105" s="19" t="s">
        <v>27</v>
      </c>
    </row>
    <row r="106" spans="1:18" ht="49.95" customHeight="1" thickTop="1" thickBot="1" x14ac:dyDescent="0.35">
      <c r="A106" s="76" t="s">
        <v>28</v>
      </c>
      <c r="B106" s="76" t="s">
        <v>188</v>
      </c>
      <c r="C106" s="77">
        <v>0.64583333333333337</v>
      </c>
      <c r="D106" s="76" t="s">
        <v>30</v>
      </c>
      <c r="E106" s="78"/>
      <c r="F106" s="76" t="s">
        <v>62</v>
      </c>
      <c r="G106" s="179"/>
      <c r="H106" s="154" t="s">
        <v>188</v>
      </c>
      <c r="I106" s="155">
        <v>6.0000000000000001E-3</v>
      </c>
      <c r="J106" s="156">
        <v>1</v>
      </c>
      <c r="K106" s="157" t="s">
        <v>49</v>
      </c>
      <c r="L106" s="156">
        <v>1</v>
      </c>
      <c r="M106" s="156">
        <v>0</v>
      </c>
      <c r="N106" s="156">
        <v>0</v>
      </c>
      <c r="O106" s="158" t="s">
        <v>96</v>
      </c>
      <c r="P106" s="159">
        <v>0.64583333333333337</v>
      </c>
      <c r="Q106" s="156">
        <v>168</v>
      </c>
      <c r="R106" s="160" t="s">
        <v>97</v>
      </c>
    </row>
    <row r="107" spans="1:18" ht="17.399999999999999" customHeight="1" thickBot="1" x14ac:dyDescent="0.35">
      <c r="A107" s="213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5"/>
    </row>
    <row r="108" spans="1:18" ht="22.05" customHeight="1" thickTop="1" thickBot="1" x14ac:dyDescent="0.35">
      <c r="A108" s="191" t="s">
        <v>8</v>
      </c>
      <c r="B108" s="189"/>
      <c r="C108" s="189"/>
      <c r="D108" s="189"/>
      <c r="E108" s="189"/>
      <c r="F108" s="190"/>
      <c r="G108" s="18">
        <v>46075</v>
      </c>
      <c r="H108" s="188" t="s">
        <v>9</v>
      </c>
      <c r="I108" s="189"/>
      <c r="J108" s="189"/>
      <c r="K108" s="189"/>
      <c r="L108" s="189"/>
      <c r="M108" s="189"/>
      <c r="N108" s="189"/>
      <c r="O108" s="189"/>
      <c r="P108" s="189"/>
      <c r="Q108" s="189"/>
      <c r="R108" s="190"/>
    </row>
    <row r="109" spans="1:18" ht="24" customHeight="1" x14ac:dyDescent="0.3">
      <c r="A109" s="19" t="s">
        <v>10</v>
      </c>
      <c r="B109" s="19" t="s">
        <v>11</v>
      </c>
      <c r="C109" s="20" t="s">
        <v>12</v>
      </c>
      <c r="D109" s="19" t="s">
        <v>13</v>
      </c>
      <c r="E109" s="19" t="s">
        <v>14</v>
      </c>
      <c r="F109" s="21" t="s">
        <v>15</v>
      </c>
      <c r="G109" s="22" t="s">
        <v>16</v>
      </c>
      <c r="H109" s="19" t="s">
        <v>17</v>
      </c>
      <c r="I109" s="23" t="s">
        <v>18</v>
      </c>
      <c r="J109" s="24" t="s">
        <v>19</v>
      </c>
      <c r="K109" s="25" t="s">
        <v>20</v>
      </c>
      <c r="L109" s="24" t="s">
        <v>21</v>
      </c>
      <c r="M109" s="24" t="s">
        <v>22</v>
      </c>
      <c r="N109" s="24" t="s">
        <v>23</v>
      </c>
      <c r="O109" s="19" t="s">
        <v>24</v>
      </c>
      <c r="P109" s="20" t="s">
        <v>25</v>
      </c>
      <c r="Q109" s="24" t="s">
        <v>26</v>
      </c>
      <c r="R109" s="19" t="s">
        <v>27</v>
      </c>
    </row>
    <row r="110" spans="1:18" ht="49.95" customHeight="1" thickTop="1" thickBot="1" x14ac:dyDescent="0.35">
      <c r="A110" s="63" t="s">
        <v>28</v>
      </c>
      <c r="B110" s="63" t="s">
        <v>188</v>
      </c>
      <c r="C110" s="64">
        <v>0.40277777777777768</v>
      </c>
      <c r="D110" s="63" t="s">
        <v>30</v>
      </c>
      <c r="E110" s="65"/>
      <c r="F110" s="63" t="s">
        <v>62</v>
      </c>
      <c r="G110" s="179"/>
      <c r="H110" s="46" t="s">
        <v>188</v>
      </c>
      <c r="I110" s="112">
        <v>4.1700000000000001E-2</v>
      </c>
      <c r="J110" s="48">
        <v>7</v>
      </c>
      <c r="K110" s="49" t="s">
        <v>49</v>
      </c>
      <c r="L110" s="48">
        <v>7</v>
      </c>
      <c r="M110" s="48">
        <v>0</v>
      </c>
      <c r="N110" s="48">
        <v>0</v>
      </c>
      <c r="O110" s="50" t="s">
        <v>96</v>
      </c>
      <c r="P110" s="51">
        <v>0.40277777777777768</v>
      </c>
      <c r="Q110" s="48">
        <v>168</v>
      </c>
      <c r="R110" s="52" t="s">
        <v>208</v>
      </c>
    </row>
    <row r="111" spans="1:18" ht="17.399999999999999" customHeight="1" thickBot="1" x14ac:dyDescent="0.35">
      <c r="A111" s="213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5"/>
    </row>
    <row r="112" spans="1:18" ht="22.05" customHeight="1" thickTop="1" thickBot="1" x14ac:dyDescent="0.35">
      <c r="A112" s="191" t="s">
        <v>8</v>
      </c>
      <c r="B112" s="189"/>
      <c r="C112" s="189"/>
      <c r="D112" s="189"/>
      <c r="E112" s="189"/>
      <c r="F112" s="190"/>
      <c r="G112" s="18">
        <v>46077</v>
      </c>
      <c r="H112" s="188" t="s">
        <v>9</v>
      </c>
      <c r="I112" s="189"/>
      <c r="J112" s="189"/>
      <c r="K112" s="189"/>
      <c r="L112" s="189"/>
      <c r="M112" s="189"/>
      <c r="N112" s="189"/>
      <c r="O112" s="189"/>
      <c r="P112" s="189"/>
      <c r="Q112" s="189"/>
      <c r="R112" s="190"/>
    </row>
    <row r="113" spans="1:18" ht="24" customHeight="1" x14ac:dyDescent="0.3">
      <c r="A113" s="19" t="s">
        <v>10</v>
      </c>
      <c r="B113" s="19" t="s">
        <v>11</v>
      </c>
      <c r="C113" s="20" t="s">
        <v>12</v>
      </c>
      <c r="D113" s="19" t="s">
        <v>13</v>
      </c>
      <c r="E113" s="19" t="s">
        <v>14</v>
      </c>
      <c r="F113" s="21" t="s">
        <v>15</v>
      </c>
      <c r="G113" s="22" t="s">
        <v>16</v>
      </c>
      <c r="H113" s="19" t="s">
        <v>17</v>
      </c>
      <c r="I113" s="23" t="s">
        <v>18</v>
      </c>
      <c r="J113" s="24" t="s">
        <v>19</v>
      </c>
      <c r="K113" s="25" t="s">
        <v>20</v>
      </c>
      <c r="L113" s="24" t="s">
        <v>21</v>
      </c>
      <c r="M113" s="24" t="s">
        <v>22</v>
      </c>
      <c r="N113" s="24" t="s">
        <v>23</v>
      </c>
      <c r="O113" s="19" t="s">
        <v>24</v>
      </c>
      <c r="P113" s="20" t="s">
        <v>25</v>
      </c>
      <c r="Q113" s="24" t="s">
        <v>26</v>
      </c>
      <c r="R113" s="19" t="s">
        <v>27</v>
      </c>
    </row>
    <row r="114" spans="1:18" ht="49.95" customHeight="1" thickTop="1" thickBot="1" x14ac:dyDescent="0.35">
      <c r="A114" s="76" t="s">
        <v>28</v>
      </c>
      <c r="B114" s="76" t="s">
        <v>188</v>
      </c>
      <c r="C114" s="77">
        <v>0.3263888888888889</v>
      </c>
      <c r="D114" s="76" t="s">
        <v>30</v>
      </c>
      <c r="E114" s="78"/>
      <c r="F114" s="76" t="s">
        <v>72</v>
      </c>
      <c r="G114" s="179"/>
      <c r="H114" s="154" t="s">
        <v>188</v>
      </c>
      <c r="I114" s="155">
        <v>0</v>
      </c>
      <c r="J114" s="156">
        <v>0</v>
      </c>
      <c r="K114" s="157" t="s">
        <v>73</v>
      </c>
      <c r="L114" s="156">
        <v>0</v>
      </c>
      <c r="M114" s="156">
        <v>0</v>
      </c>
      <c r="N114" s="156">
        <v>0</v>
      </c>
      <c r="O114" s="158" t="s">
        <v>96</v>
      </c>
      <c r="P114" s="159">
        <v>0.3263888888888889</v>
      </c>
      <c r="Q114" s="156">
        <v>168</v>
      </c>
      <c r="R114" s="160" t="s">
        <v>73</v>
      </c>
    </row>
    <row r="115" spans="1:18" ht="17.399999999999999" customHeight="1" thickBot="1" x14ac:dyDescent="0.35">
      <c r="A115" s="213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5"/>
    </row>
    <row r="116" spans="1:18" ht="22.05" customHeight="1" thickTop="1" thickBot="1" x14ac:dyDescent="0.35">
      <c r="A116" s="191" t="s">
        <v>8</v>
      </c>
      <c r="B116" s="189"/>
      <c r="C116" s="189"/>
      <c r="D116" s="189"/>
      <c r="E116" s="189"/>
      <c r="F116" s="190"/>
      <c r="G116" s="18">
        <v>46078</v>
      </c>
      <c r="H116" s="188" t="s">
        <v>9</v>
      </c>
      <c r="I116" s="189"/>
      <c r="J116" s="189"/>
      <c r="K116" s="189"/>
      <c r="L116" s="189"/>
      <c r="M116" s="189"/>
      <c r="N116" s="189"/>
      <c r="O116" s="189"/>
      <c r="P116" s="189"/>
      <c r="Q116" s="189"/>
      <c r="R116" s="190"/>
    </row>
    <row r="117" spans="1:18" ht="24" customHeight="1" x14ac:dyDescent="0.3">
      <c r="A117" s="19" t="s">
        <v>10</v>
      </c>
      <c r="B117" s="19" t="s">
        <v>11</v>
      </c>
      <c r="C117" s="20" t="s">
        <v>12</v>
      </c>
      <c r="D117" s="19" t="s">
        <v>13</v>
      </c>
      <c r="E117" s="19" t="s">
        <v>14</v>
      </c>
      <c r="F117" s="21" t="s">
        <v>15</v>
      </c>
      <c r="G117" s="22" t="s">
        <v>16</v>
      </c>
      <c r="H117" s="19" t="s">
        <v>17</v>
      </c>
      <c r="I117" s="23" t="s">
        <v>18</v>
      </c>
      <c r="J117" s="24" t="s">
        <v>19</v>
      </c>
      <c r="K117" s="25" t="s">
        <v>20</v>
      </c>
      <c r="L117" s="24" t="s">
        <v>21</v>
      </c>
      <c r="M117" s="24" t="s">
        <v>22</v>
      </c>
      <c r="N117" s="24" t="s">
        <v>23</v>
      </c>
      <c r="O117" s="19" t="s">
        <v>24</v>
      </c>
      <c r="P117" s="20" t="s">
        <v>25</v>
      </c>
      <c r="Q117" s="24" t="s">
        <v>26</v>
      </c>
      <c r="R117" s="19" t="s">
        <v>27</v>
      </c>
    </row>
    <row r="118" spans="1:18" ht="49.95" customHeight="1" thickTop="1" thickBot="1" x14ac:dyDescent="0.35">
      <c r="A118" s="63" t="s">
        <v>28</v>
      </c>
      <c r="B118" s="63" t="s">
        <v>188</v>
      </c>
      <c r="C118" s="64">
        <v>0.94444444444444453</v>
      </c>
      <c r="D118" s="63" t="s">
        <v>30</v>
      </c>
      <c r="E118" s="65"/>
      <c r="F118" s="63" t="s">
        <v>72</v>
      </c>
      <c r="G118" s="179"/>
      <c r="H118" s="46" t="s">
        <v>188</v>
      </c>
      <c r="I118" s="112">
        <v>0</v>
      </c>
      <c r="J118" s="48">
        <v>0</v>
      </c>
      <c r="K118" s="49" t="s">
        <v>73</v>
      </c>
      <c r="L118" s="48">
        <v>0</v>
      </c>
      <c r="M118" s="48">
        <v>0</v>
      </c>
      <c r="N118" s="48">
        <v>0</v>
      </c>
      <c r="O118" s="50" t="s">
        <v>96</v>
      </c>
      <c r="P118" s="51">
        <v>0.94444444444444453</v>
      </c>
      <c r="Q118" s="48">
        <v>168</v>
      </c>
      <c r="R118" s="52" t="s">
        <v>73</v>
      </c>
    </row>
    <row r="119" spans="1:18" ht="17.399999999999999" customHeight="1" thickBot="1" x14ac:dyDescent="0.35">
      <c r="A119" s="213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5"/>
    </row>
    <row r="120" spans="1:18" ht="22.05" customHeight="1" thickTop="1" thickBot="1" x14ac:dyDescent="0.35">
      <c r="A120" s="191" t="s">
        <v>8</v>
      </c>
      <c r="B120" s="189"/>
      <c r="C120" s="189"/>
      <c r="D120" s="189"/>
      <c r="E120" s="189"/>
      <c r="F120" s="190"/>
      <c r="G120" s="18">
        <v>46079</v>
      </c>
      <c r="H120" s="188" t="s">
        <v>9</v>
      </c>
      <c r="I120" s="189"/>
      <c r="J120" s="189"/>
      <c r="K120" s="189"/>
      <c r="L120" s="189"/>
      <c r="M120" s="189"/>
      <c r="N120" s="189"/>
      <c r="O120" s="189"/>
      <c r="P120" s="189"/>
      <c r="Q120" s="189"/>
      <c r="R120" s="190"/>
    </row>
    <row r="121" spans="1:18" ht="24" customHeight="1" x14ac:dyDescent="0.3">
      <c r="A121" s="19" t="s">
        <v>10</v>
      </c>
      <c r="B121" s="19" t="s">
        <v>11</v>
      </c>
      <c r="C121" s="20" t="s">
        <v>12</v>
      </c>
      <c r="D121" s="19" t="s">
        <v>13</v>
      </c>
      <c r="E121" s="19" t="s">
        <v>14</v>
      </c>
      <c r="F121" s="21" t="s">
        <v>15</v>
      </c>
      <c r="G121" s="22" t="s">
        <v>16</v>
      </c>
      <c r="H121" s="19" t="s">
        <v>17</v>
      </c>
      <c r="I121" s="23" t="s">
        <v>18</v>
      </c>
      <c r="J121" s="24" t="s">
        <v>19</v>
      </c>
      <c r="K121" s="25" t="s">
        <v>20</v>
      </c>
      <c r="L121" s="24" t="s">
        <v>21</v>
      </c>
      <c r="M121" s="24" t="s">
        <v>22</v>
      </c>
      <c r="N121" s="24" t="s">
        <v>23</v>
      </c>
      <c r="O121" s="19" t="s">
        <v>24</v>
      </c>
      <c r="P121" s="20" t="s">
        <v>25</v>
      </c>
      <c r="Q121" s="24" t="s">
        <v>26</v>
      </c>
      <c r="R121" s="19" t="s">
        <v>27</v>
      </c>
    </row>
    <row r="122" spans="1:18" ht="49.95" customHeight="1" thickTop="1" thickBot="1" x14ac:dyDescent="0.35">
      <c r="A122" s="8" t="s">
        <v>28</v>
      </c>
      <c r="B122" s="8" t="s">
        <v>188</v>
      </c>
      <c r="C122" s="9">
        <v>0.64583333333333337</v>
      </c>
      <c r="D122" s="8" t="s">
        <v>30</v>
      </c>
      <c r="E122" s="10"/>
      <c r="F122" s="8" t="s">
        <v>72</v>
      </c>
      <c r="G122" s="179"/>
      <c r="H122" s="11" t="s">
        <v>188</v>
      </c>
      <c r="I122" s="142">
        <v>0</v>
      </c>
      <c r="J122" s="13">
        <v>0</v>
      </c>
      <c r="K122" s="14" t="s">
        <v>73</v>
      </c>
      <c r="L122" s="13">
        <v>0</v>
      </c>
      <c r="M122" s="13">
        <v>0</v>
      </c>
      <c r="N122" s="13">
        <v>0</v>
      </c>
      <c r="O122" s="15" t="s">
        <v>96</v>
      </c>
      <c r="P122" s="16">
        <v>0.64583333333333337</v>
      </c>
      <c r="Q122" s="13">
        <v>168</v>
      </c>
      <c r="R122" s="17" t="s">
        <v>73</v>
      </c>
    </row>
    <row r="123" spans="1:18" ht="17.399999999999999" customHeight="1" thickBot="1" x14ac:dyDescent="0.35">
      <c r="A123" s="213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5"/>
    </row>
    <row r="124" spans="1:18" ht="22.05" customHeight="1" thickTop="1" thickBot="1" x14ac:dyDescent="0.35">
      <c r="A124" s="191" t="s">
        <v>8</v>
      </c>
      <c r="B124" s="189"/>
      <c r="C124" s="189"/>
      <c r="D124" s="189"/>
      <c r="E124" s="189"/>
      <c r="F124" s="190"/>
      <c r="G124" s="18">
        <v>46082</v>
      </c>
      <c r="H124" s="188" t="s">
        <v>9</v>
      </c>
      <c r="I124" s="189"/>
      <c r="J124" s="189"/>
      <c r="K124" s="189"/>
      <c r="L124" s="189"/>
      <c r="M124" s="189"/>
      <c r="N124" s="189"/>
      <c r="O124" s="189"/>
      <c r="P124" s="189"/>
      <c r="Q124" s="189"/>
      <c r="R124" s="190"/>
    </row>
    <row r="125" spans="1:18" ht="24" customHeight="1" x14ac:dyDescent="0.3">
      <c r="A125" s="19" t="s">
        <v>10</v>
      </c>
      <c r="B125" s="19" t="s">
        <v>11</v>
      </c>
      <c r="C125" s="20" t="s">
        <v>12</v>
      </c>
      <c r="D125" s="19" t="s">
        <v>13</v>
      </c>
      <c r="E125" s="19" t="s">
        <v>14</v>
      </c>
      <c r="F125" s="21" t="s">
        <v>15</v>
      </c>
      <c r="G125" s="22" t="s">
        <v>16</v>
      </c>
      <c r="H125" s="19" t="s">
        <v>17</v>
      </c>
      <c r="I125" s="23" t="s">
        <v>18</v>
      </c>
      <c r="J125" s="24" t="s">
        <v>19</v>
      </c>
      <c r="K125" s="25" t="s">
        <v>20</v>
      </c>
      <c r="L125" s="24" t="s">
        <v>21</v>
      </c>
      <c r="M125" s="24" t="s">
        <v>22</v>
      </c>
      <c r="N125" s="24" t="s">
        <v>23</v>
      </c>
      <c r="O125" s="19" t="s">
        <v>24</v>
      </c>
      <c r="P125" s="20" t="s">
        <v>25</v>
      </c>
      <c r="Q125" s="24" t="s">
        <v>26</v>
      </c>
      <c r="R125" s="19" t="s">
        <v>27</v>
      </c>
    </row>
    <row r="126" spans="1:18" ht="49.95" customHeight="1" thickTop="1" thickBot="1" x14ac:dyDescent="0.5">
      <c r="A126" s="26" t="s">
        <v>28</v>
      </c>
      <c r="B126" s="26" t="s">
        <v>188</v>
      </c>
      <c r="C126" s="27">
        <v>0.40277777777777768</v>
      </c>
      <c r="D126" s="26" t="s">
        <v>30</v>
      </c>
      <c r="E126" s="28"/>
      <c r="F126" s="26" t="s">
        <v>62</v>
      </c>
      <c r="G126" s="187"/>
      <c r="H126" s="29" t="s">
        <v>188</v>
      </c>
      <c r="I126" s="131">
        <v>7.1400000000000005E-2</v>
      </c>
      <c r="J126" s="31">
        <v>12</v>
      </c>
      <c r="K126" s="32" t="s">
        <v>51</v>
      </c>
      <c r="L126" s="31">
        <v>12</v>
      </c>
      <c r="M126" s="31">
        <v>0</v>
      </c>
      <c r="N126" s="31">
        <v>0</v>
      </c>
      <c r="O126" s="33" t="s">
        <v>209</v>
      </c>
      <c r="P126" s="34">
        <v>0.40277777777777768</v>
      </c>
      <c r="Q126" s="31">
        <v>168</v>
      </c>
      <c r="R126" s="35" t="s">
        <v>210</v>
      </c>
    </row>
    <row r="127" spans="1:18" ht="17.399999999999999" customHeight="1" thickBot="1" x14ac:dyDescent="0.35">
      <c r="A127" s="213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5"/>
    </row>
    <row r="128" spans="1:18" ht="15" thickTop="1" x14ac:dyDescent="0.3"/>
  </sheetData>
  <mergeCells count="131">
    <mergeCell ref="G126"/>
    <mergeCell ref="G38"/>
    <mergeCell ref="A31:R31"/>
    <mergeCell ref="G78"/>
    <mergeCell ref="A15:R15"/>
    <mergeCell ref="G118"/>
    <mergeCell ref="A51:R51"/>
    <mergeCell ref="A107:R107"/>
    <mergeCell ref="H124:R124"/>
    <mergeCell ref="H24:R24"/>
    <mergeCell ref="H76:R76"/>
    <mergeCell ref="A123:R123"/>
    <mergeCell ref="A119:R119"/>
    <mergeCell ref="H92:R92"/>
    <mergeCell ref="G114"/>
    <mergeCell ref="H20:R20"/>
    <mergeCell ref="A80:F80"/>
    <mergeCell ref="A120:F120"/>
    <mergeCell ref="H112:R112"/>
    <mergeCell ref="A12:F12"/>
    <mergeCell ref="A75:R75"/>
    <mergeCell ref="A104:F104"/>
    <mergeCell ref="H44:R44"/>
    <mergeCell ref="A55:R55"/>
    <mergeCell ref="A95:R95"/>
    <mergeCell ref="A47:R47"/>
    <mergeCell ref="H64:R64"/>
    <mergeCell ref="A96:F96"/>
    <mergeCell ref="H88:R88"/>
    <mergeCell ref="A52:F52"/>
    <mergeCell ref="A116:F116"/>
    <mergeCell ref="H68:R68"/>
    <mergeCell ref="A8:F8"/>
    <mergeCell ref="G86"/>
    <mergeCell ref="H60:R60"/>
    <mergeCell ref="G2:J2"/>
    <mergeCell ref="A23:R23"/>
    <mergeCell ref="A100:F100"/>
    <mergeCell ref="N1:R1"/>
    <mergeCell ref="G70"/>
    <mergeCell ref="A43:R43"/>
    <mergeCell ref="A68:F68"/>
    <mergeCell ref="H16:R16"/>
    <mergeCell ref="H100:R100"/>
    <mergeCell ref="K2:R2"/>
    <mergeCell ref="A67:R67"/>
    <mergeCell ref="A92:F92"/>
    <mergeCell ref="H84:R84"/>
    <mergeCell ref="G62"/>
    <mergeCell ref="A36:F36"/>
    <mergeCell ref="H4:R4"/>
    <mergeCell ref="A3:R3"/>
    <mergeCell ref="A4:F4"/>
    <mergeCell ref="H104:R104"/>
    <mergeCell ref="A88:F88"/>
    <mergeCell ref="A103:R103"/>
    <mergeCell ref="G58"/>
    <mergeCell ref="G110"/>
    <mergeCell ref="A87:R87"/>
    <mergeCell ref="G94"/>
    <mergeCell ref="A56:F56"/>
    <mergeCell ref="G22"/>
    <mergeCell ref="H40:R40"/>
    <mergeCell ref="G102"/>
    <mergeCell ref="A76:F76"/>
    <mergeCell ref="A127:R127"/>
    <mergeCell ref="A24:F24"/>
    <mergeCell ref="A59:R59"/>
    <mergeCell ref="A60:F60"/>
    <mergeCell ref="A11:R11"/>
    <mergeCell ref="G30"/>
    <mergeCell ref="H120:R120"/>
    <mergeCell ref="A79:R79"/>
    <mergeCell ref="A124:F124"/>
    <mergeCell ref="G14"/>
    <mergeCell ref="H116:R116"/>
    <mergeCell ref="A16:F16"/>
    <mergeCell ref="A108:F108"/>
    <mergeCell ref="G54"/>
    <mergeCell ref="G46"/>
    <mergeCell ref="G106"/>
    <mergeCell ref="H56:R56"/>
    <mergeCell ref="A71:R71"/>
    <mergeCell ref="H36:R36"/>
    <mergeCell ref="A91:R91"/>
    <mergeCell ref="G98"/>
    <mergeCell ref="A28:F28"/>
    <mergeCell ref="A112:F112"/>
    <mergeCell ref="A63:R63"/>
    <mergeCell ref="H108:R108"/>
    <mergeCell ref="A19:R19"/>
    <mergeCell ref="A44:F44"/>
    <mergeCell ref="G122"/>
    <mergeCell ref="H72:R72"/>
    <mergeCell ref="A40:F40"/>
    <mergeCell ref="H32:R32"/>
    <mergeCell ref="A64:F64"/>
    <mergeCell ref="G6"/>
    <mergeCell ref="H8:R8"/>
    <mergeCell ref="A115:R115"/>
    <mergeCell ref="G82"/>
    <mergeCell ref="A48:F48"/>
    <mergeCell ref="A111:R111"/>
    <mergeCell ref="G10"/>
    <mergeCell ref="G66"/>
    <mergeCell ref="H28:R28"/>
    <mergeCell ref="A83:R83"/>
    <mergeCell ref="H80:R80"/>
    <mergeCell ref="G18"/>
    <mergeCell ref="A39:R39"/>
    <mergeCell ref="H12:R12"/>
    <mergeCell ref="H96:R96"/>
    <mergeCell ref="G34"/>
    <mergeCell ref="A7:R7"/>
    <mergeCell ref="A84:F84"/>
    <mergeCell ref="G26"/>
    <mergeCell ref="A99:R99"/>
    <mergeCell ref="H1:L1"/>
    <mergeCell ref="A1:E1"/>
    <mergeCell ref="A27:R27"/>
    <mergeCell ref="G50"/>
    <mergeCell ref="G90"/>
    <mergeCell ref="A32:F32"/>
    <mergeCell ref="A20:F20"/>
    <mergeCell ref="A72:F72"/>
    <mergeCell ref="G42"/>
    <mergeCell ref="A35:R35"/>
    <mergeCell ref="H52:R52"/>
    <mergeCell ref="A2:F2"/>
    <mergeCell ref="G74"/>
    <mergeCell ref="H48:R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3"/>
  <sheetViews>
    <sheetView workbookViewId="0"/>
  </sheetViews>
  <sheetFormatPr defaultRowHeight="15.6" outlineLevelCol="1" x14ac:dyDescent="0.3"/>
  <cols>
    <col min="1" max="1" width="11.5546875" style="200" bestFit="1" customWidth="1"/>
    <col min="2" max="2" width="10.109375" style="200" bestFit="1" customWidth="1"/>
    <col min="3" max="3" width="6.77734375" style="200" bestFit="1" customWidth="1"/>
    <col min="4" max="4" width="5.5546875" style="200" bestFit="1" customWidth="1"/>
    <col min="5" max="5" width="9.109375" style="200" bestFit="1" customWidth="1"/>
    <col min="6" max="6" width="4.21875" style="200" bestFit="1" customWidth="1"/>
    <col min="7" max="7" width="10" style="200" bestFit="1" customWidth="1"/>
    <col min="8" max="10" width="8.5546875" style="200" bestFit="1" customWidth="1"/>
    <col min="11" max="11" width="10.5546875" style="200" bestFit="1" customWidth="1"/>
    <col min="12" max="12" width="18.109375" style="200" bestFit="1" customWidth="1"/>
    <col min="13" max="13" width="7.6640625" style="200" bestFit="1" customWidth="1" outlineLevel="1"/>
    <col min="14" max="14" width="6.33203125" style="200" bestFit="1" customWidth="1" outlineLevel="1"/>
    <col min="15" max="15" width="8" style="200" bestFit="1" customWidth="1" outlineLevel="1"/>
    <col min="16" max="16" width="13.6640625" style="200" bestFit="1" customWidth="1"/>
    <col min="17" max="28" width="3.88671875" style="200" bestFit="1" customWidth="1"/>
    <col min="29" max="29" width="4.21875" style="200" bestFit="1" customWidth="1"/>
    <col min="30" max="30" width="3.88671875" style="200" bestFit="1" customWidth="1"/>
    <col min="31" max="31" width="4.5546875" style="200" bestFit="1" customWidth="1"/>
    <col min="32" max="32" width="3.88671875" style="200" bestFit="1" customWidth="1"/>
    <col min="33" max="33" width="4.21875" style="200" bestFit="1" customWidth="1"/>
    <col min="34" max="34" width="3.88671875" style="200" bestFit="1" customWidth="1"/>
    <col min="35" max="35" width="5.21875" style="200" bestFit="1" customWidth="1"/>
    <col min="36" max="36" width="3.88671875" style="200" bestFit="1" customWidth="1"/>
    <col min="37" max="16384" width="8.88671875" style="200"/>
  </cols>
  <sheetData>
    <row r="1" spans="1:36" x14ac:dyDescent="0.3">
      <c r="A1" s="199" t="s">
        <v>109</v>
      </c>
      <c r="B1" s="199" t="s">
        <v>110</v>
      </c>
      <c r="C1" s="199" t="s">
        <v>111</v>
      </c>
      <c r="D1" s="199" t="s">
        <v>25</v>
      </c>
      <c r="E1" s="199" t="s">
        <v>112</v>
      </c>
      <c r="F1" s="199" t="s">
        <v>113</v>
      </c>
      <c r="G1" s="199" t="s">
        <v>18</v>
      </c>
      <c r="H1" s="199" t="s">
        <v>114</v>
      </c>
      <c r="I1" s="199" t="s">
        <v>115</v>
      </c>
      <c r="J1" s="199" t="s">
        <v>116</v>
      </c>
      <c r="K1" s="199" t="s">
        <v>117</v>
      </c>
      <c r="L1" s="199" t="s">
        <v>20</v>
      </c>
      <c r="M1" s="199" t="s">
        <v>22</v>
      </c>
      <c r="N1" s="199" t="s">
        <v>23</v>
      </c>
      <c r="O1" s="199" t="s">
        <v>21</v>
      </c>
      <c r="P1" s="199" t="s">
        <v>24</v>
      </c>
      <c r="Q1" s="199" t="s">
        <v>118</v>
      </c>
      <c r="R1" s="199" t="s">
        <v>119</v>
      </c>
      <c r="S1" s="199" t="s">
        <v>120</v>
      </c>
      <c r="T1" s="199" t="s">
        <v>121</v>
      </c>
      <c r="U1" s="199" t="s">
        <v>122</v>
      </c>
      <c r="V1" s="199" t="s">
        <v>123</v>
      </c>
      <c r="W1" s="199" t="s">
        <v>124</v>
      </c>
      <c r="X1" s="199" t="s">
        <v>125</v>
      </c>
      <c r="Y1" s="199" t="s">
        <v>126</v>
      </c>
      <c r="Z1" s="199" t="s">
        <v>127</v>
      </c>
      <c r="AA1" s="199" t="s">
        <v>128</v>
      </c>
      <c r="AB1" s="199" t="s">
        <v>129</v>
      </c>
      <c r="AC1" s="199" t="s">
        <v>130</v>
      </c>
      <c r="AD1" s="199" t="s">
        <v>131</v>
      </c>
      <c r="AE1" s="199" t="s">
        <v>132</v>
      </c>
      <c r="AF1" s="199" t="s">
        <v>133</v>
      </c>
      <c r="AG1" s="199" t="s">
        <v>134</v>
      </c>
      <c r="AH1" s="199" t="s">
        <v>135</v>
      </c>
      <c r="AI1" s="199" t="s">
        <v>136</v>
      </c>
      <c r="AJ1" s="199" t="s">
        <v>137</v>
      </c>
    </row>
    <row r="2" spans="1:36" x14ac:dyDescent="0.3">
      <c r="A2" s="201" t="s">
        <v>147</v>
      </c>
      <c r="B2" s="202">
        <v>46019</v>
      </c>
      <c r="C2" s="203" t="s">
        <v>188</v>
      </c>
      <c r="D2" s="204" t="s">
        <v>211</v>
      </c>
      <c r="E2" s="203" t="s">
        <v>186</v>
      </c>
      <c r="F2" s="203" t="s">
        <v>140</v>
      </c>
      <c r="G2" s="205">
        <v>0.83240000000000003</v>
      </c>
      <c r="H2" s="206">
        <v>179</v>
      </c>
      <c r="I2" s="206">
        <v>149</v>
      </c>
      <c r="J2" s="206">
        <v>135</v>
      </c>
      <c r="K2" s="203" t="s">
        <v>141</v>
      </c>
      <c r="L2" s="207" t="s">
        <v>42</v>
      </c>
      <c r="M2" s="206">
        <v>0</v>
      </c>
      <c r="N2" s="206">
        <v>0</v>
      </c>
      <c r="O2" s="206">
        <v>4</v>
      </c>
      <c r="P2" s="203" t="s">
        <v>100</v>
      </c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206" t="s">
        <v>185</v>
      </c>
      <c r="AC2" s="206" t="s">
        <v>108</v>
      </c>
      <c r="AD2" s="199"/>
      <c r="AE2" s="199"/>
      <c r="AF2" s="199"/>
      <c r="AG2" s="199"/>
      <c r="AH2" s="199"/>
      <c r="AI2" s="206" t="s">
        <v>146</v>
      </c>
      <c r="AJ2" s="199"/>
    </row>
    <row r="3" spans="1:36" x14ac:dyDescent="0.3">
      <c r="A3" s="201" t="s">
        <v>153</v>
      </c>
      <c r="B3" s="202">
        <v>46021</v>
      </c>
      <c r="C3" s="203" t="s">
        <v>188</v>
      </c>
      <c r="D3" s="204" t="s">
        <v>212</v>
      </c>
      <c r="E3" s="203" t="s">
        <v>186</v>
      </c>
      <c r="F3" s="203" t="s">
        <v>140</v>
      </c>
      <c r="G3" s="205">
        <v>0.79330000000000001</v>
      </c>
      <c r="H3" s="206">
        <v>179</v>
      </c>
      <c r="I3" s="206">
        <v>142</v>
      </c>
      <c r="J3" s="206">
        <v>135</v>
      </c>
      <c r="K3" s="203" t="s">
        <v>141</v>
      </c>
      <c r="L3" s="207" t="s">
        <v>40</v>
      </c>
      <c r="M3" s="206">
        <v>3</v>
      </c>
      <c r="N3" s="206">
        <v>0</v>
      </c>
      <c r="O3" s="206">
        <v>5</v>
      </c>
      <c r="P3" s="203" t="s">
        <v>190</v>
      </c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206" t="s">
        <v>107</v>
      </c>
      <c r="AD3" s="199"/>
      <c r="AE3" s="199"/>
      <c r="AF3" s="199"/>
      <c r="AG3" s="206" t="s">
        <v>166</v>
      </c>
      <c r="AH3" s="199"/>
      <c r="AI3" s="206" t="s">
        <v>152</v>
      </c>
      <c r="AJ3" s="199"/>
    </row>
    <row r="4" spans="1:36" x14ac:dyDescent="0.3">
      <c r="A4" s="201" t="s">
        <v>213</v>
      </c>
      <c r="B4" s="202">
        <v>46022</v>
      </c>
      <c r="C4" s="203" t="s">
        <v>188</v>
      </c>
      <c r="D4" s="204" t="s">
        <v>214</v>
      </c>
      <c r="E4" s="203" t="s">
        <v>186</v>
      </c>
      <c r="F4" s="203" t="s">
        <v>140</v>
      </c>
      <c r="G4" s="205">
        <v>1.0335000000000001</v>
      </c>
      <c r="H4" s="206">
        <v>179</v>
      </c>
      <c r="I4" s="206">
        <v>185</v>
      </c>
      <c r="J4" s="206">
        <v>170</v>
      </c>
      <c r="K4" s="203" t="s">
        <v>141</v>
      </c>
      <c r="L4" s="207" t="s">
        <v>192</v>
      </c>
      <c r="M4" s="206">
        <v>0</v>
      </c>
      <c r="N4" s="206">
        <v>0</v>
      </c>
      <c r="O4" s="206">
        <v>1</v>
      </c>
      <c r="P4" s="203" t="s">
        <v>33</v>
      </c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206" t="s">
        <v>190</v>
      </c>
      <c r="AD4" s="206" t="s">
        <v>215</v>
      </c>
      <c r="AE4" s="199"/>
      <c r="AF4" s="206" t="s">
        <v>216</v>
      </c>
      <c r="AG4" s="199"/>
      <c r="AH4" s="199"/>
      <c r="AI4" s="206" t="s">
        <v>217</v>
      </c>
      <c r="AJ4" s="199"/>
    </row>
    <row r="5" spans="1:36" x14ac:dyDescent="0.3">
      <c r="A5" s="201" t="s">
        <v>147</v>
      </c>
      <c r="B5" s="202">
        <v>46026</v>
      </c>
      <c r="C5" s="203" t="s">
        <v>188</v>
      </c>
      <c r="D5" s="204" t="s">
        <v>211</v>
      </c>
      <c r="E5" s="203" t="s">
        <v>186</v>
      </c>
      <c r="F5" s="203" t="s">
        <v>140</v>
      </c>
      <c r="G5" s="205">
        <v>0.8095</v>
      </c>
      <c r="H5" s="206">
        <v>168</v>
      </c>
      <c r="I5" s="206">
        <v>136</v>
      </c>
      <c r="J5" s="206">
        <v>135</v>
      </c>
      <c r="K5" s="203" t="s">
        <v>141</v>
      </c>
      <c r="L5" s="207" t="s">
        <v>68</v>
      </c>
      <c r="M5" s="206">
        <v>0</v>
      </c>
      <c r="N5" s="206">
        <v>0</v>
      </c>
      <c r="O5" s="206">
        <v>5</v>
      </c>
      <c r="P5" s="203" t="s">
        <v>45</v>
      </c>
      <c r="Q5" s="199"/>
      <c r="R5" s="199"/>
      <c r="S5" s="199"/>
      <c r="T5" s="199"/>
      <c r="U5" s="199"/>
      <c r="V5" s="199"/>
      <c r="W5" s="199"/>
      <c r="X5" s="199"/>
      <c r="Y5" s="199"/>
      <c r="Z5" s="206" t="s">
        <v>142</v>
      </c>
      <c r="AA5" s="199"/>
      <c r="AB5" s="199"/>
      <c r="AC5" s="199"/>
      <c r="AD5" s="199"/>
      <c r="AE5" s="199"/>
      <c r="AF5" s="199"/>
      <c r="AG5" s="199"/>
      <c r="AH5" s="199"/>
      <c r="AI5" s="206" t="s">
        <v>146</v>
      </c>
      <c r="AJ5" s="199"/>
    </row>
    <row r="6" spans="1:36" x14ac:dyDescent="0.3">
      <c r="A6" s="201" t="s">
        <v>153</v>
      </c>
      <c r="B6" s="202">
        <v>46028</v>
      </c>
      <c r="C6" s="203" t="s">
        <v>188</v>
      </c>
      <c r="D6" s="204" t="s">
        <v>212</v>
      </c>
      <c r="E6" s="203" t="s">
        <v>186</v>
      </c>
      <c r="F6" s="203" t="s">
        <v>140</v>
      </c>
      <c r="G6" s="205">
        <v>1.0713999999999999</v>
      </c>
      <c r="H6" s="206">
        <v>168</v>
      </c>
      <c r="I6" s="206">
        <v>180</v>
      </c>
      <c r="J6" s="206">
        <v>180</v>
      </c>
      <c r="K6" s="203" t="s">
        <v>141</v>
      </c>
      <c r="L6" s="207" t="s">
        <v>194</v>
      </c>
      <c r="M6" s="206">
        <v>0</v>
      </c>
      <c r="N6" s="206">
        <v>0</v>
      </c>
      <c r="O6" s="206">
        <v>4</v>
      </c>
      <c r="P6" s="203" t="s">
        <v>33</v>
      </c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206" t="s">
        <v>55</v>
      </c>
      <c r="AJ6" s="199"/>
    </row>
    <row r="7" spans="1:36" x14ac:dyDescent="0.3">
      <c r="A7" s="201" t="s">
        <v>213</v>
      </c>
      <c r="B7" s="202">
        <v>46029</v>
      </c>
      <c r="C7" s="203" t="s">
        <v>188</v>
      </c>
      <c r="D7" s="204" t="s">
        <v>214</v>
      </c>
      <c r="E7" s="203" t="s">
        <v>186</v>
      </c>
      <c r="F7" s="203" t="s">
        <v>140</v>
      </c>
      <c r="G7" s="205">
        <v>0.8155</v>
      </c>
      <c r="H7" s="206">
        <v>168</v>
      </c>
      <c r="I7" s="206">
        <v>137</v>
      </c>
      <c r="J7" s="206">
        <v>135</v>
      </c>
      <c r="K7" s="203" t="s">
        <v>141</v>
      </c>
      <c r="L7" s="207" t="s">
        <v>195</v>
      </c>
      <c r="M7" s="206">
        <v>0</v>
      </c>
      <c r="N7" s="206">
        <v>0</v>
      </c>
      <c r="O7" s="206">
        <v>7</v>
      </c>
      <c r="P7" s="203" t="s">
        <v>45</v>
      </c>
      <c r="Q7" s="199"/>
      <c r="R7" s="199"/>
      <c r="S7" s="199"/>
      <c r="T7" s="199"/>
      <c r="U7" s="199"/>
      <c r="V7" s="199"/>
      <c r="W7" s="199"/>
      <c r="X7" s="199"/>
      <c r="Y7" s="199"/>
      <c r="Z7" s="206" t="s">
        <v>218</v>
      </c>
      <c r="AA7" s="199"/>
      <c r="AB7" s="199"/>
      <c r="AC7" s="199"/>
      <c r="AD7" s="199"/>
      <c r="AE7" s="199"/>
      <c r="AF7" s="199"/>
      <c r="AG7" s="199"/>
      <c r="AH7" s="199"/>
      <c r="AI7" s="206" t="s">
        <v>146</v>
      </c>
      <c r="AJ7" s="199"/>
    </row>
    <row r="8" spans="1:36" x14ac:dyDescent="0.3">
      <c r="A8" s="201" t="s">
        <v>147</v>
      </c>
      <c r="B8" s="202">
        <v>46033</v>
      </c>
      <c r="C8" s="203" t="s">
        <v>188</v>
      </c>
      <c r="D8" s="204" t="s">
        <v>211</v>
      </c>
      <c r="E8" s="203" t="s">
        <v>186</v>
      </c>
      <c r="F8" s="203" t="s">
        <v>140</v>
      </c>
      <c r="G8" s="205">
        <v>1.0238</v>
      </c>
      <c r="H8" s="206">
        <v>168</v>
      </c>
      <c r="I8" s="206">
        <v>172</v>
      </c>
      <c r="J8" s="206">
        <v>170</v>
      </c>
      <c r="K8" s="203" t="s">
        <v>141</v>
      </c>
      <c r="L8" s="207" t="s">
        <v>98</v>
      </c>
      <c r="M8" s="206">
        <v>0</v>
      </c>
      <c r="N8" s="206">
        <v>0</v>
      </c>
      <c r="O8" s="206">
        <v>7</v>
      </c>
      <c r="P8" s="203" t="s">
        <v>33</v>
      </c>
      <c r="Q8" s="199"/>
      <c r="R8" s="199"/>
      <c r="S8" s="199"/>
      <c r="T8" s="199"/>
      <c r="U8" s="199"/>
      <c r="V8" s="199"/>
      <c r="W8" s="199"/>
      <c r="X8" s="199"/>
      <c r="Y8" s="199"/>
      <c r="Z8" s="206" t="s">
        <v>218</v>
      </c>
      <c r="AA8" s="199"/>
      <c r="AB8" s="199"/>
      <c r="AC8" s="199"/>
      <c r="AD8" s="199"/>
      <c r="AE8" s="199"/>
      <c r="AF8" s="199"/>
      <c r="AG8" s="199"/>
      <c r="AH8" s="199"/>
      <c r="AI8" s="206" t="s">
        <v>217</v>
      </c>
      <c r="AJ8" s="199"/>
    </row>
    <row r="9" spans="1:36" x14ac:dyDescent="0.3">
      <c r="A9" s="201" t="s">
        <v>153</v>
      </c>
      <c r="B9" s="202">
        <v>46035</v>
      </c>
      <c r="C9" s="203" t="s">
        <v>188</v>
      </c>
      <c r="D9" s="204" t="s">
        <v>212</v>
      </c>
      <c r="E9" s="203" t="s">
        <v>186</v>
      </c>
      <c r="F9" s="203" t="s">
        <v>140</v>
      </c>
      <c r="G9" s="205">
        <v>0.84519999999999995</v>
      </c>
      <c r="H9" s="206">
        <v>168</v>
      </c>
      <c r="I9" s="206">
        <v>142</v>
      </c>
      <c r="J9" s="206">
        <v>135</v>
      </c>
      <c r="K9" s="203" t="s">
        <v>141</v>
      </c>
      <c r="L9" s="207" t="s">
        <v>49</v>
      </c>
      <c r="M9" s="206">
        <v>0</v>
      </c>
      <c r="N9" s="206">
        <v>0</v>
      </c>
      <c r="O9" s="206">
        <v>10</v>
      </c>
      <c r="P9" s="203" t="s">
        <v>198</v>
      </c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206" t="s">
        <v>177</v>
      </c>
      <c r="AF9" s="206" t="s">
        <v>159</v>
      </c>
      <c r="AG9" s="199"/>
      <c r="AH9" s="199"/>
      <c r="AI9" s="206" t="s">
        <v>146</v>
      </c>
      <c r="AJ9" s="199"/>
    </row>
    <row r="10" spans="1:36" x14ac:dyDescent="0.3">
      <c r="A10" s="201" t="s">
        <v>163</v>
      </c>
      <c r="B10" s="202">
        <v>46037</v>
      </c>
      <c r="C10" s="203" t="s">
        <v>188</v>
      </c>
      <c r="D10" s="204" t="s">
        <v>219</v>
      </c>
      <c r="E10" s="203" t="s">
        <v>186</v>
      </c>
      <c r="F10" s="203" t="s">
        <v>140</v>
      </c>
      <c r="G10" s="205">
        <v>0.53569999999999995</v>
      </c>
      <c r="H10" s="206">
        <v>168</v>
      </c>
      <c r="I10" s="206">
        <v>90</v>
      </c>
      <c r="J10" s="206">
        <v>90</v>
      </c>
      <c r="K10" s="203" t="s">
        <v>141</v>
      </c>
      <c r="L10" s="207" t="s">
        <v>44</v>
      </c>
      <c r="M10" s="206">
        <v>0</v>
      </c>
      <c r="N10" s="206">
        <v>0</v>
      </c>
      <c r="O10" s="206">
        <v>3</v>
      </c>
      <c r="P10" s="203" t="s">
        <v>59</v>
      </c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206" t="s">
        <v>152</v>
      </c>
      <c r="AJ10" s="199"/>
    </row>
    <row r="11" spans="1:36" x14ac:dyDescent="0.3">
      <c r="A11" s="201" t="s">
        <v>147</v>
      </c>
      <c r="B11" s="202">
        <v>46040</v>
      </c>
      <c r="C11" s="203" t="s">
        <v>188</v>
      </c>
      <c r="D11" s="204" t="s">
        <v>211</v>
      </c>
      <c r="E11" s="203" t="s">
        <v>186</v>
      </c>
      <c r="F11" s="203" t="s">
        <v>140</v>
      </c>
      <c r="G11" s="205">
        <v>0.8155</v>
      </c>
      <c r="H11" s="206">
        <v>168</v>
      </c>
      <c r="I11" s="206">
        <v>137</v>
      </c>
      <c r="J11" s="206">
        <v>135</v>
      </c>
      <c r="K11" s="203" t="s">
        <v>141</v>
      </c>
      <c r="L11" s="207" t="s">
        <v>44</v>
      </c>
      <c r="M11" s="206">
        <v>0</v>
      </c>
      <c r="N11" s="206">
        <v>0</v>
      </c>
      <c r="O11" s="206">
        <v>6</v>
      </c>
      <c r="P11" s="203" t="s">
        <v>65</v>
      </c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206" t="s">
        <v>92</v>
      </c>
      <c r="AF11" s="199"/>
      <c r="AG11" s="199"/>
      <c r="AH11" s="199"/>
      <c r="AI11" s="206" t="s">
        <v>146</v>
      </c>
      <c r="AJ11" s="199"/>
    </row>
    <row r="12" spans="1:36" x14ac:dyDescent="0.3">
      <c r="A12" s="201" t="s">
        <v>153</v>
      </c>
      <c r="B12" s="202">
        <v>46042</v>
      </c>
      <c r="C12" s="203" t="s">
        <v>188</v>
      </c>
      <c r="D12" s="204" t="s">
        <v>212</v>
      </c>
      <c r="E12" s="203" t="s">
        <v>186</v>
      </c>
      <c r="F12" s="203" t="s">
        <v>140</v>
      </c>
      <c r="G12" s="205">
        <v>0.80359999999999998</v>
      </c>
      <c r="H12" s="206">
        <v>168</v>
      </c>
      <c r="I12" s="206">
        <v>135</v>
      </c>
      <c r="J12" s="206">
        <v>135</v>
      </c>
      <c r="K12" s="203" t="s">
        <v>141</v>
      </c>
      <c r="L12" s="207" t="s">
        <v>44</v>
      </c>
      <c r="M12" s="206">
        <v>0</v>
      </c>
      <c r="N12" s="206">
        <v>0</v>
      </c>
      <c r="O12" s="206">
        <v>3</v>
      </c>
      <c r="P12" s="203" t="s">
        <v>65</v>
      </c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206" t="s">
        <v>146</v>
      </c>
      <c r="AJ12" s="199"/>
    </row>
    <row r="13" spans="1:36" x14ac:dyDescent="0.3">
      <c r="A13" s="201" t="s">
        <v>213</v>
      </c>
      <c r="B13" s="202">
        <v>46043</v>
      </c>
      <c r="C13" s="203" t="s">
        <v>188</v>
      </c>
      <c r="D13" s="204" t="s">
        <v>214</v>
      </c>
      <c r="E13" s="203" t="s">
        <v>186</v>
      </c>
      <c r="F13" s="203" t="s">
        <v>140</v>
      </c>
      <c r="G13" s="205">
        <v>0.8155</v>
      </c>
      <c r="H13" s="206">
        <v>168</v>
      </c>
      <c r="I13" s="206">
        <v>137</v>
      </c>
      <c r="J13" s="206">
        <v>135</v>
      </c>
      <c r="K13" s="203" t="s">
        <v>141</v>
      </c>
      <c r="L13" s="207" t="s">
        <v>44</v>
      </c>
      <c r="M13" s="206">
        <v>0</v>
      </c>
      <c r="N13" s="206">
        <v>0</v>
      </c>
      <c r="O13" s="206">
        <v>6</v>
      </c>
      <c r="P13" s="203" t="s">
        <v>65</v>
      </c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206" t="s">
        <v>92</v>
      </c>
      <c r="AF13" s="199"/>
      <c r="AG13" s="199"/>
      <c r="AH13" s="199"/>
      <c r="AI13" s="206" t="s">
        <v>146</v>
      </c>
      <c r="AJ13" s="199"/>
    </row>
    <row r="14" spans="1:36" x14ac:dyDescent="0.3">
      <c r="A14" s="201" t="s">
        <v>163</v>
      </c>
      <c r="B14" s="202">
        <v>46044</v>
      </c>
      <c r="C14" s="203" t="s">
        <v>188</v>
      </c>
      <c r="D14" s="204" t="s">
        <v>219</v>
      </c>
      <c r="E14" s="203" t="s">
        <v>186</v>
      </c>
      <c r="F14" s="203" t="s">
        <v>140</v>
      </c>
      <c r="G14" s="205">
        <v>0.84519999999999995</v>
      </c>
      <c r="H14" s="206">
        <v>168</v>
      </c>
      <c r="I14" s="206">
        <v>142</v>
      </c>
      <c r="J14" s="206">
        <v>135</v>
      </c>
      <c r="K14" s="203" t="s">
        <v>141</v>
      </c>
      <c r="L14" s="207" t="s">
        <v>49</v>
      </c>
      <c r="M14" s="206">
        <v>0</v>
      </c>
      <c r="N14" s="206">
        <v>0</v>
      </c>
      <c r="O14" s="206">
        <v>11</v>
      </c>
      <c r="P14" s="203" t="s">
        <v>65</v>
      </c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206" t="s">
        <v>88</v>
      </c>
      <c r="AF14" s="199"/>
      <c r="AG14" s="199"/>
      <c r="AH14" s="199"/>
      <c r="AI14" s="206" t="s">
        <v>146</v>
      </c>
      <c r="AJ14" s="199"/>
    </row>
    <row r="15" spans="1:36" x14ac:dyDescent="0.3">
      <c r="A15" s="201" t="s">
        <v>153</v>
      </c>
      <c r="B15" s="202">
        <v>46049</v>
      </c>
      <c r="C15" s="203" t="s">
        <v>188</v>
      </c>
      <c r="D15" s="204" t="s">
        <v>212</v>
      </c>
      <c r="E15" s="203" t="s">
        <v>186</v>
      </c>
      <c r="F15" s="203" t="s">
        <v>140</v>
      </c>
      <c r="G15" s="205">
        <v>0.80359999999999998</v>
      </c>
      <c r="H15" s="206">
        <v>168</v>
      </c>
      <c r="I15" s="206">
        <v>135</v>
      </c>
      <c r="J15" s="206">
        <v>135</v>
      </c>
      <c r="K15" s="203" t="s">
        <v>141</v>
      </c>
      <c r="L15" s="207" t="s">
        <v>44</v>
      </c>
      <c r="M15" s="206">
        <v>0</v>
      </c>
      <c r="N15" s="206">
        <v>0</v>
      </c>
      <c r="O15" s="206">
        <v>3</v>
      </c>
      <c r="P15" s="203" t="s">
        <v>65</v>
      </c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206" t="s">
        <v>146</v>
      </c>
      <c r="AJ15" s="199"/>
    </row>
    <row r="16" spans="1:36" x14ac:dyDescent="0.3">
      <c r="A16" s="201" t="s">
        <v>213</v>
      </c>
      <c r="B16" s="202">
        <v>46050</v>
      </c>
      <c r="C16" s="203" t="s">
        <v>188</v>
      </c>
      <c r="D16" s="204" t="s">
        <v>214</v>
      </c>
      <c r="E16" s="203" t="s">
        <v>186</v>
      </c>
      <c r="F16" s="203" t="s">
        <v>140</v>
      </c>
      <c r="G16" s="205">
        <v>0.82740000000000002</v>
      </c>
      <c r="H16" s="206">
        <v>168</v>
      </c>
      <c r="I16" s="206">
        <v>139</v>
      </c>
      <c r="J16" s="206">
        <v>135</v>
      </c>
      <c r="K16" s="203" t="s">
        <v>141</v>
      </c>
      <c r="L16" s="207" t="s">
        <v>44</v>
      </c>
      <c r="M16" s="206">
        <v>0</v>
      </c>
      <c r="N16" s="206">
        <v>0</v>
      </c>
      <c r="O16" s="206">
        <v>7</v>
      </c>
      <c r="P16" s="203" t="s">
        <v>65</v>
      </c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206" t="s">
        <v>74</v>
      </c>
      <c r="AF16" s="199"/>
      <c r="AG16" s="199"/>
      <c r="AH16" s="199"/>
      <c r="AI16" s="206" t="s">
        <v>146</v>
      </c>
      <c r="AJ16" s="199"/>
    </row>
    <row r="17" spans="1:36" x14ac:dyDescent="0.3">
      <c r="A17" s="201" t="s">
        <v>163</v>
      </c>
      <c r="B17" s="202">
        <v>46051</v>
      </c>
      <c r="C17" s="203" t="s">
        <v>188</v>
      </c>
      <c r="D17" s="204" t="s">
        <v>219</v>
      </c>
      <c r="E17" s="203" t="s">
        <v>186</v>
      </c>
      <c r="F17" s="203" t="s">
        <v>140</v>
      </c>
      <c r="G17" s="205">
        <v>0.83930000000000005</v>
      </c>
      <c r="H17" s="206">
        <v>168</v>
      </c>
      <c r="I17" s="206">
        <v>141</v>
      </c>
      <c r="J17" s="206">
        <v>135</v>
      </c>
      <c r="K17" s="203" t="s">
        <v>141</v>
      </c>
      <c r="L17" s="207" t="s">
        <v>44</v>
      </c>
      <c r="M17" s="206">
        <v>0</v>
      </c>
      <c r="N17" s="206">
        <v>0</v>
      </c>
      <c r="O17" s="206">
        <v>9</v>
      </c>
      <c r="P17" s="203" t="s">
        <v>65</v>
      </c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206" t="s">
        <v>71</v>
      </c>
      <c r="AF17" s="199"/>
      <c r="AG17" s="199"/>
      <c r="AH17" s="199"/>
      <c r="AI17" s="206" t="s">
        <v>146</v>
      </c>
      <c r="AJ17" s="199"/>
    </row>
    <row r="18" spans="1:36" x14ac:dyDescent="0.3">
      <c r="A18" s="201" t="s">
        <v>153</v>
      </c>
      <c r="B18" s="202">
        <v>46056</v>
      </c>
      <c r="C18" s="203" t="s">
        <v>188</v>
      </c>
      <c r="D18" s="204" t="s">
        <v>212</v>
      </c>
      <c r="E18" s="203" t="s">
        <v>186</v>
      </c>
      <c r="F18" s="203" t="s">
        <v>140</v>
      </c>
      <c r="G18" s="205">
        <v>0.82140000000000002</v>
      </c>
      <c r="H18" s="206">
        <v>168</v>
      </c>
      <c r="I18" s="206">
        <v>138</v>
      </c>
      <c r="J18" s="206">
        <v>135</v>
      </c>
      <c r="K18" s="203" t="s">
        <v>141</v>
      </c>
      <c r="L18" s="207" t="s">
        <v>44</v>
      </c>
      <c r="M18" s="206">
        <v>0</v>
      </c>
      <c r="N18" s="206">
        <v>0</v>
      </c>
      <c r="O18" s="206">
        <v>6</v>
      </c>
      <c r="P18" s="203" t="s">
        <v>65</v>
      </c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206" t="s">
        <v>81</v>
      </c>
      <c r="AF18" s="199"/>
      <c r="AG18" s="199"/>
      <c r="AH18" s="199"/>
      <c r="AI18" s="206" t="s">
        <v>146</v>
      </c>
      <c r="AJ18" s="199"/>
    </row>
    <row r="19" spans="1:36" x14ac:dyDescent="0.3">
      <c r="A19" s="201" t="s">
        <v>213</v>
      </c>
      <c r="B19" s="202">
        <v>46057</v>
      </c>
      <c r="C19" s="203" t="s">
        <v>188</v>
      </c>
      <c r="D19" s="204" t="s">
        <v>214</v>
      </c>
      <c r="E19" s="203" t="s">
        <v>186</v>
      </c>
      <c r="F19" s="203" t="s">
        <v>140</v>
      </c>
      <c r="G19" s="205">
        <v>0.8155</v>
      </c>
      <c r="H19" s="206">
        <v>168</v>
      </c>
      <c r="I19" s="206">
        <v>137</v>
      </c>
      <c r="J19" s="206">
        <v>135</v>
      </c>
      <c r="K19" s="203" t="s">
        <v>141</v>
      </c>
      <c r="L19" s="207" t="s">
        <v>44</v>
      </c>
      <c r="M19" s="206">
        <v>0</v>
      </c>
      <c r="N19" s="206">
        <v>0</v>
      </c>
      <c r="O19" s="206">
        <v>5</v>
      </c>
      <c r="P19" s="203" t="s">
        <v>65</v>
      </c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206" t="s">
        <v>92</v>
      </c>
      <c r="AF19" s="199"/>
      <c r="AG19" s="199"/>
      <c r="AH19" s="199"/>
      <c r="AI19" s="206" t="s">
        <v>146</v>
      </c>
      <c r="AJ19" s="199"/>
    </row>
    <row r="20" spans="1:36" x14ac:dyDescent="0.3">
      <c r="A20" s="201" t="s">
        <v>163</v>
      </c>
      <c r="B20" s="202">
        <v>46058</v>
      </c>
      <c r="C20" s="203" t="s">
        <v>188</v>
      </c>
      <c r="D20" s="204" t="s">
        <v>219</v>
      </c>
      <c r="E20" s="203" t="s">
        <v>186</v>
      </c>
      <c r="F20" s="203" t="s">
        <v>140</v>
      </c>
      <c r="G20" s="205">
        <v>0.86309999999999998</v>
      </c>
      <c r="H20" s="206">
        <v>168</v>
      </c>
      <c r="I20" s="206">
        <v>145</v>
      </c>
      <c r="J20" s="206">
        <v>135</v>
      </c>
      <c r="K20" s="203" t="s">
        <v>141</v>
      </c>
      <c r="L20" s="207" t="s">
        <v>44</v>
      </c>
      <c r="M20" s="206">
        <v>0</v>
      </c>
      <c r="N20" s="206">
        <v>0</v>
      </c>
      <c r="O20" s="206">
        <v>13</v>
      </c>
      <c r="P20" s="203" t="s">
        <v>88</v>
      </c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206" t="s">
        <v>89</v>
      </c>
      <c r="AF20" s="199"/>
      <c r="AG20" s="199"/>
      <c r="AH20" s="199"/>
      <c r="AI20" s="206" t="s">
        <v>146</v>
      </c>
      <c r="AJ20" s="199"/>
    </row>
    <row r="21" spans="1:36" x14ac:dyDescent="0.3">
      <c r="A21" s="201" t="s">
        <v>153</v>
      </c>
      <c r="B21" s="202">
        <v>46063</v>
      </c>
      <c r="C21" s="203" t="s">
        <v>188</v>
      </c>
      <c r="D21" s="204" t="s">
        <v>212</v>
      </c>
      <c r="E21" s="203" t="s">
        <v>186</v>
      </c>
      <c r="F21" s="203" t="s">
        <v>140</v>
      </c>
      <c r="G21" s="205">
        <v>0.8095</v>
      </c>
      <c r="H21" s="206">
        <v>168</v>
      </c>
      <c r="I21" s="206">
        <v>136</v>
      </c>
      <c r="J21" s="206">
        <v>135</v>
      </c>
      <c r="K21" s="203" t="s">
        <v>141</v>
      </c>
      <c r="L21" s="207" t="s">
        <v>44</v>
      </c>
      <c r="M21" s="206">
        <v>0</v>
      </c>
      <c r="N21" s="206">
        <v>0</v>
      </c>
      <c r="O21" s="206">
        <v>4</v>
      </c>
      <c r="P21" s="203" t="s">
        <v>65</v>
      </c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206" t="s">
        <v>177</v>
      </c>
      <c r="AF21" s="199"/>
      <c r="AG21" s="199"/>
      <c r="AH21" s="199"/>
      <c r="AI21" s="206" t="s">
        <v>146</v>
      </c>
      <c r="AJ21" s="199"/>
    </row>
    <row r="22" spans="1:36" x14ac:dyDescent="0.3">
      <c r="A22" s="201" t="s">
        <v>213</v>
      </c>
      <c r="B22" s="202">
        <v>46064</v>
      </c>
      <c r="C22" s="203" t="s">
        <v>188</v>
      </c>
      <c r="D22" s="204" t="s">
        <v>214</v>
      </c>
      <c r="E22" s="203" t="s">
        <v>186</v>
      </c>
      <c r="F22" s="203" t="s">
        <v>140</v>
      </c>
      <c r="G22" s="205">
        <v>0.80359999999999998</v>
      </c>
      <c r="H22" s="206">
        <v>168</v>
      </c>
      <c r="I22" s="206">
        <v>135</v>
      </c>
      <c r="J22" s="206">
        <v>135</v>
      </c>
      <c r="K22" s="203" t="s">
        <v>141</v>
      </c>
      <c r="L22" s="207" t="s">
        <v>44</v>
      </c>
      <c r="M22" s="206">
        <v>0</v>
      </c>
      <c r="N22" s="206">
        <v>0</v>
      </c>
      <c r="O22" s="206">
        <v>3</v>
      </c>
      <c r="P22" s="203" t="s">
        <v>65</v>
      </c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206" t="s">
        <v>146</v>
      </c>
      <c r="AJ22" s="199"/>
    </row>
    <row r="23" spans="1:36" x14ac:dyDescent="0.3">
      <c r="A23" s="201" t="s">
        <v>163</v>
      </c>
      <c r="B23" s="202">
        <v>46065</v>
      </c>
      <c r="C23" s="203" t="s">
        <v>188</v>
      </c>
      <c r="D23" s="204" t="s">
        <v>219</v>
      </c>
      <c r="E23" s="203" t="s">
        <v>186</v>
      </c>
      <c r="F23" s="203" t="s">
        <v>140</v>
      </c>
      <c r="G23" s="205">
        <v>0.83930000000000005</v>
      </c>
      <c r="H23" s="206">
        <v>168</v>
      </c>
      <c r="I23" s="206">
        <v>141</v>
      </c>
      <c r="J23" s="206">
        <v>135</v>
      </c>
      <c r="K23" s="203" t="s">
        <v>141</v>
      </c>
      <c r="L23" s="207" t="s">
        <v>44</v>
      </c>
      <c r="M23" s="206">
        <v>0</v>
      </c>
      <c r="N23" s="206">
        <v>0</v>
      </c>
      <c r="O23" s="206">
        <v>9</v>
      </c>
      <c r="P23" s="203" t="s">
        <v>65</v>
      </c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206" t="s">
        <v>71</v>
      </c>
      <c r="AF23" s="199"/>
      <c r="AG23" s="199"/>
      <c r="AH23" s="199"/>
      <c r="AI23" s="206" t="s">
        <v>146</v>
      </c>
      <c r="AJ23" s="199"/>
    </row>
    <row r="24" spans="1:36" x14ac:dyDescent="0.3">
      <c r="A24" s="201" t="s">
        <v>147</v>
      </c>
      <c r="B24" s="202">
        <v>46068</v>
      </c>
      <c r="C24" s="203" t="s">
        <v>188</v>
      </c>
      <c r="D24" s="204" t="s">
        <v>211</v>
      </c>
      <c r="E24" s="203" t="s">
        <v>186</v>
      </c>
      <c r="F24" s="203" t="s">
        <v>140</v>
      </c>
      <c r="G24" s="205">
        <v>5.9499999999999997E-2</v>
      </c>
      <c r="H24" s="206">
        <v>168</v>
      </c>
      <c r="I24" s="206">
        <v>10</v>
      </c>
      <c r="J24" s="206">
        <v>0</v>
      </c>
      <c r="K24" s="203" t="s">
        <v>141</v>
      </c>
      <c r="L24" s="207" t="s">
        <v>44</v>
      </c>
      <c r="M24" s="206">
        <v>0</v>
      </c>
      <c r="N24" s="206">
        <v>0</v>
      </c>
      <c r="O24" s="206">
        <v>10</v>
      </c>
      <c r="P24" s="203" t="s">
        <v>75</v>
      </c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206" t="s">
        <v>215</v>
      </c>
      <c r="AE24" s="206" t="s">
        <v>65</v>
      </c>
      <c r="AF24" s="199"/>
      <c r="AG24" s="199"/>
      <c r="AH24" s="199"/>
      <c r="AI24" s="199"/>
      <c r="AJ24" s="199"/>
    </row>
    <row r="25" spans="1:36" x14ac:dyDescent="0.3">
      <c r="A25" s="201" t="s">
        <v>153</v>
      </c>
      <c r="B25" s="202">
        <v>46070</v>
      </c>
      <c r="C25" s="203" t="s">
        <v>188</v>
      </c>
      <c r="D25" s="204" t="s">
        <v>212</v>
      </c>
      <c r="E25" s="203" t="s">
        <v>186</v>
      </c>
      <c r="F25" s="203" t="s">
        <v>140</v>
      </c>
      <c r="G25" s="205">
        <v>0</v>
      </c>
      <c r="H25" s="206">
        <v>168</v>
      </c>
      <c r="I25" s="206">
        <v>0</v>
      </c>
      <c r="J25" s="206">
        <v>0</v>
      </c>
      <c r="K25" s="203" t="s">
        <v>141</v>
      </c>
      <c r="L25" s="207" t="s">
        <v>73</v>
      </c>
      <c r="M25" s="206">
        <v>0</v>
      </c>
      <c r="N25" s="206">
        <v>0</v>
      </c>
      <c r="O25" s="206">
        <v>0</v>
      </c>
      <c r="P25" s="203" t="s">
        <v>96</v>
      </c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</row>
    <row r="26" spans="1:36" x14ac:dyDescent="0.3">
      <c r="A26" s="201" t="s">
        <v>213</v>
      </c>
      <c r="B26" s="202">
        <v>46071</v>
      </c>
      <c r="C26" s="203" t="s">
        <v>188</v>
      </c>
      <c r="D26" s="204" t="s">
        <v>214</v>
      </c>
      <c r="E26" s="203" t="s">
        <v>186</v>
      </c>
      <c r="F26" s="203" t="s">
        <v>140</v>
      </c>
      <c r="G26" s="205">
        <v>0</v>
      </c>
      <c r="H26" s="206">
        <v>168</v>
      </c>
      <c r="I26" s="206">
        <v>0</v>
      </c>
      <c r="J26" s="206">
        <v>0</v>
      </c>
      <c r="K26" s="203" t="s">
        <v>141</v>
      </c>
      <c r="L26" s="207" t="s">
        <v>73</v>
      </c>
      <c r="M26" s="206">
        <v>0</v>
      </c>
      <c r="N26" s="206">
        <v>0</v>
      </c>
      <c r="O26" s="206">
        <v>0</v>
      </c>
      <c r="P26" s="203" t="s">
        <v>96</v>
      </c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199"/>
      <c r="AJ26" s="199"/>
    </row>
    <row r="27" spans="1:36" x14ac:dyDescent="0.3">
      <c r="A27" s="201" t="s">
        <v>163</v>
      </c>
      <c r="B27" s="202">
        <v>46072</v>
      </c>
      <c r="C27" s="203" t="s">
        <v>188</v>
      </c>
      <c r="D27" s="204" t="s">
        <v>219</v>
      </c>
      <c r="E27" s="203" t="s">
        <v>186</v>
      </c>
      <c r="F27" s="203" t="s">
        <v>140</v>
      </c>
      <c r="G27" s="205">
        <v>6.0000000000000001E-3</v>
      </c>
      <c r="H27" s="206">
        <v>168</v>
      </c>
      <c r="I27" s="206">
        <v>1</v>
      </c>
      <c r="J27" s="206">
        <v>0</v>
      </c>
      <c r="K27" s="203" t="s">
        <v>141</v>
      </c>
      <c r="L27" s="207" t="s">
        <v>49</v>
      </c>
      <c r="M27" s="206">
        <v>0</v>
      </c>
      <c r="N27" s="206">
        <v>0</v>
      </c>
      <c r="O27" s="206">
        <v>1</v>
      </c>
      <c r="P27" s="203" t="s">
        <v>96</v>
      </c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206" t="s">
        <v>97</v>
      </c>
      <c r="AD27" s="199"/>
      <c r="AE27" s="199"/>
      <c r="AF27" s="199"/>
      <c r="AG27" s="199"/>
      <c r="AH27" s="199"/>
      <c r="AI27" s="199"/>
      <c r="AJ27" s="199"/>
    </row>
    <row r="28" spans="1:36" x14ac:dyDescent="0.3">
      <c r="A28" s="201" t="s">
        <v>147</v>
      </c>
      <c r="B28" s="202">
        <v>46075</v>
      </c>
      <c r="C28" s="203" t="s">
        <v>188</v>
      </c>
      <c r="D28" s="204" t="s">
        <v>211</v>
      </c>
      <c r="E28" s="203" t="s">
        <v>186</v>
      </c>
      <c r="F28" s="203" t="s">
        <v>140</v>
      </c>
      <c r="G28" s="205">
        <v>4.1700000000000001E-2</v>
      </c>
      <c r="H28" s="206">
        <v>168</v>
      </c>
      <c r="I28" s="206">
        <v>7</v>
      </c>
      <c r="J28" s="206">
        <v>0</v>
      </c>
      <c r="K28" s="203" t="s">
        <v>141</v>
      </c>
      <c r="L28" s="207" t="s">
        <v>49</v>
      </c>
      <c r="M28" s="206">
        <v>0</v>
      </c>
      <c r="N28" s="206">
        <v>0</v>
      </c>
      <c r="O28" s="206">
        <v>7</v>
      </c>
      <c r="P28" s="203" t="s">
        <v>96</v>
      </c>
      <c r="Q28" s="199"/>
      <c r="R28" s="199"/>
      <c r="S28" s="199"/>
      <c r="T28" s="199"/>
      <c r="U28" s="199"/>
      <c r="V28" s="199"/>
      <c r="W28" s="199"/>
      <c r="X28" s="199"/>
      <c r="Y28" s="199"/>
      <c r="Z28" s="206" t="s">
        <v>218</v>
      </c>
      <c r="AA28" s="199"/>
      <c r="AB28" s="199"/>
      <c r="AC28" s="206" t="s">
        <v>209</v>
      </c>
      <c r="AD28" s="199"/>
      <c r="AE28" s="199"/>
      <c r="AF28" s="199"/>
      <c r="AG28" s="199"/>
      <c r="AH28" s="199"/>
      <c r="AI28" s="199"/>
      <c r="AJ28" s="199"/>
    </row>
    <row r="29" spans="1:36" x14ac:dyDescent="0.3">
      <c r="A29" s="201" t="s">
        <v>153</v>
      </c>
      <c r="B29" s="202">
        <v>46077</v>
      </c>
      <c r="C29" s="203" t="s">
        <v>188</v>
      </c>
      <c r="D29" s="204" t="s">
        <v>212</v>
      </c>
      <c r="E29" s="203" t="s">
        <v>186</v>
      </c>
      <c r="F29" s="203" t="s">
        <v>140</v>
      </c>
      <c r="G29" s="205">
        <v>0</v>
      </c>
      <c r="H29" s="206">
        <v>168</v>
      </c>
      <c r="I29" s="206">
        <v>0</v>
      </c>
      <c r="J29" s="206">
        <v>0</v>
      </c>
      <c r="K29" s="203" t="s">
        <v>141</v>
      </c>
      <c r="L29" s="207" t="s">
        <v>73</v>
      </c>
      <c r="M29" s="206">
        <v>0</v>
      </c>
      <c r="N29" s="206">
        <v>0</v>
      </c>
      <c r="O29" s="206">
        <v>0</v>
      </c>
      <c r="P29" s="203" t="s">
        <v>96</v>
      </c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199"/>
      <c r="AJ29" s="199"/>
    </row>
    <row r="30" spans="1:36" x14ac:dyDescent="0.3">
      <c r="A30" s="201" t="s">
        <v>213</v>
      </c>
      <c r="B30" s="202">
        <v>46078</v>
      </c>
      <c r="C30" s="203" t="s">
        <v>188</v>
      </c>
      <c r="D30" s="204" t="s">
        <v>214</v>
      </c>
      <c r="E30" s="203" t="s">
        <v>186</v>
      </c>
      <c r="F30" s="203" t="s">
        <v>140</v>
      </c>
      <c r="G30" s="205">
        <v>0</v>
      </c>
      <c r="H30" s="206">
        <v>168</v>
      </c>
      <c r="I30" s="206">
        <v>0</v>
      </c>
      <c r="J30" s="206">
        <v>0</v>
      </c>
      <c r="K30" s="203" t="s">
        <v>141</v>
      </c>
      <c r="L30" s="207" t="s">
        <v>73</v>
      </c>
      <c r="M30" s="206">
        <v>0</v>
      </c>
      <c r="N30" s="206">
        <v>0</v>
      </c>
      <c r="O30" s="206">
        <v>0</v>
      </c>
      <c r="P30" s="203" t="s">
        <v>96</v>
      </c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</row>
    <row r="31" spans="1:36" x14ac:dyDescent="0.3">
      <c r="A31" s="201" t="s">
        <v>163</v>
      </c>
      <c r="B31" s="202">
        <v>46079</v>
      </c>
      <c r="C31" s="203" t="s">
        <v>188</v>
      </c>
      <c r="D31" s="204" t="s">
        <v>219</v>
      </c>
      <c r="E31" s="203" t="s">
        <v>186</v>
      </c>
      <c r="F31" s="203" t="s">
        <v>140</v>
      </c>
      <c r="G31" s="205">
        <v>0</v>
      </c>
      <c r="H31" s="206">
        <v>168</v>
      </c>
      <c r="I31" s="206">
        <v>0</v>
      </c>
      <c r="J31" s="206">
        <v>0</v>
      </c>
      <c r="K31" s="203" t="s">
        <v>141</v>
      </c>
      <c r="L31" s="207" t="s">
        <v>73</v>
      </c>
      <c r="M31" s="206">
        <v>0</v>
      </c>
      <c r="N31" s="206">
        <v>0</v>
      </c>
      <c r="O31" s="206">
        <v>0</v>
      </c>
      <c r="P31" s="203" t="s">
        <v>96</v>
      </c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</row>
    <row r="32" spans="1:36" x14ac:dyDescent="0.3">
      <c r="A32" s="201" t="s">
        <v>147</v>
      </c>
      <c r="B32" s="202">
        <v>46082</v>
      </c>
      <c r="C32" s="203" t="s">
        <v>188</v>
      </c>
      <c r="D32" s="204" t="s">
        <v>211</v>
      </c>
      <c r="E32" s="203" t="s">
        <v>186</v>
      </c>
      <c r="F32" s="203" t="s">
        <v>140</v>
      </c>
      <c r="G32" s="205">
        <v>7.1400000000000005E-2</v>
      </c>
      <c r="H32" s="206">
        <v>168</v>
      </c>
      <c r="I32" s="206">
        <v>12</v>
      </c>
      <c r="J32" s="206">
        <v>0</v>
      </c>
      <c r="K32" s="203" t="s">
        <v>141</v>
      </c>
      <c r="L32" s="207" t="s">
        <v>51</v>
      </c>
      <c r="M32" s="206">
        <v>0</v>
      </c>
      <c r="N32" s="206">
        <v>0</v>
      </c>
      <c r="O32" s="206">
        <v>12</v>
      </c>
      <c r="P32" s="203" t="s">
        <v>209</v>
      </c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206" t="s">
        <v>210</v>
      </c>
      <c r="AD32" s="199"/>
      <c r="AE32" s="199"/>
      <c r="AF32" s="199"/>
      <c r="AG32" s="199"/>
      <c r="AH32" s="199"/>
      <c r="AI32" s="199"/>
      <c r="AJ32" s="199"/>
    </row>
    <row r="33" spans="1:36" ht="21" x14ac:dyDescent="0.3">
      <c r="A33" s="208" t="s">
        <v>251</v>
      </c>
      <c r="B33" s="209"/>
      <c r="C33" s="208">
        <f>SUBTOTAL(103,MED_HBE_LF_LEGACY[Flt])</f>
        <v>31</v>
      </c>
      <c r="D33" s="208"/>
      <c r="E33" s="208">
        <f>SUBTOTAL(103,MED_HBE_LF_LEGACY[Brd-Off])</f>
        <v>31</v>
      </c>
      <c r="F33" s="208"/>
      <c r="G33" s="210">
        <f>SUBTOTAL(101,MED_HBE_LF_LEGACY[LF%])</f>
        <v>0.6013354838709678</v>
      </c>
      <c r="H33" s="211">
        <f>SUBTOTAL(109,MED_HBE_LF_LEGACY[CAP])</f>
        <v>5241</v>
      </c>
      <c r="I33" s="211">
        <f>SUBTOTAL(109,MED_HBE_LF_LEGACY[BKG(Y)])</f>
        <v>3161</v>
      </c>
      <c r="J33" s="211">
        <f>SUBTOTAL(109,MED_HBE_LF_LEGACY[GRP(Y)])</f>
        <v>3040</v>
      </c>
      <c r="K33" s="208"/>
      <c r="L33" s="209"/>
      <c r="M33" s="211">
        <f>SUBTOTAL(109,MED_HBE_LF_LEGACY[TO-DAY])</f>
        <v>3</v>
      </c>
      <c r="N33" s="211">
        <f>SUBTOTAL(109,MED_HBE_LF_LEGACY[Y-DAY])</f>
        <v>0</v>
      </c>
      <c r="O33" s="211">
        <f>SUBTOTAL(109,MED_HBE_LF_LEGACY[WEEKLY])</f>
        <v>161</v>
      </c>
      <c r="P33" s="212"/>
      <c r="Q33" s="211">
        <f>SUBTOTAL(109,MED_HBE_LF_LEGACY[Y])</f>
        <v>0</v>
      </c>
      <c r="R33" s="211">
        <f>SUBTOTAL(109,MED_HBE_LF_LEGACY[B])</f>
        <v>0</v>
      </c>
      <c r="S33" s="211">
        <f>SUBTOTAL(109,MED_HBE_LF_LEGACY[M])</f>
        <v>0</v>
      </c>
      <c r="T33" s="211">
        <f>SUBTOTAL(109,MED_HBE_LF_LEGACY[H])</f>
        <v>0</v>
      </c>
      <c r="U33" s="211">
        <f>SUBTOTAL(109,MED_HBE_LF_LEGACY[Q])</f>
        <v>0</v>
      </c>
      <c r="V33" s="211">
        <f>SUBTOTAL(109,MED_HBE_LF_LEGACY[K])</f>
        <v>0</v>
      </c>
      <c r="W33" s="211">
        <f>SUBTOTAL(109,MED_HBE_LF_LEGACY[V])</f>
        <v>0</v>
      </c>
      <c r="X33" s="211">
        <f>SUBTOTAL(109,MED_HBE_LF_LEGACY[L])</f>
        <v>0</v>
      </c>
      <c r="Y33" s="211">
        <f>SUBTOTAL(109,MED_HBE_LF_LEGACY[G])</f>
        <v>0</v>
      </c>
      <c r="Z33" s="211">
        <f>SUBTOTAL(109,MED_HBE_LF_LEGACY[S])</f>
        <v>0</v>
      </c>
      <c r="AA33" s="211">
        <f>SUBTOTAL(109,MED_HBE_LF_LEGACY[W])</f>
        <v>0</v>
      </c>
      <c r="AB33" s="211">
        <f>SUBTOTAL(109,MED_HBE_LF_LEGACY[T])</f>
        <v>0</v>
      </c>
      <c r="AC33" s="211">
        <f>SUBTOTAL(109,MED_HBE_LF_LEGACY[X])</f>
        <v>0</v>
      </c>
      <c r="AD33" s="211">
        <f>SUBTOTAL(109,MED_HBE_LF_LEGACY[U])</f>
        <v>0</v>
      </c>
      <c r="AE33" s="211">
        <f>SUBTOTAL(109,MED_HBE_LF_LEGACY[O])</f>
        <v>0</v>
      </c>
      <c r="AF33" s="211">
        <f>SUBTOTAL(109,MED_HBE_LF_LEGACY[I])</f>
        <v>0</v>
      </c>
      <c r="AG33" s="211">
        <f>SUBTOTAL(109,MED_HBE_LF_LEGACY[E])</f>
        <v>0</v>
      </c>
      <c r="AH33" s="211">
        <f>SUBTOTAL(109,MED_HBE_LF_LEGACY[A])</f>
        <v>0</v>
      </c>
      <c r="AI33" s="211">
        <f>SUBTOTAL(109,MED_HBE_LF_LEGACY[P])</f>
        <v>0</v>
      </c>
      <c r="AJ33" s="211">
        <f>SUBTOTAL(103,MED_HBE_LF_LEGACY[N])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120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441406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7.6640625" bestFit="1" customWidth="1"/>
  </cols>
  <sheetData>
    <row r="1" spans="1:92" ht="28.8" customHeight="1" x14ac:dyDescent="0.3">
      <c r="A1" s="186" t="s">
        <v>0</v>
      </c>
      <c r="B1" s="185"/>
      <c r="C1" s="185"/>
      <c r="D1" s="185"/>
      <c r="E1" s="185"/>
      <c r="F1" s="1" t="s">
        <v>220</v>
      </c>
      <c r="G1" s="2" t="s">
        <v>2</v>
      </c>
      <c r="H1" s="184" t="s">
        <v>187</v>
      </c>
      <c r="I1" s="185"/>
      <c r="J1" s="185"/>
      <c r="K1" s="185"/>
      <c r="L1" s="185"/>
      <c r="M1" s="1" t="s">
        <v>4</v>
      </c>
      <c r="N1" s="194" t="s">
        <v>221</v>
      </c>
      <c r="O1" s="185"/>
      <c r="P1" s="185"/>
      <c r="Q1" s="185"/>
      <c r="R1" s="18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2" t="s">
        <v>6</v>
      </c>
      <c r="B2" s="185"/>
      <c r="C2" s="185"/>
      <c r="D2" s="185"/>
      <c r="E2" s="185"/>
      <c r="F2" s="185"/>
      <c r="G2" s="193">
        <v>45984.126463485693</v>
      </c>
      <c r="H2" s="185"/>
      <c r="I2" s="185"/>
      <c r="J2" s="185"/>
      <c r="K2" s="195">
        <v>45984.126463486173</v>
      </c>
      <c r="L2" s="185"/>
      <c r="M2" s="185"/>
      <c r="N2" s="185"/>
      <c r="O2" s="185"/>
      <c r="P2" s="185"/>
      <c r="Q2" s="185"/>
      <c r="R2" s="18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7" t="s">
        <v>7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98" t="s">
        <v>8</v>
      </c>
      <c r="B4" s="189"/>
      <c r="C4" s="189"/>
      <c r="D4" s="189"/>
      <c r="E4" s="189"/>
      <c r="F4" s="190"/>
      <c r="G4" s="4">
        <v>46018</v>
      </c>
      <c r="H4" s="196" t="s">
        <v>9</v>
      </c>
      <c r="I4" s="189"/>
      <c r="J4" s="189"/>
      <c r="K4" s="189"/>
      <c r="L4" s="189"/>
      <c r="M4" s="189"/>
      <c r="N4" s="189"/>
      <c r="O4" s="189"/>
      <c r="P4" s="189"/>
      <c r="Q4" s="189"/>
      <c r="R4" s="19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26" t="s">
        <v>28</v>
      </c>
      <c r="B6" s="26" t="s">
        <v>222</v>
      </c>
      <c r="C6" s="27">
        <v>0.95486111111111116</v>
      </c>
      <c r="D6" s="26" t="s">
        <v>30</v>
      </c>
      <c r="E6" s="28"/>
      <c r="F6" s="26" t="s">
        <v>62</v>
      </c>
      <c r="G6" s="187"/>
      <c r="H6" s="29" t="s">
        <v>222</v>
      </c>
      <c r="I6" s="131">
        <v>3.5700000000000003E-2</v>
      </c>
      <c r="J6" s="31">
        <v>6</v>
      </c>
      <c r="K6" s="32" t="s">
        <v>36</v>
      </c>
      <c r="L6" s="31">
        <v>3</v>
      </c>
      <c r="M6" s="31">
        <v>0</v>
      </c>
      <c r="N6" s="31">
        <v>3</v>
      </c>
      <c r="O6" s="33" t="s">
        <v>223</v>
      </c>
      <c r="P6" s="34">
        <v>0.95486111111111116</v>
      </c>
      <c r="Q6" s="31">
        <v>168</v>
      </c>
      <c r="R6" s="35" t="s">
        <v>159</v>
      </c>
    </row>
    <row r="7" spans="1:92" ht="17.399999999999999" customHeight="1" thickBot="1" x14ac:dyDescent="0.35">
      <c r="A7" s="213"/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5"/>
    </row>
    <row r="8" spans="1:92" ht="22.05" customHeight="1" thickTop="1" thickBot="1" x14ac:dyDescent="0.35">
      <c r="A8" s="191" t="s">
        <v>8</v>
      </c>
      <c r="B8" s="189"/>
      <c r="C8" s="189"/>
      <c r="D8" s="189"/>
      <c r="E8" s="189"/>
      <c r="F8" s="190"/>
      <c r="G8" s="18">
        <v>46020</v>
      </c>
      <c r="H8" s="188" t="s">
        <v>9</v>
      </c>
      <c r="I8" s="189"/>
      <c r="J8" s="189"/>
      <c r="K8" s="189"/>
      <c r="L8" s="189"/>
      <c r="M8" s="189"/>
      <c r="N8" s="189"/>
      <c r="O8" s="189"/>
      <c r="P8" s="189"/>
      <c r="Q8" s="189"/>
      <c r="R8" s="190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121" t="s">
        <v>28</v>
      </c>
      <c r="B10" s="121" t="s">
        <v>222</v>
      </c>
      <c r="C10" s="122">
        <v>0.80555555555555547</v>
      </c>
      <c r="D10" s="121" t="s">
        <v>30</v>
      </c>
      <c r="E10" s="123"/>
      <c r="F10" s="121" t="s">
        <v>31</v>
      </c>
      <c r="G10" s="179"/>
      <c r="H10" s="124" t="s">
        <v>222</v>
      </c>
      <c r="I10" s="125">
        <v>1.7899999999999999E-2</v>
      </c>
      <c r="J10" s="126">
        <v>3</v>
      </c>
      <c r="K10" s="127" t="s">
        <v>32</v>
      </c>
      <c r="L10" s="126">
        <v>2</v>
      </c>
      <c r="M10" s="126">
        <v>0</v>
      </c>
      <c r="N10" s="126">
        <v>0</v>
      </c>
      <c r="O10" s="128" t="s">
        <v>33</v>
      </c>
      <c r="P10" s="129">
        <v>0.80555555555555547</v>
      </c>
      <c r="Q10" s="126">
        <v>168</v>
      </c>
      <c r="R10" s="130" t="s">
        <v>224</v>
      </c>
    </row>
    <row r="11" spans="1:92" ht="17.399999999999999" customHeight="1" thickBot="1" x14ac:dyDescent="0.35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5"/>
    </row>
    <row r="12" spans="1:92" ht="22.05" customHeight="1" thickTop="1" thickBot="1" x14ac:dyDescent="0.35">
      <c r="A12" s="191" t="s">
        <v>8</v>
      </c>
      <c r="B12" s="189"/>
      <c r="C12" s="189"/>
      <c r="D12" s="189"/>
      <c r="E12" s="189"/>
      <c r="F12" s="190"/>
      <c r="G12" s="18">
        <v>46021</v>
      </c>
      <c r="H12" s="188" t="s">
        <v>9</v>
      </c>
      <c r="I12" s="189"/>
      <c r="J12" s="189"/>
      <c r="K12" s="189"/>
      <c r="L12" s="189"/>
      <c r="M12" s="189"/>
      <c r="N12" s="189"/>
      <c r="O12" s="189"/>
      <c r="P12" s="189"/>
      <c r="Q12" s="189"/>
      <c r="R12" s="190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26" t="s">
        <v>28</v>
      </c>
      <c r="B14" s="26" t="s">
        <v>222</v>
      </c>
      <c r="C14" s="27">
        <v>0.27777777777777779</v>
      </c>
      <c r="D14" s="26" t="s">
        <v>30</v>
      </c>
      <c r="E14" s="28"/>
      <c r="F14" s="26" t="s">
        <v>62</v>
      </c>
      <c r="G14" s="179"/>
      <c r="H14" s="29" t="s">
        <v>222</v>
      </c>
      <c r="I14" s="131">
        <v>2.98E-2</v>
      </c>
      <c r="J14" s="31">
        <v>5</v>
      </c>
      <c r="K14" s="32" t="s">
        <v>42</v>
      </c>
      <c r="L14" s="31">
        <v>3</v>
      </c>
      <c r="M14" s="31">
        <v>0</v>
      </c>
      <c r="N14" s="31">
        <v>0</v>
      </c>
      <c r="O14" s="33" t="s">
        <v>225</v>
      </c>
      <c r="P14" s="34">
        <v>0.27777777777777779</v>
      </c>
      <c r="Q14" s="31">
        <v>168</v>
      </c>
      <c r="R14" s="35" t="s">
        <v>226</v>
      </c>
    </row>
    <row r="15" spans="1:92" ht="17.399999999999999" customHeight="1" thickBot="1" x14ac:dyDescent="0.35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5"/>
    </row>
    <row r="16" spans="1:92" ht="22.05" customHeight="1" thickTop="1" thickBot="1" x14ac:dyDescent="0.35">
      <c r="A16" s="191" t="s">
        <v>8</v>
      </c>
      <c r="B16" s="189"/>
      <c r="C16" s="189"/>
      <c r="D16" s="189"/>
      <c r="E16" s="189"/>
      <c r="F16" s="190"/>
      <c r="G16" s="18">
        <v>46025</v>
      </c>
      <c r="H16" s="188" t="s">
        <v>9</v>
      </c>
      <c r="I16" s="189"/>
      <c r="J16" s="189"/>
      <c r="K16" s="189"/>
      <c r="L16" s="189"/>
      <c r="M16" s="189"/>
      <c r="N16" s="189"/>
      <c r="O16" s="189"/>
      <c r="P16" s="189"/>
      <c r="Q16" s="189"/>
      <c r="R16" s="190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63" t="s">
        <v>28</v>
      </c>
      <c r="B18" s="63" t="s">
        <v>222</v>
      </c>
      <c r="C18" s="64">
        <v>0.95486111111111116</v>
      </c>
      <c r="D18" s="63" t="s">
        <v>30</v>
      </c>
      <c r="E18" s="65"/>
      <c r="F18" s="63" t="s">
        <v>62</v>
      </c>
      <c r="G18" s="179"/>
      <c r="H18" s="46" t="s">
        <v>222</v>
      </c>
      <c r="I18" s="112">
        <v>4.7600000000000003E-2</v>
      </c>
      <c r="J18" s="48">
        <v>8</v>
      </c>
      <c r="K18" s="49" t="s">
        <v>44</v>
      </c>
      <c r="L18" s="48">
        <v>8</v>
      </c>
      <c r="M18" s="48">
        <v>0</v>
      </c>
      <c r="N18" s="48">
        <v>0</v>
      </c>
      <c r="O18" s="50" t="s">
        <v>226</v>
      </c>
      <c r="P18" s="51">
        <v>0.95486111111111116</v>
      </c>
      <c r="Q18" s="48">
        <v>168</v>
      </c>
      <c r="R18" s="52" t="s">
        <v>227</v>
      </c>
    </row>
    <row r="19" spans="1:18" ht="17.399999999999999" customHeight="1" thickBot="1" x14ac:dyDescent="0.35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5"/>
    </row>
    <row r="20" spans="1:18" ht="22.05" customHeight="1" thickTop="1" thickBot="1" x14ac:dyDescent="0.35">
      <c r="A20" s="191" t="s">
        <v>8</v>
      </c>
      <c r="B20" s="189"/>
      <c r="C20" s="189"/>
      <c r="D20" s="189"/>
      <c r="E20" s="189"/>
      <c r="F20" s="190"/>
      <c r="G20" s="18">
        <v>46027</v>
      </c>
      <c r="H20" s="188" t="s">
        <v>9</v>
      </c>
      <c r="I20" s="189"/>
      <c r="J20" s="189"/>
      <c r="K20" s="189"/>
      <c r="L20" s="189"/>
      <c r="M20" s="189"/>
      <c r="N20" s="189"/>
      <c r="O20" s="189"/>
      <c r="P20" s="189"/>
      <c r="Q20" s="189"/>
      <c r="R20" s="190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76" t="s">
        <v>28</v>
      </c>
      <c r="B22" s="76" t="s">
        <v>222</v>
      </c>
      <c r="C22" s="77">
        <v>0.80555555555555547</v>
      </c>
      <c r="D22" s="76" t="s">
        <v>30</v>
      </c>
      <c r="E22" s="78"/>
      <c r="F22" s="76" t="s">
        <v>31</v>
      </c>
      <c r="G22" s="179"/>
      <c r="H22" s="154" t="s">
        <v>222</v>
      </c>
      <c r="I22" s="178">
        <v>1.0713999999999999</v>
      </c>
      <c r="J22" s="156">
        <v>180</v>
      </c>
      <c r="K22" s="157" t="s">
        <v>195</v>
      </c>
      <c r="L22" s="156">
        <v>3</v>
      </c>
      <c r="M22" s="156">
        <v>0</v>
      </c>
      <c r="N22" s="156">
        <v>0</v>
      </c>
      <c r="O22" s="158" t="s">
        <v>33</v>
      </c>
      <c r="P22" s="159">
        <v>0.80555555555555547</v>
      </c>
      <c r="Q22" s="156">
        <v>168</v>
      </c>
      <c r="R22" s="160" t="s">
        <v>55</v>
      </c>
    </row>
    <row r="23" spans="1:18" ht="17.399999999999999" customHeight="1" thickBot="1" x14ac:dyDescent="0.35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5"/>
    </row>
    <row r="24" spans="1:18" ht="22.05" customHeight="1" thickTop="1" thickBot="1" x14ac:dyDescent="0.35">
      <c r="A24" s="191" t="s">
        <v>8</v>
      </c>
      <c r="B24" s="189"/>
      <c r="C24" s="189"/>
      <c r="D24" s="189"/>
      <c r="E24" s="189"/>
      <c r="F24" s="190"/>
      <c r="G24" s="18">
        <v>46028</v>
      </c>
      <c r="H24" s="188" t="s">
        <v>9</v>
      </c>
      <c r="I24" s="189"/>
      <c r="J24" s="189"/>
      <c r="K24" s="189"/>
      <c r="L24" s="189"/>
      <c r="M24" s="189"/>
      <c r="N24" s="189"/>
      <c r="O24" s="189"/>
      <c r="P24" s="189"/>
      <c r="Q24" s="189"/>
      <c r="R24" s="190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35">
      <c r="A26" s="76" t="s">
        <v>28</v>
      </c>
      <c r="B26" s="76" t="s">
        <v>222</v>
      </c>
      <c r="C26" s="77">
        <v>0.27777777777777779</v>
      </c>
      <c r="D26" s="76" t="s">
        <v>30</v>
      </c>
      <c r="E26" s="78"/>
      <c r="F26" s="76" t="s">
        <v>62</v>
      </c>
      <c r="G26" s="179"/>
      <c r="H26" s="154" t="s">
        <v>222</v>
      </c>
      <c r="I26" s="155">
        <v>0.29170000000000001</v>
      </c>
      <c r="J26" s="156">
        <v>49</v>
      </c>
      <c r="K26" s="157" t="s">
        <v>44</v>
      </c>
      <c r="L26" s="156">
        <v>5</v>
      </c>
      <c r="M26" s="156">
        <v>0</v>
      </c>
      <c r="N26" s="156">
        <v>0</v>
      </c>
      <c r="O26" s="158" t="s">
        <v>228</v>
      </c>
      <c r="P26" s="159">
        <v>0.27777777777777779</v>
      </c>
      <c r="Q26" s="156">
        <v>168</v>
      </c>
      <c r="R26" s="160" t="s">
        <v>229</v>
      </c>
    </row>
    <row r="27" spans="1:18" ht="17.399999999999999" customHeight="1" thickBot="1" x14ac:dyDescent="0.35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5"/>
    </row>
    <row r="28" spans="1:18" ht="22.05" customHeight="1" thickTop="1" thickBot="1" x14ac:dyDescent="0.35">
      <c r="A28" s="191" t="s">
        <v>8</v>
      </c>
      <c r="B28" s="189"/>
      <c r="C28" s="189"/>
      <c r="D28" s="189"/>
      <c r="E28" s="189"/>
      <c r="F28" s="190"/>
      <c r="G28" s="18">
        <v>46029</v>
      </c>
      <c r="H28" s="188" t="s">
        <v>9</v>
      </c>
      <c r="I28" s="189"/>
      <c r="J28" s="189"/>
      <c r="K28" s="189"/>
      <c r="L28" s="189"/>
      <c r="M28" s="189"/>
      <c r="N28" s="189"/>
      <c r="O28" s="189"/>
      <c r="P28" s="189"/>
      <c r="Q28" s="189"/>
      <c r="R28" s="190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26" t="s">
        <v>28</v>
      </c>
      <c r="B30" s="26" t="s">
        <v>230</v>
      </c>
      <c r="C30" s="27">
        <v>0.61805555555555558</v>
      </c>
      <c r="D30" s="26" t="s">
        <v>30</v>
      </c>
      <c r="E30" s="28"/>
      <c r="F30" s="26" t="s">
        <v>56</v>
      </c>
      <c r="G30" s="179"/>
      <c r="H30" s="29" t="s">
        <v>230</v>
      </c>
      <c r="I30" s="175">
        <v>0.69640000000000002</v>
      </c>
      <c r="J30" s="31">
        <v>117</v>
      </c>
      <c r="K30" s="32" t="s">
        <v>53</v>
      </c>
      <c r="L30" s="31">
        <v>4</v>
      </c>
      <c r="M30" s="31">
        <v>0</v>
      </c>
      <c r="N30" s="31">
        <v>0</v>
      </c>
      <c r="O30" s="33" t="s">
        <v>231</v>
      </c>
      <c r="P30" s="34">
        <v>0.61805555555555558</v>
      </c>
      <c r="Q30" s="31">
        <v>168</v>
      </c>
      <c r="R30" s="35" t="s">
        <v>232</v>
      </c>
    </row>
    <row r="31" spans="1:18" ht="17.399999999999999" customHeight="1" thickBot="1" x14ac:dyDescent="0.35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5"/>
    </row>
    <row r="32" spans="1:18" ht="22.05" customHeight="1" thickTop="1" thickBot="1" x14ac:dyDescent="0.35">
      <c r="A32" s="191" t="s">
        <v>8</v>
      </c>
      <c r="B32" s="189"/>
      <c r="C32" s="189"/>
      <c r="D32" s="189"/>
      <c r="E32" s="189"/>
      <c r="F32" s="190"/>
      <c r="G32" s="18">
        <v>46032</v>
      </c>
      <c r="H32" s="188" t="s">
        <v>9</v>
      </c>
      <c r="I32" s="189"/>
      <c r="J32" s="189"/>
      <c r="K32" s="189"/>
      <c r="L32" s="189"/>
      <c r="M32" s="189"/>
      <c r="N32" s="189"/>
      <c r="O32" s="189"/>
      <c r="P32" s="189"/>
      <c r="Q32" s="189"/>
      <c r="R32" s="190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53" t="s">
        <v>28</v>
      </c>
      <c r="B34" s="53" t="s">
        <v>222</v>
      </c>
      <c r="C34" s="54">
        <v>0.95486111111111116</v>
      </c>
      <c r="D34" s="53" t="s">
        <v>30</v>
      </c>
      <c r="E34" s="55"/>
      <c r="F34" s="53" t="s">
        <v>62</v>
      </c>
      <c r="G34" s="179"/>
      <c r="H34" s="56" t="s">
        <v>222</v>
      </c>
      <c r="I34" s="143">
        <v>2.3800000000000002E-2</v>
      </c>
      <c r="J34" s="58">
        <v>4</v>
      </c>
      <c r="K34" s="59" t="s">
        <v>49</v>
      </c>
      <c r="L34" s="58">
        <v>4</v>
      </c>
      <c r="M34" s="58">
        <v>0</v>
      </c>
      <c r="N34" s="58">
        <v>0</v>
      </c>
      <c r="O34" s="60" t="s">
        <v>159</v>
      </c>
      <c r="P34" s="61">
        <v>0.95486111111111116</v>
      </c>
      <c r="Q34" s="58">
        <v>168</v>
      </c>
      <c r="R34" s="62" t="s">
        <v>233</v>
      </c>
    </row>
    <row r="35" spans="1:18" ht="17.399999999999999" customHeight="1" thickBot="1" x14ac:dyDescent="0.35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5"/>
    </row>
    <row r="36" spans="1:18" ht="22.05" customHeight="1" thickTop="1" thickBot="1" x14ac:dyDescent="0.35">
      <c r="A36" s="191" t="s">
        <v>8</v>
      </c>
      <c r="B36" s="189"/>
      <c r="C36" s="189"/>
      <c r="D36" s="189"/>
      <c r="E36" s="189"/>
      <c r="F36" s="190"/>
      <c r="G36" s="18">
        <v>46034</v>
      </c>
      <c r="H36" s="188" t="s">
        <v>9</v>
      </c>
      <c r="I36" s="189"/>
      <c r="J36" s="189"/>
      <c r="K36" s="189"/>
      <c r="L36" s="189"/>
      <c r="M36" s="189"/>
      <c r="N36" s="189"/>
      <c r="O36" s="189"/>
      <c r="P36" s="189"/>
      <c r="Q36" s="189"/>
      <c r="R36" s="190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76" t="s">
        <v>28</v>
      </c>
      <c r="B38" s="76" t="s">
        <v>222</v>
      </c>
      <c r="C38" s="77">
        <v>0.80555555555555547</v>
      </c>
      <c r="D38" s="76" t="s">
        <v>30</v>
      </c>
      <c r="E38" s="78"/>
      <c r="F38" s="76" t="s">
        <v>56</v>
      </c>
      <c r="G38" s="179"/>
      <c r="H38" s="154" t="s">
        <v>222</v>
      </c>
      <c r="I38" s="155">
        <v>0.53569999999999995</v>
      </c>
      <c r="J38" s="156">
        <v>90</v>
      </c>
      <c r="K38" s="157" t="s">
        <v>70</v>
      </c>
      <c r="L38" s="156">
        <v>2</v>
      </c>
      <c r="M38" s="156">
        <v>0</v>
      </c>
      <c r="N38" s="156">
        <v>0</v>
      </c>
      <c r="O38" s="158" t="s">
        <v>231</v>
      </c>
      <c r="P38" s="159">
        <v>0.80555555555555547</v>
      </c>
      <c r="Q38" s="156">
        <v>168</v>
      </c>
      <c r="R38" s="160" t="s">
        <v>152</v>
      </c>
    </row>
    <row r="39" spans="1:18" ht="17.399999999999999" customHeight="1" thickBot="1" x14ac:dyDescent="0.35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5"/>
    </row>
    <row r="40" spans="1:18" ht="22.05" customHeight="1" thickTop="1" thickBot="1" x14ac:dyDescent="0.35">
      <c r="A40" s="191" t="s">
        <v>8</v>
      </c>
      <c r="B40" s="189"/>
      <c r="C40" s="189"/>
      <c r="D40" s="189"/>
      <c r="E40" s="189"/>
      <c r="F40" s="190"/>
      <c r="G40" s="18">
        <v>46036</v>
      </c>
      <c r="H40" s="188" t="s">
        <v>9</v>
      </c>
      <c r="I40" s="189"/>
      <c r="J40" s="189"/>
      <c r="K40" s="189"/>
      <c r="L40" s="189"/>
      <c r="M40" s="189"/>
      <c r="N40" s="189"/>
      <c r="O40" s="189"/>
      <c r="P40" s="189"/>
      <c r="Q40" s="189"/>
      <c r="R40" s="190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8" t="s">
        <v>28</v>
      </c>
      <c r="B42" s="8" t="s">
        <v>230</v>
      </c>
      <c r="C42" s="9">
        <v>0.61805555555555558</v>
      </c>
      <c r="D42" s="8" t="s">
        <v>30</v>
      </c>
      <c r="E42" s="10"/>
      <c r="F42" s="8" t="s">
        <v>56</v>
      </c>
      <c r="G42" s="179"/>
      <c r="H42" s="11" t="s">
        <v>230</v>
      </c>
      <c r="I42" s="142">
        <v>0.54759999999999998</v>
      </c>
      <c r="J42" s="13">
        <v>92</v>
      </c>
      <c r="K42" s="14" t="s">
        <v>94</v>
      </c>
      <c r="L42" s="13">
        <v>4</v>
      </c>
      <c r="M42" s="13">
        <v>0</v>
      </c>
      <c r="N42" s="13">
        <v>0</v>
      </c>
      <c r="O42" s="15" t="s">
        <v>228</v>
      </c>
      <c r="P42" s="16">
        <v>0.61805555555555558</v>
      </c>
      <c r="Q42" s="13">
        <v>168</v>
      </c>
      <c r="R42" s="17" t="s">
        <v>234</v>
      </c>
    </row>
    <row r="43" spans="1:18" ht="17.399999999999999" customHeight="1" thickBot="1" x14ac:dyDescent="0.35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5"/>
    </row>
    <row r="44" spans="1:18" ht="22.05" customHeight="1" thickTop="1" thickBot="1" x14ac:dyDescent="0.35">
      <c r="A44" s="191" t="s">
        <v>8</v>
      </c>
      <c r="B44" s="189"/>
      <c r="C44" s="189"/>
      <c r="D44" s="189"/>
      <c r="E44" s="189"/>
      <c r="F44" s="190"/>
      <c r="G44" s="18">
        <v>46039</v>
      </c>
      <c r="H44" s="188" t="s">
        <v>9</v>
      </c>
      <c r="I44" s="189"/>
      <c r="J44" s="189"/>
      <c r="K44" s="189"/>
      <c r="L44" s="189"/>
      <c r="M44" s="189"/>
      <c r="N44" s="189"/>
      <c r="O44" s="189"/>
      <c r="P44" s="189"/>
      <c r="Q44" s="189"/>
      <c r="R44" s="190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121" t="s">
        <v>28</v>
      </c>
      <c r="B46" s="121" t="s">
        <v>222</v>
      </c>
      <c r="C46" s="122">
        <v>0.95486111111111116</v>
      </c>
      <c r="D46" s="121" t="s">
        <v>30</v>
      </c>
      <c r="E46" s="123"/>
      <c r="F46" s="121" t="s">
        <v>62</v>
      </c>
      <c r="G46" s="179"/>
      <c r="H46" s="124" t="s">
        <v>222</v>
      </c>
      <c r="I46" s="125">
        <v>3.5700000000000003E-2</v>
      </c>
      <c r="J46" s="126">
        <v>6</v>
      </c>
      <c r="K46" s="127" t="s">
        <v>49</v>
      </c>
      <c r="L46" s="126">
        <v>6</v>
      </c>
      <c r="M46" s="126">
        <v>0</v>
      </c>
      <c r="N46" s="126">
        <v>0</v>
      </c>
      <c r="O46" s="128" t="s">
        <v>228</v>
      </c>
      <c r="P46" s="129">
        <v>0.95486111111111116</v>
      </c>
      <c r="Q46" s="126">
        <v>168</v>
      </c>
      <c r="R46" s="130" t="s">
        <v>235</v>
      </c>
    </row>
    <row r="47" spans="1:18" ht="17.399999999999999" customHeight="1" thickBot="1" x14ac:dyDescent="0.35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5"/>
    </row>
    <row r="48" spans="1:18" ht="22.05" customHeight="1" thickTop="1" thickBot="1" x14ac:dyDescent="0.35">
      <c r="A48" s="191" t="s">
        <v>8</v>
      </c>
      <c r="B48" s="189"/>
      <c r="C48" s="189"/>
      <c r="D48" s="189"/>
      <c r="E48" s="189"/>
      <c r="F48" s="190"/>
      <c r="G48" s="18">
        <v>46041</v>
      </c>
      <c r="H48" s="188" t="s">
        <v>9</v>
      </c>
      <c r="I48" s="189"/>
      <c r="J48" s="189"/>
      <c r="K48" s="189"/>
      <c r="L48" s="189"/>
      <c r="M48" s="189"/>
      <c r="N48" s="189"/>
      <c r="O48" s="189"/>
      <c r="P48" s="189"/>
      <c r="Q48" s="189"/>
      <c r="R48" s="190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x14ac:dyDescent="0.3">
      <c r="A50" s="121" t="s">
        <v>28</v>
      </c>
      <c r="B50" s="121" t="s">
        <v>222</v>
      </c>
      <c r="C50" s="122">
        <v>0.80555555555555547</v>
      </c>
      <c r="D50" s="121" t="s">
        <v>30</v>
      </c>
      <c r="E50" s="123"/>
      <c r="F50" s="121" t="s">
        <v>62</v>
      </c>
      <c r="G50" s="179"/>
      <c r="H50" s="124" t="s">
        <v>222</v>
      </c>
      <c r="I50" s="125">
        <v>1.1900000000000001E-2</v>
      </c>
      <c r="J50" s="126">
        <v>2</v>
      </c>
      <c r="K50" s="127" t="s">
        <v>236</v>
      </c>
      <c r="L50" s="126">
        <v>2</v>
      </c>
      <c r="M50" s="126">
        <v>0</v>
      </c>
      <c r="N50" s="126">
        <v>0</v>
      </c>
      <c r="O50" s="128" t="s">
        <v>231</v>
      </c>
      <c r="P50" s="129">
        <v>0.80555555555555547</v>
      </c>
      <c r="Q50" s="126">
        <v>168</v>
      </c>
      <c r="R50" s="130" t="s">
        <v>92</v>
      </c>
    </row>
    <row r="51" spans="1:18" ht="17.399999999999999" customHeight="1" x14ac:dyDescent="0.3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2"/>
    </row>
    <row r="52" spans="1:18" ht="22.05" customHeight="1" x14ac:dyDescent="0.3">
      <c r="A52" s="191" t="s">
        <v>8</v>
      </c>
      <c r="B52" s="189"/>
      <c r="C52" s="189"/>
      <c r="D52" s="189"/>
      <c r="E52" s="189"/>
      <c r="F52" s="190"/>
      <c r="G52" s="18">
        <v>46043</v>
      </c>
      <c r="H52" s="188" t="s">
        <v>9</v>
      </c>
      <c r="I52" s="189"/>
      <c r="J52" s="189"/>
      <c r="K52" s="189"/>
      <c r="L52" s="189"/>
      <c r="M52" s="189"/>
      <c r="N52" s="189"/>
      <c r="O52" s="189"/>
      <c r="P52" s="189"/>
      <c r="Q52" s="189"/>
      <c r="R52" s="190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63" t="s">
        <v>28</v>
      </c>
      <c r="B54" s="63" t="s">
        <v>230</v>
      </c>
      <c r="C54" s="64">
        <v>0.61805555555555558</v>
      </c>
      <c r="D54" s="63" t="s">
        <v>30</v>
      </c>
      <c r="E54" s="65"/>
      <c r="F54" s="63" t="s">
        <v>62</v>
      </c>
      <c r="G54" s="179"/>
      <c r="H54" s="46" t="s">
        <v>230</v>
      </c>
      <c r="I54" s="112">
        <v>2.3800000000000002E-2</v>
      </c>
      <c r="J54" s="48">
        <v>4</v>
      </c>
      <c r="K54" s="49" t="s">
        <v>49</v>
      </c>
      <c r="L54" s="48">
        <v>4</v>
      </c>
      <c r="M54" s="48">
        <v>0</v>
      </c>
      <c r="N54" s="48">
        <v>0</v>
      </c>
      <c r="O54" s="50" t="s">
        <v>159</v>
      </c>
      <c r="P54" s="51">
        <v>0.61805555555555558</v>
      </c>
      <c r="Q54" s="48">
        <v>168</v>
      </c>
      <c r="R54" s="52" t="s">
        <v>237</v>
      </c>
    </row>
    <row r="55" spans="1:18" ht="17.399999999999999" customHeight="1" thickBot="1" x14ac:dyDescent="0.35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5"/>
    </row>
    <row r="56" spans="1:18" ht="22.05" customHeight="1" thickTop="1" thickBot="1" x14ac:dyDescent="0.35">
      <c r="A56" s="191" t="s">
        <v>8</v>
      </c>
      <c r="B56" s="189"/>
      <c r="C56" s="189"/>
      <c r="D56" s="189"/>
      <c r="E56" s="189"/>
      <c r="F56" s="190"/>
      <c r="G56" s="18">
        <v>46046</v>
      </c>
      <c r="H56" s="188" t="s">
        <v>9</v>
      </c>
      <c r="I56" s="189"/>
      <c r="J56" s="189"/>
      <c r="K56" s="189"/>
      <c r="L56" s="189"/>
      <c r="M56" s="189"/>
      <c r="N56" s="189"/>
      <c r="O56" s="189"/>
      <c r="P56" s="189"/>
      <c r="Q56" s="189"/>
      <c r="R56" s="190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35">
      <c r="A58" s="8" t="s">
        <v>28</v>
      </c>
      <c r="B58" s="8" t="s">
        <v>222</v>
      </c>
      <c r="C58" s="9">
        <v>0.95486111111111116</v>
      </c>
      <c r="D58" s="8" t="s">
        <v>30</v>
      </c>
      <c r="E58" s="10"/>
      <c r="F58" s="8" t="s">
        <v>62</v>
      </c>
      <c r="G58" s="179"/>
      <c r="H58" s="11" t="s">
        <v>222</v>
      </c>
      <c r="I58" s="142">
        <v>2.98E-2</v>
      </c>
      <c r="J58" s="13">
        <v>5</v>
      </c>
      <c r="K58" s="14" t="s">
        <v>70</v>
      </c>
      <c r="L58" s="13">
        <v>5</v>
      </c>
      <c r="M58" s="13">
        <v>0</v>
      </c>
      <c r="N58" s="13">
        <v>0</v>
      </c>
      <c r="O58" s="15" t="s">
        <v>238</v>
      </c>
      <c r="P58" s="16">
        <v>0.95486111111111116</v>
      </c>
      <c r="Q58" s="13">
        <v>168</v>
      </c>
      <c r="R58" s="17" t="s">
        <v>239</v>
      </c>
    </row>
    <row r="59" spans="1:18" ht="17.399999999999999" customHeight="1" thickBot="1" x14ac:dyDescent="0.35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5"/>
    </row>
    <row r="60" spans="1:18" ht="22.05" customHeight="1" thickTop="1" thickBot="1" x14ac:dyDescent="0.35">
      <c r="A60" s="191" t="s">
        <v>8</v>
      </c>
      <c r="B60" s="189"/>
      <c r="C60" s="189"/>
      <c r="D60" s="189"/>
      <c r="E60" s="189"/>
      <c r="F60" s="190"/>
      <c r="G60" s="18">
        <v>46048</v>
      </c>
      <c r="H60" s="188" t="s">
        <v>9</v>
      </c>
      <c r="I60" s="189"/>
      <c r="J60" s="189"/>
      <c r="K60" s="189"/>
      <c r="L60" s="189"/>
      <c r="M60" s="189"/>
      <c r="N60" s="189"/>
      <c r="O60" s="189"/>
      <c r="P60" s="189"/>
      <c r="Q60" s="189"/>
      <c r="R60" s="190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26" t="s">
        <v>28</v>
      </c>
      <c r="B62" s="26" t="s">
        <v>222</v>
      </c>
      <c r="C62" s="27">
        <v>0.80555555555555547</v>
      </c>
      <c r="D62" s="26" t="s">
        <v>30</v>
      </c>
      <c r="E62" s="28"/>
      <c r="F62" s="26" t="s">
        <v>62</v>
      </c>
      <c r="G62" s="179"/>
      <c r="H62" s="29" t="s">
        <v>222</v>
      </c>
      <c r="I62" s="131">
        <v>1.7899999999999999E-2</v>
      </c>
      <c r="J62" s="31">
        <v>3</v>
      </c>
      <c r="K62" s="32" t="s">
        <v>64</v>
      </c>
      <c r="L62" s="31">
        <v>3</v>
      </c>
      <c r="M62" s="31">
        <v>0</v>
      </c>
      <c r="N62" s="31">
        <v>0</v>
      </c>
      <c r="O62" s="33" t="s">
        <v>231</v>
      </c>
      <c r="P62" s="34">
        <v>0.80555555555555547</v>
      </c>
      <c r="Q62" s="31">
        <v>168</v>
      </c>
      <c r="R62" s="35" t="s">
        <v>81</v>
      </c>
    </row>
    <row r="63" spans="1:18" ht="17.399999999999999" customHeight="1" thickBot="1" x14ac:dyDescent="0.35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5"/>
    </row>
    <row r="64" spans="1:18" ht="22.05" customHeight="1" thickTop="1" thickBot="1" x14ac:dyDescent="0.35">
      <c r="A64" s="191" t="s">
        <v>8</v>
      </c>
      <c r="B64" s="189"/>
      <c r="C64" s="189"/>
      <c r="D64" s="189"/>
      <c r="E64" s="189"/>
      <c r="F64" s="190"/>
      <c r="G64" s="18">
        <v>46053</v>
      </c>
      <c r="H64" s="188" t="s">
        <v>9</v>
      </c>
      <c r="I64" s="189"/>
      <c r="J64" s="189"/>
      <c r="K64" s="189"/>
      <c r="L64" s="189"/>
      <c r="M64" s="189"/>
      <c r="N64" s="189"/>
      <c r="O64" s="189"/>
      <c r="P64" s="189"/>
      <c r="Q64" s="189"/>
      <c r="R64" s="190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53" t="s">
        <v>28</v>
      </c>
      <c r="B66" s="53" t="s">
        <v>222</v>
      </c>
      <c r="C66" s="54">
        <v>0.95486111111111116</v>
      </c>
      <c r="D66" s="53" t="s">
        <v>30</v>
      </c>
      <c r="E66" s="55"/>
      <c r="F66" s="53" t="s">
        <v>62</v>
      </c>
      <c r="G66" s="179"/>
      <c r="H66" s="56" t="s">
        <v>222</v>
      </c>
      <c r="I66" s="143">
        <v>2.98E-2</v>
      </c>
      <c r="J66" s="58">
        <v>5</v>
      </c>
      <c r="K66" s="59" t="s">
        <v>103</v>
      </c>
      <c r="L66" s="58">
        <v>5</v>
      </c>
      <c r="M66" s="58">
        <v>0</v>
      </c>
      <c r="N66" s="58">
        <v>0</v>
      </c>
      <c r="O66" s="60" t="s">
        <v>231</v>
      </c>
      <c r="P66" s="61">
        <v>0.95486111111111116</v>
      </c>
      <c r="Q66" s="58">
        <v>168</v>
      </c>
      <c r="R66" s="62" t="s">
        <v>66</v>
      </c>
    </row>
    <row r="67" spans="1:18" ht="17.399999999999999" customHeight="1" thickBot="1" x14ac:dyDescent="0.35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5"/>
    </row>
    <row r="68" spans="1:18" ht="22.05" customHeight="1" thickTop="1" thickBot="1" x14ac:dyDescent="0.35">
      <c r="A68" s="191" t="s">
        <v>8</v>
      </c>
      <c r="B68" s="189"/>
      <c r="C68" s="189"/>
      <c r="D68" s="189"/>
      <c r="E68" s="189"/>
      <c r="F68" s="190"/>
      <c r="G68" s="18">
        <v>46055</v>
      </c>
      <c r="H68" s="188" t="s">
        <v>9</v>
      </c>
      <c r="I68" s="189"/>
      <c r="J68" s="189"/>
      <c r="K68" s="189"/>
      <c r="L68" s="189"/>
      <c r="M68" s="189"/>
      <c r="N68" s="189"/>
      <c r="O68" s="189"/>
      <c r="P68" s="189"/>
      <c r="Q68" s="189"/>
      <c r="R68" s="190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35">
      <c r="A70" s="53" t="s">
        <v>28</v>
      </c>
      <c r="B70" s="53" t="s">
        <v>222</v>
      </c>
      <c r="C70" s="54">
        <v>0.80555555555555547</v>
      </c>
      <c r="D70" s="53" t="s">
        <v>30</v>
      </c>
      <c r="E70" s="55"/>
      <c r="F70" s="53" t="s">
        <v>62</v>
      </c>
      <c r="G70" s="179"/>
      <c r="H70" s="56" t="s">
        <v>222</v>
      </c>
      <c r="I70" s="143">
        <v>2.3800000000000002E-2</v>
      </c>
      <c r="J70" s="58">
        <v>4</v>
      </c>
      <c r="K70" s="59" t="s">
        <v>44</v>
      </c>
      <c r="L70" s="58">
        <v>4</v>
      </c>
      <c r="M70" s="58">
        <v>0</v>
      </c>
      <c r="N70" s="58">
        <v>0</v>
      </c>
      <c r="O70" s="60" t="s">
        <v>65</v>
      </c>
      <c r="P70" s="61">
        <v>0.80555555555555547</v>
      </c>
      <c r="Q70" s="58">
        <v>168</v>
      </c>
      <c r="R70" s="62" t="s">
        <v>74</v>
      </c>
    </row>
    <row r="71" spans="1:18" ht="17.399999999999999" customHeight="1" thickBot="1" x14ac:dyDescent="0.35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5"/>
    </row>
    <row r="72" spans="1:18" ht="22.05" customHeight="1" thickTop="1" thickBot="1" x14ac:dyDescent="0.35">
      <c r="A72" s="191" t="s">
        <v>8</v>
      </c>
      <c r="B72" s="189"/>
      <c r="C72" s="189"/>
      <c r="D72" s="189"/>
      <c r="E72" s="189"/>
      <c r="F72" s="190"/>
      <c r="G72" s="18">
        <v>46056</v>
      </c>
      <c r="H72" s="188" t="s">
        <v>9</v>
      </c>
      <c r="I72" s="189"/>
      <c r="J72" s="189"/>
      <c r="K72" s="189"/>
      <c r="L72" s="189"/>
      <c r="M72" s="189"/>
      <c r="N72" s="189"/>
      <c r="O72" s="189"/>
      <c r="P72" s="189"/>
      <c r="Q72" s="189"/>
      <c r="R72" s="190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35">
      <c r="A74" s="26" t="s">
        <v>28</v>
      </c>
      <c r="B74" s="26" t="s">
        <v>222</v>
      </c>
      <c r="C74" s="27">
        <v>0.27777777777777779</v>
      </c>
      <c r="D74" s="26" t="s">
        <v>30</v>
      </c>
      <c r="E74" s="28"/>
      <c r="F74" s="26" t="s">
        <v>62</v>
      </c>
      <c r="G74" s="179"/>
      <c r="H74" s="29" t="s">
        <v>222</v>
      </c>
      <c r="I74" s="131">
        <v>4.1700000000000001E-2</v>
      </c>
      <c r="J74" s="31">
        <v>7</v>
      </c>
      <c r="K74" s="32" t="s">
        <v>51</v>
      </c>
      <c r="L74" s="31">
        <v>7</v>
      </c>
      <c r="M74" s="31">
        <v>0</v>
      </c>
      <c r="N74" s="31">
        <v>0</v>
      </c>
      <c r="O74" s="33" t="s">
        <v>65</v>
      </c>
      <c r="P74" s="34">
        <v>0.27777777777777779</v>
      </c>
      <c r="Q74" s="31">
        <v>168</v>
      </c>
      <c r="R74" s="35" t="s">
        <v>240</v>
      </c>
    </row>
    <row r="75" spans="1:18" ht="17.399999999999999" customHeight="1" thickBot="1" x14ac:dyDescent="0.35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5"/>
    </row>
    <row r="76" spans="1:18" ht="22.05" customHeight="1" thickTop="1" thickBot="1" x14ac:dyDescent="0.35">
      <c r="A76" s="191" t="s">
        <v>8</v>
      </c>
      <c r="B76" s="189"/>
      <c r="C76" s="189"/>
      <c r="D76" s="189"/>
      <c r="E76" s="189"/>
      <c r="F76" s="190"/>
      <c r="G76" s="18">
        <v>46057</v>
      </c>
      <c r="H76" s="188" t="s">
        <v>9</v>
      </c>
      <c r="I76" s="189"/>
      <c r="J76" s="189"/>
      <c r="K76" s="189"/>
      <c r="L76" s="189"/>
      <c r="M76" s="189"/>
      <c r="N76" s="189"/>
      <c r="O76" s="189"/>
      <c r="P76" s="189"/>
      <c r="Q76" s="189"/>
      <c r="R76" s="190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thickTop="1" thickBot="1" x14ac:dyDescent="0.35">
      <c r="A78" s="66" t="s">
        <v>28</v>
      </c>
      <c r="B78" s="66" t="s">
        <v>230</v>
      </c>
      <c r="C78" s="67">
        <v>0.61805555555555558</v>
      </c>
      <c r="D78" s="66" t="s">
        <v>30</v>
      </c>
      <c r="E78" s="68"/>
      <c r="F78" s="66" t="s">
        <v>62</v>
      </c>
      <c r="G78" s="179"/>
      <c r="H78" s="69" t="s">
        <v>230</v>
      </c>
      <c r="I78" s="120">
        <v>6.0000000000000001E-3</v>
      </c>
      <c r="J78" s="71">
        <v>1</v>
      </c>
      <c r="K78" s="72" t="s">
        <v>241</v>
      </c>
      <c r="L78" s="71">
        <v>1</v>
      </c>
      <c r="M78" s="71">
        <v>0</v>
      </c>
      <c r="N78" s="71">
        <v>0</v>
      </c>
      <c r="O78" s="73" t="s">
        <v>65</v>
      </c>
      <c r="P78" s="74">
        <v>0.61805555555555558</v>
      </c>
      <c r="Q78" s="71">
        <v>168</v>
      </c>
      <c r="R78" s="75" t="s">
        <v>177</v>
      </c>
    </row>
    <row r="79" spans="1:18" ht="17.399999999999999" customHeight="1" thickBot="1" x14ac:dyDescent="0.35">
      <c r="A79" s="213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5"/>
    </row>
    <row r="80" spans="1:18" ht="22.05" customHeight="1" thickTop="1" thickBot="1" x14ac:dyDescent="0.35">
      <c r="A80" s="191" t="s">
        <v>8</v>
      </c>
      <c r="B80" s="189"/>
      <c r="C80" s="189"/>
      <c r="D80" s="189"/>
      <c r="E80" s="189"/>
      <c r="F80" s="190"/>
      <c r="G80" s="18">
        <v>46062</v>
      </c>
      <c r="H80" s="188" t="s">
        <v>9</v>
      </c>
      <c r="I80" s="189"/>
      <c r="J80" s="189"/>
      <c r="K80" s="189"/>
      <c r="L80" s="189"/>
      <c r="M80" s="189"/>
      <c r="N80" s="189"/>
      <c r="O80" s="189"/>
      <c r="P80" s="189"/>
      <c r="Q80" s="189"/>
      <c r="R80" s="190"/>
    </row>
    <row r="81" spans="1:18" ht="24" customHeight="1" x14ac:dyDescent="0.3">
      <c r="A81" s="19" t="s">
        <v>10</v>
      </c>
      <c r="B81" s="19" t="s">
        <v>11</v>
      </c>
      <c r="C81" s="20" t="s">
        <v>12</v>
      </c>
      <c r="D81" s="19" t="s">
        <v>13</v>
      </c>
      <c r="E81" s="19" t="s">
        <v>14</v>
      </c>
      <c r="F81" s="21" t="s">
        <v>15</v>
      </c>
      <c r="G81" s="22" t="s">
        <v>16</v>
      </c>
      <c r="H81" s="19" t="s">
        <v>17</v>
      </c>
      <c r="I81" s="23" t="s">
        <v>18</v>
      </c>
      <c r="J81" s="24" t="s">
        <v>19</v>
      </c>
      <c r="K81" s="25" t="s">
        <v>20</v>
      </c>
      <c r="L81" s="24" t="s">
        <v>21</v>
      </c>
      <c r="M81" s="24" t="s">
        <v>22</v>
      </c>
      <c r="N81" s="24" t="s">
        <v>23</v>
      </c>
      <c r="O81" s="19" t="s">
        <v>24</v>
      </c>
      <c r="P81" s="20" t="s">
        <v>25</v>
      </c>
      <c r="Q81" s="24" t="s">
        <v>26</v>
      </c>
      <c r="R81" s="19" t="s">
        <v>27</v>
      </c>
    </row>
    <row r="82" spans="1:18" ht="49.95" customHeight="1" x14ac:dyDescent="0.3">
      <c r="A82" s="26" t="s">
        <v>28</v>
      </c>
      <c r="B82" s="26" t="s">
        <v>222</v>
      </c>
      <c r="C82" s="27">
        <v>0.80555555555555547</v>
      </c>
      <c r="D82" s="26" t="s">
        <v>30</v>
      </c>
      <c r="E82" s="28"/>
      <c r="F82" s="26" t="s">
        <v>62</v>
      </c>
      <c r="G82" s="179"/>
      <c r="H82" s="29" t="s">
        <v>222</v>
      </c>
      <c r="I82" s="131">
        <v>2.3800000000000002E-2</v>
      </c>
      <c r="J82" s="31">
        <v>4</v>
      </c>
      <c r="K82" s="32" t="s">
        <v>49</v>
      </c>
      <c r="L82" s="31">
        <v>4</v>
      </c>
      <c r="M82" s="31">
        <v>0</v>
      </c>
      <c r="N82" s="31">
        <v>0</v>
      </c>
      <c r="O82" s="33" t="s">
        <v>65</v>
      </c>
      <c r="P82" s="34">
        <v>0.80555555555555547</v>
      </c>
      <c r="Q82" s="31">
        <v>168</v>
      </c>
      <c r="R82" s="35" t="s">
        <v>74</v>
      </c>
    </row>
    <row r="83" spans="1:18" ht="17.399999999999999" customHeight="1" x14ac:dyDescent="0.3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2"/>
    </row>
    <row r="84" spans="1:18" ht="22.05" customHeight="1" x14ac:dyDescent="0.3">
      <c r="A84" s="191" t="s">
        <v>8</v>
      </c>
      <c r="B84" s="189"/>
      <c r="C84" s="189"/>
      <c r="D84" s="189"/>
      <c r="E84" s="189"/>
      <c r="F84" s="190"/>
      <c r="G84" s="18">
        <v>46063</v>
      </c>
      <c r="H84" s="188" t="s">
        <v>9</v>
      </c>
      <c r="I84" s="189"/>
      <c r="J84" s="189"/>
      <c r="K84" s="189"/>
      <c r="L84" s="189"/>
      <c r="M84" s="189"/>
      <c r="N84" s="189"/>
      <c r="O84" s="189"/>
      <c r="P84" s="189"/>
      <c r="Q84" s="189"/>
      <c r="R84" s="190"/>
    </row>
    <row r="85" spans="1:18" ht="24" customHeight="1" x14ac:dyDescent="0.3">
      <c r="A85" s="19" t="s">
        <v>10</v>
      </c>
      <c r="B85" s="19" t="s">
        <v>11</v>
      </c>
      <c r="C85" s="20" t="s">
        <v>12</v>
      </c>
      <c r="D85" s="19" t="s">
        <v>13</v>
      </c>
      <c r="E85" s="19" t="s">
        <v>14</v>
      </c>
      <c r="F85" s="21" t="s">
        <v>15</v>
      </c>
      <c r="G85" s="22" t="s">
        <v>16</v>
      </c>
      <c r="H85" s="19" t="s">
        <v>17</v>
      </c>
      <c r="I85" s="23" t="s">
        <v>18</v>
      </c>
      <c r="J85" s="24" t="s">
        <v>19</v>
      </c>
      <c r="K85" s="25" t="s">
        <v>20</v>
      </c>
      <c r="L85" s="24" t="s">
        <v>21</v>
      </c>
      <c r="M85" s="24" t="s">
        <v>22</v>
      </c>
      <c r="N85" s="24" t="s">
        <v>23</v>
      </c>
      <c r="O85" s="19" t="s">
        <v>24</v>
      </c>
      <c r="P85" s="20" t="s">
        <v>25</v>
      </c>
      <c r="Q85" s="24" t="s">
        <v>26</v>
      </c>
      <c r="R85" s="19" t="s">
        <v>27</v>
      </c>
    </row>
    <row r="86" spans="1:18" ht="49.95" customHeight="1" thickTop="1" thickBot="1" x14ac:dyDescent="0.35">
      <c r="A86" s="53" t="s">
        <v>28</v>
      </c>
      <c r="B86" s="53" t="s">
        <v>222</v>
      </c>
      <c r="C86" s="54">
        <v>0.27777777777777779</v>
      </c>
      <c r="D86" s="53" t="s">
        <v>30</v>
      </c>
      <c r="E86" s="55"/>
      <c r="F86" s="53" t="s">
        <v>62</v>
      </c>
      <c r="G86" s="179"/>
      <c r="H86" s="56" t="s">
        <v>222</v>
      </c>
      <c r="I86" s="143">
        <v>6.0000000000000001E-3</v>
      </c>
      <c r="J86" s="58">
        <v>1</v>
      </c>
      <c r="K86" s="59" t="s">
        <v>242</v>
      </c>
      <c r="L86" s="58">
        <v>1</v>
      </c>
      <c r="M86" s="58">
        <v>0</v>
      </c>
      <c r="N86" s="58">
        <v>0</v>
      </c>
      <c r="O86" s="60" t="s">
        <v>65</v>
      </c>
      <c r="P86" s="61">
        <v>0.27777777777777779</v>
      </c>
      <c r="Q86" s="58">
        <v>168</v>
      </c>
      <c r="R86" s="62" t="s">
        <v>177</v>
      </c>
    </row>
    <row r="87" spans="1:18" ht="17.399999999999999" customHeight="1" thickBot="1" x14ac:dyDescent="0.35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5"/>
    </row>
    <row r="88" spans="1:18" ht="22.05" customHeight="1" thickTop="1" thickBot="1" x14ac:dyDescent="0.35">
      <c r="A88" s="191" t="s">
        <v>8</v>
      </c>
      <c r="B88" s="189"/>
      <c r="C88" s="189"/>
      <c r="D88" s="189"/>
      <c r="E88" s="189"/>
      <c r="F88" s="190"/>
      <c r="G88" s="18">
        <v>46064</v>
      </c>
      <c r="H88" s="188" t="s">
        <v>9</v>
      </c>
      <c r="I88" s="189"/>
      <c r="J88" s="189"/>
      <c r="K88" s="189"/>
      <c r="L88" s="189"/>
      <c r="M88" s="189"/>
      <c r="N88" s="189"/>
      <c r="O88" s="189"/>
      <c r="P88" s="189"/>
      <c r="Q88" s="189"/>
      <c r="R88" s="190"/>
    </row>
    <row r="89" spans="1:18" ht="24" customHeight="1" x14ac:dyDescent="0.3">
      <c r="A89" s="19" t="s">
        <v>10</v>
      </c>
      <c r="B89" s="19" t="s">
        <v>11</v>
      </c>
      <c r="C89" s="20" t="s">
        <v>12</v>
      </c>
      <c r="D89" s="19" t="s">
        <v>13</v>
      </c>
      <c r="E89" s="19" t="s">
        <v>14</v>
      </c>
      <c r="F89" s="21" t="s">
        <v>15</v>
      </c>
      <c r="G89" s="22" t="s">
        <v>16</v>
      </c>
      <c r="H89" s="19" t="s">
        <v>17</v>
      </c>
      <c r="I89" s="23" t="s">
        <v>18</v>
      </c>
      <c r="J89" s="24" t="s">
        <v>19</v>
      </c>
      <c r="K89" s="25" t="s">
        <v>20</v>
      </c>
      <c r="L89" s="24" t="s">
        <v>21</v>
      </c>
      <c r="M89" s="24" t="s">
        <v>22</v>
      </c>
      <c r="N89" s="24" t="s">
        <v>23</v>
      </c>
      <c r="O89" s="19" t="s">
        <v>24</v>
      </c>
      <c r="P89" s="20" t="s">
        <v>25</v>
      </c>
      <c r="Q89" s="24" t="s">
        <v>26</v>
      </c>
      <c r="R89" s="19" t="s">
        <v>27</v>
      </c>
    </row>
    <row r="90" spans="1:18" ht="49.95" customHeight="1" thickTop="1" thickBot="1" x14ac:dyDescent="0.35">
      <c r="A90" s="89" t="s">
        <v>28</v>
      </c>
      <c r="B90" s="89" t="s">
        <v>230</v>
      </c>
      <c r="C90" s="90">
        <v>0.61805555555555558</v>
      </c>
      <c r="D90" s="89" t="s">
        <v>30</v>
      </c>
      <c r="E90" s="91"/>
      <c r="F90" s="89" t="s">
        <v>62</v>
      </c>
      <c r="G90" s="179"/>
      <c r="H90" s="92" t="s">
        <v>230</v>
      </c>
      <c r="I90" s="171">
        <v>3.5700000000000003E-2</v>
      </c>
      <c r="J90" s="94">
        <v>6</v>
      </c>
      <c r="K90" s="95" t="s">
        <v>106</v>
      </c>
      <c r="L90" s="94">
        <v>6</v>
      </c>
      <c r="M90" s="94">
        <v>0</v>
      </c>
      <c r="N90" s="94">
        <v>0</v>
      </c>
      <c r="O90" s="96" t="s">
        <v>65</v>
      </c>
      <c r="P90" s="97">
        <v>0.61805555555555558</v>
      </c>
      <c r="Q90" s="94">
        <v>168</v>
      </c>
      <c r="R90" s="98" t="s">
        <v>243</v>
      </c>
    </row>
    <row r="91" spans="1:18" ht="17.399999999999999" customHeight="1" thickBot="1" x14ac:dyDescent="0.35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5"/>
    </row>
    <row r="92" spans="1:18" ht="22.05" customHeight="1" thickTop="1" thickBot="1" x14ac:dyDescent="0.35">
      <c r="A92" s="191" t="s">
        <v>8</v>
      </c>
      <c r="B92" s="189"/>
      <c r="C92" s="189"/>
      <c r="D92" s="189"/>
      <c r="E92" s="189"/>
      <c r="F92" s="190"/>
      <c r="G92" s="18">
        <v>46067</v>
      </c>
      <c r="H92" s="188" t="s">
        <v>9</v>
      </c>
      <c r="I92" s="189"/>
      <c r="J92" s="189"/>
      <c r="K92" s="189"/>
      <c r="L92" s="189"/>
      <c r="M92" s="189"/>
      <c r="N92" s="189"/>
      <c r="O92" s="189"/>
      <c r="P92" s="189"/>
      <c r="Q92" s="189"/>
      <c r="R92" s="190"/>
    </row>
    <row r="93" spans="1:18" ht="24" customHeight="1" x14ac:dyDescent="0.3">
      <c r="A93" s="19" t="s">
        <v>10</v>
      </c>
      <c r="B93" s="19" t="s">
        <v>11</v>
      </c>
      <c r="C93" s="20" t="s">
        <v>12</v>
      </c>
      <c r="D93" s="19" t="s">
        <v>13</v>
      </c>
      <c r="E93" s="19" t="s">
        <v>14</v>
      </c>
      <c r="F93" s="21" t="s">
        <v>15</v>
      </c>
      <c r="G93" s="22" t="s">
        <v>16</v>
      </c>
      <c r="H93" s="19" t="s">
        <v>17</v>
      </c>
      <c r="I93" s="23" t="s">
        <v>18</v>
      </c>
      <c r="J93" s="24" t="s">
        <v>19</v>
      </c>
      <c r="K93" s="25" t="s">
        <v>20</v>
      </c>
      <c r="L93" s="24" t="s">
        <v>21</v>
      </c>
      <c r="M93" s="24" t="s">
        <v>22</v>
      </c>
      <c r="N93" s="24" t="s">
        <v>23</v>
      </c>
      <c r="O93" s="19" t="s">
        <v>24</v>
      </c>
      <c r="P93" s="20" t="s">
        <v>25</v>
      </c>
      <c r="Q93" s="24" t="s">
        <v>26</v>
      </c>
      <c r="R93" s="19" t="s">
        <v>27</v>
      </c>
    </row>
    <row r="94" spans="1:18" ht="49.95" customHeight="1" thickTop="1" thickBot="1" x14ac:dyDescent="0.35">
      <c r="A94" s="26" t="s">
        <v>28</v>
      </c>
      <c r="B94" s="26" t="s">
        <v>222</v>
      </c>
      <c r="C94" s="27">
        <v>0.95486111111111116</v>
      </c>
      <c r="D94" s="26" t="s">
        <v>30</v>
      </c>
      <c r="E94" s="28"/>
      <c r="F94" s="26" t="s">
        <v>62</v>
      </c>
      <c r="G94" s="179"/>
      <c r="H94" s="29" t="s">
        <v>222</v>
      </c>
      <c r="I94" s="131">
        <v>5.3600000000000002E-2</v>
      </c>
      <c r="J94" s="31">
        <v>9</v>
      </c>
      <c r="K94" s="32" t="s">
        <v>244</v>
      </c>
      <c r="L94" s="31">
        <v>9</v>
      </c>
      <c r="M94" s="31">
        <v>0</v>
      </c>
      <c r="N94" s="31">
        <v>0</v>
      </c>
      <c r="O94" s="33" t="s">
        <v>75</v>
      </c>
      <c r="P94" s="34">
        <v>0.95486111111111116</v>
      </c>
      <c r="Q94" s="31">
        <v>168</v>
      </c>
      <c r="R94" s="35" t="s">
        <v>65</v>
      </c>
    </row>
    <row r="95" spans="1:18" ht="17.399999999999999" customHeight="1" thickBot="1" x14ac:dyDescent="0.35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5"/>
    </row>
    <row r="96" spans="1:18" ht="22.05" customHeight="1" thickTop="1" thickBot="1" x14ac:dyDescent="0.35">
      <c r="A96" s="191" t="s">
        <v>8</v>
      </c>
      <c r="B96" s="189"/>
      <c r="C96" s="189"/>
      <c r="D96" s="189"/>
      <c r="E96" s="189"/>
      <c r="F96" s="190"/>
      <c r="G96" s="18">
        <v>46070</v>
      </c>
      <c r="H96" s="188" t="s">
        <v>9</v>
      </c>
      <c r="I96" s="189"/>
      <c r="J96" s="189"/>
      <c r="K96" s="189"/>
      <c r="L96" s="189"/>
      <c r="M96" s="189"/>
      <c r="N96" s="189"/>
      <c r="O96" s="189"/>
      <c r="P96" s="189"/>
      <c r="Q96" s="189"/>
      <c r="R96" s="190"/>
    </row>
    <row r="97" spans="1:18" ht="24" customHeight="1" x14ac:dyDescent="0.3">
      <c r="A97" s="19" t="s">
        <v>10</v>
      </c>
      <c r="B97" s="19" t="s">
        <v>11</v>
      </c>
      <c r="C97" s="20" t="s">
        <v>12</v>
      </c>
      <c r="D97" s="19" t="s">
        <v>13</v>
      </c>
      <c r="E97" s="19" t="s">
        <v>14</v>
      </c>
      <c r="F97" s="21" t="s">
        <v>15</v>
      </c>
      <c r="G97" s="22" t="s">
        <v>16</v>
      </c>
      <c r="H97" s="19" t="s">
        <v>17</v>
      </c>
      <c r="I97" s="23" t="s">
        <v>18</v>
      </c>
      <c r="J97" s="24" t="s">
        <v>19</v>
      </c>
      <c r="K97" s="25" t="s">
        <v>20</v>
      </c>
      <c r="L97" s="24" t="s">
        <v>21</v>
      </c>
      <c r="M97" s="24" t="s">
        <v>22</v>
      </c>
      <c r="N97" s="24" t="s">
        <v>23</v>
      </c>
      <c r="O97" s="19" t="s">
        <v>24</v>
      </c>
      <c r="P97" s="20" t="s">
        <v>25</v>
      </c>
      <c r="Q97" s="24" t="s">
        <v>26</v>
      </c>
      <c r="R97" s="19" t="s">
        <v>27</v>
      </c>
    </row>
    <row r="98" spans="1:18" ht="49.95" customHeight="1" thickTop="1" thickBot="1" x14ac:dyDescent="0.5">
      <c r="A98" s="53" t="s">
        <v>28</v>
      </c>
      <c r="B98" s="53" t="s">
        <v>222</v>
      </c>
      <c r="C98" s="54">
        <v>0.27777777777777779</v>
      </c>
      <c r="D98" s="53" t="s">
        <v>30</v>
      </c>
      <c r="E98" s="55"/>
      <c r="F98" s="53" t="s">
        <v>62</v>
      </c>
      <c r="G98" s="187"/>
      <c r="H98" s="56" t="s">
        <v>222</v>
      </c>
      <c r="I98" s="143">
        <v>6.0000000000000001E-3</v>
      </c>
      <c r="J98" s="58">
        <v>1</v>
      </c>
      <c r="K98" s="59" t="s">
        <v>94</v>
      </c>
      <c r="L98" s="58">
        <v>1</v>
      </c>
      <c r="M98" s="58">
        <v>0</v>
      </c>
      <c r="N98" s="58">
        <v>0</v>
      </c>
      <c r="O98" s="60" t="s">
        <v>96</v>
      </c>
      <c r="P98" s="61">
        <v>0.27777777777777779</v>
      </c>
      <c r="Q98" s="58">
        <v>168</v>
      </c>
      <c r="R98" s="62" t="s">
        <v>97</v>
      </c>
    </row>
    <row r="99" spans="1:18" ht="17.399999999999999" customHeight="1" thickBot="1" x14ac:dyDescent="0.35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5"/>
    </row>
    <row r="100" spans="1:18" ht="22.05" customHeight="1" thickTop="1" thickBot="1" x14ac:dyDescent="0.35">
      <c r="A100" s="191" t="s">
        <v>8</v>
      </c>
      <c r="B100" s="189"/>
      <c r="C100" s="189"/>
      <c r="D100" s="189"/>
      <c r="E100" s="189"/>
      <c r="F100" s="190"/>
      <c r="G100" s="18">
        <v>46071</v>
      </c>
      <c r="H100" s="188" t="s">
        <v>9</v>
      </c>
      <c r="I100" s="189"/>
      <c r="J100" s="189"/>
      <c r="K100" s="189"/>
      <c r="L100" s="189"/>
      <c r="M100" s="189"/>
      <c r="N100" s="189"/>
      <c r="O100" s="189"/>
      <c r="P100" s="189"/>
      <c r="Q100" s="189"/>
      <c r="R100" s="190"/>
    </row>
    <row r="101" spans="1:18" ht="24" customHeight="1" x14ac:dyDescent="0.3">
      <c r="A101" s="19" t="s">
        <v>10</v>
      </c>
      <c r="B101" s="19" t="s">
        <v>11</v>
      </c>
      <c r="C101" s="20" t="s">
        <v>12</v>
      </c>
      <c r="D101" s="19" t="s">
        <v>13</v>
      </c>
      <c r="E101" s="19" t="s">
        <v>14</v>
      </c>
      <c r="F101" s="21" t="s">
        <v>15</v>
      </c>
      <c r="G101" s="22" t="s">
        <v>16</v>
      </c>
      <c r="H101" s="19" t="s">
        <v>17</v>
      </c>
      <c r="I101" s="23" t="s">
        <v>18</v>
      </c>
      <c r="J101" s="24" t="s">
        <v>19</v>
      </c>
      <c r="K101" s="25" t="s">
        <v>20</v>
      </c>
      <c r="L101" s="24" t="s">
        <v>21</v>
      </c>
      <c r="M101" s="24" t="s">
        <v>22</v>
      </c>
      <c r="N101" s="24" t="s">
        <v>23</v>
      </c>
      <c r="O101" s="19" t="s">
        <v>24</v>
      </c>
      <c r="P101" s="20" t="s">
        <v>25</v>
      </c>
      <c r="Q101" s="24" t="s">
        <v>26</v>
      </c>
      <c r="R101" s="19" t="s">
        <v>27</v>
      </c>
    </row>
    <row r="102" spans="1:18" ht="49.95" customHeight="1" thickTop="1" thickBot="1" x14ac:dyDescent="0.35">
      <c r="A102" s="53" t="s">
        <v>28</v>
      </c>
      <c r="B102" s="53" t="s">
        <v>230</v>
      </c>
      <c r="C102" s="54">
        <v>0.61805555555555558</v>
      </c>
      <c r="D102" s="53" t="s">
        <v>30</v>
      </c>
      <c r="E102" s="55"/>
      <c r="F102" s="53" t="s">
        <v>72</v>
      </c>
      <c r="G102" s="179"/>
      <c r="H102" s="56" t="s">
        <v>230</v>
      </c>
      <c r="I102" s="143">
        <v>0</v>
      </c>
      <c r="J102" s="58">
        <v>0</v>
      </c>
      <c r="K102" s="59" t="s">
        <v>73</v>
      </c>
      <c r="L102" s="58">
        <v>0</v>
      </c>
      <c r="M102" s="58">
        <v>0</v>
      </c>
      <c r="N102" s="58">
        <v>0</v>
      </c>
      <c r="O102" s="60" t="s">
        <v>96</v>
      </c>
      <c r="P102" s="61">
        <v>0.61805555555555558</v>
      </c>
      <c r="Q102" s="58">
        <v>168</v>
      </c>
      <c r="R102" s="62" t="s">
        <v>73</v>
      </c>
    </row>
    <row r="103" spans="1:18" ht="17.399999999999999" customHeight="1" thickBot="1" x14ac:dyDescent="0.35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5"/>
    </row>
    <row r="104" spans="1:18" ht="22.05" customHeight="1" thickTop="1" thickBot="1" x14ac:dyDescent="0.35">
      <c r="A104" s="191" t="s">
        <v>8</v>
      </c>
      <c r="B104" s="189"/>
      <c r="C104" s="189"/>
      <c r="D104" s="189"/>
      <c r="E104" s="189"/>
      <c r="F104" s="190"/>
      <c r="G104" s="18">
        <v>46074</v>
      </c>
      <c r="H104" s="188" t="s">
        <v>9</v>
      </c>
      <c r="I104" s="189"/>
      <c r="J104" s="189"/>
      <c r="K104" s="189"/>
      <c r="L104" s="189"/>
      <c r="M104" s="189"/>
      <c r="N104" s="189"/>
      <c r="O104" s="189"/>
      <c r="P104" s="189"/>
      <c r="Q104" s="189"/>
      <c r="R104" s="190"/>
    </row>
    <row r="105" spans="1:18" ht="24" customHeight="1" x14ac:dyDescent="0.3">
      <c r="A105" s="19" t="s">
        <v>10</v>
      </c>
      <c r="B105" s="19" t="s">
        <v>11</v>
      </c>
      <c r="C105" s="20" t="s">
        <v>12</v>
      </c>
      <c r="D105" s="19" t="s">
        <v>13</v>
      </c>
      <c r="E105" s="19" t="s">
        <v>14</v>
      </c>
      <c r="F105" s="21" t="s">
        <v>15</v>
      </c>
      <c r="G105" s="22" t="s">
        <v>16</v>
      </c>
      <c r="H105" s="19" t="s">
        <v>17</v>
      </c>
      <c r="I105" s="23" t="s">
        <v>18</v>
      </c>
      <c r="J105" s="24" t="s">
        <v>19</v>
      </c>
      <c r="K105" s="25" t="s">
        <v>20</v>
      </c>
      <c r="L105" s="24" t="s">
        <v>21</v>
      </c>
      <c r="M105" s="24" t="s">
        <v>22</v>
      </c>
      <c r="N105" s="24" t="s">
        <v>23</v>
      </c>
      <c r="O105" s="19" t="s">
        <v>24</v>
      </c>
      <c r="P105" s="20" t="s">
        <v>25</v>
      </c>
      <c r="Q105" s="24" t="s">
        <v>26</v>
      </c>
      <c r="R105" s="19" t="s">
        <v>27</v>
      </c>
    </row>
    <row r="106" spans="1:18" ht="49.95" customHeight="1" thickTop="1" thickBot="1" x14ac:dyDescent="0.35">
      <c r="A106" s="63" t="s">
        <v>28</v>
      </c>
      <c r="B106" s="63" t="s">
        <v>222</v>
      </c>
      <c r="C106" s="64">
        <v>0.95486111111111116</v>
      </c>
      <c r="D106" s="63" t="s">
        <v>30</v>
      </c>
      <c r="E106" s="65"/>
      <c r="F106" s="63" t="s">
        <v>72</v>
      </c>
      <c r="G106" s="179"/>
      <c r="H106" s="46" t="s">
        <v>222</v>
      </c>
      <c r="I106" s="112">
        <v>0</v>
      </c>
      <c r="J106" s="48">
        <v>0</v>
      </c>
      <c r="K106" s="49" t="s">
        <v>73</v>
      </c>
      <c r="L106" s="48">
        <v>0</v>
      </c>
      <c r="M106" s="48">
        <v>0</v>
      </c>
      <c r="N106" s="48">
        <v>0</v>
      </c>
      <c r="O106" s="50" t="s">
        <v>96</v>
      </c>
      <c r="P106" s="51">
        <v>0.95486111111111116</v>
      </c>
      <c r="Q106" s="48">
        <v>168</v>
      </c>
      <c r="R106" s="52" t="s">
        <v>73</v>
      </c>
    </row>
    <row r="107" spans="1:18" ht="17.399999999999999" customHeight="1" thickBot="1" x14ac:dyDescent="0.35">
      <c r="A107" s="213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5"/>
    </row>
    <row r="108" spans="1:18" ht="22.05" customHeight="1" thickTop="1" thickBot="1" x14ac:dyDescent="0.35">
      <c r="A108" s="191" t="s">
        <v>8</v>
      </c>
      <c r="B108" s="189"/>
      <c r="C108" s="189"/>
      <c r="D108" s="189"/>
      <c r="E108" s="189"/>
      <c r="F108" s="190"/>
      <c r="G108" s="18">
        <v>46076</v>
      </c>
      <c r="H108" s="188" t="s">
        <v>9</v>
      </c>
      <c r="I108" s="189"/>
      <c r="J108" s="189"/>
      <c r="K108" s="189"/>
      <c r="L108" s="189"/>
      <c r="M108" s="189"/>
      <c r="N108" s="189"/>
      <c r="O108" s="189"/>
      <c r="P108" s="189"/>
      <c r="Q108" s="189"/>
      <c r="R108" s="190"/>
    </row>
    <row r="109" spans="1:18" ht="24" customHeight="1" x14ac:dyDescent="0.3">
      <c r="A109" s="19" t="s">
        <v>10</v>
      </c>
      <c r="B109" s="19" t="s">
        <v>11</v>
      </c>
      <c r="C109" s="20" t="s">
        <v>12</v>
      </c>
      <c r="D109" s="19" t="s">
        <v>13</v>
      </c>
      <c r="E109" s="19" t="s">
        <v>14</v>
      </c>
      <c r="F109" s="21" t="s">
        <v>15</v>
      </c>
      <c r="G109" s="22" t="s">
        <v>16</v>
      </c>
      <c r="H109" s="19" t="s">
        <v>17</v>
      </c>
      <c r="I109" s="23" t="s">
        <v>18</v>
      </c>
      <c r="J109" s="24" t="s">
        <v>19</v>
      </c>
      <c r="K109" s="25" t="s">
        <v>20</v>
      </c>
      <c r="L109" s="24" t="s">
        <v>21</v>
      </c>
      <c r="M109" s="24" t="s">
        <v>22</v>
      </c>
      <c r="N109" s="24" t="s">
        <v>23</v>
      </c>
      <c r="O109" s="19" t="s">
        <v>24</v>
      </c>
      <c r="P109" s="20" t="s">
        <v>25</v>
      </c>
      <c r="Q109" s="24" t="s">
        <v>26</v>
      </c>
      <c r="R109" s="19" t="s">
        <v>27</v>
      </c>
    </row>
    <row r="110" spans="1:18" ht="49.95" customHeight="1" thickTop="1" thickBot="1" x14ac:dyDescent="0.35">
      <c r="A110" s="89" t="s">
        <v>28</v>
      </c>
      <c r="B110" s="89" t="s">
        <v>222</v>
      </c>
      <c r="C110" s="90">
        <v>0.80555555555555547</v>
      </c>
      <c r="D110" s="89" t="s">
        <v>30</v>
      </c>
      <c r="E110" s="91"/>
      <c r="F110" s="89" t="s">
        <v>62</v>
      </c>
      <c r="G110" s="179"/>
      <c r="H110" s="92" t="s">
        <v>222</v>
      </c>
      <c r="I110" s="171">
        <v>6.0000000000000001E-3</v>
      </c>
      <c r="J110" s="94">
        <v>1</v>
      </c>
      <c r="K110" s="95" t="s">
        <v>47</v>
      </c>
      <c r="L110" s="94">
        <v>1</v>
      </c>
      <c r="M110" s="94">
        <v>0</v>
      </c>
      <c r="N110" s="94">
        <v>0</v>
      </c>
      <c r="O110" s="96" t="s">
        <v>96</v>
      </c>
      <c r="P110" s="97">
        <v>0.80555555555555547</v>
      </c>
      <c r="Q110" s="94">
        <v>168</v>
      </c>
      <c r="R110" s="98" t="s">
        <v>142</v>
      </c>
    </row>
    <row r="111" spans="1:18" ht="17.399999999999999" customHeight="1" thickBot="1" x14ac:dyDescent="0.35">
      <c r="A111" s="213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5"/>
    </row>
    <row r="112" spans="1:18" ht="22.05" customHeight="1" thickTop="1" thickBot="1" x14ac:dyDescent="0.35">
      <c r="A112" s="191" t="s">
        <v>8</v>
      </c>
      <c r="B112" s="189"/>
      <c r="C112" s="189"/>
      <c r="D112" s="189"/>
      <c r="E112" s="189"/>
      <c r="F112" s="190"/>
      <c r="G112" s="18">
        <v>46077</v>
      </c>
      <c r="H112" s="188" t="s">
        <v>9</v>
      </c>
      <c r="I112" s="189"/>
      <c r="J112" s="189"/>
      <c r="K112" s="189"/>
      <c r="L112" s="189"/>
      <c r="M112" s="189"/>
      <c r="N112" s="189"/>
      <c r="O112" s="189"/>
      <c r="P112" s="189"/>
      <c r="Q112" s="189"/>
      <c r="R112" s="190"/>
    </row>
    <row r="113" spans="1:18" ht="24" customHeight="1" x14ac:dyDescent="0.3">
      <c r="A113" s="19" t="s">
        <v>10</v>
      </c>
      <c r="B113" s="19" t="s">
        <v>11</v>
      </c>
      <c r="C113" s="20" t="s">
        <v>12</v>
      </c>
      <c r="D113" s="19" t="s">
        <v>13</v>
      </c>
      <c r="E113" s="19" t="s">
        <v>14</v>
      </c>
      <c r="F113" s="21" t="s">
        <v>15</v>
      </c>
      <c r="G113" s="22" t="s">
        <v>16</v>
      </c>
      <c r="H113" s="19" t="s">
        <v>17</v>
      </c>
      <c r="I113" s="23" t="s">
        <v>18</v>
      </c>
      <c r="J113" s="24" t="s">
        <v>19</v>
      </c>
      <c r="K113" s="25" t="s">
        <v>20</v>
      </c>
      <c r="L113" s="24" t="s">
        <v>21</v>
      </c>
      <c r="M113" s="24" t="s">
        <v>22</v>
      </c>
      <c r="N113" s="24" t="s">
        <v>23</v>
      </c>
      <c r="O113" s="19" t="s">
        <v>24</v>
      </c>
      <c r="P113" s="20" t="s">
        <v>25</v>
      </c>
      <c r="Q113" s="24" t="s">
        <v>26</v>
      </c>
      <c r="R113" s="19" t="s">
        <v>27</v>
      </c>
    </row>
    <row r="114" spans="1:18" ht="49.95" customHeight="1" thickTop="1" thickBot="1" x14ac:dyDescent="0.5">
      <c r="A114" s="26" t="s">
        <v>28</v>
      </c>
      <c r="B114" s="26" t="s">
        <v>222</v>
      </c>
      <c r="C114" s="27">
        <v>0.27777777777777779</v>
      </c>
      <c r="D114" s="26" t="s">
        <v>30</v>
      </c>
      <c r="E114" s="28"/>
      <c r="F114" s="26" t="s">
        <v>72</v>
      </c>
      <c r="G114" s="187"/>
      <c r="H114" s="29" t="s">
        <v>222</v>
      </c>
      <c r="I114" s="131">
        <v>0</v>
      </c>
      <c r="J114" s="31">
        <v>0</v>
      </c>
      <c r="K114" s="32" t="s">
        <v>73</v>
      </c>
      <c r="L114" s="31">
        <v>0</v>
      </c>
      <c r="M114" s="31">
        <v>0</v>
      </c>
      <c r="N114" s="31">
        <v>0</v>
      </c>
      <c r="O114" s="33" t="s">
        <v>96</v>
      </c>
      <c r="P114" s="34">
        <v>0.27777777777777779</v>
      </c>
      <c r="Q114" s="31">
        <v>168</v>
      </c>
      <c r="R114" s="35" t="s">
        <v>73</v>
      </c>
    </row>
    <row r="115" spans="1:18" ht="17.399999999999999" customHeight="1" thickBot="1" x14ac:dyDescent="0.35">
      <c r="A115" s="213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5"/>
    </row>
    <row r="116" spans="1:18" ht="22.05" customHeight="1" thickTop="1" thickBot="1" x14ac:dyDescent="0.35">
      <c r="A116" s="191" t="s">
        <v>8</v>
      </c>
      <c r="B116" s="189"/>
      <c r="C116" s="189"/>
      <c r="D116" s="189"/>
      <c r="E116" s="189"/>
      <c r="F116" s="190"/>
      <c r="G116" s="18">
        <v>46081</v>
      </c>
      <c r="H116" s="188" t="s">
        <v>9</v>
      </c>
      <c r="I116" s="189"/>
      <c r="J116" s="189"/>
      <c r="K116" s="189"/>
      <c r="L116" s="189"/>
      <c r="M116" s="189"/>
      <c r="N116" s="189"/>
      <c r="O116" s="189"/>
      <c r="P116" s="189"/>
      <c r="Q116" s="189"/>
      <c r="R116" s="190"/>
    </row>
    <row r="117" spans="1:18" ht="24" customHeight="1" x14ac:dyDescent="0.3">
      <c r="A117" s="19" t="s">
        <v>10</v>
      </c>
      <c r="B117" s="19" t="s">
        <v>11</v>
      </c>
      <c r="C117" s="20" t="s">
        <v>12</v>
      </c>
      <c r="D117" s="19" t="s">
        <v>13</v>
      </c>
      <c r="E117" s="19" t="s">
        <v>14</v>
      </c>
      <c r="F117" s="21" t="s">
        <v>15</v>
      </c>
      <c r="G117" s="22" t="s">
        <v>16</v>
      </c>
      <c r="H117" s="19" t="s">
        <v>17</v>
      </c>
      <c r="I117" s="23" t="s">
        <v>18</v>
      </c>
      <c r="J117" s="24" t="s">
        <v>19</v>
      </c>
      <c r="K117" s="25" t="s">
        <v>20</v>
      </c>
      <c r="L117" s="24" t="s">
        <v>21</v>
      </c>
      <c r="M117" s="24" t="s">
        <v>22</v>
      </c>
      <c r="N117" s="24" t="s">
        <v>23</v>
      </c>
      <c r="O117" s="19" t="s">
        <v>24</v>
      </c>
      <c r="P117" s="20" t="s">
        <v>25</v>
      </c>
      <c r="Q117" s="24" t="s">
        <v>26</v>
      </c>
      <c r="R117" s="19" t="s">
        <v>27</v>
      </c>
    </row>
    <row r="118" spans="1:18" ht="49.95" customHeight="1" thickTop="1" thickBot="1" x14ac:dyDescent="0.5">
      <c r="A118" s="121" t="s">
        <v>28</v>
      </c>
      <c r="B118" s="121" t="s">
        <v>222</v>
      </c>
      <c r="C118" s="122">
        <v>0.95486111111111116</v>
      </c>
      <c r="D118" s="121" t="s">
        <v>30</v>
      </c>
      <c r="E118" s="123"/>
      <c r="F118" s="121" t="s">
        <v>62</v>
      </c>
      <c r="G118" s="187"/>
      <c r="H118" s="124" t="s">
        <v>222</v>
      </c>
      <c r="I118" s="125">
        <v>2.3800000000000002E-2</v>
      </c>
      <c r="J118" s="126">
        <v>4</v>
      </c>
      <c r="K118" s="127" t="s">
        <v>49</v>
      </c>
      <c r="L118" s="126">
        <v>4</v>
      </c>
      <c r="M118" s="126">
        <v>0</v>
      </c>
      <c r="N118" s="126">
        <v>0</v>
      </c>
      <c r="O118" s="128" t="s">
        <v>96</v>
      </c>
      <c r="P118" s="129">
        <v>0.95486111111111116</v>
      </c>
      <c r="Q118" s="126">
        <v>168</v>
      </c>
      <c r="R118" s="130" t="s">
        <v>99</v>
      </c>
    </row>
    <row r="119" spans="1:18" ht="17.399999999999999" customHeight="1" thickBot="1" x14ac:dyDescent="0.35">
      <c r="A119" s="213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5"/>
    </row>
    <row r="120" spans="1:18" ht="15" thickTop="1" x14ac:dyDescent="0.3"/>
  </sheetData>
  <mergeCells count="123">
    <mergeCell ref="A119:R119"/>
    <mergeCell ref="H92:R92"/>
    <mergeCell ref="G114"/>
    <mergeCell ref="H20:R20"/>
    <mergeCell ref="A80:F80"/>
    <mergeCell ref="H112:R112"/>
    <mergeCell ref="A12:F12"/>
    <mergeCell ref="A75:R75"/>
    <mergeCell ref="H4:R4"/>
    <mergeCell ref="A104:F104"/>
    <mergeCell ref="H44:R44"/>
    <mergeCell ref="A55:R55"/>
    <mergeCell ref="A95:R95"/>
    <mergeCell ref="A47:R47"/>
    <mergeCell ref="H64:R64"/>
    <mergeCell ref="A4:F4"/>
    <mergeCell ref="A96:F96"/>
    <mergeCell ref="H88:R88"/>
    <mergeCell ref="A52:F52"/>
    <mergeCell ref="G38"/>
    <mergeCell ref="A31:R31"/>
    <mergeCell ref="G78"/>
    <mergeCell ref="A15:R15"/>
    <mergeCell ref="G118"/>
    <mergeCell ref="A116:F116"/>
    <mergeCell ref="H68:R68"/>
    <mergeCell ref="A8:F8"/>
    <mergeCell ref="G86"/>
    <mergeCell ref="H60:R60"/>
    <mergeCell ref="G2:J2"/>
    <mergeCell ref="A23:R23"/>
    <mergeCell ref="A100:F100"/>
    <mergeCell ref="N1:R1"/>
    <mergeCell ref="G70"/>
    <mergeCell ref="A43:R43"/>
    <mergeCell ref="A68:F68"/>
    <mergeCell ref="H16:R16"/>
    <mergeCell ref="H100:R100"/>
    <mergeCell ref="K2:R2"/>
    <mergeCell ref="A67:R67"/>
    <mergeCell ref="A92:F92"/>
    <mergeCell ref="H84:R84"/>
    <mergeCell ref="G62"/>
    <mergeCell ref="A36:F36"/>
    <mergeCell ref="A3:R3"/>
    <mergeCell ref="A51:R51"/>
    <mergeCell ref="A107:R107"/>
    <mergeCell ref="H24:R24"/>
    <mergeCell ref="A103:R103"/>
    <mergeCell ref="G58"/>
    <mergeCell ref="G110"/>
    <mergeCell ref="A87:R87"/>
    <mergeCell ref="G94"/>
    <mergeCell ref="A56:F56"/>
    <mergeCell ref="G22"/>
    <mergeCell ref="H40:R40"/>
    <mergeCell ref="G102"/>
    <mergeCell ref="A76:F76"/>
    <mergeCell ref="H76:R76"/>
    <mergeCell ref="H116:R116"/>
    <mergeCell ref="A16:F16"/>
    <mergeCell ref="H8:R8"/>
    <mergeCell ref="A108:F108"/>
    <mergeCell ref="G54"/>
    <mergeCell ref="G46"/>
    <mergeCell ref="A2:F2"/>
    <mergeCell ref="G106"/>
    <mergeCell ref="H56:R56"/>
    <mergeCell ref="A71:R71"/>
    <mergeCell ref="H36:R36"/>
    <mergeCell ref="A91:R91"/>
    <mergeCell ref="G98"/>
    <mergeCell ref="A28:F28"/>
    <mergeCell ref="A112:F112"/>
    <mergeCell ref="A63:R63"/>
    <mergeCell ref="A115:R115"/>
    <mergeCell ref="G82"/>
    <mergeCell ref="A48:F48"/>
    <mergeCell ref="A111:R111"/>
    <mergeCell ref="G10"/>
    <mergeCell ref="G66"/>
    <mergeCell ref="H28:R28"/>
    <mergeCell ref="A83:R83"/>
    <mergeCell ref="H108:R108"/>
    <mergeCell ref="A19:R19"/>
    <mergeCell ref="A44:F44"/>
    <mergeCell ref="H72:R72"/>
    <mergeCell ref="A40:F40"/>
    <mergeCell ref="H32:R32"/>
    <mergeCell ref="A64:F64"/>
    <mergeCell ref="G6"/>
    <mergeCell ref="A24:F24"/>
    <mergeCell ref="A59:R59"/>
    <mergeCell ref="A60:F60"/>
    <mergeCell ref="A11:R11"/>
    <mergeCell ref="G30"/>
    <mergeCell ref="A79:R79"/>
    <mergeCell ref="G14"/>
    <mergeCell ref="H80:R80"/>
    <mergeCell ref="G18"/>
    <mergeCell ref="A39:R39"/>
    <mergeCell ref="H12:R12"/>
    <mergeCell ref="H96:R96"/>
    <mergeCell ref="G34"/>
    <mergeCell ref="G74"/>
    <mergeCell ref="H48:R48"/>
    <mergeCell ref="H104:R104"/>
    <mergeCell ref="A7:R7"/>
    <mergeCell ref="A84:F84"/>
    <mergeCell ref="G26"/>
    <mergeCell ref="A99:R99"/>
    <mergeCell ref="H1:L1"/>
    <mergeCell ref="A1:E1"/>
    <mergeCell ref="A27:R27"/>
    <mergeCell ref="G50"/>
    <mergeCell ref="G90"/>
    <mergeCell ref="A32:F32"/>
    <mergeCell ref="A20:F20"/>
    <mergeCell ref="A72:F72"/>
    <mergeCell ref="G42"/>
    <mergeCell ref="A35:R35"/>
    <mergeCell ref="H52:R52"/>
    <mergeCell ref="A88:F8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1"/>
  <sheetViews>
    <sheetView workbookViewId="0"/>
  </sheetViews>
  <sheetFormatPr defaultRowHeight="15.6" outlineLevelCol="1" x14ac:dyDescent="0.3"/>
  <cols>
    <col min="1" max="1" width="11.5546875" style="200" bestFit="1" customWidth="1"/>
    <col min="2" max="2" width="10.109375" style="200" bestFit="1" customWidth="1"/>
    <col min="3" max="3" width="6.77734375" style="200" bestFit="1" customWidth="1"/>
    <col min="4" max="4" width="5.5546875" style="200" bestFit="1" customWidth="1"/>
    <col min="5" max="5" width="8.77734375" style="200" bestFit="1" customWidth="1"/>
    <col min="6" max="6" width="4.21875" style="200" bestFit="1" customWidth="1"/>
    <col min="7" max="7" width="10" style="200" bestFit="1" customWidth="1"/>
    <col min="8" max="8" width="8.5546875" style="200" bestFit="1" customWidth="1"/>
    <col min="9" max="10" width="7" style="200" bestFit="1" customWidth="1"/>
    <col min="11" max="11" width="10.5546875" style="200" bestFit="1" customWidth="1"/>
    <col min="12" max="12" width="18.109375" style="200" bestFit="1" customWidth="1"/>
    <col min="13" max="13" width="7.6640625" style="200" bestFit="1" customWidth="1" outlineLevel="1"/>
    <col min="14" max="14" width="6.33203125" style="200" bestFit="1" customWidth="1" outlineLevel="1"/>
    <col min="15" max="15" width="8" style="200" bestFit="1" customWidth="1" outlineLevel="1"/>
    <col min="16" max="16" width="13.6640625" style="200" bestFit="1" customWidth="1"/>
    <col min="17" max="32" width="3.88671875" style="200" bestFit="1" customWidth="1"/>
    <col min="33" max="33" width="4.21875" style="200" bestFit="1" customWidth="1"/>
    <col min="34" max="34" width="3.88671875" style="200" bestFit="1" customWidth="1"/>
    <col min="35" max="35" width="5.21875" style="200" bestFit="1" customWidth="1"/>
    <col min="36" max="36" width="3.88671875" style="200" bestFit="1" customWidth="1"/>
    <col min="37" max="16384" width="8.88671875" style="200"/>
  </cols>
  <sheetData>
    <row r="1" spans="1:36" x14ac:dyDescent="0.3">
      <c r="A1" s="199" t="s">
        <v>109</v>
      </c>
      <c r="B1" s="199" t="s">
        <v>110</v>
      </c>
      <c r="C1" s="199" t="s">
        <v>111</v>
      </c>
      <c r="D1" s="199" t="s">
        <v>25</v>
      </c>
      <c r="E1" s="199" t="s">
        <v>112</v>
      </c>
      <c r="F1" s="199" t="s">
        <v>113</v>
      </c>
      <c r="G1" s="199" t="s">
        <v>18</v>
      </c>
      <c r="H1" s="199" t="s">
        <v>114</v>
      </c>
      <c r="I1" s="199" t="s">
        <v>115</v>
      </c>
      <c r="J1" s="199" t="s">
        <v>116</v>
      </c>
      <c r="K1" s="199" t="s">
        <v>117</v>
      </c>
      <c r="L1" s="199" t="s">
        <v>20</v>
      </c>
      <c r="M1" s="199" t="s">
        <v>22</v>
      </c>
      <c r="N1" s="199" t="s">
        <v>23</v>
      </c>
      <c r="O1" s="199" t="s">
        <v>21</v>
      </c>
      <c r="P1" s="199" t="s">
        <v>24</v>
      </c>
      <c r="Q1" s="199" t="s">
        <v>118</v>
      </c>
      <c r="R1" s="199" t="s">
        <v>119</v>
      </c>
      <c r="S1" s="199" t="s">
        <v>120</v>
      </c>
      <c r="T1" s="199" t="s">
        <v>121</v>
      </c>
      <c r="U1" s="199" t="s">
        <v>122</v>
      </c>
      <c r="V1" s="199" t="s">
        <v>123</v>
      </c>
      <c r="W1" s="199" t="s">
        <v>124</v>
      </c>
      <c r="X1" s="199" t="s">
        <v>125</v>
      </c>
      <c r="Y1" s="199" t="s">
        <v>126</v>
      </c>
      <c r="Z1" s="199" t="s">
        <v>127</v>
      </c>
      <c r="AA1" s="199" t="s">
        <v>128</v>
      </c>
      <c r="AB1" s="199" t="s">
        <v>129</v>
      </c>
      <c r="AC1" s="199" t="s">
        <v>130</v>
      </c>
      <c r="AD1" s="199" t="s">
        <v>131</v>
      </c>
      <c r="AE1" s="199" t="s">
        <v>132</v>
      </c>
      <c r="AF1" s="199" t="s">
        <v>133</v>
      </c>
      <c r="AG1" s="199" t="s">
        <v>134</v>
      </c>
      <c r="AH1" s="199" t="s">
        <v>135</v>
      </c>
      <c r="AI1" s="199" t="s">
        <v>136</v>
      </c>
      <c r="AJ1" s="199" t="s">
        <v>137</v>
      </c>
    </row>
    <row r="2" spans="1:36" x14ac:dyDescent="0.3">
      <c r="A2" s="201" t="s">
        <v>138</v>
      </c>
      <c r="B2" s="202">
        <v>46018</v>
      </c>
      <c r="C2" s="203" t="s">
        <v>222</v>
      </c>
      <c r="D2" s="204" t="s">
        <v>245</v>
      </c>
      <c r="E2" s="203" t="s">
        <v>220</v>
      </c>
      <c r="F2" s="203" t="s">
        <v>140</v>
      </c>
      <c r="G2" s="205">
        <v>3.5700000000000003E-2</v>
      </c>
      <c r="H2" s="206">
        <v>168</v>
      </c>
      <c r="I2" s="206">
        <v>6</v>
      </c>
      <c r="J2" s="206">
        <v>0</v>
      </c>
      <c r="K2" s="203" t="s">
        <v>141</v>
      </c>
      <c r="L2" s="207" t="s">
        <v>36</v>
      </c>
      <c r="M2" s="206">
        <v>0</v>
      </c>
      <c r="N2" s="206">
        <v>3</v>
      </c>
      <c r="O2" s="206">
        <v>3</v>
      </c>
      <c r="P2" s="203" t="s">
        <v>223</v>
      </c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206" t="s">
        <v>159</v>
      </c>
      <c r="AG2" s="199"/>
      <c r="AH2" s="199"/>
      <c r="AI2" s="199"/>
      <c r="AJ2" s="199"/>
    </row>
    <row r="3" spans="1:36" x14ac:dyDescent="0.3">
      <c r="A3" s="201" t="s">
        <v>246</v>
      </c>
      <c r="B3" s="202">
        <v>46020</v>
      </c>
      <c r="C3" s="203" t="s">
        <v>222</v>
      </c>
      <c r="D3" s="204" t="s">
        <v>247</v>
      </c>
      <c r="E3" s="203" t="s">
        <v>220</v>
      </c>
      <c r="F3" s="203" t="s">
        <v>140</v>
      </c>
      <c r="G3" s="205">
        <v>1.7899999999999999E-2</v>
      </c>
      <c r="H3" s="206">
        <v>168</v>
      </c>
      <c r="I3" s="206">
        <v>3</v>
      </c>
      <c r="J3" s="206">
        <v>0</v>
      </c>
      <c r="K3" s="203" t="s">
        <v>141</v>
      </c>
      <c r="L3" s="207" t="s">
        <v>32</v>
      </c>
      <c r="M3" s="206">
        <v>0</v>
      </c>
      <c r="N3" s="206">
        <v>0</v>
      </c>
      <c r="O3" s="206">
        <v>2</v>
      </c>
      <c r="P3" s="203" t="s">
        <v>33</v>
      </c>
      <c r="Q3" s="199"/>
      <c r="R3" s="199"/>
      <c r="S3" s="199"/>
      <c r="T3" s="199"/>
      <c r="U3" s="199"/>
      <c r="V3" s="199"/>
      <c r="W3" s="199"/>
      <c r="X3" s="199"/>
      <c r="Y3" s="199"/>
      <c r="Z3" s="206" t="s">
        <v>142</v>
      </c>
      <c r="AA3" s="199"/>
      <c r="AB3" s="199"/>
      <c r="AC3" s="199"/>
      <c r="AD3" s="199"/>
      <c r="AE3" s="199"/>
      <c r="AF3" s="206" t="s">
        <v>198</v>
      </c>
      <c r="AG3" s="199"/>
      <c r="AH3" s="199"/>
      <c r="AI3" s="199"/>
      <c r="AJ3" s="199"/>
    </row>
    <row r="4" spans="1:36" x14ac:dyDescent="0.3">
      <c r="A4" s="201" t="s">
        <v>153</v>
      </c>
      <c r="B4" s="202">
        <v>46021</v>
      </c>
      <c r="C4" s="203" t="s">
        <v>222</v>
      </c>
      <c r="D4" s="204" t="s">
        <v>248</v>
      </c>
      <c r="E4" s="203" t="s">
        <v>220</v>
      </c>
      <c r="F4" s="203" t="s">
        <v>140</v>
      </c>
      <c r="G4" s="205">
        <v>2.98E-2</v>
      </c>
      <c r="H4" s="206">
        <v>168</v>
      </c>
      <c r="I4" s="206">
        <v>5</v>
      </c>
      <c r="J4" s="206">
        <v>0</v>
      </c>
      <c r="K4" s="203" t="s">
        <v>141</v>
      </c>
      <c r="L4" s="207" t="s">
        <v>42</v>
      </c>
      <c r="M4" s="206">
        <v>0</v>
      </c>
      <c r="N4" s="206">
        <v>0</v>
      </c>
      <c r="O4" s="206">
        <v>3</v>
      </c>
      <c r="P4" s="203" t="s">
        <v>225</v>
      </c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206" t="s">
        <v>226</v>
      </c>
      <c r="AG4" s="199"/>
      <c r="AH4" s="199"/>
      <c r="AI4" s="199"/>
      <c r="AJ4" s="199"/>
    </row>
    <row r="5" spans="1:36" x14ac:dyDescent="0.3">
      <c r="A5" s="201" t="s">
        <v>138</v>
      </c>
      <c r="B5" s="202">
        <v>46025</v>
      </c>
      <c r="C5" s="203" t="s">
        <v>222</v>
      </c>
      <c r="D5" s="204" t="s">
        <v>245</v>
      </c>
      <c r="E5" s="203" t="s">
        <v>220</v>
      </c>
      <c r="F5" s="203" t="s">
        <v>140</v>
      </c>
      <c r="G5" s="205">
        <v>4.7600000000000003E-2</v>
      </c>
      <c r="H5" s="206">
        <v>168</v>
      </c>
      <c r="I5" s="206">
        <v>8</v>
      </c>
      <c r="J5" s="206">
        <v>0</v>
      </c>
      <c r="K5" s="203" t="s">
        <v>141</v>
      </c>
      <c r="L5" s="207" t="s">
        <v>44</v>
      </c>
      <c r="M5" s="206">
        <v>0</v>
      </c>
      <c r="N5" s="206">
        <v>0</v>
      </c>
      <c r="O5" s="206">
        <v>8</v>
      </c>
      <c r="P5" s="203" t="s">
        <v>226</v>
      </c>
      <c r="Q5" s="199"/>
      <c r="R5" s="199"/>
      <c r="S5" s="199"/>
      <c r="T5" s="199"/>
      <c r="U5" s="199"/>
      <c r="V5" s="199"/>
      <c r="W5" s="199"/>
      <c r="X5" s="199"/>
      <c r="Y5" s="199"/>
      <c r="Z5" s="206" t="s">
        <v>176</v>
      </c>
      <c r="AA5" s="199"/>
      <c r="AB5" s="199"/>
      <c r="AC5" s="199"/>
      <c r="AD5" s="199"/>
      <c r="AE5" s="199"/>
      <c r="AF5" s="206" t="s">
        <v>225</v>
      </c>
      <c r="AG5" s="199"/>
      <c r="AH5" s="199"/>
      <c r="AI5" s="199"/>
      <c r="AJ5" s="199"/>
    </row>
    <row r="6" spans="1:36" x14ac:dyDescent="0.3">
      <c r="A6" s="201" t="s">
        <v>246</v>
      </c>
      <c r="B6" s="202">
        <v>46027</v>
      </c>
      <c r="C6" s="203" t="s">
        <v>222</v>
      </c>
      <c r="D6" s="204" t="s">
        <v>247</v>
      </c>
      <c r="E6" s="203" t="s">
        <v>220</v>
      </c>
      <c r="F6" s="203" t="s">
        <v>140</v>
      </c>
      <c r="G6" s="205">
        <v>1.0713999999999999</v>
      </c>
      <c r="H6" s="206">
        <v>168</v>
      </c>
      <c r="I6" s="206">
        <v>180</v>
      </c>
      <c r="J6" s="206">
        <v>180</v>
      </c>
      <c r="K6" s="203" t="s">
        <v>141</v>
      </c>
      <c r="L6" s="207" t="s">
        <v>195</v>
      </c>
      <c r="M6" s="206">
        <v>0</v>
      </c>
      <c r="N6" s="206">
        <v>0</v>
      </c>
      <c r="O6" s="206">
        <v>3</v>
      </c>
      <c r="P6" s="203" t="s">
        <v>33</v>
      </c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206" t="s">
        <v>55</v>
      </c>
      <c r="AJ6" s="199"/>
    </row>
    <row r="7" spans="1:36" x14ac:dyDescent="0.3">
      <c r="A7" s="201" t="s">
        <v>153</v>
      </c>
      <c r="B7" s="202">
        <v>46028</v>
      </c>
      <c r="C7" s="203" t="s">
        <v>222</v>
      </c>
      <c r="D7" s="204" t="s">
        <v>248</v>
      </c>
      <c r="E7" s="203" t="s">
        <v>220</v>
      </c>
      <c r="F7" s="203" t="s">
        <v>140</v>
      </c>
      <c r="G7" s="205">
        <v>0.29170000000000001</v>
      </c>
      <c r="H7" s="206">
        <v>168</v>
      </c>
      <c r="I7" s="206">
        <v>49</v>
      </c>
      <c r="J7" s="206">
        <v>45</v>
      </c>
      <c r="K7" s="203" t="s">
        <v>141</v>
      </c>
      <c r="L7" s="207" t="s">
        <v>44</v>
      </c>
      <c r="M7" s="206">
        <v>0</v>
      </c>
      <c r="N7" s="206">
        <v>0</v>
      </c>
      <c r="O7" s="206">
        <v>5</v>
      </c>
      <c r="P7" s="203" t="s">
        <v>228</v>
      </c>
      <c r="Q7" s="199"/>
      <c r="R7" s="199"/>
      <c r="S7" s="199"/>
      <c r="T7" s="199"/>
      <c r="U7" s="199"/>
      <c r="V7" s="199"/>
      <c r="W7" s="199"/>
      <c r="X7" s="199"/>
      <c r="Y7" s="199"/>
      <c r="Z7" s="206" t="s">
        <v>218</v>
      </c>
      <c r="AA7" s="199"/>
      <c r="AB7" s="199"/>
      <c r="AC7" s="199"/>
      <c r="AD7" s="199"/>
      <c r="AE7" s="199"/>
      <c r="AF7" s="206" t="s">
        <v>198</v>
      </c>
      <c r="AG7" s="199"/>
      <c r="AH7" s="199"/>
      <c r="AI7" s="206" t="s">
        <v>161</v>
      </c>
      <c r="AJ7" s="199"/>
    </row>
    <row r="8" spans="1:36" x14ac:dyDescent="0.3">
      <c r="A8" s="201" t="s">
        <v>213</v>
      </c>
      <c r="B8" s="202">
        <v>46029</v>
      </c>
      <c r="C8" s="203" t="s">
        <v>230</v>
      </c>
      <c r="D8" s="204" t="s">
        <v>249</v>
      </c>
      <c r="E8" s="203" t="s">
        <v>220</v>
      </c>
      <c r="F8" s="203" t="s">
        <v>140</v>
      </c>
      <c r="G8" s="205">
        <v>0.69640000000000002</v>
      </c>
      <c r="H8" s="206">
        <v>168</v>
      </c>
      <c r="I8" s="206">
        <v>117</v>
      </c>
      <c r="J8" s="206">
        <v>115</v>
      </c>
      <c r="K8" s="203" t="s">
        <v>141</v>
      </c>
      <c r="L8" s="207" t="s">
        <v>53</v>
      </c>
      <c r="M8" s="206">
        <v>0</v>
      </c>
      <c r="N8" s="206">
        <v>0</v>
      </c>
      <c r="O8" s="206">
        <v>4</v>
      </c>
      <c r="P8" s="203" t="s">
        <v>231</v>
      </c>
      <c r="Q8" s="199"/>
      <c r="R8" s="199"/>
      <c r="S8" s="199"/>
      <c r="T8" s="199"/>
      <c r="U8" s="199"/>
      <c r="V8" s="199"/>
      <c r="W8" s="199"/>
      <c r="X8" s="199"/>
      <c r="Y8" s="199"/>
      <c r="Z8" s="206" t="s">
        <v>218</v>
      </c>
      <c r="AA8" s="199"/>
      <c r="AB8" s="199"/>
      <c r="AC8" s="199"/>
      <c r="AD8" s="199"/>
      <c r="AE8" s="199"/>
      <c r="AF8" s="199"/>
      <c r="AG8" s="206" t="s">
        <v>250</v>
      </c>
      <c r="AH8" s="199"/>
      <c r="AI8" s="206" t="s">
        <v>161</v>
      </c>
      <c r="AJ8" s="199"/>
    </row>
    <row r="9" spans="1:36" x14ac:dyDescent="0.3">
      <c r="A9" s="201" t="s">
        <v>138</v>
      </c>
      <c r="B9" s="202">
        <v>46032</v>
      </c>
      <c r="C9" s="203" t="s">
        <v>222</v>
      </c>
      <c r="D9" s="204" t="s">
        <v>245</v>
      </c>
      <c r="E9" s="203" t="s">
        <v>220</v>
      </c>
      <c r="F9" s="203" t="s">
        <v>140</v>
      </c>
      <c r="G9" s="205">
        <v>2.3800000000000002E-2</v>
      </c>
      <c r="H9" s="206">
        <v>168</v>
      </c>
      <c r="I9" s="206">
        <v>4</v>
      </c>
      <c r="J9" s="206">
        <v>0</v>
      </c>
      <c r="K9" s="203" t="s">
        <v>141</v>
      </c>
      <c r="L9" s="207" t="s">
        <v>49</v>
      </c>
      <c r="M9" s="206">
        <v>0</v>
      </c>
      <c r="N9" s="206">
        <v>0</v>
      </c>
      <c r="O9" s="206">
        <v>4</v>
      </c>
      <c r="P9" s="203" t="s">
        <v>159</v>
      </c>
      <c r="Q9" s="199"/>
      <c r="R9" s="199"/>
      <c r="S9" s="199"/>
      <c r="T9" s="199"/>
      <c r="U9" s="199"/>
      <c r="V9" s="199"/>
      <c r="W9" s="199"/>
      <c r="X9" s="199"/>
      <c r="Y9" s="199"/>
      <c r="Z9" s="206" t="s">
        <v>142</v>
      </c>
      <c r="AA9" s="199"/>
      <c r="AB9" s="199"/>
      <c r="AC9" s="199"/>
      <c r="AD9" s="199"/>
      <c r="AE9" s="199"/>
      <c r="AF9" s="206" t="s">
        <v>223</v>
      </c>
      <c r="AG9" s="199"/>
      <c r="AH9" s="199"/>
      <c r="AI9" s="199"/>
      <c r="AJ9" s="199"/>
    </row>
    <row r="10" spans="1:36" x14ac:dyDescent="0.3">
      <c r="A10" s="201" t="s">
        <v>246</v>
      </c>
      <c r="B10" s="202">
        <v>46034</v>
      </c>
      <c r="C10" s="203" t="s">
        <v>222</v>
      </c>
      <c r="D10" s="204" t="s">
        <v>247</v>
      </c>
      <c r="E10" s="203" t="s">
        <v>220</v>
      </c>
      <c r="F10" s="203" t="s">
        <v>140</v>
      </c>
      <c r="G10" s="205">
        <v>0.53569999999999995</v>
      </c>
      <c r="H10" s="206">
        <v>168</v>
      </c>
      <c r="I10" s="206">
        <v>90</v>
      </c>
      <c r="J10" s="206">
        <v>90</v>
      </c>
      <c r="K10" s="203" t="s">
        <v>141</v>
      </c>
      <c r="L10" s="207" t="s">
        <v>70</v>
      </c>
      <c r="M10" s="206">
        <v>0</v>
      </c>
      <c r="N10" s="206">
        <v>0</v>
      </c>
      <c r="O10" s="206">
        <v>2</v>
      </c>
      <c r="P10" s="203" t="s">
        <v>231</v>
      </c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206" t="s">
        <v>152</v>
      </c>
      <c r="AJ10" s="199"/>
    </row>
    <row r="11" spans="1:36" x14ac:dyDescent="0.3">
      <c r="A11" s="201" t="s">
        <v>213</v>
      </c>
      <c r="B11" s="202">
        <v>46036</v>
      </c>
      <c r="C11" s="203" t="s">
        <v>230</v>
      </c>
      <c r="D11" s="204" t="s">
        <v>249</v>
      </c>
      <c r="E11" s="203" t="s">
        <v>220</v>
      </c>
      <c r="F11" s="203" t="s">
        <v>140</v>
      </c>
      <c r="G11" s="205">
        <v>0.54759999999999998</v>
      </c>
      <c r="H11" s="206">
        <v>168</v>
      </c>
      <c r="I11" s="206">
        <v>92</v>
      </c>
      <c r="J11" s="206">
        <v>90</v>
      </c>
      <c r="K11" s="203" t="s">
        <v>141</v>
      </c>
      <c r="L11" s="207" t="s">
        <v>94</v>
      </c>
      <c r="M11" s="206">
        <v>0</v>
      </c>
      <c r="N11" s="206">
        <v>0</v>
      </c>
      <c r="O11" s="206">
        <v>4</v>
      </c>
      <c r="P11" s="203" t="s">
        <v>228</v>
      </c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206" t="s">
        <v>198</v>
      </c>
      <c r="AG11" s="199"/>
      <c r="AH11" s="199"/>
      <c r="AI11" s="206" t="s">
        <v>152</v>
      </c>
      <c r="AJ11" s="199"/>
    </row>
    <row r="12" spans="1:36" x14ac:dyDescent="0.3">
      <c r="A12" s="201" t="s">
        <v>138</v>
      </c>
      <c r="B12" s="202">
        <v>46039</v>
      </c>
      <c r="C12" s="203" t="s">
        <v>222</v>
      </c>
      <c r="D12" s="204" t="s">
        <v>245</v>
      </c>
      <c r="E12" s="203" t="s">
        <v>220</v>
      </c>
      <c r="F12" s="203" t="s">
        <v>140</v>
      </c>
      <c r="G12" s="205">
        <v>3.5700000000000003E-2</v>
      </c>
      <c r="H12" s="206">
        <v>168</v>
      </c>
      <c r="I12" s="206">
        <v>6</v>
      </c>
      <c r="J12" s="206">
        <v>0</v>
      </c>
      <c r="K12" s="203" t="s">
        <v>141</v>
      </c>
      <c r="L12" s="207" t="s">
        <v>49</v>
      </c>
      <c r="M12" s="206">
        <v>0</v>
      </c>
      <c r="N12" s="206">
        <v>0</v>
      </c>
      <c r="O12" s="206">
        <v>6</v>
      </c>
      <c r="P12" s="203" t="s">
        <v>228</v>
      </c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206" t="s">
        <v>74</v>
      </c>
      <c r="AF12" s="206" t="s">
        <v>198</v>
      </c>
      <c r="AG12" s="199"/>
      <c r="AH12" s="199"/>
      <c r="AI12" s="199"/>
      <c r="AJ12" s="199"/>
    </row>
    <row r="13" spans="1:36" x14ac:dyDescent="0.3">
      <c r="A13" s="201" t="s">
        <v>246</v>
      </c>
      <c r="B13" s="202">
        <v>46041</v>
      </c>
      <c r="C13" s="203" t="s">
        <v>222</v>
      </c>
      <c r="D13" s="204" t="s">
        <v>247</v>
      </c>
      <c r="E13" s="203" t="s">
        <v>220</v>
      </c>
      <c r="F13" s="203" t="s">
        <v>140</v>
      </c>
      <c r="G13" s="205">
        <v>1.1900000000000001E-2</v>
      </c>
      <c r="H13" s="206">
        <v>168</v>
      </c>
      <c r="I13" s="206">
        <v>2</v>
      </c>
      <c r="J13" s="206">
        <v>0</v>
      </c>
      <c r="K13" s="203" t="s">
        <v>141</v>
      </c>
      <c r="L13" s="207" t="s">
        <v>236</v>
      </c>
      <c r="M13" s="206">
        <v>0</v>
      </c>
      <c r="N13" s="206">
        <v>0</v>
      </c>
      <c r="O13" s="206">
        <v>2</v>
      </c>
      <c r="P13" s="203" t="s">
        <v>231</v>
      </c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206" t="s">
        <v>92</v>
      </c>
      <c r="AF13" s="199"/>
      <c r="AG13" s="199"/>
      <c r="AH13" s="199"/>
      <c r="AI13" s="199"/>
      <c r="AJ13" s="199"/>
    </row>
    <row r="14" spans="1:36" x14ac:dyDescent="0.3">
      <c r="A14" s="201" t="s">
        <v>213</v>
      </c>
      <c r="B14" s="202">
        <v>46043</v>
      </c>
      <c r="C14" s="203" t="s">
        <v>230</v>
      </c>
      <c r="D14" s="204" t="s">
        <v>249</v>
      </c>
      <c r="E14" s="203" t="s">
        <v>220</v>
      </c>
      <c r="F14" s="203" t="s">
        <v>140</v>
      </c>
      <c r="G14" s="205">
        <v>2.3800000000000002E-2</v>
      </c>
      <c r="H14" s="206">
        <v>168</v>
      </c>
      <c r="I14" s="206">
        <v>4</v>
      </c>
      <c r="J14" s="206">
        <v>0</v>
      </c>
      <c r="K14" s="203" t="s">
        <v>141</v>
      </c>
      <c r="L14" s="207" t="s">
        <v>49</v>
      </c>
      <c r="M14" s="206">
        <v>0</v>
      </c>
      <c r="N14" s="206">
        <v>0</v>
      </c>
      <c r="O14" s="206">
        <v>4</v>
      </c>
      <c r="P14" s="203" t="s">
        <v>159</v>
      </c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206" t="s">
        <v>177</v>
      </c>
      <c r="AF14" s="206" t="s">
        <v>223</v>
      </c>
      <c r="AG14" s="199"/>
      <c r="AH14" s="199"/>
      <c r="AI14" s="199"/>
      <c r="AJ14" s="199"/>
    </row>
    <row r="15" spans="1:36" x14ac:dyDescent="0.3">
      <c r="A15" s="201" t="s">
        <v>138</v>
      </c>
      <c r="B15" s="202">
        <v>46046</v>
      </c>
      <c r="C15" s="203" t="s">
        <v>222</v>
      </c>
      <c r="D15" s="204" t="s">
        <v>245</v>
      </c>
      <c r="E15" s="203" t="s">
        <v>220</v>
      </c>
      <c r="F15" s="203" t="s">
        <v>140</v>
      </c>
      <c r="G15" s="205">
        <v>2.98E-2</v>
      </c>
      <c r="H15" s="206">
        <v>168</v>
      </c>
      <c r="I15" s="206">
        <v>5</v>
      </c>
      <c r="J15" s="206">
        <v>0</v>
      </c>
      <c r="K15" s="203" t="s">
        <v>141</v>
      </c>
      <c r="L15" s="207" t="s">
        <v>70</v>
      </c>
      <c r="M15" s="206">
        <v>0</v>
      </c>
      <c r="N15" s="206">
        <v>0</v>
      </c>
      <c r="O15" s="206">
        <v>5</v>
      </c>
      <c r="P15" s="203" t="s">
        <v>238</v>
      </c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206" t="s">
        <v>74</v>
      </c>
      <c r="AF15" s="206" t="s">
        <v>178</v>
      </c>
      <c r="AG15" s="199"/>
      <c r="AH15" s="199"/>
      <c r="AI15" s="199"/>
      <c r="AJ15" s="199"/>
    </row>
    <row r="16" spans="1:36" x14ac:dyDescent="0.3">
      <c r="A16" s="201" t="s">
        <v>246</v>
      </c>
      <c r="B16" s="202">
        <v>46048</v>
      </c>
      <c r="C16" s="203" t="s">
        <v>222</v>
      </c>
      <c r="D16" s="204" t="s">
        <v>247</v>
      </c>
      <c r="E16" s="203" t="s">
        <v>220</v>
      </c>
      <c r="F16" s="203" t="s">
        <v>140</v>
      </c>
      <c r="G16" s="205">
        <v>1.7899999999999999E-2</v>
      </c>
      <c r="H16" s="206">
        <v>168</v>
      </c>
      <c r="I16" s="206">
        <v>3</v>
      </c>
      <c r="J16" s="206">
        <v>0</v>
      </c>
      <c r="K16" s="203" t="s">
        <v>141</v>
      </c>
      <c r="L16" s="207" t="s">
        <v>64</v>
      </c>
      <c r="M16" s="206">
        <v>0</v>
      </c>
      <c r="N16" s="206">
        <v>0</v>
      </c>
      <c r="O16" s="206">
        <v>3</v>
      </c>
      <c r="P16" s="203" t="s">
        <v>231</v>
      </c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206" t="s">
        <v>81</v>
      </c>
      <c r="AF16" s="199"/>
      <c r="AG16" s="199"/>
      <c r="AH16" s="199"/>
      <c r="AI16" s="199"/>
      <c r="AJ16" s="199"/>
    </row>
    <row r="17" spans="1:36" x14ac:dyDescent="0.3">
      <c r="A17" s="201" t="s">
        <v>138</v>
      </c>
      <c r="B17" s="202">
        <v>46053</v>
      </c>
      <c r="C17" s="203" t="s">
        <v>222</v>
      </c>
      <c r="D17" s="204" t="s">
        <v>245</v>
      </c>
      <c r="E17" s="203" t="s">
        <v>220</v>
      </c>
      <c r="F17" s="203" t="s">
        <v>140</v>
      </c>
      <c r="G17" s="205">
        <v>2.98E-2</v>
      </c>
      <c r="H17" s="206">
        <v>168</v>
      </c>
      <c r="I17" s="206">
        <v>5</v>
      </c>
      <c r="J17" s="206">
        <v>0</v>
      </c>
      <c r="K17" s="203" t="s">
        <v>141</v>
      </c>
      <c r="L17" s="207" t="s">
        <v>103</v>
      </c>
      <c r="M17" s="206">
        <v>0</v>
      </c>
      <c r="N17" s="206">
        <v>0</v>
      </c>
      <c r="O17" s="206">
        <v>5</v>
      </c>
      <c r="P17" s="203" t="s">
        <v>231</v>
      </c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206" t="s">
        <v>66</v>
      </c>
      <c r="AF17" s="199"/>
      <c r="AG17" s="199"/>
      <c r="AH17" s="199"/>
      <c r="AI17" s="199"/>
      <c r="AJ17" s="199"/>
    </row>
    <row r="18" spans="1:36" x14ac:dyDescent="0.3">
      <c r="A18" s="201" t="s">
        <v>246</v>
      </c>
      <c r="B18" s="202">
        <v>46055</v>
      </c>
      <c r="C18" s="203" t="s">
        <v>222</v>
      </c>
      <c r="D18" s="204" t="s">
        <v>247</v>
      </c>
      <c r="E18" s="203" t="s">
        <v>220</v>
      </c>
      <c r="F18" s="203" t="s">
        <v>140</v>
      </c>
      <c r="G18" s="205">
        <v>2.3800000000000002E-2</v>
      </c>
      <c r="H18" s="206">
        <v>168</v>
      </c>
      <c r="I18" s="206">
        <v>4</v>
      </c>
      <c r="J18" s="206">
        <v>0</v>
      </c>
      <c r="K18" s="203" t="s">
        <v>141</v>
      </c>
      <c r="L18" s="207" t="s">
        <v>44</v>
      </c>
      <c r="M18" s="206">
        <v>0</v>
      </c>
      <c r="N18" s="206">
        <v>0</v>
      </c>
      <c r="O18" s="206">
        <v>4</v>
      </c>
      <c r="P18" s="203" t="s">
        <v>65</v>
      </c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206" t="s">
        <v>74</v>
      </c>
      <c r="AF18" s="199"/>
      <c r="AG18" s="199"/>
      <c r="AH18" s="199"/>
      <c r="AI18" s="199"/>
      <c r="AJ18" s="199"/>
    </row>
    <row r="19" spans="1:36" x14ac:dyDescent="0.3">
      <c r="A19" s="201" t="s">
        <v>153</v>
      </c>
      <c r="B19" s="202">
        <v>46056</v>
      </c>
      <c r="C19" s="203" t="s">
        <v>222</v>
      </c>
      <c r="D19" s="204" t="s">
        <v>248</v>
      </c>
      <c r="E19" s="203" t="s">
        <v>220</v>
      </c>
      <c r="F19" s="203" t="s">
        <v>140</v>
      </c>
      <c r="G19" s="205">
        <v>4.1700000000000001E-2</v>
      </c>
      <c r="H19" s="206">
        <v>168</v>
      </c>
      <c r="I19" s="206">
        <v>7</v>
      </c>
      <c r="J19" s="206">
        <v>0</v>
      </c>
      <c r="K19" s="203" t="s">
        <v>141</v>
      </c>
      <c r="L19" s="207" t="s">
        <v>51</v>
      </c>
      <c r="M19" s="206">
        <v>0</v>
      </c>
      <c r="N19" s="206">
        <v>0</v>
      </c>
      <c r="O19" s="206">
        <v>7</v>
      </c>
      <c r="P19" s="203" t="s">
        <v>65</v>
      </c>
      <c r="Q19" s="199"/>
      <c r="R19" s="199"/>
      <c r="S19" s="199"/>
      <c r="T19" s="199"/>
      <c r="U19" s="199"/>
      <c r="V19" s="199"/>
      <c r="W19" s="199"/>
      <c r="X19" s="199"/>
      <c r="Y19" s="199"/>
      <c r="Z19" s="206" t="s">
        <v>142</v>
      </c>
      <c r="AA19" s="199"/>
      <c r="AB19" s="199"/>
      <c r="AC19" s="199"/>
      <c r="AD19" s="199"/>
      <c r="AE19" s="206" t="s">
        <v>71</v>
      </c>
      <c r="AF19" s="199"/>
      <c r="AG19" s="199"/>
      <c r="AH19" s="199"/>
      <c r="AI19" s="199"/>
      <c r="AJ19" s="199"/>
    </row>
    <row r="20" spans="1:36" x14ac:dyDescent="0.3">
      <c r="A20" s="201" t="s">
        <v>213</v>
      </c>
      <c r="B20" s="202">
        <v>46057</v>
      </c>
      <c r="C20" s="203" t="s">
        <v>230</v>
      </c>
      <c r="D20" s="204" t="s">
        <v>249</v>
      </c>
      <c r="E20" s="203" t="s">
        <v>220</v>
      </c>
      <c r="F20" s="203" t="s">
        <v>140</v>
      </c>
      <c r="G20" s="205">
        <v>6.0000000000000001E-3</v>
      </c>
      <c r="H20" s="206">
        <v>168</v>
      </c>
      <c r="I20" s="206">
        <v>1</v>
      </c>
      <c r="J20" s="206">
        <v>0</v>
      </c>
      <c r="K20" s="203" t="s">
        <v>141</v>
      </c>
      <c r="L20" s="207" t="s">
        <v>241</v>
      </c>
      <c r="M20" s="206">
        <v>0</v>
      </c>
      <c r="N20" s="206">
        <v>0</v>
      </c>
      <c r="O20" s="206">
        <v>1</v>
      </c>
      <c r="P20" s="203" t="s">
        <v>65</v>
      </c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206" t="s">
        <v>177</v>
      </c>
      <c r="AF20" s="199"/>
      <c r="AG20" s="199"/>
      <c r="AH20" s="199"/>
      <c r="AI20" s="199"/>
      <c r="AJ20" s="199"/>
    </row>
    <row r="21" spans="1:36" x14ac:dyDescent="0.3">
      <c r="A21" s="201" t="s">
        <v>246</v>
      </c>
      <c r="B21" s="202">
        <v>46062</v>
      </c>
      <c r="C21" s="203" t="s">
        <v>222</v>
      </c>
      <c r="D21" s="204" t="s">
        <v>247</v>
      </c>
      <c r="E21" s="203" t="s">
        <v>220</v>
      </c>
      <c r="F21" s="203" t="s">
        <v>140</v>
      </c>
      <c r="G21" s="205">
        <v>2.3800000000000002E-2</v>
      </c>
      <c r="H21" s="206">
        <v>168</v>
      </c>
      <c r="I21" s="206">
        <v>4</v>
      </c>
      <c r="J21" s="206">
        <v>0</v>
      </c>
      <c r="K21" s="203" t="s">
        <v>141</v>
      </c>
      <c r="L21" s="207" t="s">
        <v>49</v>
      </c>
      <c r="M21" s="206">
        <v>0</v>
      </c>
      <c r="N21" s="206">
        <v>0</v>
      </c>
      <c r="O21" s="206">
        <v>4</v>
      </c>
      <c r="P21" s="203" t="s">
        <v>65</v>
      </c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206" t="s">
        <v>74</v>
      </c>
      <c r="AF21" s="199"/>
      <c r="AG21" s="199"/>
      <c r="AH21" s="199"/>
      <c r="AI21" s="199"/>
      <c r="AJ21" s="199"/>
    </row>
    <row r="22" spans="1:36" x14ac:dyDescent="0.3">
      <c r="A22" s="201" t="s">
        <v>153</v>
      </c>
      <c r="B22" s="202">
        <v>46063</v>
      </c>
      <c r="C22" s="203" t="s">
        <v>222</v>
      </c>
      <c r="D22" s="204" t="s">
        <v>248</v>
      </c>
      <c r="E22" s="203" t="s">
        <v>220</v>
      </c>
      <c r="F22" s="203" t="s">
        <v>140</v>
      </c>
      <c r="G22" s="205">
        <v>6.0000000000000001E-3</v>
      </c>
      <c r="H22" s="206">
        <v>168</v>
      </c>
      <c r="I22" s="206">
        <v>1</v>
      </c>
      <c r="J22" s="206">
        <v>0</v>
      </c>
      <c r="K22" s="203" t="s">
        <v>141</v>
      </c>
      <c r="L22" s="207" t="s">
        <v>242</v>
      </c>
      <c r="M22" s="206">
        <v>0</v>
      </c>
      <c r="N22" s="206">
        <v>0</v>
      </c>
      <c r="O22" s="206">
        <v>1</v>
      </c>
      <c r="P22" s="203" t="s">
        <v>65</v>
      </c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206" t="s">
        <v>177</v>
      </c>
      <c r="AF22" s="199"/>
      <c r="AG22" s="199"/>
      <c r="AH22" s="199"/>
      <c r="AI22" s="199"/>
      <c r="AJ22" s="199"/>
    </row>
    <row r="23" spans="1:36" x14ac:dyDescent="0.3">
      <c r="A23" s="201" t="s">
        <v>213</v>
      </c>
      <c r="B23" s="202">
        <v>46064</v>
      </c>
      <c r="C23" s="203" t="s">
        <v>230</v>
      </c>
      <c r="D23" s="204" t="s">
        <v>249</v>
      </c>
      <c r="E23" s="203" t="s">
        <v>220</v>
      </c>
      <c r="F23" s="203" t="s">
        <v>140</v>
      </c>
      <c r="G23" s="205">
        <v>3.5700000000000003E-2</v>
      </c>
      <c r="H23" s="206">
        <v>168</v>
      </c>
      <c r="I23" s="206">
        <v>6</v>
      </c>
      <c r="J23" s="206">
        <v>0</v>
      </c>
      <c r="K23" s="203" t="s">
        <v>141</v>
      </c>
      <c r="L23" s="207" t="s">
        <v>106</v>
      </c>
      <c r="M23" s="206">
        <v>0</v>
      </c>
      <c r="N23" s="206">
        <v>0</v>
      </c>
      <c r="O23" s="206">
        <v>6</v>
      </c>
      <c r="P23" s="203" t="s">
        <v>65</v>
      </c>
      <c r="Q23" s="199"/>
      <c r="R23" s="199"/>
      <c r="S23" s="199"/>
      <c r="T23" s="199"/>
      <c r="U23" s="199"/>
      <c r="V23" s="199"/>
      <c r="W23" s="199"/>
      <c r="X23" s="199"/>
      <c r="Y23" s="199"/>
      <c r="Z23" s="206" t="s">
        <v>218</v>
      </c>
      <c r="AA23" s="199"/>
      <c r="AB23" s="199"/>
      <c r="AC23" s="199"/>
      <c r="AD23" s="199"/>
      <c r="AE23" s="206" t="s">
        <v>74</v>
      </c>
      <c r="AF23" s="199"/>
      <c r="AG23" s="199"/>
      <c r="AH23" s="199"/>
      <c r="AI23" s="199"/>
      <c r="AJ23" s="199"/>
    </row>
    <row r="24" spans="1:36" x14ac:dyDescent="0.3">
      <c r="A24" s="201" t="s">
        <v>138</v>
      </c>
      <c r="B24" s="202">
        <v>46067</v>
      </c>
      <c r="C24" s="203" t="s">
        <v>222</v>
      </c>
      <c r="D24" s="204" t="s">
        <v>245</v>
      </c>
      <c r="E24" s="203" t="s">
        <v>220</v>
      </c>
      <c r="F24" s="203" t="s">
        <v>140</v>
      </c>
      <c r="G24" s="205">
        <v>5.3600000000000002E-2</v>
      </c>
      <c r="H24" s="206">
        <v>168</v>
      </c>
      <c r="I24" s="206">
        <v>9</v>
      </c>
      <c r="J24" s="206">
        <v>0</v>
      </c>
      <c r="K24" s="203" t="s">
        <v>141</v>
      </c>
      <c r="L24" s="207" t="s">
        <v>244</v>
      </c>
      <c r="M24" s="206">
        <v>0</v>
      </c>
      <c r="N24" s="206">
        <v>0</v>
      </c>
      <c r="O24" s="206">
        <v>9</v>
      </c>
      <c r="P24" s="203" t="s">
        <v>75</v>
      </c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206" t="s">
        <v>65</v>
      </c>
      <c r="AF24" s="199"/>
      <c r="AG24" s="199"/>
      <c r="AH24" s="199"/>
      <c r="AI24" s="199"/>
      <c r="AJ24" s="199"/>
    </row>
    <row r="25" spans="1:36" x14ac:dyDescent="0.3">
      <c r="A25" s="201" t="s">
        <v>153</v>
      </c>
      <c r="B25" s="202">
        <v>46070</v>
      </c>
      <c r="C25" s="203" t="s">
        <v>222</v>
      </c>
      <c r="D25" s="204" t="s">
        <v>248</v>
      </c>
      <c r="E25" s="203" t="s">
        <v>220</v>
      </c>
      <c r="F25" s="203" t="s">
        <v>140</v>
      </c>
      <c r="G25" s="205">
        <v>6.0000000000000001E-3</v>
      </c>
      <c r="H25" s="206">
        <v>168</v>
      </c>
      <c r="I25" s="206">
        <v>1</v>
      </c>
      <c r="J25" s="206">
        <v>0</v>
      </c>
      <c r="K25" s="203" t="s">
        <v>141</v>
      </c>
      <c r="L25" s="207" t="s">
        <v>94</v>
      </c>
      <c r="M25" s="206">
        <v>0</v>
      </c>
      <c r="N25" s="206">
        <v>0</v>
      </c>
      <c r="O25" s="206">
        <v>1</v>
      </c>
      <c r="P25" s="203" t="s">
        <v>96</v>
      </c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206" t="s">
        <v>97</v>
      </c>
      <c r="AD25" s="199"/>
      <c r="AE25" s="199"/>
      <c r="AF25" s="199"/>
      <c r="AG25" s="199"/>
      <c r="AH25" s="199"/>
      <c r="AI25" s="199"/>
      <c r="AJ25" s="199"/>
    </row>
    <row r="26" spans="1:36" x14ac:dyDescent="0.3">
      <c r="A26" s="201" t="s">
        <v>213</v>
      </c>
      <c r="B26" s="202">
        <v>46071</v>
      </c>
      <c r="C26" s="203" t="s">
        <v>230</v>
      </c>
      <c r="D26" s="204" t="s">
        <v>249</v>
      </c>
      <c r="E26" s="203" t="s">
        <v>220</v>
      </c>
      <c r="F26" s="203" t="s">
        <v>140</v>
      </c>
      <c r="G26" s="205">
        <v>0</v>
      </c>
      <c r="H26" s="206">
        <v>168</v>
      </c>
      <c r="I26" s="206">
        <v>0</v>
      </c>
      <c r="J26" s="206">
        <v>0</v>
      </c>
      <c r="K26" s="203" t="s">
        <v>141</v>
      </c>
      <c r="L26" s="207" t="s">
        <v>73</v>
      </c>
      <c r="M26" s="206">
        <v>0</v>
      </c>
      <c r="N26" s="206">
        <v>0</v>
      </c>
      <c r="O26" s="206">
        <v>0</v>
      </c>
      <c r="P26" s="203" t="s">
        <v>96</v>
      </c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199"/>
      <c r="AJ26" s="199"/>
    </row>
    <row r="27" spans="1:36" x14ac:dyDescent="0.3">
      <c r="A27" s="201" t="s">
        <v>138</v>
      </c>
      <c r="B27" s="202">
        <v>46074</v>
      </c>
      <c r="C27" s="203" t="s">
        <v>222</v>
      </c>
      <c r="D27" s="204" t="s">
        <v>245</v>
      </c>
      <c r="E27" s="203" t="s">
        <v>220</v>
      </c>
      <c r="F27" s="203" t="s">
        <v>140</v>
      </c>
      <c r="G27" s="205">
        <v>0</v>
      </c>
      <c r="H27" s="206">
        <v>168</v>
      </c>
      <c r="I27" s="206">
        <v>0</v>
      </c>
      <c r="J27" s="206">
        <v>0</v>
      </c>
      <c r="K27" s="203" t="s">
        <v>141</v>
      </c>
      <c r="L27" s="207" t="s">
        <v>73</v>
      </c>
      <c r="M27" s="206">
        <v>0</v>
      </c>
      <c r="N27" s="206">
        <v>0</v>
      </c>
      <c r="O27" s="206">
        <v>0</v>
      </c>
      <c r="P27" s="203" t="s">
        <v>96</v>
      </c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</row>
    <row r="28" spans="1:36" x14ac:dyDescent="0.3">
      <c r="A28" s="201" t="s">
        <v>246</v>
      </c>
      <c r="B28" s="202">
        <v>46076</v>
      </c>
      <c r="C28" s="203" t="s">
        <v>222</v>
      </c>
      <c r="D28" s="204" t="s">
        <v>247</v>
      </c>
      <c r="E28" s="203" t="s">
        <v>220</v>
      </c>
      <c r="F28" s="203" t="s">
        <v>140</v>
      </c>
      <c r="G28" s="205">
        <v>6.0000000000000001E-3</v>
      </c>
      <c r="H28" s="206">
        <v>168</v>
      </c>
      <c r="I28" s="206">
        <v>1</v>
      </c>
      <c r="J28" s="206">
        <v>0</v>
      </c>
      <c r="K28" s="203" t="s">
        <v>141</v>
      </c>
      <c r="L28" s="207" t="s">
        <v>47</v>
      </c>
      <c r="M28" s="206">
        <v>0</v>
      </c>
      <c r="N28" s="206">
        <v>0</v>
      </c>
      <c r="O28" s="206">
        <v>1</v>
      </c>
      <c r="P28" s="203" t="s">
        <v>96</v>
      </c>
      <c r="Q28" s="199"/>
      <c r="R28" s="199"/>
      <c r="S28" s="199"/>
      <c r="T28" s="199"/>
      <c r="U28" s="199"/>
      <c r="V28" s="199"/>
      <c r="W28" s="199"/>
      <c r="X28" s="199"/>
      <c r="Y28" s="199"/>
      <c r="Z28" s="206" t="s">
        <v>142</v>
      </c>
      <c r="AA28" s="199"/>
      <c r="AB28" s="199"/>
      <c r="AC28" s="199"/>
      <c r="AD28" s="199"/>
      <c r="AE28" s="199"/>
      <c r="AF28" s="199"/>
      <c r="AG28" s="199"/>
      <c r="AH28" s="199"/>
      <c r="AI28" s="199"/>
      <c r="AJ28" s="199"/>
    </row>
    <row r="29" spans="1:36" x14ac:dyDescent="0.3">
      <c r="A29" s="201" t="s">
        <v>153</v>
      </c>
      <c r="B29" s="202">
        <v>46077</v>
      </c>
      <c r="C29" s="203" t="s">
        <v>222</v>
      </c>
      <c r="D29" s="204" t="s">
        <v>248</v>
      </c>
      <c r="E29" s="203" t="s">
        <v>220</v>
      </c>
      <c r="F29" s="203" t="s">
        <v>140</v>
      </c>
      <c r="G29" s="205">
        <v>0</v>
      </c>
      <c r="H29" s="206">
        <v>168</v>
      </c>
      <c r="I29" s="206">
        <v>0</v>
      </c>
      <c r="J29" s="206">
        <v>0</v>
      </c>
      <c r="K29" s="203" t="s">
        <v>141</v>
      </c>
      <c r="L29" s="207" t="s">
        <v>73</v>
      </c>
      <c r="M29" s="206">
        <v>0</v>
      </c>
      <c r="N29" s="206">
        <v>0</v>
      </c>
      <c r="O29" s="206">
        <v>0</v>
      </c>
      <c r="P29" s="203" t="s">
        <v>96</v>
      </c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199"/>
      <c r="AJ29" s="199"/>
    </row>
    <row r="30" spans="1:36" x14ac:dyDescent="0.3">
      <c r="A30" s="201" t="s">
        <v>138</v>
      </c>
      <c r="B30" s="202">
        <v>46081</v>
      </c>
      <c r="C30" s="203" t="s">
        <v>222</v>
      </c>
      <c r="D30" s="204" t="s">
        <v>245</v>
      </c>
      <c r="E30" s="203" t="s">
        <v>220</v>
      </c>
      <c r="F30" s="203" t="s">
        <v>140</v>
      </c>
      <c r="G30" s="205">
        <v>2.3800000000000002E-2</v>
      </c>
      <c r="H30" s="206">
        <v>168</v>
      </c>
      <c r="I30" s="206">
        <v>4</v>
      </c>
      <c r="J30" s="206">
        <v>0</v>
      </c>
      <c r="K30" s="203" t="s">
        <v>141</v>
      </c>
      <c r="L30" s="207" t="s">
        <v>49</v>
      </c>
      <c r="M30" s="206">
        <v>0</v>
      </c>
      <c r="N30" s="206">
        <v>0</v>
      </c>
      <c r="O30" s="206">
        <v>4</v>
      </c>
      <c r="P30" s="203" t="s">
        <v>96</v>
      </c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206" t="s">
        <v>99</v>
      </c>
      <c r="AD30" s="199"/>
      <c r="AE30" s="199"/>
      <c r="AF30" s="199"/>
      <c r="AG30" s="199"/>
      <c r="AH30" s="199"/>
      <c r="AI30" s="199"/>
      <c r="AJ30" s="199"/>
    </row>
    <row r="31" spans="1:36" ht="21" x14ac:dyDescent="0.3">
      <c r="A31" s="208" t="s">
        <v>251</v>
      </c>
      <c r="B31" s="209"/>
      <c r="C31" s="208">
        <f>SUBTOTAL(103,MED_ATZ_LF_LEGACY[Flt])</f>
        <v>29</v>
      </c>
      <c r="D31" s="208"/>
      <c r="E31" s="208">
        <f>SUBTOTAL(103,MED_ATZ_LF_LEGACY[Brd-Off])</f>
        <v>29</v>
      </c>
      <c r="F31" s="208"/>
      <c r="G31" s="210">
        <f>SUBTOTAL(101,MED_ATZ_LF_LEGACY[LF%])</f>
        <v>0.12665172413793099</v>
      </c>
      <c r="H31" s="211">
        <f>SUBTOTAL(109,MED_ATZ_LF_LEGACY[CAP])</f>
        <v>4872</v>
      </c>
      <c r="I31" s="211">
        <f>SUBTOTAL(109,MED_ATZ_LF_LEGACY[BKG(Y)])</f>
        <v>617</v>
      </c>
      <c r="J31" s="211">
        <f>SUBTOTAL(109,MED_ATZ_LF_LEGACY[GRP(Y)])</f>
        <v>520</v>
      </c>
      <c r="K31" s="208"/>
      <c r="L31" s="209"/>
      <c r="M31" s="211">
        <f>SUBTOTAL(109,MED_ATZ_LF_LEGACY[TO-DAY])</f>
        <v>0</v>
      </c>
      <c r="N31" s="211">
        <f>SUBTOTAL(109,MED_ATZ_LF_LEGACY[Y-DAY])</f>
        <v>3</v>
      </c>
      <c r="O31" s="211">
        <f>SUBTOTAL(109,MED_ATZ_LF_LEGACY[WEEKLY])</f>
        <v>101</v>
      </c>
      <c r="P31" s="212"/>
      <c r="Q31" s="211">
        <f>SUBTOTAL(109,MED_ATZ_LF_LEGACY[Y])</f>
        <v>0</v>
      </c>
      <c r="R31" s="211">
        <f>SUBTOTAL(109,MED_ATZ_LF_LEGACY[B])</f>
        <v>0</v>
      </c>
      <c r="S31" s="211">
        <f>SUBTOTAL(109,MED_ATZ_LF_LEGACY[M])</f>
        <v>0</v>
      </c>
      <c r="T31" s="211">
        <f>SUBTOTAL(109,MED_ATZ_LF_LEGACY[H])</f>
        <v>0</v>
      </c>
      <c r="U31" s="211">
        <f>SUBTOTAL(109,MED_ATZ_LF_LEGACY[Q])</f>
        <v>0</v>
      </c>
      <c r="V31" s="211">
        <f>SUBTOTAL(109,MED_ATZ_LF_LEGACY[K])</f>
        <v>0</v>
      </c>
      <c r="W31" s="211">
        <f>SUBTOTAL(109,MED_ATZ_LF_LEGACY[V])</f>
        <v>0</v>
      </c>
      <c r="X31" s="211">
        <f>SUBTOTAL(109,MED_ATZ_LF_LEGACY[L])</f>
        <v>0</v>
      </c>
      <c r="Y31" s="211">
        <f>SUBTOTAL(109,MED_ATZ_LF_LEGACY[G])</f>
        <v>0</v>
      </c>
      <c r="Z31" s="211">
        <f>SUBTOTAL(109,MED_ATZ_LF_LEGACY[S])</f>
        <v>0</v>
      </c>
      <c r="AA31" s="211">
        <f>SUBTOTAL(109,MED_ATZ_LF_LEGACY[W])</f>
        <v>0</v>
      </c>
      <c r="AB31" s="211">
        <f>SUBTOTAL(109,MED_ATZ_LF_LEGACY[T])</f>
        <v>0</v>
      </c>
      <c r="AC31" s="211">
        <f>SUBTOTAL(109,MED_ATZ_LF_LEGACY[X])</f>
        <v>0</v>
      </c>
      <c r="AD31" s="211">
        <f>SUBTOTAL(109,MED_ATZ_LF_LEGACY[U])</f>
        <v>0</v>
      </c>
      <c r="AE31" s="211">
        <f>SUBTOTAL(109,MED_ATZ_LF_LEGACY[O])</f>
        <v>0</v>
      </c>
      <c r="AF31" s="211">
        <f>SUBTOTAL(109,MED_ATZ_LF_LEGACY[I])</f>
        <v>0</v>
      </c>
      <c r="AG31" s="211">
        <f>SUBTOTAL(109,MED_ATZ_LF_LEGACY[E])</f>
        <v>0</v>
      </c>
      <c r="AH31" s="211">
        <f>SUBTOTAL(109,MED_ATZ_LF_LEGACY[A])</f>
        <v>0</v>
      </c>
      <c r="AI31" s="211">
        <f>SUBTOTAL(109,MED_ATZ_LF_LEGACY[P])</f>
        <v>0</v>
      </c>
      <c r="AJ31" s="211">
        <f>SUBTOTAL(103,MED_ATZ_LF_LEGACY[N])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MED-CAI</vt:lpstr>
      <vt:lpstr>MED-CAI LF LEGACY</vt:lpstr>
      <vt:lpstr>MED-HBE</vt:lpstr>
      <vt:lpstr>MED-HBE LF LEGACY</vt:lpstr>
      <vt:lpstr>MED-ATZ</vt:lpstr>
      <vt:lpstr>MED-ATZ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2025-11-23T00:02:18Z</dcterms:created>
  <dcterms:modified xsi:type="dcterms:W3CDTF">2025-11-23T00:02:34Z</dcterms:modified>
</cp:coreProperties>
</file>