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9597918-BC18-4BB6-9D4A-D6649F19B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CAI - FOCUS MODE" sheetId="3" r:id="rId3"/>
    <sheet name="DMM-ATZ" sheetId="4" r:id="rId4"/>
    <sheet name="DMM-ATZ LF LEGACY" sheetId="5" r:id="rId5"/>
    <sheet name="DMM-ATZ - FOCUS MODE" sheetId="6" r:id="rId6"/>
    <sheet name="CAI-DMM" sheetId="7" r:id="rId7"/>
    <sheet name="CAI-DMM LF LEGACY" sheetId="8" r:id="rId8"/>
    <sheet name="CAI-DMM - FOCUS MODE" sheetId="9" r:id="rId9"/>
    <sheet name="ATZ-DMM" sheetId="10" r:id="rId10"/>
    <sheet name="ATZ-DMM LF LEGACY" sheetId="11" r:id="rId11"/>
    <sheet name="ATZ-DMM - FOCUS MODE" sheetId="12" r:id="rId12"/>
    <sheet name="LF_ALL_ROUTE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6" i="13" l="1"/>
  <c r="E66" i="13"/>
  <c r="G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C13" i="11"/>
  <c r="E13" i="11"/>
  <c r="G13" i="11"/>
  <c r="H13" i="11"/>
  <c r="I13" i="11"/>
  <c r="J13" i="11"/>
  <c r="M13" i="11"/>
  <c r="N13" i="11"/>
  <c r="O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C23" i="8"/>
  <c r="E23" i="8"/>
  <c r="G23" i="8"/>
  <c r="H23" i="8"/>
  <c r="I23" i="8"/>
  <c r="J23" i="8"/>
  <c r="M23" i="8"/>
  <c r="N23" i="8"/>
  <c r="O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C13" i="5"/>
  <c r="E13" i="5"/>
  <c r="G13" i="5"/>
  <c r="H13" i="5"/>
  <c r="I13" i="5"/>
  <c r="J13" i="5"/>
  <c r="M13" i="5"/>
  <c r="N13" i="5"/>
  <c r="O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C23" i="2"/>
  <c r="E23" i="2"/>
  <c r="G23" i="2"/>
  <c r="H23" i="2"/>
  <c r="I23" i="2"/>
  <c r="J23" i="2"/>
  <c r="M23" i="2"/>
  <c r="N23" i="2"/>
  <c r="O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J65" i="13"/>
  <c r="J66" i="13"/>
  <c r="M66" i="13"/>
  <c r="M65" i="13"/>
  <c r="N65" i="13"/>
  <c r="N66" i="13"/>
  <c r="H65" i="13"/>
  <c r="H66" i="13"/>
  <c r="I66" i="13"/>
  <c r="I65" i="13"/>
  <c r="O65" i="13"/>
  <c r="O6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7" authorId="0" shapeId="0" xr:uid="{1F736932-D3B8-4DCB-A3F0-E960B52BBB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W5 &amp; U2 &amp; O8 &amp; I46</t>
        </r>
      </text>
    </comment>
    <comment ref="F43" authorId="0" shapeId="0" xr:uid="{44126301-1648-404B-99CF-A858DA317A0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S2 &amp; W4 &amp; X2 &amp; U4 &amp; O1 &amp; I31</t>
        </r>
      </text>
    </comment>
    <comment ref="F58" authorId="0" shapeId="0" xr:uid="{7431F581-4E68-4E15-8CE3-1D7FC0A89C4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S10 &amp; W1 &amp; O7 &amp; I30</t>
        </r>
      </text>
    </comment>
    <comment ref="F73" authorId="0" shapeId="0" xr:uid="{B64B078E-39C9-407A-A9FE-730CB38EE8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L2 &amp; G1 &amp; S7 &amp; W6 &amp; U1 &amp; I13</t>
        </r>
      </text>
    </comment>
    <comment ref="F104" authorId="0" shapeId="0" xr:uid="{8CBC8222-3B1A-4303-A2DC-8C2E8F92C3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S9 &amp; T2 &amp; X7 &amp; U2 &amp; O4 &amp; I26</t>
        </r>
      </text>
    </comment>
    <comment ref="F124" authorId="0" shapeId="0" xr:uid="{B8A555F7-579F-4486-A5FE-C48F7DF28B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W2 &amp; T10 &amp; X3 &amp; U4 &amp; O3 &amp; I24</t>
        </r>
      </text>
    </comment>
    <comment ref="F131" authorId="0" shapeId="0" xr:uid="{D40CB048-E164-4873-BAEF-A4BB65E6E93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T1 &amp; X8 &amp; U10 &amp; O7 &amp; I25</t>
        </r>
      </text>
    </comment>
    <comment ref="F142" authorId="0" shapeId="0" xr:uid="{A89B7279-41F3-4A40-969B-02FFF6D9C7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U8 &amp; O2 &amp; I10</t>
        </r>
      </text>
    </comment>
    <comment ref="F165" authorId="0" shapeId="0" xr:uid="{0A9969E6-1E8F-44F5-AA75-12F75BB229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X7 &amp; U4 &amp; I17</t>
        </r>
      </text>
    </comment>
    <comment ref="F179" authorId="0" shapeId="0" xr:uid="{83423C91-D53F-4182-BDE2-DAE0FF5C27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O1 &amp; I20</t>
        </r>
      </text>
    </comment>
    <comment ref="F185" authorId="0" shapeId="0" xr:uid="{851CB474-BD7E-457F-A950-43AF2096B16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W6 &amp; I26</t>
        </r>
      </text>
    </comment>
    <comment ref="F194" authorId="0" shapeId="0" xr:uid="{B8957D07-A5C3-4373-878D-B7DAAA4E4BE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W1 &amp; I14</t>
        </r>
      </text>
    </comment>
    <comment ref="F212" authorId="0" shapeId="0" xr:uid="{D89059A6-98C6-4B52-B16B-DC10198741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X6 &amp; U3 &amp; O5 &amp; I11</t>
        </r>
      </text>
    </comment>
    <comment ref="F232" authorId="0" shapeId="0" xr:uid="{5C7D24E3-6FCE-4C79-AB61-F98D85E8AC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X5 &amp; U7 &amp; O3 &amp; I23</t>
        </r>
      </text>
    </comment>
    <comment ref="F247" authorId="0" shapeId="0" xr:uid="{E7520643-2342-4D77-8E4E-8C67947C62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U9 &amp; O3 &amp; I16</t>
        </r>
      </text>
    </comment>
    <comment ref="F255" authorId="0" shapeId="0" xr:uid="{F9074498-C2AF-4A82-8EE3-652ADF4747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S1 &amp; X15 &amp; U5 &amp; O1 &amp; I6</t>
        </r>
      </text>
    </comment>
    <comment ref="F280" authorId="0" shapeId="0" xr:uid="{07E7672A-B380-4013-B9CB-41110695B29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O5 &amp; I4</t>
        </r>
      </text>
    </comment>
    <comment ref="F298" authorId="0" shapeId="0" xr:uid="{DC817D48-2242-4131-A455-AA7C8F98C8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X2 &amp; U6 &amp; O4 &amp; I25</t>
        </r>
      </text>
    </comment>
    <comment ref="F309" authorId="0" shapeId="0" xr:uid="{76E04D53-3976-4BC9-B002-B396B5FA98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W1 &amp; X8 &amp; U6 &amp; O2 &amp; I14</t>
        </r>
      </text>
    </comment>
    <comment ref="F323" authorId="0" shapeId="0" xr:uid="{DFC147D1-F936-4AB5-A379-6B7BB602A3F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U5 &amp; O3 &amp; I5</t>
        </r>
      </text>
    </comment>
    <comment ref="F349" authorId="0" shapeId="0" xr:uid="{760290D7-9622-4709-B22F-ACDCD6F18EF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O1 &amp; I25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8" authorId="0" shapeId="0" xr:uid="{FB8B9DF0-F63B-4D17-8D42-175785F27A0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9]_x000D_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W8 &amp; T28 &amp; X10 &amp; U10 &amp; O23 &amp; I17</t>
        </r>
      </text>
    </comment>
    <comment ref="F45" authorId="0" shapeId="0" xr:uid="{9996E039-0B0B-4310-B9D9-AD553B04EB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9]_x000D_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W2 &amp; T1 &amp; X3 &amp; U39 &amp; O18 &amp; I10</t>
        </r>
      </text>
    </comment>
    <comment ref="F77" authorId="0" shapeId="0" xr:uid="{2C64B865-2B32-4777-8623-77A1607CBAF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T3 &amp; X15 &amp; U30 &amp; O15 &amp; I15</t>
        </r>
      </text>
    </comment>
    <comment ref="F115" authorId="0" shapeId="0" xr:uid="{05650B43-0542-41AD-B436-12428C2A36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X5 &amp; U30 &amp; O3</t>
        </r>
      </text>
    </comment>
    <comment ref="F141" authorId="0" shapeId="0" xr:uid="{8CB0BDE8-4A50-4B07-9294-FD88F4303C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U8 &amp; O25 &amp; I15</t>
        </r>
      </text>
    </comment>
    <comment ref="F171" authorId="0" shapeId="0" xr:uid="{FD644A41-6983-42F5-BD5F-BBA1A0F985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W4 &amp; X2 &amp; U10</t>
        </r>
      </text>
    </comment>
    <comment ref="F196" authorId="0" shapeId="0" xr:uid="{AF5F05A2-341B-4B17-921A-87CB8D18B4A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W1 &amp; U19</t>
        </r>
      </text>
    </comment>
    <comment ref="F232" authorId="0" shapeId="0" xr:uid="{346B5980-448D-493E-9907-87CAB34CD9E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X1 &amp; U7 &amp; O5</t>
        </r>
      </text>
    </comment>
    <comment ref="F253" authorId="0" shapeId="0" xr:uid="{61813FDA-10B2-4DB9-8335-03EB0C3D3B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X2 &amp; U5 &amp; O3</t>
        </r>
      </text>
    </comment>
    <comment ref="F292" authorId="0" shapeId="0" xr:uid="{C5F0BB2C-0DE4-4B76-84D5-D34FC624DFF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W6 &amp; X7 &amp; U6</t>
        </r>
      </text>
    </comment>
    <comment ref="F321" authorId="0" shapeId="0" xr:uid="{5D677FF9-968B-4801-8D93-D05EA5DDFF3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T4 &amp; X4 &amp; U3 &amp; O3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5" authorId="0" shapeId="0" xr:uid="{D170D0AA-34FD-497B-8485-96D462FC8A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Q4 &amp; K20 &amp; V20 &amp; L30 &amp; G21 &amp; S7 &amp; T1 &amp; X1 &amp; U7 &amp; O19 &amp; I4</t>
        </r>
      </text>
    </comment>
    <comment ref="F57" authorId="0" shapeId="0" xr:uid="{3647B53F-1B1C-417A-BDA9-3E115BEA407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H2 &amp; Q44 &amp; K18 &amp; V7 &amp; L10 &amp; G8 &amp; S8 &amp; W17 &amp; T9 &amp; X7 &amp; U9 &amp; O7 &amp; I7</t>
        </r>
      </text>
    </comment>
    <comment ref="F69" authorId="0" shapeId="0" xr:uid="{6C8FFCF5-CA33-475B-A721-9FB57F6BB5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H8]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M6 &amp; H18 &amp; Q3 &amp; K16 &amp; V7 &amp; L11 &amp; G27 &amp; S13 &amp; W12 &amp; T8 &amp; X5 &amp; U3 &amp; O5 &amp; I4</t>
        </r>
      </text>
    </comment>
    <comment ref="F87" authorId="0" shapeId="0" xr:uid="{191DA9C0-5ED9-4952-BB4B-BEE55E8489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B1 &amp; M21 &amp; H21 &amp; Q9 &amp; V12 &amp; L12 &amp; G8 &amp; S6 &amp; W9 &amp; T10 &amp; X2 &amp; U4 &amp; O7 &amp; I3</t>
        </r>
      </text>
    </comment>
    <comment ref="F125" authorId="0" shapeId="0" xr:uid="{574F7515-1F00-4BE4-A49C-52DFCAB5F6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V6 &amp; L10 &amp; G31 &amp; S44 &amp; W4 &amp; T7 &amp; X10 &amp; U10 &amp; O4</t>
        </r>
      </text>
    </comment>
    <comment ref="F147" authorId="0" shapeId="0" xr:uid="{F691FEB4-BA23-472B-A6A2-5E65EB9E20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19]_x000D_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L9 &amp; G30 &amp; S21 &amp; W1 &amp; T7 &amp; X9 &amp; U6 &amp; O6</t>
        </r>
      </text>
    </comment>
    <comment ref="F154" authorId="0" shapeId="0" xr:uid="{C48B4D11-4C8D-4A1E-9C65-6754BAC5BF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G9 &amp; S17 &amp; W10 &amp; T10 &amp; X10 &amp; U25 &amp; O5</t>
        </r>
      </text>
    </comment>
    <comment ref="F165" authorId="0" shapeId="0" xr:uid="{4B5E8399-0AD2-4F44-9689-AD4A9BE32E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 &amp; G10 &amp; S15 &amp; W10 &amp; T10 &amp; X10 &amp; U18 &amp; O2</t>
        </r>
      </text>
    </comment>
    <comment ref="F185" authorId="0" shapeId="0" xr:uid="{E1109AA4-E343-4FA3-91B1-82FD4D02F8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W1 &amp; X5 &amp; U10 &amp; O28 &amp; I23</t>
        </r>
      </text>
    </comment>
    <comment ref="F211" authorId="0" shapeId="0" xr:uid="{C34D768A-9FDE-458C-A67F-9322DD2CF1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W3 &amp; T2 &amp; X10 &amp; U10 &amp; O30 &amp; I20</t>
        </r>
      </text>
    </comment>
    <comment ref="F214" authorId="0" shapeId="0" xr:uid="{A5991E22-0AC3-4AC9-BB06-F490D515FE9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W3 &amp; X2 &amp; U7 &amp; O22 &amp; I20</t>
        </r>
      </text>
    </comment>
    <comment ref="F225" authorId="0" shapeId="0" xr:uid="{564B06CF-EB93-40EB-B49C-8B047A41ED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S2 &amp; T5 &amp; X27 &amp; U8 &amp; O5</t>
        </r>
      </text>
    </comment>
    <comment ref="F246" authorId="0" shapeId="0" xr:uid="{CFD4D28B-BAF3-4AED-94C3-0CDFC956A82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U1 &amp; O14 &amp; I10</t>
        </r>
      </text>
    </comment>
    <comment ref="F261" authorId="0" shapeId="0" xr:uid="{806139CB-FCF9-404A-855E-6BD59E53BBA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U11 &amp; O10 &amp; I5</t>
        </r>
      </text>
    </comment>
    <comment ref="F276" authorId="0" shapeId="0" xr:uid="{9B1BF447-6F9C-4239-8447-FA321C7DBF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U10 &amp; O7</t>
        </r>
      </text>
    </comment>
    <comment ref="F287" authorId="0" shapeId="0" xr:uid="{91FD64A4-61C2-434B-A392-810029CE0B5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S2 &amp; W2 &amp; T14 &amp; X30 &amp; U6 &amp; O4</t>
        </r>
      </text>
    </comment>
    <comment ref="F313" authorId="0" shapeId="0" xr:uid="{A8759B02-4C96-4747-92EF-16BDA5E22F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 &amp; U8 &amp; O2</t>
        </r>
      </text>
    </comment>
    <comment ref="F328" authorId="0" shapeId="0" xr:uid="{7970F688-2A6C-499B-B690-7D5516F205D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X16 &amp; U8 &amp; O3</t>
        </r>
      </text>
    </comment>
    <comment ref="F341" authorId="0" shapeId="0" xr:uid="{43898EE2-13E3-4D40-A358-3AE5F7EE0F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O5 &amp; I2</t>
        </r>
      </text>
    </comment>
    <comment ref="F349" authorId="0" shapeId="0" xr:uid="{DA5CC5E8-494B-484A-B36A-9D8914347E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U4 &amp; O18</t>
        </r>
      </text>
    </comment>
    <comment ref="F372" authorId="0" shapeId="0" xr:uid="{75956CB1-40CA-49F8-B366-CF02A29A18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U3 &amp; O7 &amp; I2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9" authorId="0" shapeId="0" xr:uid="{B35CA010-C31A-4CBE-9FD6-F3F7C4C161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Q9 &amp; K15 &amp; V15 &amp; L15 &amp; G15 &amp; S20 &amp; W14 &amp; T18 &amp; X14 &amp; U15 &amp; O15 &amp; I14</t>
        </r>
      </text>
    </comment>
    <comment ref="F54" authorId="0" shapeId="0" xr:uid="{AD969528-6CA4-4A26-89FA-111C4A77BB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H8]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Y2 &amp; M1 &amp; H2 &amp; Q10 &amp; K15 &amp; V10 &amp; L15 &amp; G30 &amp; S16 &amp; W19 &amp; T20 &amp; X20 &amp; U5 &amp; O4 &amp; I1</t>
        </r>
      </text>
    </comment>
    <comment ref="F88" authorId="0" shapeId="0" xr:uid="{8CADC533-865D-4D6E-93CB-3EB07A693E8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K8 &amp; V15 &amp; L15 &amp; G29 &amp; S8 &amp; W18 &amp; T15 &amp; X15 &amp; U15 &amp; O15 &amp; I15</t>
        </r>
      </text>
    </comment>
    <comment ref="F129" authorId="0" shapeId="0" xr:uid="{2953DCD8-F051-48CC-B51E-5F6A781FE8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Y1 &amp; B1 &amp; K10 &amp; V10 &amp; L10 &amp; G28 &amp; S2 &amp; W6 &amp; T8 &amp; X7 &amp; U4 &amp; O1 &amp; I4</t>
        </r>
      </text>
    </comment>
    <comment ref="F155" authorId="0" shapeId="0" xr:uid="{C6A47EC7-62CD-465C-B8D9-8EF68E1796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V4 &amp; L7 &amp; G7 &amp; S17 &amp; W7 &amp; T8 &amp; X7 &amp; U7 &amp; O5</t>
        </r>
      </text>
    </comment>
    <comment ref="F184" authorId="0" shapeId="0" xr:uid="{9D1AEA8D-290C-4E95-9F88-BC6CD1881E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Q1 &amp; L3 &amp; G7 &amp; S8 &amp; W7 &amp; T8 &amp; X7 &amp; U7 &amp; O4</t>
        </r>
      </text>
    </comment>
    <comment ref="F213" authorId="0" shapeId="0" xr:uid="{5254C350-B7C9-45BE-A363-9219717F69B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S7 &amp; W7 &amp; T6 &amp; X7 &amp; U7 &amp; O5</t>
        </r>
      </text>
    </comment>
    <comment ref="F245" authorId="0" shapeId="0" xr:uid="{726F7B00-8984-49BB-8ADF-33F616FEFDA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W7 &amp; T6 &amp; X7 &amp; U7 &amp; O4</t>
        </r>
      </text>
    </comment>
    <comment ref="F271" authorId="0" shapeId="0" xr:uid="{8DB635E1-047A-4BB3-9A58-199DDADB369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W7 &amp; T7 &amp; X7 &amp; U7 &amp; O2 &amp; I1</t>
        </r>
      </text>
    </comment>
    <comment ref="F307" authorId="0" shapeId="0" xr:uid="{4148804D-9586-4316-A962-4EB5B7E4EE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W7 &amp; T5 &amp; X8 &amp; U5 &amp; O5</t>
        </r>
      </text>
    </comment>
    <comment ref="F334" authorId="0" shapeId="0" xr:uid="{C2D1CBB9-58EC-46DB-B977-780F652A7B7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T5 &amp; X8 &amp; U6 &amp; O2 &amp; I2</t>
        </r>
      </text>
    </comment>
  </commentList>
</comments>
</file>

<file path=xl/sharedStrings.xml><?xml version="1.0" encoding="utf-8"?>
<sst xmlns="http://schemas.openxmlformats.org/spreadsheetml/2006/main" count="14901" uniqueCount="663">
  <si>
    <t>COMPREHENSIVE REPORT</t>
  </si>
  <si>
    <t>DMM-CAI</t>
  </si>
  <si>
    <t>FROM</t>
  </si>
  <si>
    <t>2025-11-23</t>
  </si>
  <si>
    <t>TO</t>
  </si>
  <si>
    <t>2025-12-31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</si>
  <si>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</si>
  <si>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</si>
  <si>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</si>
  <si>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</si>
  <si>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</si>
  <si>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</si>
  <si>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</si>
  <si>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</si>
  <si>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</si>
  <si>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</si>
  <si>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</si>
  <si>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</si>
  <si>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</si>
  <si>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</si>
  <si>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</si>
  <si>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</si>
  <si>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</si>
  <si>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</si>
  <si>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</si>
  <si>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</si>
  <si>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</si>
  <si>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</si>
  <si>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</si>
  <si>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NP-332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</si>
  <si>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</si>
  <si>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</si>
  <si>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563 SAR</t>
  </si>
  <si>
    <t>flynas</t>
  </si>
  <si>
    <t>XY-894</t>
  </si>
  <si>
    <t>Cabin: 7 KG / Check-in: 20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</si>
  <si>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</si>
  <si>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709 SAR</t>
  </si>
  <si>
    <t>Cabin: 7 KG / Check-in: 30 KG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</si>
  <si>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</si>
  <si>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809 SAR</t>
  </si>
  <si>
    <t>Cabin: 7 KG / Check-in: 2 x 40 KG</t>
  </si>
  <si>
    <t>899 SAR</t>
  </si>
  <si>
    <t>EgyptAir</t>
  </si>
  <si>
    <t>MS-688</t>
  </si>
  <si>
    <t>Cabin: 7 KG | Check-in: 2 PIECE</t>
  </si>
  <si>
    <t>952 SAR</t>
  </si>
  <si>
    <t>NP-232</t>
  </si>
  <si>
    <t>439 SAR</t>
  </si>
  <si>
    <t>862 SAR</t>
  </si>
  <si>
    <t>MS-682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</si>
  <si>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</si>
  <si>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MS-684</t>
  </si>
  <si>
    <t>1,087 SAR</t>
  </si>
  <si>
    <t>Saudia</t>
  </si>
  <si>
    <t>SV-6446</t>
  </si>
  <si>
    <t>Cabin: 7 KG / Check-in: 2 x 46 KG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</si>
  <si>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</si>
  <si>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1,291 SAR</t>
  </si>
  <si>
    <t>flyadeal</t>
  </si>
  <si>
    <t>F3-911</t>
  </si>
  <si>
    <t>Check-in: 15 KG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</si>
  <si>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</si>
  <si>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369 SAR</t>
  </si>
  <si>
    <t>Cabin: 10 KG / Check-in: 25 KG</t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</si>
  <si>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</si>
  <si>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519 SAR</t>
  </si>
  <si>
    <t>Cabin: 10 KG / Check-in: 2 x 40 KG</t>
  </si>
  <si>
    <t>XY-854</t>
  </si>
  <si>
    <t>379 SAR</t>
  </si>
  <si>
    <t>479 SAR</t>
  </si>
  <si>
    <t>569 SAR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</si>
  <si>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</si>
  <si>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t>539 SAR</t>
  </si>
  <si>
    <t>629 SAR</t>
  </si>
  <si>
    <t>NP-132</t>
  </si>
  <si>
    <t>Air Cairo</t>
  </si>
  <si>
    <t>SM-434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</si>
  <si>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</si>
  <si>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485 SAR</t>
  </si>
  <si>
    <t>SM434</t>
  </si>
  <si>
    <t>U6</t>
  </si>
  <si>
    <t>S8 &amp; W5 &amp; U2 &amp; O8 &amp; I46</t>
  </si>
  <si>
    <t>547 SAR</t>
  </si>
  <si>
    <t>682 SAR</t>
  </si>
  <si>
    <t>1,183 SAR</t>
  </si>
  <si>
    <t>Cabin: 0 KG | Check-in: 15 KG</t>
  </si>
  <si>
    <r>
      <rPr>
        <b/>
        <i/>
        <sz val="13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</si>
  <si>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Cabin: 7 KG | Check-in: 20 KG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</si>
  <si>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</si>
  <si>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409 SAR</t>
  </si>
  <si>
    <t>Cabin: 7 KG | Check-in: 1 PIECE</t>
  </si>
  <si>
    <t>441 SAR</t>
  </si>
  <si>
    <t>749 SAR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</si>
  <si>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</si>
  <si>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339 SAR</t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</si>
  <si>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</si>
  <si>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489 SAR</t>
  </si>
  <si>
    <t>349 SAR</t>
  </si>
  <si>
    <t>449 SAR</t>
  </si>
  <si>
    <t>509 SAR</t>
  </si>
  <si>
    <t>599 SAR</t>
  </si>
  <si>
    <t>Nesma Airlines</t>
  </si>
  <si>
    <t>NE-155</t>
  </si>
  <si>
    <t>371 SAR</t>
  </si>
  <si>
    <t>NE-153</t>
  </si>
  <si>
    <t>Cabin: 7 KG</t>
  </si>
  <si>
    <t>415 SAR</t>
  </si>
  <si>
    <t>437 SAR</t>
  </si>
  <si>
    <t>583 SAR</t>
  </si>
  <si>
    <t>446 SAR</t>
  </si>
  <si>
    <t>I6</t>
  </si>
  <si>
    <t>L1 &amp; S2 &amp; W4 &amp; X2 &amp; U4 &amp; O1 &amp; I31</t>
  </si>
  <si>
    <t>NE-151</t>
  </si>
  <si>
    <t>411 SAR</t>
  </si>
  <si>
    <t>587 SAR</t>
  </si>
  <si>
    <t>I9</t>
  </si>
  <si>
    <t>G3 &amp; S10 &amp; W1 &amp; O7 &amp; I30</t>
  </si>
  <si>
    <t>1,126 SAR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</si>
  <si>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</si>
  <si>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Air Arabia Egypt</t>
  </si>
  <si>
    <t>E5-316</t>
  </si>
  <si>
    <t>Cabin: 10 KG / Check-in: 30 KG</t>
  </si>
  <si>
    <t>354 SAR</t>
  </si>
  <si>
    <t>477 SAR</t>
  </si>
  <si>
    <t>L2 &amp; G1 &amp; S7 &amp; W6 &amp; U1 &amp; I13</t>
  </si>
  <si>
    <t>NP-234</t>
  </si>
  <si>
    <t>NP-134</t>
  </si>
  <si>
    <t>1,231 SAR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</si>
  <si>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</si>
  <si>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455 SAR</t>
  </si>
  <si>
    <t>O6</t>
  </si>
  <si>
    <t>S9 &amp; T2 &amp; X7 &amp; U2 &amp; O4 &amp; I26</t>
  </si>
  <si>
    <t>393 SAR</t>
  </si>
  <si>
    <t>516 SAR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</si>
  <si>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</si>
  <si>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I2</t>
  </si>
  <si>
    <t>S4 &amp; W2 &amp; T10 &amp; X3 &amp; U4 &amp; O3 &amp; I24</t>
  </si>
  <si>
    <t>I1</t>
  </si>
  <si>
    <t>S6 &amp; T1 &amp; X8 &amp; U10 &amp; O7 &amp; I25</t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</si>
  <si>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</si>
  <si>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399 SAR</t>
  </si>
  <si>
    <t>522 SAR</t>
  </si>
  <si>
    <t>S1 &amp; U8 &amp; O2 &amp; I10</t>
  </si>
  <si>
    <t>425 SAR</t>
  </si>
  <si>
    <t>S7 &amp; X7 &amp; U4 &amp; I17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</si>
  <si>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</si>
  <si>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S1 &amp; W2 &amp; O1 &amp; I20</t>
  </si>
  <si>
    <t>1,151 SAR</t>
  </si>
  <si>
    <t>476 SAR</t>
  </si>
  <si>
    <t>O8</t>
  </si>
  <si>
    <t>S2 &amp; W6 &amp; I26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</si>
  <si>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</si>
  <si>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S6 &amp; W1 &amp; I14</t>
  </si>
  <si>
    <t>S3 &amp; X6 &amp; U3 &amp; O5 &amp; I11</t>
  </si>
  <si>
    <t>727 SAR</t>
  </si>
  <si>
    <t>907 SAR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</si>
  <si>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</si>
  <si>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</si>
  <si>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619 SAR</t>
  </si>
  <si>
    <t>817 SAR</t>
  </si>
  <si>
    <t>1,387 SAR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</si>
  <si>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</si>
  <si>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I3</t>
  </si>
  <si>
    <t>S1 &amp; X5 &amp; U7 &amp; O3 &amp; I23</t>
  </si>
  <si>
    <r>
      <rPr>
        <b/>
        <i/>
        <sz val="13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</si>
  <si>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10</t>
    </r>
    <r>
      <rPr>
        <i/>
        <sz val="10"/>
        <rFont val="Calibri"/>
      </rPr>
      <t xml:space="preserve"> FOR SAME CLASS</t>
    </r>
  </si>
  <si>
    <t>659 SAR</t>
  </si>
  <si>
    <t>1,429 SAR</t>
  </si>
  <si>
    <t>911 SAR</t>
  </si>
  <si>
    <t>S1 &amp; U9 &amp; O3 &amp; I16</t>
  </si>
  <si>
    <t>G1 &amp; S1 &amp; X15 &amp; U5 &amp; O1 &amp; I6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</si>
  <si>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</si>
  <si>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</si>
  <si>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U3 &amp; O5 &amp; I4</t>
  </si>
  <si>
    <t>500 SAR</t>
  </si>
  <si>
    <t>821 SAR</t>
  </si>
  <si>
    <t>S1 &amp; X2 &amp; U6 &amp; O4 &amp; I25</t>
  </si>
  <si>
    <t>Cabin: 7 KG | Check-in: 30 KG</t>
  </si>
  <si>
    <t>731 SAR</t>
  </si>
  <si>
    <t>S1 &amp; W1 &amp; X8 &amp; U6 &amp; O2 &amp; I14</t>
  </si>
  <si>
    <t>604 SAR</t>
  </si>
  <si>
    <t>U5 &amp; O3 &amp; I5</t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</si>
  <si>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</si>
  <si>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t>S4 &amp; O1 &amp; I25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</si>
  <si>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</si>
  <si>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</si>
  <si>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</si>
  <si>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</si>
  <si>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</si>
  <si>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</si>
  <si>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</si>
  <si>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</si>
  <si>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</si>
  <si>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</si>
  <si>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</si>
  <si>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</si>
  <si>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</si>
  <si>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</si>
  <si>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</si>
  <si>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</si>
  <si>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</si>
  <si>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</si>
  <si>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</si>
  <si>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</si>
  <si>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</si>
  <si>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</si>
  <si>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</si>
  <si>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</si>
  <si>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</si>
  <si>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</si>
  <si>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</si>
  <si>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</si>
  <si>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</si>
  <si>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</si>
  <si>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</si>
  <si>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</si>
  <si>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</si>
  <si>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S8</t>
  </si>
  <si>
    <t>W5</t>
  </si>
  <si>
    <t>U2</t>
  </si>
  <si>
    <t>I46</t>
  </si>
  <si>
    <t>THURSDAY</t>
  </si>
  <si>
    <t>22:10</t>
  </si>
  <si>
    <t>L1</t>
  </si>
  <si>
    <t>S2</t>
  </si>
  <si>
    <t>W4</t>
  </si>
  <si>
    <t>X2</t>
  </si>
  <si>
    <t>U4</t>
  </si>
  <si>
    <t>O1</t>
  </si>
  <si>
    <t>I31</t>
  </si>
  <si>
    <t>FRIDAY</t>
  </si>
  <si>
    <t>13:55</t>
  </si>
  <si>
    <t>G3</t>
  </si>
  <si>
    <t>S10</t>
  </si>
  <si>
    <t>W1</t>
  </si>
  <si>
    <t>O7</t>
  </si>
  <si>
    <t>I30</t>
  </si>
  <si>
    <t>SATURDAY</t>
  </si>
  <si>
    <t>L2</t>
  </si>
  <si>
    <t>G1</t>
  </si>
  <si>
    <t>S7</t>
  </si>
  <si>
    <t>W6</t>
  </si>
  <si>
    <t>U1</t>
  </si>
  <si>
    <t>I13</t>
  </si>
  <si>
    <t>S9</t>
  </si>
  <si>
    <t>T2</t>
  </si>
  <si>
    <t>X7</t>
  </si>
  <si>
    <t>O4</t>
  </si>
  <si>
    <t>I26</t>
  </si>
  <si>
    <t>S4</t>
  </si>
  <si>
    <t>W2</t>
  </si>
  <si>
    <t>T10</t>
  </si>
  <si>
    <t>X3</t>
  </si>
  <si>
    <t>O3</t>
  </si>
  <si>
    <t>I24</t>
  </si>
  <si>
    <t>S6</t>
  </si>
  <si>
    <t>T1</t>
  </si>
  <si>
    <t>X8</t>
  </si>
  <si>
    <t>U10</t>
  </si>
  <si>
    <t>I25</t>
  </si>
  <si>
    <t>S1</t>
  </si>
  <si>
    <t>U8</t>
  </si>
  <si>
    <t>O2</t>
  </si>
  <si>
    <t>I10</t>
  </si>
  <si>
    <t>I17</t>
  </si>
  <si>
    <t>I20</t>
  </si>
  <si>
    <t>I14</t>
  </si>
  <si>
    <t>S3</t>
  </si>
  <si>
    <t>X6</t>
  </si>
  <si>
    <t>U3</t>
  </si>
  <si>
    <t>O5</t>
  </si>
  <si>
    <t>I11</t>
  </si>
  <si>
    <t>X5</t>
  </si>
  <si>
    <t>U7</t>
  </si>
  <si>
    <t>I23</t>
  </si>
  <si>
    <t>U9</t>
  </si>
  <si>
    <t>I16</t>
  </si>
  <si>
    <t>X15</t>
  </si>
  <si>
    <t>U5</t>
  </si>
  <si>
    <t>I4</t>
  </si>
  <si>
    <t>I5</t>
  </si>
  <si>
    <t>DATE</t>
  </si>
  <si>
    <t>ROUTE</t>
  </si>
  <si>
    <t>23:00</t>
  </si>
  <si>
    <t>20:00</t>
  </si>
  <si>
    <t>20:45</t>
  </si>
  <si>
    <t>2025-11-24</t>
  </si>
  <si>
    <t>21:10</t>
  </si>
  <si>
    <t>12:20</t>
  </si>
  <si>
    <t>04:05</t>
  </si>
  <si>
    <t>07:20</t>
  </si>
  <si>
    <t>2025-11-25</t>
  </si>
  <si>
    <t>04:45</t>
  </si>
  <si>
    <t>DMM-ATZ</t>
  </si>
  <si>
    <t>SM-438</t>
  </si>
  <si>
    <t>30KG + 7KG CABIN</t>
  </si>
  <si>
    <t>SEATS AVAILABLE</t>
  </si>
  <si>
    <t>SM438</t>
  </si>
  <si>
    <t>W9</t>
  </si>
  <si>
    <t>S2 &amp; W8 &amp; T28 &amp; X10 &amp; U10 &amp; O23 &amp; I17</t>
  </si>
  <si>
    <t>Indirect competition route DMM – CAI - diversion ratio &amp; passenger leakage</t>
  </si>
  <si>
    <t>+9 FOR SAME CLASS</t>
  </si>
  <si>
    <t>4 FOR SAME CLASS</t>
  </si>
  <si>
    <t>S2 &amp; W2 &amp; T1 &amp; X3 &amp; U39 &amp; O18 &amp; I10</t>
  </si>
  <si>
    <t>5 FOR SAME CLASS</t>
  </si>
  <si>
    <t>9 FOR SAME CLASS</t>
  </si>
  <si>
    <t>04:10</t>
  </si>
  <si>
    <t>636 SAR</t>
  </si>
  <si>
    <t>T9</t>
  </si>
  <si>
    <t>T3 &amp; X15 &amp; U30 &amp; O15 &amp; I15</t>
  </si>
  <si>
    <t>04:50</t>
  </si>
  <si>
    <t>03:05</t>
  </si>
  <si>
    <t>8 FOR SAME CLASS</t>
  </si>
  <si>
    <t>20:05</t>
  </si>
  <si>
    <t>12:40</t>
  </si>
  <si>
    <t>1 FOR SAME CLASS</t>
  </si>
  <si>
    <t>LOW DEMAND</t>
  </si>
  <si>
    <t>S3 &amp; X5 &amp; U30 &amp; O3</t>
  </si>
  <si>
    <t>506 SAR</t>
  </si>
  <si>
    <t>U8 &amp; O25 &amp; I15</t>
  </si>
  <si>
    <t>S6 &amp; W4 &amp; X2 &amp; U10</t>
  </si>
  <si>
    <t>S3 &amp; W1 &amp; U19</t>
  </si>
  <si>
    <t>596 SAR</t>
  </si>
  <si>
    <t>S1 &amp; X1 &amp; U7 &amp; O5</t>
  </si>
  <si>
    <t>X1</t>
  </si>
  <si>
    <t>S4 &amp; X2 &amp; U5 &amp; O3</t>
  </si>
  <si>
    <t>3 FOR SAME CLASS</t>
  </si>
  <si>
    <t>6 FOR SAME CLASS</t>
  </si>
  <si>
    <t>T7</t>
  </si>
  <si>
    <t>S4 &amp; W6 &amp; X7 &amp; U6</t>
  </si>
  <si>
    <t>05:20</t>
  </si>
  <si>
    <t>S5 &amp; T4 &amp; X4 &amp; U3 &amp; O3</t>
  </si>
  <si>
    <t>2 FOR SAME CLASS</t>
  </si>
  <si>
    <t>MONDAY</t>
  </si>
  <si>
    <t>12:15</t>
  </si>
  <si>
    <t>W8</t>
  </si>
  <si>
    <t>T28</t>
  </si>
  <si>
    <t>X10</t>
  </si>
  <si>
    <t>O23</t>
  </si>
  <si>
    <t>07:00</t>
  </si>
  <si>
    <t>U39</t>
  </si>
  <si>
    <t>O18</t>
  </si>
  <si>
    <t>T3</t>
  </si>
  <si>
    <t>U30</t>
  </si>
  <si>
    <t>O15</t>
  </si>
  <si>
    <t>I15</t>
  </si>
  <si>
    <t>O25</t>
  </si>
  <si>
    <t>U19</t>
  </si>
  <si>
    <t>S5</t>
  </si>
  <si>
    <t>T4</t>
  </si>
  <si>
    <t>X4</t>
  </si>
  <si>
    <t>DMM-CAI AS ALTERNATIVE ROUTE</t>
  </si>
  <si>
    <t>CAI-DMM</t>
  </si>
  <si>
    <t>NP-331</t>
  </si>
  <si>
    <t>11,499 EGP</t>
  </si>
  <si>
    <t>XY-895</t>
  </si>
  <si>
    <t>14,073 EGP</t>
  </si>
  <si>
    <t>15,354 EGP</t>
  </si>
  <si>
    <t>16,506 EGP</t>
  </si>
  <si>
    <t>MS-683</t>
  </si>
  <si>
    <t>19,695 EGP</t>
  </si>
  <si>
    <t>MS-687</t>
  </si>
  <si>
    <t>25,470 EGP</t>
  </si>
  <si>
    <t>XY-855</t>
  </si>
  <si>
    <t>9,591 EGP</t>
  </si>
  <si>
    <t>10,872 EGP</t>
  </si>
  <si>
    <t>12,024 EGP</t>
  </si>
  <si>
    <t>11,128 EGP</t>
  </si>
  <si>
    <t>12,408 EGP</t>
  </si>
  <si>
    <t>13,561 EGP</t>
  </si>
  <si>
    <t>F3-912</t>
  </si>
  <si>
    <t>9,719 EGP</t>
  </si>
  <si>
    <t>11,640 EGP</t>
  </si>
  <si>
    <t>12,792 EGP</t>
  </si>
  <si>
    <t>NP-231</t>
  </si>
  <si>
    <t>13,791 EGP</t>
  </si>
  <si>
    <t>14,086 EGP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</si>
  <si>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</si>
  <si>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t>22,576 EGP</t>
  </si>
  <si>
    <t>MS-681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</si>
  <si>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</si>
  <si>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t>SV-6447</t>
  </si>
  <si>
    <t>22,064 EGP</t>
  </si>
  <si>
    <t>10,487 EGP</t>
  </si>
  <si>
    <t>17,915 EGP</t>
  </si>
  <si>
    <t>NP-131</t>
  </si>
  <si>
    <t>NE-154</t>
  </si>
  <si>
    <t>11,768 EGP</t>
  </si>
  <si>
    <t>SM-433</t>
  </si>
  <si>
    <t>12,267 EGP</t>
  </si>
  <si>
    <t>SM433</t>
  </si>
  <si>
    <t>Q9</t>
  </si>
  <si>
    <t>Q4 &amp; K20 &amp; V20 &amp; L30 &amp; G21 &amp; S7 &amp; T1 &amp; X1 &amp; U7 &amp; O19 &amp; I4</t>
  </si>
  <si>
    <t>16,634 EGP</t>
  </si>
  <si>
    <t>16,993 EGP</t>
  </si>
  <si>
    <t>22,627 EGP</t>
  </si>
  <si>
    <t>24,945 EGP</t>
  </si>
  <si>
    <t>25,598 EGP</t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</si>
  <si>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</si>
  <si>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16,852 EGP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</si>
  <si>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</si>
  <si>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t>NE-152</t>
  </si>
  <si>
    <t>10,475 EGP</t>
  </si>
  <si>
    <t>NE-150</t>
  </si>
  <si>
    <t>11,512 EGP</t>
  </si>
  <si>
    <t>13,433 EGP</t>
  </si>
  <si>
    <t>H2 &amp; Q44 &amp; K18 &amp; V7 &amp; L10 &amp; G8 &amp; S8 &amp; W17 &amp; T9 &amp; X7 &amp; U9 &amp; O7 &amp; I7</t>
  </si>
  <si>
    <t>28,416 EGP</t>
  </si>
  <si>
    <t>13,049 EGP</t>
  </si>
  <si>
    <t>14,201 EGP</t>
  </si>
  <si>
    <t>H8</t>
  </si>
  <si>
    <t>M6 &amp; H18 &amp; Q3 &amp; K16 &amp; V7 &amp; L11 &amp; G27 &amp; S13 &amp; W12 &amp; T8 &amp; X5 &amp; U3 &amp; O5 &amp; I4</t>
  </si>
  <si>
    <t>14,969 EGP</t>
  </si>
  <si>
    <t>16,890 EGP</t>
  </si>
  <si>
    <t>15,930 EGP</t>
  </si>
  <si>
    <t>17,018 EGP</t>
  </si>
  <si>
    <t>29,978 EGP</t>
  </si>
  <si>
    <t>14,713 EGP</t>
  </si>
  <si>
    <t>15,994 EGP</t>
  </si>
  <si>
    <t>17,146 EGP</t>
  </si>
  <si>
    <t>NP-233</t>
  </si>
  <si>
    <t>16,071 EGP</t>
  </si>
  <si>
    <t>M9</t>
  </si>
  <si>
    <t>B1 &amp; M21 &amp; H21 &amp; Q9 &amp; V12 &amp; L12 &amp; G8 &amp; S6 &amp; W9 &amp; T10 &amp; X2 &amp; U4 &amp; O7 &amp; I3</t>
  </si>
  <si>
    <t>E5-315</t>
  </si>
  <si>
    <t>16,135 EGP</t>
  </si>
  <si>
    <t>17,772 EGP</t>
  </si>
  <si>
    <t>43,181 EGP</t>
  </si>
  <si>
    <t>13,087 EGP</t>
  </si>
  <si>
    <t>NP-133</t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</si>
  <si>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</si>
  <si>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29,927 EGP</t>
  </si>
  <si>
    <r>
      <rPr>
        <b/>
        <i/>
        <sz val="13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</si>
  <si>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11</t>
    </r>
    <r>
      <rPr>
        <i/>
        <sz val="10"/>
        <rFont val="Calibri"/>
      </rPr>
      <t xml:space="preserve"> FOR SAME CLASS</t>
    </r>
  </si>
  <si>
    <t>7,670 EGP</t>
  </si>
  <si>
    <t>8,951 EGP</t>
  </si>
  <si>
    <t>10,103 EGP</t>
  </si>
  <si>
    <t>8,310 EGP</t>
  </si>
  <si>
    <t>10,744 EGP</t>
  </si>
  <si>
    <t>8,182 EGP</t>
  </si>
  <si>
    <t>9,386 EGP</t>
  </si>
  <si>
    <t>V4</t>
  </si>
  <si>
    <t>V6 &amp; L10 &amp; G31 &amp; S44 &amp; W4 &amp; T7 &amp; X10 &amp; U10 &amp; O4</t>
  </si>
  <si>
    <t>19,759 EGP</t>
  </si>
  <si>
    <t>10,347 EGP</t>
  </si>
  <si>
    <t>17,492 EGP</t>
  </si>
  <si>
    <t>7,721 EGP</t>
  </si>
  <si>
    <t>8,400 EGP</t>
  </si>
  <si>
    <t>L9 &amp; G30 &amp; S21 &amp; W1 &amp; T7 &amp; X9 &amp; U6 &amp; O6</t>
  </si>
  <si>
    <t>9,245 EGP</t>
  </si>
  <si>
    <t>10,065 EGP</t>
  </si>
  <si>
    <t>14,137 EGP</t>
  </si>
  <si>
    <t>7,030 EGP</t>
  </si>
  <si>
    <t>7,645 EGP</t>
  </si>
  <si>
    <t>G9 &amp; S17 &amp; W10 &amp; T10 &amp; X10 &amp; U25 &amp; O5</t>
  </si>
  <si>
    <t>10,116 EGP</t>
  </si>
  <si>
    <t>7,107 EGP</t>
  </si>
  <si>
    <t>V2 &amp; G10 &amp; S15 &amp; W10 &amp; T10 &amp; X10 &amp; U18 &amp; O2</t>
  </si>
  <si>
    <t>6,915 EGP</t>
  </si>
  <si>
    <t>7,132 EGP</t>
  </si>
  <si>
    <t>7,849 EGP</t>
  </si>
  <si>
    <t>8,925 EGP</t>
  </si>
  <si>
    <t>14,752 EGP</t>
  </si>
  <si>
    <t>7,491 EGP</t>
  </si>
  <si>
    <t>14,035 EGP</t>
  </si>
  <si>
    <t>5,109 EGP</t>
  </si>
  <si>
    <t>5,493 EGP</t>
  </si>
  <si>
    <t>6,774 EGP</t>
  </si>
  <si>
    <t>7,926 EGP</t>
  </si>
  <si>
    <t>5,967 EGP</t>
  </si>
  <si>
    <t>X9</t>
  </si>
  <si>
    <t>S1 &amp; W1 &amp; X5 &amp; U10 &amp; O28 &amp; I23</t>
  </si>
  <si>
    <t>6,005 EGP</t>
  </si>
  <si>
    <t>6,556 EGP</t>
  </si>
  <si>
    <t>13,497 EGP</t>
  </si>
  <si>
    <t>5,993 EGP</t>
  </si>
  <si>
    <t>7,630 EGP</t>
  </si>
  <si>
    <t>T8</t>
  </si>
  <si>
    <t>G1 &amp; W3 &amp; T2 &amp; X10 &amp; U10 &amp; O30 &amp; I20</t>
  </si>
  <si>
    <t>5,365 EGP</t>
  </si>
  <si>
    <t>6,646 EGP</t>
  </si>
  <si>
    <t>7,798 EGP</t>
  </si>
  <si>
    <t>5,442 EGP</t>
  </si>
  <si>
    <t>S2 &amp; W3 &amp; X2 &amp; U7 &amp; O22 &amp; I20</t>
  </si>
  <si>
    <t>7,542 EGP</t>
  </si>
  <si>
    <t>5,749 EGP</t>
  </si>
  <si>
    <t>8,054 EGP</t>
  </si>
  <si>
    <t>9,207 EGP</t>
  </si>
  <si>
    <t>6,274 EGP</t>
  </si>
  <si>
    <t>G2 &amp; S2 &amp; T5 &amp; X27 &amp; U8 &amp; O5</t>
  </si>
  <si>
    <t>7,901 EGP</t>
  </si>
  <si>
    <t>6,505 EGP</t>
  </si>
  <si>
    <t>16,801 EGP</t>
  </si>
  <si>
    <t>S1 &amp; U1 &amp; O14 &amp; I10</t>
  </si>
  <si>
    <t>7,529 EGP</t>
  </si>
  <si>
    <t>8,374 EGP</t>
  </si>
  <si>
    <t>8,861 EGP</t>
  </si>
  <si>
    <t>7,888 EGP</t>
  </si>
  <si>
    <r>
      <rPr>
        <b/>
        <i/>
        <sz val="13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</si>
  <si>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12</t>
    </r>
    <r>
      <rPr>
        <i/>
        <sz val="10"/>
        <rFont val="Calibri"/>
      </rPr>
      <t xml:space="preserve"> FOR SAME CLASS</t>
    </r>
  </si>
  <si>
    <t>6,390 EGP</t>
  </si>
  <si>
    <t>5,660 EGP</t>
  </si>
  <si>
    <t>U11 &amp; O10 &amp; I5</t>
  </si>
  <si>
    <t>6,082 EGP</t>
  </si>
  <si>
    <t>U10 &amp; O7</t>
  </si>
  <si>
    <t>6,518 EGP</t>
  </si>
  <si>
    <t>8,426 EGP</t>
  </si>
  <si>
    <t>T6</t>
  </si>
  <si>
    <t>G1 &amp; S2 &amp; W2 &amp; T14 &amp; X30 &amp; U6 &amp; O4</t>
  </si>
  <si>
    <t>15,379 EGP</t>
  </si>
  <si>
    <t>4,341 EGP</t>
  </si>
  <si>
    <t>6,262 EGP</t>
  </si>
  <si>
    <t>5,621 EGP</t>
  </si>
  <si>
    <t>7,286 EGP</t>
  </si>
  <si>
    <t>8,439 EGP</t>
  </si>
  <si>
    <t>X4 &amp; U8 &amp; O2</t>
  </si>
  <si>
    <t>4,725 EGP</t>
  </si>
  <si>
    <t>7,158 EGP</t>
  </si>
  <si>
    <t>X16 &amp; U8 &amp; O3</t>
  </si>
  <si>
    <t>7,939 EGP</t>
  </si>
  <si>
    <t>5,211 EGP</t>
  </si>
  <si>
    <t>I8</t>
  </si>
  <si>
    <t>O5 &amp; I2</t>
  </si>
  <si>
    <t>7,581 EGP</t>
  </si>
  <si>
    <t>O9</t>
  </si>
  <si>
    <t>S1 &amp; U4 &amp; O18</t>
  </si>
  <si>
    <r>
      <rPr>
        <b/>
        <i/>
        <sz val="13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</si>
  <si>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5,877 EGP</t>
  </si>
  <si>
    <r>
      <rPr>
        <i/>
        <sz val="13"/>
        <rFont val="Calibri"/>
      </rPr>
      <t>13</t>
    </r>
    <r>
      <rPr>
        <i/>
        <sz val="10"/>
        <rFont val="Calibri"/>
      </rPr>
      <t xml:space="preserve"> FOR SAME CLASS</t>
    </r>
  </si>
  <si>
    <t>6,065 EGP</t>
  </si>
  <si>
    <t>8,793 EGP</t>
  </si>
  <si>
    <t>10,295 EGP</t>
  </si>
  <si>
    <t>4,968 EGP</t>
  </si>
  <si>
    <t>S2 &amp; U3 &amp; O7 &amp; I2</t>
  </si>
  <si>
    <t>01:40</t>
  </si>
  <si>
    <t>Q4</t>
  </si>
  <si>
    <t>K20</t>
  </si>
  <si>
    <t>V20</t>
  </si>
  <si>
    <t>L30</t>
  </si>
  <si>
    <t>G21</t>
  </si>
  <si>
    <t>O19</t>
  </si>
  <si>
    <t>17:20</t>
  </si>
  <si>
    <t>H2</t>
  </si>
  <si>
    <t>Q44</t>
  </si>
  <si>
    <t>K18</t>
  </si>
  <si>
    <t>V7</t>
  </si>
  <si>
    <t>L10</t>
  </si>
  <si>
    <t>G8</t>
  </si>
  <si>
    <t>W17</t>
  </si>
  <si>
    <t>I7</t>
  </si>
  <si>
    <t>09:10</t>
  </si>
  <si>
    <t>M6</t>
  </si>
  <si>
    <t>H18</t>
  </si>
  <si>
    <t>Q3</t>
  </si>
  <si>
    <t>K16</t>
  </si>
  <si>
    <t>L11</t>
  </si>
  <si>
    <t>G27</t>
  </si>
  <si>
    <t>S13</t>
  </si>
  <si>
    <t>W12</t>
  </si>
  <si>
    <t>B1</t>
  </si>
  <si>
    <t>M21</t>
  </si>
  <si>
    <t>H21</t>
  </si>
  <si>
    <t>V12</t>
  </si>
  <si>
    <t>L12</t>
  </si>
  <si>
    <t>V6</t>
  </si>
  <si>
    <t>G31</t>
  </si>
  <si>
    <t>S44</t>
  </si>
  <si>
    <t>L9</t>
  </si>
  <si>
    <t>G30</t>
  </si>
  <si>
    <t>S21</t>
  </si>
  <si>
    <t>G9</t>
  </si>
  <si>
    <t>S17</t>
  </si>
  <si>
    <t>W10</t>
  </si>
  <si>
    <t>U25</t>
  </si>
  <si>
    <t>V2</t>
  </si>
  <si>
    <t>G10</t>
  </si>
  <si>
    <t>S15</t>
  </si>
  <si>
    <t>U18</t>
  </si>
  <si>
    <t>O28</t>
  </si>
  <si>
    <t>W3</t>
  </si>
  <si>
    <t>O30</t>
  </si>
  <si>
    <t>O22</t>
  </si>
  <si>
    <t>G2</t>
  </si>
  <si>
    <t>T5</t>
  </si>
  <si>
    <t>X27</t>
  </si>
  <si>
    <t>O14</t>
  </si>
  <si>
    <t>U11</t>
  </si>
  <si>
    <t>O10</t>
  </si>
  <si>
    <t>T14</t>
  </si>
  <si>
    <t>X30</t>
  </si>
  <si>
    <t>X16</t>
  </si>
  <si>
    <t>18:10</t>
  </si>
  <si>
    <t>23:20</t>
  </si>
  <si>
    <t>23:30</t>
  </si>
  <si>
    <t>16:10</t>
  </si>
  <si>
    <t>08:05</t>
  </si>
  <si>
    <t>10:45</t>
  </si>
  <si>
    <t>16:40</t>
  </si>
  <si>
    <t>07:50</t>
  </si>
  <si>
    <t>ATZ-DMM</t>
  </si>
  <si>
    <t>SM-437</t>
  </si>
  <si>
    <t>FULLY BOOKED</t>
  </si>
  <si>
    <t>SM437</t>
  </si>
  <si>
    <t>CLOSED</t>
  </si>
  <si>
    <t>Q9 &amp; K15 &amp; V15 &amp; L15 &amp; G15 &amp; S20 &amp; W14 &amp; T18 &amp; X14 &amp; U15 &amp; O15 &amp; I14</t>
  </si>
  <si>
    <t>Indirect competition route CAI – DMM - diversion ratio &amp; passenger leakage</t>
  </si>
  <si>
    <t>Y2 &amp; M1 &amp; H2 &amp; Q10 &amp; K15 &amp; V10 &amp; L15 &amp; G30 &amp; S16 &amp; W19 &amp; T20 &amp; X20 &amp; U5 &amp; O4 &amp; I1</t>
  </si>
  <si>
    <t>10 FOR SAME CLASS</t>
  </si>
  <si>
    <t>23:10</t>
  </si>
  <si>
    <t>10,526 EGP</t>
  </si>
  <si>
    <t>K2</t>
  </si>
  <si>
    <t>K8 &amp; V15 &amp; L15 &amp; G29 &amp; S8 &amp; W18 &amp; T15 &amp; X15 &amp; U15 &amp; O15 &amp; I15</t>
  </si>
  <si>
    <t>11 FOR SAME CLASS</t>
  </si>
  <si>
    <t>7 FOR SAME CLASS</t>
  </si>
  <si>
    <t>Y1 &amp; B1 &amp; K10 &amp; V10 &amp; L10 &amp; G28 &amp; S2 &amp; W6 &amp; T8 &amp; X7 &amp; U4 &amp; O1 &amp; I4</t>
  </si>
  <si>
    <t>V3</t>
  </si>
  <si>
    <t>V4 &amp; L7 &amp; G7 &amp; S17 &amp; W7 &amp; T8 &amp; X7 &amp; U7 &amp; O5</t>
  </si>
  <si>
    <t>L4</t>
  </si>
  <si>
    <t>Q1 &amp; L3 &amp; G7 &amp; S8 &amp; W7 &amp; T8 &amp; X7 &amp; U7 &amp; O4</t>
  </si>
  <si>
    <t>G3 &amp; S7 &amp; W7 &amp; T6 &amp; X7 &amp; U7 &amp; O5</t>
  </si>
  <si>
    <t>S1 &amp; W7 &amp; T6 &amp; X7 &amp; U7 &amp; O4</t>
  </si>
  <si>
    <t>12 FOR SAME CLASS</t>
  </si>
  <si>
    <t>G6</t>
  </si>
  <si>
    <t>S7 &amp; W7 &amp; T7 &amp; X7 &amp; U7 &amp; O2 &amp; I1</t>
  </si>
  <si>
    <t>W7 &amp; T5 &amp; X8 &amp; U5 &amp; O5</t>
  </si>
  <si>
    <t>00:20</t>
  </si>
  <si>
    <t>W7</t>
  </si>
  <si>
    <t>T5 &amp; X8 &amp; U6 &amp; O2 &amp; I2</t>
  </si>
  <si>
    <t>K15</t>
  </si>
  <si>
    <t>V15</t>
  </si>
  <si>
    <t>L15</t>
  </si>
  <si>
    <t>G15</t>
  </si>
  <si>
    <t>S20</t>
  </si>
  <si>
    <t>W14</t>
  </si>
  <si>
    <t>T18</t>
  </si>
  <si>
    <t>X14</t>
  </si>
  <si>
    <t>U15</t>
  </si>
  <si>
    <t>01:45</t>
  </si>
  <si>
    <t>Y2</t>
  </si>
  <si>
    <t>M1</t>
  </si>
  <si>
    <t>Q10</t>
  </si>
  <si>
    <t>V10</t>
  </si>
  <si>
    <t>S16</t>
  </si>
  <si>
    <t>W19</t>
  </si>
  <si>
    <t>T20</t>
  </si>
  <si>
    <t>X20</t>
  </si>
  <si>
    <t>K8</t>
  </si>
  <si>
    <t>G29</t>
  </si>
  <si>
    <t>W18</t>
  </si>
  <si>
    <t>T15</t>
  </si>
  <si>
    <t>Y1</t>
  </si>
  <si>
    <t>K10</t>
  </si>
  <si>
    <t>G28</t>
  </si>
  <si>
    <t>L7</t>
  </si>
  <si>
    <t>G7</t>
  </si>
  <si>
    <t>Q1</t>
  </si>
  <si>
    <t>L3</t>
  </si>
  <si>
    <t>CAI-DMM AS ALTERNATIVE ROUTE</t>
  </si>
  <si>
    <t>TOTAL</t>
  </si>
  <si>
    <t>need 10 seats i class</t>
  </si>
  <si>
    <t>need to open I class 
check nesma fare and baggage</t>
  </si>
  <si>
    <t xml:space="preserve">NEED MORE I CLASS SEATS 
10 SEATS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</si>
</sst>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ddd"/>
    <numFmt numFmtId="169" formatCode="#,##0\ &quot;SAR&quot;"/>
    <numFmt numFmtId="170" formatCode="dd\-mmm\-yy"/>
    <numFmt numFmtId="171" formatCode="hh:mm"/>
    <numFmt numFmtId="172" formatCode="[$-409]d\-mmm\-yy;@"/>
    <numFmt numFmtId="173" formatCode="[$-409]d\-mmm;@"/>
    <numFmt numFmtId="174" formatCode="[$-F400]h:mm:ss\ AM/PM"/>
  </numFmts>
  <fonts count="4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i/>
      <sz val="20"/>
      <color theme="1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3"/>
      <color rgb="FF006100"/>
      <name val="Calibri"/>
    </font>
    <font>
      <b/>
      <sz val="12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  <font>
      <b/>
      <sz val="16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B4C7DC"/>
        <bgColor rgb="FFB4C7DC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5" fontId="22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167" fontId="13" fillId="0" borderId="10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167" fontId="13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167" fontId="13" fillId="0" borderId="12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/>
    </xf>
    <xf numFmtId="167" fontId="6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166" fontId="6" fillId="7" borderId="3" xfId="0" applyNumberFormat="1" applyFont="1" applyFill="1" applyBorder="1" applyAlignment="1">
      <alignment horizontal="center" vertical="center"/>
    </xf>
    <xf numFmtId="1" fontId="6" fillId="7" borderId="3" xfId="0" applyNumberFormat="1" applyFont="1" applyFill="1" applyBorder="1" applyAlignment="1">
      <alignment horizontal="center" vertical="center"/>
    </xf>
    <xf numFmtId="16" fontId="6" fillId="7" borderId="3" xfId="0" applyNumberFormat="1" applyFont="1" applyFill="1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67" fontId="18" fillId="0" borderId="11" xfId="0" applyNumberFormat="1" applyFont="1" applyBorder="1" applyAlignment="1">
      <alignment horizontal="center" vertical="center"/>
    </xf>
    <xf numFmtId="49" fontId="13" fillId="9" borderId="3" xfId="0" applyNumberFormat="1" applyFont="1" applyFill="1" applyBorder="1" applyAlignment="1">
      <alignment horizontal="center" vertical="center"/>
    </xf>
    <xf numFmtId="167" fontId="13" fillId="9" borderId="3" xfId="0" applyNumberFormat="1" applyFont="1" applyFill="1" applyBorder="1" applyAlignment="1">
      <alignment horizontal="center" vertical="center"/>
    </xf>
    <xf numFmtId="49" fontId="8" fillId="9" borderId="13" xfId="0" applyNumberFormat="1" applyFont="1" applyFill="1" applyBorder="1" applyAlignment="1">
      <alignment horizontal="center" vertical="center"/>
    </xf>
    <xf numFmtId="166" fontId="19" fillId="9" borderId="14" xfId="0" applyNumberFormat="1" applyFont="1" applyFill="1" applyBorder="1" applyAlignment="1">
      <alignment horizontal="center" vertical="center"/>
    </xf>
    <xf numFmtId="1" fontId="8" fillId="9" borderId="14" xfId="0" applyNumberFormat="1" applyFont="1" applyFill="1" applyBorder="1" applyAlignment="1">
      <alignment horizontal="center" vertical="center"/>
    </xf>
    <xf numFmtId="16" fontId="8" fillId="9" borderId="14" xfId="0" applyNumberFormat="1" applyFont="1" applyFill="1" applyBorder="1" applyAlignment="1">
      <alignment horizontal="center" vertical="center"/>
    </xf>
    <xf numFmtId="49" fontId="9" fillId="9" borderId="14" xfId="0" applyNumberFormat="1" applyFont="1" applyFill="1" applyBorder="1" applyAlignment="1">
      <alignment horizontal="center" vertical="center"/>
    </xf>
    <xf numFmtId="167" fontId="8" fillId="9" borderId="14" xfId="0" applyNumberFormat="1" applyFont="1" applyFill="1" applyBorder="1" applyAlignment="1">
      <alignment horizontal="center" vertical="center"/>
    </xf>
    <xf numFmtId="49" fontId="8" fillId="9" borderId="15" xfId="0" applyNumberFormat="1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167" fontId="13" fillId="10" borderId="3" xfId="0" applyNumberFormat="1" applyFont="1" applyFill="1" applyBorder="1" applyAlignment="1">
      <alignment horizontal="center" vertical="center"/>
    </xf>
    <xf numFmtId="49" fontId="8" fillId="10" borderId="13" xfId="0" applyNumberFormat="1" applyFont="1" applyFill="1" applyBorder="1" applyAlignment="1">
      <alignment horizontal="center" vertical="center"/>
    </xf>
    <xf numFmtId="166" fontId="19" fillId="10" borderId="14" xfId="0" applyNumberFormat="1" applyFont="1" applyFill="1" applyBorder="1" applyAlignment="1">
      <alignment horizontal="center" vertical="center"/>
    </xf>
    <xf numFmtId="1" fontId="8" fillId="10" borderId="14" xfId="0" applyNumberFormat="1" applyFont="1" applyFill="1" applyBorder="1" applyAlignment="1">
      <alignment horizontal="center" vertical="center"/>
    </xf>
    <xf numFmtId="16" fontId="8" fillId="10" borderId="14" xfId="0" applyNumberFormat="1" applyFont="1" applyFill="1" applyBorder="1" applyAlignment="1">
      <alignment horizontal="center" vertical="center"/>
    </xf>
    <xf numFmtId="49" fontId="9" fillId="10" borderId="14" xfId="0" applyNumberFormat="1" applyFont="1" applyFill="1" applyBorder="1" applyAlignment="1">
      <alignment horizontal="center" vertical="center"/>
    </xf>
    <xf numFmtId="167" fontId="8" fillId="10" borderId="14" xfId="0" applyNumberFormat="1" applyFont="1" applyFill="1" applyBorder="1" applyAlignment="1">
      <alignment horizontal="center" vertical="center"/>
    </xf>
    <xf numFmtId="49" fontId="8" fillId="10" borderId="15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167" fontId="13" fillId="11" borderId="3" xfId="0" applyNumberFormat="1" applyFont="1" applyFill="1" applyBorder="1" applyAlignment="1">
      <alignment horizontal="center" vertical="center"/>
    </xf>
    <xf numFmtId="49" fontId="8" fillId="11" borderId="13" xfId="0" applyNumberFormat="1" applyFont="1" applyFill="1" applyBorder="1" applyAlignment="1">
      <alignment horizontal="center" vertical="center"/>
    </xf>
    <xf numFmtId="166" fontId="19" fillId="11" borderId="14" xfId="0" applyNumberFormat="1" applyFont="1" applyFill="1" applyBorder="1" applyAlignment="1">
      <alignment horizontal="center" vertical="center"/>
    </xf>
    <xf numFmtId="1" fontId="8" fillId="11" borderId="14" xfId="0" applyNumberFormat="1" applyFont="1" applyFill="1" applyBorder="1" applyAlignment="1">
      <alignment horizontal="center" vertical="center"/>
    </xf>
    <xf numFmtId="16" fontId="8" fillId="11" borderId="14" xfId="0" applyNumberFormat="1" applyFont="1" applyFill="1" applyBorder="1" applyAlignment="1">
      <alignment horizontal="center" vertical="center"/>
    </xf>
    <xf numFmtId="49" fontId="9" fillId="11" borderId="14" xfId="0" applyNumberFormat="1" applyFont="1" applyFill="1" applyBorder="1" applyAlignment="1">
      <alignment horizontal="center" vertical="center"/>
    </xf>
    <xf numFmtId="167" fontId="8" fillId="11" borderId="14" xfId="0" applyNumberFormat="1" applyFont="1" applyFill="1" applyBorder="1" applyAlignment="1">
      <alignment horizontal="center" vertical="center"/>
    </xf>
    <xf numFmtId="49" fontId="8" fillId="11" borderId="15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167" fontId="13" fillId="12" borderId="3" xfId="0" applyNumberFormat="1" applyFont="1" applyFill="1" applyBorder="1" applyAlignment="1">
      <alignment horizontal="center" vertical="center"/>
    </xf>
    <xf numFmtId="49" fontId="8" fillId="12" borderId="13" xfId="0" applyNumberFormat="1" applyFont="1" applyFill="1" applyBorder="1" applyAlignment="1">
      <alignment horizontal="center" vertical="center"/>
    </xf>
    <xf numFmtId="166" fontId="19" fillId="12" borderId="14" xfId="0" applyNumberFormat="1" applyFont="1" applyFill="1" applyBorder="1" applyAlignment="1">
      <alignment horizontal="center" vertical="center"/>
    </xf>
    <xf numFmtId="1" fontId="8" fillId="12" borderId="14" xfId="0" applyNumberFormat="1" applyFont="1" applyFill="1" applyBorder="1" applyAlignment="1">
      <alignment horizontal="center" vertical="center"/>
    </xf>
    <xf numFmtId="16" fontId="8" fillId="12" borderId="14" xfId="0" applyNumberFormat="1" applyFont="1" applyFill="1" applyBorder="1" applyAlignment="1">
      <alignment horizontal="center" vertical="center"/>
    </xf>
    <xf numFmtId="49" fontId="9" fillId="12" borderId="14" xfId="0" applyNumberFormat="1" applyFont="1" applyFill="1" applyBorder="1" applyAlignment="1">
      <alignment horizontal="center" vertical="center"/>
    </xf>
    <xf numFmtId="167" fontId="8" fillId="12" borderId="14" xfId="0" applyNumberFormat="1" applyFont="1" applyFill="1" applyBorder="1" applyAlignment="1">
      <alignment horizontal="center" vertical="center"/>
    </xf>
    <xf numFmtId="49" fontId="8" fillId="12" borderId="15" xfId="0" applyNumberFormat="1" applyFont="1" applyFill="1" applyBorder="1" applyAlignment="1">
      <alignment horizontal="center" vertical="center"/>
    </xf>
    <xf numFmtId="49" fontId="13" fillId="13" borderId="3" xfId="0" applyNumberFormat="1" applyFont="1" applyFill="1" applyBorder="1" applyAlignment="1">
      <alignment horizontal="center" vertical="center"/>
    </xf>
    <xf numFmtId="167" fontId="13" fillId="13" borderId="3" xfId="0" applyNumberFormat="1" applyFont="1" applyFill="1" applyBorder="1" applyAlignment="1">
      <alignment horizontal="center" vertical="center"/>
    </xf>
    <xf numFmtId="49" fontId="8" fillId="13" borderId="13" xfId="0" applyNumberFormat="1" applyFont="1" applyFill="1" applyBorder="1" applyAlignment="1">
      <alignment horizontal="center" vertical="center"/>
    </xf>
    <xf numFmtId="166" fontId="19" fillId="13" borderId="14" xfId="0" applyNumberFormat="1" applyFont="1" applyFill="1" applyBorder="1" applyAlignment="1">
      <alignment horizontal="center" vertical="center"/>
    </xf>
    <xf numFmtId="1" fontId="8" fillId="13" borderId="14" xfId="0" applyNumberFormat="1" applyFont="1" applyFill="1" applyBorder="1" applyAlignment="1">
      <alignment horizontal="center" vertical="center"/>
    </xf>
    <xf numFmtId="16" fontId="8" fillId="13" borderId="14" xfId="0" applyNumberFormat="1" applyFont="1" applyFill="1" applyBorder="1" applyAlignment="1">
      <alignment horizontal="center" vertical="center"/>
    </xf>
    <xf numFmtId="49" fontId="9" fillId="13" borderId="14" xfId="0" applyNumberFormat="1" applyFont="1" applyFill="1" applyBorder="1" applyAlignment="1">
      <alignment horizontal="center" vertical="center"/>
    </xf>
    <xf numFmtId="167" fontId="8" fillId="13" borderId="14" xfId="0" applyNumberFormat="1" applyFont="1" applyFill="1" applyBorder="1" applyAlignment="1">
      <alignment horizontal="center" vertical="center"/>
    </xf>
    <xf numFmtId="49" fontId="8" fillId="13" borderId="15" xfId="0" applyNumberFormat="1" applyFont="1" applyFill="1" applyBorder="1" applyAlignment="1">
      <alignment horizontal="center" vertical="center"/>
    </xf>
    <xf numFmtId="49" fontId="13" fillId="14" borderId="3" xfId="0" applyNumberFormat="1" applyFont="1" applyFill="1" applyBorder="1" applyAlignment="1">
      <alignment horizontal="center" vertical="center"/>
    </xf>
    <xf numFmtId="167" fontId="13" fillId="14" borderId="3" xfId="0" applyNumberFormat="1" applyFont="1" applyFill="1" applyBorder="1" applyAlignment="1">
      <alignment horizontal="center" vertical="center"/>
    </xf>
    <xf numFmtId="49" fontId="8" fillId="14" borderId="13" xfId="0" applyNumberFormat="1" applyFont="1" applyFill="1" applyBorder="1" applyAlignment="1">
      <alignment horizontal="center" vertical="center"/>
    </xf>
    <xf numFmtId="166" fontId="19" fillId="14" borderId="14" xfId="0" applyNumberFormat="1" applyFont="1" applyFill="1" applyBorder="1" applyAlignment="1">
      <alignment horizontal="center" vertical="center"/>
    </xf>
    <xf numFmtId="1" fontId="8" fillId="14" borderId="14" xfId="0" applyNumberFormat="1" applyFont="1" applyFill="1" applyBorder="1" applyAlignment="1">
      <alignment horizontal="center" vertical="center"/>
    </xf>
    <xf numFmtId="16" fontId="8" fillId="14" borderId="14" xfId="0" applyNumberFormat="1" applyFont="1" applyFill="1" applyBorder="1" applyAlignment="1">
      <alignment horizontal="center" vertical="center"/>
    </xf>
    <xf numFmtId="49" fontId="9" fillId="14" borderId="14" xfId="0" applyNumberFormat="1" applyFont="1" applyFill="1" applyBorder="1" applyAlignment="1">
      <alignment horizontal="center" vertical="center"/>
    </xf>
    <xf numFmtId="167" fontId="8" fillId="14" borderId="14" xfId="0" applyNumberFormat="1" applyFont="1" applyFill="1" applyBorder="1" applyAlignment="1">
      <alignment horizontal="center" vertical="center"/>
    </xf>
    <xf numFmtId="49" fontId="8" fillId="14" borderId="15" xfId="0" applyNumberFormat="1" applyFont="1" applyFill="1" applyBorder="1" applyAlignment="1">
      <alignment horizontal="center" vertical="center"/>
    </xf>
    <xf numFmtId="49" fontId="13" fillId="15" borderId="3" xfId="0" applyNumberFormat="1" applyFont="1" applyFill="1" applyBorder="1" applyAlignment="1">
      <alignment horizontal="center" vertical="center"/>
    </xf>
    <xf numFmtId="167" fontId="13" fillId="15" borderId="3" xfId="0" applyNumberFormat="1" applyFont="1" applyFill="1" applyBorder="1" applyAlignment="1">
      <alignment horizontal="center" vertical="center"/>
    </xf>
    <xf numFmtId="49" fontId="8" fillId="15" borderId="13" xfId="0" applyNumberFormat="1" applyFont="1" applyFill="1" applyBorder="1" applyAlignment="1">
      <alignment horizontal="center" vertical="center"/>
    </xf>
    <xf numFmtId="166" fontId="19" fillId="15" borderId="14" xfId="0" applyNumberFormat="1" applyFont="1" applyFill="1" applyBorder="1" applyAlignment="1">
      <alignment horizontal="center" vertical="center"/>
    </xf>
    <xf numFmtId="1" fontId="8" fillId="15" borderId="14" xfId="0" applyNumberFormat="1" applyFont="1" applyFill="1" applyBorder="1" applyAlignment="1">
      <alignment horizontal="center" vertical="center"/>
    </xf>
    <xf numFmtId="16" fontId="8" fillId="15" borderId="14" xfId="0" applyNumberFormat="1" applyFont="1" applyFill="1" applyBorder="1" applyAlignment="1">
      <alignment horizontal="center" vertical="center"/>
    </xf>
    <xf numFmtId="49" fontId="9" fillId="15" borderId="14" xfId="0" applyNumberFormat="1" applyFont="1" applyFill="1" applyBorder="1" applyAlignment="1">
      <alignment horizontal="center" vertical="center"/>
    </xf>
    <xf numFmtId="167" fontId="8" fillId="15" borderId="14" xfId="0" applyNumberFormat="1" applyFont="1" applyFill="1" applyBorder="1" applyAlignment="1">
      <alignment horizontal="center" vertical="center"/>
    </xf>
    <xf numFmtId="49" fontId="8" fillId="15" borderId="15" xfId="0" applyNumberFormat="1" applyFont="1" applyFill="1" applyBorder="1" applyAlignment="1">
      <alignment horizontal="center" vertical="center"/>
    </xf>
    <xf numFmtId="49" fontId="13" fillId="16" borderId="3" xfId="0" applyNumberFormat="1" applyFont="1" applyFill="1" applyBorder="1" applyAlignment="1">
      <alignment horizontal="center" vertical="center"/>
    </xf>
    <xf numFmtId="167" fontId="13" fillId="16" borderId="3" xfId="0" applyNumberFormat="1" applyFont="1" applyFill="1" applyBorder="1" applyAlignment="1">
      <alignment horizontal="center" vertical="center"/>
    </xf>
    <xf numFmtId="49" fontId="8" fillId="16" borderId="13" xfId="0" applyNumberFormat="1" applyFont="1" applyFill="1" applyBorder="1" applyAlignment="1">
      <alignment horizontal="center" vertical="center"/>
    </xf>
    <xf numFmtId="166" fontId="19" fillId="16" borderId="14" xfId="0" applyNumberFormat="1" applyFont="1" applyFill="1" applyBorder="1" applyAlignment="1">
      <alignment horizontal="center" vertical="center"/>
    </xf>
    <xf numFmtId="1" fontId="8" fillId="16" borderId="14" xfId="0" applyNumberFormat="1" applyFont="1" applyFill="1" applyBorder="1" applyAlignment="1">
      <alignment horizontal="center" vertical="center"/>
    </xf>
    <xf numFmtId="16" fontId="8" fillId="16" borderId="14" xfId="0" applyNumberFormat="1" applyFont="1" applyFill="1" applyBorder="1" applyAlignment="1">
      <alignment horizontal="center" vertical="center"/>
    </xf>
    <xf numFmtId="49" fontId="9" fillId="16" borderId="14" xfId="0" applyNumberFormat="1" applyFont="1" applyFill="1" applyBorder="1" applyAlignment="1">
      <alignment horizontal="center" vertical="center"/>
    </xf>
    <xf numFmtId="167" fontId="8" fillId="16" borderId="14" xfId="0" applyNumberFormat="1" applyFont="1" applyFill="1" applyBorder="1" applyAlignment="1">
      <alignment horizontal="center" vertical="center"/>
    </xf>
    <xf numFmtId="49" fontId="8" fillId="16" borderId="15" xfId="0" applyNumberFormat="1" applyFont="1" applyFill="1" applyBorder="1" applyAlignment="1">
      <alignment horizontal="center" vertical="center"/>
    </xf>
    <xf numFmtId="0" fontId="23" fillId="17" borderId="22" xfId="0" applyFont="1" applyFill="1" applyBorder="1" applyAlignment="1">
      <alignment horizontal="center" vertical="center"/>
    </xf>
    <xf numFmtId="0" fontId="23" fillId="17" borderId="21" xfId="0" applyFont="1" applyFill="1" applyBorder="1" applyAlignment="1">
      <alignment horizontal="center" vertical="center"/>
    </xf>
    <xf numFmtId="0" fontId="23" fillId="17" borderId="25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49" fontId="24" fillId="0" borderId="19" xfId="0" applyNumberFormat="1" applyFont="1" applyBorder="1" applyAlignment="1">
      <alignment horizontal="center" vertical="center"/>
    </xf>
    <xf numFmtId="1" fontId="24" fillId="0" borderId="19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49" fontId="24" fillId="0" borderId="20" xfId="0" applyNumberFormat="1" applyFont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49" fontId="25" fillId="0" borderId="19" xfId="0" applyNumberFormat="1" applyFont="1" applyBorder="1" applyAlignment="1">
      <alignment horizontal="center" vertical="center"/>
    </xf>
    <xf numFmtId="1" fontId="25" fillId="0" borderId="19" xfId="0" applyNumberFormat="1" applyFont="1" applyBorder="1" applyAlignment="1">
      <alignment horizontal="center" vertical="center"/>
    </xf>
    <xf numFmtId="169" fontId="25" fillId="0" borderId="26" xfId="0" applyNumberFormat="1" applyFont="1" applyBorder="1" applyAlignment="1">
      <alignment horizontal="center" vertical="center"/>
    </xf>
    <xf numFmtId="170" fontId="24" fillId="0" borderId="23" xfId="0" applyNumberFormat="1" applyFont="1" applyBorder="1" applyAlignment="1">
      <alignment horizontal="center" vertical="center"/>
    </xf>
    <xf numFmtId="171" fontId="24" fillId="0" borderId="19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0" xfId="0" applyNumberFormat="1" applyFont="1" applyBorder="1" applyAlignment="1">
      <alignment horizontal="center" vertical="center"/>
    </xf>
    <xf numFmtId="170" fontId="25" fillId="0" borderId="23" xfId="0" applyNumberFormat="1" applyFont="1" applyBorder="1" applyAlignment="1">
      <alignment horizontal="center" vertical="center"/>
    </xf>
    <xf numFmtId="171" fontId="25" fillId="0" borderId="19" xfId="0" applyNumberFormat="1" applyFont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166" fontId="8" fillId="9" borderId="14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67" fontId="18" fillId="0" borderId="12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0" fillId="0" borderId="23" xfId="0" applyBorder="1"/>
    <xf numFmtId="0" fontId="0" fillId="0" borderId="19" xfId="0" applyBorder="1"/>
    <xf numFmtId="0" fontId="26" fillId="0" borderId="19" xfId="0" applyFont="1" applyBorder="1" applyAlignment="1">
      <alignment horizontal="center" vertical="center"/>
    </xf>
    <xf numFmtId="0" fontId="0" fillId="0" borderId="26" xfId="0" applyBorder="1"/>
    <xf numFmtId="0" fontId="25" fillId="0" borderId="26" xfId="0" applyFont="1" applyBorder="1" applyAlignment="1">
      <alignment horizontal="center" vertical="center"/>
    </xf>
    <xf numFmtId="166" fontId="8" fillId="12" borderId="14" xfId="0" applyNumberFormat="1" applyFont="1" applyFill="1" applyBorder="1" applyAlignment="1">
      <alignment horizontal="center" vertical="center"/>
    </xf>
    <xf numFmtId="166" fontId="8" fillId="16" borderId="14" xfId="0" applyNumberFormat="1" applyFont="1" applyFill="1" applyBorder="1" applyAlignment="1">
      <alignment horizontal="center" vertical="center"/>
    </xf>
    <xf numFmtId="166" fontId="8" fillId="15" borderId="14" xfId="0" applyNumberFormat="1" applyFont="1" applyFill="1" applyBorder="1" applyAlignment="1">
      <alignment horizontal="center" vertical="center"/>
    </xf>
    <xf numFmtId="166" fontId="8" fillId="13" borderId="14" xfId="0" applyNumberFormat="1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49" fontId="8" fillId="11" borderId="30" xfId="0" applyNumberFormat="1" applyFont="1" applyFill="1" applyBorder="1" applyAlignment="1">
      <alignment horizontal="center" vertical="center"/>
    </xf>
    <xf numFmtId="166" fontId="19" fillId="11" borderId="28" xfId="0" applyNumberFormat="1" applyFont="1" applyFill="1" applyBorder="1" applyAlignment="1">
      <alignment horizontal="center" vertical="center"/>
    </xf>
    <xf numFmtId="1" fontId="8" fillId="11" borderId="28" xfId="0" applyNumberFormat="1" applyFont="1" applyFill="1" applyBorder="1" applyAlignment="1">
      <alignment horizontal="center" vertical="center"/>
    </xf>
    <xf numFmtId="16" fontId="8" fillId="11" borderId="28" xfId="0" applyNumberFormat="1" applyFont="1" applyFill="1" applyBorder="1" applyAlignment="1">
      <alignment horizontal="center" vertical="center"/>
    </xf>
    <xf numFmtId="49" fontId="9" fillId="11" borderId="28" xfId="0" applyNumberFormat="1" applyFont="1" applyFill="1" applyBorder="1" applyAlignment="1">
      <alignment horizontal="center" vertical="center"/>
    </xf>
    <xf numFmtId="167" fontId="8" fillId="11" borderId="28" xfId="0" applyNumberFormat="1" applyFont="1" applyFill="1" applyBorder="1" applyAlignment="1">
      <alignment horizontal="center" vertical="center"/>
    </xf>
    <xf numFmtId="49" fontId="8" fillId="11" borderId="31" xfId="0" applyNumberFormat="1" applyFont="1" applyFill="1" applyBorder="1" applyAlignment="1">
      <alignment horizontal="center" vertical="center"/>
    </xf>
    <xf numFmtId="170" fontId="25" fillId="0" borderId="24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49" fontId="25" fillId="0" borderId="20" xfId="0" applyNumberFormat="1" applyFont="1" applyBorder="1" applyAlignment="1">
      <alignment horizontal="center" vertical="center"/>
    </xf>
    <xf numFmtId="171" fontId="25" fillId="0" borderId="20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166" fontId="27" fillId="11" borderId="14" xfId="0" applyNumberFormat="1" applyFont="1" applyFill="1" applyBorder="1" applyAlignment="1">
      <alignment horizontal="center" vertical="center"/>
    </xf>
    <xf numFmtId="166" fontId="27" fillId="14" borderId="14" xfId="0" applyNumberFormat="1" applyFont="1" applyFill="1" applyBorder="1" applyAlignment="1">
      <alignment horizontal="center" vertical="center"/>
    </xf>
    <xf numFmtId="166" fontId="27" fillId="12" borderId="14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49" fontId="8" fillId="9" borderId="30" xfId="0" applyNumberFormat="1" applyFont="1" applyFill="1" applyBorder="1" applyAlignment="1">
      <alignment horizontal="center" vertical="center"/>
    </xf>
    <xf numFmtId="166" fontId="19" fillId="9" borderId="28" xfId="0" applyNumberFormat="1" applyFont="1" applyFill="1" applyBorder="1" applyAlignment="1">
      <alignment horizontal="center" vertical="center"/>
    </xf>
    <xf numFmtId="1" fontId="8" fillId="9" borderId="28" xfId="0" applyNumberFormat="1" applyFont="1" applyFill="1" applyBorder="1" applyAlignment="1">
      <alignment horizontal="center" vertical="center"/>
    </xf>
    <xf numFmtId="16" fontId="8" fillId="9" borderId="28" xfId="0" applyNumberFormat="1" applyFont="1" applyFill="1" applyBorder="1" applyAlignment="1">
      <alignment horizontal="center" vertical="center"/>
    </xf>
    <xf numFmtId="49" fontId="9" fillId="9" borderId="28" xfId="0" applyNumberFormat="1" applyFont="1" applyFill="1" applyBorder="1" applyAlignment="1">
      <alignment horizontal="center" vertical="center"/>
    </xf>
    <xf numFmtId="167" fontId="8" fillId="9" borderId="28" xfId="0" applyNumberFormat="1" applyFont="1" applyFill="1" applyBorder="1" applyAlignment="1">
      <alignment horizontal="center" vertical="center"/>
    </xf>
    <xf numFmtId="49" fontId="8" fillId="9" borderId="3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64" fontId="28" fillId="18" borderId="0" xfId="0" applyNumberFormat="1" applyFont="1" applyFill="1" applyAlignment="1">
      <alignment horizontal="center" vertical="center"/>
    </xf>
    <xf numFmtId="172" fontId="28" fillId="18" borderId="0" xfId="0" applyNumberFormat="1" applyFont="1" applyFill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174" fontId="28" fillId="18" borderId="0" xfId="0" applyNumberFormat="1" applyFont="1" applyFill="1" applyAlignment="1">
      <alignment horizontal="center" vertical="center"/>
    </xf>
    <xf numFmtId="9" fontId="28" fillId="18" borderId="0" xfId="0" applyNumberFormat="1" applyFont="1" applyFill="1" applyAlignment="1">
      <alignment horizontal="center" vertical="center"/>
    </xf>
    <xf numFmtId="1" fontId="28" fillId="18" borderId="0" xfId="0" applyNumberFormat="1" applyFont="1" applyFill="1" applyAlignment="1">
      <alignment horizontal="center" vertical="center"/>
    </xf>
    <xf numFmtId="173" fontId="28" fillId="18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/>
    <xf numFmtId="168" fontId="33" fillId="0" borderId="0" xfId="0" applyNumberFormat="1" applyFont="1" applyAlignment="1">
      <alignment horizontal="center" vertical="center"/>
    </xf>
    <xf numFmtId="15" fontId="33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16" fontId="33" fillId="0" borderId="0" xfId="0" applyNumberFormat="1" applyFont="1" applyAlignment="1">
      <alignment horizontal="center" vertical="center"/>
    </xf>
    <xf numFmtId="0" fontId="34" fillId="19" borderId="0" xfId="0" applyFont="1" applyFill="1" applyAlignment="1">
      <alignment horizontal="center" vertical="center"/>
    </xf>
    <xf numFmtId="15" fontId="34" fillId="19" borderId="0" xfId="0" applyNumberFormat="1" applyFont="1" applyFill="1" applyAlignment="1">
      <alignment horizontal="center" vertical="center"/>
    </xf>
    <xf numFmtId="166" fontId="34" fillId="19" borderId="0" xfId="0" applyNumberFormat="1" applyFont="1" applyFill="1" applyAlignment="1">
      <alignment horizontal="center" vertical="center"/>
    </xf>
    <xf numFmtId="1" fontId="34" fillId="19" borderId="0" xfId="0" applyNumberFormat="1" applyFont="1" applyFill="1" applyAlignment="1">
      <alignment horizontal="center" vertical="center"/>
    </xf>
    <xf numFmtId="0" fontId="34" fillId="19" borderId="0" xfId="0" applyNumberFormat="1" applyFont="1" applyFill="1" applyAlignment="1">
      <alignment horizontal="center" vertical="center"/>
    </xf>
    <xf numFmtId="0" fontId="35" fillId="19" borderId="0" xfId="0" applyFont="1" applyFill="1" applyAlignment="1">
      <alignment horizontal="center"/>
    </xf>
    <xf numFmtId="15" fontId="35" fillId="19" borderId="0" xfId="0" applyNumberFormat="1" applyFont="1" applyFill="1" applyAlignment="1">
      <alignment horizontal="center"/>
    </xf>
    <xf numFmtId="166" fontId="35" fillId="19" borderId="0" xfId="0" applyNumberFormat="1" applyFont="1" applyFill="1" applyAlignment="1">
      <alignment horizontal="center"/>
    </xf>
    <xf numFmtId="1" fontId="35" fillId="19" borderId="0" xfId="0" applyNumberFormat="1" applyFont="1" applyFill="1" applyAlignment="1">
      <alignment horizontal="center"/>
    </xf>
    <xf numFmtId="49" fontId="11" fillId="4" borderId="3" xfId="0" applyNumberFormat="1" applyFont="1" applyFill="1" applyBorder="1" applyAlignment="1">
      <alignment horizontal="center" vertical="center"/>
    </xf>
    <xf numFmtId="0" fontId="12" fillId="0" borderId="3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17" fillId="8" borderId="33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/>
    </xf>
    <xf numFmtId="0" fontId="17" fillId="8" borderId="3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164" fontId="2" fillId="2" borderId="0" xfId="0" applyNumberFormat="1" applyFont="1" applyFill="1" applyAlignment="1">
      <alignment horizontal="left" vertical="center"/>
    </xf>
    <xf numFmtId="0" fontId="39" fillId="0" borderId="16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20" fillId="0" borderId="16" xfId="0" applyFont="1" applyBorder="1"/>
    <xf numFmtId="165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11" fillId="4" borderId="3" xfId="0" applyFont="1" applyFill="1" applyBorder="1" applyAlignment="1">
      <alignment horizontal="center" vertical="center"/>
    </xf>
    <xf numFmtId="0" fontId="21" fillId="0" borderId="3" xfId="0" applyFont="1" applyBorder="1"/>
    <xf numFmtId="49" fontId="26" fillId="0" borderId="29" xfId="0" applyNumberFormat="1" applyFont="1" applyBorder="1" applyAlignment="1">
      <alignment horizontal="center" vertical="center"/>
    </xf>
    <xf numFmtId="0" fontId="17" fillId="0" borderId="29" xfId="0" applyFont="1" applyBorder="1"/>
    <xf numFmtId="0" fontId="0" fillId="0" borderId="32" xfId="0" applyBorder="1"/>
    <xf numFmtId="0" fontId="20" fillId="0" borderId="32" xfId="0" applyFont="1" applyBorder="1"/>
  </cellXfs>
  <cellStyles count="1">
    <cellStyle name="Normal" xfId="0" builtinId="0"/>
  </cellStyles>
  <dxfs count="337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6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6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6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6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6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23" totalsRowCount="1" headerRowDxfId="336" dataDxfId="335" totalsRowDxfId="334">
  <tableColumns count="36">
    <tableColumn id="1" xr3:uid="{00000000-0010-0000-0000-000001000000}" name="Day" totalsRowLabel="TOTAL" dataDxfId="333" totalsRowDxfId="332"/>
    <tableColumn id="2" xr3:uid="{00000000-0010-0000-0000-000002000000}" name="Flt Dt" dataDxfId="331" totalsRowDxfId="330"/>
    <tableColumn id="3" xr3:uid="{00000000-0010-0000-0000-000003000000}" name="Flt" totalsRowFunction="count" dataDxfId="329" totalsRowDxfId="328"/>
    <tableColumn id="4" xr3:uid="{00000000-0010-0000-0000-000004000000}" name="DEP" dataDxfId="327" totalsRowDxfId="326"/>
    <tableColumn id="5" xr3:uid="{00000000-0010-0000-0000-000005000000}" name="Brd-Off" totalsRowFunction="count" dataDxfId="325" totalsRowDxfId="324"/>
    <tableColumn id="6" xr3:uid="{00000000-0010-0000-0000-000006000000}" name="Eqp" dataDxfId="323" totalsRowDxfId="322"/>
    <tableColumn id="7" xr3:uid="{00000000-0010-0000-0000-000007000000}" name="LF%" totalsRowFunction="average" dataDxfId="321" totalsRowDxfId="320"/>
    <tableColumn id="8" xr3:uid="{00000000-0010-0000-0000-000008000000}" name="CAP" totalsRowFunction="sum" dataDxfId="319" totalsRowDxfId="318"/>
    <tableColumn id="9" xr3:uid="{00000000-0010-0000-0000-000009000000}" name="BKG(Y)" totalsRowFunction="sum" dataDxfId="317" totalsRowDxfId="316"/>
    <tableColumn id="10" xr3:uid="{00000000-0010-0000-0000-00000A000000}" name="GRP(Y)" totalsRowFunction="sum" dataDxfId="315" totalsRowDxfId="314"/>
    <tableColumn id="11" xr3:uid="{00000000-0010-0000-0000-00000B000000}" name="FLT ST" dataDxfId="313" totalsRowDxfId="312"/>
    <tableColumn id="12" xr3:uid="{00000000-0010-0000-0000-00000C000000}" name="LST-SOLD" dataDxfId="311" totalsRowDxfId="310"/>
    <tableColumn id="13" xr3:uid="{00000000-0010-0000-0000-00000D000000}" name="TO-DAY" totalsRowFunction="sum" dataDxfId="309" totalsRowDxfId="308"/>
    <tableColumn id="14" xr3:uid="{00000000-0010-0000-0000-00000E000000}" name="Y-DAY" totalsRowFunction="sum" dataDxfId="307" totalsRowDxfId="306"/>
    <tableColumn id="15" xr3:uid="{00000000-0010-0000-0000-00000F000000}" name="WEEKLY" totalsRowFunction="sum" dataDxfId="305" totalsRowDxfId="304"/>
    <tableColumn id="16" xr3:uid="{00000000-0010-0000-0000-000010000000}" name="LOWEST AVAIL" dataDxfId="303" totalsRowDxfId="302"/>
    <tableColumn id="17" xr3:uid="{00000000-0010-0000-0000-000011000000}" name="Y" totalsRowFunction="sum" dataDxfId="301" totalsRowDxfId="300"/>
    <tableColumn id="18" xr3:uid="{00000000-0010-0000-0000-000012000000}" name="B" totalsRowFunction="sum" dataDxfId="299" totalsRowDxfId="298"/>
    <tableColumn id="19" xr3:uid="{00000000-0010-0000-0000-000013000000}" name="M" totalsRowFunction="sum" dataDxfId="297" totalsRowDxfId="296"/>
    <tableColumn id="20" xr3:uid="{00000000-0010-0000-0000-000014000000}" name="H" totalsRowFunction="sum" dataDxfId="295" totalsRowDxfId="294"/>
    <tableColumn id="21" xr3:uid="{00000000-0010-0000-0000-000015000000}" name="Q" totalsRowFunction="sum" dataDxfId="293" totalsRowDxfId="292"/>
    <tableColumn id="22" xr3:uid="{00000000-0010-0000-0000-000016000000}" name="K" totalsRowFunction="sum" dataDxfId="291" totalsRowDxfId="290"/>
    <tableColumn id="23" xr3:uid="{00000000-0010-0000-0000-000017000000}" name="V" totalsRowFunction="sum" dataDxfId="289" totalsRowDxfId="288"/>
    <tableColumn id="24" xr3:uid="{00000000-0010-0000-0000-000018000000}" name="L" totalsRowFunction="sum" dataDxfId="287" totalsRowDxfId="286"/>
    <tableColumn id="25" xr3:uid="{00000000-0010-0000-0000-000019000000}" name="G" totalsRowFunction="sum" dataDxfId="285" totalsRowDxfId="284"/>
    <tableColumn id="26" xr3:uid="{00000000-0010-0000-0000-00001A000000}" name="S" totalsRowFunction="sum" dataDxfId="283" totalsRowDxfId="282"/>
    <tableColumn id="27" xr3:uid="{00000000-0010-0000-0000-00001B000000}" name="W" totalsRowFunction="sum" dataDxfId="281" totalsRowDxfId="280"/>
    <tableColumn id="28" xr3:uid="{00000000-0010-0000-0000-00001C000000}" name="T" totalsRowFunction="sum" dataDxfId="279" totalsRowDxfId="278"/>
    <tableColumn id="29" xr3:uid="{00000000-0010-0000-0000-00001D000000}" name="X" totalsRowFunction="sum" dataDxfId="277" totalsRowDxfId="276"/>
    <tableColumn id="30" xr3:uid="{00000000-0010-0000-0000-00001E000000}" name="U" totalsRowFunction="sum" dataDxfId="275" totalsRowDxfId="274"/>
    <tableColumn id="31" xr3:uid="{00000000-0010-0000-0000-00001F000000}" name="O" totalsRowFunction="sum" dataDxfId="273" totalsRowDxfId="272"/>
    <tableColumn id="32" xr3:uid="{00000000-0010-0000-0000-000020000000}" name="I" totalsRowFunction="sum" dataDxfId="271" totalsRowDxfId="270"/>
    <tableColumn id="33" xr3:uid="{00000000-0010-0000-0000-000021000000}" name="E" totalsRowFunction="sum" dataDxfId="269" totalsRowDxfId="268"/>
    <tableColumn id="34" xr3:uid="{00000000-0010-0000-0000-000022000000}" name="A" totalsRowFunction="sum" dataDxfId="267" totalsRowDxfId="266"/>
    <tableColumn id="35" xr3:uid="{00000000-0010-0000-0000-000023000000}" name="P" totalsRowFunction="sum" dataDxfId="265" totalsRowDxfId="264"/>
    <tableColumn id="36" xr3:uid="{00000000-0010-0000-0000-000024000000}" name="N" totalsRowFunction="count" dataDxfId="263" totalsRowDxfId="2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_DMM_CAI" displayName="FocusMode_DMM_CAI_DMM_CAI" ref="A1:H360" totalsRowShown="0">
  <autoFilter ref="A1:H36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MM_ATZ_LF_LEGACY" displayName="DMM_ATZ_LF_LEGACY" ref="A1:AJ13" totalsRowCount="1" headerRowDxfId="261" dataDxfId="260" totalsRowDxfId="259">
  <tableColumns count="36">
    <tableColumn id="1" xr3:uid="{00000000-0010-0000-0200-000001000000}" name="Day" totalsRowLabel="TOTAL" dataDxfId="258" totalsRowDxfId="257"/>
    <tableColumn id="2" xr3:uid="{00000000-0010-0000-0200-000002000000}" name="Flt Dt" dataDxfId="256" totalsRowDxfId="255"/>
    <tableColumn id="3" xr3:uid="{00000000-0010-0000-0200-000003000000}" name="Flt" totalsRowFunction="count" dataDxfId="254" totalsRowDxfId="253"/>
    <tableColumn id="4" xr3:uid="{00000000-0010-0000-0200-000004000000}" name="DEP" dataDxfId="252" totalsRowDxfId="251"/>
    <tableColumn id="5" xr3:uid="{00000000-0010-0000-0200-000005000000}" name="Brd-Off" totalsRowFunction="count" dataDxfId="250" totalsRowDxfId="249"/>
    <tableColumn id="6" xr3:uid="{00000000-0010-0000-0200-000006000000}" name="Eqp" dataDxfId="248" totalsRowDxfId="247"/>
    <tableColumn id="7" xr3:uid="{00000000-0010-0000-0200-000007000000}" name="LF%" totalsRowFunction="average" dataDxfId="246" totalsRowDxfId="245"/>
    <tableColumn id="8" xr3:uid="{00000000-0010-0000-0200-000008000000}" name="CAP" totalsRowFunction="sum" dataDxfId="244" totalsRowDxfId="243"/>
    <tableColumn id="9" xr3:uid="{00000000-0010-0000-0200-000009000000}" name="BKG(Y)" totalsRowFunction="sum" dataDxfId="242" totalsRowDxfId="241"/>
    <tableColumn id="10" xr3:uid="{00000000-0010-0000-0200-00000A000000}" name="GRP(Y)" totalsRowFunction="sum" dataDxfId="240" totalsRowDxfId="239"/>
    <tableColumn id="11" xr3:uid="{00000000-0010-0000-0200-00000B000000}" name="FLT ST" dataDxfId="238" totalsRowDxfId="237"/>
    <tableColumn id="12" xr3:uid="{00000000-0010-0000-0200-00000C000000}" name="LST-SOLD" dataDxfId="236" totalsRowDxfId="235"/>
    <tableColumn id="13" xr3:uid="{00000000-0010-0000-0200-00000D000000}" name="TO-DAY" totalsRowFunction="sum" dataDxfId="234" totalsRowDxfId="233"/>
    <tableColumn id="14" xr3:uid="{00000000-0010-0000-0200-00000E000000}" name="Y-DAY" totalsRowFunction="sum" dataDxfId="232" totalsRowDxfId="231"/>
    <tableColumn id="15" xr3:uid="{00000000-0010-0000-0200-00000F000000}" name="WEEKLY" totalsRowFunction="sum" dataDxfId="230" totalsRowDxfId="229"/>
    <tableColumn id="16" xr3:uid="{00000000-0010-0000-0200-000010000000}" name="LOWEST AVAIL" dataDxfId="228" totalsRowDxfId="227"/>
    <tableColumn id="17" xr3:uid="{00000000-0010-0000-0200-000011000000}" name="Y" totalsRowFunction="sum" dataDxfId="226" totalsRowDxfId="225"/>
    <tableColumn id="18" xr3:uid="{00000000-0010-0000-0200-000012000000}" name="B" totalsRowFunction="sum" dataDxfId="224" totalsRowDxfId="223"/>
    <tableColumn id="19" xr3:uid="{00000000-0010-0000-0200-000013000000}" name="M" totalsRowFunction="sum" dataDxfId="222" totalsRowDxfId="221"/>
    <tableColumn id="20" xr3:uid="{00000000-0010-0000-0200-000014000000}" name="H" totalsRowFunction="sum" dataDxfId="220" totalsRowDxfId="219"/>
    <tableColumn id="21" xr3:uid="{00000000-0010-0000-0200-000015000000}" name="Q" totalsRowFunction="sum" dataDxfId="218" totalsRowDxfId="217"/>
    <tableColumn id="22" xr3:uid="{00000000-0010-0000-0200-000016000000}" name="K" totalsRowFunction="sum" dataDxfId="216" totalsRowDxfId="215"/>
    <tableColumn id="23" xr3:uid="{00000000-0010-0000-0200-000017000000}" name="V" totalsRowFunction="sum" dataDxfId="214" totalsRowDxfId="213"/>
    <tableColumn id="24" xr3:uid="{00000000-0010-0000-0200-000018000000}" name="L" totalsRowFunction="sum" dataDxfId="212" totalsRowDxfId="211"/>
    <tableColumn id="25" xr3:uid="{00000000-0010-0000-0200-000019000000}" name="G" totalsRowFunction="sum" dataDxfId="210" totalsRowDxfId="209"/>
    <tableColumn id="26" xr3:uid="{00000000-0010-0000-0200-00001A000000}" name="S" totalsRowFunction="sum" dataDxfId="208" totalsRowDxfId="207"/>
    <tableColumn id="27" xr3:uid="{00000000-0010-0000-0200-00001B000000}" name="W" totalsRowFunction="sum" dataDxfId="206" totalsRowDxfId="205"/>
    <tableColumn id="28" xr3:uid="{00000000-0010-0000-0200-00001C000000}" name="T" totalsRowFunction="sum" dataDxfId="204" totalsRowDxfId="203"/>
    <tableColumn id="29" xr3:uid="{00000000-0010-0000-0200-00001D000000}" name="X" totalsRowFunction="sum" dataDxfId="202" totalsRowDxfId="201"/>
    <tableColumn id="30" xr3:uid="{00000000-0010-0000-0200-00001E000000}" name="U" totalsRowFunction="sum" dataDxfId="200" totalsRowDxfId="199"/>
    <tableColumn id="31" xr3:uid="{00000000-0010-0000-0200-00001F000000}" name="O" totalsRowFunction="sum" dataDxfId="198" totalsRowDxfId="197"/>
    <tableColumn id="32" xr3:uid="{00000000-0010-0000-0200-000020000000}" name="I" totalsRowFunction="sum" dataDxfId="196" totalsRowDxfId="195"/>
    <tableColumn id="33" xr3:uid="{00000000-0010-0000-0200-000021000000}" name="E" totalsRowFunction="sum" dataDxfId="194" totalsRowDxfId="193"/>
    <tableColumn id="34" xr3:uid="{00000000-0010-0000-0200-000022000000}" name="A" totalsRowFunction="sum" dataDxfId="192" totalsRowDxfId="191"/>
    <tableColumn id="35" xr3:uid="{00000000-0010-0000-0200-000023000000}" name="P" totalsRowFunction="sum" dataDxfId="190" totalsRowDxfId="189"/>
    <tableColumn id="36" xr3:uid="{00000000-0010-0000-0200-000024000000}" name="N" totalsRowFunction="count" dataDxfId="188" totalsRowDxfId="18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DMM_ATZ_DMM_ATZ" displayName="FocusMode_DMM_ATZ_DMM_ATZ" ref="A1:H346" totalsRowShown="0">
  <autoFilter ref="A1:H346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I_DMM_LF_LEGACY" displayName="CAI_DMM_LF_LEGACY" ref="A1:AJ23" totalsRowCount="1" headerRowDxfId="186" dataDxfId="185" totalsRowDxfId="184">
  <tableColumns count="36">
    <tableColumn id="1" xr3:uid="{00000000-0010-0000-0400-000001000000}" name="Day" totalsRowLabel="TOTAL" dataDxfId="183" totalsRowDxfId="182"/>
    <tableColumn id="2" xr3:uid="{00000000-0010-0000-0400-000002000000}" name="Flt Dt" dataDxfId="181" totalsRowDxfId="180"/>
    <tableColumn id="3" xr3:uid="{00000000-0010-0000-0400-000003000000}" name="Flt" totalsRowFunction="count" dataDxfId="179" totalsRowDxfId="178"/>
    <tableColumn id="4" xr3:uid="{00000000-0010-0000-0400-000004000000}" name="DEP" dataDxfId="177" totalsRowDxfId="176"/>
    <tableColumn id="5" xr3:uid="{00000000-0010-0000-0400-000005000000}" name="Brd-Off" totalsRowFunction="count" dataDxfId="175" totalsRowDxfId="174"/>
    <tableColumn id="6" xr3:uid="{00000000-0010-0000-0400-000006000000}" name="Eqp" dataDxfId="173" totalsRowDxfId="172"/>
    <tableColumn id="7" xr3:uid="{00000000-0010-0000-0400-000007000000}" name="LF%" totalsRowFunction="average" dataDxfId="171" totalsRowDxfId="170"/>
    <tableColumn id="8" xr3:uid="{00000000-0010-0000-0400-000008000000}" name="CAP" totalsRowFunction="sum" dataDxfId="169" totalsRowDxfId="168"/>
    <tableColumn id="9" xr3:uid="{00000000-0010-0000-0400-000009000000}" name="BKG(Y)" totalsRowFunction="sum" dataDxfId="167" totalsRowDxfId="166"/>
    <tableColumn id="10" xr3:uid="{00000000-0010-0000-0400-00000A000000}" name="GRP(Y)" totalsRowFunction="sum" dataDxfId="165" totalsRowDxfId="164"/>
    <tableColumn id="11" xr3:uid="{00000000-0010-0000-0400-00000B000000}" name="FLT ST" dataDxfId="163" totalsRowDxfId="162"/>
    <tableColumn id="12" xr3:uid="{00000000-0010-0000-0400-00000C000000}" name="LST-SOLD" dataDxfId="161" totalsRowDxfId="160"/>
    <tableColumn id="13" xr3:uid="{00000000-0010-0000-0400-00000D000000}" name="TO-DAY" totalsRowFunction="sum" dataDxfId="159" totalsRowDxfId="158"/>
    <tableColumn id="14" xr3:uid="{00000000-0010-0000-0400-00000E000000}" name="Y-DAY" totalsRowFunction="sum" dataDxfId="157" totalsRowDxfId="156"/>
    <tableColumn id="15" xr3:uid="{00000000-0010-0000-0400-00000F000000}" name="WEEKLY" totalsRowFunction="sum" dataDxfId="155" totalsRowDxfId="154"/>
    <tableColumn id="16" xr3:uid="{00000000-0010-0000-0400-000010000000}" name="LOWEST AVAIL" dataDxfId="153" totalsRowDxfId="152"/>
    <tableColumn id="17" xr3:uid="{00000000-0010-0000-0400-000011000000}" name="Y" totalsRowFunction="sum" dataDxfId="151" totalsRowDxfId="150"/>
    <tableColumn id="18" xr3:uid="{00000000-0010-0000-0400-000012000000}" name="B" totalsRowFunction="sum" dataDxfId="149" totalsRowDxfId="148"/>
    <tableColumn id="19" xr3:uid="{00000000-0010-0000-0400-000013000000}" name="M" totalsRowFunction="sum" dataDxfId="147" totalsRowDxfId="146"/>
    <tableColumn id="20" xr3:uid="{00000000-0010-0000-0400-000014000000}" name="H" totalsRowFunction="sum" dataDxfId="145" totalsRowDxfId="144"/>
    <tableColumn id="21" xr3:uid="{00000000-0010-0000-0400-000015000000}" name="Q" totalsRowFunction="sum" dataDxfId="143" totalsRowDxfId="142"/>
    <tableColumn id="22" xr3:uid="{00000000-0010-0000-0400-000016000000}" name="K" totalsRowFunction="sum" dataDxfId="141" totalsRowDxfId="140"/>
    <tableColumn id="23" xr3:uid="{00000000-0010-0000-0400-000017000000}" name="V" totalsRowFunction="sum" dataDxfId="139" totalsRowDxfId="138"/>
    <tableColumn id="24" xr3:uid="{00000000-0010-0000-0400-000018000000}" name="L" totalsRowFunction="sum" dataDxfId="137" totalsRowDxfId="136"/>
    <tableColumn id="25" xr3:uid="{00000000-0010-0000-0400-000019000000}" name="G" totalsRowFunction="sum" dataDxfId="135" totalsRowDxfId="134"/>
    <tableColumn id="26" xr3:uid="{00000000-0010-0000-0400-00001A000000}" name="S" totalsRowFunction="sum" dataDxfId="133" totalsRowDxfId="132"/>
    <tableColumn id="27" xr3:uid="{00000000-0010-0000-0400-00001B000000}" name="W" totalsRowFunction="sum" dataDxfId="131" totalsRowDxfId="130"/>
    <tableColumn id="28" xr3:uid="{00000000-0010-0000-0400-00001C000000}" name="T" totalsRowFunction="sum" dataDxfId="129" totalsRowDxfId="128"/>
    <tableColumn id="29" xr3:uid="{00000000-0010-0000-0400-00001D000000}" name="X" totalsRowFunction="sum" dataDxfId="127" totalsRowDxfId="126"/>
    <tableColumn id="30" xr3:uid="{00000000-0010-0000-0400-00001E000000}" name="U" totalsRowFunction="sum" dataDxfId="125" totalsRowDxfId="124"/>
    <tableColumn id="31" xr3:uid="{00000000-0010-0000-0400-00001F000000}" name="O" totalsRowFunction="sum" dataDxfId="123" totalsRowDxfId="122"/>
    <tableColumn id="32" xr3:uid="{00000000-0010-0000-0400-000020000000}" name="I" totalsRowFunction="sum" dataDxfId="121" totalsRowDxfId="120"/>
    <tableColumn id="33" xr3:uid="{00000000-0010-0000-0400-000021000000}" name="E" totalsRowFunction="sum" dataDxfId="119" totalsRowDxfId="118"/>
    <tableColumn id="34" xr3:uid="{00000000-0010-0000-0400-000022000000}" name="A" totalsRowFunction="sum" dataDxfId="117" totalsRowDxfId="116"/>
    <tableColumn id="35" xr3:uid="{00000000-0010-0000-0400-000023000000}" name="P" totalsRowFunction="sum" dataDxfId="115" totalsRowDxfId="114"/>
    <tableColumn id="36" xr3:uid="{00000000-0010-0000-0400-000024000000}" name="N" totalsRowFunction="count" dataDxfId="113" totalsRowDxfId="1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CAI_DMM_CAI_DMM" displayName="FocusMode_CAI_DMM_CAI_DMM" ref="A1:H382" totalsRowShown="0">
  <autoFilter ref="A1:H382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TZ_DMM_LF_LEGACY" displayName="ATZ_DMM_LF_LEGACY" ref="A1:AJ13" totalsRowCount="1" headerRowDxfId="111" dataDxfId="110" totalsRowDxfId="109">
  <tableColumns count="36">
    <tableColumn id="1" xr3:uid="{00000000-0010-0000-0600-000001000000}" name="Day" totalsRowLabel="TOTAL" dataDxfId="108" totalsRowDxfId="107"/>
    <tableColumn id="2" xr3:uid="{00000000-0010-0000-0600-000002000000}" name="Flt Dt" dataDxfId="106" totalsRowDxfId="105"/>
    <tableColumn id="3" xr3:uid="{00000000-0010-0000-0600-000003000000}" name="Flt" totalsRowFunction="count" dataDxfId="104" totalsRowDxfId="103"/>
    <tableColumn id="4" xr3:uid="{00000000-0010-0000-0600-000004000000}" name="DEP" dataDxfId="102" totalsRowDxfId="101"/>
    <tableColumn id="5" xr3:uid="{00000000-0010-0000-0600-000005000000}" name="Brd-Off" totalsRowFunction="count" dataDxfId="100" totalsRowDxfId="99"/>
    <tableColumn id="6" xr3:uid="{00000000-0010-0000-0600-000006000000}" name="Eqp" dataDxfId="98" totalsRowDxfId="97"/>
    <tableColumn id="7" xr3:uid="{00000000-0010-0000-0600-000007000000}" name="LF%" totalsRowFunction="average" dataDxfId="96" totalsRowDxfId="95"/>
    <tableColumn id="8" xr3:uid="{00000000-0010-0000-0600-000008000000}" name="CAP" totalsRowFunction="sum" dataDxfId="94" totalsRowDxfId="93"/>
    <tableColumn id="9" xr3:uid="{00000000-0010-0000-0600-000009000000}" name="BKG(Y)" totalsRowFunction="sum" dataDxfId="92" totalsRowDxfId="91"/>
    <tableColumn id="10" xr3:uid="{00000000-0010-0000-0600-00000A000000}" name="GRP(Y)" totalsRowFunction="sum" dataDxfId="90" totalsRowDxfId="89"/>
    <tableColumn id="11" xr3:uid="{00000000-0010-0000-0600-00000B000000}" name="FLT ST" dataDxfId="88" totalsRowDxfId="87"/>
    <tableColumn id="12" xr3:uid="{00000000-0010-0000-0600-00000C000000}" name="LST-SOLD" dataDxfId="86" totalsRowDxfId="85"/>
    <tableColumn id="13" xr3:uid="{00000000-0010-0000-0600-00000D000000}" name="TO-DAY" totalsRowFunction="sum" dataDxfId="84" totalsRowDxfId="83"/>
    <tableColumn id="14" xr3:uid="{00000000-0010-0000-0600-00000E000000}" name="Y-DAY" totalsRowFunction="sum" dataDxfId="82" totalsRowDxfId="81"/>
    <tableColumn id="15" xr3:uid="{00000000-0010-0000-0600-00000F000000}" name="WEEKLY" totalsRowFunction="sum" dataDxfId="80" totalsRowDxfId="79"/>
    <tableColumn id="16" xr3:uid="{00000000-0010-0000-0600-000010000000}" name="LOWEST AVAIL" dataDxfId="78" totalsRowDxfId="77"/>
    <tableColumn id="17" xr3:uid="{00000000-0010-0000-0600-000011000000}" name="Y" totalsRowFunction="sum" dataDxfId="76" totalsRowDxfId="75"/>
    <tableColumn id="18" xr3:uid="{00000000-0010-0000-0600-000012000000}" name="B" totalsRowFunction="sum" dataDxfId="74" totalsRowDxfId="73"/>
    <tableColumn id="19" xr3:uid="{00000000-0010-0000-0600-000013000000}" name="M" totalsRowFunction="sum" dataDxfId="72" totalsRowDxfId="71"/>
    <tableColumn id="20" xr3:uid="{00000000-0010-0000-0600-000014000000}" name="H" totalsRowFunction="sum" dataDxfId="70" totalsRowDxfId="69"/>
    <tableColumn id="21" xr3:uid="{00000000-0010-0000-0600-000015000000}" name="Q" totalsRowFunction="sum" dataDxfId="68" totalsRowDxfId="67"/>
    <tableColumn id="22" xr3:uid="{00000000-0010-0000-0600-000016000000}" name="K" totalsRowFunction="sum" dataDxfId="66" totalsRowDxfId="65"/>
    <tableColumn id="23" xr3:uid="{00000000-0010-0000-0600-000017000000}" name="V" totalsRowFunction="sum" dataDxfId="64" totalsRowDxfId="63"/>
    <tableColumn id="24" xr3:uid="{00000000-0010-0000-0600-000018000000}" name="L" totalsRowFunction="sum" dataDxfId="62" totalsRowDxfId="61"/>
    <tableColumn id="25" xr3:uid="{00000000-0010-0000-0600-000019000000}" name="G" totalsRowFunction="sum" dataDxfId="60" totalsRowDxfId="59"/>
    <tableColumn id="26" xr3:uid="{00000000-0010-0000-0600-00001A000000}" name="S" totalsRowFunction="sum" dataDxfId="58" totalsRowDxfId="57"/>
    <tableColumn id="27" xr3:uid="{00000000-0010-0000-0600-00001B000000}" name="W" totalsRowFunction="sum" dataDxfId="56" totalsRowDxfId="55"/>
    <tableColumn id="28" xr3:uid="{00000000-0010-0000-0600-00001C000000}" name="T" totalsRowFunction="sum" dataDxfId="54" totalsRowDxfId="53"/>
    <tableColumn id="29" xr3:uid="{00000000-0010-0000-0600-00001D000000}" name="X" totalsRowFunction="sum" dataDxfId="52" totalsRowDxfId="51"/>
    <tableColumn id="30" xr3:uid="{00000000-0010-0000-0600-00001E000000}" name="U" totalsRowFunction="sum" dataDxfId="50" totalsRowDxfId="49"/>
    <tableColumn id="31" xr3:uid="{00000000-0010-0000-0600-00001F000000}" name="O" totalsRowFunction="sum" dataDxfId="48" totalsRowDxfId="47"/>
    <tableColumn id="32" xr3:uid="{00000000-0010-0000-0600-000020000000}" name="I" totalsRowFunction="sum" dataDxfId="46" totalsRowDxfId="45"/>
    <tableColumn id="33" xr3:uid="{00000000-0010-0000-0600-000021000000}" name="E" totalsRowFunction="sum" dataDxfId="44" totalsRowDxfId="43"/>
    <tableColumn id="34" xr3:uid="{00000000-0010-0000-0600-000022000000}" name="A" totalsRowFunction="sum" dataDxfId="42" totalsRowDxfId="41"/>
    <tableColumn id="35" xr3:uid="{00000000-0010-0000-0600-000023000000}" name="P" totalsRowFunction="sum" dataDxfId="40" totalsRowDxfId="39"/>
    <tableColumn id="36" xr3:uid="{00000000-0010-0000-0600-000024000000}" name="N" totalsRowFunction="count" dataDxfId="38" totalsRowDxfId="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TZ_DMM_ATZ_DMM" displayName="FocusMode_ATZ_DMM_ATZ_DMM" ref="A1:H348" totalsRowShown="0">
  <autoFilter ref="A1:H348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F_ALL_ROUTES" displayName="LF_ALL_ROUTES" ref="A1:AJ66" totalsRowCount="1" totalsRowDxfId="36">
  <tableColumns count="36">
    <tableColumn id="1" xr3:uid="{00000000-0010-0000-0800-000001000000}" name="Day" totalsRowLabel="TOTAL" totalsRowDxfId="35"/>
    <tableColumn id="2" xr3:uid="{00000000-0010-0000-0800-000002000000}" name="Flt Dt" totalsRowDxfId="34"/>
    <tableColumn id="3" xr3:uid="{00000000-0010-0000-0800-000003000000}" name="Flt" totalsRowFunction="count" totalsRowDxfId="33"/>
    <tableColumn id="4" xr3:uid="{00000000-0010-0000-0800-000004000000}" name="DEP" totalsRowDxfId="32"/>
    <tableColumn id="5" xr3:uid="{00000000-0010-0000-0800-000005000000}" name="Brd-Off" totalsRowFunction="count" totalsRowDxfId="31"/>
    <tableColumn id="6" xr3:uid="{00000000-0010-0000-0800-000006000000}" name="Eqp" totalsRowDxfId="30"/>
    <tableColumn id="7" xr3:uid="{00000000-0010-0000-0800-000007000000}" name="LF%" totalsRowFunction="average" totalsRowDxfId="29"/>
    <tableColumn id="8" xr3:uid="{00000000-0010-0000-0800-000008000000}" name="CAP" totalsRowFunction="sum" totalsRowDxfId="28"/>
    <tableColumn id="9" xr3:uid="{00000000-0010-0000-0800-000009000000}" name="BKG(Y)" totalsRowFunction="sum" totalsRowDxfId="27"/>
    <tableColumn id="10" xr3:uid="{00000000-0010-0000-0800-00000A000000}" name="GRP(Y)" totalsRowFunction="sum" totalsRowDxfId="26"/>
    <tableColumn id="11" xr3:uid="{00000000-0010-0000-0800-00000B000000}" name="FLT ST" totalsRowDxfId="25"/>
    <tableColumn id="12" xr3:uid="{00000000-0010-0000-0800-00000C000000}" name="LST-SOLD" totalsRowDxfId="24"/>
    <tableColumn id="13" xr3:uid="{00000000-0010-0000-0800-00000D000000}" name="TO-DAY" totalsRowFunction="sum" totalsRowDxfId="23"/>
    <tableColumn id="14" xr3:uid="{00000000-0010-0000-0800-00000E000000}" name="Y-DAY" totalsRowFunction="sum" totalsRowDxfId="22"/>
    <tableColumn id="15" xr3:uid="{00000000-0010-0000-0800-00000F000000}" name="WEEKLY" totalsRowFunction="sum" totalsRowDxfId="21"/>
    <tableColumn id="16" xr3:uid="{00000000-0010-0000-0800-000010000000}" name="LOWEST AVAIL" totalsRowDxfId="20"/>
    <tableColumn id="17" xr3:uid="{00000000-0010-0000-0800-000011000000}" name="Y" totalsRowFunction="sum" totalsRowDxfId="19"/>
    <tableColumn id="18" xr3:uid="{00000000-0010-0000-0800-000012000000}" name="B" totalsRowFunction="sum" totalsRowDxfId="18"/>
    <tableColumn id="19" xr3:uid="{00000000-0010-0000-0800-000013000000}" name="M" totalsRowFunction="sum" totalsRowDxfId="17"/>
    <tableColumn id="20" xr3:uid="{00000000-0010-0000-0800-000014000000}" name="H" totalsRowFunction="sum" totalsRowDxfId="16"/>
    <tableColumn id="21" xr3:uid="{00000000-0010-0000-0800-000015000000}" name="Q" totalsRowFunction="sum" totalsRowDxfId="15"/>
    <tableColumn id="22" xr3:uid="{00000000-0010-0000-0800-000016000000}" name="K" totalsRowFunction="sum" totalsRowDxfId="14"/>
    <tableColumn id="23" xr3:uid="{00000000-0010-0000-0800-000017000000}" name="V" totalsRowFunction="sum" totalsRowDxfId="13"/>
    <tableColumn id="24" xr3:uid="{00000000-0010-0000-0800-000018000000}" name="L" totalsRowFunction="sum" totalsRowDxfId="12"/>
    <tableColumn id="25" xr3:uid="{00000000-0010-0000-0800-000019000000}" name="G" totalsRowFunction="sum" totalsRowDxfId="11"/>
    <tableColumn id="26" xr3:uid="{00000000-0010-0000-0800-00001A000000}" name="S" totalsRowFunction="sum" totalsRowDxfId="10"/>
    <tableColumn id="27" xr3:uid="{00000000-0010-0000-0800-00001B000000}" name="W" totalsRowFunction="sum" totalsRowDxfId="9"/>
    <tableColumn id="28" xr3:uid="{00000000-0010-0000-0800-00001C000000}" name="T" totalsRowFunction="sum" totalsRowDxfId="8"/>
    <tableColumn id="29" xr3:uid="{00000000-0010-0000-0800-00001D000000}" name="X" totalsRowFunction="sum" totalsRowDxfId="7"/>
    <tableColumn id="30" xr3:uid="{00000000-0010-0000-0800-00001E000000}" name="U" totalsRowFunction="sum" totalsRowDxfId="6"/>
    <tableColumn id="31" xr3:uid="{00000000-0010-0000-0800-00001F000000}" name="O" totalsRowFunction="sum" totalsRowDxfId="5"/>
    <tableColumn id="32" xr3:uid="{00000000-0010-0000-0800-000020000000}" name="I" totalsRowFunction="sum" totalsRowDxfId="4"/>
    <tableColumn id="33" xr3:uid="{00000000-0010-0000-0800-000021000000}" name="E" totalsRowFunction="sum" totalsRowDxfId="3"/>
    <tableColumn id="34" xr3:uid="{00000000-0010-0000-0800-000022000000}" name="A" totalsRowFunction="sum" totalsRowDxfId="2"/>
    <tableColumn id="35" xr3:uid="{00000000-0010-0000-0800-000023000000}" name="P" totalsRowFunction="sum" totalsRowDxfId="1"/>
    <tableColumn id="36" xr3:uid="{00000000-0010-0000-0800-000024000000}" name="N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78"/>
  <sheetViews>
    <sheetView tabSelected="1" topLeftCell="A466" zoomScale="85" workbookViewId="0">
      <selection activeCell="G305" sqref="G305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0.77734375" bestFit="1" customWidth="1"/>
  </cols>
  <sheetData>
    <row r="1" spans="1:92" ht="28.8" customHeight="1" x14ac:dyDescent="0.3">
      <c r="A1" s="218" t="s">
        <v>0</v>
      </c>
      <c r="B1" s="217"/>
      <c r="C1" s="217"/>
      <c r="D1" s="217"/>
      <c r="E1" s="217"/>
      <c r="F1" s="1" t="s">
        <v>1</v>
      </c>
      <c r="G1" s="2" t="s">
        <v>2</v>
      </c>
      <c r="H1" s="216" t="s">
        <v>3</v>
      </c>
      <c r="I1" s="217"/>
      <c r="J1" s="217"/>
      <c r="K1" s="217"/>
      <c r="L1" s="217"/>
      <c r="M1" s="1" t="s">
        <v>4</v>
      </c>
      <c r="N1" s="226" t="s">
        <v>5</v>
      </c>
      <c r="O1" s="217"/>
      <c r="P1" s="217"/>
      <c r="Q1" s="217"/>
      <c r="R1" s="21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24" t="s">
        <v>6</v>
      </c>
      <c r="B2" s="225"/>
      <c r="C2" s="225"/>
      <c r="D2" s="225"/>
      <c r="E2" s="225"/>
      <c r="F2" s="225"/>
      <c r="G2" s="234">
        <v>45984.555110083493</v>
      </c>
      <c r="H2" s="225"/>
      <c r="I2" s="225"/>
      <c r="J2" s="225"/>
      <c r="K2" s="235">
        <v>45984.55511008625</v>
      </c>
      <c r="L2" s="225"/>
      <c r="M2" s="225"/>
      <c r="N2" s="225"/>
      <c r="O2" s="225"/>
      <c r="P2" s="225"/>
      <c r="Q2" s="236"/>
      <c r="R2" s="23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38" t="s">
        <v>7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0" t="s">
        <v>8</v>
      </c>
      <c r="B4" s="241"/>
      <c r="C4" s="241"/>
      <c r="D4" s="241"/>
      <c r="E4" s="241"/>
      <c r="F4" s="241"/>
      <c r="G4" s="4">
        <v>45984</v>
      </c>
      <c r="H4" s="237" t="s">
        <v>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" t="s">
        <v>28</v>
      </c>
      <c r="B6" s="8" t="s">
        <v>29</v>
      </c>
      <c r="C6" s="9">
        <v>0.95833333333333337</v>
      </c>
      <c r="D6" s="8" t="s">
        <v>30</v>
      </c>
      <c r="E6" s="8" t="s">
        <v>31</v>
      </c>
      <c r="F6" s="8" t="s">
        <v>32</v>
      </c>
      <c r="G6" s="213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49.95" customHeight="1" x14ac:dyDescent="0.3">
      <c r="A7" s="15" t="s">
        <v>33</v>
      </c>
      <c r="B7" s="15" t="s">
        <v>34</v>
      </c>
      <c r="C7" s="16">
        <v>0.83333333333333337</v>
      </c>
      <c r="D7" s="15" t="s">
        <v>35</v>
      </c>
      <c r="E7" s="15" t="s">
        <v>36</v>
      </c>
      <c r="F7" s="15" t="s">
        <v>37</v>
      </c>
      <c r="G7" s="214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49.95" customHeight="1" x14ac:dyDescent="0.3">
      <c r="A8" s="17" t="s">
        <v>33</v>
      </c>
      <c r="B8" s="17" t="s">
        <v>34</v>
      </c>
      <c r="C8" s="18">
        <v>0.83333333333333337</v>
      </c>
      <c r="D8" s="17" t="s">
        <v>38</v>
      </c>
      <c r="E8" s="17" t="s">
        <v>39</v>
      </c>
      <c r="F8" s="17" t="s">
        <v>40</v>
      </c>
      <c r="G8" s="214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49.95" customHeight="1" x14ac:dyDescent="0.3">
      <c r="A9" s="17" t="s">
        <v>33</v>
      </c>
      <c r="B9" s="17" t="s">
        <v>34</v>
      </c>
      <c r="C9" s="18">
        <v>0.83333333333333337</v>
      </c>
      <c r="D9" s="17" t="s">
        <v>41</v>
      </c>
      <c r="E9" s="17" t="s">
        <v>39</v>
      </c>
      <c r="F9" s="17" t="s">
        <v>42</v>
      </c>
      <c r="G9" s="214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49.95" customHeight="1" thickBot="1" x14ac:dyDescent="0.35">
      <c r="A10" s="19" t="s">
        <v>43</v>
      </c>
      <c r="B10" s="19" t="s">
        <v>44</v>
      </c>
      <c r="C10" s="20">
        <v>0.86458333333333337</v>
      </c>
      <c r="D10" s="19" t="s">
        <v>45</v>
      </c>
      <c r="E10" s="19" t="s">
        <v>31</v>
      </c>
      <c r="F10" s="19" t="s">
        <v>46</v>
      </c>
      <c r="G10" s="215"/>
      <c r="H10" s="21"/>
      <c r="I10" s="22"/>
      <c r="J10" s="22"/>
      <c r="K10" s="22"/>
      <c r="L10" s="22"/>
      <c r="M10" s="22"/>
      <c r="N10" s="22"/>
      <c r="O10" s="23"/>
      <c r="P10" s="22"/>
      <c r="Q10" s="24"/>
      <c r="R10" s="25"/>
    </row>
    <row r="11" spans="1:92" ht="17.399999999999999" customHeight="1" thickBot="1" x14ac:dyDescent="0.35">
      <c r="A11" s="221"/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3"/>
    </row>
    <row r="12" spans="1:92" ht="22.05" customHeight="1" thickTop="1" thickBot="1" x14ac:dyDescent="0.55000000000000004">
      <c r="A12" s="211" t="s">
        <v>8</v>
      </c>
      <c r="B12" s="212"/>
      <c r="C12" s="212"/>
      <c r="D12" s="212"/>
      <c r="E12" s="212"/>
      <c r="F12" s="212"/>
      <c r="G12" s="26">
        <v>45985</v>
      </c>
      <c r="H12" s="219" t="s">
        <v>9</v>
      </c>
      <c r="I12" s="220"/>
      <c r="J12" s="220"/>
      <c r="K12" s="220"/>
      <c r="L12" s="220"/>
      <c r="M12" s="220"/>
      <c r="N12" s="220"/>
      <c r="O12" s="220"/>
      <c r="P12" s="220"/>
      <c r="Q12" s="220"/>
      <c r="R12" s="220"/>
    </row>
    <row r="13" spans="1:92" ht="24" customHeight="1" x14ac:dyDescent="0.3">
      <c r="A13" s="27" t="s">
        <v>10</v>
      </c>
      <c r="B13" s="27" t="s">
        <v>11</v>
      </c>
      <c r="C13" s="28" t="s">
        <v>12</v>
      </c>
      <c r="D13" s="27" t="s">
        <v>13</v>
      </c>
      <c r="E13" s="27" t="s">
        <v>14</v>
      </c>
      <c r="F13" s="29" t="s">
        <v>15</v>
      </c>
      <c r="G13" s="30" t="s">
        <v>16</v>
      </c>
      <c r="H13" s="27" t="s">
        <v>17</v>
      </c>
      <c r="I13" s="31" t="s">
        <v>18</v>
      </c>
      <c r="J13" s="32" t="s">
        <v>19</v>
      </c>
      <c r="K13" s="33" t="s">
        <v>20</v>
      </c>
      <c r="L13" s="32" t="s">
        <v>21</v>
      </c>
      <c r="M13" s="32" t="s">
        <v>22</v>
      </c>
      <c r="N13" s="32" t="s">
        <v>23</v>
      </c>
      <c r="O13" s="27" t="s">
        <v>24</v>
      </c>
      <c r="P13" s="28" t="s">
        <v>25</v>
      </c>
      <c r="Q13" s="32" t="s">
        <v>26</v>
      </c>
      <c r="R13" s="27" t="s">
        <v>27</v>
      </c>
    </row>
    <row r="14" spans="1:92" ht="49.95" customHeight="1" x14ac:dyDescent="0.3">
      <c r="A14" s="8" t="s">
        <v>28</v>
      </c>
      <c r="B14" s="8" t="s">
        <v>47</v>
      </c>
      <c r="C14" s="9">
        <v>0.95833333333333337</v>
      </c>
      <c r="D14" s="8" t="s">
        <v>30</v>
      </c>
      <c r="E14" s="8" t="s">
        <v>31</v>
      </c>
      <c r="F14" s="8" t="s">
        <v>48</v>
      </c>
      <c r="G14" s="213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49.95" customHeight="1" x14ac:dyDescent="0.3">
      <c r="A15" s="15" t="s">
        <v>43</v>
      </c>
      <c r="B15" s="15" t="s">
        <v>44</v>
      </c>
      <c r="C15" s="16">
        <v>0.88194444444444453</v>
      </c>
      <c r="D15" s="15" t="s">
        <v>45</v>
      </c>
      <c r="E15" s="15" t="s">
        <v>31</v>
      </c>
      <c r="F15" s="15" t="s">
        <v>49</v>
      </c>
      <c r="G15" s="214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49.95" customHeight="1" x14ac:dyDescent="0.3">
      <c r="A16" s="34" t="s">
        <v>43</v>
      </c>
      <c r="B16" s="34" t="s">
        <v>50</v>
      </c>
      <c r="C16" s="35">
        <v>0.51388888888888895</v>
      </c>
      <c r="D16" s="34" t="s">
        <v>45</v>
      </c>
      <c r="E16" s="34" t="s">
        <v>51</v>
      </c>
      <c r="F16" s="34" t="s">
        <v>46</v>
      </c>
      <c r="G16" s="214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49.95" customHeight="1" x14ac:dyDescent="0.3">
      <c r="A17" s="34" t="s">
        <v>43</v>
      </c>
      <c r="B17" s="34" t="s">
        <v>52</v>
      </c>
      <c r="C17" s="35">
        <v>0.1701388888888889</v>
      </c>
      <c r="D17" s="34" t="s">
        <v>45</v>
      </c>
      <c r="E17" s="34" t="s">
        <v>51</v>
      </c>
      <c r="F17" s="34" t="s">
        <v>53</v>
      </c>
      <c r="G17" s="214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49.95" customHeight="1" thickBot="1" x14ac:dyDescent="0.35">
      <c r="A18" s="19" t="s">
        <v>54</v>
      </c>
      <c r="B18" s="19" t="s">
        <v>55</v>
      </c>
      <c r="C18" s="20">
        <v>0.30555555555555552</v>
      </c>
      <c r="D18" s="19" t="s">
        <v>56</v>
      </c>
      <c r="E18" s="19" t="s">
        <v>57</v>
      </c>
      <c r="F18" s="19" t="s">
        <v>58</v>
      </c>
      <c r="G18" s="215"/>
      <c r="H18" s="21"/>
      <c r="I18" s="22"/>
      <c r="J18" s="22"/>
      <c r="K18" s="22"/>
      <c r="L18" s="22"/>
      <c r="M18" s="22"/>
      <c r="N18" s="22"/>
      <c r="O18" s="23"/>
      <c r="P18" s="22"/>
      <c r="Q18" s="24"/>
      <c r="R18" s="25"/>
    </row>
    <row r="19" spans="1:18" ht="17.399999999999999" customHeight="1" thickBot="1" x14ac:dyDescent="0.35">
      <c r="A19" s="221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3"/>
    </row>
    <row r="20" spans="1:18" ht="22.05" customHeight="1" thickTop="1" thickBot="1" x14ac:dyDescent="0.55000000000000004">
      <c r="A20" s="211" t="s">
        <v>8</v>
      </c>
      <c r="B20" s="212"/>
      <c r="C20" s="212"/>
      <c r="D20" s="212"/>
      <c r="E20" s="212"/>
      <c r="F20" s="212"/>
      <c r="G20" s="26">
        <v>45986</v>
      </c>
      <c r="H20" s="219" t="s">
        <v>9</v>
      </c>
      <c r="I20" s="220"/>
      <c r="J20" s="220"/>
      <c r="K20" s="220"/>
      <c r="L20" s="220"/>
      <c r="M20" s="220"/>
      <c r="N20" s="220"/>
      <c r="O20" s="220"/>
      <c r="P20" s="220"/>
      <c r="Q20" s="220"/>
      <c r="R20" s="220"/>
    </row>
    <row r="21" spans="1:18" ht="24" customHeight="1" x14ac:dyDescent="0.3">
      <c r="A21" s="27" t="s">
        <v>10</v>
      </c>
      <c r="B21" s="27" t="s">
        <v>11</v>
      </c>
      <c r="C21" s="28" t="s">
        <v>12</v>
      </c>
      <c r="D21" s="27" t="s">
        <v>13</v>
      </c>
      <c r="E21" s="27" t="s">
        <v>14</v>
      </c>
      <c r="F21" s="29" t="s">
        <v>15</v>
      </c>
      <c r="G21" s="30" t="s">
        <v>16</v>
      </c>
      <c r="H21" s="27" t="s">
        <v>17</v>
      </c>
      <c r="I21" s="31" t="s">
        <v>18</v>
      </c>
      <c r="J21" s="32" t="s">
        <v>19</v>
      </c>
      <c r="K21" s="33" t="s">
        <v>20</v>
      </c>
      <c r="L21" s="32" t="s">
        <v>21</v>
      </c>
      <c r="M21" s="32" t="s">
        <v>22</v>
      </c>
      <c r="N21" s="32" t="s">
        <v>23</v>
      </c>
      <c r="O21" s="27" t="s">
        <v>24</v>
      </c>
      <c r="P21" s="28" t="s">
        <v>25</v>
      </c>
      <c r="Q21" s="32" t="s">
        <v>26</v>
      </c>
      <c r="R21" s="27" t="s">
        <v>27</v>
      </c>
    </row>
    <row r="22" spans="1:18" ht="15" customHeight="1" x14ac:dyDescent="0.3">
      <c r="A22" s="8" t="s">
        <v>59</v>
      </c>
      <c r="B22" s="8" t="s">
        <v>60</v>
      </c>
      <c r="C22" s="9">
        <v>0.30555555555555552</v>
      </c>
      <c r="D22" s="8" t="s">
        <v>61</v>
      </c>
      <c r="E22" s="8" t="s">
        <v>62</v>
      </c>
      <c r="F22" s="8" t="s">
        <v>63</v>
      </c>
      <c r="G22" s="232" t="s">
        <v>660</v>
      </c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7" t="s">
        <v>59</v>
      </c>
      <c r="B23" s="17" t="s">
        <v>60</v>
      </c>
      <c r="C23" s="18">
        <v>0.30555555555555552</v>
      </c>
      <c r="D23" s="17" t="s">
        <v>64</v>
      </c>
      <c r="E23" s="17" t="s">
        <v>65</v>
      </c>
      <c r="F23" s="17" t="s">
        <v>66</v>
      </c>
      <c r="G23" s="228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7" t="s">
        <v>59</v>
      </c>
      <c r="B24" s="17" t="s">
        <v>60</v>
      </c>
      <c r="C24" s="18">
        <v>0.30555555555555552</v>
      </c>
      <c r="D24" s="17" t="s">
        <v>67</v>
      </c>
      <c r="E24" s="17" t="s">
        <v>65</v>
      </c>
      <c r="F24" s="17" t="s">
        <v>42</v>
      </c>
      <c r="G24" s="228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33</v>
      </c>
      <c r="B25" s="15" t="s">
        <v>68</v>
      </c>
      <c r="C25" s="16">
        <v>0.19791666666666671</v>
      </c>
      <c r="D25" s="15" t="s">
        <v>35</v>
      </c>
      <c r="E25" s="15" t="s">
        <v>62</v>
      </c>
      <c r="F25" s="15" t="s">
        <v>69</v>
      </c>
      <c r="G25" s="228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7" t="s">
        <v>33</v>
      </c>
      <c r="B26" s="17" t="s">
        <v>68</v>
      </c>
      <c r="C26" s="18">
        <v>0.19791666666666671</v>
      </c>
      <c r="D26" s="17" t="s">
        <v>38</v>
      </c>
      <c r="E26" s="17" t="s">
        <v>65</v>
      </c>
      <c r="F26" s="17" t="s">
        <v>70</v>
      </c>
      <c r="G26" s="228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7" t="s">
        <v>33</v>
      </c>
      <c r="B27" s="17" t="s">
        <v>68</v>
      </c>
      <c r="C27" s="18">
        <v>0.19791666666666671</v>
      </c>
      <c r="D27" s="17" t="s">
        <v>41</v>
      </c>
      <c r="E27" s="17" t="s">
        <v>65</v>
      </c>
      <c r="F27" s="17" t="s">
        <v>71</v>
      </c>
      <c r="G27" s="228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34" t="s">
        <v>33</v>
      </c>
      <c r="B28" s="34" t="s">
        <v>34</v>
      </c>
      <c r="C28" s="35">
        <v>0.83333333333333337</v>
      </c>
      <c r="D28" s="34" t="s">
        <v>35</v>
      </c>
      <c r="E28" s="34" t="s">
        <v>72</v>
      </c>
      <c r="F28" s="34" t="s">
        <v>48</v>
      </c>
      <c r="G28" s="228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7" t="s">
        <v>33</v>
      </c>
      <c r="B29" s="17" t="s">
        <v>34</v>
      </c>
      <c r="C29" s="18">
        <v>0.83333333333333337</v>
      </c>
      <c r="D29" s="17" t="s">
        <v>38</v>
      </c>
      <c r="E29" s="17" t="s">
        <v>39</v>
      </c>
      <c r="F29" s="17" t="s">
        <v>73</v>
      </c>
      <c r="G29" s="228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7" t="s">
        <v>33</v>
      </c>
      <c r="B30" s="17" t="s">
        <v>34</v>
      </c>
      <c r="C30" s="18">
        <v>0.83333333333333337</v>
      </c>
      <c r="D30" s="17" t="s">
        <v>41</v>
      </c>
      <c r="E30" s="17" t="s">
        <v>39</v>
      </c>
      <c r="F30" s="17" t="s">
        <v>74</v>
      </c>
      <c r="G30" s="228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28</v>
      </c>
      <c r="B31" s="15" t="s">
        <v>75</v>
      </c>
      <c r="C31" s="16">
        <v>0.95833333333333337</v>
      </c>
      <c r="D31" s="15" t="s">
        <v>30</v>
      </c>
      <c r="E31" s="15" t="s">
        <v>31</v>
      </c>
      <c r="F31" s="15" t="s">
        <v>48</v>
      </c>
      <c r="G31" s="228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36" t="s">
        <v>76</v>
      </c>
      <c r="B32" s="36" t="s">
        <v>77</v>
      </c>
      <c r="C32" s="37">
        <v>0.27083333333333331</v>
      </c>
      <c r="D32" s="36" t="s">
        <v>30</v>
      </c>
      <c r="E32" s="36" t="s">
        <v>78</v>
      </c>
      <c r="F32" s="36" t="s">
        <v>79</v>
      </c>
      <c r="G32" s="228"/>
      <c r="H32" s="38" t="s">
        <v>80</v>
      </c>
      <c r="I32" s="39">
        <v>0.41070000000000001</v>
      </c>
      <c r="J32" s="40">
        <v>69</v>
      </c>
      <c r="K32" s="41">
        <v>45983</v>
      </c>
      <c r="L32" s="40">
        <v>31</v>
      </c>
      <c r="M32" s="40">
        <v>0</v>
      </c>
      <c r="N32" s="40">
        <v>3</v>
      </c>
      <c r="O32" s="42" t="s">
        <v>81</v>
      </c>
      <c r="P32" s="43">
        <v>0.27083333333333331</v>
      </c>
      <c r="Q32" s="40">
        <v>168</v>
      </c>
      <c r="R32" s="44" t="s">
        <v>82</v>
      </c>
    </row>
    <row r="33" spans="1:18" ht="15" customHeight="1" x14ac:dyDescent="0.3">
      <c r="A33" s="15" t="s">
        <v>43</v>
      </c>
      <c r="B33" s="15" t="s">
        <v>52</v>
      </c>
      <c r="C33" s="16">
        <v>0.1701388888888889</v>
      </c>
      <c r="D33" s="15" t="s">
        <v>45</v>
      </c>
      <c r="E33" s="15" t="s">
        <v>31</v>
      </c>
      <c r="F33" s="15" t="s">
        <v>83</v>
      </c>
      <c r="G33" s="228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34" t="s">
        <v>43</v>
      </c>
      <c r="B34" s="34" t="s">
        <v>44</v>
      </c>
      <c r="C34" s="35">
        <v>0.86458333333333337</v>
      </c>
      <c r="D34" s="34" t="s">
        <v>45</v>
      </c>
      <c r="E34" s="34" t="s">
        <v>51</v>
      </c>
      <c r="F34" s="34" t="s">
        <v>84</v>
      </c>
      <c r="G34" s="228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34" t="s">
        <v>43</v>
      </c>
      <c r="B35" s="34" t="s">
        <v>50</v>
      </c>
      <c r="C35" s="35">
        <v>0.52777777777777779</v>
      </c>
      <c r="D35" s="34" t="s">
        <v>45</v>
      </c>
      <c r="E35" s="34" t="s">
        <v>51</v>
      </c>
      <c r="F35" s="34" t="s">
        <v>49</v>
      </c>
      <c r="G35" s="228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thickBot="1" x14ac:dyDescent="0.35">
      <c r="A36" s="19" t="s">
        <v>54</v>
      </c>
      <c r="B36" s="19" t="s">
        <v>55</v>
      </c>
      <c r="C36" s="20">
        <v>0.30555555555555552</v>
      </c>
      <c r="D36" s="19" t="s">
        <v>56</v>
      </c>
      <c r="E36" s="19" t="s">
        <v>57</v>
      </c>
      <c r="F36" s="19" t="s">
        <v>85</v>
      </c>
      <c r="G36" s="229"/>
      <c r="H36" s="21"/>
      <c r="I36" s="22"/>
      <c r="J36" s="22"/>
      <c r="K36" s="22"/>
      <c r="L36" s="22"/>
      <c r="M36" s="22"/>
      <c r="N36" s="22"/>
      <c r="O36" s="23"/>
      <c r="P36" s="22"/>
      <c r="Q36" s="24"/>
      <c r="R36" s="25"/>
    </row>
    <row r="37" spans="1:18" ht="17.399999999999999" customHeight="1" thickBot="1" x14ac:dyDescent="0.35">
      <c r="A37" s="221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3"/>
    </row>
    <row r="38" spans="1:18" ht="22.05" customHeight="1" thickTop="1" thickBot="1" x14ac:dyDescent="0.55000000000000004">
      <c r="A38" s="211" t="s">
        <v>8</v>
      </c>
      <c r="B38" s="212"/>
      <c r="C38" s="212"/>
      <c r="D38" s="212"/>
      <c r="E38" s="212"/>
      <c r="F38" s="212"/>
      <c r="G38" s="26">
        <v>45987</v>
      </c>
      <c r="H38" s="219" t="s">
        <v>9</v>
      </c>
      <c r="I38" s="220"/>
      <c r="J38" s="220"/>
      <c r="K38" s="220"/>
      <c r="L38" s="220"/>
      <c r="M38" s="220"/>
      <c r="N38" s="220"/>
      <c r="O38" s="220"/>
      <c r="P38" s="220"/>
      <c r="Q38" s="220"/>
      <c r="R38" s="220"/>
    </row>
    <row r="39" spans="1:18" ht="24" customHeight="1" x14ac:dyDescent="0.3">
      <c r="A39" s="27" t="s">
        <v>10</v>
      </c>
      <c r="B39" s="27" t="s">
        <v>11</v>
      </c>
      <c r="C39" s="28" t="s">
        <v>12</v>
      </c>
      <c r="D39" s="27" t="s">
        <v>13</v>
      </c>
      <c r="E39" s="27" t="s">
        <v>14</v>
      </c>
      <c r="F39" s="29" t="s">
        <v>15</v>
      </c>
      <c r="G39" s="30" t="s">
        <v>16</v>
      </c>
      <c r="H39" s="27" t="s">
        <v>17</v>
      </c>
      <c r="I39" s="31" t="s">
        <v>18</v>
      </c>
      <c r="J39" s="32" t="s">
        <v>19</v>
      </c>
      <c r="K39" s="33" t="s">
        <v>20</v>
      </c>
      <c r="L39" s="32" t="s">
        <v>21</v>
      </c>
      <c r="M39" s="32" t="s">
        <v>22</v>
      </c>
      <c r="N39" s="32" t="s">
        <v>23</v>
      </c>
      <c r="O39" s="27" t="s">
        <v>24</v>
      </c>
      <c r="P39" s="28" t="s">
        <v>25</v>
      </c>
      <c r="Q39" s="32" t="s">
        <v>26</v>
      </c>
      <c r="R39" s="27" t="s">
        <v>27</v>
      </c>
    </row>
    <row r="40" spans="1:18" ht="15" customHeight="1" x14ac:dyDescent="0.3">
      <c r="A40" s="8" t="s">
        <v>59</v>
      </c>
      <c r="B40" s="8" t="s">
        <v>60</v>
      </c>
      <c r="C40" s="9">
        <v>0.30555555555555552</v>
      </c>
      <c r="D40" s="8" t="s">
        <v>86</v>
      </c>
      <c r="E40" s="8" t="s">
        <v>87</v>
      </c>
      <c r="F40" s="8" t="s">
        <v>63</v>
      </c>
      <c r="G40" s="213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5" t="s">
        <v>33</v>
      </c>
      <c r="B41" s="15" t="s">
        <v>34</v>
      </c>
      <c r="C41" s="16">
        <v>0.83333333333333337</v>
      </c>
      <c r="D41" s="15" t="s">
        <v>88</v>
      </c>
      <c r="E41" s="15" t="s">
        <v>89</v>
      </c>
      <c r="F41" s="15" t="s">
        <v>90</v>
      </c>
      <c r="G41" s="214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28</v>
      </c>
      <c r="B42" s="15" t="s">
        <v>47</v>
      </c>
      <c r="C42" s="16">
        <v>0.89583333333333337</v>
      </c>
      <c r="D42" s="15" t="s">
        <v>30</v>
      </c>
      <c r="E42" s="15" t="s">
        <v>31</v>
      </c>
      <c r="F42" s="15" t="s">
        <v>48</v>
      </c>
      <c r="G42" s="214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5" t="s">
        <v>43</v>
      </c>
      <c r="B43" s="15" t="s">
        <v>52</v>
      </c>
      <c r="C43" s="16">
        <v>0.1701388888888889</v>
      </c>
      <c r="D43" s="15" t="s">
        <v>91</v>
      </c>
      <c r="E43" s="15" t="s">
        <v>31</v>
      </c>
      <c r="F43" s="15" t="s">
        <v>92</v>
      </c>
      <c r="G43" s="214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34" t="s">
        <v>43</v>
      </c>
      <c r="B44" s="34" t="s">
        <v>44</v>
      </c>
      <c r="C44" s="35">
        <v>0.86458333333333337</v>
      </c>
      <c r="D44" s="34" t="s">
        <v>45</v>
      </c>
      <c r="E44" s="34" t="s">
        <v>51</v>
      </c>
      <c r="F44" s="34" t="s">
        <v>84</v>
      </c>
      <c r="G44" s="214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34" t="s">
        <v>43</v>
      </c>
      <c r="B45" s="34" t="s">
        <v>50</v>
      </c>
      <c r="C45" s="35">
        <v>0.52777777777777779</v>
      </c>
      <c r="D45" s="34" t="s">
        <v>45</v>
      </c>
      <c r="E45" s="34" t="s">
        <v>51</v>
      </c>
      <c r="F45" s="34" t="s">
        <v>93</v>
      </c>
      <c r="G45" s="214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thickBot="1" x14ac:dyDescent="0.35">
      <c r="A46" s="19" t="s">
        <v>54</v>
      </c>
      <c r="B46" s="19" t="s">
        <v>55</v>
      </c>
      <c r="C46" s="20">
        <v>0.30555555555555552</v>
      </c>
      <c r="D46" s="19" t="s">
        <v>56</v>
      </c>
      <c r="E46" s="19" t="s">
        <v>57</v>
      </c>
      <c r="F46" s="19" t="s">
        <v>85</v>
      </c>
      <c r="G46" s="215"/>
      <c r="H46" s="21"/>
      <c r="I46" s="22"/>
      <c r="J46" s="22"/>
      <c r="K46" s="22"/>
      <c r="L46" s="22"/>
      <c r="M46" s="22"/>
      <c r="N46" s="22"/>
      <c r="O46" s="23"/>
      <c r="P46" s="22"/>
      <c r="Q46" s="24"/>
      <c r="R46" s="25"/>
    </row>
    <row r="47" spans="1:18" ht="17.399999999999999" customHeight="1" thickBot="1" x14ac:dyDescent="0.35">
      <c r="A47" s="221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3"/>
    </row>
    <row r="48" spans="1:18" ht="22.05" customHeight="1" thickTop="1" thickBot="1" x14ac:dyDescent="0.55000000000000004">
      <c r="A48" s="211" t="s">
        <v>8</v>
      </c>
      <c r="B48" s="212"/>
      <c r="C48" s="212"/>
      <c r="D48" s="212"/>
      <c r="E48" s="212"/>
      <c r="F48" s="212"/>
      <c r="G48" s="26">
        <v>45988</v>
      </c>
      <c r="H48" s="219" t="s">
        <v>9</v>
      </c>
      <c r="I48" s="220"/>
      <c r="J48" s="220"/>
      <c r="K48" s="220"/>
      <c r="L48" s="220"/>
      <c r="M48" s="220"/>
      <c r="N48" s="220"/>
      <c r="O48" s="220"/>
      <c r="P48" s="220"/>
      <c r="Q48" s="220"/>
      <c r="R48" s="220"/>
    </row>
    <row r="49" spans="1:18" ht="24" customHeight="1" thickTop="1" thickBot="1" x14ac:dyDescent="0.35">
      <c r="A49" s="27" t="s">
        <v>10</v>
      </c>
      <c r="B49" s="27" t="s">
        <v>11</v>
      </c>
      <c r="C49" s="28" t="s">
        <v>12</v>
      </c>
      <c r="D49" s="27" t="s">
        <v>13</v>
      </c>
      <c r="E49" s="27" t="s">
        <v>14</v>
      </c>
      <c r="F49" s="29" t="s">
        <v>15</v>
      </c>
      <c r="G49" s="30" t="s">
        <v>16</v>
      </c>
      <c r="H49" s="27" t="s">
        <v>17</v>
      </c>
      <c r="I49" s="31" t="s">
        <v>18</v>
      </c>
      <c r="J49" s="32" t="s">
        <v>19</v>
      </c>
      <c r="K49" s="33" t="s">
        <v>20</v>
      </c>
      <c r="L49" s="32" t="s">
        <v>21</v>
      </c>
      <c r="M49" s="32" t="s">
        <v>22</v>
      </c>
      <c r="N49" s="32" t="s">
        <v>23</v>
      </c>
      <c r="O49" s="27" t="s">
        <v>24</v>
      </c>
      <c r="P49" s="28" t="s">
        <v>25</v>
      </c>
      <c r="Q49" s="32" t="s">
        <v>26</v>
      </c>
      <c r="R49" s="27" t="s">
        <v>27</v>
      </c>
    </row>
    <row r="50" spans="1:18" ht="15" customHeight="1" thickTop="1" x14ac:dyDescent="0.3">
      <c r="A50" s="8" t="s">
        <v>59</v>
      </c>
      <c r="B50" s="8" t="s">
        <v>60</v>
      </c>
      <c r="C50" s="9">
        <v>0.30555555555555552</v>
      </c>
      <c r="D50" s="8" t="s">
        <v>61</v>
      </c>
      <c r="E50" s="8" t="s">
        <v>94</v>
      </c>
      <c r="F50" s="8" t="s">
        <v>95</v>
      </c>
      <c r="G50" s="227" t="s">
        <v>661</v>
      </c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7" t="s">
        <v>59</v>
      </c>
      <c r="B51" s="17" t="s">
        <v>60</v>
      </c>
      <c r="C51" s="18">
        <v>0.30555555555555552</v>
      </c>
      <c r="D51" s="17" t="s">
        <v>64</v>
      </c>
      <c r="E51" s="17" t="s">
        <v>96</v>
      </c>
      <c r="F51" s="17" t="s">
        <v>97</v>
      </c>
      <c r="G51" s="228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7" t="s">
        <v>59</v>
      </c>
      <c r="B52" s="17" t="s">
        <v>60</v>
      </c>
      <c r="C52" s="18">
        <v>0.30555555555555552</v>
      </c>
      <c r="D52" s="17" t="s">
        <v>67</v>
      </c>
      <c r="E52" s="17" t="s">
        <v>96</v>
      </c>
      <c r="F52" s="17" t="s">
        <v>42</v>
      </c>
      <c r="G52" s="228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5" t="s">
        <v>33</v>
      </c>
      <c r="B53" s="15" t="s">
        <v>68</v>
      </c>
      <c r="C53" s="16">
        <v>0.19791666666666671</v>
      </c>
      <c r="D53" s="15" t="s">
        <v>35</v>
      </c>
      <c r="E53" s="15" t="s">
        <v>36</v>
      </c>
      <c r="F53" s="15" t="s">
        <v>98</v>
      </c>
      <c r="G53" s="228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7" t="s">
        <v>33</v>
      </c>
      <c r="B54" s="17" t="s">
        <v>68</v>
      </c>
      <c r="C54" s="18">
        <v>0.19791666666666671</v>
      </c>
      <c r="D54" s="17" t="s">
        <v>38</v>
      </c>
      <c r="E54" s="17" t="s">
        <v>39</v>
      </c>
      <c r="F54" s="17" t="s">
        <v>99</v>
      </c>
      <c r="G54" s="228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7" t="s">
        <v>33</v>
      </c>
      <c r="B55" s="17" t="s">
        <v>68</v>
      </c>
      <c r="C55" s="18">
        <v>0.19791666666666671</v>
      </c>
      <c r="D55" s="17" t="s">
        <v>41</v>
      </c>
      <c r="E55" s="17" t="s">
        <v>39</v>
      </c>
      <c r="F55" s="17" t="s">
        <v>73</v>
      </c>
      <c r="G55" s="228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34" t="s">
        <v>33</v>
      </c>
      <c r="B56" s="34" t="s">
        <v>34</v>
      </c>
      <c r="C56" s="35">
        <v>0.83333333333333337</v>
      </c>
      <c r="D56" s="34" t="s">
        <v>35</v>
      </c>
      <c r="E56" s="34" t="s">
        <v>72</v>
      </c>
      <c r="F56" s="34" t="s">
        <v>90</v>
      </c>
      <c r="G56" s="228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7" t="s">
        <v>33</v>
      </c>
      <c r="B57" s="17" t="s">
        <v>34</v>
      </c>
      <c r="C57" s="18">
        <v>0.83333333333333337</v>
      </c>
      <c r="D57" s="17" t="s">
        <v>38</v>
      </c>
      <c r="E57" s="17" t="s">
        <v>39</v>
      </c>
      <c r="F57" s="17" t="s">
        <v>100</v>
      </c>
      <c r="G57" s="228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7" t="s">
        <v>33</v>
      </c>
      <c r="B58" s="17" t="s">
        <v>34</v>
      </c>
      <c r="C58" s="18">
        <v>0.83333333333333337</v>
      </c>
      <c r="D58" s="17" t="s">
        <v>41</v>
      </c>
      <c r="E58" s="17" t="s">
        <v>39</v>
      </c>
      <c r="F58" s="17" t="s">
        <v>101</v>
      </c>
      <c r="G58" s="228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102</v>
      </c>
      <c r="B59" s="15" t="s">
        <v>103</v>
      </c>
      <c r="C59" s="16">
        <v>0.88888888888888884</v>
      </c>
      <c r="D59" s="15" t="s">
        <v>30</v>
      </c>
      <c r="E59" s="15" t="s">
        <v>31</v>
      </c>
      <c r="F59" s="15" t="s">
        <v>104</v>
      </c>
      <c r="G59" s="228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34" t="s">
        <v>102</v>
      </c>
      <c r="B60" s="34" t="s">
        <v>105</v>
      </c>
      <c r="C60" s="35">
        <v>0.28472222222222221</v>
      </c>
      <c r="D60" s="34" t="s">
        <v>30</v>
      </c>
      <c r="E60" s="34" t="s">
        <v>51</v>
      </c>
      <c r="F60" s="34" t="s">
        <v>104</v>
      </c>
      <c r="G60" s="228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43</v>
      </c>
      <c r="B61" s="15" t="s">
        <v>52</v>
      </c>
      <c r="C61" s="16">
        <v>0.1701388888888889</v>
      </c>
      <c r="D61" s="15" t="s">
        <v>106</v>
      </c>
      <c r="E61" s="15" t="s">
        <v>31</v>
      </c>
      <c r="F61" s="15" t="s">
        <v>107</v>
      </c>
      <c r="G61" s="228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34" t="s">
        <v>43</v>
      </c>
      <c r="B62" s="34" t="s">
        <v>50</v>
      </c>
      <c r="C62" s="35">
        <v>0.52777777777777779</v>
      </c>
      <c r="D62" s="34" t="s">
        <v>91</v>
      </c>
      <c r="E62" s="34" t="s">
        <v>51</v>
      </c>
      <c r="F62" s="34" t="s">
        <v>108</v>
      </c>
      <c r="G62" s="228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34" t="s">
        <v>43</v>
      </c>
      <c r="B63" s="34" t="s">
        <v>44</v>
      </c>
      <c r="C63" s="35">
        <v>0.88194444444444453</v>
      </c>
      <c r="D63" s="34" t="s">
        <v>45</v>
      </c>
      <c r="E63" s="34" t="s">
        <v>51</v>
      </c>
      <c r="F63" s="34" t="s">
        <v>109</v>
      </c>
      <c r="G63" s="228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5" t="s">
        <v>28</v>
      </c>
      <c r="B64" s="15" t="s">
        <v>29</v>
      </c>
      <c r="C64" s="16">
        <v>0.5625</v>
      </c>
      <c r="D64" s="15" t="s">
        <v>30</v>
      </c>
      <c r="E64" s="15" t="s">
        <v>31</v>
      </c>
      <c r="F64" s="15" t="s">
        <v>48</v>
      </c>
      <c r="G64" s="228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thickBot="1" x14ac:dyDescent="0.35">
      <c r="A65" s="34" t="s">
        <v>28</v>
      </c>
      <c r="B65" s="34" t="s">
        <v>75</v>
      </c>
      <c r="C65" s="35">
        <v>0.95833333333333337</v>
      </c>
      <c r="D65" s="34" t="s">
        <v>30</v>
      </c>
      <c r="E65" s="34" t="s">
        <v>51</v>
      </c>
      <c r="F65" s="34" t="s">
        <v>48</v>
      </c>
      <c r="G65" s="228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thickBot="1" x14ac:dyDescent="0.35">
      <c r="A66" s="45" t="s">
        <v>76</v>
      </c>
      <c r="B66" s="45" t="s">
        <v>77</v>
      </c>
      <c r="C66" s="46">
        <v>0.92361111111111116</v>
      </c>
      <c r="D66" s="45" t="s">
        <v>30</v>
      </c>
      <c r="E66" s="45" t="s">
        <v>78</v>
      </c>
      <c r="F66" s="45" t="s">
        <v>110</v>
      </c>
      <c r="G66" s="228"/>
      <c r="H66" s="47" t="s">
        <v>80</v>
      </c>
      <c r="I66" s="48">
        <v>0.26790000000000003</v>
      </c>
      <c r="J66" s="49">
        <v>45</v>
      </c>
      <c r="K66" s="50">
        <v>45983</v>
      </c>
      <c r="L66" s="49">
        <v>14</v>
      </c>
      <c r="M66" s="49">
        <v>0</v>
      </c>
      <c r="N66" s="49">
        <v>2</v>
      </c>
      <c r="O66" s="51" t="s">
        <v>111</v>
      </c>
      <c r="P66" s="52">
        <v>0.92361111111111116</v>
      </c>
      <c r="Q66" s="49">
        <v>168</v>
      </c>
      <c r="R66" s="53" t="s">
        <v>112</v>
      </c>
    </row>
    <row r="67" spans="1:18" ht="15" customHeight="1" thickBot="1" x14ac:dyDescent="0.35">
      <c r="A67" s="19" t="s">
        <v>54</v>
      </c>
      <c r="B67" s="19" t="s">
        <v>55</v>
      </c>
      <c r="C67" s="20">
        <v>0.30555555555555552</v>
      </c>
      <c r="D67" s="19" t="s">
        <v>56</v>
      </c>
      <c r="E67" s="19" t="s">
        <v>57</v>
      </c>
      <c r="F67" s="19" t="s">
        <v>85</v>
      </c>
      <c r="G67" s="228"/>
      <c r="H67" s="21"/>
      <c r="I67" s="22"/>
      <c r="J67" s="22"/>
      <c r="K67" s="22"/>
      <c r="L67" s="22"/>
      <c r="M67" s="22"/>
      <c r="N67" s="22"/>
      <c r="O67" s="23"/>
      <c r="P67" s="22"/>
      <c r="Q67" s="24"/>
      <c r="R67" s="25"/>
    </row>
    <row r="68" spans="1:18" ht="17.399999999999999" customHeight="1" thickBot="1" x14ac:dyDescent="0.35">
      <c r="A68" s="221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3"/>
    </row>
    <row r="69" spans="1:18" ht="22.05" customHeight="1" thickTop="1" thickBot="1" x14ac:dyDescent="0.55000000000000004">
      <c r="A69" s="211" t="s">
        <v>8</v>
      </c>
      <c r="B69" s="212"/>
      <c r="C69" s="212"/>
      <c r="D69" s="212"/>
      <c r="E69" s="212"/>
      <c r="F69" s="212"/>
      <c r="G69" s="26">
        <v>45989</v>
      </c>
      <c r="H69" s="219" t="s">
        <v>9</v>
      </c>
      <c r="I69" s="220"/>
      <c r="J69" s="220"/>
      <c r="K69" s="220"/>
      <c r="L69" s="220"/>
      <c r="M69" s="220"/>
      <c r="N69" s="220"/>
      <c r="O69" s="220"/>
      <c r="P69" s="220"/>
      <c r="Q69" s="220"/>
      <c r="R69" s="220"/>
    </row>
    <row r="70" spans="1:18" ht="24" customHeight="1" x14ac:dyDescent="0.3">
      <c r="A70" s="27" t="s">
        <v>10</v>
      </c>
      <c r="B70" s="27" t="s">
        <v>11</v>
      </c>
      <c r="C70" s="28" t="s">
        <v>12</v>
      </c>
      <c r="D70" s="27" t="s">
        <v>13</v>
      </c>
      <c r="E70" s="27" t="s">
        <v>14</v>
      </c>
      <c r="F70" s="29" t="s">
        <v>15</v>
      </c>
      <c r="G70" s="30" t="s">
        <v>16</v>
      </c>
      <c r="H70" s="27" t="s">
        <v>17</v>
      </c>
      <c r="I70" s="31" t="s">
        <v>18</v>
      </c>
      <c r="J70" s="32" t="s">
        <v>19</v>
      </c>
      <c r="K70" s="33" t="s">
        <v>20</v>
      </c>
      <c r="L70" s="32" t="s">
        <v>21</v>
      </c>
      <c r="M70" s="32" t="s">
        <v>22</v>
      </c>
      <c r="N70" s="32" t="s">
        <v>23</v>
      </c>
      <c r="O70" s="27" t="s">
        <v>24</v>
      </c>
      <c r="P70" s="28" t="s">
        <v>25</v>
      </c>
      <c r="Q70" s="32" t="s">
        <v>26</v>
      </c>
      <c r="R70" s="27" t="s">
        <v>27</v>
      </c>
    </row>
    <row r="71" spans="1:18" ht="15" customHeight="1" x14ac:dyDescent="0.3">
      <c r="A71" s="8" t="s">
        <v>59</v>
      </c>
      <c r="B71" s="8" t="s">
        <v>60</v>
      </c>
      <c r="C71" s="9">
        <v>0.30555555555555552</v>
      </c>
      <c r="D71" s="8" t="s">
        <v>61</v>
      </c>
      <c r="E71" s="8" t="s">
        <v>62</v>
      </c>
      <c r="F71" s="8" t="s">
        <v>95</v>
      </c>
      <c r="G71" s="227" t="s">
        <v>661</v>
      </c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7" t="s">
        <v>59</v>
      </c>
      <c r="B72" s="17" t="s">
        <v>60</v>
      </c>
      <c r="C72" s="18">
        <v>0.30555555555555552</v>
      </c>
      <c r="D72" s="17" t="s">
        <v>64</v>
      </c>
      <c r="E72" s="17" t="s">
        <v>65</v>
      </c>
      <c r="F72" s="17" t="s">
        <v>97</v>
      </c>
      <c r="G72" s="228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7" t="s">
        <v>59</v>
      </c>
      <c r="B73" s="17" t="s">
        <v>60</v>
      </c>
      <c r="C73" s="18">
        <v>0.30555555555555552</v>
      </c>
      <c r="D73" s="17" t="s">
        <v>67</v>
      </c>
      <c r="E73" s="17" t="s">
        <v>65</v>
      </c>
      <c r="F73" s="17" t="s">
        <v>42</v>
      </c>
      <c r="G73" s="228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5" t="s">
        <v>33</v>
      </c>
      <c r="B74" s="15" t="s">
        <v>34</v>
      </c>
      <c r="C74" s="16">
        <v>0.83333333333333337</v>
      </c>
      <c r="D74" s="15" t="s">
        <v>35</v>
      </c>
      <c r="E74" s="15" t="s">
        <v>36</v>
      </c>
      <c r="F74" s="15" t="s">
        <v>98</v>
      </c>
      <c r="G74" s="228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7" t="s">
        <v>33</v>
      </c>
      <c r="B75" s="17" t="s">
        <v>34</v>
      </c>
      <c r="C75" s="18">
        <v>0.83333333333333337</v>
      </c>
      <c r="D75" s="17" t="s">
        <v>38</v>
      </c>
      <c r="E75" s="17" t="s">
        <v>39</v>
      </c>
      <c r="F75" s="17" t="s">
        <v>99</v>
      </c>
      <c r="G75" s="228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7" t="s">
        <v>33</v>
      </c>
      <c r="B76" s="17" t="s">
        <v>34</v>
      </c>
      <c r="C76" s="18">
        <v>0.83333333333333337</v>
      </c>
      <c r="D76" s="17" t="s">
        <v>41</v>
      </c>
      <c r="E76" s="17" t="s">
        <v>39</v>
      </c>
      <c r="F76" s="17" t="s">
        <v>73</v>
      </c>
      <c r="G76" s="228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5" t="s">
        <v>102</v>
      </c>
      <c r="B77" s="15" t="s">
        <v>113</v>
      </c>
      <c r="C77" s="16">
        <v>0.1736111111111111</v>
      </c>
      <c r="D77" s="15" t="s">
        <v>30</v>
      </c>
      <c r="E77" s="15" t="s">
        <v>31</v>
      </c>
      <c r="F77" s="15" t="s">
        <v>104</v>
      </c>
      <c r="G77" s="228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5" t="s">
        <v>43</v>
      </c>
      <c r="B78" s="15" t="s">
        <v>44</v>
      </c>
      <c r="C78" s="16">
        <v>0.86458333333333337</v>
      </c>
      <c r="D78" s="15" t="s">
        <v>106</v>
      </c>
      <c r="E78" s="15" t="s">
        <v>31</v>
      </c>
      <c r="F78" s="15" t="s">
        <v>114</v>
      </c>
      <c r="G78" s="228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34" t="s">
        <v>43</v>
      </c>
      <c r="B79" s="34" t="s">
        <v>52</v>
      </c>
      <c r="C79" s="35">
        <v>0.1701388888888889</v>
      </c>
      <c r="D79" s="34" t="s">
        <v>106</v>
      </c>
      <c r="E79" s="34" t="s">
        <v>51</v>
      </c>
      <c r="F79" s="34" t="s">
        <v>114</v>
      </c>
      <c r="G79" s="228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34" t="s">
        <v>43</v>
      </c>
      <c r="B80" s="34" t="s">
        <v>50</v>
      </c>
      <c r="C80" s="35">
        <v>0.51388888888888895</v>
      </c>
      <c r="D80" s="34" t="s">
        <v>45</v>
      </c>
      <c r="E80" s="34" t="s">
        <v>51</v>
      </c>
      <c r="F80" s="34" t="s">
        <v>115</v>
      </c>
      <c r="G80" s="228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28</v>
      </c>
      <c r="B81" s="15" t="s">
        <v>47</v>
      </c>
      <c r="C81" s="16">
        <v>0.95833333333333337</v>
      </c>
      <c r="D81" s="15" t="s">
        <v>30</v>
      </c>
      <c r="E81" s="15" t="s">
        <v>31</v>
      </c>
      <c r="F81" s="15" t="s">
        <v>48</v>
      </c>
      <c r="G81" s="228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54" t="s">
        <v>76</v>
      </c>
      <c r="B82" s="54" t="s">
        <v>77</v>
      </c>
      <c r="C82" s="55">
        <v>0.57986111111111105</v>
      </c>
      <c r="D82" s="54" t="s">
        <v>30</v>
      </c>
      <c r="E82" s="54" t="s">
        <v>31</v>
      </c>
      <c r="F82" s="54" t="s">
        <v>110</v>
      </c>
      <c r="G82" s="228"/>
      <c r="H82" s="56" t="s">
        <v>80</v>
      </c>
      <c r="I82" s="57">
        <v>0.30359999999999998</v>
      </c>
      <c r="J82" s="58">
        <v>51</v>
      </c>
      <c r="K82" s="59">
        <v>45983</v>
      </c>
      <c r="L82" s="58">
        <v>16</v>
      </c>
      <c r="M82" s="58">
        <v>0</v>
      </c>
      <c r="N82" s="58">
        <v>1</v>
      </c>
      <c r="O82" s="60" t="s">
        <v>116</v>
      </c>
      <c r="P82" s="61">
        <v>0.57986111111111105</v>
      </c>
      <c r="Q82" s="58">
        <v>168</v>
      </c>
      <c r="R82" s="62" t="s">
        <v>117</v>
      </c>
    </row>
    <row r="83" spans="1:18" ht="15" customHeight="1" thickBot="1" x14ac:dyDescent="0.35">
      <c r="A83" s="19" t="s">
        <v>54</v>
      </c>
      <c r="B83" s="19" t="s">
        <v>55</v>
      </c>
      <c r="C83" s="20">
        <v>0.30555555555555552</v>
      </c>
      <c r="D83" s="19" t="s">
        <v>56</v>
      </c>
      <c r="E83" s="19" t="s">
        <v>57</v>
      </c>
      <c r="F83" s="19" t="s">
        <v>118</v>
      </c>
      <c r="G83" s="229"/>
      <c r="H83" s="21"/>
      <c r="I83" s="22"/>
      <c r="J83" s="22"/>
      <c r="K83" s="22"/>
      <c r="L83" s="22"/>
      <c r="M83" s="22"/>
      <c r="N83" s="22"/>
      <c r="O83" s="23"/>
      <c r="P83" s="22"/>
      <c r="Q83" s="24"/>
      <c r="R83" s="25"/>
    </row>
    <row r="84" spans="1:18" ht="17.399999999999999" customHeight="1" thickBot="1" x14ac:dyDescent="0.35">
      <c r="A84" s="221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3"/>
    </row>
    <row r="85" spans="1:18" ht="22.05" customHeight="1" thickTop="1" thickBot="1" x14ac:dyDescent="0.55000000000000004">
      <c r="A85" s="211" t="s">
        <v>8</v>
      </c>
      <c r="B85" s="212"/>
      <c r="C85" s="212"/>
      <c r="D85" s="212"/>
      <c r="E85" s="212"/>
      <c r="F85" s="212"/>
      <c r="G85" s="26">
        <v>45990</v>
      </c>
      <c r="H85" s="219" t="s">
        <v>9</v>
      </c>
      <c r="I85" s="220"/>
      <c r="J85" s="220"/>
      <c r="K85" s="220"/>
      <c r="L85" s="220"/>
      <c r="M85" s="220"/>
      <c r="N85" s="220"/>
      <c r="O85" s="220"/>
      <c r="P85" s="220"/>
      <c r="Q85" s="220"/>
      <c r="R85" s="220"/>
    </row>
    <row r="86" spans="1:18" ht="24" customHeight="1" x14ac:dyDescent="0.3">
      <c r="A86" s="27" t="s">
        <v>10</v>
      </c>
      <c r="B86" s="27" t="s">
        <v>11</v>
      </c>
      <c r="C86" s="28" t="s">
        <v>12</v>
      </c>
      <c r="D86" s="27" t="s">
        <v>13</v>
      </c>
      <c r="E86" s="27" t="s">
        <v>14</v>
      </c>
      <c r="F86" s="29" t="s">
        <v>15</v>
      </c>
      <c r="G86" s="30" t="s">
        <v>16</v>
      </c>
      <c r="H86" s="27" t="s">
        <v>17</v>
      </c>
      <c r="I86" s="31" t="s">
        <v>18</v>
      </c>
      <c r="J86" s="32" t="s">
        <v>19</v>
      </c>
      <c r="K86" s="33" t="s">
        <v>20</v>
      </c>
      <c r="L86" s="32" t="s">
        <v>21</v>
      </c>
      <c r="M86" s="32" t="s">
        <v>22</v>
      </c>
      <c r="N86" s="32" t="s">
        <v>23</v>
      </c>
      <c r="O86" s="27" t="s">
        <v>24</v>
      </c>
      <c r="P86" s="28" t="s">
        <v>25</v>
      </c>
      <c r="Q86" s="32" t="s">
        <v>26</v>
      </c>
      <c r="R86" s="27" t="s">
        <v>27</v>
      </c>
    </row>
    <row r="87" spans="1:18" ht="15" customHeight="1" x14ac:dyDescent="0.3">
      <c r="A87" s="8" t="s">
        <v>59</v>
      </c>
      <c r="B87" s="8" t="s">
        <v>60</v>
      </c>
      <c r="C87" s="9">
        <v>0.30555555555555552</v>
      </c>
      <c r="D87" s="8" t="s">
        <v>61</v>
      </c>
      <c r="E87" s="8" t="s">
        <v>57</v>
      </c>
      <c r="F87" s="8" t="s">
        <v>95</v>
      </c>
      <c r="G87" s="227" t="s">
        <v>661</v>
      </c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7" t="s">
        <v>59</v>
      </c>
      <c r="B88" s="17" t="s">
        <v>60</v>
      </c>
      <c r="C88" s="18">
        <v>0.30555555555555552</v>
      </c>
      <c r="D88" s="17" t="s">
        <v>64</v>
      </c>
      <c r="E88" s="17" t="s">
        <v>119</v>
      </c>
      <c r="F88" s="17" t="s">
        <v>97</v>
      </c>
      <c r="G88" s="228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17" t="s">
        <v>59</v>
      </c>
      <c r="B89" s="17" t="s">
        <v>60</v>
      </c>
      <c r="C89" s="18">
        <v>0.30555555555555552</v>
      </c>
      <c r="D89" s="17" t="s">
        <v>67</v>
      </c>
      <c r="E89" s="17" t="s">
        <v>119</v>
      </c>
      <c r="F89" s="17" t="s">
        <v>42</v>
      </c>
      <c r="G89" s="228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5" t="s">
        <v>33</v>
      </c>
      <c r="B90" s="15" t="s">
        <v>34</v>
      </c>
      <c r="C90" s="16">
        <v>0.83333333333333337</v>
      </c>
      <c r="D90" s="15" t="s">
        <v>35</v>
      </c>
      <c r="E90" s="15" t="s">
        <v>36</v>
      </c>
      <c r="F90" s="15" t="s">
        <v>98</v>
      </c>
      <c r="G90" s="228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7" t="s">
        <v>33</v>
      </c>
      <c r="B91" s="17" t="s">
        <v>34</v>
      </c>
      <c r="C91" s="18">
        <v>0.83333333333333337</v>
      </c>
      <c r="D91" s="17" t="s">
        <v>38</v>
      </c>
      <c r="E91" s="17" t="s">
        <v>39</v>
      </c>
      <c r="F91" s="17" t="s">
        <v>99</v>
      </c>
      <c r="G91" s="228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7" t="s">
        <v>33</v>
      </c>
      <c r="B92" s="17" t="s">
        <v>34</v>
      </c>
      <c r="C92" s="18">
        <v>0.83333333333333337</v>
      </c>
      <c r="D92" s="17" t="s">
        <v>41</v>
      </c>
      <c r="E92" s="17" t="s">
        <v>39</v>
      </c>
      <c r="F92" s="17" t="s">
        <v>73</v>
      </c>
      <c r="G92" s="228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34" t="s">
        <v>33</v>
      </c>
      <c r="B93" s="34" t="s">
        <v>68</v>
      </c>
      <c r="C93" s="35">
        <v>0.19791666666666671</v>
      </c>
      <c r="D93" s="34" t="s">
        <v>35</v>
      </c>
      <c r="E93" s="34" t="s">
        <v>72</v>
      </c>
      <c r="F93" s="34" t="s">
        <v>98</v>
      </c>
      <c r="G93" s="228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7" t="s">
        <v>33</v>
      </c>
      <c r="B94" s="17" t="s">
        <v>68</v>
      </c>
      <c r="C94" s="18">
        <v>0.19791666666666671</v>
      </c>
      <c r="D94" s="17" t="s">
        <v>38</v>
      </c>
      <c r="E94" s="17" t="s">
        <v>39</v>
      </c>
      <c r="F94" s="17" t="s">
        <v>99</v>
      </c>
      <c r="G94" s="228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7" t="s">
        <v>33</v>
      </c>
      <c r="B95" s="17" t="s">
        <v>68</v>
      </c>
      <c r="C95" s="18">
        <v>0.19791666666666671</v>
      </c>
      <c r="D95" s="17" t="s">
        <v>41</v>
      </c>
      <c r="E95" s="17" t="s">
        <v>39</v>
      </c>
      <c r="F95" s="17" t="s">
        <v>73</v>
      </c>
      <c r="G95" s="228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5" t="s">
        <v>120</v>
      </c>
      <c r="B96" s="15" t="s">
        <v>121</v>
      </c>
      <c r="C96" s="16">
        <v>0.93402777777777779</v>
      </c>
      <c r="D96" s="15" t="s">
        <v>122</v>
      </c>
      <c r="E96" s="15" t="s">
        <v>36</v>
      </c>
      <c r="F96" s="15" t="s">
        <v>123</v>
      </c>
      <c r="G96" s="228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7" t="s">
        <v>120</v>
      </c>
      <c r="B97" s="17" t="s">
        <v>121</v>
      </c>
      <c r="C97" s="18">
        <v>0.93402777777777779</v>
      </c>
      <c r="D97" s="17" t="s">
        <v>67</v>
      </c>
      <c r="E97" s="17" t="s">
        <v>39</v>
      </c>
      <c r="F97" s="17" t="s">
        <v>124</v>
      </c>
      <c r="G97" s="228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</row>
    <row r="98" spans="1:18" ht="15" customHeight="1" x14ac:dyDescent="0.3">
      <c r="A98" s="15" t="s">
        <v>102</v>
      </c>
      <c r="B98" s="15" t="s">
        <v>103</v>
      </c>
      <c r="C98" s="16">
        <v>0.1736111111111111</v>
      </c>
      <c r="D98" s="15" t="s">
        <v>30</v>
      </c>
      <c r="E98" s="15" t="s">
        <v>31</v>
      </c>
      <c r="F98" s="15" t="s">
        <v>104</v>
      </c>
      <c r="G98" s="228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15" t="s">
        <v>43</v>
      </c>
      <c r="B99" s="15" t="s">
        <v>44</v>
      </c>
      <c r="C99" s="16">
        <v>0.86458333333333337</v>
      </c>
      <c r="D99" s="15" t="s">
        <v>106</v>
      </c>
      <c r="E99" s="15" t="s">
        <v>31</v>
      </c>
      <c r="F99" s="15" t="s">
        <v>114</v>
      </c>
      <c r="G99" s="228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34" t="s">
        <v>43</v>
      </c>
      <c r="B100" s="34" t="s">
        <v>52</v>
      </c>
      <c r="C100" s="35">
        <v>0.1701388888888889</v>
      </c>
      <c r="D100" s="34" t="s">
        <v>106</v>
      </c>
      <c r="E100" s="34" t="s">
        <v>51</v>
      </c>
      <c r="F100" s="34" t="s">
        <v>114</v>
      </c>
      <c r="G100" s="228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34" t="s">
        <v>43</v>
      </c>
      <c r="B101" s="34" t="s">
        <v>50</v>
      </c>
      <c r="C101" s="35">
        <v>0.52777777777777779</v>
      </c>
      <c r="D101" s="34" t="s">
        <v>45</v>
      </c>
      <c r="E101" s="34" t="s">
        <v>51</v>
      </c>
      <c r="F101" s="34" t="s">
        <v>109</v>
      </c>
      <c r="G101" s="228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5" t="s">
        <v>28</v>
      </c>
      <c r="B102" s="15" t="s">
        <v>75</v>
      </c>
      <c r="C102" s="16">
        <v>0.89583333333333337</v>
      </c>
      <c r="D102" s="15" t="s">
        <v>30</v>
      </c>
      <c r="E102" s="15" t="s">
        <v>31</v>
      </c>
      <c r="F102" s="15" t="s">
        <v>48</v>
      </c>
      <c r="G102" s="228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63" t="s">
        <v>76</v>
      </c>
      <c r="B103" s="63" t="s">
        <v>77</v>
      </c>
      <c r="C103" s="64">
        <v>0.92361111111111116</v>
      </c>
      <c r="D103" s="63" t="s">
        <v>30</v>
      </c>
      <c r="E103" s="63" t="s">
        <v>31</v>
      </c>
      <c r="F103" s="63" t="s">
        <v>110</v>
      </c>
      <c r="G103" s="228"/>
      <c r="H103" s="65" t="s">
        <v>80</v>
      </c>
      <c r="I103" s="66">
        <v>0.17860000000000001</v>
      </c>
      <c r="J103" s="67">
        <v>30</v>
      </c>
      <c r="K103" s="68">
        <v>45979</v>
      </c>
      <c r="L103" s="67">
        <v>1</v>
      </c>
      <c r="M103" s="67">
        <v>0</v>
      </c>
      <c r="N103" s="67">
        <v>0</v>
      </c>
      <c r="O103" s="69" t="s">
        <v>116</v>
      </c>
      <c r="P103" s="70">
        <v>0.92361111111111116</v>
      </c>
      <c r="Q103" s="67">
        <v>168</v>
      </c>
      <c r="R103" s="71" t="s">
        <v>125</v>
      </c>
    </row>
    <row r="104" spans="1:18" ht="15" customHeight="1" thickBot="1" x14ac:dyDescent="0.35">
      <c r="A104" s="19" t="s">
        <v>54</v>
      </c>
      <c r="B104" s="19" t="s">
        <v>55</v>
      </c>
      <c r="C104" s="20">
        <v>0.30555555555555552</v>
      </c>
      <c r="D104" s="19" t="s">
        <v>56</v>
      </c>
      <c r="E104" s="19" t="s">
        <v>57</v>
      </c>
      <c r="F104" s="19" t="s">
        <v>118</v>
      </c>
      <c r="G104" s="229"/>
      <c r="H104" s="21"/>
      <c r="I104" s="22"/>
      <c r="J104" s="22"/>
      <c r="K104" s="22"/>
      <c r="L104" s="22"/>
      <c r="M104" s="22"/>
      <c r="N104" s="22"/>
      <c r="O104" s="23"/>
      <c r="P104" s="22"/>
      <c r="Q104" s="24"/>
      <c r="R104" s="25"/>
    </row>
    <row r="105" spans="1:18" ht="17.399999999999999" customHeight="1" thickBot="1" x14ac:dyDescent="0.35">
      <c r="A105" s="221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3"/>
    </row>
    <row r="106" spans="1:18" ht="22.05" customHeight="1" thickTop="1" thickBot="1" x14ac:dyDescent="0.55000000000000004">
      <c r="A106" s="211" t="s">
        <v>8</v>
      </c>
      <c r="B106" s="212"/>
      <c r="C106" s="212"/>
      <c r="D106" s="212"/>
      <c r="E106" s="212"/>
      <c r="F106" s="212"/>
      <c r="G106" s="26">
        <v>45991</v>
      </c>
      <c r="H106" s="219" t="s">
        <v>9</v>
      </c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</row>
    <row r="107" spans="1:18" ht="24" customHeight="1" x14ac:dyDescent="0.3">
      <c r="A107" s="27" t="s">
        <v>10</v>
      </c>
      <c r="B107" s="27" t="s">
        <v>11</v>
      </c>
      <c r="C107" s="28" t="s">
        <v>12</v>
      </c>
      <c r="D107" s="27" t="s">
        <v>13</v>
      </c>
      <c r="E107" s="27" t="s">
        <v>14</v>
      </c>
      <c r="F107" s="29" t="s">
        <v>15</v>
      </c>
      <c r="G107" s="30" t="s">
        <v>16</v>
      </c>
      <c r="H107" s="27" t="s">
        <v>17</v>
      </c>
      <c r="I107" s="31" t="s">
        <v>18</v>
      </c>
      <c r="J107" s="32" t="s">
        <v>19</v>
      </c>
      <c r="K107" s="33" t="s">
        <v>20</v>
      </c>
      <c r="L107" s="32" t="s">
        <v>21</v>
      </c>
      <c r="M107" s="32" t="s">
        <v>22</v>
      </c>
      <c r="N107" s="32" t="s">
        <v>23</v>
      </c>
      <c r="O107" s="27" t="s">
        <v>24</v>
      </c>
      <c r="P107" s="28" t="s">
        <v>25</v>
      </c>
      <c r="Q107" s="32" t="s">
        <v>26</v>
      </c>
      <c r="R107" s="27" t="s">
        <v>27</v>
      </c>
    </row>
    <row r="108" spans="1:18" ht="15" customHeight="1" x14ac:dyDescent="0.3">
      <c r="A108" s="8" t="s">
        <v>102</v>
      </c>
      <c r="B108" s="8" t="s">
        <v>113</v>
      </c>
      <c r="C108" s="9">
        <v>0.21527777777777779</v>
      </c>
      <c r="D108" s="8" t="s">
        <v>30</v>
      </c>
      <c r="E108" s="8" t="s">
        <v>31</v>
      </c>
      <c r="F108" s="8" t="s">
        <v>104</v>
      </c>
      <c r="G108" s="213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5" t="s">
        <v>43</v>
      </c>
      <c r="B109" s="15" t="s">
        <v>44</v>
      </c>
      <c r="C109" s="16">
        <v>0.86458333333333337</v>
      </c>
      <c r="D109" s="15" t="s">
        <v>106</v>
      </c>
      <c r="E109" s="15" t="s">
        <v>31</v>
      </c>
      <c r="F109" s="15" t="s">
        <v>114</v>
      </c>
      <c r="G109" s="214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34" t="s">
        <v>43</v>
      </c>
      <c r="B110" s="34" t="s">
        <v>50</v>
      </c>
      <c r="C110" s="35">
        <v>0.50347222222222221</v>
      </c>
      <c r="D110" s="34" t="s">
        <v>106</v>
      </c>
      <c r="E110" s="34" t="s">
        <v>51</v>
      </c>
      <c r="F110" s="34" t="s">
        <v>114</v>
      </c>
      <c r="G110" s="214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34" t="s">
        <v>43</v>
      </c>
      <c r="B111" s="34" t="s">
        <v>52</v>
      </c>
      <c r="C111" s="35">
        <v>0.1701388888888889</v>
      </c>
      <c r="D111" s="34" t="s">
        <v>106</v>
      </c>
      <c r="E111" s="34" t="s">
        <v>51</v>
      </c>
      <c r="F111" s="34" t="s">
        <v>114</v>
      </c>
      <c r="G111" s="214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15" t="s">
        <v>28</v>
      </c>
      <c r="B112" s="15" t="s">
        <v>126</v>
      </c>
      <c r="C112" s="16">
        <v>0.16319444444444439</v>
      </c>
      <c r="D112" s="15" t="s">
        <v>30</v>
      </c>
      <c r="E112" s="15" t="s">
        <v>31</v>
      </c>
      <c r="F112" s="15" t="s">
        <v>48</v>
      </c>
      <c r="G112" s="214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34" t="s">
        <v>28</v>
      </c>
      <c r="B113" s="34" t="s">
        <v>29</v>
      </c>
      <c r="C113" s="35">
        <v>0.95833333333333337</v>
      </c>
      <c r="D113" s="34" t="s">
        <v>30</v>
      </c>
      <c r="E113" s="34" t="s">
        <v>51</v>
      </c>
      <c r="F113" s="34" t="s">
        <v>48</v>
      </c>
      <c r="G113" s="214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34" t="s">
        <v>28</v>
      </c>
      <c r="B114" s="34" t="s">
        <v>127</v>
      </c>
      <c r="C114" s="35">
        <v>0.68402777777777779</v>
      </c>
      <c r="D114" s="34" t="s">
        <v>30</v>
      </c>
      <c r="E114" s="34" t="s">
        <v>51</v>
      </c>
      <c r="F114" s="34" t="s">
        <v>48</v>
      </c>
      <c r="G114" s="214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thickBot="1" x14ac:dyDescent="0.35">
      <c r="A115" s="19" t="s">
        <v>54</v>
      </c>
      <c r="B115" s="19" t="s">
        <v>55</v>
      </c>
      <c r="C115" s="20">
        <v>0.30555555555555552</v>
      </c>
      <c r="D115" s="19" t="s">
        <v>56</v>
      </c>
      <c r="E115" s="19" t="s">
        <v>57</v>
      </c>
      <c r="F115" s="19" t="s">
        <v>128</v>
      </c>
      <c r="G115" s="215"/>
      <c r="H115" s="21"/>
      <c r="I115" s="22"/>
      <c r="J115" s="22"/>
      <c r="K115" s="22"/>
      <c r="L115" s="22"/>
      <c r="M115" s="22"/>
      <c r="N115" s="22"/>
      <c r="O115" s="23"/>
      <c r="P115" s="22"/>
      <c r="Q115" s="24"/>
      <c r="R115" s="25"/>
    </row>
    <row r="116" spans="1:18" ht="17.399999999999999" customHeight="1" thickBot="1" x14ac:dyDescent="0.35">
      <c r="A116" s="221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3"/>
    </row>
    <row r="117" spans="1:18" ht="22.05" customHeight="1" thickTop="1" thickBot="1" x14ac:dyDescent="0.55000000000000004">
      <c r="A117" s="211" t="s">
        <v>8</v>
      </c>
      <c r="B117" s="212"/>
      <c r="C117" s="212"/>
      <c r="D117" s="212"/>
      <c r="E117" s="212"/>
      <c r="F117" s="212"/>
      <c r="G117" s="26">
        <v>45992</v>
      </c>
      <c r="H117" s="219" t="s">
        <v>9</v>
      </c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</row>
    <row r="118" spans="1:18" ht="24" customHeight="1" x14ac:dyDescent="0.3">
      <c r="A118" s="27" t="s">
        <v>10</v>
      </c>
      <c r="B118" s="27" t="s">
        <v>11</v>
      </c>
      <c r="C118" s="28" t="s">
        <v>12</v>
      </c>
      <c r="D118" s="27" t="s">
        <v>13</v>
      </c>
      <c r="E118" s="27" t="s">
        <v>14</v>
      </c>
      <c r="F118" s="29" t="s">
        <v>15</v>
      </c>
      <c r="G118" s="30" t="s">
        <v>16</v>
      </c>
      <c r="H118" s="27" t="s">
        <v>17</v>
      </c>
      <c r="I118" s="31" t="s">
        <v>18</v>
      </c>
      <c r="J118" s="32" t="s">
        <v>19</v>
      </c>
      <c r="K118" s="33" t="s">
        <v>20</v>
      </c>
      <c r="L118" s="32" t="s">
        <v>21</v>
      </c>
      <c r="M118" s="32" t="s">
        <v>22</v>
      </c>
      <c r="N118" s="32" t="s">
        <v>23</v>
      </c>
      <c r="O118" s="27" t="s">
        <v>24</v>
      </c>
      <c r="P118" s="28" t="s">
        <v>25</v>
      </c>
      <c r="Q118" s="32" t="s">
        <v>26</v>
      </c>
      <c r="R118" s="27" t="s">
        <v>27</v>
      </c>
    </row>
    <row r="119" spans="1:18" ht="15" customHeight="1" x14ac:dyDescent="0.3">
      <c r="A119" s="8" t="s">
        <v>33</v>
      </c>
      <c r="B119" s="8" t="s">
        <v>68</v>
      </c>
      <c r="C119" s="9">
        <v>0.2013888888888889</v>
      </c>
      <c r="D119" s="8" t="s">
        <v>88</v>
      </c>
      <c r="E119" s="8" t="s">
        <v>36</v>
      </c>
      <c r="F119" s="8" t="s">
        <v>98</v>
      </c>
      <c r="G119" s="213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34" t="s">
        <v>33</v>
      </c>
      <c r="B120" s="34" t="s">
        <v>34</v>
      </c>
      <c r="C120" s="35">
        <v>0.83680555555555547</v>
      </c>
      <c r="D120" s="34" t="s">
        <v>88</v>
      </c>
      <c r="E120" s="34" t="s">
        <v>72</v>
      </c>
      <c r="F120" s="34" t="s">
        <v>90</v>
      </c>
      <c r="G120" s="214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5" t="s">
        <v>59</v>
      </c>
      <c r="B121" s="15" t="s">
        <v>60</v>
      </c>
      <c r="C121" s="16">
        <v>0.30555555555555552</v>
      </c>
      <c r="D121" s="15" t="s">
        <v>86</v>
      </c>
      <c r="E121" s="15" t="s">
        <v>36</v>
      </c>
      <c r="F121" s="15" t="s">
        <v>63</v>
      </c>
      <c r="G121" s="214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x14ac:dyDescent="0.3">
      <c r="A122" s="15" t="s">
        <v>102</v>
      </c>
      <c r="B122" s="15" t="s">
        <v>105</v>
      </c>
      <c r="C122" s="16">
        <v>0.12847222222222221</v>
      </c>
      <c r="D122" s="15" t="s">
        <v>30</v>
      </c>
      <c r="E122" s="15" t="s">
        <v>129</v>
      </c>
      <c r="F122" s="15" t="s">
        <v>104</v>
      </c>
      <c r="G122" s="214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</row>
    <row r="123" spans="1:18" ht="15" customHeight="1" x14ac:dyDescent="0.3">
      <c r="A123" s="15" t="s">
        <v>43</v>
      </c>
      <c r="B123" s="15" t="s">
        <v>44</v>
      </c>
      <c r="C123" s="16">
        <v>0.86458333333333337</v>
      </c>
      <c r="D123" s="15" t="s">
        <v>106</v>
      </c>
      <c r="E123" s="15" t="s">
        <v>31</v>
      </c>
      <c r="F123" s="15" t="s">
        <v>114</v>
      </c>
      <c r="G123" s="214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</row>
    <row r="124" spans="1:18" ht="15" customHeight="1" x14ac:dyDescent="0.3">
      <c r="A124" s="34" t="s">
        <v>43</v>
      </c>
      <c r="B124" s="34" t="s">
        <v>50</v>
      </c>
      <c r="C124" s="35">
        <v>0.52777777777777779</v>
      </c>
      <c r="D124" s="34" t="s">
        <v>106</v>
      </c>
      <c r="E124" s="34" t="s">
        <v>51</v>
      </c>
      <c r="F124" s="34" t="s">
        <v>114</v>
      </c>
      <c r="G124" s="214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</row>
    <row r="125" spans="1:18" ht="15" customHeight="1" x14ac:dyDescent="0.3">
      <c r="A125" s="34" t="s">
        <v>43</v>
      </c>
      <c r="B125" s="34" t="s">
        <v>52</v>
      </c>
      <c r="C125" s="35">
        <v>0.1701388888888889</v>
      </c>
      <c r="D125" s="34" t="s">
        <v>106</v>
      </c>
      <c r="E125" s="34" t="s">
        <v>51</v>
      </c>
      <c r="F125" s="34" t="s">
        <v>114</v>
      </c>
      <c r="G125" s="214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</row>
    <row r="126" spans="1:18" ht="15" customHeight="1" x14ac:dyDescent="0.3">
      <c r="A126" s="15" t="s">
        <v>28</v>
      </c>
      <c r="B126" s="15" t="s">
        <v>47</v>
      </c>
      <c r="C126" s="16">
        <v>0.95833333333333337</v>
      </c>
      <c r="D126" s="15" t="s">
        <v>30</v>
      </c>
      <c r="E126" s="15" t="s">
        <v>94</v>
      </c>
      <c r="F126" s="15" t="s">
        <v>48</v>
      </c>
      <c r="G126" s="214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thickBot="1" x14ac:dyDescent="0.35">
      <c r="A127" s="19" t="s">
        <v>54</v>
      </c>
      <c r="B127" s="19" t="s">
        <v>55</v>
      </c>
      <c r="C127" s="20">
        <v>0.30555555555555552</v>
      </c>
      <c r="D127" s="19" t="s">
        <v>56</v>
      </c>
      <c r="E127" s="19" t="s">
        <v>57</v>
      </c>
      <c r="F127" s="19" t="s">
        <v>85</v>
      </c>
      <c r="G127" s="215"/>
      <c r="H127" s="21"/>
      <c r="I127" s="22"/>
      <c r="J127" s="22"/>
      <c r="K127" s="22"/>
      <c r="L127" s="22"/>
      <c r="M127" s="22"/>
      <c r="N127" s="22"/>
      <c r="O127" s="23"/>
      <c r="P127" s="22"/>
      <c r="Q127" s="24"/>
      <c r="R127" s="25"/>
    </row>
    <row r="128" spans="1:18" ht="17.399999999999999" customHeight="1" thickBot="1" x14ac:dyDescent="0.35">
      <c r="A128" s="221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3"/>
    </row>
    <row r="129" spans="1:18" ht="22.05" customHeight="1" thickTop="1" thickBot="1" x14ac:dyDescent="0.55000000000000004">
      <c r="A129" s="211" t="s">
        <v>8</v>
      </c>
      <c r="B129" s="212"/>
      <c r="C129" s="212"/>
      <c r="D129" s="212"/>
      <c r="E129" s="212"/>
      <c r="F129" s="212"/>
      <c r="G129" s="26">
        <v>45993</v>
      </c>
      <c r="H129" s="219" t="s">
        <v>9</v>
      </c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</row>
    <row r="130" spans="1:18" ht="24" customHeight="1" x14ac:dyDescent="0.3">
      <c r="A130" s="27" t="s">
        <v>10</v>
      </c>
      <c r="B130" s="27" t="s">
        <v>11</v>
      </c>
      <c r="C130" s="28" t="s">
        <v>12</v>
      </c>
      <c r="D130" s="27" t="s">
        <v>13</v>
      </c>
      <c r="E130" s="27" t="s">
        <v>14</v>
      </c>
      <c r="F130" s="29" t="s">
        <v>15</v>
      </c>
      <c r="G130" s="30" t="s">
        <v>16</v>
      </c>
      <c r="H130" s="27" t="s">
        <v>17</v>
      </c>
      <c r="I130" s="31" t="s">
        <v>18</v>
      </c>
      <c r="J130" s="32" t="s">
        <v>19</v>
      </c>
      <c r="K130" s="33" t="s">
        <v>20</v>
      </c>
      <c r="L130" s="32" t="s">
        <v>21</v>
      </c>
      <c r="M130" s="32" t="s">
        <v>22</v>
      </c>
      <c r="N130" s="32" t="s">
        <v>23</v>
      </c>
      <c r="O130" s="27" t="s">
        <v>24</v>
      </c>
      <c r="P130" s="28" t="s">
        <v>25</v>
      </c>
      <c r="Q130" s="32" t="s">
        <v>26</v>
      </c>
      <c r="R130" s="27" t="s">
        <v>27</v>
      </c>
    </row>
    <row r="131" spans="1:18" ht="15" customHeight="1" x14ac:dyDescent="0.3">
      <c r="A131" s="8" t="s">
        <v>43</v>
      </c>
      <c r="B131" s="8" t="s">
        <v>44</v>
      </c>
      <c r="C131" s="9">
        <v>0.86458333333333337</v>
      </c>
      <c r="D131" s="8" t="s">
        <v>106</v>
      </c>
      <c r="E131" s="8" t="s">
        <v>31</v>
      </c>
      <c r="F131" s="8" t="s">
        <v>114</v>
      </c>
      <c r="G131" s="213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34" t="s">
        <v>43</v>
      </c>
      <c r="B132" s="34" t="s">
        <v>50</v>
      </c>
      <c r="C132" s="35">
        <v>0.52777777777777779</v>
      </c>
      <c r="D132" s="34" t="s">
        <v>106</v>
      </c>
      <c r="E132" s="34" t="s">
        <v>51</v>
      </c>
      <c r="F132" s="34" t="s">
        <v>114</v>
      </c>
      <c r="G132" s="214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34" t="s">
        <v>43</v>
      </c>
      <c r="B133" s="34" t="s">
        <v>52</v>
      </c>
      <c r="C133" s="35">
        <v>0.1701388888888889</v>
      </c>
      <c r="D133" s="34" t="s">
        <v>106</v>
      </c>
      <c r="E133" s="34" t="s">
        <v>51</v>
      </c>
      <c r="F133" s="34" t="s">
        <v>114</v>
      </c>
      <c r="G133" s="214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5" t="s">
        <v>28</v>
      </c>
      <c r="B134" s="15" t="s">
        <v>75</v>
      </c>
      <c r="C134" s="16">
        <v>0.95833333333333337</v>
      </c>
      <c r="D134" s="15" t="s">
        <v>30</v>
      </c>
      <c r="E134" s="15" t="s">
        <v>31</v>
      </c>
      <c r="F134" s="15" t="s">
        <v>48</v>
      </c>
      <c r="G134" s="214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72" t="s">
        <v>76</v>
      </c>
      <c r="B135" s="72" t="s">
        <v>77</v>
      </c>
      <c r="C135" s="73">
        <v>0.27083333333333331</v>
      </c>
      <c r="D135" s="72" t="s">
        <v>30</v>
      </c>
      <c r="E135" s="72" t="s">
        <v>78</v>
      </c>
      <c r="F135" s="72" t="s">
        <v>130</v>
      </c>
      <c r="G135" s="214"/>
      <c r="H135" s="74" t="s">
        <v>80</v>
      </c>
      <c r="I135" s="75">
        <v>0.29759999999999998</v>
      </c>
      <c r="J135" s="76">
        <v>50</v>
      </c>
      <c r="K135" s="77">
        <v>45982</v>
      </c>
      <c r="L135" s="76">
        <v>14</v>
      </c>
      <c r="M135" s="76">
        <v>0</v>
      </c>
      <c r="N135" s="76">
        <v>0</v>
      </c>
      <c r="O135" s="78" t="s">
        <v>131</v>
      </c>
      <c r="P135" s="79">
        <v>0.27083333333333331</v>
      </c>
      <c r="Q135" s="76">
        <v>168</v>
      </c>
      <c r="R135" s="80" t="s">
        <v>132</v>
      </c>
    </row>
    <row r="136" spans="1:18" ht="15" customHeight="1" thickBot="1" x14ac:dyDescent="0.35">
      <c r="A136" s="19" t="s">
        <v>54</v>
      </c>
      <c r="B136" s="19" t="s">
        <v>55</v>
      </c>
      <c r="C136" s="20">
        <v>0.30555555555555552</v>
      </c>
      <c r="D136" s="19" t="s">
        <v>56</v>
      </c>
      <c r="E136" s="19" t="s">
        <v>57</v>
      </c>
      <c r="F136" s="19" t="s">
        <v>118</v>
      </c>
      <c r="G136" s="215"/>
      <c r="H136" s="21"/>
      <c r="I136" s="22"/>
      <c r="J136" s="22"/>
      <c r="K136" s="22"/>
      <c r="L136" s="22"/>
      <c r="M136" s="22"/>
      <c r="N136" s="22"/>
      <c r="O136" s="23"/>
      <c r="P136" s="22"/>
      <c r="Q136" s="24"/>
      <c r="R136" s="25"/>
    </row>
    <row r="137" spans="1:18" ht="17.399999999999999" customHeight="1" thickBot="1" x14ac:dyDescent="0.35">
      <c r="A137" s="221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3"/>
    </row>
    <row r="138" spans="1:18" ht="22.05" customHeight="1" thickTop="1" thickBot="1" x14ac:dyDescent="0.55000000000000004">
      <c r="A138" s="211" t="s">
        <v>8</v>
      </c>
      <c r="B138" s="212"/>
      <c r="C138" s="212"/>
      <c r="D138" s="212"/>
      <c r="E138" s="212"/>
      <c r="F138" s="212"/>
      <c r="G138" s="26">
        <v>45994</v>
      </c>
      <c r="H138" s="219" t="s">
        <v>9</v>
      </c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</row>
    <row r="139" spans="1:18" ht="24" customHeight="1" x14ac:dyDescent="0.3">
      <c r="A139" s="27" t="s">
        <v>10</v>
      </c>
      <c r="B139" s="27" t="s">
        <v>11</v>
      </c>
      <c r="C139" s="28" t="s">
        <v>12</v>
      </c>
      <c r="D139" s="27" t="s">
        <v>13</v>
      </c>
      <c r="E139" s="27" t="s">
        <v>14</v>
      </c>
      <c r="F139" s="29" t="s">
        <v>15</v>
      </c>
      <c r="G139" s="30" t="s">
        <v>16</v>
      </c>
      <c r="H139" s="27" t="s">
        <v>17</v>
      </c>
      <c r="I139" s="31" t="s">
        <v>18</v>
      </c>
      <c r="J139" s="32" t="s">
        <v>19</v>
      </c>
      <c r="K139" s="33" t="s">
        <v>20</v>
      </c>
      <c r="L139" s="32" t="s">
        <v>21</v>
      </c>
      <c r="M139" s="32" t="s">
        <v>22</v>
      </c>
      <c r="N139" s="32" t="s">
        <v>23</v>
      </c>
      <c r="O139" s="27" t="s">
        <v>24</v>
      </c>
      <c r="P139" s="28" t="s">
        <v>25</v>
      </c>
      <c r="Q139" s="32" t="s">
        <v>26</v>
      </c>
      <c r="R139" s="27" t="s">
        <v>27</v>
      </c>
    </row>
    <row r="140" spans="1:18" ht="15" customHeight="1" x14ac:dyDescent="0.3">
      <c r="A140" s="8" t="s">
        <v>59</v>
      </c>
      <c r="B140" s="8" t="s">
        <v>60</v>
      </c>
      <c r="C140" s="9">
        <v>0.30555555555555552</v>
      </c>
      <c r="D140" s="8" t="s">
        <v>61</v>
      </c>
      <c r="E140" s="8" t="s">
        <v>36</v>
      </c>
      <c r="F140" s="8" t="s">
        <v>63</v>
      </c>
      <c r="G140" s="213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7" t="s">
        <v>59</v>
      </c>
      <c r="B141" s="17" t="s">
        <v>60</v>
      </c>
      <c r="C141" s="18">
        <v>0.30555555555555552</v>
      </c>
      <c r="D141" s="17" t="s">
        <v>64</v>
      </c>
      <c r="E141" s="17" t="s">
        <v>39</v>
      </c>
      <c r="F141" s="17" t="s">
        <v>66</v>
      </c>
      <c r="G141" s="214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17" t="s">
        <v>59</v>
      </c>
      <c r="B142" s="17" t="s">
        <v>60</v>
      </c>
      <c r="C142" s="18">
        <v>0.30555555555555552</v>
      </c>
      <c r="D142" s="17" t="s">
        <v>67</v>
      </c>
      <c r="E142" s="17" t="s">
        <v>39</v>
      </c>
      <c r="F142" s="17" t="s">
        <v>42</v>
      </c>
      <c r="G142" s="214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5" t="s">
        <v>102</v>
      </c>
      <c r="B143" s="15" t="s">
        <v>103</v>
      </c>
      <c r="C143" s="16">
        <v>9.0277777777777776E-2</v>
      </c>
      <c r="D143" s="15" t="s">
        <v>30</v>
      </c>
      <c r="E143" s="15" t="s">
        <v>129</v>
      </c>
      <c r="F143" s="15" t="s">
        <v>104</v>
      </c>
      <c r="G143" s="214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5" t="s">
        <v>120</v>
      </c>
      <c r="B144" s="15" t="s">
        <v>121</v>
      </c>
      <c r="C144" s="16">
        <v>0.97222222222222221</v>
      </c>
      <c r="D144" s="15" t="s">
        <v>122</v>
      </c>
      <c r="E144" s="15" t="s">
        <v>36</v>
      </c>
      <c r="F144" s="15" t="s">
        <v>133</v>
      </c>
      <c r="G144" s="214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17" t="s">
        <v>120</v>
      </c>
      <c r="B145" s="17" t="s">
        <v>121</v>
      </c>
      <c r="C145" s="18">
        <v>0.97222222222222221</v>
      </c>
      <c r="D145" s="17" t="s">
        <v>67</v>
      </c>
      <c r="E145" s="17" t="s">
        <v>39</v>
      </c>
      <c r="F145" s="17" t="s">
        <v>134</v>
      </c>
      <c r="G145" s="214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43</v>
      </c>
      <c r="B146" s="15" t="s">
        <v>44</v>
      </c>
      <c r="C146" s="16">
        <v>0.86458333333333337</v>
      </c>
      <c r="D146" s="15" t="s">
        <v>106</v>
      </c>
      <c r="E146" s="15" t="s">
        <v>31</v>
      </c>
      <c r="F146" s="15" t="s">
        <v>114</v>
      </c>
      <c r="G146" s="214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34" t="s">
        <v>43</v>
      </c>
      <c r="B147" s="34" t="s">
        <v>50</v>
      </c>
      <c r="C147" s="35">
        <v>0.52777777777777779</v>
      </c>
      <c r="D147" s="34" t="s">
        <v>106</v>
      </c>
      <c r="E147" s="34" t="s">
        <v>51</v>
      </c>
      <c r="F147" s="34" t="s">
        <v>114</v>
      </c>
      <c r="G147" s="214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34" t="s">
        <v>43</v>
      </c>
      <c r="B148" s="34" t="s">
        <v>52</v>
      </c>
      <c r="C148" s="35">
        <v>0.1701388888888889</v>
      </c>
      <c r="D148" s="34" t="s">
        <v>106</v>
      </c>
      <c r="E148" s="34" t="s">
        <v>51</v>
      </c>
      <c r="F148" s="34" t="s">
        <v>114</v>
      </c>
      <c r="G148" s="214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15" t="s">
        <v>33</v>
      </c>
      <c r="B149" s="15" t="s">
        <v>34</v>
      </c>
      <c r="C149" s="16">
        <v>0.83680555555555547</v>
      </c>
      <c r="D149" s="15" t="s">
        <v>35</v>
      </c>
      <c r="E149" s="15" t="s">
        <v>36</v>
      </c>
      <c r="F149" s="15" t="s">
        <v>48</v>
      </c>
      <c r="G149" s="214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x14ac:dyDescent="0.3">
      <c r="A150" s="17" t="s">
        <v>33</v>
      </c>
      <c r="B150" s="17" t="s">
        <v>34</v>
      </c>
      <c r="C150" s="18">
        <v>0.83680555555555547</v>
      </c>
      <c r="D150" s="17" t="s">
        <v>38</v>
      </c>
      <c r="E150" s="17" t="s">
        <v>39</v>
      </c>
      <c r="F150" s="17" t="s">
        <v>73</v>
      </c>
      <c r="G150" s="214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</row>
    <row r="151" spans="1:18" ht="15" customHeight="1" x14ac:dyDescent="0.3">
      <c r="A151" s="17" t="s">
        <v>33</v>
      </c>
      <c r="B151" s="17" t="s">
        <v>34</v>
      </c>
      <c r="C151" s="18">
        <v>0.83680555555555547</v>
      </c>
      <c r="D151" s="17" t="s">
        <v>41</v>
      </c>
      <c r="E151" s="17" t="s">
        <v>39</v>
      </c>
      <c r="F151" s="17" t="s">
        <v>74</v>
      </c>
      <c r="G151" s="214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15" t="s">
        <v>28</v>
      </c>
      <c r="B152" s="15" t="s">
        <v>47</v>
      </c>
      <c r="C152" s="16">
        <v>0.89583333333333337</v>
      </c>
      <c r="D152" s="15" t="s">
        <v>30</v>
      </c>
      <c r="E152" s="15" t="s">
        <v>31</v>
      </c>
      <c r="F152" s="15" t="s">
        <v>48</v>
      </c>
      <c r="G152" s="214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thickBot="1" x14ac:dyDescent="0.35">
      <c r="A153" s="19" t="s">
        <v>54</v>
      </c>
      <c r="B153" s="19" t="s">
        <v>55</v>
      </c>
      <c r="C153" s="20">
        <v>0.30555555555555552</v>
      </c>
      <c r="D153" s="19" t="s">
        <v>56</v>
      </c>
      <c r="E153" s="19" t="s">
        <v>57</v>
      </c>
      <c r="F153" s="19" t="s">
        <v>85</v>
      </c>
      <c r="G153" s="215"/>
      <c r="H153" s="21"/>
      <c r="I153" s="22"/>
      <c r="J153" s="22"/>
      <c r="K153" s="22"/>
      <c r="L153" s="22"/>
      <c r="M153" s="22"/>
      <c r="N153" s="22"/>
      <c r="O153" s="23"/>
      <c r="P153" s="22"/>
      <c r="Q153" s="24"/>
      <c r="R153" s="25"/>
    </row>
    <row r="154" spans="1:18" ht="17.399999999999999" customHeight="1" thickBot="1" x14ac:dyDescent="0.35">
      <c r="A154" s="221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3"/>
    </row>
    <row r="155" spans="1:18" ht="22.05" customHeight="1" thickTop="1" thickBot="1" x14ac:dyDescent="0.55000000000000004">
      <c r="A155" s="211" t="s">
        <v>8</v>
      </c>
      <c r="B155" s="212"/>
      <c r="C155" s="212"/>
      <c r="D155" s="212"/>
      <c r="E155" s="212"/>
      <c r="F155" s="212"/>
      <c r="G155" s="26">
        <v>45995</v>
      </c>
      <c r="H155" s="219" t="s">
        <v>9</v>
      </c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</row>
    <row r="156" spans="1:18" ht="24" customHeight="1" x14ac:dyDescent="0.3">
      <c r="A156" s="27" t="s">
        <v>10</v>
      </c>
      <c r="B156" s="27" t="s">
        <v>11</v>
      </c>
      <c r="C156" s="28" t="s">
        <v>12</v>
      </c>
      <c r="D156" s="27" t="s">
        <v>13</v>
      </c>
      <c r="E156" s="27" t="s">
        <v>14</v>
      </c>
      <c r="F156" s="29" t="s">
        <v>15</v>
      </c>
      <c r="G156" s="30" t="s">
        <v>16</v>
      </c>
      <c r="H156" s="27" t="s">
        <v>17</v>
      </c>
      <c r="I156" s="31" t="s">
        <v>18</v>
      </c>
      <c r="J156" s="32" t="s">
        <v>19</v>
      </c>
      <c r="K156" s="33" t="s">
        <v>20</v>
      </c>
      <c r="L156" s="32" t="s">
        <v>21</v>
      </c>
      <c r="M156" s="32" t="s">
        <v>22</v>
      </c>
      <c r="N156" s="32" t="s">
        <v>23</v>
      </c>
      <c r="O156" s="27" t="s">
        <v>24</v>
      </c>
      <c r="P156" s="28" t="s">
        <v>25</v>
      </c>
      <c r="Q156" s="32" t="s">
        <v>26</v>
      </c>
      <c r="R156" s="27" t="s">
        <v>27</v>
      </c>
    </row>
    <row r="157" spans="1:18" ht="15" customHeight="1" x14ac:dyDescent="0.3">
      <c r="A157" s="8" t="s">
        <v>102</v>
      </c>
      <c r="B157" s="8" t="s">
        <v>103</v>
      </c>
      <c r="C157" s="9">
        <v>0.88888888888888884</v>
      </c>
      <c r="D157" s="8" t="s">
        <v>30</v>
      </c>
      <c r="E157" s="8" t="s">
        <v>31</v>
      </c>
      <c r="F157" s="8" t="s">
        <v>104</v>
      </c>
      <c r="G157" s="227" t="s">
        <v>662</v>
      </c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15" t="s">
        <v>43</v>
      </c>
      <c r="B158" s="15" t="s">
        <v>50</v>
      </c>
      <c r="C158" s="16">
        <v>0.52777777777777779</v>
      </c>
      <c r="D158" s="15" t="s">
        <v>106</v>
      </c>
      <c r="E158" s="15" t="s">
        <v>31</v>
      </c>
      <c r="F158" s="15" t="s">
        <v>114</v>
      </c>
      <c r="G158" s="228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34" t="s">
        <v>43</v>
      </c>
      <c r="B159" s="34" t="s">
        <v>52</v>
      </c>
      <c r="C159" s="35">
        <v>0.1701388888888889</v>
      </c>
      <c r="D159" s="34" t="s">
        <v>106</v>
      </c>
      <c r="E159" s="34" t="s">
        <v>51</v>
      </c>
      <c r="F159" s="34" t="s">
        <v>114</v>
      </c>
      <c r="G159" s="228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34" t="s">
        <v>43</v>
      </c>
      <c r="B160" s="34" t="s">
        <v>44</v>
      </c>
      <c r="C160" s="35">
        <v>0.86458333333333337</v>
      </c>
      <c r="D160" s="34" t="s">
        <v>91</v>
      </c>
      <c r="E160" s="34" t="s">
        <v>51</v>
      </c>
      <c r="F160" s="34" t="s">
        <v>108</v>
      </c>
      <c r="G160" s="228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72" t="s">
        <v>76</v>
      </c>
      <c r="B161" s="72" t="s">
        <v>77</v>
      </c>
      <c r="C161" s="73">
        <v>0.92361111111111116</v>
      </c>
      <c r="D161" s="72" t="s">
        <v>30</v>
      </c>
      <c r="E161" s="72" t="s">
        <v>135</v>
      </c>
      <c r="F161" s="72" t="s">
        <v>110</v>
      </c>
      <c r="G161" s="228"/>
      <c r="H161" s="74" t="s">
        <v>80</v>
      </c>
      <c r="I161" s="75">
        <v>0.29759999999999998</v>
      </c>
      <c r="J161" s="76">
        <v>50</v>
      </c>
      <c r="K161" s="77">
        <v>45984</v>
      </c>
      <c r="L161" s="76">
        <v>13</v>
      </c>
      <c r="M161" s="76">
        <v>2</v>
      </c>
      <c r="N161" s="76">
        <v>3</v>
      </c>
      <c r="O161" s="78" t="s">
        <v>136</v>
      </c>
      <c r="P161" s="79">
        <v>0.92361111111111116</v>
      </c>
      <c r="Q161" s="76">
        <v>168</v>
      </c>
      <c r="R161" s="80" t="s">
        <v>137</v>
      </c>
    </row>
    <row r="162" spans="1:18" ht="15" customHeight="1" x14ac:dyDescent="0.3">
      <c r="A162" s="15" t="s">
        <v>28</v>
      </c>
      <c r="B162" s="15" t="s">
        <v>29</v>
      </c>
      <c r="C162" s="16">
        <v>0.5625</v>
      </c>
      <c r="D162" s="15" t="s">
        <v>30</v>
      </c>
      <c r="E162" s="15" t="s">
        <v>31</v>
      </c>
      <c r="F162" s="15" t="s">
        <v>32</v>
      </c>
      <c r="G162" s="228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34" t="s">
        <v>28</v>
      </c>
      <c r="B163" s="34" t="s">
        <v>75</v>
      </c>
      <c r="C163" s="35">
        <v>0.95833333333333337</v>
      </c>
      <c r="D163" s="34" t="s">
        <v>30</v>
      </c>
      <c r="E163" s="34" t="s">
        <v>51</v>
      </c>
      <c r="F163" s="34" t="s">
        <v>32</v>
      </c>
      <c r="G163" s="228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thickBot="1" x14ac:dyDescent="0.35">
      <c r="A164" s="19" t="s">
        <v>54</v>
      </c>
      <c r="B164" s="19" t="s">
        <v>55</v>
      </c>
      <c r="C164" s="20">
        <v>0.30555555555555552</v>
      </c>
      <c r="D164" s="19" t="s">
        <v>56</v>
      </c>
      <c r="E164" s="19" t="s">
        <v>57</v>
      </c>
      <c r="F164" s="19" t="s">
        <v>85</v>
      </c>
      <c r="G164" s="229"/>
      <c r="H164" s="21"/>
      <c r="I164" s="22"/>
      <c r="J164" s="22"/>
      <c r="K164" s="22"/>
      <c r="L164" s="22"/>
      <c r="M164" s="22"/>
      <c r="N164" s="22"/>
      <c r="O164" s="23"/>
      <c r="P164" s="22"/>
      <c r="Q164" s="24"/>
      <c r="R164" s="25"/>
    </row>
    <row r="165" spans="1:18" ht="17.399999999999999" customHeight="1" thickBot="1" x14ac:dyDescent="0.35">
      <c r="A165" s="221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3"/>
    </row>
    <row r="166" spans="1:18" ht="22.05" customHeight="1" thickTop="1" thickBot="1" x14ac:dyDescent="0.55000000000000004">
      <c r="A166" s="211" t="s">
        <v>8</v>
      </c>
      <c r="B166" s="212"/>
      <c r="C166" s="212"/>
      <c r="D166" s="212"/>
      <c r="E166" s="212"/>
      <c r="F166" s="212"/>
      <c r="G166" s="26">
        <v>45996</v>
      </c>
      <c r="H166" s="219" t="s">
        <v>9</v>
      </c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</row>
    <row r="167" spans="1:18" ht="24" customHeight="1" x14ac:dyDescent="0.3">
      <c r="A167" s="27" t="s">
        <v>10</v>
      </c>
      <c r="B167" s="27" t="s">
        <v>11</v>
      </c>
      <c r="C167" s="28" t="s">
        <v>12</v>
      </c>
      <c r="D167" s="27" t="s">
        <v>13</v>
      </c>
      <c r="E167" s="27" t="s">
        <v>14</v>
      </c>
      <c r="F167" s="29" t="s">
        <v>15</v>
      </c>
      <c r="G167" s="30" t="s">
        <v>16</v>
      </c>
      <c r="H167" s="27" t="s">
        <v>17</v>
      </c>
      <c r="I167" s="31" t="s">
        <v>18</v>
      </c>
      <c r="J167" s="32" t="s">
        <v>19</v>
      </c>
      <c r="K167" s="33" t="s">
        <v>20</v>
      </c>
      <c r="L167" s="32" t="s">
        <v>21</v>
      </c>
      <c r="M167" s="32" t="s">
        <v>22</v>
      </c>
      <c r="N167" s="32" t="s">
        <v>23</v>
      </c>
      <c r="O167" s="27" t="s">
        <v>24</v>
      </c>
      <c r="P167" s="28" t="s">
        <v>25</v>
      </c>
      <c r="Q167" s="32" t="s">
        <v>26</v>
      </c>
      <c r="R167" s="27" t="s">
        <v>27</v>
      </c>
    </row>
    <row r="168" spans="1:18" ht="15" customHeight="1" x14ac:dyDescent="0.3">
      <c r="A168" s="8" t="s">
        <v>43</v>
      </c>
      <c r="B168" s="8" t="s">
        <v>44</v>
      </c>
      <c r="C168" s="9">
        <v>0.86458333333333337</v>
      </c>
      <c r="D168" s="8" t="s">
        <v>106</v>
      </c>
      <c r="E168" s="8" t="s">
        <v>31</v>
      </c>
      <c r="F168" s="8" t="s">
        <v>114</v>
      </c>
      <c r="G168" s="227" t="s">
        <v>662</v>
      </c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</row>
    <row r="169" spans="1:18" ht="15" customHeight="1" x14ac:dyDescent="0.3">
      <c r="A169" s="34" t="s">
        <v>43</v>
      </c>
      <c r="B169" s="34" t="s">
        <v>52</v>
      </c>
      <c r="C169" s="35">
        <v>0.1701388888888889</v>
      </c>
      <c r="D169" s="34" t="s">
        <v>106</v>
      </c>
      <c r="E169" s="34" t="s">
        <v>51</v>
      </c>
      <c r="F169" s="34" t="s">
        <v>107</v>
      </c>
      <c r="G169" s="228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</row>
    <row r="170" spans="1:18" ht="15" customHeight="1" x14ac:dyDescent="0.3">
      <c r="A170" s="34" t="s">
        <v>43</v>
      </c>
      <c r="B170" s="34" t="s">
        <v>50</v>
      </c>
      <c r="C170" s="35">
        <v>0.52777777777777779</v>
      </c>
      <c r="D170" s="34" t="s">
        <v>45</v>
      </c>
      <c r="E170" s="34" t="s">
        <v>51</v>
      </c>
      <c r="F170" s="34" t="s">
        <v>115</v>
      </c>
      <c r="G170" s="228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5" t="s">
        <v>28</v>
      </c>
      <c r="B171" s="15" t="s">
        <v>47</v>
      </c>
      <c r="C171" s="16">
        <v>0.95833333333333337</v>
      </c>
      <c r="D171" s="15" t="s">
        <v>30</v>
      </c>
      <c r="E171" s="15" t="s">
        <v>31</v>
      </c>
      <c r="F171" s="15" t="s">
        <v>48</v>
      </c>
      <c r="G171" s="228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63" t="s">
        <v>76</v>
      </c>
      <c r="B172" s="63" t="s">
        <v>77</v>
      </c>
      <c r="C172" s="64">
        <v>0.57986111111111105</v>
      </c>
      <c r="D172" s="63" t="s">
        <v>30</v>
      </c>
      <c r="E172" s="63" t="s">
        <v>94</v>
      </c>
      <c r="F172" s="63" t="s">
        <v>110</v>
      </c>
      <c r="G172" s="228"/>
      <c r="H172" s="65" t="s">
        <v>80</v>
      </c>
      <c r="I172" s="66">
        <v>0.33929999999999999</v>
      </c>
      <c r="J172" s="67">
        <v>57</v>
      </c>
      <c r="K172" s="68">
        <v>45982</v>
      </c>
      <c r="L172" s="67">
        <v>9</v>
      </c>
      <c r="M172" s="67">
        <v>0</v>
      </c>
      <c r="N172" s="67">
        <v>0</v>
      </c>
      <c r="O172" s="69" t="s">
        <v>138</v>
      </c>
      <c r="P172" s="70">
        <v>0.57986111111111105</v>
      </c>
      <c r="Q172" s="67">
        <v>168</v>
      </c>
      <c r="R172" s="71" t="s">
        <v>139</v>
      </c>
    </row>
    <row r="173" spans="1:18" ht="15" customHeight="1" thickBot="1" x14ac:dyDescent="0.35">
      <c r="A173" s="19" t="s">
        <v>54</v>
      </c>
      <c r="B173" s="19" t="s">
        <v>55</v>
      </c>
      <c r="C173" s="20">
        <v>0.30555555555555552</v>
      </c>
      <c r="D173" s="19" t="s">
        <v>56</v>
      </c>
      <c r="E173" s="19" t="s">
        <v>57</v>
      </c>
      <c r="F173" s="19" t="s">
        <v>85</v>
      </c>
      <c r="G173" s="229"/>
      <c r="H173" s="21"/>
      <c r="I173" s="22"/>
      <c r="J173" s="22"/>
      <c r="K173" s="22"/>
      <c r="L173" s="22"/>
      <c r="M173" s="22"/>
      <c r="N173" s="22"/>
      <c r="O173" s="23"/>
      <c r="P173" s="22"/>
      <c r="Q173" s="24"/>
      <c r="R173" s="25"/>
    </row>
    <row r="174" spans="1:18" ht="17.399999999999999" customHeight="1" thickBot="1" x14ac:dyDescent="0.35">
      <c r="A174" s="221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3"/>
    </row>
    <row r="175" spans="1:18" ht="22.05" customHeight="1" thickTop="1" thickBot="1" x14ac:dyDescent="0.55000000000000004">
      <c r="A175" s="211" t="s">
        <v>8</v>
      </c>
      <c r="B175" s="212"/>
      <c r="C175" s="212"/>
      <c r="D175" s="212"/>
      <c r="E175" s="212"/>
      <c r="F175" s="212"/>
      <c r="G175" s="26">
        <v>45997</v>
      </c>
      <c r="H175" s="219" t="s">
        <v>9</v>
      </c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</row>
    <row r="176" spans="1:18" ht="24" customHeight="1" x14ac:dyDescent="0.3">
      <c r="A176" s="27" t="s">
        <v>10</v>
      </c>
      <c r="B176" s="27" t="s">
        <v>11</v>
      </c>
      <c r="C176" s="28" t="s">
        <v>12</v>
      </c>
      <c r="D176" s="27" t="s">
        <v>13</v>
      </c>
      <c r="E176" s="27" t="s">
        <v>14</v>
      </c>
      <c r="F176" s="29" t="s">
        <v>15</v>
      </c>
      <c r="G176" s="30" t="s">
        <v>16</v>
      </c>
      <c r="H176" s="27" t="s">
        <v>17</v>
      </c>
      <c r="I176" s="31" t="s">
        <v>18</v>
      </c>
      <c r="J176" s="32" t="s">
        <v>19</v>
      </c>
      <c r="K176" s="33" t="s">
        <v>20</v>
      </c>
      <c r="L176" s="32" t="s">
        <v>21</v>
      </c>
      <c r="M176" s="32" t="s">
        <v>22</v>
      </c>
      <c r="N176" s="32" t="s">
        <v>23</v>
      </c>
      <c r="O176" s="27" t="s">
        <v>24</v>
      </c>
      <c r="P176" s="28" t="s">
        <v>25</v>
      </c>
      <c r="Q176" s="32" t="s">
        <v>26</v>
      </c>
      <c r="R176" s="27" t="s">
        <v>27</v>
      </c>
    </row>
    <row r="177" spans="1:18" ht="15" customHeight="1" x14ac:dyDescent="0.3">
      <c r="A177" s="8" t="s">
        <v>59</v>
      </c>
      <c r="B177" s="8" t="s">
        <v>60</v>
      </c>
      <c r="C177" s="9">
        <v>0.30555555555555552</v>
      </c>
      <c r="D177" s="8" t="s">
        <v>61</v>
      </c>
      <c r="E177" s="8" t="s">
        <v>78</v>
      </c>
      <c r="F177" s="8" t="s">
        <v>95</v>
      </c>
      <c r="G177" s="213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x14ac:dyDescent="0.3">
      <c r="A178" s="17" t="s">
        <v>59</v>
      </c>
      <c r="B178" s="17" t="s">
        <v>60</v>
      </c>
      <c r="C178" s="18">
        <v>0.30555555555555552</v>
      </c>
      <c r="D178" s="17" t="s">
        <v>64</v>
      </c>
      <c r="E178" s="17" t="s">
        <v>140</v>
      </c>
      <c r="F178" s="17" t="s">
        <v>97</v>
      </c>
      <c r="G178" s="214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17" t="s">
        <v>59</v>
      </c>
      <c r="B179" s="17" t="s">
        <v>60</v>
      </c>
      <c r="C179" s="18">
        <v>0.30555555555555552</v>
      </c>
      <c r="D179" s="17" t="s">
        <v>67</v>
      </c>
      <c r="E179" s="17" t="s">
        <v>140</v>
      </c>
      <c r="F179" s="17" t="s">
        <v>42</v>
      </c>
      <c r="G179" s="214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15" t="s">
        <v>33</v>
      </c>
      <c r="B180" s="15" t="s">
        <v>34</v>
      </c>
      <c r="C180" s="16">
        <v>0.83680555555555547</v>
      </c>
      <c r="D180" s="15" t="s">
        <v>35</v>
      </c>
      <c r="E180" s="15" t="s">
        <v>36</v>
      </c>
      <c r="F180" s="15" t="s">
        <v>98</v>
      </c>
      <c r="G180" s="214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17" t="s">
        <v>33</v>
      </c>
      <c r="B181" s="17" t="s">
        <v>34</v>
      </c>
      <c r="C181" s="18">
        <v>0.83680555555555547</v>
      </c>
      <c r="D181" s="17" t="s">
        <v>38</v>
      </c>
      <c r="E181" s="17" t="s">
        <v>39</v>
      </c>
      <c r="F181" s="17" t="s">
        <v>99</v>
      </c>
      <c r="G181" s="214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7" t="s">
        <v>33</v>
      </c>
      <c r="B182" s="17" t="s">
        <v>34</v>
      </c>
      <c r="C182" s="18">
        <v>0.83680555555555547</v>
      </c>
      <c r="D182" s="17" t="s">
        <v>41</v>
      </c>
      <c r="E182" s="17" t="s">
        <v>39</v>
      </c>
      <c r="F182" s="17" t="s">
        <v>73</v>
      </c>
      <c r="G182" s="214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34" t="s">
        <v>33</v>
      </c>
      <c r="B183" s="34" t="s">
        <v>68</v>
      </c>
      <c r="C183" s="35">
        <v>0.2013888888888889</v>
      </c>
      <c r="D183" s="34" t="s">
        <v>35</v>
      </c>
      <c r="E183" s="34" t="s">
        <v>72</v>
      </c>
      <c r="F183" s="34" t="s">
        <v>98</v>
      </c>
      <c r="G183" s="214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7" t="s">
        <v>33</v>
      </c>
      <c r="B184" s="17" t="s">
        <v>68</v>
      </c>
      <c r="C184" s="18">
        <v>0.2013888888888889</v>
      </c>
      <c r="D184" s="17" t="s">
        <v>38</v>
      </c>
      <c r="E184" s="17" t="s">
        <v>39</v>
      </c>
      <c r="F184" s="17" t="s">
        <v>99</v>
      </c>
      <c r="G184" s="214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7" t="s">
        <v>33</v>
      </c>
      <c r="B185" s="17" t="s">
        <v>68</v>
      </c>
      <c r="C185" s="18">
        <v>0.2013888888888889</v>
      </c>
      <c r="D185" s="17" t="s">
        <v>41</v>
      </c>
      <c r="E185" s="17" t="s">
        <v>39</v>
      </c>
      <c r="F185" s="17" t="s">
        <v>73</v>
      </c>
      <c r="G185" s="214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5" t="s">
        <v>120</v>
      </c>
      <c r="B186" s="15" t="s">
        <v>121</v>
      </c>
      <c r="C186" s="16">
        <v>0.97222222222222221</v>
      </c>
      <c r="D186" s="15" t="s">
        <v>122</v>
      </c>
      <c r="E186" s="15" t="s">
        <v>36</v>
      </c>
      <c r="F186" s="15" t="s">
        <v>141</v>
      </c>
      <c r="G186" s="214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7" t="s">
        <v>120</v>
      </c>
      <c r="B187" s="17" t="s">
        <v>121</v>
      </c>
      <c r="C187" s="18">
        <v>0.97222222222222221</v>
      </c>
      <c r="D187" s="17" t="s">
        <v>67</v>
      </c>
      <c r="E187" s="17" t="s">
        <v>39</v>
      </c>
      <c r="F187" s="17" t="s">
        <v>142</v>
      </c>
      <c r="G187" s="214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15" t="s">
        <v>43</v>
      </c>
      <c r="B188" s="15" t="s">
        <v>44</v>
      </c>
      <c r="C188" s="16">
        <v>0.86458333333333337</v>
      </c>
      <c r="D188" s="15" t="s">
        <v>106</v>
      </c>
      <c r="E188" s="15" t="s">
        <v>31</v>
      </c>
      <c r="F188" s="15" t="s">
        <v>114</v>
      </c>
      <c r="G188" s="214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34" t="s">
        <v>43</v>
      </c>
      <c r="B189" s="34" t="s">
        <v>50</v>
      </c>
      <c r="C189" s="35">
        <v>0.52777777777777779</v>
      </c>
      <c r="D189" s="34" t="s">
        <v>106</v>
      </c>
      <c r="E189" s="34" t="s">
        <v>51</v>
      </c>
      <c r="F189" s="34" t="s">
        <v>114</v>
      </c>
      <c r="G189" s="214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34" t="s">
        <v>43</v>
      </c>
      <c r="B190" s="34" t="s">
        <v>52</v>
      </c>
      <c r="C190" s="35">
        <v>0.1701388888888889</v>
      </c>
      <c r="D190" s="34" t="s">
        <v>106</v>
      </c>
      <c r="E190" s="34" t="s">
        <v>51</v>
      </c>
      <c r="F190" s="34" t="s">
        <v>114</v>
      </c>
      <c r="G190" s="214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5" t="s">
        <v>28</v>
      </c>
      <c r="B191" s="15" t="s">
        <v>75</v>
      </c>
      <c r="C191" s="16">
        <v>0.89583333333333337</v>
      </c>
      <c r="D191" s="15" t="s">
        <v>30</v>
      </c>
      <c r="E191" s="15" t="s">
        <v>31</v>
      </c>
      <c r="F191" s="15" t="s">
        <v>48</v>
      </c>
      <c r="G191" s="214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81" t="s">
        <v>76</v>
      </c>
      <c r="B192" s="81" t="s">
        <v>77</v>
      </c>
      <c r="C192" s="82">
        <v>0.92361111111111116</v>
      </c>
      <c r="D192" s="81" t="s">
        <v>30</v>
      </c>
      <c r="E192" s="81" t="s">
        <v>31</v>
      </c>
      <c r="F192" s="81" t="s">
        <v>110</v>
      </c>
      <c r="G192" s="214"/>
      <c r="H192" s="83" t="s">
        <v>80</v>
      </c>
      <c r="I192" s="84">
        <v>0.125</v>
      </c>
      <c r="J192" s="85">
        <v>21</v>
      </c>
      <c r="K192" s="86">
        <v>45982</v>
      </c>
      <c r="L192" s="85">
        <v>1</v>
      </c>
      <c r="M192" s="85">
        <v>0</v>
      </c>
      <c r="N192" s="85">
        <v>0</v>
      </c>
      <c r="O192" s="87" t="s">
        <v>116</v>
      </c>
      <c r="P192" s="88">
        <v>0.92361111111111116</v>
      </c>
      <c r="Q192" s="85">
        <v>168</v>
      </c>
      <c r="R192" s="89" t="s">
        <v>143</v>
      </c>
    </row>
    <row r="193" spans="1:18" ht="15" customHeight="1" thickBot="1" x14ac:dyDescent="0.35">
      <c r="A193" s="19" t="s">
        <v>54</v>
      </c>
      <c r="B193" s="19" t="s">
        <v>55</v>
      </c>
      <c r="C193" s="20">
        <v>0.30555555555555552</v>
      </c>
      <c r="D193" s="19" t="s">
        <v>56</v>
      </c>
      <c r="E193" s="19" t="s">
        <v>57</v>
      </c>
      <c r="F193" s="19" t="s">
        <v>118</v>
      </c>
      <c r="G193" s="215"/>
      <c r="H193" s="21"/>
      <c r="I193" s="22"/>
      <c r="J193" s="22"/>
      <c r="K193" s="22"/>
      <c r="L193" s="22"/>
      <c r="M193" s="22"/>
      <c r="N193" s="22"/>
      <c r="O193" s="23"/>
      <c r="P193" s="22"/>
      <c r="Q193" s="24"/>
      <c r="R193" s="25"/>
    </row>
    <row r="194" spans="1:18" ht="17.399999999999999" customHeight="1" thickBot="1" x14ac:dyDescent="0.35">
      <c r="A194" s="221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3"/>
    </row>
    <row r="195" spans="1:18" ht="22.05" customHeight="1" thickTop="1" thickBot="1" x14ac:dyDescent="0.55000000000000004">
      <c r="A195" s="211" t="s">
        <v>8</v>
      </c>
      <c r="B195" s="212"/>
      <c r="C195" s="212"/>
      <c r="D195" s="212"/>
      <c r="E195" s="212"/>
      <c r="F195" s="212"/>
      <c r="G195" s="26">
        <v>45998</v>
      </c>
      <c r="H195" s="219" t="s">
        <v>9</v>
      </c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</row>
    <row r="196" spans="1:18" ht="24" customHeight="1" x14ac:dyDescent="0.3">
      <c r="A196" s="27" t="s">
        <v>10</v>
      </c>
      <c r="B196" s="27" t="s">
        <v>11</v>
      </c>
      <c r="C196" s="28" t="s">
        <v>12</v>
      </c>
      <c r="D196" s="27" t="s">
        <v>13</v>
      </c>
      <c r="E196" s="27" t="s">
        <v>14</v>
      </c>
      <c r="F196" s="29" t="s">
        <v>15</v>
      </c>
      <c r="G196" s="30" t="s">
        <v>16</v>
      </c>
      <c r="H196" s="27" t="s">
        <v>17</v>
      </c>
      <c r="I196" s="31" t="s">
        <v>18</v>
      </c>
      <c r="J196" s="32" t="s">
        <v>19</v>
      </c>
      <c r="K196" s="33" t="s">
        <v>20</v>
      </c>
      <c r="L196" s="32" t="s">
        <v>21</v>
      </c>
      <c r="M196" s="32" t="s">
        <v>22</v>
      </c>
      <c r="N196" s="32" t="s">
        <v>23</v>
      </c>
      <c r="O196" s="27" t="s">
        <v>24</v>
      </c>
      <c r="P196" s="28" t="s">
        <v>25</v>
      </c>
      <c r="Q196" s="32" t="s">
        <v>26</v>
      </c>
      <c r="R196" s="27" t="s">
        <v>27</v>
      </c>
    </row>
    <row r="197" spans="1:18" ht="15" customHeight="1" x14ac:dyDescent="0.3">
      <c r="A197" s="8" t="s">
        <v>102</v>
      </c>
      <c r="B197" s="8" t="s">
        <v>113</v>
      </c>
      <c r="C197" s="9">
        <v>0.22222222222222221</v>
      </c>
      <c r="D197" s="8" t="s">
        <v>30</v>
      </c>
      <c r="E197" s="8" t="s">
        <v>31</v>
      </c>
      <c r="F197" s="8" t="s">
        <v>104</v>
      </c>
      <c r="G197" s="213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5" t="s">
        <v>43</v>
      </c>
      <c r="B198" s="15" t="s">
        <v>44</v>
      </c>
      <c r="C198" s="16">
        <v>0.86458333333333337</v>
      </c>
      <c r="D198" s="15" t="s">
        <v>106</v>
      </c>
      <c r="E198" s="15" t="s">
        <v>31</v>
      </c>
      <c r="F198" s="15" t="s">
        <v>114</v>
      </c>
      <c r="G198" s="214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34" t="s">
        <v>43</v>
      </c>
      <c r="B199" s="34" t="s">
        <v>50</v>
      </c>
      <c r="C199" s="35">
        <v>0.52777777777777779</v>
      </c>
      <c r="D199" s="34" t="s">
        <v>106</v>
      </c>
      <c r="E199" s="34" t="s">
        <v>51</v>
      </c>
      <c r="F199" s="34" t="s">
        <v>114</v>
      </c>
      <c r="G199" s="214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34" t="s">
        <v>43</v>
      </c>
      <c r="B200" s="34" t="s">
        <v>52</v>
      </c>
      <c r="C200" s="35">
        <v>0.1701388888888889</v>
      </c>
      <c r="D200" s="34" t="s">
        <v>106</v>
      </c>
      <c r="E200" s="34" t="s">
        <v>51</v>
      </c>
      <c r="F200" s="34" t="s">
        <v>114</v>
      </c>
      <c r="G200" s="214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5" t="s">
        <v>28</v>
      </c>
      <c r="B201" s="15" t="s">
        <v>29</v>
      </c>
      <c r="C201" s="16">
        <v>0.95833333333333337</v>
      </c>
      <c r="D201" s="15" t="s">
        <v>30</v>
      </c>
      <c r="E201" s="15" t="s">
        <v>31</v>
      </c>
      <c r="F201" s="15" t="s">
        <v>48</v>
      </c>
      <c r="G201" s="214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thickBot="1" x14ac:dyDescent="0.35">
      <c r="A202" s="19" t="s">
        <v>54</v>
      </c>
      <c r="B202" s="19" t="s">
        <v>55</v>
      </c>
      <c r="C202" s="20">
        <v>0.30555555555555552</v>
      </c>
      <c r="D202" s="19" t="s">
        <v>56</v>
      </c>
      <c r="E202" s="19" t="s">
        <v>57</v>
      </c>
      <c r="F202" s="19" t="s">
        <v>118</v>
      </c>
      <c r="G202" s="215"/>
      <c r="H202" s="21"/>
      <c r="I202" s="22"/>
      <c r="J202" s="22"/>
      <c r="K202" s="22"/>
      <c r="L202" s="22"/>
      <c r="M202" s="22"/>
      <c r="N202" s="22"/>
      <c r="O202" s="23"/>
      <c r="P202" s="22"/>
      <c r="Q202" s="24"/>
      <c r="R202" s="25"/>
    </row>
    <row r="203" spans="1:18" ht="17.399999999999999" customHeight="1" thickBot="1" x14ac:dyDescent="0.35">
      <c r="A203" s="221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3"/>
    </row>
    <row r="204" spans="1:18" ht="22.05" customHeight="1" thickTop="1" thickBot="1" x14ac:dyDescent="0.55000000000000004">
      <c r="A204" s="211" t="s">
        <v>8</v>
      </c>
      <c r="B204" s="212"/>
      <c r="C204" s="212"/>
      <c r="D204" s="212"/>
      <c r="E204" s="212"/>
      <c r="F204" s="212"/>
      <c r="G204" s="26">
        <v>45999</v>
      </c>
      <c r="H204" s="219" t="s">
        <v>9</v>
      </c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</row>
    <row r="205" spans="1:18" ht="24" customHeight="1" x14ac:dyDescent="0.3">
      <c r="A205" s="27" t="s">
        <v>10</v>
      </c>
      <c r="B205" s="27" t="s">
        <v>11</v>
      </c>
      <c r="C205" s="28" t="s">
        <v>12</v>
      </c>
      <c r="D205" s="27" t="s">
        <v>13</v>
      </c>
      <c r="E205" s="27" t="s">
        <v>14</v>
      </c>
      <c r="F205" s="29" t="s">
        <v>15</v>
      </c>
      <c r="G205" s="30" t="s">
        <v>16</v>
      </c>
      <c r="H205" s="27" t="s">
        <v>17</v>
      </c>
      <c r="I205" s="31" t="s">
        <v>18</v>
      </c>
      <c r="J205" s="32" t="s">
        <v>19</v>
      </c>
      <c r="K205" s="33" t="s">
        <v>20</v>
      </c>
      <c r="L205" s="32" t="s">
        <v>21</v>
      </c>
      <c r="M205" s="32" t="s">
        <v>22</v>
      </c>
      <c r="N205" s="32" t="s">
        <v>23</v>
      </c>
      <c r="O205" s="27" t="s">
        <v>24</v>
      </c>
      <c r="P205" s="28" t="s">
        <v>25</v>
      </c>
      <c r="Q205" s="32" t="s">
        <v>26</v>
      </c>
      <c r="R205" s="27" t="s">
        <v>27</v>
      </c>
    </row>
    <row r="206" spans="1:18" ht="49.95" customHeight="1" x14ac:dyDescent="0.3">
      <c r="A206" s="8" t="s">
        <v>43</v>
      </c>
      <c r="B206" s="8" t="s">
        <v>44</v>
      </c>
      <c r="C206" s="9">
        <v>0.86458333333333337</v>
      </c>
      <c r="D206" s="8" t="s">
        <v>106</v>
      </c>
      <c r="E206" s="8" t="s">
        <v>31</v>
      </c>
      <c r="F206" s="8" t="s">
        <v>114</v>
      </c>
      <c r="G206" s="213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49.95" customHeight="1" x14ac:dyDescent="0.3">
      <c r="A207" s="34" t="s">
        <v>43</v>
      </c>
      <c r="B207" s="34" t="s">
        <v>50</v>
      </c>
      <c r="C207" s="35">
        <v>0.52777777777777779</v>
      </c>
      <c r="D207" s="34" t="s">
        <v>106</v>
      </c>
      <c r="E207" s="34" t="s">
        <v>51</v>
      </c>
      <c r="F207" s="34" t="s">
        <v>114</v>
      </c>
      <c r="G207" s="214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49.95" customHeight="1" x14ac:dyDescent="0.3">
      <c r="A208" s="34" t="s">
        <v>43</v>
      </c>
      <c r="B208" s="34" t="s">
        <v>52</v>
      </c>
      <c r="C208" s="35">
        <v>0.1701388888888889</v>
      </c>
      <c r="D208" s="34" t="s">
        <v>106</v>
      </c>
      <c r="E208" s="34" t="s">
        <v>51</v>
      </c>
      <c r="F208" s="34" t="s">
        <v>114</v>
      </c>
      <c r="G208" s="214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49.95" customHeight="1" x14ac:dyDescent="0.3">
      <c r="A209" s="15" t="s">
        <v>28</v>
      </c>
      <c r="B209" s="15" t="s">
        <v>47</v>
      </c>
      <c r="C209" s="16">
        <v>0.95833333333333337</v>
      </c>
      <c r="D209" s="15" t="s">
        <v>30</v>
      </c>
      <c r="E209" s="15" t="s">
        <v>31</v>
      </c>
      <c r="F209" s="15" t="s">
        <v>48</v>
      </c>
      <c r="G209" s="214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49.95" customHeight="1" thickBot="1" x14ac:dyDescent="0.35">
      <c r="A210" s="19" t="s">
        <v>54</v>
      </c>
      <c r="B210" s="19" t="s">
        <v>55</v>
      </c>
      <c r="C210" s="20">
        <v>0.30555555555555552</v>
      </c>
      <c r="D210" s="19" t="s">
        <v>56</v>
      </c>
      <c r="E210" s="19" t="s">
        <v>57</v>
      </c>
      <c r="F210" s="19" t="s">
        <v>85</v>
      </c>
      <c r="G210" s="215"/>
      <c r="H210" s="21"/>
      <c r="I210" s="22"/>
      <c r="J210" s="22"/>
      <c r="K210" s="22"/>
      <c r="L210" s="22"/>
      <c r="M210" s="22"/>
      <c r="N210" s="22"/>
      <c r="O210" s="23"/>
      <c r="P210" s="22"/>
      <c r="Q210" s="24"/>
      <c r="R210" s="25"/>
    </row>
    <row r="211" spans="1:18" ht="17.399999999999999" customHeight="1" thickBot="1" x14ac:dyDescent="0.35">
      <c r="A211" s="221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3"/>
    </row>
    <row r="212" spans="1:18" ht="22.05" customHeight="1" thickTop="1" thickBot="1" x14ac:dyDescent="0.55000000000000004">
      <c r="A212" s="211" t="s">
        <v>8</v>
      </c>
      <c r="B212" s="212"/>
      <c r="C212" s="212"/>
      <c r="D212" s="212"/>
      <c r="E212" s="212"/>
      <c r="F212" s="212"/>
      <c r="G212" s="26">
        <v>46000</v>
      </c>
      <c r="H212" s="219" t="s">
        <v>9</v>
      </c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</row>
    <row r="213" spans="1:18" ht="24" customHeight="1" x14ac:dyDescent="0.3">
      <c r="A213" s="27" t="s">
        <v>10</v>
      </c>
      <c r="B213" s="27" t="s">
        <v>11</v>
      </c>
      <c r="C213" s="28" t="s">
        <v>12</v>
      </c>
      <c r="D213" s="27" t="s">
        <v>13</v>
      </c>
      <c r="E213" s="27" t="s">
        <v>14</v>
      </c>
      <c r="F213" s="29" t="s">
        <v>15</v>
      </c>
      <c r="G213" s="30" t="s">
        <v>16</v>
      </c>
      <c r="H213" s="27" t="s">
        <v>17</v>
      </c>
      <c r="I213" s="31" t="s">
        <v>18</v>
      </c>
      <c r="J213" s="32" t="s">
        <v>19</v>
      </c>
      <c r="K213" s="33" t="s">
        <v>20</v>
      </c>
      <c r="L213" s="32" t="s">
        <v>21</v>
      </c>
      <c r="M213" s="32" t="s">
        <v>22</v>
      </c>
      <c r="N213" s="32" t="s">
        <v>23</v>
      </c>
      <c r="O213" s="27" t="s">
        <v>24</v>
      </c>
      <c r="P213" s="28" t="s">
        <v>25</v>
      </c>
      <c r="Q213" s="32" t="s">
        <v>26</v>
      </c>
      <c r="R213" s="27" t="s">
        <v>27</v>
      </c>
    </row>
    <row r="214" spans="1:18" ht="15" customHeight="1" x14ac:dyDescent="0.3">
      <c r="A214" s="8" t="s">
        <v>43</v>
      </c>
      <c r="B214" s="8" t="s">
        <v>44</v>
      </c>
      <c r="C214" s="9">
        <v>0.86458333333333337</v>
      </c>
      <c r="D214" s="8" t="s">
        <v>106</v>
      </c>
      <c r="E214" s="8" t="s">
        <v>31</v>
      </c>
      <c r="F214" s="8" t="s">
        <v>114</v>
      </c>
      <c r="G214" s="213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34" t="s">
        <v>43</v>
      </c>
      <c r="B215" s="34" t="s">
        <v>50</v>
      </c>
      <c r="C215" s="35">
        <v>0.52777777777777779</v>
      </c>
      <c r="D215" s="34" t="s">
        <v>106</v>
      </c>
      <c r="E215" s="34" t="s">
        <v>51</v>
      </c>
      <c r="F215" s="34" t="s">
        <v>114</v>
      </c>
      <c r="G215" s="214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34" t="s">
        <v>43</v>
      </c>
      <c r="B216" s="34" t="s">
        <v>52</v>
      </c>
      <c r="C216" s="35">
        <v>0.1701388888888889</v>
      </c>
      <c r="D216" s="34" t="s">
        <v>106</v>
      </c>
      <c r="E216" s="34" t="s">
        <v>51</v>
      </c>
      <c r="F216" s="34" t="s">
        <v>114</v>
      </c>
      <c r="G216" s="214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81" t="s">
        <v>76</v>
      </c>
      <c r="B217" s="81" t="s">
        <v>77</v>
      </c>
      <c r="C217" s="82">
        <v>0.27083333333333331</v>
      </c>
      <c r="D217" s="81" t="s">
        <v>30</v>
      </c>
      <c r="E217" s="81" t="s">
        <v>31</v>
      </c>
      <c r="F217" s="81" t="s">
        <v>144</v>
      </c>
      <c r="G217" s="214"/>
      <c r="H217" s="83" t="s">
        <v>80</v>
      </c>
      <c r="I217" s="84">
        <v>0.20830000000000001</v>
      </c>
      <c r="J217" s="85">
        <v>35</v>
      </c>
      <c r="K217" s="86">
        <v>45983</v>
      </c>
      <c r="L217" s="85">
        <v>9</v>
      </c>
      <c r="M217" s="85">
        <v>0</v>
      </c>
      <c r="N217" s="85">
        <v>1</v>
      </c>
      <c r="O217" s="87" t="s">
        <v>116</v>
      </c>
      <c r="P217" s="88">
        <v>0.27083333333333331</v>
      </c>
      <c r="Q217" s="85">
        <v>168</v>
      </c>
      <c r="R217" s="89" t="s">
        <v>145</v>
      </c>
    </row>
    <row r="218" spans="1:18" ht="15" customHeight="1" x14ac:dyDescent="0.3">
      <c r="A218" s="15" t="s">
        <v>28</v>
      </c>
      <c r="B218" s="15" t="s">
        <v>75</v>
      </c>
      <c r="C218" s="16">
        <v>0.95833333333333337</v>
      </c>
      <c r="D218" s="15" t="s">
        <v>30</v>
      </c>
      <c r="E218" s="15" t="s">
        <v>31</v>
      </c>
      <c r="F218" s="15" t="s">
        <v>48</v>
      </c>
      <c r="G218" s="214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thickBot="1" x14ac:dyDescent="0.35">
      <c r="A219" s="19" t="s">
        <v>54</v>
      </c>
      <c r="B219" s="19" t="s">
        <v>55</v>
      </c>
      <c r="C219" s="20">
        <v>0.30555555555555552</v>
      </c>
      <c r="D219" s="19" t="s">
        <v>56</v>
      </c>
      <c r="E219" s="19" t="s">
        <v>57</v>
      </c>
      <c r="F219" s="19" t="s">
        <v>85</v>
      </c>
      <c r="G219" s="215"/>
      <c r="H219" s="21"/>
      <c r="I219" s="22"/>
      <c r="J219" s="22"/>
      <c r="K219" s="22"/>
      <c r="L219" s="22"/>
      <c r="M219" s="22"/>
      <c r="N219" s="22"/>
      <c r="O219" s="23"/>
      <c r="P219" s="22"/>
      <c r="Q219" s="24"/>
      <c r="R219" s="25"/>
    </row>
    <row r="220" spans="1:18" ht="17.399999999999999" customHeight="1" thickBot="1" x14ac:dyDescent="0.35">
      <c r="A220" s="221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3"/>
    </row>
    <row r="221" spans="1:18" ht="22.05" customHeight="1" thickTop="1" thickBot="1" x14ac:dyDescent="0.55000000000000004">
      <c r="A221" s="211" t="s">
        <v>8</v>
      </c>
      <c r="B221" s="212"/>
      <c r="C221" s="212"/>
      <c r="D221" s="212"/>
      <c r="E221" s="212"/>
      <c r="F221" s="212"/>
      <c r="G221" s="26">
        <v>46001</v>
      </c>
      <c r="H221" s="219" t="s">
        <v>9</v>
      </c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</row>
    <row r="222" spans="1:18" ht="24" customHeight="1" x14ac:dyDescent="0.3">
      <c r="A222" s="27" t="s">
        <v>10</v>
      </c>
      <c r="B222" s="27" t="s">
        <v>11</v>
      </c>
      <c r="C222" s="28" t="s">
        <v>12</v>
      </c>
      <c r="D222" s="27" t="s">
        <v>13</v>
      </c>
      <c r="E222" s="27" t="s">
        <v>14</v>
      </c>
      <c r="F222" s="29" t="s">
        <v>15</v>
      </c>
      <c r="G222" s="30" t="s">
        <v>16</v>
      </c>
      <c r="H222" s="27" t="s">
        <v>17</v>
      </c>
      <c r="I222" s="31" t="s">
        <v>18</v>
      </c>
      <c r="J222" s="32" t="s">
        <v>19</v>
      </c>
      <c r="K222" s="33" t="s">
        <v>20</v>
      </c>
      <c r="L222" s="32" t="s">
        <v>21</v>
      </c>
      <c r="M222" s="32" t="s">
        <v>22</v>
      </c>
      <c r="N222" s="32" t="s">
        <v>23</v>
      </c>
      <c r="O222" s="27" t="s">
        <v>24</v>
      </c>
      <c r="P222" s="28" t="s">
        <v>25</v>
      </c>
      <c r="Q222" s="32" t="s">
        <v>26</v>
      </c>
      <c r="R222" s="27" t="s">
        <v>27</v>
      </c>
    </row>
    <row r="223" spans="1:18" ht="15" customHeight="1" x14ac:dyDescent="0.3">
      <c r="A223" s="8" t="s">
        <v>102</v>
      </c>
      <c r="B223" s="8" t="s">
        <v>103</v>
      </c>
      <c r="C223" s="9">
        <v>9.0277777777777776E-2</v>
      </c>
      <c r="D223" s="8" t="s">
        <v>30</v>
      </c>
      <c r="E223" s="8" t="s">
        <v>31</v>
      </c>
      <c r="F223" s="8" t="s">
        <v>104</v>
      </c>
      <c r="G223" s="213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15" t="s">
        <v>43</v>
      </c>
      <c r="B224" s="15" t="s">
        <v>44</v>
      </c>
      <c r="C224" s="16">
        <v>0.86458333333333337</v>
      </c>
      <c r="D224" s="15" t="s">
        <v>106</v>
      </c>
      <c r="E224" s="15" t="s">
        <v>31</v>
      </c>
      <c r="F224" s="15" t="s">
        <v>114</v>
      </c>
      <c r="G224" s="214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</row>
    <row r="225" spans="1:18" ht="15" customHeight="1" x14ac:dyDescent="0.3">
      <c r="A225" s="34" t="s">
        <v>43</v>
      </c>
      <c r="B225" s="34" t="s">
        <v>50</v>
      </c>
      <c r="C225" s="35">
        <v>0.52777777777777779</v>
      </c>
      <c r="D225" s="34" t="s">
        <v>106</v>
      </c>
      <c r="E225" s="34" t="s">
        <v>51</v>
      </c>
      <c r="F225" s="34" t="s">
        <v>114</v>
      </c>
      <c r="G225" s="214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</row>
    <row r="226" spans="1:18" ht="15" customHeight="1" x14ac:dyDescent="0.3">
      <c r="A226" s="34" t="s">
        <v>43</v>
      </c>
      <c r="B226" s="34" t="s">
        <v>52</v>
      </c>
      <c r="C226" s="35">
        <v>0.1701388888888889</v>
      </c>
      <c r="D226" s="34" t="s">
        <v>106</v>
      </c>
      <c r="E226" s="34" t="s">
        <v>51</v>
      </c>
      <c r="F226" s="34" t="s">
        <v>114</v>
      </c>
      <c r="G226" s="214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</row>
    <row r="227" spans="1:18" ht="15" customHeight="1" x14ac:dyDescent="0.3">
      <c r="A227" s="15" t="s">
        <v>28</v>
      </c>
      <c r="B227" s="15" t="s">
        <v>47</v>
      </c>
      <c r="C227" s="16">
        <v>0.89583333333333337</v>
      </c>
      <c r="D227" s="15" t="s">
        <v>30</v>
      </c>
      <c r="E227" s="15" t="s">
        <v>89</v>
      </c>
      <c r="F227" s="15" t="s">
        <v>48</v>
      </c>
      <c r="G227" s="214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15" customHeight="1" thickBot="1" x14ac:dyDescent="0.35">
      <c r="A228" s="19" t="s">
        <v>54</v>
      </c>
      <c r="B228" s="19" t="s">
        <v>55</v>
      </c>
      <c r="C228" s="20">
        <v>0.30555555555555552</v>
      </c>
      <c r="D228" s="19" t="s">
        <v>56</v>
      </c>
      <c r="E228" s="19" t="s">
        <v>57</v>
      </c>
      <c r="F228" s="19" t="s">
        <v>58</v>
      </c>
      <c r="G228" s="215"/>
      <c r="H228" s="21"/>
      <c r="I228" s="22"/>
      <c r="J228" s="22"/>
      <c r="K228" s="22"/>
      <c r="L228" s="22"/>
      <c r="M228" s="22"/>
      <c r="N228" s="22"/>
      <c r="O228" s="23"/>
      <c r="P228" s="22"/>
      <c r="Q228" s="24"/>
      <c r="R228" s="25"/>
    </row>
    <row r="229" spans="1:18" ht="17.399999999999999" customHeight="1" thickBot="1" x14ac:dyDescent="0.35">
      <c r="A229" s="221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3"/>
    </row>
    <row r="230" spans="1:18" ht="22.05" customHeight="1" thickTop="1" thickBot="1" x14ac:dyDescent="0.55000000000000004">
      <c r="A230" s="211" t="s">
        <v>8</v>
      </c>
      <c r="B230" s="212"/>
      <c r="C230" s="212"/>
      <c r="D230" s="212"/>
      <c r="E230" s="212"/>
      <c r="F230" s="212"/>
      <c r="G230" s="26">
        <v>46002</v>
      </c>
      <c r="H230" s="219" t="s">
        <v>9</v>
      </c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</row>
    <row r="231" spans="1:18" ht="24" customHeight="1" x14ac:dyDescent="0.3">
      <c r="A231" s="27" t="s">
        <v>10</v>
      </c>
      <c r="B231" s="27" t="s">
        <v>11</v>
      </c>
      <c r="C231" s="28" t="s">
        <v>12</v>
      </c>
      <c r="D231" s="27" t="s">
        <v>13</v>
      </c>
      <c r="E231" s="27" t="s">
        <v>14</v>
      </c>
      <c r="F231" s="29" t="s">
        <v>15</v>
      </c>
      <c r="G231" s="30" t="s">
        <v>16</v>
      </c>
      <c r="H231" s="27" t="s">
        <v>17</v>
      </c>
      <c r="I231" s="31" t="s">
        <v>18</v>
      </c>
      <c r="J231" s="32" t="s">
        <v>19</v>
      </c>
      <c r="K231" s="33" t="s">
        <v>20</v>
      </c>
      <c r="L231" s="32" t="s">
        <v>21</v>
      </c>
      <c r="M231" s="32" t="s">
        <v>22</v>
      </c>
      <c r="N231" s="32" t="s">
        <v>23</v>
      </c>
      <c r="O231" s="27" t="s">
        <v>24</v>
      </c>
      <c r="P231" s="28" t="s">
        <v>25</v>
      </c>
      <c r="Q231" s="32" t="s">
        <v>26</v>
      </c>
      <c r="R231" s="27" t="s">
        <v>27</v>
      </c>
    </row>
    <row r="232" spans="1:18" ht="15" customHeight="1" x14ac:dyDescent="0.3">
      <c r="A232" s="8" t="s">
        <v>102</v>
      </c>
      <c r="B232" s="8" t="s">
        <v>103</v>
      </c>
      <c r="C232" s="9">
        <v>0.88888888888888884</v>
      </c>
      <c r="D232" s="8" t="s">
        <v>30</v>
      </c>
      <c r="E232" s="8" t="s">
        <v>31</v>
      </c>
      <c r="F232" s="8" t="s">
        <v>104</v>
      </c>
      <c r="G232" s="213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</row>
    <row r="233" spans="1:18" ht="15" customHeight="1" x14ac:dyDescent="0.3">
      <c r="A233" s="15" t="s">
        <v>43</v>
      </c>
      <c r="B233" s="15" t="s">
        <v>44</v>
      </c>
      <c r="C233" s="16">
        <v>0.86458333333333337</v>
      </c>
      <c r="D233" s="15" t="s">
        <v>106</v>
      </c>
      <c r="E233" s="15" t="s">
        <v>31</v>
      </c>
      <c r="F233" s="15" t="s">
        <v>114</v>
      </c>
      <c r="G233" s="214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</row>
    <row r="234" spans="1:18" ht="15" customHeight="1" x14ac:dyDescent="0.3">
      <c r="A234" s="34" t="s">
        <v>43</v>
      </c>
      <c r="B234" s="34" t="s">
        <v>50</v>
      </c>
      <c r="C234" s="35">
        <v>0.52777777777777779</v>
      </c>
      <c r="D234" s="34" t="s">
        <v>106</v>
      </c>
      <c r="E234" s="34" t="s">
        <v>51</v>
      </c>
      <c r="F234" s="34" t="s">
        <v>114</v>
      </c>
      <c r="G234" s="214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x14ac:dyDescent="0.3">
      <c r="A235" s="34" t="s">
        <v>43</v>
      </c>
      <c r="B235" s="34" t="s">
        <v>52</v>
      </c>
      <c r="C235" s="35">
        <v>0.1701388888888889</v>
      </c>
      <c r="D235" s="34" t="s">
        <v>106</v>
      </c>
      <c r="E235" s="34" t="s">
        <v>51</v>
      </c>
      <c r="F235" s="34" t="s">
        <v>114</v>
      </c>
      <c r="G235" s="214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</row>
    <row r="236" spans="1:18" ht="15" customHeight="1" x14ac:dyDescent="0.3">
      <c r="A236" s="15" t="s">
        <v>28</v>
      </c>
      <c r="B236" s="15" t="s">
        <v>29</v>
      </c>
      <c r="C236" s="16">
        <v>0.5625</v>
      </c>
      <c r="D236" s="15" t="s">
        <v>30</v>
      </c>
      <c r="E236" s="15" t="s">
        <v>62</v>
      </c>
      <c r="F236" s="15" t="s">
        <v>48</v>
      </c>
      <c r="G236" s="214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</row>
    <row r="237" spans="1:18" ht="15" customHeight="1" x14ac:dyDescent="0.3">
      <c r="A237" s="34" t="s">
        <v>28</v>
      </c>
      <c r="B237" s="34" t="s">
        <v>75</v>
      </c>
      <c r="C237" s="35">
        <v>0.95833333333333337</v>
      </c>
      <c r="D237" s="34" t="s">
        <v>30</v>
      </c>
      <c r="E237" s="34" t="s">
        <v>146</v>
      </c>
      <c r="F237" s="34" t="s">
        <v>32</v>
      </c>
      <c r="G237" s="214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</row>
    <row r="238" spans="1:18" ht="15" customHeight="1" x14ac:dyDescent="0.3">
      <c r="A238" s="54" t="s">
        <v>76</v>
      </c>
      <c r="B238" s="54" t="s">
        <v>77</v>
      </c>
      <c r="C238" s="55">
        <v>0.92361111111111116</v>
      </c>
      <c r="D238" s="54" t="s">
        <v>30</v>
      </c>
      <c r="E238" s="54" t="s">
        <v>78</v>
      </c>
      <c r="F238" s="54" t="s">
        <v>110</v>
      </c>
      <c r="G238" s="214"/>
      <c r="H238" s="56" t="s">
        <v>80</v>
      </c>
      <c r="I238" s="57">
        <v>0.1429</v>
      </c>
      <c r="J238" s="58">
        <v>24</v>
      </c>
      <c r="K238" s="59">
        <v>45983</v>
      </c>
      <c r="L238" s="58">
        <v>7</v>
      </c>
      <c r="M238" s="58">
        <v>0</v>
      </c>
      <c r="N238" s="58">
        <v>3</v>
      </c>
      <c r="O238" s="60" t="s">
        <v>111</v>
      </c>
      <c r="P238" s="61">
        <v>0.92361111111111116</v>
      </c>
      <c r="Q238" s="58">
        <v>168</v>
      </c>
      <c r="R238" s="62" t="s">
        <v>147</v>
      </c>
    </row>
    <row r="239" spans="1:18" ht="15" customHeight="1" thickBot="1" x14ac:dyDescent="0.35">
      <c r="A239" s="19" t="s">
        <v>54</v>
      </c>
      <c r="B239" s="19" t="s">
        <v>55</v>
      </c>
      <c r="C239" s="20">
        <v>0.30555555555555552</v>
      </c>
      <c r="D239" s="19" t="s">
        <v>56</v>
      </c>
      <c r="E239" s="19" t="s">
        <v>57</v>
      </c>
      <c r="F239" s="19" t="s">
        <v>58</v>
      </c>
      <c r="G239" s="215"/>
      <c r="H239" s="21"/>
      <c r="I239" s="22"/>
      <c r="J239" s="22"/>
      <c r="K239" s="22"/>
      <c r="L239" s="22"/>
      <c r="M239" s="22"/>
      <c r="N239" s="22"/>
      <c r="O239" s="23"/>
      <c r="P239" s="22"/>
      <c r="Q239" s="24"/>
      <c r="R239" s="25"/>
    </row>
    <row r="240" spans="1:18" ht="17.399999999999999" customHeight="1" thickBot="1" x14ac:dyDescent="0.35">
      <c r="A240" s="221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3"/>
    </row>
    <row r="241" spans="1:18" ht="22.05" customHeight="1" thickTop="1" thickBot="1" x14ac:dyDescent="0.55000000000000004">
      <c r="A241" s="211" t="s">
        <v>8</v>
      </c>
      <c r="B241" s="212"/>
      <c r="C241" s="212"/>
      <c r="D241" s="212"/>
      <c r="E241" s="212"/>
      <c r="F241" s="212"/>
      <c r="G241" s="26">
        <v>46003</v>
      </c>
      <c r="H241" s="219" t="s">
        <v>9</v>
      </c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</row>
    <row r="242" spans="1:18" ht="24" customHeight="1" x14ac:dyDescent="0.3">
      <c r="A242" s="27" t="s">
        <v>10</v>
      </c>
      <c r="B242" s="27" t="s">
        <v>11</v>
      </c>
      <c r="C242" s="28" t="s">
        <v>12</v>
      </c>
      <c r="D242" s="27" t="s">
        <v>13</v>
      </c>
      <c r="E242" s="27" t="s">
        <v>14</v>
      </c>
      <c r="F242" s="29" t="s">
        <v>15</v>
      </c>
      <c r="G242" s="30" t="s">
        <v>16</v>
      </c>
      <c r="H242" s="27" t="s">
        <v>17</v>
      </c>
      <c r="I242" s="31" t="s">
        <v>18</v>
      </c>
      <c r="J242" s="32" t="s">
        <v>19</v>
      </c>
      <c r="K242" s="33" t="s">
        <v>20</v>
      </c>
      <c r="L242" s="32" t="s">
        <v>21</v>
      </c>
      <c r="M242" s="32" t="s">
        <v>22</v>
      </c>
      <c r="N242" s="32" t="s">
        <v>23</v>
      </c>
      <c r="O242" s="27" t="s">
        <v>24</v>
      </c>
      <c r="P242" s="28" t="s">
        <v>25</v>
      </c>
      <c r="Q242" s="32" t="s">
        <v>26</v>
      </c>
      <c r="R242" s="27" t="s">
        <v>27</v>
      </c>
    </row>
    <row r="243" spans="1:18" ht="15" customHeight="1" x14ac:dyDescent="0.3">
      <c r="A243" s="8" t="s">
        <v>43</v>
      </c>
      <c r="B243" s="8" t="s">
        <v>44</v>
      </c>
      <c r="C243" s="9">
        <v>0.86458333333333337</v>
      </c>
      <c r="D243" s="8" t="s">
        <v>106</v>
      </c>
      <c r="E243" s="8" t="s">
        <v>31</v>
      </c>
      <c r="F243" s="8" t="s">
        <v>114</v>
      </c>
      <c r="G243" s="213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</row>
    <row r="244" spans="1:18" ht="15" customHeight="1" x14ac:dyDescent="0.3">
      <c r="A244" s="34" t="s">
        <v>43</v>
      </c>
      <c r="B244" s="34" t="s">
        <v>52</v>
      </c>
      <c r="C244" s="35">
        <v>0.1701388888888889</v>
      </c>
      <c r="D244" s="34" t="s">
        <v>106</v>
      </c>
      <c r="E244" s="34" t="s">
        <v>51</v>
      </c>
      <c r="F244" s="34" t="s">
        <v>114</v>
      </c>
      <c r="G244" s="214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</row>
    <row r="245" spans="1:18" ht="15" customHeight="1" x14ac:dyDescent="0.3">
      <c r="A245" s="34" t="s">
        <v>43</v>
      </c>
      <c r="B245" s="34" t="s">
        <v>50</v>
      </c>
      <c r="C245" s="35">
        <v>0.52777777777777779</v>
      </c>
      <c r="D245" s="34" t="s">
        <v>45</v>
      </c>
      <c r="E245" s="34" t="s">
        <v>51</v>
      </c>
      <c r="F245" s="34" t="s">
        <v>148</v>
      </c>
      <c r="G245" s="214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</row>
    <row r="246" spans="1:18" ht="15" customHeight="1" x14ac:dyDescent="0.3">
      <c r="A246" s="15" t="s">
        <v>28</v>
      </c>
      <c r="B246" s="15" t="s">
        <v>47</v>
      </c>
      <c r="C246" s="16">
        <v>0.95833333333333337</v>
      </c>
      <c r="D246" s="15" t="s">
        <v>30</v>
      </c>
      <c r="E246" s="15" t="s">
        <v>129</v>
      </c>
      <c r="F246" s="15" t="s">
        <v>48</v>
      </c>
      <c r="G246" s="214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</row>
    <row r="247" spans="1:18" ht="15" customHeight="1" x14ac:dyDescent="0.3">
      <c r="A247" s="54" t="s">
        <v>76</v>
      </c>
      <c r="B247" s="54" t="s">
        <v>77</v>
      </c>
      <c r="C247" s="55">
        <v>0.57986111111111105</v>
      </c>
      <c r="D247" s="54" t="s">
        <v>30</v>
      </c>
      <c r="E247" s="54" t="s">
        <v>129</v>
      </c>
      <c r="F247" s="54" t="s">
        <v>149</v>
      </c>
      <c r="G247" s="214"/>
      <c r="H247" s="56" t="s">
        <v>80</v>
      </c>
      <c r="I247" s="57">
        <v>0.2024</v>
      </c>
      <c r="J247" s="58">
        <v>34</v>
      </c>
      <c r="K247" s="59">
        <v>45983</v>
      </c>
      <c r="L247" s="58">
        <v>13</v>
      </c>
      <c r="M247" s="58">
        <v>0</v>
      </c>
      <c r="N247" s="58">
        <v>1</v>
      </c>
      <c r="O247" s="60" t="s">
        <v>150</v>
      </c>
      <c r="P247" s="61">
        <v>0.57986111111111105</v>
      </c>
      <c r="Q247" s="58">
        <v>168</v>
      </c>
      <c r="R247" s="62" t="s">
        <v>151</v>
      </c>
    </row>
    <row r="248" spans="1:18" ht="15" customHeight="1" thickBot="1" x14ac:dyDescent="0.35">
      <c r="A248" s="19" t="s">
        <v>54</v>
      </c>
      <c r="B248" s="19" t="s">
        <v>55</v>
      </c>
      <c r="C248" s="20">
        <v>0.30555555555555552</v>
      </c>
      <c r="D248" s="19" t="s">
        <v>56</v>
      </c>
      <c r="E248" s="19" t="s">
        <v>57</v>
      </c>
      <c r="F248" s="19" t="s">
        <v>85</v>
      </c>
      <c r="G248" s="215"/>
      <c r="H248" s="21"/>
      <c r="I248" s="22"/>
      <c r="J248" s="22"/>
      <c r="K248" s="22"/>
      <c r="L248" s="22"/>
      <c r="M248" s="22"/>
      <c r="N248" s="22"/>
      <c r="O248" s="23"/>
      <c r="P248" s="22"/>
      <c r="Q248" s="24"/>
      <c r="R248" s="25"/>
    </row>
    <row r="249" spans="1:18" ht="17.399999999999999" customHeight="1" thickBot="1" x14ac:dyDescent="0.35">
      <c r="A249" s="221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3"/>
    </row>
    <row r="250" spans="1:18" ht="22.05" customHeight="1" thickTop="1" thickBot="1" x14ac:dyDescent="0.55000000000000004">
      <c r="A250" s="211" t="s">
        <v>8</v>
      </c>
      <c r="B250" s="212"/>
      <c r="C250" s="212"/>
      <c r="D250" s="212"/>
      <c r="E250" s="212"/>
      <c r="F250" s="212"/>
      <c r="G250" s="26">
        <v>46004</v>
      </c>
      <c r="H250" s="219" t="s">
        <v>9</v>
      </c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</row>
    <row r="251" spans="1:18" ht="24" customHeight="1" x14ac:dyDescent="0.3">
      <c r="A251" s="27" t="s">
        <v>10</v>
      </c>
      <c r="B251" s="27" t="s">
        <v>11</v>
      </c>
      <c r="C251" s="28" t="s">
        <v>12</v>
      </c>
      <c r="D251" s="27" t="s">
        <v>13</v>
      </c>
      <c r="E251" s="27" t="s">
        <v>14</v>
      </c>
      <c r="F251" s="29" t="s">
        <v>15</v>
      </c>
      <c r="G251" s="30" t="s">
        <v>16</v>
      </c>
      <c r="H251" s="27" t="s">
        <v>17</v>
      </c>
      <c r="I251" s="31" t="s">
        <v>18</v>
      </c>
      <c r="J251" s="32" t="s">
        <v>19</v>
      </c>
      <c r="K251" s="33" t="s">
        <v>20</v>
      </c>
      <c r="L251" s="32" t="s">
        <v>21</v>
      </c>
      <c r="M251" s="32" t="s">
        <v>22</v>
      </c>
      <c r="N251" s="32" t="s">
        <v>23</v>
      </c>
      <c r="O251" s="27" t="s">
        <v>24</v>
      </c>
      <c r="P251" s="28" t="s">
        <v>25</v>
      </c>
      <c r="Q251" s="32" t="s">
        <v>26</v>
      </c>
      <c r="R251" s="27" t="s">
        <v>27</v>
      </c>
    </row>
    <row r="252" spans="1:18" ht="15" customHeight="1" x14ac:dyDescent="0.3">
      <c r="A252" s="8" t="s">
        <v>33</v>
      </c>
      <c r="B252" s="8" t="s">
        <v>34</v>
      </c>
      <c r="C252" s="9">
        <v>0.83680555555555547</v>
      </c>
      <c r="D252" s="8" t="s">
        <v>35</v>
      </c>
      <c r="E252" s="8" t="s">
        <v>36</v>
      </c>
      <c r="F252" s="8" t="s">
        <v>98</v>
      </c>
      <c r="G252" s="213"/>
      <c r="H252" s="10"/>
      <c r="I252" s="11"/>
      <c r="J252" s="11"/>
      <c r="K252" s="11"/>
      <c r="L252" s="11"/>
      <c r="M252" s="11"/>
      <c r="N252" s="11"/>
      <c r="O252" s="12"/>
      <c r="P252" s="11"/>
      <c r="Q252" s="13"/>
      <c r="R252" s="14"/>
    </row>
    <row r="253" spans="1:18" ht="15" customHeight="1" x14ac:dyDescent="0.3">
      <c r="A253" s="17" t="s">
        <v>33</v>
      </c>
      <c r="B253" s="17" t="s">
        <v>34</v>
      </c>
      <c r="C253" s="18">
        <v>0.83680555555555547</v>
      </c>
      <c r="D253" s="17" t="s">
        <v>38</v>
      </c>
      <c r="E253" s="17" t="s">
        <v>39</v>
      </c>
      <c r="F253" s="17" t="s">
        <v>99</v>
      </c>
      <c r="G253" s="214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</row>
    <row r="254" spans="1:18" ht="15" customHeight="1" x14ac:dyDescent="0.3">
      <c r="A254" s="17" t="s">
        <v>33</v>
      </c>
      <c r="B254" s="17" t="s">
        <v>34</v>
      </c>
      <c r="C254" s="18">
        <v>0.83680555555555547</v>
      </c>
      <c r="D254" s="17" t="s">
        <v>41</v>
      </c>
      <c r="E254" s="17" t="s">
        <v>39</v>
      </c>
      <c r="F254" s="17" t="s">
        <v>73</v>
      </c>
      <c r="G254" s="214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</row>
    <row r="255" spans="1:18" ht="15" customHeight="1" x14ac:dyDescent="0.3">
      <c r="A255" s="34" t="s">
        <v>33</v>
      </c>
      <c r="B255" s="34" t="s">
        <v>68</v>
      </c>
      <c r="C255" s="35">
        <v>0.2013888888888889</v>
      </c>
      <c r="D255" s="34" t="s">
        <v>35</v>
      </c>
      <c r="E255" s="34" t="s">
        <v>152</v>
      </c>
      <c r="F255" s="34" t="s">
        <v>98</v>
      </c>
      <c r="G255" s="214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</row>
    <row r="256" spans="1:18" ht="15" customHeight="1" x14ac:dyDescent="0.3">
      <c r="A256" s="17" t="s">
        <v>33</v>
      </c>
      <c r="B256" s="17" t="s">
        <v>68</v>
      </c>
      <c r="C256" s="18">
        <v>0.2013888888888889</v>
      </c>
      <c r="D256" s="17" t="s">
        <v>38</v>
      </c>
      <c r="E256" s="17" t="s">
        <v>119</v>
      </c>
      <c r="F256" s="17" t="s">
        <v>99</v>
      </c>
      <c r="G256" s="214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</row>
    <row r="257" spans="1:18" ht="15" customHeight="1" x14ac:dyDescent="0.3">
      <c r="A257" s="17" t="s">
        <v>33</v>
      </c>
      <c r="B257" s="17" t="s">
        <v>68</v>
      </c>
      <c r="C257" s="18">
        <v>0.2013888888888889</v>
      </c>
      <c r="D257" s="17" t="s">
        <v>41</v>
      </c>
      <c r="E257" s="17" t="s">
        <v>119</v>
      </c>
      <c r="F257" s="17" t="s">
        <v>73</v>
      </c>
      <c r="G257" s="214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15" t="s">
        <v>43</v>
      </c>
      <c r="B258" s="15" t="s">
        <v>44</v>
      </c>
      <c r="C258" s="16">
        <v>0.86458333333333337</v>
      </c>
      <c r="D258" s="15" t="s">
        <v>106</v>
      </c>
      <c r="E258" s="15" t="s">
        <v>31</v>
      </c>
      <c r="F258" s="15" t="s">
        <v>114</v>
      </c>
      <c r="G258" s="214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34" t="s">
        <v>43</v>
      </c>
      <c r="B259" s="34" t="s">
        <v>52</v>
      </c>
      <c r="C259" s="35">
        <v>0.1701388888888889</v>
      </c>
      <c r="D259" s="34" t="s">
        <v>106</v>
      </c>
      <c r="E259" s="34" t="s">
        <v>51</v>
      </c>
      <c r="F259" s="34" t="s">
        <v>114</v>
      </c>
      <c r="G259" s="214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34" t="s">
        <v>43</v>
      </c>
      <c r="B260" s="34" t="s">
        <v>50</v>
      </c>
      <c r="C260" s="35">
        <v>0.52777777777777779</v>
      </c>
      <c r="D260" s="34" t="s">
        <v>106</v>
      </c>
      <c r="E260" s="34" t="s">
        <v>51</v>
      </c>
      <c r="F260" s="34" t="s">
        <v>107</v>
      </c>
      <c r="G260" s="214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15" t="s">
        <v>28</v>
      </c>
      <c r="B261" s="15" t="s">
        <v>75</v>
      </c>
      <c r="C261" s="16">
        <v>0.89583333333333337</v>
      </c>
      <c r="D261" s="15" t="s">
        <v>30</v>
      </c>
      <c r="E261" s="15" t="s">
        <v>31</v>
      </c>
      <c r="F261" s="15" t="s">
        <v>48</v>
      </c>
      <c r="G261" s="214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36" t="s">
        <v>76</v>
      </c>
      <c r="B262" s="36" t="s">
        <v>77</v>
      </c>
      <c r="C262" s="37">
        <v>0.92361111111111116</v>
      </c>
      <c r="D262" s="36" t="s">
        <v>30</v>
      </c>
      <c r="E262" s="36" t="s">
        <v>31</v>
      </c>
      <c r="F262" s="36" t="s">
        <v>110</v>
      </c>
      <c r="G262" s="214"/>
      <c r="H262" s="38" t="s">
        <v>80</v>
      </c>
      <c r="I262" s="39">
        <v>0.125</v>
      </c>
      <c r="J262" s="40">
        <v>21</v>
      </c>
      <c r="K262" s="41">
        <v>45983</v>
      </c>
      <c r="L262" s="40">
        <v>10</v>
      </c>
      <c r="M262" s="40">
        <v>0</v>
      </c>
      <c r="N262" s="40">
        <v>2</v>
      </c>
      <c r="O262" s="42" t="s">
        <v>116</v>
      </c>
      <c r="P262" s="43">
        <v>0.92361111111111116</v>
      </c>
      <c r="Q262" s="40">
        <v>168</v>
      </c>
      <c r="R262" s="44" t="s">
        <v>153</v>
      </c>
    </row>
    <row r="263" spans="1:18" ht="15" customHeight="1" thickBot="1" x14ac:dyDescent="0.35">
      <c r="A263" s="19" t="s">
        <v>54</v>
      </c>
      <c r="B263" s="19" t="s">
        <v>55</v>
      </c>
      <c r="C263" s="20">
        <v>0.30555555555555552</v>
      </c>
      <c r="D263" s="19" t="s">
        <v>56</v>
      </c>
      <c r="E263" s="19" t="s">
        <v>57</v>
      </c>
      <c r="F263" s="19" t="s">
        <v>118</v>
      </c>
      <c r="G263" s="215"/>
      <c r="H263" s="21"/>
      <c r="I263" s="22"/>
      <c r="J263" s="22"/>
      <c r="K263" s="22"/>
      <c r="L263" s="22"/>
      <c r="M263" s="22"/>
      <c r="N263" s="22"/>
      <c r="O263" s="23"/>
      <c r="P263" s="22"/>
      <c r="Q263" s="24"/>
      <c r="R263" s="25"/>
    </row>
    <row r="264" spans="1:18" ht="17.399999999999999" customHeight="1" thickBot="1" x14ac:dyDescent="0.35">
      <c r="A264" s="221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3"/>
    </row>
    <row r="265" spans="1:18" ht="22.05" customHeight="1" thickTop="1" thickBot="1" x14ac:dyDescent="0.55000000000000004">
      <c r="A265" s="211" t="s">
        <v>8</v>
      </c>
      <c r="B265" s="212"/>
      <c r="C265" s="212"/>
      <c r="D265" s="212"/>
      <c r="E265" s="212"/>
      <c r="F265" s="212"/>
      <c r="G265" s="26">
        <v>46005</v>
      </c>
      <c r="H265" s="219" t="s">
        <v>9</v>
      </c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</row>
    <row r="266" spans="1:18" ht="24" customHeight="1" x14ac:dyDescent="0.3">
      <c r="A266" s="27" t="s">
        <v>10</v>
      </c>
      <c r="B266" s="27" t="s">
        <v>11</v>
      </c>
      <c r="C266" s="28" t="s">
        <v>12</v>
      </c>
      <c r="D266" s="27" t="s">
        <v>13</v>
      </c>
      <c r="E266" s="27" t="s">
        <v>14</v>
      </c>
      <c r="F266" s="29" t="s">
        <v>15</v>
      </c>
      <c r="G266" s="30" t="s">
        <v>16</v>
      </c>
      <c r="H266" s="27" t="s">
        <v>17</v>
      </c>
      <c r="I266" s="31" t="s">
        <v>18</v>
      </c>
      <c r="J266" s="32" t="s">
        <v>19</v>
      </c>
      <c r="K266" s="33" t="s">
        <v>20</v>
      </c>
      <c r="L266" s="32" t="s">
        <v>21</v>
      </c>
      <c r="M266" s="32" t="s">
        <v>22</v>
      </c>
      <c r="N266" s="32" t="s">
        <v>23</v>
      </c>
      <c r="O266" s="27" t="s">
        <v>24</v>
      </c>
      <c r="P266" s="28" t="s">
        <v>25</v>
      </c>
      <c r="Q266" s="32" t="s">
        <v>26</v>
      </c>
      <c r="R266" s="27" t="s">
        <v>27</v>
      </c>
    </row>
    <row r="267" spans="1:18" ht="49.95" customHeight="1" x14ac:dyDescent="0.3">
      <c r="A267" s="8" t="s">
        <v>102</v>
      </c>
      <c r="B267" s="8" t="s">
        <v>113</v>
      </c>
      <c r="C267" s="9">
        <v>0.22222222222222221</v>
      </c>
      <c r="D267" s="8" t="s">
        <v>30</v>
      </c>
      <c r="E267" s="8" t="s">
        <v>62</v>
      </c>
      <c r="F267" s="8" t="s">
        <v>104</v>
      </c>
      <c r="G267" s="213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</row>
    <row r="268" spans="1:18" ht="49.95" customHeight="1" x14ac:dyDescent="0.3">
      <c r="A268" s="15" t="s">
        <v>43</v>
      </c>
      <c r="B268" s="15" t="s">
        <v>44</v>
      </c>
      <c r="C268" s="16">
        <v>0.86458333333333337</v>
      </c>
      <c r="D268" s="15" t="s">
        <v>106</v>
      </c>
      <c r="E268" s="15" t="s">
        <v>31</v>
      </c>
      <c r="F268" s="15" t="s">
        <v>114</v>
      </c>
      <c r="G268" s="214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</row>
    <row r="269" spans="1:18" ht="49.95" customHeight="1" x14ac:dyDescent="0.3">
      <c r="A269" s="34" t="s">
        <v>43</v>
      </c>
      <c r="B269" s="34" t="s">
        <v>52</v>
      </c>
      <c r="C269" s="35">
        <v>0.1701388888888889</v>
      </c>
      <c r="D269" s="34" t="s">
        <v>106</v>
      </c>
      <c r="E269" s="34" t="s">
        <v>51</v>
      </c>
      <c r="F269" s="34" t="s">
        <v>114</v>
      </c>
      <c r="G269" s="214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</row>
    <row r="270" spans="1:18" ht="49.95" customHeight="1" x14ac:dyDescent="0.3">
      <c r="A270" s="15" t="s">
        <v>28</v>
      </c>
      <c r="B270" s="15" t="s">
        <v>29</v>
      </c>
      <c r="C270" s="16">
        <v>0.95833333333333337</v>
      </c>
      <c r="D270" s="15" t="s">
        <v>30</v>
      </c>
      <c r="E270" s="15" t="s">
        <v>31</v>
      </c>
      <c r="F270" s="15" t="s">
        <v>48</v>
      </c>
      <c r="G270" s="214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</row>
    <row r="271" spans="1:18" ht="49.95" customHeight="1" thickBot="1" x14ac:dyDescent="0.35">
      <c r="A271" s="19" t="s">
        <v>54</v>
      </c>
      <c r="B271" s="19" t="s">
        <v>55</v>
      </c>
      <c r="C271" s="20">
        <v>0.30555555555555552</v>
      </c>
      <c r="D271" s="19" t="s">
        <v>56</v>
      </c>
      <c r="E271" s="19" t="s">
        <v>57</v>
      </c>
      <c r="F271" s="19" t="s">
        <v>85</v>
      </c>
      <c r="G271" s="215"/>
      <c r="H271" s="21"/>
      <c r="I271" s="22"/>
      <c r="J271" s="22"/>
      <c r="K271" s="22"/>
      <c r="L271" s="22"/>
      <c r="M271" s="22"/>
      <c r="N271" s="22"/>
      <c r="O271" s="23"/>
      <c r="P271" s="22"/>
      <c r="Q271" s="24"/>
      <c r="R271" s="25"/>
    </row>
    <row r="272" spans="1:18" ht="17.399999999999999" customHeight="1" thickBot="1" x14ac:dyDescent="0.35">
      <c r="A272" s="221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3"/>
    </row>
    <row r="273" spans="1:18" ht="22.05" customHeight="1" thickTop="1" thickBot="1" x14ac:dyDescent="0.55000000000000004">
      <c r="A273" s="211" t="s">
        <v>8</v>
      </c>
      <c r="B273" s="212"/>
      <c r="C273" s="212"/>
      <c r="D273" s="212"/>
      <c r="E273" s="212"/>
      <c r="F273" s="212"/>
      <c r="G273" s="26">
        <v>46006</v>
      </c>
      <c r="H273" s="219" t="s">
        <v>9</v>
      </c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</row>
    <row r="274" spans="1:18" ht="24" customHeight="1" x14ac:dyDescent="0.3">
      <c r="A274" s="27" t="s">
        <v>10</v>
      </c>
      <c r="B274" s="27" t="s">
        <v>11</v>
      </c>
      <c r="C274" s="28" t="s">
        <v>12</v>
      </c>
      <c r="D274" s="27" t="s">
        <v>13</v>
      </c>
      <c r="E274" s="27" t="s">
        <v>14</v>
      </c>
      <c r="F274" s="29" t="s">
        <v>15</v>
      </c>
      <c r="G274" s="30" t="s">
        <v>16</v>
      </c>
      <c r="H274" s="27" t="s">
        <v>17</v>
      </c>
      <c r="I274" s="31" t="s">
        <v>18</v>
      </c>
      <c r="J274" s="32" t="s">
        <v>19</v>
      </c>
      <c r="K274" s="33" t="s">
        <v>20</v>
      </c>
      <c r="L274" s="32" t="s">
        <v>21</v>
      </c>
      <c r="M274" s="32" t="s">
        <v>22</v>
      </c>
      <c r="N274" s="32" t="s">
        <v>23</v>
      </c>
      <c r="O274" s="27" t="s">
        <v>24</v>
      </c>
      <c r="P274" s="28" t="s">
        <v>25</v>
      </c>
      <c r="Q274" s="32" t="s">
        <v>26</v>
      </c>
      <c r="R274" s="27" t="s">
        <v>27</v>
      </c>
    </row>
    <row r="275" spans="1:18" ht="49.95" customHeight="1" x14ac:dyDescent="0.3">
      <c r="A275" s="8" t="s">
        <v>43</v>
      </c>
      <c r="B275" s="8" t="s">
        <v>44</v>
      </c>
      <c r="C275" s="9">
        <v>0.86458333333333337</v>
      </c>
      <c r="D275" s="8" t="s">
        <v>106</v>
      </c>
      <c r="E275" s="8" t="s">
        <v>31</v>
      </c>
      <c r="F275" s="8" t="s">
        <v>114</v>
      </c>
      <c r="G275" s="213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49.95" customHeight="1" x14ac:dyDescent="0.3">
      <c r="A276" s="34" t="s">
        <v>43</v>
      </c>
      <c r="B276" s="34" t="s">
        <v>50</v>
      </c>
      <c r="C276" s="35">
        <v>0.52777777777777779</v>
      </c>
      <c r="D276" s="34" t="s">
        <v>106</v>
      </c>
      <c r="E276" s="34" t="s">
        <v>51</v>
      </c>
      <c r="F276" s="34" t="s">
        <v>114</v>
      </c>
      <c r="G276" s="214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49.95" customHeight="1" x14ac:dyDescent="0.3">
      <c r="A277" s="34" t="s">
        <v>43</v>
      </c>
      <c r="B277" s="34" t="s">
        <v>52</v>
      </c>
      <c r="C277" s="35">
        <v>0.1701388888888889</v>
      </c>
      <c r="D277" s="34" t="s">
        <v>106</v>
      </c>
      <c r="E277" s="34" t="s">
        <v>51</v>
      </c>
      <c r="F277" s="34" t="s">
        <v>114</v>
      </c>
      <c r="G277" s="214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</row>
    <row r="278" spans="1:18" ht="49.95" customHeight="1" x14ac:dyDescent="0.3">
      <c r="A278" s="15" t="s">
        <v>28</v>
      </c>
      <c r="B278" s="15" t="s">
        <v>47</v>
      </c>
      <c r="C278" s="16">
        <v>0.95833333333333337</v>
      </c>
      <c r="D278" s="15" t="s">
        <v>30</v>
      </c>
      <c r="E278" s="15" t="s">
        <v>57</v>
      </c>
      <c r="F278" s="15" t="s">
        <v>48</v>
      </c>
      <c r="G278" s="214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</row>
    <row r="279" spans="1:18" ht="49.95" customHeight="1" thickBot="1" x14ac:dyDescent="0.35">
      <c r="A279" s="19" t="s">
        <v>54</v>
      </c>
      <c r="B279" s="19" t="s">
        <v>55</v>
      </c>
      <c r="C279" s="20">
        <v>0.30555555555555552</v>
      </c>
      <c r="D279" s="19" t="s">
        <v>56</v>
      </c>
      <c r="E279" s="19" t="s">
        <v>57</v>
      </c>
      <c r="F279" s="19" t="s">
        <v>118</v>
      </c>
      <c r="G279" s="215"/>
      <c r="H279" s="21"/>
      <c r="I279" s="22"/>
      <c r="J279" s="22"/>
      <c r="K279" s="22"/>
      <c r="L279" s="22"/>
      <c r="M279" s="22"/>
      <c r="N279" s="22"/>
      <c r="O279" s="23"/>
      <c r="P279" s="22"/>
      <c r="Q279" s="24"/>
      <c r="R279" s="25"/>
    </row>
    <row r="280" spans="1:18" ht="17.399999999999999" customHeight="1" thickBot="1" x14ac:dyDescent="0.35">
      <c r="A280" s="221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3"/>
    </row>
    <row r="281" spans="1:18" ht="22.05" customHeight="1" thickTop="1" thickBot="1" x14ac:dyDescent="0.55000000000000004">
      <c r="A281" s="211" t="s">
        <v>8</v>
      </c>
      <c r="B281" s="212"/>
      <c r="C281" s="212"/>
      <c r="D281" s="212"/>
      <c r="E281" s="212"/>
      <c r="F281" s="212"/>
      <c r="G281" s="26">
        <v>46007</v>
      </c>
      <c r="H281" s="219" t="s">
        <v>9</v>
      </c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</row>
    <row r="282" spans="1:18" ht="24" customHeight="1" x14ac:dyDescent="0.3">
      <c r="A282" s="27" t="s">
        <v>10</v>
      </c>
      <c r="B282" s="27" t="s">
        <v>11</v>
      </c>
      <c r="C282" s="28" t="s">
        <v>12</v>
      </c>
      <c r="D282" s="27" t="s">
        <v>13</v>
      </c>
      <c r="E282" s="27" t="s">
        <v>14</v>
      </c>
      <c r="F282" s="29" t="s">
        <v>15</v>
      </c>
      <c r="G282" s="30" t="s">
        <v>16</v>
      </c>
      <c r="H282" s="27" t="s">
        <v>17</v>
      </c>
      <c r="I282" s="31" t="s">
        <v>18</v>
      </c>
      <c r="J282" s="32" t="s">
        <v>19</v>
      </c>
      <c r="K282" s="33" t="s">
        <v>20</v>
      </c>
      <c r="L282" s="32" t="s">
        <v>21</v>
      </c>
      <c r="M282" s="32" t="s">
        <v>22</v>
      </c>
      <c r="N282" s="32" t="s">
        <v>23</v>
      </c>
      <c r="O282" s="27" t="s">
        <v>24</v>
      </c>
      <c r="P282" s="28" t="s">
        <v>25</v>
      </c>
      <c r="Q282" s="32" t="s">
        <v>26</v>
      </c>
      <c r="R282" s="27" t="s">
        <v>27</v>
      </c>
    </row>
    <row r="283" spans="1:18" ht="15" customHeight="1" x14ac:dyDescent="0.3">
      <c r="A283" s="8" t="s">
        <v>33</v>
      </c>
      <c r="B283" s="8" t="s">
        <v>34</v>
      </c>
      <c r="C283" s="9">
        <v>0.83680555555555547</v>
      </c>
      <c r="D283" s="8" t="s">
        <v>35</v>
      </c>
      <c r="E283" s="8" t="s">
        <v>36</v>
      </c>
      <c r="F283" s="8" t="s">
        <v>98</v>
      </c>
      <c r="G283" s="213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</row>
    <row r="284" spans="1:18" ht="15" customHeight="1" x14ac:dyDescent="0.3">
      <c r="A284" s="17" t="s">
        <v>33</v>
      </c>
      <c r="B284" s="17" t="s">
        <v>34</v>
      </c>
      <c r="C284" s="18">
        <v>0.83680555555555547</v>
      </c>
      <c r="D284" s="17" t="s">
        <v>38</v>
      </c>
      <c r="E284" s="17" t="s">
        <v>39</v>
      </c>
      <c r="F284" s="17" t="s">
        <v>99</v>
      </c>
      <c r="G284" s="214"/>
      <c r="H284" s="10"/>
      <c r="I284" s="11"/>
      <c r="J284" s="11"/>
      <c r="K284" s="11"/>
      <c r="L284" s="11"/>
      <c r="M284" s="11"/>
      <c r="N284" s="11"/>
      <c r="O284" s="12"/>
      <c r="P284" s="11"/>
      <c r="Q284" s="13"/>
      <c r="R284" s="14"/>
    </row>
    <row r="285" spans="1:18" ht="15" customHeight="1" x14ac:dyDescent="0.3">
      <c r="A285" s="17" t="s">
        <v>33</v>
      </c>
      <c r="B285" s="17" t="s">
        <v>34</v>
      </c>
      <c r="C285" s="18">
        <v>0.83680555555555547</v>
      </c>
      <c r="D285" s="17" t="s">
        <v>41</v>
      </c>
      <c r="E285" s="17" t="s">
        <v>39</v>
      </c>
      <c r="F285" s="17" t="s">
        <v>73</v>
      </c>
      <c r="G285" s="214"/>
      <c r="H285" s="10"/>
      <c r="I285" s="11"/>
      <c r="J285" s="11"/>
      <c r="K285" s="11"/>
      <c r="L285" s="11"/>
      <c r="M285" s="11"/>
      <c r="N285" s="11"/>
      <c r="O285" s="12"/>
      <c r="P285" s="11"/>
      <c r="Q285" s="13"/>
      <c r="R285" s="14"/>
    </row>
    <row r="286" spans="1:18" ht="15" customHeight="1" x14ac:dyDescent="0.3">
      <c r="A286" s="34" t="s">
        <v>33</v>
      </c>
      <c r="B286" s="34" t="s">
        <v>68</v>
      </c>
      <c r="C286" s="35">
        <v>0.2013888888888889</v>
      </c>
      <c r="D286" s="34" t="s">
        <v>35</v>
      </c>
      <c r="E286" s="34" t="s">
        <v>72</v>
      </c>
      <c r="F286" s="34" t="s">
        <v>98</v>
      </c>
      <c r="G286" s="214"/>
      <c r="H286" s="10"/>
      <c r="I286" s="11"/>
      <c r="J286" s="11"/>
      <c r="K286" s="11"/>
      <c r="L286" s="11"/>
      <c r="M286" s="11"/>
      <c r="N286" s="11"/>
      <c r="O286" s="12"/>
      <c r="P286" s="11"/>
      <c r="Q286" s="13"/>
      <c r="R286" s="14"/>
    </row>
    <row r="287" spans="1:18" ht="15" customHeight="1" x14ac:dyDescent="0.3">
      <c r="A287" s="17" t="s">
        <v>33</v>
      </c>
      <c r="B287" s="17" t="s">
        <v>68</v>
      </c>
      <c r="C287" s="18">
        <v>0.2013888888888889</v>
      </c>
      <c r="D287" s="17" t="s">
        <v>38</v>
      </c>
      <c r="E287" s="17" t="s">
        <v>39</v>
      </c>
      <c r="F287" s="17" t="s">
        <v>99</v>
      </c>
      <c r="G287" s="214"/>
      <c r="H287" s="10"/>
      <c r="I287" s="11"/>
      <c r="J287" s="11"/>
      <c r="K287" s="11"/>
      <c r="L287" s="11"/>
      <c r="M287" s="11"/>
      <c r="N287" s="11"/>
      <c r="O287" s="12"/>
      <c r="P287" s="11"/>
      <c r="Q287" s="13"/>
      <c r="R287" s="14"/>
    </row>
    <row r="288" spans="1:18" ht="15" customHeight="1" x14ac:dyDescent="0.3">
      <c r="A288" s="17" t="s">
        <v>33</v>
      </c>
      <c r="B288" s="17" t="s">
        <v>68</v>
      </c>
      <c r="C288" s="18">
        <v>0.2013888888888889</v>
      </c>
      <c r="D288" s="17" t="s">
        <v>41</v>
      </c>
      <c r="E288" s="17" t="s">
        <v>39</v>
      </c>
      <c r="F288" s="17" t="s">
        <v>73</v>
      </c>
      <c r="G288" s="214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</row>
    <row r="289" spans="1:18" ht="15" customHeight="1" x14ac:dyDescent="0.3">
      <c r="A289" s="45" t="s">
        <v>76</v>
      </c>
      <c r="B289" s="45" t="s">
        <v>77</v>
      </c>
      <c r="C289" s="46">
        <v>0.27083333333333331</v>
      </c>
      <c r="D289" s="45" t="s">
        <v>30</v>
      </c>
      <c r="E289" s="45" t="s">
        <v>31</v>
      </c>
      <c r="F289" s="45" t="s">
        <v>144</v>
      </c>
      <c r="G289" s="214"/>
      <c r="H289" s="47" t="s">
        <v>80</v>
      </c>
      <c r="I289" s="48">
        <v>0.16669999999999999</v>
      </c>
      <c r="J289" s="49">
        <v>28</v>
      </c>
      <c r="K289" s="50">
        <v>45983</v>
      </c>
      <c r="L289" s="49">
        <v>3</v>
      </c>
      <c r="M289" s="49">
        <v>0</v>
      </c>
      <c r="N289" s="49">
        <v>1</v>
      </c>
      <c r="O289" s="51" t="s">
        <v>116</v>
      </c>
      <c r="P289" s="52">
        <v>0.27083333333333331</v>
      </c>
      <c r="Q289" s="49">
        <v>168</v>
      </c>
      <c r="R289" s="53" t="s">
        <v>154</v>
      </c>
    </row>
    <row r="290" spans="1:18" ht="15" customHeight="1" x14ac:dyDescent="0.3">
      <c r="A290" s="15" t="s">
        <v>43</v>
      </c>
      <c r="B290" s="15" t="s">
        <v>44</v>
      </c>
      <c r="C290" s="16">
        <v>0.86458333333333337</v>
      </c>
      <c r="D290" s="15" t="s">
        <v>91</v>
      </c>
      <c r="E290" s="15" t="s">
        <v>31</v>
      </c>
      <c r="F290" s="15" t="s">
        <v>108</v>
      </c>
      <c r="G290" s="214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</row>
    <row r="291" spans="1:18" ht="15" customHeight="1" x14ac:dyDescent="0.3">
      <c r="A291" s="34" t="s">
        <v>43</v>
      </c>
      <c r="B291" s="34" t="s">
        <v>52</v>
      </c>
      <c r="C291" s="35">
        <v>0.1701388888888889</v>
      </c>
      <c r="D291" s="34" t="s">
        <v>91</v>
      </c>
      <c r="E291" s="34" t="s">
        <v>51</v>
      </c>
      <c r="F291" s="34" t="s">
        <v>108</v>
      </c>
      <c r="G291" s="214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</row>
    <row r="292" spans="1:18" ht="15" customHeight="1" x14ac:dyDescent="0.3">
      <c r="A292" s="34" t="s">
        <v>43</v>
      </c>
      <c r="B292" s="34" t="s">
        <v>50</v>
      </c>
      <c r="C292" s="35">
        <v>0.52777777777777779</v>
      </c>
      <c r="D292" s="34" t="s">
        <v>45</v>
      </c>
      <c r="E292" s="34" t="s">
        <v>51</v>
      </c>
      <c r="F292" s="34" t="s">
        <v>155</v>
      </c>
      <c r="G292" s="214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</row>
    <row r="293" spans="1:18" ht="15" customHeight="1" x14ac:dyDescent="0.3">
      <c r="A293" s="15" t="s">
        <v>28</v>
      </c>
      <c r="B293" s="15" t="s">
        <v>75</v>
      </c>
      <c r="C293" s="16">
        <v>0.95833333333333337</v>
      </c>
      <c r="D293" s="15" t="s">
        <v>30</v>
      </c>
      <c r="E293" s="15" t="s">
        <v>31</v>
      </c>
      <c r="F293" s="15" t="s">
        <v>48</v>
      </c>
      <c r="G293" s="214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</row>
    <row r="294" spans="1:18" ht="15" customHeight="1" thickBot="1" x14ac:dyDescent="0.35">
      <c r="A294" s="19" t="s">
        <v>54</v>
      </c>
      <c r="B294" s="19" t="s">
        <v>55</v>
      </c>
      <c r="C294" s="20">
        <v>0.30555555555555552</v>
      </c>
      <c r="D294" s="19" t="s">
        <v>56</v>
      </c>
      <c r="E294" s="19" t="s">
        <v>57</v>
      </c>
      <c r="F294" s="19" t="s">
        <v>85</v>
      </c>
      <c r="G294" s="215"/>
      <c r="H294" s="21"/>
      <c r="I294" s="22"/>
      <c r="J294" s="22"/>
      <c r="K294" s="22"/>
      <c r="L294" s="22"/>
      <c r="M294" s="22"/>
      <c r="N294" s="22"/>
      <c r="O294" s="23"/>
      <c r="P294" s="22"/>
      <c r="Q294" s="24"/>
      <c r="R294" s="25"/>
    </row>
    <row r="295" spans="1:18" ht="17.399999999999999" customHeight="1" thickBot="1" x14ac:dyDescent="0.35">
      <c r="A295" s="221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3"/>
    </row>
    <row r="296" spans="1:18" ht="22.05" customHeight="1" thickTop="1" thickBot="1" x14ac:dyDescent="0.55000000000000004">
      <c r="A296" s="211" t="s">
        <v>8</v>
      </c>
      <c r="B296" s="212"/>
      <c r="C296" s="212"/>
      <c r="D296" s="212"/>
      <c r="E296" s="212"/>
      <c r="F296" s="212"/>
      <c r="G296" s="26">
        <v>46008</v>
      </c>
      <c r="H296" s="219" t="s">
        <v>9</v>
      </c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</row>
    <row r="297" spans="1:18" ht="24" customHeight="1" x14ac:dyDescent="0.3">
      <c r="A297" s="27" t="s">
        <v>10</v>
      </c>
      <c r="B297" s="27" t="s">
        <v>11</v>
      </c>
      <c r="C297" s="28" t="s">
        <v>12</v>
      </c>
      <c r="D297" s="27" t="s">
        <v>13</v>
      </c>
      <c r="E297" s="27" t="s">
        <v>14</v>
      </c>
      <c r="F297" s="29" t="s">
        <v>15</v>
      </c>
      <c r="G297" s="30" t="s">
        <v>16</v>
      </c>
      <c r="H297" s="27" t="s">
        <v>17</v>
      </c>
      <c r="I297" s="31" t="s">
        <v>18</v>
      </c>
      <c r="J297" s="32" t="s">
        <v>19</v>
      </c>
      <c r="K297" s="33" t="s">
        <v>20</v>
      </c>
      <c r="L297" s="32" t="s">
        <v>21</v>
      </c>
      <c r="M297" s="32" t="s">
        <v>22</v>
      </c>
      <c r="N297" s="32" t="s">
        <v>23</v>
      </c>
      <c r="O297" s="27" t="s">
        <v>24</v>
      </c>
      <c r="P297" s="28" t="s">
        <v>25</v>
      </c>
      <c r="Q297" s="32" t="s">
        <v>26</v>
      </c>
      <c r="R297" s="27" t="s">
        <v>27</v>
      </c>
    </row>
    <row r="298" spans="1:18" ht="15" customHeight="1" x14ac:dyDescent="0.3">
      <c r="A298" s="8" t="s">
        <v>102</v>
      </c>
      <c r="B298" s="8" t="s">
        <v>103</v>
      </c>
      <c r="C298" s="9">
        <v>9.0277777777777776E-2</v>
      </c>
      <c r="D298" s="8" t="s">
        <v>30</v>
      </c>
      <c r="E298" s="8" t="s">
        <v>89</v>
      </c>
      <c r="F298" s="8" t="s">
        <v>104</v>
      </c>
      <c r="G298" s="213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</row>
    <row r="299" spans="1:18" ht="15" customHeight="1" x14ac:dyDescent="0.3">
      <c r="A299" s="15" t="s">
        <v>43</v>
      </c>
      <c r="B299" s="15" t="s">
        <v>52</v>
      </c>
      <c r="C299" s="16">
        <v>0.1701388888888889</v>
      </c>
      <c r="D299" s="15" t="s">
        <v>91</v>
      </c>
      <c r="E299" s="15" t="s">
        <v>31</v>
      </c>
      <c r="F299" s="15" t="s">
        <v>108</v>
      </c>
      <c r="G299" s="214"/>
      <c r="H299" s="10"/>
      <c r="I299" s="11"/>
      <c r="J299" s="11"/>
      <c r="K299" s="11"/>
      <c r="L299" s="11"/>
      <c r="M299" s="11"/>
      <c r="N299" s="11"/>
      <c r="O299" s="12"/>
      <c r="P299" s="11"/>
      <c r="Q299" s="13"/>
      <c r="R299" s="14"/>
    </row>
    <row r="300" spans="1:18" ht="15" customHeight="1" x14ac:dyDescent="0.3">
      <c r="A300" s="34" t="s">
        <v>43</v>
      </c>
      <c r="B300" s="34" t="s">
        <v>50</v>
      </c>
      <c r="C300" s="35">
        <v>0.52777777777777779</v>
      </c>
      <c r="D300" s="34" t="s">
        <v>45</v>
      </c>
      <c r="E300" s="34" t="s">
        <v>51</v>
      </c>
      <c r="F300" s="34" t="s">
        <v>155</v>
      </c>
      <c r="G300" s="214"/>
      <c r="H300" s="10"/>
      <c r="I300" s="11"/>
      <c r="J300" s="11"/>
      <c r="K300" s="11"/>
      <c r="L300" s="11"/>
      <c r="M300" s="11"/>
      <c r="N300" s="11"/>
      <c r="O300" s="12"/>
      <c r="P300" s="11"/>
      <c r="Q300" s="13"/>
      <c r="R300" s="14"/>
    </row>
    <row r="301" spans="1:18" ht="15" customHeight="1" x14ac:dyDescent="0.3">
      <c r="A301" s="34" t="s">
        <v>43</v>
      </c>
      <c r="B301" s="34" t="s">
        <v>44</v>
      </c>
      <c r="C301" s="35">
        <v>0.86458333333333337</v>
      </c>
      <c r="D301" s="34" t="s">
        <v>45</v>
      </c>
      <c r="E301" s="34" t="s">
        <v>51</v>
      </c>
      <c r="F301" s="34" t="s">
        <v>156</v>
      </c>
      <c r="G301" s="214"/>
      <c r="H301" s="10"/>
      <c r="I301" s="11"/>
      <c r="J301" s="11"/>
      <c r="K301" s="11"/>
      <c r="L301" s="11"/>
      <c r="M301" s="11"/>
      <c r="N301" s="11"/>
      <c r="O301" s="12"/>
      <c r="P301" s="11"/>
      <c r="Q301" s="13"/>
      <c r="R301" s="14"/>
    </row>
    <row r="302" spans="1:18" ht="15" customHeight="1" x14ac:dyDescent="0.3">
      <c r="A302" s="15" t="s">
        <v>28</v>
      </c>
      <c r="B302" s="15" t="s">
        <v>47</v>
      </c>
      <c r="C302" s="16">
        <v>0.89583333333333337</v>
      </c>
      <c r="D302" s="15" t="s">
        <v>30</v>
      </c>
      <c r="E302" s="15" t="s">
        <v>31</v>
      </c>
      <c r="F302" s="15" t="s">
        <v>48</v>
      </c>
      <c r="G302" s="214"/>
      <c r="H302" s="10"/>
      <c r="I302" s="11"/>
      <c r="J302" s="11"/>
      <c r="K302" s="11"/>
      <c r="L302" s="11"/>
      <c r="M302" s="11"/>
      <c r="N302" s="11"/>
      <c r="O302" s="12"/>
      <c r="P302" s="11"/>
      <c r="Q302" s="13"/>
      <c r="R302" s="14"/>
    </row>
    <row r="303" spans="1:18" ht="15" customHeight="1" thickBot="1" x14ac:dyDescent="0.35">
      <c r="A303" s="19" t="s">
        <v>54</v>
      </c>
      <c r="B303" s="19" t="s">
        <v>55</v>
      </c>
      <c r="C303" s="20">
        <v>0.30555555555555552</v>
      </c>
      <c r="D303" s="19" t="s">
        <v>56</v>
      </c>
      <c r="E303" s="19" t="s">
        <v>57</v>
      </c>
      <c r="F303" s="19" t="s">
        <v>118</v>
      </c>
      <c r="G303" s="215"/>
      <c r="H303" s="21"/>
      <c r="I303" s="22"/>
      <c r="J303" s="22"/>
      <c r="K303" s="22"/>
      <c r="L303" s="22"/>
      <c r="M303" s="22"/>
      <c r="N303" s="22"/>
      <c r="O303" s="23"/>
      <c r="P303" s="22"/>
      <c r="Q303" s="24"/>
      <c r="R303" s="25"/>
    </row>
    <row r="304" spans="1:18" ht="17.399999999999999" customHeight="1" thickBot="1" x14ac:dyDescent="0.35">
      <c r="A304" s="221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3"/>
    </row>
    <row r="305" spans="1:18" ht="22.05" customHeight="1" thickTop="1" thickBot="1" x14ac:dyDescent="0.55000000000000004">
      <c r="A305" s="211" t="s">
        <v>8</v>
      </c>
      <c r="B305" s="212"/>
      <c r="C305" s="212"/>
      <c r="D305" s="212"/>
      <c r="E305" s="212"/>
      <c r="F305" s="212"/>
      <c r="G305" s="26">
        <v>46009</v>
      </c>
      <c r="H305" s="219" t="s">
        <v>9</v>
      </c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</row>
    <row r="306" spans="1:18" ht="24" customHeight="1" x14ac:dyDescent="0.3">
      <c r="A306" s="27" t="s">
        <v>10</v>
      </c>
      <c r="B306" s="27" t="s">
        <v>11</v>
      </c>
      <c r="C306" s="28" t="s">
        <v>12</v>
      </c>
      <c r="D306" s="27" t="s">
        <v>13</v>
      </c>
      <c r="E306" s="27" t="s">
        <v>14</v>
      </c>
      <c r="F306" s="29" t="s">
        <v>15</v>
      </c>
      <c r="G306" s="30" t="s">
        <v>16</v>
      </c>
      <c r="H306" s="27" t="s">
        <v>17</v>
      </c>
      <c r="I306" s="31" t="s">
        <v>18</v>
      </c>
      <c r="J306" s="32" t="s">
        <v>19</v>
      </c>
      <c r="K306" s="33" t="s">
        <v>20</v>
      </c>
      <c r="L306" s="32" t="s">
        <v>21</v>
      </c>
      <c r="M306" s="32" t="s">
        <v>22</v>
      </c>
      <c r="N306" s="32" t="s">
        <v>23</v>
      </c>
      <c r="O306" s="27" t="s">
        <v>24</v>
      </c>
      <c r="P306" s="28" t="s">
        <v>25</v>
      </c>
      <c r="Q306" s="32" t="s">
        <v>26</v>
      </c>
      <c r="R306" s="27" t="s">
        <v>27</v>
      </c>
    </row>
    <row r="307" spans="1:18" ht="15" customHeight="1" x14ac:dyDescent="0.3">
      <c r="A307" s="8" t="s">
        <v>33</v>
      </c>
      <c r="B307" s="8" t="s">
        <v>68</v>
      </c>
      <c r="C307" s="9">
        <v>0.2013888888888889</v>
      </c>
      <c r="D307" s="8" t="s">
        <v>35</v>
      </c>
      <c r="E307" s="8" t="s">
        <v>36</v>
      </c>
      <c r="F307" s="8" t="s">
        <v>98</v>
      </c>
      <c r="G307" s="227" t="s">
        <v>662</v>
      </c>
      <c r="H307" s="10"/>
      <c r="I307" s="11"/>
      <c r="J307" s="11"/>
      <c r="K307" s="11"/>
      <c r="L307" s="11"/>
      <c r="M307" s="11"/>
      <c r="N307" s="11"/>
      <c r="O307" s="12"/>
      <c r="P307" s="11"/>
      <c r="Q307" s="13"/>
      <c r="R307" s="14"/>
    </row>
    <row r="308" spans="1:18" ht="15" customHeight="1" x14ac:dyDescent="0.3">
      <c r="A308" s="17" t="s">
        <v>33</v>
      </c>
      <c r="B308" s="17" t="s">
        <v>68</v>
      </c>
      <c r="C308" s="18">
        <v>0.2013888888888889</v>
      </c>
      <c r="D308" s="17" t="s">
        <v>38</v>
      </c>
      <c r="E308" s="17" t="s">
        <v>39</v>
      </c>
      <c r="F308" s="17" t="s">
        <v>99</v>
      </c>
      <c r="G308" s="230"/>
      <c r="H308" s="10"/>
      <c r="I308" s="11"/>
      <c r="J308" s="11"/>
      <c r="K308" s="11"/>
      <c r="L308" s="11"/>
      <c r="M308" s="11"/>
      <c r="N308" s="11"/>
      <c r="O308" s="12"/>
      <c r="P308" s="11"/>
      <c r="Q308" s="13"/>
      <c r="R308" s="14"/>
    </row>
    <row r="309" spans="1:18" ht="15" customHeight="1" x14ac:dyDescent="0.3">
      <c r="A309" s="17" t="s">
        <v>33</v>
      </c>
      <c r="B309" s="17" t="s">
        <v>68</v>
      </c>
      <c r="C309" s="18">
        <v>0.2013888888888889</v>
      </c>
      <c r="D309" s="17" t="s">
        <v>41</v>
      </c>
      <c r="E309" s="17" t="s">
        <v>39</v>
      </c>
      <c r="F309" s="17" t="s">
        <v>73</v>
      </c>
      <c r="G309" s="230"/>
      <c r="H309" s="10"/>
      <c r="I309" s="11"/>
      <c r="J309" s="11"/>
      <c r="K309" s="11"/>
      <c r="L309" s="11"/>
      <c r="M309" s="11"/>
      <c r="N309" s="11"/>
      <c r="O309" s="12"/>
      <c r="P309" s="11"/>
      <c r="Q309" s="13"/>
      <c r="R309" s="14"/>
    </row>
    <row r="310" spans="1:18" ht="15" customHeight="1" x14ac:dyDescent="0.3">
      <c r="A310" s="34" t="s">
        <v>33</v>
      </c>
      <c r="B310" s="34" t="s">
        <v>34</v>
      </c>
      <c r="C310" s="35">
        <v>0.83680555555555547</v>
      </c>
      <c r="D310" s="34" t="s">
        <v>35</v>
      </c>
      <c r="E310" s="34" t="s">
        <v>157</v>
      </c>
      <c r="F310" s="34" t="s">
        <v>66</v>
      </c>
      <c r="G310" s="230"/>
      <c r="H310" s="10"/>
      <c r="I310" s="11"/>
      <c r="J310" s="11"/>
      <c r="K310" s="11"/>
      <c r="L310" s="11"/>
      <c r="M310" s="11"/>
      <c r="N310" s="11"/>
      <c r="O310" s="12"/>
      <c r="P310" s="11"/>
      <c r="Q310" s="13"/>
      <c r="R310" s="14"/>
    </row>
    <row r="311" spans="1:18" ht="15" customHeight="1" x14ac:dyDescent="0.3">
      <c r="A311" s="17" t="s">
        <v>33</v>
      </c>
      <c r="B311" s="17" t="s">
        <v>34</v>
      </c>
      <c r="C311" s="18">
        <v>0.83680555555555547</v>
      </c>
      <c r="D311" s="17" t="s">
        <v>38</v>
      </c>
      <c r="E311" s="17" t="s">
        <v>158</v>
      </c>
      <c r="F311" s="17" t="s">
        <v>159</v>
      </c>
      <c r="G311" s="230"/>
      <c r="H311" s="10"/>
      <c r="I311" s="11"/>
      <c r="J311" s="11"/>
      <c r="K311" s="11"/>
      <c r="L311" s="11"/>
      <c r="M311" s="11"/>
      <c r="N311" s="11"/>
      <c r="O311" s="12"/>
      <c r="P311" s="11"/>
      <c r="Q311" s="13"/>
      <c r="R311" s="14"/>
    </row>
    <row r="312" spans="1:18" ht="15" customHeight="1" x14ac:dyDescent="0.3">
      <c r="A312" s="17" t="s">
        <v>33</v>
      </c>
      <c r="B312" s="17" t="s">
        <v>34</v>
      </c>
      <c r="C312" s="18">
        <v>0.83680555555555547</v>
      </c>
      <c r="D312" s="17" t="s">
        <v>41</v>
      </c>
      <c r="E312" s="17" t="s">
        <v>158</v>
      </c>
      <c r="F312" s="17" t="s">
        <v>37</v>
      </c>
      <c r="G312" s="230"/>
      <c r="H312" s="10"/>
      <c r="I312" s="11"/>
      <c r="J312" s="11"/>
      <c r="K312" s="11"/>
      <c r="L312" s="11"/>
      <c r="M312" s="11"/>
      <c r="N312" s="11"/>
      <c r="O312" s="12"/>
      <c r="P312" s="11"/>
      <c r="Q312" s="13"/>
      <c r="R312" s="14"/>
    </row>
    <row r="313" spans="1:18" ht="15" customHeight="1" x14ac:dyDescent="0.3">
      <c r="A313" s="15" t="s">
        <v>102</v>
      </c>
      <c r="B313" s="15" t="s">
        <v>103</v>
      </c>
      <c r="C313" s="16">
        <v>0.91319444444444453</v>
      </c>
      <c r="D313" s="15" t="s">
        <v>30</v>
      </c>
      <c r="E313" s="15" t="s">
        <v>78</v>
      </c>
      <c r="F313" s="15" t="s">
        <v>104</v>
      </c>
      <c r="G313" s="230"/>
      <c r="H313" s="10"/>
      <c r="I313" s="11"/>
      <c r="J313" s="11"/>
      <c r="K313" s="11"/>
      <c r="L313" s="11"/>
      <c r="M313" s="11"/>
      <c r="N313" s="11"/>
      <c r="O313" s="12"/>
      <c r="P313" s="11"/>
      <c r="Q313" s="13"/>
      <c r="R313" s="14"/>
    </row>
    <row r="314" spans="1:18" ht="15" customHeight="1" x14ac:dyDescent="0.3">
      <c r="A314" s="15" t="s">
        <v>43</v>
      </c>
      <c r="B314" s="15" t="s">
        <v>52</v>
      </c>
      <c r="C314" s="16">
        <v>0.1701388888888889</v>
      </c>
      <c r="D314" s="15" t="s">
        <v>91</v>
      </c>
      <c r="E314" s="15" t="s">
        <v>31</v>
      </c>
      <c r="F314" s="15" t="s">
        <v>108</v>
      </c>
      <c r="G314" s="230"/>
      <c r="H314" s="10"/>
      <c r="I314" s="11"/>
      <c r="J314" s="11"/>
      <c r="K314" s="11"/>
      <c r="L314" s="11"/>
      <c r="M314" s="11"/>
      <c r="N314" s="11"/>
      <c r="O314" s="12"/>
      <c r="P314" s="11"/>
      <c r="Q314" s="13"/>
      <c r="R314" s="14"/>
    </row>
    <row r="315" spans="1:18" ht="15" customHeight="1" x14ac:dyDescent="0.3">
      <c r="A315" s="34" t="s">
        <v>43</v>
      </c>
      <c r="B315" s="34" t="s">
        <v>50</v>
      </c>
      <c r="C315" s="35">
        <v>0.52777777777777779</v>
      </c>
      <c r="D315" s="34" t="s">
        <v>45</v>
      </c>
      <c r="E315" s="34" t="s">
        <v>51</v>
      </c>
      <c r="F315" s="34" t="s">
        <v>160</v>
      </c>
      <c r="G315" s="230"/>
      <c r="H315" s="10"/>
      <c r="I315" s="11"/>
      <c r="J315" s="11"/>
      <c r="K315" s="11"/>
      <c r="L315" s="11"/>
      <c r="M315" s="11"/>
      <c r="N315" s="11"/>
      <c r="O315" s="12"/>
      <c r="P315" s="11"/>
      <c r="Q315" s="13"/>
      <c r="R315" s="14"/>
    </row>
    <row r="316" spans="1:18" ht="15" customHeight="1" x14ac:dyDescent="0.3">
      <c r="A316" s="34" t="s">
        <v>43</v>
      </c>
      <c r="B316" s="34" t="s">
        <v>44</v>
      </c>
      <c r="C316" s="35">
        <v>0.86458333333333337</v>
      </c>
      <c r="D316" s="34" t="s">
        <v>45</v>
      </c>
      <c r="E316" s="34" t="s">
        <v>51</v>
      </c>
      <c r="F316" s="34" t="s">
        <v>161</v>
      </c>
      <c r="G316" s="230"/>
      <c r="H316" s="10"/>
      <c r="I316" s="11"/>
      <c r="J316" s="11"/>
      <c r="K316" s="11"/>
      <c r="L316" s="11"/>
      <c r="M316" s="11"/>
      <c r="N316" s="11"/>
      <c r="O316" s="12"/>
      <c r="P316" s="11"/>
      <c r="Q316" s="13"/>
      <c r="R316" s="14"/>
    </row>
    <row r="317" spans="1:18" ht="15" customHeight="1" x14ac:dyDescent="0.3">
      <c r="A317" s="15" t="s">
        <v>28</v>
      </c>
      <c r="B317" s="15" t="s">
        <v>29</v>
      </c>
      <c r="C317" s="16">
        <v>0.5625</v>
      </c>
      <c r="D317" s="15" t="s">
        <v>30</v>
      </c>
      <c r="E317" s="15" t="s">
        <v>162</v>
      </c>
      <c r="F317" s="15" t="s">
        <v>48</v>
      </c>
      <c r="G317" s="230"/>
      <c r="H317" s="10"/>
      <c r="I317" s="11"/>
      <c r="J317" s="11"/>
      <c r="K317" s="11"/>
      <c r="L317" s="11"/>
      <c r="M317" s="11"/>
      <c r="N317" s="11"/>
      <c r="O317" s="12"/>
      <c r="P317" s="11"/>
      <c r="Q317" s="13"/>
      <c r="R317" s="14"/>
    </row>
    <row r="318" spans="1:18" ht="15" customHeight="1" x14ac:dyDescent="0.3">
      <c r="A318" s="34" t="s">
        <v>28</v>
      </c>
      <c r="B318" s="34" t="s">
        <v>75</v>
      </c>
      <c r="C318" s="35">
        <v>0.95833333333333337</v>
      </c>
      <c r="D318" s="34" t="s">
        <v>30</v>
      </c>
      <c r="E318" s="34" t="s">
        <v>51</v>
      </c>
      <c r="F318" s="34" t="s">
        <v>74</v>
      </c>
      <c r="G318" s="230"/>
      <c r="H318" s="10"/>
      <c r="I318" s="11"/>
      <c r="J318" s="11"/>
      <c r="K318" s="11"/>
      <c r="L318" s="11"/>
      <c r="M318" s="11"/>
      <c r="N318" s="11"/>
      <c r="O318" s="12"/>
      <c r="P318" s="11"/>
      <c r="Q318" s="13"/>
      <c r="R318" s="14"/>
    </row>
    <row r="319" spans="1:18" ht="15" customHeight="1" x14ac:dyDescent="0.3">
      <c r="A319" s="90" t="s">
        <v>76</v>
      </c>
      <c r="B319" s="90" t="s">
        <v>77</v>
      </c>
      <c r="C319" s="91">
        <v>0.92361111111111116</v>
      </c>
      <c r="D319" s="90" t="s">
        <v>30</v>
      </c>
      <c r="E319" s="90" t="s">
        <v>135</v>
      </c>
      <c r="F319" s="90" t="s">
        <v>110</v>
      </c>
      <c r="G319" s="230"/>
      <c r="H319" s="92" t="s">
        <v>80</v>
      </c>
      <c r="I319" s="93">
        <v>0.2321</v>
      </c>
      <c r="J319" s="94">
        <v>39</v>
      </c>
      <c r="K319" s="95">
        <v>45980</v>
      </c>
      <c r="L319" s="94">
        <v>10</v>
      </c>
      <c r="M319" s="94">
        <v>0</v>
      </c>
      <c r="N319" s="94">
        <v>0</v>
      </c>
      <c r="O319" s="96" t="s">
        <v>163</v>
      </c>
      <c r="P319" s="97">
        <v>0.92361111111111116</v>
      </c>
      <c r="Q319" s="94">
        <v>168</v>
      </c>
      <c r="R319" s="98" t="s">
        <v>164</v>
      </c>
    </row>
    <row r="320" spans="1:18" ht="15" customHeight="1" x14ac:dyDescent="0.3">
      <c r="A320" s="15" t="s">
        <v>59</v>
      </c>
      <c r="B320" s="15" t="s">
        <v>60</v>
      </c>
      <c r="C320" s="16">
        <v>0.30555555555555552</v>
      </c>
      <c r="D320" s="15" t="s">
        <v>61</v>
      </c>
      <c r="E320" s="15" t="s">
        <v>165</v>
      </c>
      <c r="F320" s="15" t="s">
        <v>100</v>
      </c>
      <c r="G320" s="230"/>
      <c r="H320" s="10"/>
      <c r="I320" s="11"/>
      <c r="J320" s="11"/>
      <c r="K320" s="11"/>
      <c r="L320" s="11"/>
      <c r="M320" s="11"/>
      <c r="N320" s="11"/>
      <c r="O320" s="12"/>
      <c r="P320" s="11"/>
      <c r="Q320" s="13"/>
      <c r="R320" s="14"/>
    </row>
    <row r="321" spans="1:18" ht="15" customHeight="1" x14ac:dyDescent="0.3">
      <c r="A321" s="17" t="s">
        <v>59</v>
      </c>
      <c r="B321" s="17" t="s">
        <v>60</v>
      </c>
      <c r="C321" s="18">
        <v>0.30555555555555552</v>
      </c>
      <c r="D321" s="17" t="s">
        <v>64</v>
      </c>
      <c r="E321" s="17" t="s">
        <v>166</v>
      </c>
      <c r="F321" s="17" t="s">
        <v>167</v>
      </c>
      <c r="G321" s="230"/>
      <c r="H321" s="10"/>
      <c r="I321" s="11"/>
      <c r="J321" s="11"/>
      <c r="K321" s="11"/>
      <c r="L321" s="11"/>
      <c r="M321" s="11"/>
      <c r="N321" s="11"/>
      <c r="O321" s="12"/>
      <c r="P321" s="11"/>
      <c r="Q321" s="13"/>
      <c r="R321" s="14"/>
    </row>
    <row r="322" spans="1:18" ht="15" customHeight="1" x14ac:dyDescent="0.3">
      <c r="A322" s="17" t="s">
        <v>59</v>
      </c>
      <c r="B322" s="17" t="s">
        <v>60</v>
      </c>
      <c r="C322" s="18">
        <v>0.30555555555555552</v>
      </c>
      <c r="D322" s="17" t="s">
        <v>67</v>
      </c>
      <c r="E322" s="17" t="s">
        <v>166</v>
      </c>
      <c r="F322" s="17" t="s">
        <v>42</v>
      </c>
      <c r="G322" s="230"/>
      <c r="H322" s="10"/>
      <c r="I322" s="11"/>
      <c r="J322" s="11"/>
      <c r="K322" s="11"/>
      <c r="L322" s="11"/>
      <c r="M322" s="11"/>
      <c r="N322" s="11"/>
      <c r="O322" s="12"/>
      <c r="P322" s="11"/>
      <c r="Q322" s="13"/>
      <c r="R322" s="14"/>
    </row>
    <row r="323" spans="1:18" ht="15" customHeight="1" thickBot="1" x14ac:dyDescent="0.35">
      <c r="A323" s="19" t="s">
        <v>54</v>
      </c>
      <c r="B323" s="19" t="s">
        <v>55</v>
      </c>
      <c r="C323" s="20">
        <v>0.30555555555555552</v>
      </c>
      <c r="D323" s="19" t="s">
        <v>56</v>
      </c>
      <c r="E323" s="19" t="s">
        <v>57</v>
      </c>
      <c r="F323" s="19" t="s">
        <v>168</v>
      </c>
      <c r="G323" s="231"/>
      <c r="H323" s="21"/>
      <c r="I323" s="22"/>
      <c r="J323" s="22"/>
      <c r="K323" s="22"/>
      <c r="L323" s="22"/>
      <c r="M323" s="22"/>
      <c r="N323" s="22"/>
      <c r="O323" s="23"/>
      <c r="P323" s="22"/>
      <c r="Q323" s="24"/>
      <c r="R323" s="25"/>
    </row>
    <row r="324" spans="1:18" ht="17.399999999999999" customHeight="1" thickBot="1" x14ac:dyDescent="0.35">
      <c r="A324" s="221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3"/>
    </row>
    <row r="325" spans="1:18" ht="22.05" customHeight="1" thickTop="1" thickBot="1" x14ac:dyDescent="0.55000000000000004">
      <c r="A325" s="211" t="s">
        <v>8</v>
      </c>
      <c r="B325" s="212"/>
      <c r="C325" s="212"/>
      <c r="D325" s="212"/>
      <c r="E325" s="212"/>
      <c r="F325" s="212"/>
      <c r="G325" s="26">
        <v>46010</v>
      </c>
      <c r="H325" s="219" t="s">
        <v>9</v>
      </c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</row>
    <row r="326" spans="1:18" ht="24" customHeight="1" x14ac:dyDescent="0.3">
      <c r="A326" s="27" t="s">
        <v>10</v>
      </c>
      <c r="B326" s="27" t="s">
        <v>11</v>
      </c>
      <c r="C326" s="28" t="s">
        <v>12</v>
      </c>
      <c r="D326" s="27" t="s">
        <v>13</v>
      </c>
      <c r="E326" s="27" t="s">
        <v>14</v>
      </c>
      <c r="F326" s="29" t="s">
        <v>15</v>
      </c>
      <c r="G326" s="30" t="s">
        <v>16</v>
      </c>
      <c r="H326" s="27" t="s">
        <v>17</v>
      </c>
      <c r="I326" s="31" t="s">
        <v>18</v>
      </c>
      <c r="J326" s="32" t="s">
        <v>19</v>
      </c>
      <c r="K326" s="33" t="s">
        <v>20</v>
      </c>
      <c r="L326" s="32" t="s">
        <v>21</v>
      </c>
      <c r="M326" s="32" t="s">
        <v>22</v>
      </c>
      <c r="N326" s="32" t="s">
        <v>23</v>
      </c>
      <c r="O326" s="27" t="s">
        <v>24</v>
      </c>
      <c r="P326" s="28" t="s">
        <v>25</v>
      </c>
      <c r="Q326" s="32" t="s">
        <v>26</v>
      </c>
      <c r="R326" s="27" t="s">
        <v>27</v>
      </c>
    </row>
    <row r="327" spans="1:18" ht="15" customHeight="1" x14ac:dyDescent="0.3">
      <c r="A327" s="8" t="s">
        <v>43</v>
      </c>
      <c r="B327" s="8" t="s">
        <v>52</v>
      </c>
      <c r="C327" s="9">
        <v>0.1701388888888889</v>
      </c>
      <c r="D327" s="8" t="s">
        <v>91</v>
      </c>
      <c r="E327" s="8" t="s">
        <v>31</v>
      </c>
      <c r="F327" s="8" t="s">
        <v>108</v>
      </c>
      <c r="G327" s="213"/>
      <c r="H327" s="10"/>
      <c r="I327" s="11"/>
      <c r="J327" s="11"/>
      <c r="K327" s="11"/>
      <c r="L327" s="11"/>
      <c r="M327" s="11"/>
      <c r="N327" s="11"/>
      <c r="O327" s="12"/>
      <c r="P327" s="11"/>
      <c r="Q327" s="13"/>
      <c r="R327" s="14"/>
    </row>
    <row r="328" spans="1:18" ht="15" customHeight="1" x14ac:dyDescent="0.3">
      <c r="A328" s="34" t="s">
        <v>43</v>
      </c>
      <c r="B328" s="34" t="s">
        <v>44</v>
      </c>
      <c r="C328" s="35">
        <v>0.86458333333333337</v>
      </c>
      <c r="D328" s="34" t="s">
        <v>45</v>
      </c>
      <c r="E328" s="34" t="s">
        <v>51</v>
      </c>
      <c r="F328" s="34" t="s">
        <v>155</v>
      </c>
      <c r="G328" s="214"/>
      <c r="H328" s="10"/>
      <c r="I328" s="11"/>
      <c r="J328" s="11"/>
      <c r="K328" s="11"/>
      <c r="L328" s="11"/>
      <c r="M328" s="11"/>
      <c r="N328" s="11"/>
      <c r="O328" s="12"/>
      <c r="P328" s="11"/>
      <c r="Q328" s="13"/>
      <c r="R328" s="14"/>
    </row>
    <row r="329" spans="1:18" ht="15" customHeight="1" x14ac:dyDescent="0.3">
      <c r="A329" s="34" t="s">
        <v>43</v>
      </c>
      <c r="B329" s="34" t="s">
        <v>50</v>
      </c>
      <c r="C329" s="35">
        <v>0.52777777777777779</v>
      </c>
      <c r="D329" s="34" t="s">
        <v>45</v>
      </c>
      <c r="E329" s="34" t="s">
        <v>51</v>
      </c>
      <c r="F329" s="34" t="s">
        <v>169</v>
      </c>
      <c r="G329" s="214"/>
      <c r="H329" s="10"/>
      <c r="I329" s="11"/>
      <c r="J329" s="11"/>
      <c r="K329" s="11"/>
      <c r="L329" s="11"/>
      <c r="M329" s="11"/>
      <c r="N329" s="11"/>
      <c r="O329" s="12"/>
      <c r="P329" s="11"/>
      <c r="Q329" s="13"/>
      <c r="R329" s="14"/>
    </row>
    <row r="330" spans="1:18" ht="15" customHeight="1" x14ac:dyDescent="0.3">
      <c r="A330" s="15" t="s">
        <v>28</v>
      </c>
      <c r="B330" s="15" t="s">
        <v>47</v>
      </c>
      <c r="C330" s="16">
        <v>0.95833333333333337</v>
      </c>
      <c r="D330" s="15" t="s">
        <v>30</v>
      </c>
      <c r="E330" s="15" t="s">
        <v>129</v>
      </c>
      <c r="F330" s="15" t="s">
        <v>48</v>
      </c>
      <c r="G330" s="214"/>
      <c r="H330" s="10"/>
      <c r="I330" s="11"/>
      <c r="J330" s="11"/>
      <c r="K330" s="11"/>
      <c r="L330" s="11"/>
      <c r="M330" s="11"/>
      <c r="N330" s="11"/>
      <c r="O330" s="12"/>
      <c r="P330" s="11"/>
      <c r="Q330" s="13"/>
      <c r="R330" s="14"/>
    </row>
    <row r="331" spans="1:18" ht="15" customHeight="1" x14ac:dyDescent="0.3">
      <c r="A331" s="90" t="s">
        <v>76</v>
      </c>
      <c r="B331" s="90" t="s">
        <v>77</v>
      </c>
      <c r="C331" s="91">
        <v>0.57986111111111105</v>
      </c>
      <c r="D331" s="90" t="s">
        <v>30</v>
      </c>
      <c r="E331" s="90" t="s">
        <v>31</v>
      </c>
      <c r="F331" s="90" t="s">
        <v>110</v>
      </c>
      <c r="G331" s="214"/>
      <c r="H331" s="92" t="s">
        <v>80</v>
      </c>
      <c r="I331" s="93">
        <v>0.1726</v>
      </c>
      <c r="J331" s="94">
        <v>29</v>
      </c>
      <c r="K331" s="95">
        <v>45983</v>
      </c>
      <c r="L331" s="94">
        <v>8</v>
      </c>
      <c r="M331" s="94">
        <v>0</v>
      </c>
      <c r="N331" s="94">
        <v>4</v>
      </c>
      <c r="O331" s="96" t="s">
        <v>116</v>
      </c>
      <c r="P331" s="97">
        <v>0.57986111111111105</v>
      </c>
      <c r="Q331" s="94">
        <v>168</v>
      </c>
      <c r="R331" s="98" t="s">
        <v>170</v>
      </c>
    </row>
    <row r="332" spans="1:18" ht="15" customHeight="1" thickBot="1" x14ac:dyDescent="0.35">
      <c r="A332" s="19" t="s">
        <v>54</v>
      </c>
      <c r="B332" s="19" t="s">
        <v>55</v>
      </c>
      <c r="C332" s="20">
        <v>0.30555555555555552</v>
      </c>
      <c r="D332" s="19" t="s">
        <v>56</v>
      </c>
      <c r="E332" s="19" t="s">
        <v>57</v>
      </c>
      <c r="F332" s="19" t="s">
        <v>85</v>
      </c>
      <c r="G332" s="215"/>
      <c r="H332" s="21"/>
      <c r="I332" s="22"/>
      <c r="J332" s="22"/>
      <c r="K332" s="22"/>
      <c r="L332" s="22"/>
      <c r="M332" s="22"/>
      <c r="N332" s="22"/>
      <c r="O332" s="23"/>
      <c r="P332" s="22"/>
      <c r="Q332" s="24"/>
      <c r="R332" s="25"/>
    </row>
    <row r="333" spans="1:18" ht="17.399999999999999" customHeight="1" thickBot="1" x14ac:dyDescent="0.35">
      <c r="A333" s="221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3"/>
    </row>
    <row r="334" spans="1:18" ht="22.05" customHeight="1" thickTop="1" thickBot="1" x14ac:dyDescent="0.55000000000000004">
      <c r="A334" s="211" t="s">
        <v>8</v>
      </c>
      <c r="B334" s="212"/>
      <c r="C334" s="212"/>
      <c r="D334" s="212"/>
      <c r="E334" s="212"/>
      <c r="F334" s="212"/>
      <c r="G334" s="26">
        <v>46011</v>
      </c>
      <c r="H334" s="219" t="s">
        <v>9</v>
      </c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</row>
    <row r="335" spans="1:18" ht="24" customHeight="1" x14ac:dyDescent="0.3">
      <c r="A335" s="27" t="s">
        <v>10</v>
      </c>
      <c r="B335" s="27" t="s">
        <v>11</v>
      </c>
      <c r="C335" s="28" t="s">
        <v>12</v>
      </c>
      <c r="D335" s="27" t="s">
        <v>13</v>
      </c>
      <c r="E335" s="27" t="s">
        <v>14</v>
      </c>
      <c r="F335" s="29" t="s">
        <v>15</v>
      </c>
      <c r="G335" s="30" t="s">
        <v>16</v>
      </c>
      <c r="H335" s="27" t="s">
        <v>17</v>
      </c>
      <c r="I335" s="31" t="s">
        <v>18</v>
      </c>
      <c r="J335" s="32" t="s">
        <v>19</v>
      </c>
      <c r="K335" s="33" t="s">
        <v>20</v>
      </c>
      <c r="L335" s="32" t="s">
        <v>21</v>
      </c>
      <c r="M335" s="32" t="s">
        <v>22</v>
      </c>
      <c r="N335" s="32" t="s">
        <v>23</v>
      </c>
      <c r="O335" s="27" t="s">
        <v>24</v>
      </c>
      <c r="P335" s="28" t="s">
        <v>25</v>
      </c>
      <c r="Q335" s="32" t="s">
        <v>26</v>
      </c>
      <c r="R335" s="27" t="s">
        <v>27</v>
      </c>
    </row>
    <row r="336" spans="1:18" ht="15" customHeight="1" x14ac:dyDescent="0.3">
      <c r="A336" s="8" t="s">
        <v>43</v>
      </c>
      <c r="B336" s="8" t="s">
        <v>44</v>
      </c>
      <c r="C336" s="9">
        <v>0.86458333333333337</v>
      </c>
      <c r="D336" s="8" t="s">
        <v>91</v>
      </c>
      <c r="E336" s="8" t="s">
        <v>31</v>
      </c>
      <c r="F336" s="8" t="s">
        <v>108</v>
      </c>
      <c r="G336" s="213"/>
      <c r="H336" s="10"/>
      <c r="I336" s="11"/>
      <c r="J336" s="11"/>
      <c r="K336" s="11"/>
      <c r="L336" s="11"/>
      <c r="M336" s="11"/>
      <c r="N336" s="11"/>
      <c r="O336" s="12"/>
      <c r="P336" s="11"/>
      <c r="Q336" s="13"/>
      <c r="R336" s="14"/>
    </row>
    <row r="337" spans="1:18" ht="15" customHeight="1" x14ac:dyDescent="0.3">
      <c r="A337" s="34" t="s">
        <v>43</v>
      </c>
      <c r="B337" s="34" t="s">
        <v>50</v>
      </c>
      <c r="C337" s="35">
        <v>0.52777777777777779</v>
      </c>
      <c r="D337" s="34" t="s">
        <v>91</v>
      </c>
      <c r="E337" s="34" t="s">
        <v>51</v>
      </c>
      <c r="F337" s="34" t="s">
        <v>108</v>
      </c>
      <c r="G337" s="214"/>
      <c r="H337" s="10"/>
      <c r="I337" s="11"/>
      <c r="J337" s="11"/>
      <c r="K337" s="11"/>
      <c r="L337" s="11"/>
      <c r="M337" s="11"/>
      <c r="N337" s="11"/>
      <c r="O337" s="12"/>
      <c r="P337" s="11"/>
      <c r="Q337" s="13"/>
      <c r="R337" s="14"/>
    </row>
    <row r="338" spans="1:18" ht="15" customHeight="1" x14ac:dyDescent="0.3">
      <c r="A338" s="34" t="s">
        <v>43</v>
      </c>
      <c r="B338" s="34" t="s">
        <v>52</v>
      </c>
      <c r="C338" s="35">
        <v>0.1701388888888889</v>
      </c>
      <c r="D338" s="34" t="s">
        <v>91</v>
      </c>
      <c r="E338" s="34" t="s">
        <v>51</v>
      </c>
      <c r="F338" s="34" t="s">
        <v>108</v>
      </c>
      <c r="G338" s="214"/>
      <c r="H338" s="10"/>
      <c r="I338" s="11"/>
      <c r="J338" s="11"/>
      <c r="K338" s="11"/>
      <c r="L338" s="11"/>
      <c r="M338" s="11"/>
      <c r="N338" s="11"/>
      <c r="O338" s="12"/>
      <c r="P338" s="11"/>
      <c r="Q338" s="13"/>
      <c r="R338" s="14"/>
    </row>
    <row r="339" spans="1:18" ht="15" customHeight="1" x14ac:dyDescent="0.3">
      <c r="A339" s="15" t="s">
        <v>28</v>
      </c>
      <c r="B339" s="15" t="s">
        <v>75</v>
      </c>
      <c r="C339" s="16">
        <v>0.89583333333333337</v>
      </c>
      <c r="D339" s="15" t="s">
        <v>30</v>
      </c>
      <c r="E339" s="15" t="s">
        <v>31</v>
      </c>
      <c r="F339" s="15" t="s">
        <v>48</v>
      </c>
      <c r="G339" s="214"/>
      <c r="H339" s="10"/>
      <c r="I339" s="11"/>
      <c r="J339" s="11"/>
      <c r="K339" s="11"/>
      <c r="L339" s="11"/>
      <c r="M339" s="11"/>
      <c r="N339" s="11"/>
      <c r="O339" s="12"/>
      <c r="P339" s="11"/>
      <c r="Q339" s="13"/>
      <c r="R339" s="14"/>
    </row>
    <row r="340" spans="1:18" ht="15" customHeight="1" x14ac:dyDescent="0.3">
      <c r="A340" s="99" t="s">
        <v>76</v>
      </c>
      <c r="B340" s="99" t="s">
        <v>77</v>
      </c>
      <c r="C340" s="100">
        <v>0.92361111111111116</v>
      </c>
      <c r="D340" s="99" t="s">
        <v>30</v>
      </c>
      <c r="E340" s="99" t="s">
        <v>31</v>
      </c>
      <c r="F340" s="99" t="s">
        <v>110</v>
      </c>
      <c r="G340" s="214"/>
      <c r="H340" s="101" t="s">
        <v>80</v>
      </c>
      <c r="I340" s="102">
        <v>0.1726</v>
      </c>
      <c r="J340" s="103">
        <v>29</v>
      </c>
      <c r="K340" s="104">
        <v>45980</v>
      </c>
      <c r="L340" s="103">
        <v>2</v>
      </c>
      <c r="M340" s="103">
        <v>0</v>
      </c>
      <c r="N340" s="103">
        <v>0</v>
      </c>
      <c r="O340" s="105" t="s">
        <v>116</v>
      </c>
      <c r="P340" s="106">
        <v>0.92361111111111116</v>
      </c>
      <c r="Q340" s="103">
        <v>168</v>
      </c>
      <c r="R340" s="107" t="s">
        <v>171</v>
      </c>
    </row>
    <row r="341" spans="1:18" ht="15" customHeight="1" thickBot="1" x14ac:dyDescent="0.35">
      <c r="A341" s="19" t="s">
        <v>54</v>
      </c>
      <c r="B341" s="19" t="s">
        <v>55</v>
      </c>
      <c r="C341" s="20">
        <v>0.30555555555555552</v>
      </c>
      <c r="D341" s="19" t="s">
        <v>56</v>
      </c>
      <c r="E341" s="19" t="s">
        <v>57</v>
      </c>
      <c r="F341" s="19" t="s">
        <v>85</v>
      </c>
      <c r="G341" s="215"/>
      <c r="H341" s="21"/>
      <c r="I341" s="22"/>
      <c r="J341" s="22"/>
      <c r="K341" s="22"/>
      <c r="L341" s="22"/>
      <c r="M341" s="22"/>
      <c r="N341" s="22"/>
      <c r="O341" s="23"/>
      <c r="P341" s="22"/>
      <c r="Q341" s="24"/>
      <c r="R341" s="25"/>
    </row>
    <row r="342" spans="1:18" ht="17.399999999999999" customHeight="1" thickBot="1" x14ac:dyDescent="0.35">
      <c r="A342" s="221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3"/>
    </row>
    <row r="343" spans="1:18" ht="22.05" customHeight="1" thickTop="1" thickBot="1" x14ac:dyDescent="0.55000000000000004">
      <c r="A343" s="211" t="s">
        <v>8</v>
      </c>
      <c r="B343" s="212"/>
      <c r="C343" s="212"/>
      <c r="D343" s="212"/>
      <c r="E343" s="212"/>
      <c r="F343" s="212"/>
      <c r="G343" s="26">
        <v>46012</v>
      </c>
      <c r="H343" s="219" t="s">
        <v>9</v>
      </c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</row>
    <row r="344" spans="1:18" ht="24" customHeight="1" x14ac:dyDescent="0.3">
      <c r="A344" s="27" t="s">
        <v>10</v>
      </c>
      <c r="B344" s="27" t="s">
        <v>11</v>
      </c>
      <c r="C344" s="28" t="s">
        <v>12</v>
      </c>
      <c r="D344" s="27" t="s">
        <v>13</v>
      </c>
      <c r="E344" s="27" t="s">
        <v>14</v>
      </c>
      <c r="F344" s="29" t="s">
        <v>15</v>
      </c>
      <c r="G344" s="30" t="s">
        <v>16</v>
      </c>
      <c r="H344" s="27" t="s">
        <v>17</v>
      </c>
      <c r="I344" s="31" t="s">
        <v>18</v>
      </c>
      <c r="J344" s="32" t="s">
        <v>19</v>
      </c>
      <c r="K344" s="33" t="s">
        <v>20</v>
      </c>
      <c r="L344" s="32" t="s">
        <v>21</v>
      </c>
      <c r="M344" s="32" t="s">
        <v>22</v>
      </c>
      <c r="N344" s="32" t="s">
        <v>23</v>
      </c>
      <c r="O344" s="27" t="s">
        <v>24</v>
      </c>
      <c r="P344" s="28" t="s">
        <v>25</v>
      </c>
      <c r="Q344" s="32" t="s">
        <v>26</v>
      </c>
      <c r="R344" s="27" t="s">
        <v>27</v>
      </c>
    </row>
    <row r="345" spans="1:18" ht="49.95" customHeight="1" x14ac:dyDescent="0.3">
      <c r="A345" s="8" t="s">
        <v>43</v>
      </c>
      <c r="B345" s="8" t="s">
        <v>44</v>
      </c>
      <c r="C345" s="9">
        <v>0.86458333333333337</v>
      </c>
      <c r="D345" s="8" t="s">
        <v>91</v>
      </c>
      <c r="E345" s="8" t="s">
        <v>31</v>
      </c>
      <c r="F345" s="8" t="s">
        <v>108</v>
      </c>
      <c r="G345" s="213"/>
      <c r="H345" s="10"/>
      <c r="I345" s="11"/>
      <c r="J345" s="11"/>
      <c r="K345" s="11"/>
      <c r="L345" s="11"/>
      <c r="M345" s="11"/>
      <c r="N345" s="11"/>
      <c r="O345" s="12"/>
      <c r="P345" s="11"/>
      <c r="Q345" s="13"/>
      <c r="R345" s="14"/>
    </row>
    <row r="346" spans="1:18" ht="49.95" customHeight="1" x14ac:dyDescent="0.3">
      <c r="A346" s="34" t="s">
        <v>43</v>
      </c>
      <c r="B346" s="34" t="s">
        <v>50</v>
      </c>
      <c r="C346" s="35">
        <v>0.52777777777777779</v>
      </c>
      <c r="D346" s="34" t="s">
        <v>91</v>
      </c>
      <c r="E346" s="34" t="s">
        <v>51</v>
      </c>
      <c r="F346" s="34" t="s">
        <v>108</v>
      </c>
      <c r="G346" s="214"/>
      <c r="H346" s="10"/>
      <c r="I346" s="11"/>
      <c r="J346" s="11"/>
      <c r="K346" s="11"/>
      <c r="L346" s="11"/>
      <c r="M346" s="11"/>
      <c r="N346" s="11"/>
      <c r="O346" s="12"/>
      <c r="P346" s="11"/>
      <c r="Q346" s="13"/>
      <c r="R346" s="14"/>
    </row>
    <row r="347" spans="1:18" ht="49.95" customHeight="1" x14ac:dyDescent="0.3">
      <c r="A347" s="34" t="s">
        <v>43</v>
      </c>
      <c r="B347" s="34" t="s">
        <v>52</v>
      </c>
      <c r="C347" s="35">
        <v>0.1701388888888889</v>
      </c>
      <c r="D347" s="34" t="s">
        <v>91</v>
      </c>
      <c r="E347" s="34" t="s">
        <v>51</v>
      </c>
      <c r="F347" s="34" t="s">
        <v>108</v>
      </c>
      <c r="G347" s="214"/>
      <c r="H347" s="10"/>
      <c r="I347" s="11"/>
      <c r="J347" s="11"/>
      <c r="K347" s="11"/>
      <c r="L347" s="11"/>
      <c r="M347" s="11"/>
      <c r="N347" s="11"/>
      <c r="O347" s="12"/>
      <c r="P347" s="11"/>
      <c r="Q347" s="13"/>
      <c r="R347" s="14"/>
    </row>
    <row r="348" spans="1:18" ht="49.95" customHeight="1" x14ac:dyDescent="0.3">
      <c r="A348" s="15" t="s">
        <v>28</v>
      </c>
      <c r="B348" s="15" t="s">
        <v>29</v>
      </c>
      <c r="C348" s="16">
        <v>0.95833333333333337</v>
      </c>
      <c r="D348" s="15" t="s">
        <v>30</v>
      </c>
      <c r="E348" s="15" t="s">
        <v>31</v>
      </c>
      <c r="F348" s="15" t="s">
        <v>48</v>
      </c>
      <c r="G348" s="214"/>
      <c r="H348" s="10"/>
      <c r="I348" s="11"/>
      <c r="J348" s="11"/>
      <c r="K348" s="11"/>
      <c r="L348" s="11"/>
      <c r="M348" s="11"/>
      <c r="N348" s="11"/>
      <c r="O348" s="12"/>
      <c r="P348" s="11"/>
      <c r="Q348" s="13"/>
      <c r="R348" s="14"/>
    </row>
    <row r="349" spans="1:18" ht="49.95" customHeight="1" thickBot="1" x14ac:dyDescent="0.35">
      <c r="A349" s="19" t="s">
        <v>54</v>
      </c>
      <c r="B349" s="19" t="s">
        <v>55</v>
      </c>
      <c r="C349" s="20">
        <v>0.30555555555555552</v>
      </c>
      <c r="D349" s="19" t="s">
        <v>56</v>
      </c>
      <c r="E349" s="19" t="s">
        <v>57</v>
      </c>
      <c r="F349" s="19" t="s">
        <v>118</v>
      </c>
      <c r="G349" s="215"/>
      <c r="H349" s="21"/>
      <c r="I349" s="22"/>
      <c r="J349" s="22"/>
      <c r="K349" s="22"/>
      <c r="L349" s="22"/>
      <c r="M349" s="22"/>
      <c r="N349" s="22"/>
      <c r="O349" s="23"/>
      <c r="P349" s="22"/>
      <c r="Q349" s="24"/>
      <c r="R349" s="25"/>
    </row>
    <row r="350" spans="1:18" ht="17.399999999999999" customHeight="1" thickBot="1" x14ac:dyDescent="0.35">
      <c r="A350" s="221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3"/>
    </row>
    <row r="351" spans="1:18" ht="22.05" customHeight="1" thickTop="1" thickBot="1" x14ac:dyDescent="0.55000000000000004">
      <c r="A351" s="211" t="s">
        <v>8</v>
      </c>
      <c r="B351" s="212"/>
      <c r="C351" s="212"/>
      <c r="D351" s="212"/>
      <c r="E351" s="212"/>
      <c r="F351" s="212"/>
      <c r="G351" s="26">
        <v>46013</v>
      </c>
      <c r="H351" s="219" t="s">
        <v>9</v>
      </c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</row>
    <row r="352" spans="1:18" ht="24" customHeight="1" x14ac:dyDescent="0.3">
      <c r="A352" s="27" t="s">
        <v>10</v>
      </c>
      <c r="B352" s="27" t="s">
        <v>11</v>
      </c>
      <c r="C352" s="28" t="s">
        <v>12</v>
      </c>
      <c r="D352" s="27" t="s">
        <v>13</v>
      </c>
      <c r="E352" s="27" t="s">
        <v>14</v>
      </c>
      <c r="F352" s="29" t="s">
        <v>15</v>
      </c>
      <c r="G352" s="30" t="s">
        <v>16</v>
      </c>
      <c r="H352" s="27" t="s">
        <v>17</v>
      </c>
      <c r="I352" s="31" t="s">
        <v>18</v>
      </c>
      <c r="J352" s="32" t="s">
        <v>19</v>
      </c>
      <c r="K352" s="33" t="s">
        <v>20</v>
      </c>
      <c r="L352" s="32" t="s">
        <v>21</v>
      </c>
      <c r="M352" s="32" t="s">
        <v>22</v>
      </c>
      <c r="N352" s="32" t="s">
        <v>23</v>
      </c>
      <c r="O352" s="27" t="s">
        <v>24</v>
      </c>
      <c r="P352" s="28" t="s">
        <v>25</v>
      </c>
      <c r="Q352" s="32" t="s">
        <v>26</v>
      </c>
      <c r="R352" s="27" t="s">
        <v>27</v>
      </c>
    </row>
    <row r="353" spans="1:18" ht="15" customHeight="1" x14ac:dyDescent="0.3">
      <c r="A353" s="8" t="s">
        <v>59</v>
      </c>
      <c r="B353" s="8" t="s">
        <v>60</v>
      </c>
      <c r="C353" s="9">
        <v>0.30555555555555552</v>
      </c>
      <c r="D353" s="8" t="s">
        <v>61</v>
      </c>
      <c r="E353" s="8" t="s">
        <v>36</v>
      </c>
      <c r="F353" s="8" t="s">
        <v>95</v>
      </c>
      <c r="G353" s="213"/>
      <c r="H353" s="10"/>
      <c r="I353" s="11"/>
      <c r="J353" s="11"/>
      <c r="K353" s="11"/>
      <c r="L353" s="11"/>
      <c r="M353" s="11"/>
      <c r="N353" s="11"/>
      <c r="O353" s="12"/>
      <c r="P353" s="11"/>
      <c r="Q353" s="13"/>
      <c r="R353" s="14"/>
    </row>
    <row r="354" spans="1:18" ht="15" customHeight="1" x14ac:dyDescent="0.3">
      <c r="A354" s="17" t="s">
        <v>59</v>
      </c>
      <c r="B354" s="17" t="s">
        <v>60</v>
      </c>
      <c r="C354" s="18">
        <v>0.30555555555555552</v>
      </c>
      <c r="D354" s="17" t="s">
        <v>64</v>
      </c>
      <c r="E354" s="17" t="s">
        <v>39</v>
      </c>
      <c r="F354" s="17" t="s">
        <v>97</v>
      </c>
      <c r="G354" s="214"/>
      <c r="H354" s="10"/>
      <c r="I354" s="11"/>
      <c r="J354" s="11"/>
      <c r="K354" s="11"/>
      <c r="L354" s="11"/>
      <c r="M354" s="11"/>
      <c r="N354" s="11"/>
      <c r="O354" s="12"/>
      <c r="P354" s="11"/>
      <c r="Q354" s="13"/>
      <c r="R354" s="14"/>
    </row>
    <row r="355" spans="1:18" ht="15" customHeight="1" x14ac:dyDescent="0.3">
      <c r="A355" s="17" t="s">
        <v>59</v>
      </c>
      <c r="B355" s="17" t="s">
        <v>60</v>
      </c>
      <c r="C355" s="18">
        <v>0.30555555555555552</v>
      </c>
      <c r="D355" s="17" t="s">
        <v>67</v>
      </c>
      <c r="E355" s="17" t="s">
        <v>39</v>
      </c>
      <c r="F355" s="17" t="s">
        <v>42</v>
      </c>
      <c r="G355" s="214"/>
      <c r="H355" s="10"/>
      <c r="I355" s="11"/>
      <c r="J355" s="11"/>
      <c r="K355" s="11"/>
      <c r="L355" s="11"/>
      <c r="M355" s="11"/>
      <c r="N355" s="11"/>
      <c r="O355" s="12"/>
      <c r="P355" s="11"/>
      <c r="Q355" s="13"/>
      <c r="R355" s="14"/>
    </row>
    <row r="356" spans="1:18" ht="15" customHeight="1" x14ac:dyDescent="0.3">
      <c r="A356" s="15" t="s">
        <v>33</v>
      </c>
      <c r="B356" s="15" t="s">
        <v>34</v>
      </c>
      <c r="C356" s="16">
        <v>0.83680555555555547</v>
      </c>
      <c r="D356" s="15" t="s">
        <v>35</v>
      </c>
      <c r="E356" s="15" t="s">
        <v>36</v>
      </c>
      <c r="F356" s="15" t="s">
        <v>98</v>
      </c>
      <c r="G356" s="214"/>
      <c r="H356" s="10"/>
      <c r="I356" s="11"/>
      <c r="J356" s="11"/>
      <c r="K356" s="11"/>
      <c r="L356" s="11"/>
      <c r="M356" s="11"/>
      <c r="N356" s="11"/>
      <c r="O356" s="12"/>
      <c r="P356" s="11"/>
      <c r="Q356" s="13"/>
      <c r="R356" s="14"/>
    </row>
    <row r="357" spans="1:18" ht="15" customHeight="1" x14ac:dyDescent="0.3">
      <c r="A357" s="17" t="s">
        <v>33</v>
      </c>
      <c r="B357" s="17" t="s">
        <v>34</v>
      </c>
      <c r="C357" s="18">
        <v>0.83680555555555547</v>
      </c>
      <c r="D357" s="17" t="s">
        <v>38</v>
      </c>
      <c r="E357" s="17" t="s">
        <v>39</v>
      </c>
      <c r="F357" s="17" t="s">
        <v>99</v>
      </c>
      <c r="G357" s="214"/>
      <c r="H357" s="10"/>
      <c r="I357" s="11"/>
      <c r="J357" s="11"/>
      <c r="K357" s="11"/>
      <c r="L357" s="11"/>
      <c r="M357" s="11"/>
      <c r="N357" s="11"/>
      <c r="O357" s="12"/>
      <c r="P357" s="11"/>
      <c r="Q357" s="13"/>
      <c r="R357" s="14"/>
    </row>
    <row r="358" spans="1:18" ht="15" customHeight="1" x14ac:dyDescent="0.3">
      <c r="A358" s="17" t="s">
        <v>33</v>
      </c>
      <c r="B358" s="17" t="s">
        <v>34</v>
      </c>
      <c r="C358" s="18">
        <v>0.83680555555555547</v>
      </c>
      <c r="D358" s="17" t="s">
        <v>41</v>
      </c>
      <c r="E358" s="17" t="s">
        <v>39</v>
      </c>
      <c r="F358" s="17" t="s">
        <v>73</v>
      </c>
      <c r="G358" s="214"/>
      <c r="H358" s="10"/>
      <c r="I358" s="11"/>
      <c r="J358" s="11"/>
      <c r="K358" s="11"/>
      <c r="L358" s="11"/>
      <c r="M358" s="11"/>
      <c r="N358" s="11"/>
      <c r="O358" s="12"/>
      <c r="P358" s="11"/>
      <c r="Q358" s="13"/>
      <c r="R358" s="14"/>
    </row>
    <row r="359" spans="1:18" ht="15" customHeight="1" x14ac:dyDescent="0.3">
      <c r="A359" s="34" t="s">
        <v>33</v>
      </c>
      <c r="B359" s="34" t="s">
        <v>68</v>
      </c>
      <c r="C359" s="35">
        <v>0.2013888888888889</v>
      </c>
      <c r="D359" s="34" t="s">
        <v>35</v>
      </c>
      <c r="E359" s="34" t="s">
        <v>172</v>
      </c>
      <c r="F359" s="34" t="s">
        <v>98</v>
      </c>
      <c r="G359" s="214"/>
      <c r="H359" s="10"/>
      <c r="I359" s="11"/>
      <c r="J359" s="11"/>
      <c r="K359" s="11"/>
      <c r="L359" s="11"/>
      <c r="M359" s="11"/>
      <c r="N359" s="11"/>
      <c r="O359" s="12"/>
      <c r="P359" s="11"/>
      <c r="Q359" s="13"/>
      <c r="R359" s="14"/>
    </row>
    <row r="360" spans="1:18" ht="15" customHeight="1" x14ac:dyDescent="0.3">
      <c r="A360" s="17" t="s">
        <v>33</v>
      </c>
      <c r="B360" s="17" t="s">
        <v>68</v>
      </c>
      <c r="C360" s="18">
        <v>0.2013888888888889</v>
      </c>
      <c r="D360" s="17" t="s">
        <v>38</v>
      </c>
      <c r="E360" s="17" t="s">
        <v>173</v>
      </c>
      <c r="F360" s="17" t="s">
        <v>99</v>
      </c>
      <c r="G360" s="214"/>
      <c r="H360" s="10"/>
      <c r="I360" s="11"/>
      <c r="J360" s="11"/>
      <c r="K360" s="11"/>
      <c r="L360" s="11"/>
      <c r="M360" s="11"/>
      <c r="N360" s="11"/>
      <c r="O360" s="12"/>
      <c r="P360" s="11"/>
      <c r="Q360" s="13"/>
      <c r="R360" s="14"/>
    </row>
    <row r="361" spans="1:18" ht="15" customHeight="1" x14ac:dyDescent="0.3">
      <c r="A361" s="17" t="s">
        <v>33</v>
      </c>
      <c r="B361" s="17" t="s">
        <v>68</v>
      </c>
      <c r="C361" s="18">
        <v>0.2013888888888889</v>
      </c>
      <c r="D361" s="17" t="s">
        <v>41</v>
      </c>
      <c r="E361" s="17" t="s">
        <v>173</v>
      </c>
      <c r="F361" s="17" t="s">
        <v>73</v>
      </c>
      <c r="G361" s="214"/>
      <c r="H361" s="10"/>
      <c r="I361" s="11"/>
      <c r="J361" s="11"/>
      <c r="K361" s="11"/>
      <c r="L361" s="11"/>
      <c r="M361" s="11"/>
      <c r="N361" s="11"/>
      <c r="O361" s="12"/>
      <c r="P361" s="11"/>
      <c r="Q361" s="13"/>
      <c r="R361" s="14"/>
    </row>
    <row r="362" spans="1:18" ht="15" customHeight="1" x14ac:dyDescent="0.3">
      <c r="A362" s="15" t="s">
        <v>102</v>
      </c>
      <c r="B362" s="15" t="s">
        <v>105</v>
      </c>
      <c r="C362" s="16">
        <v>0.12847222222222221</v>
      </c>
      <c r="D362" s="15" t="s">
        <v>30</v>
      </c>
      <c r="E362" s="15" t="s">
        <v>78</v>
      </c>
      <c r="F362" s="15" t="s">
        <v>144</v>
      </c>
      <c r="G362" s="214"/>
      <c r="H362" s="10"/>
      <c r="I362" s="11"/>
      <c r="J362" s="11"/>
      <c r="K362" s="11"/>
      <c r="L362" s="11"/>
      <c r="M362" s="11"/>
      <c r="N362" s="11"/>
      <c r="O362" s="12"/>
      <c r="P362" s="11"/>
      <c r="Q362" s="13"/>
      <c r="R362" s="14"/>
    </row>
    <row r="363" spans="1:18" ht="15" customHeight="1" x14ac:dyDescent="0.3">
      <c r="A363" s="15" t="s">
        <v>43</v>
      </c>
      <c r="B363" s="15" t="s">
        <v>44</v>
      </c>
      <c r="C363" s="16">
        <v>0.86458333333333337</v>
      </c>
      <c r="D363" s="15" t="s">
        <v>91</v>
      </c>
      <c r="E363" s="15" t="s">
        <v>31</v>
      </c>
      <c r="F363" s="15" t="s">
        <v>108</v>
      </c>
      <c r="G363" s="214"/>
      <c r="H363" s="10"/>
      <c r="I363" s="11"/>
      <c r="J363" s="11"/>
      <c r="K363" s="11"/>
      <c r="L363" s="11"/>
      <c r="M363" s="11"/>
      <c r="N363" s="11"/>
      <c r="O363" s="12"/>
      <c r="P363" s="11"/>
      <c r="Q363" s="13"/>
      <c r="R363" s="14"/>
    </row>
    <row r="364" spans="1:18" ht="15" customHeight="1" x14ac:dyDescent="0.3">
      <c r="A364" s="34" t="s">
        <v>43</v>
      </c>
      <c r="B364" s="34" t="s">
        <v>50</v>
      </c>
      <c r="C364" s="35">
        <v>0.52777777777777779</v>
      </c>
      <c r="D364" s="34" t="s">
        <v>91</v>
      </c>
      <c r="E364" s="34" t="s">
        <v>51</v>
      </c>
      <c r="F364" s="34" t="s">
        <v>108</v>
      </c>
      <c r="G364" s="214"/>
      <c r="H364" s="10"/>
      <c r="I364" s="11"/>
      <c r="J364" s="11"/>
      <c r="K364" s="11"/>
      <c r="L364" s="11"/>
      <c r="M364" s="11"/>
      <c r="N364" s="11"/>
      <c r="O364" s="12"/>
      <c r="P364" s="11"/>
      <c r="Q364" s="13"/>
      <c r="R364" s="14"/>
    </row>
    <row r="365" spans="1:18" ht="15" customHeight="1" x14ac:dyDescent="0.3">
      <c r="A365" s="34" t="s">
        <v>43</v>
      </c>
      <c r="B365" s="34" t="s">
        <v>52</v>
      </c>
      <c r="C365" s="35">
        <v>0.1701388888888889</v>
      </c>
      <c r="D365" s="34" t="s">
        <v>91</v>
      </c>
      <c r="E365" s="34" t="s">
        <v>51</v>
      </c>
      <c r="F365" s="34" t="s">
        <v>108</v>
      </c>
      <c r="G365" s="214"/>
      <c r="H365" s="10"/>
      <c r="I365" s="11"/>
      <c r="J365" s="11"/>
      <c r="K365" s="11"/>
      <c r="L365" s="11"/>
      <c r="M365" s="11"/>
      <c r="N365" s="11"/>
      <c r="O365" s="12"/>
      <c r="P365" s="11"/>
      <c r="Q365" s="13"/>
      <c r="R365" s="14"/>
    </row>
    <row r="366" spans="1:18" ht="15" customHeight="1" x14ac:dyDescent="0.3">
      <c r="A366" s="15" t="s">
        <v>28</v>
      </c>
      <c r="B366" s="15" t="s">
        <v>47</v>
      </c>
      <c r="C366" s="16">
        <v>0.95833333333333337</v>
      </c>
      <c r="D366" s="15" t="s">
        <v>30</v>
      </c>
      <c r="E366" s="15" t="s">
        <v>31</v>
      </c>
      <c r="F366" s="15" t="s">
        <v>48</v>
      </c>
      <c r="G366" s="214"/>
      <c r="H366" s="10"/>
      <c r="I366" s="11"/>
      <c r="J366" s="11"/>
      <c r="K366" s="11"/>
      <c r="L366" s="11"/>
      <c r="M366" s="11"/>
      <c r="N366" s="11"/>
      <c r="O366" s="12"/>
      <c r="P366" s="11"/>
      <c r="Q366" s="13"/>
      <c r="R366" s="14"/>
    </row>
    <row r="367" spans="1:18" ht="15" customHeight="1" thickBot="1" x14ac:dyDescent="0.35">
      <c r="A367" s="19" t="s">
        <v>54</v>
      </c>
      <c r="B367" s="19" t="s">
        <v>55</v>
      </c>
      <c r="C367" s="20">
        <v>0.30555555555555552</v>
      </c>
      <c r="D367" s="19" t="s">
        <v>56</v>
      </c>
      <c r="E367" s="19" t="s">
        <v>57</v>
      </c>
      <c r="F367" s="19" t="s">
        <v>118</v>
      </c>
      <c r="G367" s="215"/>
      <c r="H367" s="21"/>
      <c r="I367" s="22"/>
      <c r="J367" s="22"/>
      <c r="K367" s="22"/>
      <c r="L367" s="22"/>
      <c r="M367" s="22"/>
      <c r="N367" s="22"/>
      <c r="O367" s="23"/>
      <c r="P367" s="22"/>
      <c r="Q367" s="24"/>
      <c r="R367" s="25"/>
    </row>
    <row r="368" spans="1:18" ht="17.399999999999999" customHeight="1" thickBot="1" x14ac:dyDescent="0.35">
      <c r="A368" s="221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3"/>
    </row>
    <row r="369" spans="1:18" ht="22.05" customHeight="1" thickTop="1" thickBot="1" x14ac:dyDescent="0.55000000000000004">
      <c r="A369" s="211" t="s">
        <v>8</v>
      </c>
      <c r="B369" s="212"/>
      <c r="C369" s="212"/>
      <c r="D369" s="212"/>
      <c r="E369" s="212"/>
      <c r="F369" s="212"/>
      <c r="G369" s="26">
        <v>46014</v>
      </c>
      <c r="H369" s="219" t="s">
        <v>9</v>
      </c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</row>
    <row r="370" spans="1:18" ht="24" customHeight="1" x14ac:dyDescent="0.3">
      <c r="A370" s="27" t="s">
        <v>10</v>
      </c>
      <c r="B370" s="27" t="s">
        <v>11</v>
      </c>
      <c r="C370" s="28" t="s">
        <v>12</v>
      </c>
      <c r="D370" s="27" t="s">
        <v>13</v>
      </c>
      <c r="E370" s="27" t="s">
        <v>14</v>
      </c>
      <c r="F370" s="29" t="s">
        <v>15</v>
      </c>
      <c r="G370" s="30" t="s">
        <v>16</v>
      </c>
      <c r="H370" s="27" t="s">
        <v>17</v>
      </c>
      <c r="I370" s="31" t="s">
        <v>18</v>
      </c>
      <c r="J370" s="32" t="s">
        <v>19</v>
      </c>
      <c r="K370" s="33" t="s">
        <v>20</v>
      </c>
      <c r="L370" s="32" t="s">
        <v>21</v>
      </c>
      <c r="M370" s="32" t="s">
        <v>22</v>
      </c>
      <c r="N370" s="32" t="s">
        <v>23</v>
      </c>
      <c r="O370" s="27" t="s">
        <v>24</v>
      </c>
      <c r="P370" s="28" t="s">
        <v>25</v>
      </c>
      <c r="Q370" s="32" t="s">
        <v>26</v>
      </c>
      <c r="R370" s="27" t="s">
        <v>27</v>
      </c>
    </row>
    <row r="371" spans="1:18" ht="15" customHeight="1" x14ac:dyDescent="0.3">
      <c r="A371" s="8" t="s">
        <v>59</v>
      </c>
      <c r="B371" s="8" t="s">
        <v>60</v>
      </c>
      <c r="C371" s="9">
        <v>0.30555555555555552</v>
      </c>
      <c r="D371" s="8" t="s">
        <v>61</v>
      </c>
      <c r="E371" s="8" t="s">
        <v>78</v>
      </c>
      <c r="F371" s="8" t="s">
        <v>95</v>
      </c>
      <c r="G371" s="213"/>
      <c r="H371" s="10"/>
      <c r="I371" s="11"/>
      <c r="J371" s="11"/>
      <c r="K371" s="11"/>
      <c r="L371" s="11"/>
      <c r="M371" s="11"/>
      <c r="N371" s="11"/>
      <c r="O371" s="12"/>
      <c r="P371" s="11"/>
      <c r="Q371" s="13"/>
      <c r="R371" s="14"/>
    </row>
    <row r="372" spans="1:18" ht="15" customHeight="1" x14ac:dyDescent="0.3">
      <c r="A372" s="17" t="s">
        <v>59</v>
      </c>
      <c r="B372" s="17" t="s">
        <v>60</v>
      </c>
      <c r="C372" s="18">
        <v>0.30555555555555552</v>
      </c>
      <c r="D372" s="17" t="s">
        <v>64</v>
      </c>
      <c r="E372" s="17" t="s">
        <v>140</v>
      </c>
      <c r="F372" s="17" t="s">
        <v>97</v>
      </c>
      <c r="G372" s="214"/>
      <c r="H372" s="10"/>
      <c r="I372" s="11"/>
      <c r="J372" s="11"/>
      <c r="K372" s="11"/>
      <c r="L372" s="11"/>
      <c r="M372" s="11"/>
      <c r="N372" s="11"/>
      <c r="O372" s="12"/>
      <c r="P372" s="11"/>
      <c r="Q372" s="13"/>
      <c r="R372" s="14"/>
    </row>
    <row r="373" spans="1:18" ht="15" customHeight="1" x14ac:dyDescent="0.3">
      <c r="A373" s="17" t="s">
        <v>59</v>
      </c>
      <c r="B373" s="17" t="s">
        <v>60</v>
      </c>
      <c r="C373" s="18">
        <v>0.30555555555555552</v>
      </c>
      <c r="D373" s="17" t="s">
        <v>67</v>
      </c>
      <c r="E373" s="17" t="s">
        <v>140</v>
      </c>
      <c r="F373" s="17" t="s">
        <v>42</v>
      </c>
      <c r="G373" s="214"/>
      <c r="H373" s="10"/>
      <c r="I373" s="11"/>
      <c r="J373" s="11"/>
      <c r="K373" s="11"/>
      <c r="L373" s="11"/>
      <c r="M373" s="11"/>
      <c r="N373" s="11"/>
      <c r="O373" s="12"/>
      <c r="P373" s="11"/>
      <c r="Q373" s="13"/>
      <c r="R373" s="14"/>
    </row>
    <row r="374" spans="1:18" ht="15" customHeight="1" x14ac:dyDescent="0.3">
      <c r="A374" s="15" t="s">
        <v>33</v>
      </c>
      <c r="B374" s="15" t="s">
        <v>34</v>
      </c>
      <c r="C374" s="16">
        <v>0.83680555555555547</v>
      </c>
      <c r="D374" s="15" t="s">
        <v>35</v>
      </c>
      <c r="E374" s="15" t="s">
        <v>36</v>
      </c>
      <c r="F374" s="15" t="s">
        <v>98</v>
      </c>
      <c r="G374" s="214"/>
      <c r="H374" s="10"/>
      <c r="I374" s="11"/>
      <c r="J374" s="11"/>
      <c r="K374" s="11"/>
      <c r="L374" s="11"/>
      <c r="M374" s="11"/>
      <c r="N374" s="11"/>
      <c r="O374" s="12"/>
      <c r="P374" s="11"/>
      <c r="Q374" s="13"/>
      <c r="R374" s="14"/>
    </row>
    <row r="375" spans="1:18" ht="15" customHeight="1" x14ac:dyDescent="0.3">
      <c r="A375" s="17" t="s">
        <v>33</v>
      </c>
      <c r="B375" s="17" t="s">
        <v>34</v>
      </c>
      <c r="C375" s="18">
        <v>0.83680555555555547</v>
      </c>
      <c r="D375" s="17" t="s">
        <v>38</v>
      </c>
      <c r="E375" s="17" t="s">
        <v>39</v>
      </c>
      <c r="F375" s="17" t="s">
        <v>99</v>
      </c>
      <c r="G375" s="214"/>
      <c r="H375" s="10"/>
      <c r="I375" s="11"/>
      <c r="J375" s="11"/>
      <c r="K375" s="11"/>
      <c r="L375" s="11"/>
      <c r="M375" s="11"/>
      <c r="N375" s="11"/>
      <c r="O375" s="12"/>
      <c r="P375" s="11"/>
      <c r="Q375" s="13"/>
      <c r="R375" s="14"/>
    </row>
    <row r="376" spans="1:18" ht="15" customHeight="1" x14ac:dyDescent="0.3">
      <c r="A376" s="17" t="s">
        <v>33</v>
      </c>
      <c r="B376" s="17" t="s">
        <v>34</v>
      </c>
      <c r="C376" s="18">
        <v>0.83680555555555547</v>
      </c>
      <c r="D376" s="17" t="s">
        <v>41</v>
      </c>
      <c r="E376" s="17" t="s">
        <v>39</v>
      </c>
      <c r="F376" s="17" t="s">
        <v>73</v>
      </c>
      <c r="G376" s="214"/>
      <c r="H376" s="10"/>
      <c r="I376" s="11"/>
      <c r="J376" s="11"/>
      <c r="K376" s="11"/>
      <c r="L376" s="11"/>
      <c r="M376" s="11"/>
      <c r="N376" s="11"/>
      <c r="O376" s="12"/>
      <c r="P376" s="11"/>
      <c r="Q376" s="13"/>
      <c r="R376" s="14"/>
    </row>
    <row r="377" spans="1:18" ht="15" customHeight="1" x14ac:dyDescent="0.3">
      <c r="A377" s="34" t="s">
        <v>33</v>
      </c>
      <c r="B377" s="34" t="s">
        <v>68</v>
      </c>
      <c r="C377" s="35">
        <v>0.2013888888888889</v>
      </c>
      <c r="D377" s="34" t="s">
        <v>35</v>
      </c>
      <c r="E377" s="34" t="s">
        <v>172</v>
      </c>
      <c r="F377" s="34" t="s">
        <v>98</v>
      </c>
      <c r="G377" s="214"/>
      <c r="H377" s="10"/>
      <c r="I377" s="11"/>
      <c r="J377" s="11"/>
      <c r="K377" s="11"/>
      <c r="L377" s="11"/>
      <c r="M377" s="11"/>
      <c r="N377" s="11"/>
      <c r="O377" s="12"/>
      <c r="P377" s="11"/>
      <c r="Q377" s="13"/>
      <c r="R377" s="14"/>
    </row>
    <row r="378" spans="1:18" ht="15" customHeight="1" x14ac:dyDescent="0.3">
      <c r="A378" s="17" t="s">
        <v>33</v>
      </c>
      <c r="B378" s="17" t="s">
        <v>68</v>
      </c>
      <c r="C378" s="18">
        <v>0.2013888888888889</v>
      </c>
      <c r="D378" s="17" t="s">
        <v>38</v>
      </c>
      <c r="E378" s="17" t="s">
        <v>173</v>
      </c>
      <c r="F378" s="17" t="s">
        <v>99</v>
      </c>
      <c r="G378" s="214"/>
      <c r="H378" s="10"/>
      <c r="I378" s="11"/>
      <c r="J378" s="11"/>
      <c r="K378" s="11"/>
      <c r="L378" s="11"/>
      <c r="M378" s="11"/>
      <c r="N378" s="11"/>
      <c r="O378" s="12"/>
      <c r="P378" s="11"/>
      <c r="Q378" s="13"/>
      <c r="R378" s="14"/>
    </row>
    <row r="379" spans="1:18" ht="15" customHeight="1" x14ac:dyDescent="0.3">
      <c r="A379" s="17" t="s">
        <v>33</v>
      </c>
      <c r="B379" s="17" t="s">
        <v>68</v>
      </c>
      <c r="C379" s="18">
        <v>0.2013888888888889</v>
      </c>
      <c r="D379" s="17" t="s">
        <v>41</v>
      </c>
      <c r="E379" s="17" t="s">
        <v>173</v>
      </c>
      <c r="F379" s="17" t="s">
        <v>73</v>
      </c>
      <c r="G379" s="214"/>
      <c r="H379" s="10"/>
      <c r="I379" s="11"/>
      <c r="J379" s="11"/>
      <c r="K379" s="11"/>
      <c r="L379" s="11"/>
      <c r="M379" s="11"/>
      <c r="N379" s="11"/>
      <c r="O379" s="12"/>
      <c r="P379" s="11"/>
      <c r="Q379" s="13"/>
      <c r="R379" s="14"/>
    </row>
    <row r="380" spans="1:18" ht="15" customHeight="1" x14ac:dyDescent="0.3">
      <c r="A380" s="36" t="s">
        <v>76</v>
      </c>
      <c r="B380" s="36" t="s">
        <v>77</v>
      </c>
      <c r="C380" s="37">
        <v>0.27083333333333331</v>
      </c>
      <c r="D380" s="36" t="s">
        <v>30</v>
      </c>
      <c r="E380" s="36" t="s">
        <v>31</v>
      </c>
      <c r="F380" s="36" t="s">
        <v>144</v>
      </c>
      <c r="G380" s="214"/>
      <c r="H380" s="38" t="s">
        <v>80</v>
      </c>
      <c r="I380" s="39">
        <v>7.1400000000000005E-2</v>
      </c>
      <c r="J380" s="40">
        <v>12</v>
      </c>
      <c r="K380" s="41">
        <v>45980</v>
      </c>
      <c r="L380" s="40">
        <v>2</v>
      </c>
      <c r="M380" s="40">
        <v>0</v>
      </c>
      <c r="N380" s="40">
        <v>0</v>
      </c>
      <c r="O380" s="42" t="s">
        <v>116</v>
      </c>
      <c r="P380" s="43">
        <v>0.27083333333333331</v>
      </c>
      <c r="Q380" s="40">
        <v>168</v>
      </c>
      <c r="R380" s="44" t="s">
        <v>174</v>
      </c>
    </row>
    <row r="381" spans="1:18" ht="15" customHeight="1" x14ac:dyDescent="0.3">
      <c r="A381" s="15" t="s">
        <v>43</v>
      </c>
      <c r="B381" s="15" t="s">
        <v>44</v>
      </c>
      <c r="C381" s="16">
        <v>0.86458333333333337</v>
      </c>
      <c r="D381" s="15" t="s">
        <v>91</v>
      </c>
      <c r="E381" s="15" t="s">
        <v>31</v>
      </c>
      <c r="F381" s="15" t="s">
        <v>108</v>
      </c>
      <c r="G381" s="214"/>
      <c r="H381" s="10"/>
      <c r="I381" s="11"/>
      <c r="J381" s="11"/>
      <c r="K381" s="11"/>
      <c r="L381" s="11"/>
      <c r="M381" s="11"/>
      <c r="N381" s="11"/>
      <c r="O381" s="12"/>
      <c r="P381" s="11"/>
      <c r="Q381" s="13"/>
      <c r="R381" s="14"/>
    </row>
    <row r="382" spans="1:18" ht="15" customHeight="1" x14ac:dyDescent="0.3">
      <c r="A382" s="34" t="s">
        <v>43</v>
      </c>
      <c r="B382" s="34" t="s">
        <v>52</v>
      </c>
      <c r="C382" s="35">
        <v>0.1701388888888889</v>
      </c>
      <c r="D382" s="34" t="s">
        <v>91</v>
      </c>
      <c r="E382" s="34" t="s">
        <v>51</v>
      </c>
      <c r="F382" s="34" t="s">
        <v>108</v>
      </c>
      <c r="G382" s="214"/>
      <c r="H382" s="10"/>
      <c r="I382" s="11"/>
      <c r="J382" s="11"/>
      <c r="K382" s="11"/>
      <c r="L382" s="11"/>
      <c r="M382" s="11"/>
      <c r="N382" s="11"/>
      <c r="O382" s="12"/>
      <c r="P382" s="11"/>
      <c r="Q382" s="13"/>
      <c r="R382" s="14"/>
    </row>
    <row r="383" spans="1:18" ht="15" customHeight="1" x14ac:dyDescent="0.3">
      <c r="A383" s="15" t="s">
        <v>28</v>
      </c>
      <c r="B383" s="15" t="s">
        <v>75</v>
      </c>
      <c r="C383" s="16">
        <v>0.95833333333333337</v>
      </c>
      <c r="D383" s="15" t="s">
        <v>30</v>
      </c>
      <c r="E383" s="15" t="s">
        <v>31</v>
      </c>
      <c r="F383" s="15" t="s">
        <v>48</v>
      </c>
      <c r="G383" s="214"/>
      <c r="H383" s="10"/>
      <c r="I383" s="11"/>
      <c r="J383" s="11"/>
      <c r="K383" s="11"/>
      <c r="L383" s="11"/>
      <c r="M383" s="11"/>
      <c r="N383" s="11"/>
      <c r="O383" s="12"/>
      <c r="P383" s="11"/>
      <c r="Q383" s="13"/>
      <c r="R383" s="14"/>
    </row>
    <row r="384" spans="1:18" ht="15" customHeight="1" thickBot="1" x14ac:dyDescent="0.35">
      <c r="A384" s="19" t="s">
        <v>54</v>
      </c>
      <c r="B384" s="19" t="s">
        <v>55</v>
      </c>
      <c r="C384" s="20">
        <v>0.30555555555555552</v>
      </c>
      <c r="D384" s="19" t="s">
        <v>56</v>
      </c>
      <c r="E384" s="19" t="s">
        <v>57</v>
      </c>
      <c r="F384" s="19" t="s">
        <v>118</v>
      </c>
      <c r="G384" s="215"/>
      <c r="H384" s="21"/>
      <c r="I384" s="22"/>
      <c r="J384" s="22"/>
      <c r="K384" s="22"/>
      <c r="L384" s="22"/>
      <c r="M384" s="22"/>
      <c r="N384" s="22"/>
      <c r="O384" s="23"/>
      <c r="P384" s="22"/>
      <c r="Q384" s="24"/>
      <c r="R384" s="25"/>
    </row>
    <row r="385" spans="1:18" ht="17.399999999999999" customHeight="1" thickBot="1" x14ac:dyDescent="0.35">
      <c r="A385" s="221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3"/>
    </row>
    <row r="386" spans="1:18" ht="22.05" customHeight="1" thickTop="1" thickBot="1" x14ac:dyDescent="0.55000000000000004">
      <c r="A386" s="211" t="s">
        <v>8</v>
      </c>
      <c r="B386" s="212"/>
      <c r="C386" s="212"/>
      <c r="D386" s="212"/>
      <c r="E386" s="212"/>
      <c r="F386" s="212"/>
      <c r="G386" s="26">
        <v>46015</v>
      </c>
      <c r="H386" s="219" t="s">
        <v>9</v>
      </c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</row>
    <row r="387" spans="1:18" ht="24" customHeight="1" x14ac:dyDescent="0.3">
      <c r="A387" s="27" t="s">
        <v>10</v>
      </c>
      <c r="B387" s="27" t="s">
        <v>11</v>
      </c>
      <c r="C387" s="28" t="s">
        <v>12</v>
      </c>
      <c r="D387" s="27" t="s">
        <v>13</v>
      </c>
      <c r="E387" s="27" t="s">
        <v>14</v>
      </c>
      <c r="F387" s="29" t="s">
        <v>15</v>
      </c>
      <c r="G387" s="30" t="s">
        <v>16</v>
      </c>
      <c r="H387" s="27" t="s">
        <v>17</v>
      </c>
      <c r="I387" s="31" t="s">
        <v>18</v>
      </c>
      <c r="J387" s="32" t="s">
        <v>19</v>
      </c>
      <c r="K387" s="33" t="s">
        <v>20</v>
      </c>
      <c r="L387" s="32" t="s">
        <v>21</v>
      </c>
      <c r="M387" s="32" t="s">
        <v>22</v>
      </c>
      <c r="N387" s="32" t="s">
        <v>23</v>
      </c>
      <c r="O387" s="27" t="s">
        <v>24</v>
      </c>
      <c r="P387" s="28" t="s">
        <v>25</v>
      </c>
      <c r="Q387" s="32" t="s">
        <v>26</v>
      </c>
      <c r="R387" s="27" t="s">
        <v>27</v>
      </c>
    </row>
    <row r="388" spans="1:18" ht="15" customHeight="1" x14ac:dyDescent="0.3">
      <c r="A388" s="8" t="s">
        <v>43</v>
      </c>
      <c r="B388" s="8" t="s">
        <v>52</v>
      </c>
      <c r="C388" s="9">
        <v>0.1701388888888889</v>
      </c>
      <c r="D388" s="8" t="s">
        <v>91</v>
      </c>
      <c r="E388" s="8" t="s">
        <v>31</v>
      </c>
      <c r="F388" s="8" t="s">
        <v>108</v>
      </c>
      <c r="G388" s="213"/>
      <c r="H388" s="10"/>
      <c r="I388" s="11"/>
      <c r="J388" s="11"/>
      <c r="K388" s="11"/>
      <c r="L388" s="11"/>
      <c r="M388" s="11"/>
      <c r="N388" s="11"/>
      <c r="O388" s="12"/>
      <c r="P388" s="11"/>
      <c r="Q388" s="13"/>
      <c r="R388" s="14"/>
    </row>
    <row r="389" spans="1:18" ht="15" customHeight="1" x14ac:dyDescent="0.3">
      <c r="A389" s="34" t="s">
        <v>43</v>
      </c>
      <c r="B389" s="34" t="s">
        <v>44</v>
      </c>
      <c r="C389" s="35">
        <v>0.86458333333333337</v>
      </c>
      <c r="D389" s="34" t="s">
        <v>45</v>
      </c>
      <c r="E389" s="34" t="s">
        <v>51</v>
      </c>
      <c r="F389" s="34" t="s">
        <v>155</v>
      </c>
      <c r="G389" s="214"/>
      <c r="H389" s="10"/>
      <c r="I389" s="11"/>
      <c r="J389" s="11"/>
      <c r="K389" s="11"/>
      <c r="L389" s="11"/>
      <c r="M389" s="11"/>
      <c r="N389" s="11"/>
      <c r="O389" s="12"/>
      <c r="P389" s="11"/>
      <c r="Q389" s="13"/>
      <c r="R389" s="14"/>
    </row>
    <row r="390" spans="1:18" ht="15" customHeight="1" x14ac:dyDescent="0.3">
      <c r="A390" s="34" t="s">
        <v>43</v>
      </c>
      <c r="B390" s="34" t="s">
        <v>50</v>
      </c>
      <c r="C390" s="35">
        <v>0.52777777777777779</v>
      </c>
      <c r="D390" s="34" t="s">
        <v>45</v>
      </c>
      <c r="E390" s="34" t="s">
        <v>51</v>
      </c>
      <c r="F390" s="34" t="s">
        <v>155</v>
      </c>
      <c r="G390" s="214"/>
      <c r="H390" s="10"/>
      <c r="I390" s="11"/>
      <c r="J390" s="11"/>
      <c r="K390" s="11"/>
      <c r="L390" s="11"/>
      <c r="M390" s="11"/>
      <c r="N390" s="11"/>
      <c r="O390" s="12"/>
      <c r="P390" s="11"/>
      <c r="Q390" s="13"/>
      <c r="R390" s="14"/>
    </row>
    <row r="391" spans="1:18" ht="15" customHeight="1" x14ac:dyDescent="0.3">
      <c r="A391" s="15" t="s">
        <v>102</v>
      </c>
      <c r="B391" s="15" t="s">
        <v>103</v>
      </c>
      <c r="C391" s="16">
        <v>9.0277777777777776E-2</v>
      </c>
      <c r="D391" s="15" t="s">
        <v>30</v>
      </c>
      <c r="E391" s="15" t="s">
        <v>31</v>
      </c>
      <c r="F391" s="15" t="s">
        <v>175</v>
      </c>
      <c r="G391" s="214"/>
      <c r="H391" s="10"/>
      <c r="I391" s="11"/>
      <c r="J391" s="11"/>
      <c r="K391" s="11"/>
      <c r="L391" s="11"/>
      <c r="M391" s="11"/>
      <c r="N391" s="11"/>
      <c r="O391" s="12"/>
      <c r="P391" s="11"/>
      <c r="Q391" s="13"/>
      <c r="R391" s="14"/>
    </row>
    <row r="392" spans="1:18" ht="15" customHeight="1" x14ac:dyDescent="0.3">
      <c r="A392" s="15" t="s">
        <v>28</v>
      </c>
      <c r="B392" s="15" t="s">
        <v>47</v>
      </c>
      <c r="C392" s="16">
        <v>0.89583333333333337</v>
      </c>
      <c r="D392" s="15" t="s">
        <v>30</v>
      </c>
      <c r="E392" s="15" t="s">
        <v>31</v>
      </c>
      <c r="F392" s="15" t="s">
        <v>32</v>
      </c>
      <c r="G392" s="214"/>
      <c r="H392" s="10"/>
      <c r="I392" s="11"/>
      <c r="J392" s="11"/>
      <c r="K392" s="11"/>
      <c r="L392" s="11"/>
      <c r="M392" s="11"/>
      <c r="N392" s="11"/>
      <c r="O392" s="12"/>
      <c r="P392" s="11"/>
      <c r="Q392" s="13"/>
      <c r="R392" s="14"/>
    </row>
    <row r="393" spans="1:18" ht="15" customHeight="1" thickBot="1" x14ac:dyDescent="0.35">
      <c r="A393" s="19" t="s">
        <v>54</v>
      </c>
      <c r="B393" s="19" t="s">
        <v>55</v>
      </c>
      <c r="C393" s="20">
        <v>0.30555555555555552</v>
      </c>
      <c r="D393" s="19" t="s">
        <v>56</v>
      </c>
      <c r="E393" s="19" t="s">
        <v>57</v>
      </c>
      <c r="F393" s="19" t="s">
        <v>85</v>
      </c>
      <c r="G393" s="215"/>
      <c r="H393" s="21"/>
      <c r="I393" s="22"/>
      <c r="J393" s="22"/>
      <c r="K393" s="22"/>
      <c r="L393" s="22"/>
      <c r="M393" s="22"/>
      <c r="N393" s="22"/>
      <c r="O393" s="23"/>
      <c r="P393" s="22"/>
      <c r="Q393" s="24"/>
      <c r="R393" s="25"/>
    </row>
    <row r="394" spans="1:18" ht="17.399999999999999" customHeight="1" thickBot="1" x14ac:dyDescent="0.35">
      <c r="A394" s="221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3"/>
    </row>
    <row r="395" spans="1:18" ht="22.05" customHeight="1" thickTop="1" thickBot="1" x14ac:dyDescent="0.55000000000000004">
      <c r="A395" s="211" t="s">
        <v>8</v>
      </c>
      <c r="B395" s="212"/>
      <c r="C395" s="212"/>
      <c r="D395" s="212"/>
      <c r="E395" s="212"/>
      <c r="F395" s="212"/>
      <c r="G395" s="26">
        <v>46016</v>
      </c>
      <c r="H395" s="219" t="s">
        <v>9</v>
      </c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</row>
    <row r="396" spans="1:18" ht="24" customHeight="1" x14ac:dyDescent="0.3">
      <c r="A396" s="27" t="s">
        <v>10</v>
      </c>
      <c r="B396" s="27" t="s">
        <v>11</v>
      </c>
      <c r="C396" s="28" t="s">
        <v>12</v>
      </c>
      <c r="D396" s="27" t="s">
        <v>13</v>
      </c>
      <c r="E396" s="27" t="s">
        <v>14</v>
      </c>
      <c r="F396" s="29" t="s">
        <v>15</v>
      </c>
      <c r="G396" s="30" t="s">
        <v>16</v>
      </c>
      <c r="H396" s="27" t="s">
        <v>17</v>
      </c>
      <c r="I396" s="31" t="s">
        <v>18</v>
      </c>
      <c r="J396" s="32" t="s">
        <v>19</v>
      </c>
      <c r="K396" s="33" t="s">
        <v>20</v>
      </c>
      <c r="L396" s="32" t="s">
        <v>21</v>
      </c>
      <c r="M396" s="32" t="s">
        <v>22</v>
      </c>
      <c r="N396" s="32" t="s">
        <v>23</v>
      </c>
      <c r="O396" s="27" t="s">
        <v>24</v>
      </c>
      <c r="P396" s="28" t="s">
        <v>25</v>
      </c>
      <c r="Q396" s="32" t="s">
        <v>26</v>
      </c>
      <c r="R396" s="27" t="s">
        <v>27</v>
      </c>
    </row>
    <row r="397" spans="1:18" ht="15" customHeight="1" x14ac:dyDescent="0.3">
      <c r="A397" s="8" t="s">
        <v>43</v>
      </c>
      <c r="B397" s="8" t="s">
        <v>52</v>
      </c>
      <c r="C397" s="9">
        <v>0.1701388888888889</v>
      </c>
      <c r="D397" s="8" t="s">
        <v>91</v>
      </c>
      <c r="E397" s="8" t="s">
        <v>31</v>
      </c>
      <c r="F397" s="8" t="s">
        <v>108</v>
      </c>
      <c r="G397" s="213"/>
      <c r="H397" s="10"/>
      <c r="I397" s="11"/>
      <c r="J397" s="11"/>
      <c r="K397" s="11"/>
      <c r="L397" s="11"/>
      <c r="M397" s="11"/>
      <c r="N397" s="11"/>
      <c r="O397" s="12"/>
      <c r="P397" s="11"/>
      <c r="Q397" s="13"/>
      <c r="R397" s="14"/>
    </row>
    <row r="398" spans="1:18" ht="15" customHeight="1" x14ac:dyDescent="0.3">
      <c r="A398" s="34" t="s">
        <v>43</v>
      </c>
      <c r="B398" s="34" t="s">
        <v>44</v>
      </c>
      <c r="C398" s="35">
        <v>0.86458333333333337</v>
      </c>
      <c r="D398" s="34" t="s">
        <v>45</v>
      </c>
      <c r="E398" s="34" t="s">
        <v>51</v>
      </c>
      <c r="F398" s="34" t="s">
        <v>155</v>
      </c>
      <c r="G398" s="214"/>
      <c r="H398" s="10"/>
      <c r="I398" s="11"/>
      <c r="J398" s="11"/>
      <c r="K398" s="11"/>
      <c r="L398" s="11"/>
      <c r="M398" s="11"/>
      <c r="N398" s="11"/>
      <c r="O398" s="12"/>
      <c r="P398" s="11"/>
      <c r="Q398" s="13"/>
      <c r="R398" s="14"/>
    </row>
    <row r="399" spans="1:18" ht="15" customHeight="1" x14ac:dyDescent="0.3">
      <c r="A399" s="34" t="s">
        <v>43</v>
      </c>
      <c r="B399" s="34" t="s">
        <v>50</v>
      </c>
      <c r="C399" s="35">
        <v>0.52777777777777779</v>
      </c>
      <c r="D399" s="34" t="s">
        <v>45</v>
      </c>
      <c r="E399" s="34" t="s">
        <v>51</v>
      </c>
      <c r="F399" s="34" t="s">
        <v>176</v>
      </c>
      <c r="G399" s="214"/>
      <c r="H399" s="10"/>
      <c r="I399" s="11"/>
      <c r="J399" s="11"/>
      <c r="K399" s="11"/>
      <c r="L399" s="11"/>
      <c r="M399" s="11"/>
      <c r="N399" s="11"/>
      <c r="O399" s="12"/>
      <c r="P399" s="11"/>
      <c r="Q399" s="13"/>
      <c r="R399" s="14"/>
    </row>
    <row r="400" spans="1:18" ht="15" customHeight="1" x14ac:dyDescent="0.3">
      <c r="A400" s="81" t="s">
        <v>76</v>
      </c>
      <c r="B400" s="81" t="s">
        <v>77</v>
      </c>
      <c r="C400" s="82">
        <v>0.92361111111111116</v>
      </c>
      <c r="D400" s="81" t="s">
        <v>30</v>
      </c>
      <c r="E400" s="81" t="s">
        <v>94</v>
      </c>
      <c r="F400" s="81" t="s">
        <v>110</v>
      </c>
      <c r="G400" s="214"/>
      <c r="H400" s="83" t="s">
        <v>80</v>
      </c>
      <c r="I400" s="84">
        <v>0.22620000000000001</v>
      </c>
      <c r="J400" s="85">
        <v>38</v>
      </c>
      <c r="K400" s="86">
        <v>45983</v>
      </c>
      <c r="L400" s="85">
        <v>13</v>
      </c>
      <c r="M400" s="85">
        <v>0</v>
      </c>
      <c r="N400" s="85">
        <v>2</v>
      </c>
      <c r="O400" s="87" t="s">
        <v>138</v>
      </c>
      <c r="P400" s="88">
        <v>0.92361111111111116</v>
      </c>
      <c r="Q400" s="85">
        <v>168</v>
      </c>
      <c r="R400" s="89" t="s">
        <v>177</v>
      </c>
    </row>
    <row r="401" spans="1:18" ht="15" customHeight="1" x14ac:dyDescent="0.3">
      <c r="A401" s="15" t="s">
        <v>102</v>
      </c>
      <c r="B401" s="15" t="s">
        <v>103</v>
      </c>
      <c r="C401" s="16">
        <v>0.88888888888888884</v>
      </c>
      <c r="D401" s="15" t="s">
        <v>178</v>
      </c>
      <c r="E401" s="15" t="s">
        <v>89</v>
      </c>
      <c r="F401" s="15" t="s">
        <v>175</v>
      </c>
      <c r="G401" s="214"/>
      <c r="H401" s="10"/>
      <c r="I401" s="11"/>
      <c r="J401" s="11"/>
      <c r="K401" s="11"/>
      <c r="L401" s="11"/>
      <c r="M401" s="11"/>
      <c r="N401" s="11"/>
      <c r="O401" s="12"/>
      <c r="P401" s="11"/>
      <c r="Q401" s="13"/>
      <c r="R401" s="14"/>
    </row>
    <row r="402" spans="1:18" ht="15" customHeight="1" x14ac:dyDescent="0.3">
      <c r="A402" s="15" t="s">
        <v>28</v>
      </c>
      <c r="B402" s="15" t="s">
        <v>29</v>
      </c>
      <c r="C402" s="16">
        <v>0.5625</v>
      </c>
      <c r="D402" s="15" t="s">
        <v>30</v>
      </c>
      <c r="E402" s="15" t="s">
        <v>162</v>
      </c>
      <c r="F402" s="15" t="s">
        <v>32</v>
      </c>
      <c r="G402" s="214"/>
      <c r="H402" s="10"/>
      <c r="I402" s="11"/>
      <c r="J402" s="11"/>
      <c r="K402" s="11"/>
      <c r="L402" s="11"/>
      <c r="M402" s="11"/>
      <c r="N402" s="11"/>
      <c r="O402" s="12"/>
      <c r="P402" s="11"/>
      <c r="Q402" s="13"/>
      <c r="R402" s="14"/>
    </row>
    <row r="403" spans="1:18" ht="15" customHeight="1" x14ac:dyDescent="0.3">
      <c r="A403" s="34" t="s">
        <v>28</v>
      </c>
      <c r="B403" s="34" t="s">
        <v>75</v>
      </c>
      <c r="C403" s="35">
        <v>0.95833333333333337</v>
      </c>
      <c r="D403" s="34" t="s">
        <v>30</v>
      </c>
      <c r="E403" s="34" t="s">
        <v>51</v>
      </c>
      <c r="F403" s="34" t="s">
        <v>32</v>
      </c>
      <c r="G403" s="214"/>
      <c r="H403" s="10"/>
      <c r="I403" s="11"/>
      <c r="J403" s="11"/>
      <c r="K403" s="11"/>
      <c r="L403" s="11"/>
      <c r="M403" s="11"/>
      <c r="N403" s="11"/>
      <c r="O403" s="12"/>
      <c r="P403" s="11"/>
      <c r="Q403" s="13"/>
      <c r="R403" s="14"/>
    </row>
    <row r="404" spans="1:18" ht="15" customHeight="1" thickBot="1" x14ac:dyDescent="0.35">
      <c r="A404" s="19" t="s">
        <v>54</v>
      </c>
      <c r="B404" s="19" t="s">
        <v>55</v>
      </c>
      <c r="C404" s="20">
        <v>0.30555555555555552</v>
      </c>
      <c r="D404" s="19" t="s">
        <v>56</v>
      </c>
      <c r="E404" s="19" t="s">
        <v>57</v>
      </c>
      <c r="F404" s="19" t="s">
        <v>58</v>
      </c>
      <c r="G404" s="215"/>
      <c r="H404" s="21"/>
      <c r="I404" s="22"/>
      <c r="J404" s="22"/>
      <c r="K404" s="22"/>
      <c r="L404" s="22"/>
      <c r="M404" s="22"/>
      <c r="N404" s="22"/>
      <c r="O404" s="23"/>
      <c r="P404" s="22"/>
      <c r="Q404" s="24"/>
      <c r="R404" s="25"/>
    </row>
    <row r="405" spans="1:18" ht="17.399999999999999" customHeight="1" thickBot="1" x14ac:dyDescent="0.35">
      <c r="A405" s="221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3"/>
    </row>
    <row r="406" spans="1:18" ht="22.05" customHeight="1" thickTop="1" thickBot="1" x14ac:dyDescent="0.55000000000000004">
      <c r="A406" s="211" t="s">
        <v>8</v>
      </c>
      <c r="B406" s="212"/>
      <c r="C406" s="212"/>
      <c r="D406" s="212"/>
      <c r="E406" s="212"/>
      <c r="F406" s="212"/>
      <c r="G406" s="26">
        <v>46017</v>
      </c>
      <c r="H406" s="219" t="s">
        <v>9</v>
      </c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</row>
    <row r="407" spans="1:18" ht="24" customHeight="1" x14ac:dyDescent="0.3">
      <c r="A407" s="27" t="s">
        <v>10</v>
      </c>
      <c r="B407" s="27" t="s">
        <v>11</v>
      </c>
      <c r="C407" s="28" t="s">
        <v>12</v>
      </c>
      <c r="D407" s="27" t="s">
        <v>13</v>
      </c>
      <c r="E407" s="27" t="s">
        <v>14</v>
      </c>
      <c r="F407" s="29" t="s">
        <v>15</v>
      </c>
      <c r="G407" s="30" t="s">
        <v>16</v>
      </c>
      <c r="H407" s="27" t="s">
        <v>17</v>
      </c>
      <c r="I407" s="31" t="s">
        <v>18</v>
      </c>
      <c r="J407" s="32" t="s">
        <v>19</v>
      </c>
      <c r="K407" s="33" t="s">
        <v>20</v>
      </c>
      <c r="L407" s="32" t="s">
        <v>21</v>
      </c>
      <c r="M407" s="32" t="s">
        <v>22</v>
      </c>
      <c r="N407" s="32" t="s">
        <v>23</v>
      </c>
      <c r="O407" s="27" t="s">
        <v>24</v>
      </c>
      <c r="P407" s="28" t="s">
        <v>25</v>
      </c>
      <c r="Q407" s="32" t="s">
        <v>26</v>
      </c>
      <c r="R407" s="27" t="s">
        <v>27</v>
      </c>
    </row>
    <row r="408" spans="1:18" ht="15" customHeight="1" x14ac:dyDescent="0.3">
      <c r="A408" s="8" t="s">
        <v>33</v>
      </c>
      <c r="B408" s="8" t="s">
        <v>34</v>
      </c>
      <c r="C408" s="9">
        <v>0.83680555555555547</v>
      </c>
      <c r="D408" s="8" t="s">
        <v>35</v>
      </c>
      <c r="E408" s="8" t="s">
        <v>36</v>
      </c>
      <c r="F408" s="8" t="s">
        <v>90</v>
      </c>
      <c r="G408" s="213"/>
      <c r="H408" s="10"/>
      <c r="I408" s="11"/>
      <c r="J408" s="11"/>
      <c r="K408" s="11"/>
      <c r="L408" s="11"/>
      <c r="M408" s="11"/>
      <c r="N408" s="11"/>
      <c r="O408" s="12"/>
      <c r="P408" s="11"/>
      <c r="Q408" s="13"/>
      <c r="R408" s="14"/>
    </row>
    <row r="409" spans="1:18" ht="15" customHeight="1" x14ac:dyDescent="0.3">
      <c r="A409" s="17" t="s">
        <v>33</v>
      </c>
      <c r="B409" s="17" t="s">
        <v>34</v>
      </c>
      <c r="C409" s="18">
        <v>0.83680555555555547</v>
      </c>
      <c r="D409" s="17" t="s">
        <v>38</v>
      </c>
      <c r="E409" s="17" t="s">
        <v>39</v>
      </c>
      <c r="F409" s="17" t="s">
        <v>100</v>
      </c>
      <c r="G409" s="214"/>
      <c r="H409" s="10"/>
      <c r="I409" s="11"/>
      <c r="J409" s="11"/>
      <c r="K409" s="11"/>
      <c r="L409" s="11"/>
      <c r="M409" s="11"/>
      <c r="N409" s="11"/>
      <c r="O409" s="12"/>
      <c r="P409" s="11"/>
      <c r="Q409" s="13"/>
      <c r="R409" s="14"/>
    </row>
    <row r="410" spans="1:18" ht="15" customHeight="1" x14ac:dyDescent="0.3">
      <c r="A410" s="17" t="s">
        <v>33</v>
      </c>
      <c r="B410" s="17" t="s">
        <v>34</v>
      </c>
      <c r="C410" s="18">
        <v>0.83680555555555547</v>
      </c>
      <c r="D410" s="17" t="s">
        <v>41</v>
      </c>
      <c r="E410" s="17" t="s">
        <v>39</v>
      </c>
      <c r="F410" s="17" t="s">
        <v>101</v>
      </c>
      <c r="G410" s="214"/>
      <c r="H410" s="10"/>
      <c r="I410" s="11"/>
      <c r="J410" s="11"/>
      <c r="K410" s="11"/>
      <c r="L410" s="11"/>
      <c r="M410" s="11"/>
      <c r="N410" s="11"/>
      <c r="O410" s="12"/>
      <c r="P410" s="11"/>
      <c r="Q410" s="13"/>
      <c r="R410" s="14"/>
    </row>
    <row r="411" spans="1:18" ht="15" customHeight="1" x14ac:dyDescent="0.3">
      <c r="A411" s="15" t="s">
        <v>43</v>
      </c>
      <c r="B411" s="15" t="s">
        <v>44</v>
      </c>
      <c r="C411" s="16">
        <v>0.86458333333333337</v>
      </c>
      <c r="D411" s="15" t="s">
        <v>91</v>
      </c>
      <c r="E411" s="15" t="s">
        <v>31</v>
      </c>
      <c r="F411" s="15" t="s">
        <v>108</v>
      </c>
      <c r="G411" s="214"/>
      <c r="H411" s="10"/>
      <c r="I411" s="11"/>
      <c r="J411" s="11"/>
      <c r="K411" s="11"/>
      <c r="L411" s="11"/>
      <c r="M411" s="11"/>
      <c r="N411" s="11"/>
      <c r="O411" s="12"/>
      <c r="P411" s="11"/>
      <c r="Q411" s="13"/>
      <c r="R411" s="14"/>
    </row>
    <row r="412" spans="1:18" ht="15" customHeight="1" x14ac:dyDescent="0.3">
      <c r="A412" s="34" t="s">
        <v>43</v>
      </c>
      <c r="B412" s="34" t="s">
        <v>52</v>
      </c>
      <c r="C412" s="35">
        <v>0.1701388888888889</v>
      </c>
      <c r="D412" s="34" t="s">
        <v>91</v>
      </c>
      <c r="E412" s="34" t="s">
        <v>51</v>
      </c>
      <c r="F412" s="34" t="s">
        <v>108</v>
      </c>
      <c r="G412" s="214"/>
      <c r="H412" s="10"/>
      <c r="I412" s="11"/>
      <c r="J412" s="11"/>
      <c r="K412" s="11"/>
      <c r="L412" s="11"/>
      <c r="M412" s="11"/>
      <c r="N412" s="11"/>
      <c r="O412" s="12"/>
      <c r="P412" s="11"/>
      <c r="Q412" s="13"/>
      <c r="R412" s="14"/>
    </row>
    <row r="413" spans="1:18" ht="15" customHeight="1" x14ac:dyDescent="0.3">
      <c r="A413" s="34" t="s">
        <v>43</v>
      </c>
      <c r="B413" s="34" t="s">
        <v>50</v>
      </c>
      <c r="C413" s="35">
        <v>0.52777777777777779</v>
      </c>
      <c r="D413" s="34" t="s">
        <v>45</v>
      </c>
      <c r="E413" s="34" t="s">
        <v>51</v>
      </c>
      <c r="F413" s="34" t="s">
        <v>179</v>
      </c>
      <c r="G413" s="214"/>
      <c r="H413" s="10"/>
      <c r="I413" s="11"/>
      <c r="J413" s="11"/>
      <c r="K413" s="11"/>
      <c r="L413" s="11"/>
      <c r="M413" s="11"/>
      <c r="N413" s="11"/>
      <c r="O413" s="12"/>
      <c r="P413" s="11"/>
      <c r="Q413" s="13"/>
      <c r="R413" s="14"/>
    </row>
    <row r="414" spans="1:18" ht="15" customHeight="1" x14ac:dyDescent="0.3">
      <c r="A414" s="15" t="s">
        <v>28</v>
      </c>
      <c r="B414" s="15" t="s">
        <v>47</v>
      </c>
      <c r="C414" s="16">
        <v>0.95833333333333337</v>
      </c>
      <c r="D414" s="15" t="s">
        <v>178</v>
      </c>
      <c r="E414" s="15" t="s">
        <v>31</v>
      </c>
      <c r="F414" s="15" t="s">
        <v>48</v>
      </c>
      <c r="G414" s="214"/>
      <c r="H414" s="10"/>
      <c r="I414" s="11"/>
      <c r="J414" s="11"/>
      <c r="K414" s="11"/>
      <c r="L414" s="11"/>
      <c r="M414" s="11"/>
      <c r="N414" s="11"/>
      <c r="O414" s="12"/>
      <c r="P414" s="11"/>
      <c r="Q414" s="13"/>
      <c r="R414" s="14"/>
    </row>
    <row r="415" spans="1:18" ht="15" customHeight="1" x14ac:dyDescent="0.3">
      <c r="A415" s="54" t="s">
        <v>76</v>
      </c>
      <c r="B415" s="54" t="s">
        <v>77</v>
      </c>
      <c r="C415" s="55">
        <v>0.57986111111111105</v>
      </c>
      <c r="D415" s="54" t="s">
        <v>30</v>
      </c>
      <c r="E415" s="54" t="s">
        <v>31</v>
      </c>
      <c r="F415" s="54" t="s">
        <v>110</v>
      </c>
      <c r="G415" s="214"/>
      <c r="H415" s="56" t="s">
        <v>80</v>
      </c>
      <c r="I415" s="57">
        <v>0.1905</v>
      </c>
      <c r="J415" s="58">
        <v>32</v>
      </c>
      <c r="K415" s="59">
        <v>45981</v>
      </c>
      <c r="L415" s="58">
        <v>2</v>
      </c>
      <c r="M415" s="58">
        <v>0</v>
      </c>
      <c r="N415" s="58">
        <v>0</v>
      </c>
      <c r="O415" s="60" t="s">
        <v>116</v>
      </c>
      <c r="P415" s="61">
        <v>0.57986111111111105</v>
      </c>
      <c r="Q415" s="58">
        <v>168</v>
      </c>
      <c r="R415" s="62" t="s">
        <v>180</v>
      </c>
    </row>
    <row r="416" spans="1:18" ht="15" customHeight="1" x14ac:dyDescent="0.3">
      <c r="A416" s="15" t="s">
        <v>102</v>
      </c>
      <c r="B416" s="15" t="s">
        <v>113</v>
      </c>
      <c r="C416" s="16">
        <v>0.22222222222222221</v>
      </c>
      <c r="D416" s="15" t="s">
        <v>178</v>
      </c>
      <c r="E416" s="15" t="s">
        <v>129</v>
      </c>
      <c r="F416" s="15" t="s">
        <v>175</v>
      </c>
      <c r="G416" s="214"/>
      <c r="H416" s="10"/>
      <c r="I416" s="11"/>
      <c r="J416" s="11"/>
      <c r="K416" s="11"/>
      <c r="L416" s="11"/>
      <c r="M416" s="11"/>
      <c r="N416" s="11"/>
      <c r="O416" s="12"/>
      <c r="P416" s="11"/>
      <c r="Q416" s="13"/>
      <c r="R416" s="14"/>
    </row>
    <row r="417" spans="1:18" ht="15" customHeight="1" thickBot="1" x14ac:dyDescent="0.35">
      <c r="A417" s="19" t="s">
        <v>54</v>
      </c>
      <c r="B417" s="19" t="s">
        <v>55</v>
      </c>
      <c r="C417" s="20">
        <v>0.30555555555555552</v>
      </c>
      <c r="D417" s="19" t="s">
        <v>56</v>
      </c>
      <c r="E417" s="19" t="s">
        <v>57</v>
      </c>
      <c r="F417" s="19" t="s">
        <v>118</v>
      </c>
      <c r="G417" s="215"/>
      <c r="H417" s="21"/>
      <c r="I417" s="22"/>
      <c r="J417" s="22"/>
      <c r="K417" s="22"/>
      <c r="L417" s="22"/>
      <c r="M417" s="22"/>
      <c r="N417" s="22"/>
      <c r="O417" s="23"/>
      <c r="P417" s="22"/>
      <c r="Q417" s="24"/>
      <c r="R417" s="25"/>
    </row>
    <row r="418" spans="1:18" ht="17.399999999999999" customHeight="1" thickBot="1" x14ac:dyDescent="0.35">
      <c r="A418" s="221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3"/>
    </row>
    <row r="419" spans="1:18" ht="22.05" customHeight="1" thickTop="1" thickBot="1" x14ac:dyDescent="0.55000000000000004">
      <c r="A419" s="211" t="s">
        <v>8</v>
      </c>
      <c r="B419" s="212"/>
      <c r="C419" s="212"/>
      <c r="D419" s="212"/>
      <c r="E419" s="212"/>
      <c r="F419" s="212"/>
      <c r="G419" s="26">
        <v>46018</v>
      </c>
      <c r="H419" s="219" t="s">
        <v>9</v>
      </c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</row>
    <row r="420" spans="1:18" ht="24" customHeight="1" x14ac:dyDescent="0.3">
      <c r="A420" s="27" t="s">
        <v>10</v>
      </c>
      <c r="B420" s="27" t="s">
        <v>11</v>
      </c>
      <c r="C420" s="28" t="s">
        <v>12</v>
      </c>
      <c r="D420" s="27" t="s">
        <v>13</v>
      </c>
      <c r="E420" s="27" t="s">
        <v>14</v>
      </c>
      <c r="F420" s="29" t="s">
        <v>15</v>
      </c>
      <c r="G420" s="30" t="s">
        <v>16</v>
      </c>
      <c r="H420" s="27" t="s">
        <v>17</v>
      </c>
      <c r="I420" s="31" t="s">
        <v>18</v>
      </c>
      <c r="J420" s="32" t="s">
        <v>19</v>
      </c>
      <c r="K420" s="33" t="s">
        <v>20</v>
      </c>
      <c r="L420" s="32" t="s">
        <v>21</v>
      </c>
      <c r="M420" s="32" t="s">
        <v>22</v>
      </c>
      <c r="N420" s="32" t="s">
        <v>23</v>
      </c>
      <c r="O420" s="27" t="s">
        <v>24</v>
      </c>
      <c r="P420" s="28" t="s">
        <v>25</v>
      </c>
      <c r="Q420" s="32" t="s">
        <v>26</v>
      </c>
      <c r="R420" s="27" t="s">
        <v>27</v>
      </c>
    </row>
    <row r="421" spans="1:18" ht="15" customHeight="1" x14ac:dyDescent="0.3">
      <c r="A421" s="8" t="s">
        <v>59</v>
      </c>
      <c r="B421" s="8" t="s">
        <v>60</v>
      </c>
      <c r="C421" s="9">
        <v>0.30555555555555552</v>
      </c>
      <c r="D421" s="8" t="s">
        <v>61</v>
      </c>
      <c r="E421" s="8" t="s">
        <v>165</v>
      </c>
      <c r="F421" s="8" t="s">
        <v>95</v>
      </c>
      <c r="G421" s="233"/>
      <c r="H421" s="10"/>
      <c r="I421" s="11"/>
      <c r="J421" s="11"/>
      <c r="K421" s="11"/>
      <c r="L421" s="11"/>
      <c r="M421" s="11"/>
      <c r="N421" s="11"/>
      <c r="O421" s="12"/>
      <c r="P421" s="11"/>
      <c r="Q421" s="13"/>
      <c r="R421" s="14"/>
    </row>
    <row r="422" spans="1:18" ht="15" customHeight="1" x14ac:dyDescent="0.3">
      <c r="A422" s="17" t="s">
        <v>59</v>
      </c>
      <c r="B422" s="17" t="s">
        <v>60</v>
      </c>
      <c r="C422" s="18">
        <v>0.30555555555555552</v>
      </c>
      <c r="D422" s="17" t="s">
        <v>64</v>
      </c>
      <c r="E422" s="17" t="s">
        <v>166</v>
      </c>
      <c r="F422" s="17" t="s">
        <v>97</v>
      </c>
      <c r="G422" s="214"/>
      <c r="H422" s="10"/>
      <c r="I422" s="11"/>
      <c r="J422" s="11"/>
      <c r="K422" s="11"/>
      <c r="L422" s="11"/>
      <c r="M422" s="11"/>
      <c r="N422" s="11"/>
      <c r="O422" s="12"/>
      <c r="P422" s="11"/>
      <c r="Q422" s="13"/>
      <c r="R422" s="14"/>
    </row>
    <row r="423" spans="1:18" ht="15" customHeight="1" x14ac:dyDescent="0.3">
      <c r="A423" s="17" t="s">
        <v>59</v>
      </c>
      <c r="B423" s="17" t="s">
        <v>60</v>
      </c>
      <c r="C423" s="18">
        <v>0.30555555555555552</v>
      </c>
      <c r="D423" s="17" t="s">
        <v>67</v>
      </c>
      <c r="E423" s="17" t="s">
        <v>166</v>
      </c>
      <c r="F423" s="17" t="s">
        <v>42</v>
      </c>
      <c r="G423" s="214"/>
      <c r="H423" s="10"/>
      <c r="I423" s="11"/>
      <c r="J423" s="11"/>
      <c r="K423" s="11"/>
      <c r="L423" s="11"/>
      <c r="M423" s="11"/>
      <c r="N423" s="11"/>
      <c r="O423" s="12"/>
      <c r="P423" s="11"/>
      <c r="Q423" s="13"/>
      <c r="R423" s="14"/>
    </row>
    <row r="424" spans="1:18" ht="15" customHeight="1" x14ac:dyDescent="0.3">
      <c r="A424" s="15" t="s">
        <v>33</v>
      </c>
      <c r="B424" s="15" t="s">
        <v>34</v>
      </c>
      <c r="C424" s="16">
        <v>0.83680555555555547</v>
      </c>
      <c r="D424" s="15" t="s">
        <v>35</v>
      </c>
      <c r="E424" s="15" t="s">
        <v>57</v>
      </c>
      <c r="F424" s="15" t="s">
        <v>98</v>
      </c>
      <c r="G424" s="214"/>
      <c r="H424" s="10"/>
      <c r="I424" s="11"/>
      <c r="J424" s="11"/>
      <c r="K424" s="11"/>
      <c r="L424" s="11"/>
      <c r="M424" s="11"/>
      <c r="N424" s="11"/>
      <c r="O424" s="12"/>
      <c r="P424" s="11"/>
      <c r="Q424" s="13"/>
      <c r="R424" s="14"/>
    </row>
    <row r="425" spans="1:18" ht="15" customHeight="1" x14ac:dyDescent="0.3">
      <c r="A425" s="17" t="s">
        <v>33</v>
      </c>
      <c r="B425" s="17" t="s">
        <v>34</v>
      </c>
      <c r="C425" s="18">
        <v>0.83680555555555547</v>
      </c>
      <c r="D425" s="17" t="s">
        <v>38</v>
      </c>
      <c r="E425" s="17" t="s">
        <v>119</v>
      </c>
      <c r="F425" s="17" t="s">
        <v>99</v>
      </c>
      <c r="G425" s="214"/>
      <c r="H425" s="10"/>
      <c r="I425" s="11"/>
      <c r="J425" s="11"/>
      <c r="K425" s="11"/>
      <c r="L425" s="11"/>
      <c r="M425" s="11"/>
      <c r="N425" s="11"/>
      <c r="O425" s="12"/>
      <c r="P425" s="11"/>
      <c r="Q425" s="13"/>
      <c r="R425" s="14"/>
    </row>
    <row r="426" spans="1:18" ht="15" customHeight="1" x14ac:dyDescent="0.3">
      <c r="A426" s="17" t="s">
        <v>33</v>
      </c>
      <c r="B426" s="17" t="s">
        <v>34</v>
      </c>
      <c r="C426" s="18">
        <v>0.83680555555555547</v>
      </c>
      <c r="D426" s="17" t="s">
        <v>41</v>
      </c>
      <c r="E426" s="17" t="s">
        <v>119</v>
      </c>
      <c r="F426" s="17" t="s">
        <v>73</v>
      </c>
      <c r="G426" s="214"/>
      <c r="H426" s="10"/>
      <c r="I426" s="11"/>
      <c r="J426" s="11"/>
      <c r="K426" s="11"/>
      <c r="L426" s="11"/>
      <c r="M426" s="11"/>
      <c r="N426" s="11"/>
      <c r="O426" s="12"/>
      <c r="P426" s="11"/>
      <c r="Q426" s="13"/>
      <c r="R426" s="14"/>
    </row>
    <row r="427" spans="1:18" ht="15" customHeight="1" x14ac:dyDescent="0.3">
      <c r="A427" s="34" t="s">
        <v>33</v>
      </c>
      <c r="B427" s="34" t="s">
        <v>68</v>
      </c>
      <c r="C427" s="35">
        <v>0.2013888888888889</v>
      </c>
      <c r="D427" s="34" t="s">
        <v>35</v>
      </c>
      <c r="E427" s="34" t="s">
        <v>146</v>
      </c>
      <c r="F427" s="34" t="s">
        <v>98</v>
      </c>
      <c r="G427" s="214"/>
      <c r="H427" s="10"/>
      <c r="I427" s="11"/>
      <c r="J427" s="11"/>
      <c r="K427" s="11"/>
      <c r="L427" s="11"/>
      <c r="M427" s="11"/>
      <c r="N427" s="11"/>
      <c r="O427" s="12"/>
      <c r="P427" s="11"/>
      <c r="Q427" s="13"/>
      <c r="R427" s="14"/>
    </row>
    <row r="428" spans="1:18" ht="15" customHeight="1" x14ac:dyDescent="0.3">
      <c r="A428" s="17" t="s">
        <v>33</v>
      </c>
      <c r="B428" s="17" t="s">
        <v>68</v>
      </c>
      <c r="C428" s="18">
        <v>0.2013888888888889</v>
      </c>
      <c r="D428" s="17" t="s">
        <v>38</v>
      </c>
      <c r="E428" s="17" t="s">
        <v>140</v>
      </c>
      <c r="F428" s="17" t="s">
        <v>99</v>
      </c>
      <c r="G428" s="214"/>
      <c r="H428" s="10"/>
      <c r="I428" s="11"/>
      <c r="J428" s="11"/>
      <c r="K428" s="11"/>
      <c r="L428" s="11"/>
      <c r="M428" s="11"/>
      <c r="N428" s="11"/>
      <c r="O428" s="12"/>
      <c r="P428" s="11"/>
      <c r="Q428" s="13"/>
      <c r="R428" s="14"/>
    </row>
    <row r="429" spans="1:18" ht="15" customHeight="1" x14ac:dyDescent="0.3">
      <c r="A429" s="17" t="s">
        <v>33</v>
      </c>
      <c r="B429" s="17" t="s">
        <v>68</v>
      </c>
      <c r="C429" s="18">
        <v>0.2013888888888889</v>
      </c>
      <c r="D429" s="17" t="s">
        <v>41</v>
      </c>
      <c r="E429" s="17" t="s">
        <v>140</v>
      </c>
      <c r="F429" s="17" t="s">
        <v>73</v>
      </c>
      <c r="G429" s="214"/>
      <c r="H429" s="10"/>
      <c r="I429" s="11"/>
      <c r="J429" s="11"/>
      <c r="K429" s="11"/>
      <c r="L429" s="11"/>
      <c r="M429" s="11"/>
      <c r="N429" s="11"/>
      <c r="O429" s="12"/>
      <c r="P429" s="11"/>
      <c r="Q429" s="13"/>
      <c r="R429" s="14"/>
    </row>
    <row r="430" spans="1:18" ht="15" customHeight="1" x14ac:dyDescent="0.3">
      <c r="A430" s="15" t="s">
        <v>120</v>
      </c>
      <c r="B430" s="15" t="s">
        <v>121</v>
      </c>
      <c r="C430" s="16">
        <v>0.97222222222222221</v>
      </c>
      <c r="D430" s="15" t="s">
        <v>122</v>
      </c>
      <c r="E430" s="15" t="s">
        <v>36</v>
      </c>
      <c r="F430" s="15" t="s">
        <v>141</v>
      </c>
      <c r="G430" s="214"/>
      <c r="H430" s="10"/>
      <c r="I430" s="11"/>
      <c r="J430" s="11"/>
      <c r="K430" s="11"/>
      <c r="L430" s="11"/>
      <c r="M430" s="11"/>
      <c r="N430" s="11"/>
      <c r="O430" s="12"/>
      <c r="P430" s="11"/>
      <c r="Q430" s="13"/>
      <c r="R430" s="14"/>
    </row>
    <row r="431" spans="1:18" ht="15" customHeight="1" x14ac:dyDescent="0.3">
      <c r="A431" s="17" t="s">
        <v>120</v>
      </c>
      <c r="B431" s="17" t="s">
        <v>121</v>
      </c>
      <c r="C431" s="18">
        <v>0.97222222222222221</v>
      </c>
      <c r="D431" s="17" t="s">
        <v>67</v>
      </c>
      <c r="E431" s="17" t="s">
        <v>39</v>
      </c>
      <c r="F431" s="17" t="s">
        <v>181</v>
      </c>
      <c r="G431" s="214"/>
      <c r="H431" s="10"/>
      <c r="I431" s="11"/>
      <c r="J431" s="11"/>
      <c r="K431" s="11"/>
      <c r="L431" s="11"/>
      <c r="M431" s="11"/>
      <c r="N431" s="11"/>
      <c r="O431" s="12"/>
      <c r="P431" s="11"/>
      <c r="Q431" s="13"/>
      <c r="R431" s="14"/>
    </row>
    <row r="432" spans="1:18" ht="15" customHeight="1" x14ac:dyDescent="0.3">
      <c r="A432" s="15" t="s">
        <v>43</v>
      </c>
      <c r="B432" s="15" t="s">
        <v>44</v>
      </c>
      <c r="C432" s="16">
        <v>0.86458333333333337</v>
      </c>
      <c r="D432" s="15" t="s">
        <v>91</v>
      </c>
      <c r="E432" s="15" t="s">
        <v>31</v>
      </c>
      <c r="F432" s="15" t="s">
        <v>108</v>
      </c>
      <c r="G432" s="214"/>
      <c r="H432" s="10"/>
      <c r="I432" s="11"/>
      <c r="J432" s="11"/>
      <c r="K432" s="11"/>
      <c r="L432" s="11"/>
      <c r="M432" s="11"/>
      <c r="N432" s="11"/>
      <c r="O432" s="12"/>
      <c r="P432" s="11"/>
      <c r="Q432" s="13"/>
      <c r="R432" s="14"/>
    </row>
    <row r="433" spans="1:18" ht="15" customHeight="1" x14ac:dyDescent="0.3">
      <c r="A433" s="34" t="s">
        <v>43</v>
      </c>
      <c r="B433" s="34" t="s">
        <v>50</v>
      </c>
      <c r="C433" s="35">
        <v>0.52777777777777779</v>
      </c>
      <c r="D433" s="34" t="s">
        <v>91</v>
      </c>
      <c r="E433" s="34" t="s">
        <v>51</v>
      </c>
      <c r="F433" s="34" t="s">
        <v>108</v>
      </c>
      <c r="G433" s="214"/>
      <c r="H433" s="10"/>
      <c r="I433" s="11"/>
      <c r="J433" s="11"/>
      <c r="K433" s="11"/>
      <c r="L433" s="11"/>
      <c r="M433" s="11"/>
      <c r="N433" s="11"/>
      <c r="O433" s="12"/>
      <c r="P433" s="11"/>
      <c r="Q433" s="13"/>
      <c r="R433" s="14"/>
    </row>
    <row r="434" spans="1:18" ht="15" customHeight="1" x14ac:dyDescent="0.3">
      <c r="A434" s="34" t="s">
        <v>43</v>
      </c>
      <c r="B434" s="34" t="s">
        <v>52</v>
      </c>
      <c r="C434" s="35">
        <v>0.1701388888888889</v>
      </c>
      <c r="D434" s="34" t="s">
        <v>91</v>
      </c>
      <c r="E434" s="34" t="s">
        <v>51</v>
      </c>
      <c r="F434" s="34" t="s">
        <v>108</v>
      </c>
      <c r="G434" s="214"/>
      <c r="H434" s="10"/>
      <c r="I434" s="11"/>
      <c r="J434" s="11"/>
      <c r="K434" s="11"/>
      <c r="L434" s="11"/>
      <c r="M434" s="11"/>
      <c r="N434" s="11"/>
      <c r="O434" s="12"/>
      <c r="P434" s="11"/>
      <c r="Q434" s="13"/>
      <c r="R434" s="14"/>
    </row>
    <row r="435" spans="1:18" ht="15" customHeight="1" x14ac:dyDescent="0.3">
      <c r="A435" s="15" t="s">
        <v>28</v>
      </c>
      <c r="B435" s="15" t="s">
        <v>75</v>
      </c>
      <c r="C435" s="16">
        <v>0.89583333333333337</v>
      </c>
      <c r="D435" s="15" t="s">
        <v>178</v>
      </c>
      <c r="E435" s="15" t="s">
        <v>31</v>
      </c>
      <c r="F435" s="15" t="s">
        <v>48</v>
      </c>
      <c r="G435" s="214"/>
      <c r="H435" s="10"/>
      <c r="I435" s="11"/>
      <c r="J435" s="11"/>
      <c r="K435" s="11"/>
      <c r="L435" s="11"/>
      <c r="M435" s="11"/>
      <c r="N435" s="11"/>
      <c r="O435" s="12"/>
      <c r="P435" s="11"/>
      <c r="Q435" s="13"/>
      <c r="R435" s="14"/>
    </row>
    <row r="436" spans="1:18" ht="15" customHeight="1" x14ac:dyDescent="0.3">
      <c r="A436" s="81" t="s">
        <v>76</v>
      </c>
      <c r="B436" s="81" t="s">
        <v>77</v>
      </c>
      <c r="C436" s="82">
        <v>0.92361111111111116</v>
      </c>
      <c r="D436" s="81" t="s">
        <v>30</v>
      </c>
      <c r="E436" s="81" t="s">
        <v>31</v>
      </c>
      <c r="F436" s="81" t="s">
        <v>110</v>
      </c>
      <c r="G436" s="214"/>
      <c r="H436" s="83" t="s">
        <v>80</v>
      </c>
      <c r="I436" s="84">
        <v>7.7399999999999997E-2</v>
      </c>
      <c r="J436" s="85">
        <v>13</v>
      </c>
      <c r="K436" s="86">
        <v>45979</v>
      </c>
      <c r="L436" s="85">
        <v>1</v>
      </c>
      <c r="M436" s="85">
        <v>0</v>
      </c>
      <c r="N436" s="85">
        <v>0</v>
      </c>
      <c r="O436" s="87" t="s">
        <v>116</v>
      </c>
      <c r="P436" s="88">
        <v>0.92361111111111116</v>
      </c>
      <c r="Q436" s="85">
        <v>168</v>
      </c>
      <c r="R436" s="89" t="s">
        <v>182</v>
      </c>
    </row>
    <row r="437" spans="1:18" ht="15" customHeight="1" thickBot="1" x14ac:dyDescent="0.35">
      <c r="A437" s="19" t="s">
        <v>54</v>
      </c>
      <c r="B437" s="19" t="s">
        <v>55</v>
      </c>
      <c r="C437" s="20">
        <v>0.30555555555555552</v>
      </c>
      <c r="D437" s="19" t="s">
        <v>56</v>
      </c>
      <c r="E437" s="19" t="s">
        <v>57</v>
      </c>
      <c r="F437" s="19" t="s">
        <v>118</v>
      </c>
      <c r="G437" s="215"/>
      <c r="H437" s="21"/>
      <c r="I437" s="22"/>
      <c r="J437" s="22"/>
      <c r="K437" s="22"/>
      <c r="L437" s="22"/>
      <c r="M437" s="22"/>
      <c r="N437" s="22"/>
      <c r="O437" s="23"/>
      <c r="P437" s="22"/>
      <c r="Q437" s="24"/>
      <c r="R437" s="25"/>
    </row>
    <row r="438" spans="1:18" ht="17.399999999999999" customHeight="1" thickBot="1" x14ac:dyDescent="0.35">
      <c r="A438" s="221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3"/>
    </row>
    <row r="439" spans="1:18" ht="22.05" customHeight="1" thickTop="1" thickBot="1" x14ac:dyDescent="0.55000000000000004">
      <c r="A439" s="211" t="s">
        <v>8</v>
      </c>
      <c r="B439" s="212"/>
      <c r="C439" s="212"/>
      <c r="D439" s="212"/>
      <c r="E439" s="212"/>
      <c r="F439" s="212"/>
      <c r="G439" s="26">
        <v>46019</v>
      </c>
      <c r="H439" s="219" t="s">
        <v>9</v>
      </c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</row>
    <row r="440" spans="1:18" ht="24" customHeight="1" x14ac:dyDescent="0.3">
      <c r="A440" s="27" t="s">
        <v>10</v>
      </c>
      <c r="B440" s="27" t="s">
        <v>11</v>
      </c>
      <c r="C440" s="28" t="s">
        <v>12</v>
      </c>
      <c r="D440" s="27" t="s">
        <v>13</v>
      </c>
      <c r="E440" s="27" t="s">
        <v>14</v>
      </c>
      <c r="F440" s="29" t="s">
        <v>15</v>
      </c>
      <c r="G440" s="30" t="s">
        <v>16</v>
      </c>
      <c r="H440" s="27" t="s">
        <v>17</v>
      </c>
      <c r="I440" s="31" t="s">
        <v>18</v>
      </c>
      <c r="J440" s="32" t="s">
        <v>19</v>
      </c>
      <c r="K440" s="33" t="s">
        <v>20</v>
      </c>
      <c r="L440" s="32" t="s">
        <v>21</v>
      </c>
      <c r="M440" s="32" t="s">
        <v>22</v>
      </c>
      <c r="N440" s="32" t="s">
        <v>23</v>
      </c>
      <c r="O440" s="27" t="s">
        <v>24</v>
      </c>
      <c r="P440" s="28" t="s">
        <v>25</v>
      </c>
      <c r="Q440" s="32" t="s">
        <v>26</v>
      </c>
      <c r="R440" s="27" t="s">
        <v>27</v>
      </c>
    </row>
    <row r="441" spans="1:18" ht="49.95" customHeight="1" x14ac:dyDescent="0.3">
      <c r="A441" s="8" t="s">
        <v>43</v>
      </c>
      <c r="B441" s="8" t="s">
        <v>44</v>
      </c>
      <c r="C441" s="9">
        <v>0.86458333333333337</v>
      </c>
      <c r="D441" s="8" t="s">
        <v>91</v>
      </c>
      <c r="E441" s="8" t="s">
        <v>31</v>
      </c>
      <c r="F441" s="8" t="s">
        <v>108</v>
      </c>
      <c r="G441" s="213"/>
      <c r="H441" s="10"/>
      <c r="I441" s="11"/>
      <c r="J441" s="11"/>
      <c r="K441" s="11"/>
      <c r="L441" s="11"/>
      <c r="M441" s="11"/>
      <c r="N441" s="11"/>
      <c r="O441" s="12"/>
      <c r="P441" s="11"/>
      <c r="Q441" s="13"/>
      <c r="R441" s="14"/>
    </row>
    <row r="442" spans="1:18" ht="49.95" customHeight="1" x14ac:dyDescent="0.3">
      <c r="A442" s="34" t="s">
        <v>43</v>
      </c>
      <c r="B442" s="34" t="s">
        <v>50</v>
      </c>
      <c r="C442" s="35">
        <v>0.52777777777777779</v>
      </c>
      <c r="D442" s="34" t="s">
        <v>91</v>
      </c>
      <c r="E442" s="34" t="s">
        <v>51</v>
      </c>
      <c r="F442" s="34" t="s">
        <v>108</v>
      </c>
      <c r="G442" s="214"/>
      <c r="H442" s="10"/>
      <c r="I442" s="11"/>
      <c r="J442" s="11"/>
      <c r="K442" s="11"/>
      <c r="L442" s="11"/>
      <c r="M442" s="11"/>
      <c r="N442" s="11"/>
      <c r="O442" s="12"/>
      <c r="P442" s="11"/>
      <c r="Q442" s="13"/>
      <c r="R442" s="14"/>
    </row>
    <row r="443" spans="1:18" ht="49.95" customHeight="1" x14ac:dyDescent="0.3">
      <c r="A443" s="34" t="s">
        <v>43</v>
      </c>
      <c r="B443" s="34" t="s">
        <v>52</v>
      </c>
      <c r="C443" s="35">
        <v>0.1701388888888889</v>
      </c>
      <c r="D443" s="34" t="s">
        <v>91</v>
      </c>
      <c r="E443" s="34" t="s">
        <v>51</v>
      </c>
      <c r="F443" s="34" t="s">
        <v>108</v>
      </c>
      <c r="G443" s="214"/>
      <c r="H443" s="10"/>
      <c r="I443" s="11"/>
      <c r="J443" s="11"/>
      <c r="K443" s="11"/>
      <c r="L443" s="11"/>
      <c r="M443" s="11"/>
      <c r="N443" s="11"/>
      <c r="O443" s="12"/>
      <c r="P443" s="11"/>
      <c r="Q443" s="13"/>
      <c r="R443" s="14"/>
    </row>
    <row r="444" spans="1:18" ht="49.95" customHeight="1" x14ac:dyDescent="0.3">
      <c r="A444" s="15" t="s">
        <v>28</v>
      </c>
      <c r="B444" s="15" t="s">
        <v>29</v>
      </c>
      <c r="C444" s="16">
        <v>0.95833333333333337</v>
      </c>
      <c r="D444" s="15" t="s">
        <v>178</v>
      </c>
      <c r="E444" s="15" t="s">
        <v>57</v>
      </c>
      <c r="F444" s="15" t="s">
        <v>48</v>
      </c>
      <c r="G444" s="214"/>
      <c r="H444" s="10"/>
      <c r="I444" s="11"/>
      <c r="J444" s="11"/>
      <c r="K444" s="11"/>
      <c r="L444" s="11"/>
      <c r="M444" s="11"/>
      <c r="N444" s="11"/>
      <c r="O444" s="12"/>
      <c r="P444" s="11"/>
      <c r="Q444" s="13"/>
      <c r="R444" s="14"/>
    </row>
    <row r="445" spans="1:18" ht="49.95" customHeight="1" thickBot="1" x14ac:dyDescent="0.35">
      <c r="A445" s="19" t="s">
        <v>54</v>
      </c>
      <c r="B445" s="19" t="s">
        <v>55</v>
      </c>
      <c r="C445" s="20">
        <v>0.30555555555555552</v>
      </c>
      <c r="D445" s="19" t="s">
        <v>56</v>
      </c>
      <c r="E445" s="19" t="s">
        <v>57</v>
      </c>
      <c r="F445" s="19" t="s">
        <v>118</v>
      </c>
      <c r="G445" s="215"/>
      <c r="H445" s="21"/>
      <c r="I445" s="22"/>
      <c r="J445" s="22"/>
      <c r="K445" s="22"/>
      <c r="L445" s="22"/>
      <c r="M445" s="22"/>
      <c r="N445" s="22"/>
      <c r="O445" s="23"/>
      <c r="P445" s="22"/>
      <c r="Q445" s="24"/>
      <c r="R445" s="25"/>
    </row>
    <row r="446" spans="1:18" ht="17.399999999999999" customHeight="1" thickBot="1" x14ac:dyDescent="0.35">
      <c r="A446" s="221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3"/>
    </row>
    <row r="447" spans="1:18" ht="22.05" customHeight="1" thickTop="1" thickBot="1" x14ac:dyDescent="0.55000000000000004">
      <c r="A447" s="211" t="s">
        <v>8</v>
      </c>
      <c r="B447" s="212"/>
      <c r="C447" s="212"/>
      <c r="D447" s="212"/>
      <c r="E447" s="212"/>
      <c r="F447" s="212"/>
      <c r="G447" s="26">
        <v>46020</v>
      </c>
      <c r="H447" s="219" t="s">
        <v>9</v>
      </c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</row>
    <row r="448" spans="1:18" ht="24" customHeight="1" x14ac:dyDescent="0.3">
      <c r="A448" s="27" t="s">
        <v>10</v>
      </c>
      <c r="B448" s="27" t="s">
        <v>11</v>
      </c>
      <c r="C448" s="28" t="s">
        <v>12</v>
      </c>
      <c r="D448" s="27" t="s">
        <v>13</v>
      </c>
      <c r="E448" s="27" t="s">
        <v>14</v>
      </c>
      <c r="F448" s="29" t="s">
        <v>15</v>
      </c>
      <c r="G448" s="30" t="s">
        <v>16</v>
      </c>
      <c r="H448" s="27" t="s">
        <v>17</v>
      </c>
      <c r="I448" s="31" t="s">
        <v>18</v>
      </c>
      <c r="J448" s="32" t="s">
        <v>19</v>
      </c>
      <c r="K448" s="33" t="s">
        <v>20</v>
      </c>
      <c r="L448" s="32" t="s">
        <v>21</v>
      </c>
      <c r="M448" s="32" t="s">
        <v>22</v>
      </c>
      <c r="N448" s="32" t="s">
        <v>23</v>
      </c>
      <c r="O448" s="27" t="s">
        <v>24</v>
      </c>
      <c r="P448" s="28" t="s">
        <v>25</v>
      </c>
      <c r="Q448" s="32" t="s">
        <v>26</v>
      </c>
      <c r="R448" s="27" t="s">
        <v>27</v>
      </c>
    </row>
    <row r="449" spans="1:18" ht="15" customHeight="1" x14ac:dyDescent="0.3">
      <c r="A449" s="8" t="s">
        <v>33</v>
      </c>
      <c r="B449" s="8" t="s">
        <v>34</v>
      </c>
      <c r="C449" s="9">
        <v>0.83680555555555547</v>
      </c>
      <c r="D449" s="8" t="s">
        <v>35</v>
      </c>
      <c r="E449" s="8" t="s">
        <v>135</v>
      </c>
      <c r="F449" s="8" t="s">
        <v>69</v>
      </c>
      <c r="G449" s="233"/>
      <c r="H449" s="10"/>
      <c r="I449" s="11"/>
      <c r="J449" s="11"/>
      <c r="K449" s="11"/>
      <c r="L449" s="11"/>
      <c r="M449" s="11"/>
      <c r="N449" s="11"/>
      <c r="O449" s="12"/>
      <c r="P449" s="11"/>
      <c r="Q449" s="13"/>
      <c r="R449" s="14"/>
    </row>
    <row r="450" spans="1:18" ht="15" customHeight="1" x14ac:dyDescent="0.3">
      <c r="A450" s="17" t="s">
        <v>33</v>
      </c>
      <c r="B450" s="17" t="s">
        <v>34</v>
      </c>
      <c r="C450" s="18">
        <v>0.83680555555555547</v>
      </c>
      <c r="D450" s="17" t="s">
        <v>38</v>
      </c>
      <c r="E450" s="17" t="s">
        <v>158</v>
      </c>
      <c r="F450" s="17" t="s">
        <v>70</v>
      </c>
      <c r="G450" s="214"/>
      <c r="H450" s="10"/>
      <c r="I450" s="11"/>
      <c r="J450" s="11"/>
      <c r="K450" s="11"/>
      <c r="L450" s="11"/>
      <c r="M450" s="11"/>
      <c r="N450" s="11"/>
      <c r="O450" s="12"/>
      <c r="P450" s="11"/>
      <c r="Q450" s="13"/>
      <c r="R450" s="14"/>
    </row>
    <row r="451" spans="1:18" ht="15" customHeight="1" x14ac:dyDescent="0.3">
      <c r="A451" s="17" t="s">
        <v>33</v>
      </c>
      <c r="B451" s="17" t="s">
        <v>34</v>
      </c>
      <c r="C451" s="18">
        <v>0.83680555555555547</v>
      </c>
      <c r="D451" s="17" t="s">
        <v>41</v>
      </c>
      <c r="E451" s="17" t="s">
        <v>158</v>
      </c>
      <c r="F451" s="17" t="s">
        <v>71</v>
      </c>
      <c r="G451" s="214"/>
      <c r="H451" s="10"/>
      <c r="I451" s="11"/>
      <c r="J451" s="11"/>
      <c r="K451" s="11"/>
      <c r="L451" s="11"/>
      <c r="M451" s="11"/>
      <c r="N451" s="11"/>
      <c r="O451" s="12"/>
      <c r="P451" s="11"/>
      <c r="Q451" s="13"/>
      <c r="R451" s="14"/>
    </row>
    <row r="452" spans="1:18" ht="15" customHeight="1" x14ac:dyDescent="0.3">
      <c r="A452" s="34" t="s">
        <v>33</v>
      </c>
      <c r="B452" s="34" t="s">
        <v>68</v>
      </c>
      <c r="C452" s="35">
        <v>0.2013888888888889</v>
      </c>
      <c r="D452" s="34" t="s">
        <v>35</v>
      </c>
      <c r="E452" s="34" t="s">
        <v>183</v>
      </c>
      <c r="F452" s="34" t="s">
        <v>69</v>
      </c>
      <c r="G452" s="214"/>
      <c r="H452" s="10"/>
      <c r="I452" s="11"/>
      <c r="J452" s="11"/>
      <c r="K452" s="11"/>
      <c r="L452" s="11"/>
      <c r="M452" s="11"/>
      <c r="N452" s="11"/>
      <c r="O452" s="12"/>
      <c r="P452" s="11"/>
      <c r="Q452" s="13"/>
      <c r="R452" s="14"/>
    </row>
    <row r="453" spans="1:18" ht="15" customHeight="1" x14ac:dyDescent="0.3">
      <c r="A453" s="17" t="s">
        <v>33</v>
      </c>
      <c r="B453" s="17" t="s">
        <v>68</v>
      </c>
      <c r="C453" s="18">
        <v>0.2013888888888889</v>
      </c>
      <c r="D453" s="17" t="s">
        <v>38</v>
      </c>
      <c r="E453" s="17" t="s">
        <v>96</v>
      </c>
      <c r="F453" s="17" t="s">
        <v>70</v>
      </c>
      <c r="G453" s="214"/>
      <c r="H453" s="10"/>
      <c r="I453" s="11"/>
      <c r="J453" s="11"/>
      <c r="K453" s="11"/>
      <c r="L453" s="11"/>
      <c r="M453" s="11"/>
      <c r="N453" s="11"/>
      <c r="O453" s="12"/>
      <c r="P453" s="11"/>
      <c r="Q453" s="13"/>
      <c r="R453" s="14"/>
    </row>
    <row r="454" spans="1:18" ht="15" customHeight="1" x14ac:dyDescent="0.3">
      <c r="A454" s="17" t="s">
        <v>33</v>
      </c>
      <c r="B454" s="17" t="s">
        <v>68</v>
      </c>
      <c r="C454" s="18">
        <v>0.2013888888888889</v>
      </c>
      <c r="D454" s="17" t="s">
        <v>41</v>
      </c>
      <c r="E454" s="17" t="s">
        <v>96</v>
      </c>
      <c r="F454" s="17" t="s">
        <v>71</v>
      </c>
      <c r="G454" s="214"/>
      <c r="H454" s="10"/>
      <c r="I454" s="11"/>
      <c r="J454" s="11"/>
      <c r="K454" s="11"/>
      <c r="L454" s="11"/>
      <c r="M454" s="11"/>
      <c r="N454" s="11"/>
      <c r="O454" s="12"/>
      <c r="P454" s="11"/>
      <c r="Q454" s="13"/>
      <c r="R454" s="14"/>
    </row>
    <row r="455" spans="1:18" ht="15" customHeight="1" x14ac:dyDescent="0.3">
      <c r="A455" s="15" t="s">
        <v>102</v>
      </c>
      <c r="B455" s="15" t="s">
        <v>105</v>
      </c>
      <c r="C455" s="16">
        <v>0.12847222222222221</v>
      </c>
      <c r="D455" s="15" t="s">
        <v>178</v>
      </c>
      <c r="E455" s="15" t="s">
        <v>62</v>
      </c>
      <c r="F455" s="15" t="s">
        <v>144</v>
      </c>
      <c r="G455" s="214"/>
      <c r="H455" s="10"/>
      <c r="I455" s="11"/>
      <c r="J455" s="11"/>
      <c r="K455" s="11"/>
      <c r="L455" s="11"/>
      <c r="M455" s="11"/>
      <c r="N455" s="11"/>
      <c r="O455" s="12"/>
      <c r="P455" s="11"/>
      <c r="Q455" s="13"/>
      <c r="R455" s="14"/>
    </row>
    <row r="456" spans="1:18" ht="15" customHeight="1" x14ac:dyDescent="0.3">
      <c r="A456" s="15" t="s">
        <v>43</v>
      </c>
      <c r="B456" s="15" t="s">
        <v>44</v>
      </c>
      <c r="C456" s="16">
        <v>0.86458333333333337</v>
      </c>
      <c r="D456" s="15" t="s">
        <v>91</v>
      </c>
      <c r="E456" s="15" t="s">
        <v>31</v>
      </c>
      <c r="F456" s="15" t="s">
        <v>108</v>
      </c>
      <c r="G456" s="214"/>
      <c r="H456" s="10"/>
      <c r="I456" s="11"/>
      <c r="J456" s="11"/>
      <c r="K456" s="11"/>
      <c r="L456" s="11"/>
      <c r="M456" s="11"/>
      <c r="N456" s="11"/>
      <c r="O456" s="12"/>
      <c r="P456" s="11"/>
      <c r="Q456" s="13"/>
      <c r="R456" s="14"/>
    </row>
    <row r="457" spans="1:18" ht="15" customHeight="1" x14ac:dyDescent="0.3">
      <c r="A457" s="34" t="s">
        <v>43</v>
      </c>
      <c r="B457" s="34" t="s">
        <v>50</v>
      </c>
      <c r="C457" s="35">
        <v>0.52777777777777779</v>
      </c>
      <c r="D457" s="34" t="s">
        <v>91</v>
      </c>
      <c r="E457" s="34" t="s">
        <v>51</v>
      </c>
      <c r="F457" s="34" t="s">
        <v>108</v>
      </c>
      <c r="G457" s="214"/>
      <c r="H457" s="10"/>
      <c r="I457" s="11"/>
      <c r="J457" s="11"/>
      <c r="K457" s="11"/>
      <c r="L457" s="11"/>
      <c r="M457" s="11"/>
      <c r="N457" s="11"/>
      <c r="O457" s="12"/>
      <c r="P457" s="11"/>
      <c r="Q457" s="13"/>
      <c r="R457" s="14"/>
    </row>
    <row r="458" spans="1:18" ht="15" customHeight="1" x14ac:dyDescent="0.3">
      <c r="A458" s="34" t="s">
        <v>43</v>
      </c>
      <c r="B458" s="34" t="s">
        <v>52</v>
      </c>
      <c r="C458" s="35">
        <v>0.1701388888888889</v>
      </c>
      <c r="D458" s="34" t="s">
        <v>91</v>
      </c>
      <c r="E458" s="34" t="s">
        <v>51</v>
      </c>
      <c r="F458" s="34" t="s">
        <v>108</v>
      </c>
      <c r="G458" s="214"/>
      <c r="H458" s="10"/>
      <c r="I458" s="11"/>
      <c r="J458" s="11"/>
      <c r="K458" s="11"/>
      <c r="L458" s="11"/>
      <c r="M458" s="11"/>
      <c r="N458" s="11"/>
      <c r="O458" s="12"/>
      <c r="P458" s="11"/>
      <c r="Q458" s="13"/>
      <c r="R458" s="14"/>
    </row>
    <row r="459" spans="1:18" ht="15" customHeight="1" x14ac:dyDescent="0.3">
      <c r="A459" s="15" t="s">
        <v>28</v>
      </c>
      <c r="B459" s="15" t="s">
        <v>47</v>
      </c>
      <c r="C459" s="16">
        <v>0.95833333333333337</v>
      </c>
      <c r="D459" s="15" t="s">
        <v>178</v>
      </c>
      <c r="E459" s="15" t="s">
        <v>31</v>
      </c>
      <c r="F459" s="15" t="s">
        <v>48</v>
      </c>
      <c r="G459" s="214"/>
      <c r="H459" s="10"/>
      <c r="I459" s="11"/>
      <c r="J459" s="11"/>
      <c r="K459" s="11"/>
      <c r="L459" s="11"/>
      <c r="M459" s="11"/>
      <c r="N459" s="11"/>
      <c r="O459" s="12"/>
      <c r="P459" s="11"/>
      <c r="Q459" s="13"/>
      <c r="R459" s="14"/>
    </row>
    <row r="460" spans="1:18" ht="15" customHeight="1" thickBot="1" x14ac:dyDescent="0.35">
      <c r="A460" s="19" t="s">
        <v>54</v>
      </c>
      <c r="B460" s="19" t="s">
        <v>55</v>
      </c>
      <c r="C460" s="20">
        <v>0.30555555555555552</v>
      </c>
      <c r="D460" s="19" t="s">
        <v>56</v>
      </c>
      <c r="E460" s="19" t="s">
        <v>57</v>
      </c>
      <c r="F460" s="19" t="s">
        <v>85</v>
      </c>
      <c r="G460" s="215"/>
      <c r="H460" s="21"/>
      <c r="I460" s="22"/>
      <c r="J460" s="22"/>
      <c r="K460" s="22"/>
      <c r="L460" s="22"/>
      <c r="M460" s="22"/>
      <c r="N460" s="22"/>
      <c r="O460" s="23"/>
      <c r="P460" s="22"/>
      <c r="Q460" s="24"/>
      <c r="R460" s="25"/>
    </row>
    <row r="461" spans="1:18" ht="17.399999999999999" customHeight="1" thickBot="1" x14ac:dyDescent="0.35">
      <c r="A461" s="221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3"/>
    </row>
    <row r="462" spans="1:18" ht="22.05" customHeight="1" thickTop="1" thickBot="1" x14ac:dyDescent="0.55000000000000004">
      <c r="A462" s="211" t="s">
        <v>8</v>
      </c>
      <c r="B462" s="212"/>
      <c r="C462" s="212"/>
      <c r="D462" s="212"/>
      <c r="E462" s="212"/>
      <c r="F462" s="212"/>
      <c r="G462" s="26">
        <v>46021</v>
      </c>
      <c r="H462" s="219" t="s">
        <v>9</v>
      </c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</row>
    <row r="463" spans="1:18" ht="24" customHeight="1" x14ac:dyDescent="0.3">
      <c r="A463" s="27" t="s">
        <v>10</v>
      </c>
      <c r="B463" s="27" t="s">
        <v>11</v>
      </c>
      <c r="C463" s="28" t="s">
        <v>12</v>
      </c>
      <c r="D463" s="27" t="s">
        <v>13</v>
      </c>
      <c r="E463" s="27" t="s">
        <v>14</v>
      </c>
      <c r="F463" s="29" t="s">
        <v>15</v>
      </c>
      <c r="G463" s="30" t="s">
        <v>16</v>
      </c>
      <c r="H463" s="27" t="s">
        <v>17</v>
      </c>
      <c r="I463" s="31" t="s">
        <v>18</v>
      </c>
      <c r="J463" s="32" t="s">
        <v>19</v>
      </c>
      <c r="K463" s="33" t="s">
        <v>20</v>
      </c>
      <c r="L463" s="32" t="s">
        <v>21</v>
      </c>
      <c r="M463" s="32" t="s">
        <v>22</v>
      </c>
      <c r="N463" s="32" t="s">
        <v>23</v>
      </c>
      <c r="O463" s="27" t="s">
        <v>24</v>
      </c>
      <c r="P463" s="28" t="s">
        <v>25</v>
      </c>
      <c r="Q463" s="32" t="s">
        <v>26</v>
      </c>
      <c r="R463" s="27" t="s">
        <v>27</v>
      </c>
    </row>
    <row r="464" spans="1:18" ht="15" customHeight="1" x14ac:dyDescent="0.3">
      <c r="A464" s="63" t="s">
        <v>76</v>
      </c>
      <c r="B464" s="63" t="s">
        <v>77</v>
      </c>
      <c r="C464" s="64">
        <v>0.27083333333333331</v>
      </c>
      <c r="D464" s="63" t="s">
        <v>30</v>
      </c>
      <c r="E464" s="63" t="s">
        <v>94</v>
      </c>
      <c r="F464" s="63" t="s">
        <v>144</v>
      </c>
      <c r="G464" s="233"/>
      <c r="H464" s="65" t="s">
        <v>80</v>
      </c>
      <c r="I464" s="66">
        <v>0.17860000000000001</v>
      </c>
      <c r="J464" s="67">
        <v>30</v>
      </c>
      <c r="K464" s="68">
        <v>45983</v>
      </c>
      <c r="L464" s="67">
        <v>15</v>
      </c>
      <c r="M464" s="67">
        <v>0</v>
      </c>
      <c r="N464" s="67">
        <v>1</v>
      </c>
      <c r="O464" s="69" t="s">
        <v>138</v>
      </c>
      <c r="P464" s="70">
        <v>0.27083333333333331</v>
      </c>
      <c r="Q464" s="67">
        <v>168</v>
      </c>
      <c r="R464" s="71" t="s">
        <v>184</v>
      </c>
    </row>
    <row r="465" spans="1:18" ht="15" customHeight="1" x14ac:dyDescent="0.3">
      <c r="A465" s="15" t="s">
        <v>43</v>
      </c>
      <c r="B465" s="15" t="s">
        <v>44</v>
      </c>
      <c r="C465" s="16">
        <v>0.86458333333333337</v>
      </c>
      <c r="D465" s="15" t="s">
        <v>91</v>
      </c>
      <c r="E465" s="15" t="s">
        <v>31</v>
      </c>
      <c r="F465" s="15" t="s">
        <v>108</v>
      </c>
      <c r="G465" s="214"/>
      <c r="H465" s="10"/>
      <c r="I465" s="11"/>
      <c r="J465" s="11"/>
      <c r="K465" s="11"/>
      <c r="L465" s="11"/>
      <c r="M465" s="11"/>
      <c r="N465" s="11"/>
      <c r="O465" s="12"/>
      <c r="P465" s="11"/>
      <c r="Q465" s="13"/>
      <c r="R465" s="14"/>
    </row>
    <row r="466" spans="1:18" ht="15" customHeight="1" x14ac:dyDescent="0.3">
      <c r="A466" s="34" t="s">
        <v>43</v>
      </c>
      <c r="B466" s="34" t="s">
        <v>52</v>
      </c>
      <c r="C466" s="35">
        <v>0.1701388888888889</v>
      </c>
      <c r="D466" s="34" t="s">
        <v>91</v>
      </c>
      <c r="E466" s="34" t="s">
        <v>51</v>
      </c>
      <c r="F466" s="34" t="s">
        <v>108</v>
      </c>
      <c r="G466" s="214"/>
      <c r="H466" s="10"/>
      <c r="I466" s="11"/>
      <c r="J466" s="11"/>
      <c r="K466" s="11"/>
      <c r="L466" s="11"/>
      <c r="M466" s="11"/>
      <c r="N466" s="11"/>
      <c r="O466" s="12"/>
      <c r="P466" s="11"/>
      <c r="Q466" s="13"/>
      <c r="R466" s="14"/>
    </row>
    <row r="467" spans="1:18" ht="15" customHeight="1" x14ac:dyDescent="0.3">
      <c r="A467" s="34" t="s">
        <v>43</v>
      </c>
      <c r="B467" s="34" t="s">
        <v>50</v>
      </c>
      <c r="C467" s="35">
        <v>0.52777777777777779</v>
      </c>
      <c r="D467" s="34" t="s">
        <v>45</v>
      </c>
      <c r="E467" s="34" t="s">
        <v>51</v>
      </c>
      <c r="F467" s="34" t="s">
        <v>155</v>
      </c>
      <c r="G467" s="214"/>
      <c r="H467" s="10"/>
      <c r="I467" s="11"/>
      <c r="J467" s="11"/>
      <c r="K467" s="11"/>
      <c r="L467" s="11"/>
      <c r="M467" s="11"/>
      <c r="N467" s="11"/>
      <c r="O467" s="12"/>
      <c r="P467" s="11"/>
      <c r="Q467" s="13"/>
      <c r="R467" s="14"/>
    </row>
    <row r="468" spans="1:18" ht="15" customHeight="1" x14ac:dyDescent="0.3">
      <c r="A468" s="15" t="s">
        <v>28</v>
      </c>
      <c r="B468" s="15" t="s">
        <v>75</v>
      </c>
      <c r="C468" s="16">
        <v>0.95833333333333337</v>
      </c>
      <c r="D468" s="15" t="s">
        <v>178</v>
      </c>
      <c r="E468" s="15" t="s">
        <v>31</v>
      </c>
      <c r="F468" s="15" t="s">
        <v>74</v>
      </c>
      <c r="G468" s="214"/>
      <c r="H468" s="10"/>
      <c r="I468" s="11"/>
      <c r="J468" s="11"/>
      <c r="K468" s="11"/>
      <c r="L468" s="11"/>
      <c r="M468" s="11"/>
      <c r="N468" s="11"/>
      <c r="O468" s="12"/>
      <c r="P468" s="11"/>
      <c r="Q468" s="13"/>
      <c r="R468" s="14"/>
    </row>
    <row r="469" spans="1:18" ht="15" customHeight="1" thickBot="1" x14ac:dyDescent="0.35">
      <c r="A469" s="19" t="s">
        <v>54</v>
      </c>
      <c r="B469" s="19" t="s">
        <v>55</v>
      </c>
      <c r="C469" s="20">
        <v>0.30555555555555552</v>
      </c>
      <c r="D469" s="19" t="s">
        <v>56</v>
      </c>
      <c r="E469" s="19" t="s">
        <v>57</v>
      </c>
      <c r="F469" s="19" t="s">
        <v>85</v>
      </c>
      <c r="G469" s="215"/>
      <c r="H469" s="21"/>
      <c r="I469" s="22"/>
      <c r="J469" s="22"/>
      <c r="K469" s="22"/>
      <c r="L469" s="22"/>
      <c r="M469" s="22"/>
      <c r="N469" s="22"/>
      <c r="O469" s="23"/>
      <c r="P469" s="22"/>
      <c r="Q469" s="24"/>
      <c r="R469" s="25"/>
    </row>
    <row r="470" spans="1:18" ht="17.399999999999999" customHeight="1" thickBot="1" x14ac:dyDescent="0.35">
      <c r="A470" s="221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3"/>
    </row>
    <row r="471" spans="1:18" ht="22.05" customHeight="1" thickTop="1" thickBot="1" x14ac:dyDescent="0.55000000000000004">
      <c r="A471" s="211" t="s">
        <v>8</v>
      </c>
      <c r="B471" s="212"/>
      <c r="C471" s="212"/>
      <c r="D471" s="212"/>
      <c r="E471" s="212"/>
      <c r="F471" s="212"/>
      <c r="G471" s="26">
        <v>46022</v>
      </c>
      <c r="H471" s="219" t="s">
        <v>9</v>
      </c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</row>
    <row r="472" spans="1:18" ht="24" customHeight="1" x14ac:dyDescent="0.3">
      <c r="A472" s="27" t="s">
        <v>10</v>
      </c>
      <c r="B472" s="27" t="s">
        <v>11</v>
      </c>
      <c r="C472" s="28" t="s">
        <v>12</v>
      </c>
      <c r="D472" s="27" t="s">
        <v>13</v>
      </c>
      <c r="E472" s="27" t="s">
        <v>14</v>
      </c>
      <c r="F472" s="29" t="s">
        <v>15</v>
      </c>
      <c r="G472" s="30" t="s">
        <v>16</v>
      </c>
      <c r="H472" s="27" t="s">
        <v>17</v>
      </c>
      <c r="I472" s="31" t="s">
        <v>18</v>
      </c>
      <c r="J472" s="32" t="s">
        <v>19</v>
      </c>
      <c r="K472" s="33" t="s">
        <v>20</v>
      </c>
      <c r="L472" s="32" t="s">
        <v>21</v>
      </c>
      <c r="M472" s="32" t="s">
        <v>22</v>
      </c>
      <c r="N472" s="32" t="s">
        <v>23</v>
      </c>
      <c r="O472" s="27" t="s">
        <v>24</v>
      </c>
      <c r="P472" s="28" t="s">
        <v>25</v>
      </c>
      <c r="Q472" s="32" t="s">
        <v>26</v>
      </c>
      <c r="R472" s="27" t="s">
        <v>27</v>
      </c>
    </row>
    <row r="473" spans="1:18" ht="15" customHeight="1" x14ac:dyDescent="0.3">
      <c r="A473" s="8" t="s">
        <v>43</v>
      </c>
      <c r="B473" s="8" t="s">
        <v>52</v>
      </c>
      <c r="C473" s="9">
        <v>0.1701388888888889</v>
      </c>
      <c r="D473" s="8" t="s">
        <v>91</v>
      </c>
      <c r="E473" s="8" t="s">
        <v>31</v>
      </c>
      <c r="F473" s="8" t="s">
        <v>108</v>
      </c>
      <c r="G473" s="233"/>
      <c r="H473" s="10"/>
      <c r="I473" s="11"/>
      <c r="J473" s="11"/>
      <c r="K473" s="11"/>
      <c r="L473" s="11"/>
      <c r="M473" s="11"/>
      <c r="N473" s="11"/>
      <c r="O473" s="12"/>
      <c r="P473" s="11"/>
      <c r="Q473" s="13"/>
      <c r="R473" s="14"/>
    </row>
    <row r="474" spans="1:18" ht="15" customHeight="1" x14ac:dyDescent="0.3">
      <c r="A474" s="34" t="s">
        <v>43</v>
      </c>
      <c r="B474" s="34" t="s">
        <v>44</v>
      </c>
      <c r="C474" s="35">
        <v>0.86458333333333337</v>
      </c>
      <c r="D474" s="34" t="s">
        <v>45</v>
      </c>
      <c r="E474" s="34" t="s">
        <v>51</v>
      </c>
      <c r="F474" s="34" t="s">
        <v>155</v>
      </c>
      <c r="G474" s="214"/>
      <c r="H474" s="10"/>
      <c r="I474" s="11"/>
      <c r="J474" s="11"/>
      <c r="K474" s="11"/>
      <c r="L474" s="11"/>
      <c r="M474" s="11"/>
      <c r="N474" s="11"/>
      <c r="O474" s="12"/>
      <c r="P474" s="11"/>
      <c r="Q474" s="13"/>
      <c r="R474" s="14"/>
    </row>
    <row r="475" spans="1:18" ht="15" customHeight="1" x14ac:dyDescent="0.3">
      <c r="A475" s="34" t="s">
        <v>43</v>
      </c>
      <c r="B475" s="34" t="s">
        <v>50</v>
      </c>
      <c r="C475" s="35">
        <v>0.52777777777777779</v>
      </c>
      <c r="D475" s="34" t="s">
        <v>45</v>
      </c>
      <c r="E475" s="34" t="s">
        <v>51</v>
      </c>
      <c r="F475" s="34" t="s">
        <v>155</v>
      </c>
      <c r="G475" s="214"/>
      <c r="H475" s="10"/>
      <c r="I475" s="11"/>
      <c r="J475" s="11"/>
      <c r="K475" s="11"/>
      <c r="L475" s="11"/>
      <c r="M475" s="11"/>
      <c r="N475" s="11"/>
      <c r="O475" s="12"/>
      <c r="P475" s="11"/>
      <c r="Q475" s="13"/>
      <c r="R475" s="14"/>
    </row>
    <row r="476" spans="1:18" ht="15" customHeight="1" x14ac:dyDescent="0.3">
      <c r="A476" s="15" t="s">
        <v>102</v>
      </c>
      <c r="B476" s="15" t="s">
        <v>103</v>
      </c>
      <c r="C476" s="16">
        <v>9.0277777777777776E-2</v>
      </c>
      <c r="D476" s="15" t="s">
        <v>178</v>
      </c>
      <c r="E476" s="15" t="s">
        <v>129</v>
      </c>
      <c r="F476" s="15" t="s">
        <v>175</v>
      </c>
      <c r="G476" s="214"/>
      <c r="H476" s="10"/>
      <c r="I476" s="11"/>
      <c r="J476" s="11"/>
      <c r="K476" s="11"/>
      <c r="L476" s="11"/>
      <c r="M476" s="11"/>
      <c r="N476" s="11"/>
      <c r="O476" s="12"/>
      <c r="P476" s="11"/>
      <c r="Q476" s="13"/>
      <c r="R476" s="14"/>
    </row>
    <row r="477" spans="1:18" ht="15" customHeight="1" x14ac:dyDescent="0.3">
      <c r="A477" s="15" t="s">
        <v>28</v>
      </c>
      <c r="B477" s="15" t="s">
        <v>47</v>
      </c>
      <c r="C477" s="16">
        <v>0.89583333333333337</v>
      </c>
      <c r="D477" s="15" t="s">
        <v>178</v>
      </c>
      <c r="E477" s="15" t="s">
        <v>31</v>
      </c>
      <c r="F477" s="15" t="s">
        <v>74</v>
      </c>
      <c r="G477" s="214"/>
      <c r="H477" s="10"/>
      <c r="I477" s="11"/>
      <c r="J477" s="11"/>
      <c r="K477" s="11"/>
      <c r="L477" s="11"/>
      <c r="M477" s="11"/>
      <c r="N477" s="11"/>
      <c r="O477" s="12"/>
      <c r="P477" s="11"/>
      <c r="Q477" s="13"/>
      <c r="R477" s="14"/>
    </row>
    <row r="478" spans="1:18" ht="15" customHeight="1" x14ac:dyDescent="0.3">
      <c r="A478" s="19" t="s">
        <v>54</v>
      </c>
      <c r="B478" s="19" t="s">
        <v>55</v>
      </c>
      <c r="C478" s="20">
        <v>0.30555555555555552</v>
      </c>
      <c r="D478" s="19" t="s">
        <v>56</v>
      </c>
      <c r="E478" s="19" t="s">
        <v>57</v>
      </c>
      <c r="F478" s="19" t="s">
        <v>85</v>
      </c>
      <c r="G478" s="215"/>
      <c r="H478" s="21"/>
      <c r="I478" s="22"/>
      <c r="J478" s="22"/>
      <c r="K478" s="22"/>
      <c r="L478" s="22"/>
      <c r="M478" s="22"/>
      <c r="N478" s="22"/>
      <c r="O478" s="23"/>
      <c r="P478" s="22"/>
      <c r="Q478" s="24"/>
      <c r="R478" s="25"/>
    </row>
  </sheetData>
  <mergeCells count="162">
    <mergeCell ref="H462:R462"/>
    <mergeCell ref="G40:G46"/>
    <mergeCell ref="H241:R241"/>
    <mergeCell ref="G353:G367"/>
    <mergeCell ref="A155:F155"/>
    <mergeCell ref="G50:G67"/>
    <mergeCell ref="H138:R138"/>
    <mergeCell ref="H296:R296"/>
    <mergeCell ref="H305:R305"/>
    <mergeCell ref="A249:R249"/>
    <mergeCell ref="G168:G173"/>
    <mergeCell ref="A138:F138"/>
    <mergeCell ref="A325:F325"/>
    <mergeCell ref="H195:R195"/>
    <mergeCell ref="H204:R204"/>
    <mergeCell ref="G336:G341"/>
    <mergeCell ref="G71:G83"/>
    <mergeCell ref="A69:F69"/>
    <mergeCell ref="H447:R447"/>
    <mergeCell ref="A446:R446"/>
    <mergeCell ref="H439:R439"/>
    <mergeCell ref="G449:G460"/>
    <mergeCell ref="A462:F462"/>
    <mergeCell ref="A304:R304"/>
    <mergeCell ref="A12:F12"/>
    <mergeCell ref="A394:R394"/>
    <mergeCell ref="H4:R4"/>
    <mergeCell ref="A406:F406"/>
    <mergeCell ref="A3:R3"/>
    <mergeCell ref="G421:G437"/>
    <mergeCell ref="A47:R47"/>
    <mergeCell ref="A106:F106"/>
    <mergeCell ref="A4:F4"/>
    <mergeCell ref="G6:G10"/>
    <mergeCell ref="H351:R351"/>
    <mergeCell ref="A334:F334"/>
    <mergeCell ref="A343:F343"/>
    <mergeCell ref="A281:F281"/>
    <mergeCell ref="H273:R273"/>
    <mergeCell ref="G408:G417"/>
    <mergeCell ref="H334:R334"/>
    <mergeCell ref="H386:R386"/>
    <mergeCell ref="H343:R343"/>
    <mergeCell ref="H395:R395"/>
    <mergeCell ref="A273:F273"/>
    <mergeCell ref="G388:G393"/>
    <mergeCell ref="G197:G202"/>
    <mergeCell ref="A11:R11"/>
    <mergeCell ref="G473:G478"/>
    <mergeCell ref="A37:R37"/>
    <mergeCell ref="A418:R418"/>
    <mergeCell ref="G252:G263"/>
    <mergeCell ref="A129:F129"/>
    <mergeCell ref="G206:G210"/>
    <mergeCell ref="G327:G332"/>
    <mergeCell ref="G2:J2"/>
    <mergeCell ref="H471:R471"/>
    <mergeCell ref="A470:R470"/>
    <mergeCell ref="G441:G445"/>
    <mergeCell ref="H250:R250"/>
    <mergeCell ref="A280:R280"/>
    <mergeCell ref="A117:F117"/>
    <mergeCell ref="A471:F471"/>
    <mergeCell ref="K2:R2"/>
    <mergeCell ref="G283:G294"/>
    <mergeCell ref="G371:G384"/>
    <mergeCell ref="A211:R211"/>
    <mergeCell ref="G108:G115"/>
    <mergeCell ref="G397:G404"/>
    <mergeCell ref="A220:R220"/>
    <mergeCell ref="H155:R155"/>
    <mergeCell ref="A166:F166"/>
    <mergeCell ref="G464:G469"/>
    <mergeCell ref="G157:G164"/>
    <mergeCell ref="A194:R194"/>
    <mergeCell ref="A203:R203"/>
    <mergeCell ref="A116:R116"/>
    <mergeCell ref="G345:G349"/>
    <mergeCell ref="A405:R405"/>
    <mergeCell ref="A439:F439"/>
    <mergeCell ref="H325:R325"/>
    <mergeCell ref="G177:G193"/>
    <mergeCell ref="A342:R342"/>
    <mergeCell ref="A324:R324"/>
    <mergeCell ref="A165:R165"/>
    <mergeCell ref="A230:F230"/>
    <mergeCell ref="H419:R419"/>
    <mergeCell ref="A229:R229"/>
    <mergeCell ref="A295:R295"/>
    <mergeCell ref="H369:R369"/>
    <mergeCell ref="A368:R368"/>
    <mergeCell ref="A350:R350"/>
    <mergeCell ref="A296:F296"/>
    <mergeCell ref="H406:R406"/>
    <mergeCell ref="G267:G271"/>
    <mergeCell ref="G214:G219"/>
    <mergeCell ref="A461:R461"/>
    <mergeCell ref="G22:G36"/>
    <mergeCell ref="G131:G136"/>
    <mergeCell ref="A212:F212"/>
    <mergeCell ref="A305:F305"/>
    <mergeCell ref="A221:F221"/>
    <mergeCell ref="A137:R137"/>
    <mergeCell ref="A447:F447"/>
    <mergeCell ref="H212:R212"/>
    <mergeCell ref="A105:R105"/>
    <mergeCell ref="A195:F195"/>
    <mergeCell ref="A154:R154"/>
    <mergeCell ref="A204:F204"/>
    <mergeCell ref="A85:F85"/>
    <mergeCell ref="A272:R272"/>
    <mergeCell ref="H117:R117"/>
    <mergeCell ref="A438:R438"/>
    <mergeCell ref="A385:R385"/>
    <mergeCell ref="A175:F175"/>
    <mergeCell ref="G140:G153"/>
    <mergeCell ref="A386:F386"/>
    <mergeCell ref="G243:G248"/>
    <mergeCell ref="G119:G127"/>
    <mergeCell ref="A38:F38"/>
    <mergeCell ref="A240:R240"/>
    <mergeCell ref="A265:F265"/>
    <mergeCell ref="G298:G303"/>
    <mergeCell ref="A333:R333"/>
    <mergeCell ref="H85:R85"/>
    <mergeCell ref="H69:R69"/>
    <mergeCell ref="A68:R68"/>
    <mergeCell ref="A48:F48"/>
    <mergeCell ref="H48:R48"/>
    <mergeCell ref="H106:R106"/>
    <mergeCell ref="H38:R38"/>
    <mergeCell ref="G223:G228"/>
    <mergeCell ref="H166:R166"/>
    <mergeCell ref="G87:G104"/>
    <mergeCell ref="H175:R175"/>
    <mergeCell ref="G307:G323"/>
    <mergeCell ref="A241:F241"/>
    <mergeCell ref="A250:F250"/>
    <mergeCell ref="A419:F419"/>
    <mergeCell ref="G232:G239"/>
    <mergeCell ref="H1:L1"/>
    <mergeCell ref="A1:E1"/>
    <mergeCell ref="H221:R221"/>
    <mergeCell ref="A351:F351"/>
    <mergeCell ref="A369:F369"/>
    <mergeCell ref="G14:G18"/>
    <mergeCell ref="H230:R230"/>
    <mergeCell ref="A19:R19"/>
    <mergeCell ref="A2:F2"/>
    <mergeCell ref="H12:R12"/>
    <mergeCell ref="A128:R128"/>
    <mergeCell ref="G275:G279"/>
    <mergeCell ref="A264:R264"/>
    <mergeCell ref="N1:R1"/>
    <mergeCell ref="A174:R174"/>
    <mergeCell ref="H20:R20"/>
    <mergeCell ref="A84:R84"/>
    <mergeCell ref="H265:R265"/>
    <mergeCell ref="A395:F395"/>
    <mergeCell ref="A20:F20"/>
    <mergeCell ref="H129:R129"/>
    <mergeCell ref="H281:R28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topLeftCell="A15" workbookViewId="0">
      <selection activeCell="H32" sqref="H32"/>
    </sheetView>
  </sheetViews>
  <sheetFormatPr defaultRowHeight="15.6" outlineLevelCol="1" x14ac:dyDescent="0.3"/>
  <cols>
    <col min="1" max="1" width="11.77734375" style="194" bestFit="1" customWidth="1"/>
    <col min="2" max="2" width="11.109375" style="194" bestFit="1" customWidth="1"/>
    <col min="3" max="3" width="7.88671875" style="194" bestFit="1" customWidth="1"/>
    <col min="4" max="4" width="6.77734375" style="194" bestFit="1" customWidth="1"/>
    <col min="5" max="5" width="10.5546875" style="194" bestFit="1" customWidth="1"/>
    <col min="6" max="6" width="5.21875" style="194" bestFit="1" customWidth="1"/>
    <col min="7" max="7" width="10" style="194" bestFit="1" customWidth="1"/>
    <col min="8" max="8" width="8.5546875" style="194" bestFit="1" customWidth="1"/>
    <col min="9" max="10" width="8" style="194" bestFit="1" customWidth="1"/>
    <col min="11" max="11" width="12.21875" style="194" bestFit="1" customWidth="1"/>
    <col min="12" max="12" width="10.109375" style="194" bestFit="1" customWidth="1"/>
    <col min="13" max="13" width="8.77734375" style="194" bestFit="1" customWidth="1" outlineLevel="1"/>
    <col min="14" max="14" width="7.33203125" style="194" bestFit="1" customWidth="1" outlineLevel="1"/>
    <col min="15" max="15" width="9.109375" style="194" bestFit="1" customWidth="1" outlineLevel="1"/>
    <col min="16" max="16" width="15.33203125" style="194" bestFit="1" customWidth="1"/>
    <col min="17" max="24" width="3.88671875" style="194" bestFit="1" customWidth="1"/>
    <col min="25" max="25" width="4.21875" style="194" bestFit="1" customWidth="1"/>
    <col min="26" max="26" width="4.88671875" style="194" bestFit="1" customWidth="1"/>
    <col min="27" max="27" width="4.77734375" style="194" bestFit="1" customWidth="1"/>
    <col min="28" max="28" width="5" style="194" bestFit="1" customWidth="1"/>
    <col min="29" max="29" width="5.109375" style="194" bestFit="1" customWidth="1"/>
    <col min="30" max="30" width="5.33203125" style="194" bestFit="1" customWidth="1"/>
    <col min="31" max="31" width="4.21875" style="194" bestFit="1" customWidth="1"/>
    <col min="32" max="32" width="4.44140625" style="194" bestFit="1" customWidth="1"/>
    <col min="33" max="36" width="3.88671875" style="194" bestFit="1" customWidth="1"/>
    <col min="37" max="16384" width="8.88671875" style="194"/>
  </cols>
  <sheetData>
    <row r="1" spans="1:36" x14ac:dyDescent="0.3">
      <c r="A1" s="193" t="s">
        <v>185</v>
      </c>
      <c r="B1" s="193" t="s">
        <v>186</v>
      </c>
      <c r="C1" s="193" t="s">
        <v>187</v>
      </c>
      <c r="D1" s="193" t="s">
        <v>25</v>
      </c>
      <c r="E1" s="193" t="s">
        <v>188</v>
      </c>
      <c r="F1" s="193" t="s">
        <v>189</v>
      </c>
      <c r="G1" s="193" t="s">
        <v>18</v>
      </c>
      <c r="H1" s="193" t="s">
        <v>190</v>
      </c>
      <c r="I1" s="193" t="s">
        <v>191</v>
      </c>
      <c r="J1" s="193" t="s">
        <v>192</v>
      </c>
      <c r="K1" s="193" t="s">
        <v>193</v>
      </c>
      <c r="L1" s="193" t="s">
        <v>20</v>
      </c>
      <c r="M1" s="193" t="s">
        <v>22</v>
      </c>
      <c r="N1" s="193" t="s">
        <v>23</v>
      </c>
      <c r="O1" s="193" t="s">
        <v>21</v>
      </c>
      <c r="P1" s="193" t="s">
        <v>24</v>
      </c>
      <c r="Q1" s="193" t="s">
        <v>194</v>
      </c>
      <c r="R1" s="193" t="s">
        <v>195</v>
      </c>
      <c r="S1" s="193" t="s">
        <v>196</v>
      </c>
      <c r="T1" s="193" t="s">
        <v>197</v>
      </c>
      <c r="U1" s="193" t="s">
        <v>198</v>
      </c>
      <c r="V1" s="193" t="s">
        <v>199</v>
      </c>
      <c r="W1" s="193" t="s">
        <v>200</v>
      </c>
      <c r="X1" s="193" t="s">
        <v>201</v>
      </c>
      <c r="Y1" s="193" t="s">
        <v>202</v>
      </c>
      <c r="Z1" s="193" t="s">
        <v>203</v>
      </c>
      <c r="AA1" s="193" t="s">
        <v>204</v>
      </c>
      <c r="AB1" s="193" t="s">
        <v>205</v>
      </c>
      <c r="AC1" s="193" t="s">
        <v>206</v>
      </c>
      <c r="AD1" s="193" t="s">
        <v>207</v>
      </c>
      <c r="AE1" s="193" t="s">
        <v>208</v>
      </c>
      <c r="AF1" s="193" t="s">
        <v>209</v>
      </c>
      <c r="AG1" s="193" t="s">
        <v>210</v>
      </c>
      <c r="AH1" s="193" t="s">
        <v>211</v>
      </c>
      <c r="AI1" s="193" t="s">
        <v>212</v>
      </c>
      <c r="AJ1" s="193" t="s">
        <v>213</v>
      </c>
    </row>
    <row r="2" spans="1:36" x14ac:dyDescent="0.3">
      <c r="A2" s="195" t="s">
        <v>214</v>
      </c>
      <c r="B2" s="196">
        <v>45986</v>
      </c>
      <c r="C2" s="197" t="s">
        <v>80</v>
      </c>
      <c r="D2" s="198" t="s">
        <v>215</v>
      </c>
      <c r="E2" s="197" t="s">
        <v>1</v>
      </c>
      <c r="F2" s="197" t="s">
        <v>216</v>
      </c>
      <c r="G2" s="199">
        <v>0.41070000000000001</v>
      </c>
      <c r="H2" s="200">
        <v>168</v>
      </c>
      <c r="I2" s="200">
        <v>69</v>
      </c>
      <c r="J2" s="200">
        <v>0</v>
      </c>
      <c r="K2" s="197" t="s">
        <v>217</v>
      </c>
      <c r="L2" s="201">
        <v>45983</v>
      </c>
      <c r="M2" s="200">
        <v>0</v>
      </c>
      <c r="N2" s="200">
        <v>3</v>
      </c>
      <c r="O2" s="200">
        <v>31</v>
      </c>
      <c r="P2" s="197" t="s">
        <v>81</v>
      </c>
      <c r="Q2" s="193"/>
      <c r="R2" s="193"/>
      <c r="S2" s="193"/>
      <c r="T2" s="193"/>
      <c r="U2" s="193"/>
      <c r="V2" s="193"/>
      <c r="W2" s="193"/>
      <c r="X2" s="193"/>
      <c r="Y2" s="193"/>
      <c r="Z2" s="200" t="s">
        <v>218</v>
      </c>
      <c r="AA2" s="200" t="s">
        <v>219</v>
      </c>
      <c r="AB2" s="193"/>
      <c r="AC2" s="193"/>
      <c r="AD2" s="200" t="s">
        <v>220</v>
      </c>
      <c r="AE2" s="200" t="s">
        <v>150</v>
      </c>
      <c r="AF2" s="200" t="s">
        <v>221</v>
      </c>
      <c r="AG2" s="193"/>
      <c r="AH2" s="193"/>
      <c r="AI2" s="193"/>
      <c r="AJ2" s="193"/>
    </row>
    <row r="3" spans="1:36" x14ac:dyDescent="0.3">
      <c r="A3" s="195" t="s">
        <v>222</v>
      </c>
      <c r="B3" s="196">
        <v>45988</v>
      </c>
      <c r="C3" s="197" t="s">
        <v>80</v>
      </c>
      <c r="D3" s="198" t="s">
        <v>223</v>
      </c>
      <c r="E3" s="197" t="s">
        <v>1</v>
      </c>
      <c r="F3" s="197" t="s">
        <v>216</v>
      </c>
      <c r="G3" s="199">
        <v>0.26790000000000003</v>
      </c>
      <c r="H3" s="200">
        <v>168</v>
      </c>
      <c r="I3" s="200">
        <v>45</v>
      </c>
      <c r="J3" s="200">
        <v>0</v>
      </c>
      <c r="K3" s="197" t="s">
        <v>217</v>
      </c>
      <c r="L3" s="201">
        <v>45983</v>
      </c>
      <c r="M3" s="200">
        <v>0</v>
      </c>
      <c r="N3" s="200">
        <v>2</v>
      </c>
      <c r="O3" s="200">
        <v>14</v>
      </c>
      <c r="P3" s="197" t="s">
        <v>111</v>
      </c>
      <c r="Q3" s="193"/>
      <c r="R3" s="193"/>
      <c r="S3" s="193"/>
      <c r="T3" s="193"/>
      <c r="U3" s="193"/>
      <c r="V3" s="193"/>
      <c r="W3" s="193"/>
      <c r="X3" s="200" t="s">
        <v>224</v>
      </c>
      <c r="Y3" s="193"/>
      <c r="Z3" s="200" t="s">
        <v>225</v>
      </c>
      <c r="AA3" s="200" t="s">
        <v>226</v>
      </c>
      <c r="AB3" s="193"/>
      <c r="AC3" s="200" t="s">
        <v>227</v>
      </c>
      <c r="AD3" s="200" t="s">
        <v>228</v>
      </c>
      <c r="AE3" s="200" t="s">
        <v>229</v>
      </c>
      <c r="AF3" s="200" t="s">
        <v>230</v>
      </c>
      <c r="AG3" s="193"/>
      <c r="AH3" s="193"/>
      <c r="AI3" s="193"/>
      <c r="AJ3" s="193"/>
    </row>
    <row r="4" spans="1:36" x14ac:dyDescent="0.3">
      <c r="A4" s="195" t="s">
        <v>231</v>
      </c>
      <c r="B4" s="196">
        <v>45989</v>
      </c>
      <c r="C4" s="197" t="s">
        <v>80</v>
      </c>
      <c r="D4" s="198" t="s">
        <v>232</v>
      </c>
      <c r="E4" s="197" t="s">
        <v>1</v>
      </c>
      <c r="F4" s="197" t="s">
        <v>216</v>
      </c>
      <c r="G4" s="199">
        <v>0.30359999999999998</v>
      </c>
      <c r="H4" s="200">
        <v>168</v>
      </c>
      <c r="I4" s="200">
        <v>51</v>
      </c>
      <c r="J4" s="200">
        <v>0</v>
      </c>
      <c r="K4" s="197" t="s">
        <v>217</v>
      </c>
      <c r="L4" s="201">
        <v>45983</v>
      </c>
      <c r="M4" s="200">
        <v>0</v>
      </c>
      <c r="N4" s="200">
        <v>1</v>
      </c>
      <c r="O4" s="200">
        <v>16</v>
      </c>
      <c r="P4" s="197" t="s">
        <v>116</v>
      </c>
      <c r="Q4" s="193"/>
      <c r="R4" s="193"/>
      <c r="S4" s="193"/>
      <c r="T4" s="193"/>
      <c r="U4" s="193"/>
      <c r="V4" s="193"/>
      <c r="W4" s="193"/>
      <c r="X4" s="193"/>
      <c r="Y4" s="200" t="s">
        <v>233</v>
      </c>
      <c r="Z4" s="200" t="s">
        <v>234</v>
      </c>
      <c r="AA4" s="200" t="s">
        <v>235</v>
      </c>
      <c r="AB4" s="193"/>
      <c r="AC4" s="193"/>
      <c r="AD4" s="193"/>
      <c r="AE4" s="200" t="s">
        <v>236</v>
      </c>
      <c r="AF4" s="200" t="s">
        <v>237</v>
      </c>
      <c r="AG4" s="193"/>
      <c r="AH4" s="193"/>
      <c r="AI4" s="193"/>
      <c r="AJ4" s="193"/>
    </row>
    <row r="5" spans="1:36" x14ac:dyDescent="0.3">
      <c r="A5" s="195" t="s">
        <v>238</v>
      </c>
      <c r="B5" s="196">
        <v>45990</v>
      </c>
      <c r="C5" s="197" t="s">
        <v>80</v>
      </c>
      <c r="D5" s="198" t="s">
        <v>223</v>
      </c>
      <c r="E5" s="197" t="s">
        <v>1</v>
      </c>
      <c r="F5" s="197" t="s">
        <v>216</v>
      </c>
      <c r="G5" s="199">
        <v>0.17860000000000001</v>
      </c>
      <c r="H5" s="200">
        <v>168</v>
      </c>
      <c r="I5" s="200">
        <v>30</v>
      </c>
      <c r="J5" s="200">
        <v>0</v>
      </c>
      <c r="K5" s="197" t="s">
        <v>217</v>
      </c>
      <c r="L5" s="201">
        <v>45979</v>
      </c>
      <c r="M5" s="200">
        <v>0</v>
      </c>
      <c r="N5" s="200">
        <v>0</v>
      </c>
      <c r="O5" s="200">
        <v>1</v>
      </c>
      <c r="P5" s="197" t="s">
        <v>116</v>
      </c>
      <c r="Q5" s="193"/>
      <c r="R5" s="193"/>
      <c r="S5" s="193"/>
      <c r="T5" s="193"/>
      <c r="U5" s="193"/>
      <c r="V5" s="193"/>
      <c r="W5" s="193"/>
      <c r="X5" s="200" t="s">
        <v>239</v>
      </c>
      <c r="Y5" s="200" t="s">
        <v>240</v>
      </c>
      <c r="Z5" s="200" t="s">
        <v>241</v>
      </c>
      <c r="AA5" s="200" t="s">
        <v>242</v>
      </c>
      <c r="AB5" s="193"/>
      <c r="AC5" s="193"/>
      <c r="AD5" s="200" t="s">
        <v>243</v>
      </c>
      <c r="AE5" s="193"/>
      <c r="AF5" s="200" t="s">
        <v>244</v>
      </c>
      <c r="AG5" s="193"/>
      <c r="AH5" s="193"/>
      <c r="AI5" s="193"/>
      <c r="AJ5" s="193"/>
    </row>
    <row r="6" spans="1:36" x14ac:dyDescent="0.3">
      <c r="A6" s="195" t="s">
        <v>214</v>
      </c>
      <c r="B6" s="196">
        <v>45993</v>
      </c>
      <c r="C6" s="197" t="s">
        <v>80</v>
      </c>
      <c r="D6" s="198" t="s">
        <v>215</v>
      </c>
      <c r="E6" s="197" t="s">
        <v>1</v>
      </c>
      <c r="F6" s="197" t="s">
        <v>216</v>
      </c>
      <c r="G6" s="199">
        <v>0.29759999999999998</v>
      </c>
      <c r="H6" s="200">
        <v>168</v>
      </c>
      <c r="I6" s="200">
        <v>50</v>
      </c>
      <c r="J6" s="200">
        <v>0</v>
      </c>
      <c r="K6" s="197" t="s">
        <v>217</v>
      </c>
      <c r="L6" s="201">
        <v>45982</v>
      </c>
      <c r="M6" s="200">
        <v>0</v>
      </c>
      <c r="N6" s="200">
        <v>0</v>
      </c>
      <c r="O6" s="200">
        <v>14</v>
      </c>
      <c r="P6" s="197" t="s">
        <v>131</v>
      </c>
      <c r="Q6" s="193"/>
      <c r="R6" s="193"/>
      <c r="S6" s="193"/>
      <c r="T6" s="193"/>
      <c r="U6" s="193"/>
      <c r="V6" s="193"/>
      <c r="W6" s="193"/>
      <c r="X6" s="193"/>
      <c r="Y6" s="193"/>
      <c r="Z6" s="200" t="s">
        <v>245</v>
      </c>
      <c r="AA6" s="193"/>
      <c r="AB6" s="200" t="s">
        <v>246</v>
      </c>
      <c r="AC6" s="200" t="s">
        <v>247</v>
      </c>
      <c r="AD6" s="200" t="s">
        <v>220</v>
      </c>
      <c r="AE6" s="200" t="s">
        <v>248</v>
      </c>
      <c r="AF6" s="200" t="s">
        <v>249</v>
      </c>
      <c r="AG6" s="193"/>
      <c r="AH6" s="193"/>
      <c r="AI6" s="193"/>
      <c r="AJ6" s="193"/>
    </row>
    <row r="7" spans="1:36" x14ac:dyDescent="0.3">
      <c r="A7" s="195" t="s">
        <v>222</v>
      </c>
      <c r="B7" s="196">
        <v>45995</v>
      </c>
      <c r="C7" s="197" t="s">
        <v>80</v>
      </c>
      <c r="D7" s="198" t="s">
        <v>223</v>
      </c>
      <c r="E7" s="197" t="s">
        <v>1</v>
      </c>
      <c r="F7" s="197" t="s">
        <v>216</v>
      </c>
      <c r="G7" s="199">
        <v>0.29759999999999998</v>
      </c>
      <c r="H7" s="200">
        <v>168</v>
      </c>
      <c r="I7" s="200">
        <v>50</v>
      </c>
      <c r="J7" s="200">
        <v>0</v>
      </c>
      <c r="K7" s="197" t="s">
        <v>217</v>
      </c>
      <c r="L7" s="201">
        <v>45984</v>
      </c>
      <c r="M7" s="200">
        <v>2</v>
      </c>
      <c r="N7" s="200">
        <v>3</v>
      </c>
      <c r="O7" s="200">
        <v>13</v>
      </c>
      <c r="P7" s="197" t="s">
        <v>136</v>
      </c>
      <c r="Q7" s="193"/>
      <c r="R7" s="193"/>
      <c r="S7" s="193"/>
      <c r="T7" s="193"/>
      <c r="U7" s="193"/>
      <c r="V7" s="193"/>
      <c r="W7" s="193"/>
      <c r="X7" s="193"/>
      <c r="Y7" s="193"/>
      <c r="Z7" s="200" t="s">
        <v>250</v>
      </c>
      <c r="AA7" s="200" t="s">
        <v>251</v>
      </c>
      <c r="AB7" s="200" t="s">
        <v>252</v>
      </c>
      <c r="AC7" s="200" t="s">
        <v>253</v>
      </c>
      <c r="AD7" s="200" t="s">
        <v>228</v>
      </c>
      <c r="AE7" s="200" t="s">
        <v>254</v>
      </c>
      <c r="AF7" s="200" t="s">
        <v>255</v>
      </c>
      <c r="AG7" s="193"/>
      <c r="AH7" s="193"/>
      <c r="AI7" s="193"/>
      <c r="AJ7" s="193"/>
    </row>
    <row r="8" spans="1:36" x14ac:dyDescent="0.3">
      <c r="A8" s="195" t="s">
        <v>231</v>
      </c>
      <c r="B8" s="196">
        <v>45996</v>
      </c>
      <c r="C8" s="197" t="s">
        <v>80</v>
      </c>
      <c r="D8" s="198" t="s">
        <v>232</v>
      </c>
      <c r="E8" s="197" t="s">
        <v>1</v>
      </c>
      <c r="F8" s="197" t="s">
        <v>216</v>
      </c>
      <c r="G8" s="199">
        <v>0.33929999999999999</v>
      </c>
      <c r="H8" s="200">
        <v>168</v>
      </c>
      <c r="I8" s="200">
        <v>57</v>
      </c>
      <c r="J8" s="200">
        <v>0</v>
      </c>
      <c r="K8" s="197" t="s">
        <v>217</v>
      </c>
      <c r="L8" s="201">
        <v>45982</v>
      </c>
      <c r="M8" s="200">
        <v>0</v>
      </c>
      <c r="N8" s="200">
        <v>0</v>
      </c>
      <c r="O8" s="200">
        <v>9</v>
      </c>
      <c r="P8" s="197" t="s">
        <v>138</v>
      </c>
      <c r="Q8" s="193"/>
      <c r="R8" s="193"/>
      <c r="S8" s="193"/>
      <c r="T8" s="193"/>
      <c r="U8" s="193"/>
      <c r="V8" s="193"/>
      <c r="W8" s="193"/>
      <c r="X8" s="193"/>
      <c r="Y8" s="193"/>
      <c r="Z8" s="200" t="s">
        <v>256</v>
      </c>
      <c r="AA8" s="193"/>
      <c r="AB8" s="200" t="s">
        <v>257</v>
      </c>
      <c r="AC8" s="200" t="s">
        <v>258</v>
      </c>
      <c r="AD8" s="200" t="s">
        <v>259</v>
      </c>
      <c r="AE8" s="200" t="s">
        <v>236</v>
      </c>
      <c r="AF8" s="200" t="s">
        <v>260</v>
      </c>
      <c r="AG8" s="193"/>
      <c r="AH8" s="193"/>
      <c r="AI8" s="193"/>
      <c r="AJ8" s="193"/>
    </row>
    <row r="9" spans="1:36" x14ac:dyDescent="0.3">
      <c r="A9" s="195" t="s">
        <v>238</v>
      </c>
      <c r="B9" s="196">
        <v>45997</v>
      </c>
      <c r="C9" s="197" t="s">
        <v>80</v>
      </c>
      <c r="D9" s="198" t="s">
        <v>223</v>
      </c>
      <c r="E9" s="197" t="s">
        <v>1</v>
      </c>
      <c r="F9" s="197" t="s">
        <v>216</v>
      </c>
      <c r="G9" s="199">
        <v>0.125</v>
      </c>
      <c r="H9" s="200">
        <v>168</v>
      </c>
      <c r="I9" s="200">
        <v>21</v>
      </c>
      <c r="J9" s="200">
        <v>0</v>
      </c>
      <c r="K9" s="197" t="s">
        <v>217</v>
      </c>
      <c r="L9" s="201">
        <v>45982</v>
      </c>
      <c r="M9" s="200">
        <v>0</v>
      </c>
      <c r="N9" s="200">
        <v>0</v>
      </c>
      <c r="O9" s="200">
        <v>1</v>
      </c>
      <c r="P9" s="197" t="s">
        <v>116</v>
      </c>
      <c r="Q9" s="193"/>
      <c r="R9" s="193"/>
      <c r="S9" s="193"/>
      <c r="T9" s="193"/>
      <c r="U9" s="193"/>
      <c r="V9" s="193"/>
      <c r="W9" s="193"/>
      <c r="X9" s="193"/>
      <c r="Y9" s="193"/>
      <c r="Z9" s="200" t="s">
        <v>261</v>
      </c>
      <c r="AA9" s="193"/>
      <c r="AB9" s="193"/>
      <c r="AC9" s="193"/>
      <c r="AD9" s="200" t="s">
        <v>262</v>
      </c>
      <c r="AE9" s="200" t="s">
        <v>263</v>
      </c>
      <c r="AF9" s="200" t="s">
        <v>264</v>
      </c>
      <c r="AG9" s="193"/>
      <c r="AH9" s="193"/>
      <c r="AI9" s="193"/>
      <c r="AJ9" s="193"/>
    </row>
    <row r="10" spans="1:36" x14ac:dyDescent="0.3">
      <c r="A10" s="195" t="s">
        <v>214</v>
      </c>
      <c r="B10" s="196">
        <v>46000</v>
      </c>
      <c r="C10" s="197" t="s">
        <v>80</v>
      </c>
      <c r="D10" s="198" t="s">
        <v>215</v>
      </c>
      <c r="E10" s="197" t="s">
        <v>1</v>
      </c>
      <c r="F10" s="197" t="s">
        <v>216</v>
      </c>
      <c r="G10" s="199">
        <v>0.20830000000000001</v>
      </c>
      <c r="H10" s="200">
        <v>168</v>
      </c>
      <c r="I10" s="200">
        <v>35</v>
      </c>
      <c r="J10" s="200">
        <v>0</v>
      </c>
      <c r="K10" s="197" t="s">
        <v>217</v>
      </c>
      <c r="L10" s="201">
        <v>45983</v>
      </c>
      <c r="M10" s="200">
        <v>0</v>
      </c>
      <c r="N10" s="200">
        <v>1</v>
      </c>
      <c r="O10" s="200">
        <v>9</v>
      </c>
      <c r="P10" s="197" t="s">
        <v>116</v>
      </c>
      <c r="Q10" s="193"/>
      <c r="R10" s="193"/>
      <c r="S10" s="193"/>
      <c r="T10" s="193"/>
      <c r="U10" s="193"/>
      <c r="V10" s="193"/>
      <c r="W10" s="193"/>
      <c r="X10" s="193"/>
      <c r="Y10" s="193"/>
      <c r="Z10" s="200" t="s">
        <v>241</v>
      </c>
      <c r="AA10" s="193"/>
      <c r="AB10" s="193"/>
      <c r="AC10" s="200" t="s">
        <v>247</v>
      </c>
      <c r="AD10" s="200" t="s">
        <v>228</v>
      </c>
      <c r="AE10" s="193"/>
      <c r="AF10" s="200" t="s">
        <v>265</v>
      </c>
      <c r="AG10" s="193"/>
      <c r="AH10" s="193"/>
      <c r="AI10" s="193"/>
      <c r="AJ10" s="193"/>
    </row>
    <row r="11" spans="1:36" x14ac:dyDescent="0.3">
      <c r="A11" s="195" t="s">
        <v>222</v>
      </c>
      <c r="B11" s="196">
        <v>46002</v>
      </c>
      <c r="C11" s="197" t="s">
        <v>80</v>
      </c>
      <c r="D11" s="198" t="s">
        <v>223</v>
      </c>
      <c r="E11" s="197" t="s">
        <v>1</v>
      </c>
      <c r="F11" s="197" t="s">
        <v>216</v>
      </c>
      <c r="G11" s="199">
        <v>0.1429</v>
      </c>
      <c r="H11" s="200">
        <v>168</v>
      </c>
      <c r="I11" s="200">
        <v>24</v>
      </c>
      <c r="J11" s="200">
        <v>0</v>
      </c>
      <c r="K11" s="197" t="s">
        <v>217</v>
      </c>
      <c r="L11" s="201">
        <v>45983</v>
      </c>
      <c r="M11" s="200">
        <v>0</v>
      </c>
      <c r="N11" s="200">
        <v>3</v>
      </c>
      <c r="O11" s="200">
        <v>7</v>
      </c>
      <c r="P11" s="197" t="s">
        <v>111</v>
      </c>
      <c r="Q11" s="193"/>
      <c r="R11" s="193"/>
      <c r="S11" s="193"/>
      <c r="T11" s="193"/>
      <c r="U11" s="193"/>
      <c r="V11" s="193"/>
      <c r="W11" s="193"/>
      <c r="X11" s="193"/>
      <c r="Y11" s="193"/>
      <c r="Z11" s="200" t="s">
        <v>261</v>
      </c>
      <c r="AA11" s="200" t="s">
        <v>251</v>
      </c>
      <c r="AB11" s="193"/>
      <c r="AC11" s="193"/>
      <c r="AD11" s="193"/>
      <c r="AE11" s="200" t="s">
        <v>229</v>
      </c>
      <c r="AF11" s="200" t="s">
        <v>266</v>
      </c>
      <c r="AG11" s="193"/>
      <c r="AH11" s="193"/>
      <c r="AI11" s="193"/>
      <c r="AJ11" s="193"/>
    </row>
    <row r="12" spans="1:36" x14ac:dyDescent="0.3">
      <c r="A12" s="195" t="s">
        <v>231</v>
      </c>
      <c r="B12" s="196">
        <v>46003</v>
      </c>
      <c r="C12" s="197" t="s">
        <v>80</v>
      </c>
      <c r="D12" s="198" t="s">
        <v>232</v>
      </c>
      <c r="E12" s="197" t="s">
        <v>1</v>
      </c>
      <c r="F12" s="197" t="s">
        <v>216</v>
      </c>
      <c r="G12" s="199">
        <v>0.2024</v>
      </c>
      <c r="H12" s="200">
        <v>168</v>
      </c>
      <c r="I12" s="200">
        <v>34</v>
      </c>
      <c r="J12" s="200">
        <v>0</v>
      </c>
      <c r="K12" s="197" t="s">
        <v>217</v>
      </c>
      <c r="L12" s="201">
        <v>45983</v>
      </c>
      <c r="M12" s="200">
        <v>0</v>
      </c>
      <c r="N12" s="200">
        <v>1</v>
      </c>
      <c r="O12" s="200">
        <v>13</v>
      </c>
      <c r="P12" s="197" t="s">
        <v>150</v>
      </c>
      <c r="Q12" s="193"/>
      <c r="R12" s="193"/>
      <c r="S12" s="193"/>
      <c r="T12" s="193"/>
      <c r="U12" s="193"/>
      <c r="V12" s="193"/>
      <c r="W12" s="193"/>
      <c r="X12" s="193"/>
      <c r="Y12" s="193"/>
      <c r="Z12" s="200" t="s">
        <v>225</v>
      </c>
      <c r="AA12" s="200" t="s">
        <v>242</v>
      </c>
      <c r="AB12" s="193"/>
      <c r="AC12" s="193"/>
      <c r="AD12" s="193"/>
      <c r="AE12" s="193"/>
      <c r="AF12" s="200" t="s">
        <v>249</v>
      </c>
      <c r="AG12" s="193"/>
      <c r="AH12" s="193"/>
      <c r="AI12" s="193"/>
      <c r="AJ12" s="193"/>
    </row>
    <row r="13" spans="1:36" x14ac:dyDescent="0.3">
      <c r="A13" s="195" t="s">
        <v>238</v>
      </c>
      <c r="B13" s="196">
        <v>46004</v>
      </c>
      <c r="C13" s="197" t="s">
        <v>80</v>
      </c>
      <c r="D13" s="198" t="s">
        <v>223</v>
      </c>
      <c r="E13" s="197" t="s">
        <v>1</v>
      </c>
      <c r="F13" s="197" t="s">
        <v>216</v>
      </c>
      <c r="G13" s="199">
        <v>0.125</v>
      </c>
      <c r="H13" s="200">
        <v>168</v>
      </c>
      <c r="I13" s="200">
        <v>21</v>
      </c>
      <c r="J13" s="200">
        <v>0</v>
      </c>
      <c r="K13" s="197" t="s">
        <v>217</v>
      </c>
      <c r="L13" s="201">
        <v>45983</v>
      </c>
      <c r="M13" s="200">
        <v>0</v>
      </c>
      <c r="N13" s="200">
        <v>2</v>
      </c>
      <c r="O13" s="200">
        <v>10</v>
      </c>
      <c r="P13" s="197" t="s">
        <v>116</v>
      </c>
      <c r="Q13" s="193"/>
      <c r="R13" s="193"/>
      <c r="S13" s="193"/>
      <c r="T13" s="193"/>
      <c r="U13" s="193"/>
      <c r="V13" s="193"/>
      <c r="W13" s="193"/>
      <c r="X13" s="193"/>
      <c r="Y13" s="193"/>
      <c r="Z13" s="200" t="s">
        <v>256</v>
      </c>
      <c r="AA13" s="200" t="s">
        <v>235</v>
      </c>
      <c r="AB13" s="193"/>
      <c r="AC13" s="193"/>
      <c r="AD13" s="193"/>
      <c r="AE13" s="193"/>
      <c r="AF13" s="200" t="s">
        <v>267</v>
      </c>
      <c r="AG13" s="193"/>
      <c r="AH13" s="193"/>
      <c r="AI13" s="193"/>
      <c r="AJ13" s="193"/>
    </row>
    <row r="14" spans="1:36" x14ac:dyDescent="0.3">
      <c r="A14" s="195" t="s">
        <v>214</v>
      </c>
      <c r="B14" s="196">
        <v>46007</v>
      </c>
      <c r="C14" s="197" t="s">
        <v>80</v>
      </c>
      <c r="D14" s="198" t="s">
        <v>215</v>
      </c>
      <c r="E14" s="197" t="s">
        <v>1</v>
      </c>
      <c r="F14" s="197" t="s">
        <v>216</v>
      </c>
      <c r="G14" s="199">
        <v>0.16669999999999999</v>
      </c>
      <c r="H14" s="200">
        <v>168</v>
      </c>
      <c r="I14" s="200">
        <v>28</v>
      </c>
      <c r="J14" s="200">
        <v>0</v>
      </c>
      <c r="K14" s="197" t="s">
        <v>217</v>
      </c>
      <c r="L14" s="201">
        <v>45983</v>
      </c>
      <c r="M14" s="200">
        <v>0</v>
      </c>
      <c r="N14" s="200">
        <v>1</v>
      </c>
      <c r="O14" s="200">
        <v>3</v>
      </c>
      <c r="P14" s="197" t="s">
        <v>116</v>
      </c>
      <c r="Q14" s="193"/>
      <c r="R14" s="193"/>
      <c r="S14" s="193"/>
      <c r="T14" s="193"/>
      <c r="U14" s="193"/>
      <c r="V14" s="193"/>
      <c r="W14" s="193"/>
      <c r="X14" s="193"/>
      <c r="Y14" s="193"/>
      <c r="Z14" s="200" t="s">
        <v>268</v>
      </c>
      <c r="AA14" s="193"/>
      <c r="AB14" s="193"/>
      <c r="AC14" s="200" t="s">
        <v>269</v>
      </c>
      <c r="AD14" s="200" t="s">
        <v>270</v>
      </c>
      <c r="AE14" s="200" t="s">
        <v>271</v>
      </c>
      <c r="AF14" s="200" t="s">
        <v>272</v>
      </c>
      <c r="AG14" s="193"/>
      <c r="AH14" s="193"/>
      <c r="AI14" s="193"/>
      <c r="AJ14" s="193"/>
    </row>
    <row r="15" spans="1:36" x14ac:dyDescent="0.3">
      <c r="A15" s="195" t="s">
        <v>222</v>
      </c>
      <c r="B15" s="196">
        <v>46009</v>
      </c>
      <c r="C15" s="197" t="s">
        <v>80</v>
      </c>
      <c r="D15" s="198" t="s">
        <v>223</v>
      </c>
      <c r="E15" s="197" t="s">
        <v>1</v>
      </c>
      <c r="F15" s="197" t="s">
        <v>216</v>
      </c>
      <c r="G15" s="199">
        <v>0.2321</v>
      </c>
      <c r="H15" s="200">
        <v>168</v>
      </c>
      <c r="I15" s="200">
        <v>39</v>
      </c>
      <c r="J15" s="200">
        <v>0</v>
      </c>
      <c r="K15" s="197" t="s">
        <v>217</v>
      </c>
      <c r="L15" s="201">
        <v>45980</v>
      </c>
      <c r="M15" s="200">
        <v>0</v>
      </c>
      <c r="N15" s="200">
        <v>0</v>
      </c>
      <c r="O15" s="200">
        <v>10</v>
      </c>
      <c r="P15" s="197" t="s">
        <v>163</v>
      </c>
      <c r="Q15" s="193"/>
      <c r="R15" s="193"/>
      <c r="S15" s="193"/>
      <c r="T15" s="193"/>
      <c r="U15" s="193"/>
      <c r="V15" s="193"/>
      <c r="W15" s="193"/>
      <c r="X15" s="193"/>
      <c r="Y15" s="193"/>
      <c r="Z15" s="200" t="s">
        <v>261</v>
      </c>
      <c r="AA15" s="193"/>
      <c r="AB15" s="193"/>
      <c r="AC15" s="200" t="s">
        <v>273</v>
      </c>
      <c r="AD15" s="200" t="s">
        <v>274</v>
      </c>
      <c r="AE15" s="200" t="s">
        <v>254</v>
      </c>
      <c r="AF15" s="200" t="s">
        <v>275</v>
      </c>
      <c r="AG15" s="193"/>
      <c r="AH15" s="193"/>
      <c r="AI15" s="193"/>
      <c r="AJ15" s="193"/>
    </row>
    <row r="16" spans="1:36" x14ac:dyDescent="0.3">
      <c r="A16" s="195" t="s">
        <v>231</v>
      </c>
      <c r="B16" s="196">
        <v>46010</v>
      </c>
      <c r="C16" s="197" t="s">
        <v>80</v>
      </c>
      <c r="D16" s="198" t="s">
        <v>232</v>
      </c>
      <c r="E16" s="197" t="s">
        <v>1</v>
      </c>
      <c r="F16" s="197" t="s">
        <v>216</v>
      </c>
      <c r="G16" s="199">
        <v>0.1726</v>
      </c>
      <c r="H16" s="200">
        <v>168</v>
      </c>
      <c r="I16" s="200">
        <v>29</v>
      </c>
      <c r="J16" s="200">
        <v>0</v>
      </c>
      <c r="K16" s="197" t="s">
        <v>217</v>
      </c>
      <c r="L16" s="201">
        <v>45983</v>
      </c>
      <c r="M16" s="200">
        <v>0</v>
      </c>
      <c r="N16" s="200">
        <v>4</v>
      </c>
      <c r="O16" s="200">
        <v>8</v>
      </c>
      <c r="P16" s="197" t="s">
        <v>116</v>
      </c>
      <c r="Q16" s="193"/>
      <c r="R16" s="193"/>
      <c r="S16" s="193"/>
      <c r="T16" s="193"/>
      <c r="U16" s="193"/>
      <c r="V16" s="193"/>
      <c r="W16" s="193"/>
      <c r="X16" s="193"/>
      <c r="Y16" s="193"/>
      <c r="Z16" s="200" t="s">
        <v>261</v>
      </c>
      <c r="AA16" s="193"/>
      <c r="AB16" s="193"/>
      <c r="AC16" s="193"/>
      <c r="AD16" s="200" t="s">
        <v>276</v>
      </c>
      <c r="AE16" s="200" t="s">
        <v>254</v>
      </c>
      <c r="AF16" s="200" t="s">
        <v>277</v>
      </c>
      <c r="AG16" s="193"/>
      <c r="AH16" s="193"/>
      <c r="AI16" s="193"/>
      <c r="AJ16" s="193"/>
    </row>
    <row r="17" spans="1:36" x14ac:dyDescent="0.3">
      <c r="A17" s="195" t="s">
        <v>238</v>
      </c>
      <c r="B17" s="196">
        <v>46011</v>
      </c>
      <c r="C17" s="197" t="s">
        <v>80</v>
      </c>
      <c r="D17" s="198" t="s">
        <v>223</v>
      </c>
      <c r="E17" s="197" t="s">
        <v>1</v>
      </c>
      <c r="F17" s="197" t="s">
        <v>216</v>
      </c>
      <c r="G17" s="199">
        <v>0.1726</v>
      </c>
      <c r="H17" s="200">
        <v>168</v>
      </c>
      <c r="I17" s="200">
        <v>29</v>
      </c>
      <c r="J17" s="200">
        <v>0</v>
      </c>
      <c r="K17" s="197" t="s">
        <v>217</v>
      </c>
      <c r="L17" s="201">
        <v>45980</v>
      </c>
      <c r="M17" s="200">
        <v>0</v>
      </c>
      <c r="N17" s="200">
        <v>0</v>
      </c>
      <c r="O17" s="200">
        <v>2</v>
      </c>
      <c r="P17" s="197" t="s">
        <v>116</v>
      </c>
      <c r="Q17" s="193"/>
      <c r="R17" s="193"/>
      <c r="S17" s="193"/>
      <c r="T17" s="193"/>
      <c r="U17" s="193"/>
      <c r="V17" s="193"/>
      <c r="W17" s="193"/>
      <c r="X17" s="193"/>
      <c r="Y17" s="200" t="s">
        <v>240</v>
      </c>
      <c r="Z17" s="200" t="s">
        <v>261</v>
      </c>
      <c r="AA17" s="193"/>
      <c r="AB17" s="193"/>
      <c r="AC17" s="200" t="s">
        <v>278</v>
      </c>
      <c r="AD17" s="200" t="s">
        <v>279</v>
      </c>
      <c r="AE17" s="200" t="s">
        <v>229</v>
      </c>
      <c r="AF17" s="200" t="s">
        <v>111</v>
      </c>
      <c r="AG17" s="193"/>
      <c r="AH17" s="193"/>
      <c r="AI17" s="193"/>
      <c r="AJ17" s="193"/>
    </row>
    <row r="18" spans="1:36" x14ac:dyDescent="0.3">
      <c r="A18" s="195" t="s">
        <v>214</v>
      </c>
      <c r="B18" s="196">
        <v>46014</v>
      </c>
      <c r="C18" s="197" t="s">
        <v>80</v>
      </c>
      <c r="D18" s="198" t="s">
        <v>215</v>
      </c>
      <c r="E18" s="197" t="s">
        <v>1</v>
      </c>
      <c r="F18" s="197" t="s">
        <v>216</v>
      </c>
      <c r="G18" s="199">
        <v>7.1400000000000005E-2</v>
      </c>
      <c r="H18" s="200">
        <v>168</v>
      </c>
      <c r="I18" s="200">
        <v>12</v>
      </c>
      <c r="J18" s="200">
        <v>0</v>
      </c>
      <c r="K18" s="197" t="s">
        <v>217</v>
      </c>
      <c r="L18" s="201">
        <v>45980</v>
      </c>
      <c r="M18" s="200">
        <v>0</v>
      </c>
      <c r="N18" s="200">
        <v>0</v>
      </c>
      <c r="O18" s="200">
        <v>2</v>
      </c>
      <c r="P18" s="197" t="s">
        <v>116</v>
      </c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200" t="s">
        <v>270</v>
      </c>
      <c r="AE18" s="200" t="s">
        <v>271</v>
      </c>
      <c r="AF18" s="200" t="s">
        <v>280</v>
      </c>
      <c r="AG18" s="193"/>
      <c r="AH18" s="193"/>
      <c r="AI18" s="193"/>
      <c r="AJ18" s="193"/>
    </row>
    <row r="19" spans="1:36" x14ac:dyDescent="0.3">
      <c r="A19" s="195" t="s">
        <v>222</v>
      </c>
      <c r="B19" s="196">
        <v>46016</v>
      </c>
      <c r="C19" s="197" t="s">
        <v>80</v>
      </c>
      <c r="D19" s="198" t="s">
        <v>223</v>
      </c>
      <c r="E19" s="197" t="s">
        <v>1</v>
      </c>
      <c r="F19" s="197" t="s">
        <v>216</v>
      </c>
      <c r="G19" s="199">
        <v>0.22620000000000001</v>
      </c>
      <c r="H19" s="200">
        <v>168</v>
      </c>
      <c r="I19" s="200">
        <v>38</v>
      </c>
      <c r="J19" s="200">
        <v>0</v>
      </c>
      <c r="K19" s="197" t="s">
        <v>217</v>
      </c>
      <c r="L19" s="201">
        <v>45983</v>
      </c>
      <c r="M19" s="200">
        <v>0</v>
      </c>
      <c r="N19" s="200">
        <v>2</v>
      </c>
      <c r="O19" s="200">
        <v>13</v>
      </c>
      <c r="P19" s="197" t="s">
        <v>138</v>
      </c>
      <c r="Q19" s="193"/>
      <c r="R19" s="193"/>
      <c r="S19" s="193"/>
      <c r="T19" s="193"/>
      <c r="U19" s="193"/>
      <c r="V19" s="193"/>
      <c r="W19" s="193"/>
      <c r="X19" s="193"/>
      <c r="Y19" s="193"/>
      <c r="Z19" s="200" t="s">
        <v>261</v>
      </c>
      <c r="AA19" s="193"/>
      <c r="AB19" s="193"/>
      <c r="AC19" s="200" t="s">
        <v>227</v>
      </c>
      <c r="AD19" s="200" t="s">
        <v>81</v>
      </c>
      <c r="AE19" s="200" t="s">
        <v>248</v>
      </c>
      <c r="AF19" s="200" t="s">
        <v>260</v>
      </c>
      <c r="AG19" s="193"/>
      <c r="AH19" s="193"/>
      <c r="AI19" s="193"/>
      <c r="AJ19" s="193"/>
    </row>
    <row r="20" spans="1:36" x14ac:dyDescent="0.3">
      <c r="A20" s="195" t="s">
        <v>231</v>
      </c>
      <c r="B20" s="196">
        <v>46017</v>
      </c>
      <c r="C20" s="197" t="s">
        <v>80</v>
      </c>
      <c r="D20" s="198" t="s">
        <v>232</v>
      </c>
      <c r="E20" s="197" t="s">
        <v>1</v>
      </c>
      <c r="F20" s="197" t="s">
        <v>216</v>
      </c>
      <c r="G20" s="199">
        <v>0.1905</v>
      </c>
      <c r="H20" s="200">
        <v>168</v>
      </c>
      <c r="I20" s="200">
        <v>32</v>
      </c>
      <c r="J20" s="200">
        <v>0</v>
      </c>
      <c r="K20" s="197" t="s">
        <v>217</v>
      </c>
      <c r="L20" s="201">
        <v>45981</v>
      </c>
      <c r="M20" s="200">
        <v>0</v>
      </c>
      <c r="N20" s="200">
        <v>0</v>
      </c>
      <c r="O20" s="200">
        <v>2</v>
      </c>
      <c r="P20" s="197" t="s">
        <v>116</v>
      </c>
      <c r="Q20" s="193"/>
      <c r="R20" s="193"/>
      <c r="S20" s="193"/>
      <c r="T20" s="193"/>
      <c r="U20" s="193"/>
      <c r="V20" s="193"/>
      <c r="W20" s="193"/>
      <c r="X20" s="193"/>
      <c r="Y20" s="193"/>
      <c r="Z20" s="200" t="s">
        <v>261</v>
      </c>
      <c r="AA20" s="200" t="s">
        <v>235</v>
      </c>
      <c r="AB20" s="193"/>
      <c r="AC20" s="200" t="s">
        <v>258</v>
      </c>
      <c r="AD20" s="200" t="s">
        <v>81</v>
      </c>
      <c r="AE20" s="200" t="s">
        <v>263</v>
      </c>
      <c r="AF20" s="200" t="s">
        <v>267</v>
      </c>
      <c r="AG20" s="193"/>
      <c r="AH20" s="193"/>
      <c r="AI20" s="193"/>
      <c r="AJ20" s="193"/>
    </row>
    <row r="21" spans="1:36" x14ac:dyDescent="0.3">
      <c r="A21" s="195" t="s">
        <v>238</v>
      </c>
      <c r="B21" s="196">
        <v>46018</v>
      </c>
      <c r="C21" s="197" t="s">
        <v>80</v>
      </c>
      <c r="D21" s="198" t="s">
        <v>223</v>
      </c>
      <c r="E21" s="197" t="s">
        <v>1</v>
      </c>
      <c r="F21" s="197" t="s">
        <v>216</v>
      </c>
      <c r="G21" s="199">
        <v>7.7399999999999997E-2</v>
      </c>
      <c r="H21" s="200">
        <v>168</v>
      </c>
      <c r="I21" s="200">
        <v>13</v>
      </c>
      <c r="J21" s="200">
        <v>0</v>
      </c>
      <c r="K21" s="197" t="s">
        <v>217</v>
      </c>
      <c r="L21" s="201">
        <v>45979</v>
      </c>
      <c r="M21" s="200">
        <v>0</v>
      </c>
      <c r="N21" s="200">
        <v>0</v>
      </c>
      <c r="O21" s="200">
        <v>1</v>
      </c>
      <c r="P21" s="197" t="s">
        <v>116</v>
      </c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200" t="s">
        <v>279</v>
      </c>
      <c r="AE21" s="200" t="s">
        <v>254</v>
      </c>
      <c r="AF21" s="200" t="s">
        <v>281</v>
      </c>
      <c r="AG21" s="193"/>
      <c r="AH21" s="193"/>
      <c r="AI21" s="193"/>
      <c r="AJ21" s="193"/>
    </row>
    <row r="22" spans="1:36" x14ac:dyDescent="0.3">
      <c r="A22" s="195" t="s">
        <v>214</v>
      </c>
      <c r="B22" s="196">
        <v>46021</v>
      </c>
      <c r="C22" s="197" t="s">
        <v>80</v>
      </c>
      <c r="D22" s="198" t="s">
        <v>215</v>
      </c>
      <c r="E22" s="197" t="s">
        <v>1</v>
      </c>
      <c r="F22" s="197" t="s">
        <v>216</v>
      </c>
      <c r="G22" s="199">
        <v>0.17860000000000001</v>
      </c>
      <c r="H22" s="200">
        <v>168</v>
      </c>
      <c r="I22" s="200">
        <v>30</v>
      </c>
      <c r="J22" s="200">
        <v>0</v>
      </c>
      <c r="K22" s="197" t="s">
        <v>217</v>
      </c>
      <c r="L22" s="201">
        <v>45983</v>
      </c>
      <c r="M22" s="200">
        <v>0</v>
      </c>
      <c r="N22" s="200">
        <v>1</v>
      </c>
      <c r="O22" s="200">
        <v>15</v>
      </c>
      <c r="P22" s="197" t="s">
        <v>138</v>
      </c>
      <c r="Q22" s="193"/>
      <c r="R22" s="193"/>
      <c r="S22" s="193"/>
      <c r="T22" s="193"/>
      <c r="U22" s="193"/>
      <c r="V22" s="193"/>
      <c r="W22" s="193"/>
      <c r="X22" s="193"/>
      <c r="Y22" s="193"/>
      <c r="Z22" s="200" t="s">
        <v>250</v>
      </c>
      <c r="AA22" s="193"/>
      <c r="AB22" s="193"/>
      <c r="AC22" s="193"/>
      <c r="AD22" s="193"/>
      <c r="AE22" s="200" t="s">
        <v>229</v>
      </c>
      <c r="AF22" s="200" t="s">
        <v>260</v>
      </c>
      <c r="AG22" s="193"/>
      <c r="AH22" s="193"/>
      <c r="AI22" s="193"/>
      <c r="AJ22" s="193"/>
    </row>
    <row r="23" spans="1:36" ht="21" x14ac:dyDescent="0.3">
      <c r="A23" s="202" t="s">
        <v>659</v>
      </c>
      <c r="B23" s="203"/>
      <c r="C23" s="202">
        <f>SUBTOTAL(103,DMM_CAI_LF_LEGACY[Flt])</f>
        <v>21</v>
      </c>
      <c r="D23" s="202"/>
      <c r="E23" s="202">
        <f>SUBTOTAL(103,DMM_CAI_LF_LEGACY[Brd-Off])</f>
        <v>21</v>
      </c>
      <c r="F23" s="202"/>
      <c r="G23" s="204">
        <f>SUBTOTAL(101,DMM_CAI_LF_LEGACY[LF%])</f>
        <v>0.20890476190476193</v>
      </c>
      <c r="H23" s="205">
        <f>SUBTOTAL(109,DMM_CAI_LF_LEGACY[CAP])</f>
        <v>3528</v>
      </c>
      <c r="I23" s="205">
        <f>SUBTOTAL(109,DMM_CAI_LF_LEGACY[BKG(Y)])</f>
        <v>737</v>
      </c>
      <c r="J23" s="205">
        <f>SUBTOTAL(109,DMM_CAI_LF_LEGACY[GRP(Y)])</f>
        <v>0</v>
      </c>
      <c r="K23" s="202"/>
      <c r="L23" s="203"/>
      <c r="M23" s="205">
        <f>SUBTOTAL(109,DMM_CAI_LF_LEGACY[TO-DAY])</f>
        <v>2</v>
      </c>
      <c r="N23" s="205">
        <f>SUBTOTAL(109,DMM_CAI_LF_LEGACY[Y-DAY])</f>
        <v>24</v>
      </c>
      <c r="O23" s="205">
        <f>SUBTOTAL(109,DMM_CAI_LF_LEGACY[WEEKLY])</f>
        <v>194</v>
      </c>
      <c r="P23" s="206"/>
      <c r="Q23" s="205">
        <f>SUBTOTAL(109,DMM_CAI_LF_LEGACY[Y])</f>
        <v>0</v>
      </c>
      <c r="R23" s="205">
        <f>SUBTOTAL(109,DMM_CAI_LF_LEGACY[B])</f>
        <v>0</v>
      </c>
      <c r="S23" s="205">
        <f>SUBTOTAL(109,DMM_CAI_LF_LEGACY[M])</f>
        <v>0</v>
      </c>
      <c r="T23" s="205">
        <f>SUBTOTAL(109,DMM_CAI_LF_LEGACY[H])</f>
        <v>0</v>
      </c>
      <c r="U23" s="205">
        <f>SUBTOTAL(109,DMM_CAI_LF_LEGACY[Q])</f>
        <v>0</v>
      </c>
      <c r="V23" s="205">
        <f>SUBTOTAL(109,DMM_CAI_LF_LEGACY[K])</f>
        <v>0</v>
      </c>
      <c r="W23" s="205">
        <f>SUBTOTAL(109,DMM_CAI_LF_LEGACY[V])</f>
        <v>0</v>
      </c>
      <c r="X23" s="205">
        <f>SUBTOTAL(109,DMM_CAI_LF_LEGACY[L])</f>
        <v>0</v>
      </c>
      <c r="Y23" s="205">
        <f>SUBTOTAL(109,DMM_CAI_LF_LEGACY[G])</f>
        <v>0</v>
      </c>
      <c r="Z23" s="205">
        <f>SUBTOTAL(109,DMM_CAI_LF_LEGACY[S])</f>
        <v>0</v>
      </c>
      <c r="AA23" s="205">
        <f>SUBTOTAL(109,DMM_CAI_LF_LEGACY[W])</f>
        <v>0</v>
      </c>
      <c r="AB23" s="205">
        <f>SUBTOTAL(109,DMM_CAI_LF_LEGACY[T])</f>
        <v>0</v>
      </c>
      <c r="AC23" s="205">
        <f>SUBTOTAL(109,DMM_CAI_LF_LEGACY[X])</f>
        <v>0</v>
      </c>
      <c r="AD23" s="205">
        <f>SUBTOTAL(109,DMM_CAI_LF_LEGACY[U])</f>
        <v>0</v>
      </c>
      <c r="AE23" s="205">
        <f>SUBTOTAL(109,DMM_CAI_LF_LEGACY[O])</f>
        <v>0</v>
      </c>
      <c r="AF23" s="205">
        <f>SUBTOTAL(109,DMM_CAI_LF_LEGACY[I])</f>
        <v>0</v>
      </c>
      <c r="AG23" s="205">
        <f>SUBTOTAL(109,DMM_CAI_LF_LEGACY[E])</f>
        <v>0</v>
      </c>
      <c r="AH23" s="205">
        <f>SUBTOTAL(109,DMM_CAI_LF_LEGACY[A])</f>
        <v>0</v>
      </c>
      <c r="AI23" s="205">
        <f>SUBTOTAL(109,DMM_CAI_LF_LEGACY[P])</f>
        <v>0</v>
      </c>
      <c r="AJ23" s="205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0"/>
  <sheetViews>
    <sheetView topLeftCell="A225" workbookViewId="0">
      <selection activeCell="F232" sqref="F232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8.6640625" hidden="1" customWidth="1"/>
  </cols>
  <sheetData>
    <row r="1" spans="1:8" ht="18" x14ac:dyDescent="0.3">
      <c r="A1" s="108" t="s">
        <v>282</v>
      </c>
      <c r="B1" s="109" t="s">
        <v>10</v>
      </c>
      <c r="C1" s="109" t="s">
        <v>11</v>
      </c>
      <c r="D1" s="109" t="s">
        <v>283</v>
      </c>
      <c r="E1" s="109" t="s">
        <v>12</v>
      </c>
      <c r="F1" s="109" t="s">
        <v>13</v>
      </c>
      <c r="G1" s="109" t="s">
        <v>14</v>
      </c>
      <c r="H1" s="110" t="s">
        <v>15</v>
      </c>
    </row>
    <row r="2" spans="1:8" ht="19.8" customHeight="1" x14ac:dyDescent="0.3">
      <c r="A2" s="111" t="s">
        <v>3</v>
      </c>
      <c r="B2" s="112" t="s">
        <v>28</v>
      </c>
      <c r="C2" s="113" t="s">
        <v>29</v>
      </c>
      <c r="D2" s="112" t="s">
        <v>1</v>
      </c>
      <c r="E2" s="112" t="s">
        <v>284</v>
      </c>
      <c r="F2" s="112" t="s">
        <v>30</v>
      </c>
      <c r="G2" s="114">
        <v>9</v>
      </c>
      <c r="H2" s="115">
        <v>563</v>
      </c>
    </row>
    <row r="3" spans="1:8" ht="19.8" customHeight="1" x14ac:dyDescent="0.3">
      <c r="A3" s="111" t="s">
        <v>3</v>
      </c>
      <c r="B3" s="112" t="s">
        <v>33</v>
      </c>
      <c r="C3" s="113" t="s">
        <v>34</v>
      </c>
      <c r="D3" s="112" t="s">
        <v>1</v>
      </c>
      <c r="E3" s="112" t="s">
        <v>285</v>
      </c>
      <c r="F3" s="112" t="s">
        <v>35</v>
      </c>
      <c r="G3" s="114">
        <v>9</v>
      </c>
      <c r="H3" s="115">
        <v>709</v>
      </c>
    </row>
    <row r="4" spans="1:8" ht="19.8" customHeight="1" x14ac:dyDescent="0.3">
      <c r="A4" s="111" t="s">
        <v>3</v>
      </c>
      <c r="B4" s="112" t="s">
        <v>33</v>
      </c>
      <c r="C4" s="113" t="s">
        <v>34</v>
      </c>
      <c r="D4" s="112" t="s">
        <v>1</v>
      </c>
      <c r="E4" s="112" t="s">
        <v>285</v>
      </c>
      <c r="F4" s="112" t="s">
        <v>38</v>
      </c>
      <c r="G4" s="114">
        <v>9</v>
      </c>
      <c r="H4" s="115">
        <v>809</v>
      </c>
    </row>
    <row r="5" spans="1:8" ht="19.8" customHeight="1" x14ac:dyDescent="0.3">
      <c r="A5" s="111" t="s">
        <v>3</v>
      </c>
      <c r="B5" s="112" t="s">
        <v>33</v>
      </c>
      <c r="C5" s="113" t="s">
        <v>34</v>
      </c>
      <c r="D5" s="112" t="s">
        <v>1</v>
      </c>
      <c r="E5" s="112" t="s">
        <v>285</v>
      </c>
      <c r="F5" s="112" t="s">
        <v>41</v>
      </c>
      <c r="G5" s="114">
        <v>9</v>
      </c>
      <c r="H5" s="115">
        <v>899</v>
      </c>
    </row>
    <row r="6" spans="1:8" ht="19.8" customHeight="1" x14ac:dyDescent="0.3">
      <c r="A6" s="116" t="s">
        <v>3</v>
      </c>
      <c r="B6" s="117" t="s">
        <v>43</v>
      </c>
      <c r="C6" s="118" t="s">
        <v>44</v>
      </c>
      <c r="D6" s="117" t="s">
        <v>1</v>
      </c>
      <c r="E6" s="117" t="s">
        <v>286</v>
      </c>
      <c r="F6" s="117" t="s">
        <v>45</v>
      </c>
      <c r="G6" s="119">
        <v>9</v>
      </c>
      <c r="H6" s="120">
        <v>952</v>
      </c>
    </row>
    <row r="7" spans="1:8" ht="19.8" customHeight="1" x14ac:dyDescent="0.3">
      <c r="A7" s="111" t="s">
        <v>287</v>
      </c>
      <c r="B7" s="112" t="s">
        <v>28</v>
      </c>
      <c r="C7" s="113" t="s">
        <v>47</v>
      </c>
      <c r="D7" s="112" t="s">
        <v>1</v>
      </c>
      <c r="E7" s="112" t="s">
        <v>284</v>
      </c>
      <c r="F7" s="112" t="s">
        <v>30</v>
      </c>
      <c r="G7" s="114">
        <v>9</v>
      </c>
      <c r="H7" s="115">
        <v>439</v>
      </c>
    </row>
    <row r="8" spans="1:8" ht="19.8" customHeight="1" x14ac:dyDescent="0.3">
      <c r="A8" s="111" t="s">
        <v>287</v>
      </c>
      <c r="B8" s="112" t="s">
        <v>43</v>
      </c>
      <c r="C8" s="113" t="s">
        <v>44</v>
      </c>
      <c r="D8" s="112" t="s">
        <v>1</v>
      </c>
      <c r="E8" s="112" t="s">
        <v>288</v>
      </c>
      <c r="F8" s="112" t="s">
        <v>45</v>
      </c>
      <c r="G8" s="114">
        <v>9</v>
      </c>
      <c r="H8" s="115">
        <v>862</v>
      </c>
    </row>
    <row r="9" spans="1:8" ht="19.8" customHeight="1" x14ac:dyDescent="0.3">
      <c r="A9" s="111" t="s">
        <v>287</v>
      </c>
      <c r="B9" s="112" t="s">
        <v>43</v>
      </c>
      <c r="C9" s="113" t="s">
        <v>50</v>
      </c>
      <c r="D9" s="112" t="s">
        <v>1</v>
      </c>
      <c r="E9" s="112" t="s">
        <v>289</v>
      </c>
      <c r="F9" s="112" t="s">
        <v>45</v>
      </c>
      <c r="G9" s="114">
        <v>9</v>
      </c>
      <c r="H9" s="115">
        <v>952</v>
      </c>
    </row>
    <row r="10" spans="1:8" ht="19.8" customHeight="1" x14ac:dyDescent="0.3">
      <c r="A10" s="111" t="s">
        <v>287</v>
      </c>
      <c r="B10" s="112" t="s">
        <v>43</v>
      </c>
      <c r="C10" s="113" t="s">
        <v>52</v>
      </c>
      <c r="D10" s="112" t="s">
        <v>1</v>
      </c>
      <c r="E10" s="112" t="s">
        <v>290</v>
      </c>
      <c r="F10" s="112" t="s">
        <v>45</v>
      </c>
      <c r="G10" s="114">
        <v>9</v>
      </c>
      <c r="H10" s="121" t="s">
        <v>53</v>
      </c>
    </row>
    <row r="11" spans="1:8" ht="19.8" customHeight="1" x14ac:dyDescent="0.3">
      <c r="A11" s="116" t="s">
        <v>287</v>
      </c>
      <c r="B11" s="117" t="s">
        <v>54</v>
      </c>
      <c r="C11" s="118" t="s">
        <v>55</v>
      </c>
      <c r="D11" s="117" t="s">
        <v>1</v>
      </c>
      <c r="E11" s="117" t="s">
        <v>291</v>
      </c>
      <c r="F11" s="117" t="s">
        <v>56</v>
      </c>
      <c r="G11" s="119">
        <v>4</v>
      </c>
      <c r="H11" s="122" t="s">
        <v>58</v>
      </c>
    </row>
    <row r="12" spans="1:8" ht="19.8" customHeight="1" x14ac:dyDescent="0.3">
      <c r="A12" s="111" t="s">
        <v>292</v>
      </c>
      <c r="B12" s="112" t="s">
        <v>59</v>
      </c>
      <c r="C12" s="113" t="s">
        <v>60</v>
      </c>
      <c r="D12" s="112" t="s">
        <v>1</v>
      </c>
      <c r="E12" s="112" t="s">
        <v>291</v>
      </c>
      <c r="F12" s="112" t="s">
        <v>61</v>
      </c>
      <c r="G12" s="114">
        <v>5</v>
      </c>
      <c r="H12" s="115">
        <v>369</v>
      </c>
    </row>
    <row r="13" spans="1:8" ht="19.8" customHeight="1" x14ac:dyDescent="0.3">
      <c r="A13" s="111" t="s">
        <v>292</v>
      </c>
      <c r="B13" s="112" t="s">
        <v>33</v>
      </c>
      <c r="C13" s="113" t="s">
        <v>68</v>
      </c>
      <c r="D13" s="112" t="s">
        <v>1</v>
      </c>
      <c r="E13" s="112" t="s">
        <v>293</v>
      </c>
      <c r="F13" s="112" t="s">
        <v>35</v>
      </c>
      <c r="G13" s="114">
        <v>5</v>
      </c>
      <c r="H13" s="115">
        <v>379</v>
      </c>
    </row>
    <row r="14" spans="1:8" ht="19.8" customHeight="1" x14ac:dyDescent="0.3">
      <c r="A14" s="111" t="s">
        <v>292</v>
      </c>
      <c r="B14" s="112" t="s">
        <v>28</v>
      </c>
      <c r="C14" s="113" t="s">
        <v>75</v>
      </c>
      <c r="D14" s="112" t="s">
        <v>1</v>
      </c>
      <c r="E14" s="112" t="s">
        <v>284</v>
      </c>
      <c r="F14" s="112" t="s">
        <v>30</v>
      </c>
      <c r="G14" s="114">
        <v>9</v>
      </c>
      <c r="H14" s="115">
        <v>439</v>
      </c>
    </row>
    <row r="15" spans="1:8" ht="19.8" customHeight="1" x14ac:dyDescent="0.3">
      <c r="A15" s="111" t="s">
        <v>292</v>
      </c>
      <c r="B15" s="112" t="s">
        <v>33</v>
      </c>
      <c r="C15" s="113" t="s">
        <v>34</v>
      </c>
      <c r="D15" s="112" t="s">
        <v>1</v>
      </c>
      <c r="E15" s="112" t="s">
        <v>285</v>
      </c>
      <c r="F15" s="112" t="s">
        <v>35</v>
      </c>
      <c r="G15" s="114">
        <v>9</v>
      </c>
      <c r="H15" s="115">
        <v>439</v>
      </c>
    </row>
    <row r="16" spans="1:8" ht="19.8" customHeight="1" x14ac:dyDescent="0.3">
      <c r="A16" s="111" t="s">
        <v>292</v>
      </c>
      <c r="B16" s="112" t="s">
        <v>33</v>
      </c>
      <c r="C16" s="113" t="s">
        <v>68</v>
      </c>
      <c r="D16" s="112" t="s">
        <v>1</v>
      </c>
      <c r="E16" s="112" t="s">
        <v>293</v>
      </c>
      <c r="F16" s="112" t="s">
        <v>38</v>
      </c>
      <c r="G16" s="114">
        <v>5</v>
      </c>
      <c r="H16" s="115">
        <v>479</v>
      </c>
    </row>
    <row r="17" spans="1:8" ht="19.8" customHeight="1" x14ac:dyDescent="0.3">
      <c r="A17" s="123" t="s">
        <v>292</v>
      </c>
      <c r="B17" s="124" t="s">
        <v>76</v>
      </c>
      <c r="C17" s="125" t="s">
        <v>77</v>
      </c>
      <c r="D17" s="124" t="s">
        <v>1</v>
      </c>
      <c r="E17" s="124" t="s">
        <v>215</v>
      </c>
      <c r="F17" s="124" t="s">
        <v>30</v>
      </c>
      <c r="G17" s="126">
        <v>6</v>
      </c>
      <c r="H17" s="127">
        <v>485</v>
      </c>
    </row>
    <row r="18" spans="1:8" ht="19.8" customHeight="1" x14ac:dyDescent="0.3">
      <c r="A18" s="128">
        <v>45986</v>
      </c>
      <c r="B18" s="112" t="s">
        <v>59</v>
      </c>
      <c r="C18" s="113" t="s">
        <v>60</v>
      </c>
      <c r="D18" s="112" t="s">
        <v>1</v>
      </c>
      <c r="E18" s="129">
        <v>1.305555555555556</v>
      </c>
      <c r="F18" s="112" t="s">
        <v>64</v>
      </c>
      <c r="G18" s="114">
        <v>5</v>
      </c>
      <c r="H18" s="115">
        <v>519</v>
      </c>
    </row>
    <row r="19" spans="1:8" ht="19.8" customHeight="1" x14ac:dyDescent="0.3">
      <c r="A19" s="128">
        <v>45986</v>
      </c>
      <c r="B19" s="112" t="s">
        <v>33</v>
      </c>
      <c r="C19" s="113" t="s">
        <v>34</v>
      </c>
      <c r="D19" s="112" t="s">
        <v>1</v>
      </c>
      <c r="E19" s="129">
        <v>1.833333333333333</v>
      </c>
      <c r="F19" s="112" t="s">
        <v>38</v>
      </c>
      <c r="G19" s="114">
        <v>9</v>
      </c>
      <c r="H19" s="115">
        <v>539</v>
      </c>
    </row>
    <row r="20" spans="1:8" ht="19.8" customHeight="1" x14ac:dyDescent="0.3">
      <c r="A20" s="128">
        <v>45986</v>
      </c>
      <c r="B20" s="112" t="s">
        <v>43</v>
      </c>
      <c r="C20" s="113" t="s">
        <v>52</v>
      </c>
      <c r="D20" s="112" t="s">
        <v>1</v>
      </c>
      <c r="E20" s="129">
        <v>1.1701388888888891</v>
      </c>
      <c r="F20" s="112" t="s">
        <v>45</v>
      </c>
      <c r="G20" s="114">
        <v>9</v>
      </c>
      <c r="H20" s="115">
        <v>547</v>
      </c>
    </row>
    <row r="21" spans="1:8" ht="19.8" customHeight="1" x14ac:dyDescent="0.3">
      <c r="A21" s="128">
        <v>45986</v>
      </c>
      <c r="B21" s="112" t="s">
        <v>33</v>
      </c>
      <c r="C21" s="113" t="s">
        <v>68</v>
      </c>
      <c r="D21" s="112" t="s">
        <v>1</v>
      </c>
      <c r="E21" s="129">
        <v>1.197916666666667</v>
      </c>
      <c r="F21" s="112" t="s">
        <v>41</v>
      </c>
      <c r="G21" s="114">
        <v>5</v>
      </c>
      <c r="H21" s="115">
        <v>569</v>
      </c>
    </row>
    <row r="22" spans="1:8" ht="19.8" customHeight="1" x14ac:dyDescent="0.3">
      <c r="A22" s="128">
        <v>45986</v>
      </c>
      <c r="B22" s="112" t="s">
        <v>33</v>
      </c>
      <c r="C22" s="113" t="s">
        <v>34</v>
      </c>
      <c r="D22" s="112" t="s">
        <v>1</v>
      </c>
      <c r="E22" s="129">
        <v>1.833333333333333</v>
      </c>
      <c r="F22" s="112" t="s">
        <v>41</v>
      </c>
      <c r="G22" s="114">
        <v>9</v>
      </c>
      <c r="H22" s="115">
        <v>629</v>
      </c>
    </row>
    <row r="23" spans="1:8" ht="19.8" customHeight="1" x14ac:dyDescent="0.3">
      <c r="A23" s="128">
        <v>45986</v>
      </c>
      <c r="B23" s="112" t="s">
        <v>43</v>
      </c>
      <c r="C23" s="113" t="s">
        <v>44</v>
      </c>
      <c r="D23" s="112" t="s">
        <v>1</v>
      </c>
      <c r="E23" s="129">
        <v>1.864583333333333</v>
      </c>
      <c r="F23" s="112" t="s">
        <v>45</v>
      </c>
      <c r="G23" s="114">
        <v>9</v>
      </c>
      <c r="H23" s="115">
        <v>682</v>
      </c>
    </row>
    <row r="24" spans="1:8" ht="19.8" customHeight="1" x14ac:dyDescent="0.3">
      <c r="A24" s="128">
        <v>45986</v>
      </c>
      <c r="B24" s="112" t="s">
        <v>43</v>
      </c>
      <c r="C24" s="113" t="s">
        <v>50</v>
      </c>
      <c r="D24" s="112" t="s">
        <v>1</v>
      </c>
      <c r="E24" s="129">
        <v>1.5277777777777779</v>
      </c>
      <c r="F24" s="112" t="s">
        <v>45</v>
      </c>
      <c r="G24" s="114">
        <v>9</v>
      </c>
      <c r="H24" s="115">
        <v>862</v>
      </c>
    </row>
    <row r="25" spans="1:8" ht="19.8" customHeight="1" x14ac:dyDescent="0.3">
      <c r="A25" s="128">
        <v>45986</v>
      </c>
      <c r="B25" s="112" t="s">
        <v>59</v>
      </c>
      <c r="C25" s="113" t="s">
        <v>60</v>
      </c>
      <c r="D25" s="112" t="s">
        <v>1</v>
      </c>
      <c r="E25" s="129">
        <v>1.305555555555556</v>
      </c>
      <c r="F25" s="112" t="s">
        <v>67</v>
      </c>
      <c r="G25" s="114">
        <v>5</v>
      </c>
      <c r="H25" s="115">
        <v>899</v>
      </c>
    </row>
    <row r="26" spans="1:8" ht="19.8" customHeight="1" x14ac:dyDescent="0.3">
      <c r="A26" s="130">
        <v>45986</v>
      </c>
      <c r="B26" s="117" t="s">
        <v>54</v>
      </c>
      <c r="C26" s="118" t="s">
        <v>55</v>
      </c>
      <c r="D26" s="117" t="s">
        <v>1</v>
      </c>
      <c r="E26" s="131">
        <v>1.305555555555556</v>
      </c>
      <c r="F26" s="117" t="s">
        <v>56</v>
      </c>
      <c r="G26" s="119">
        <v>4</v>
      </c>
      <c r="H26" s="122" t="s">
        <v>85</v>
      </c>
    </row>
    <row r="27" spans="1:8" ht="19.8" customHeight="1" x14ac:dyDescent="0.3">
      <c r="A27" s="128">
        <v>45987</v>
      </c>
      <c r="B27" s="112" t="s">
        <v>59</v>
      </c>
      <c r="C27" s="113" t="s">
        <v>60</v>
      </c>
      <c r="D27" s="112" t="s">
        <v>1</v>
      </c>
      <c r="E27" s="129">
        <v>1.305555555555556</v>
      </c>
      <c r="F27" s="112" t="s">
        <v>86</v>
      </c>
      <c r="G27" s="114">
        <v>19</v>
      </c>
      <c r="H27" s="115">
        <v>369</v>
      </c>
    </row>
    <row r="28" spans="1:8" ht="19.8" customHeight="1" x14ac:dyDescent="0.3">
      <c r="A28" s="128">
        <v>45987</v>
      </c>
      <c r="B28" s="112" t="s">
        <v>33</v>
      </c>
      <c r="C28" s="113" t="s">
        <v>34</v>
      </c>
      <c r="D28" s="112" t="s">
        <v>1</v>
      </c>
      <c r="E28" s="129">
        <v>1.833333333333333</v>
      </c>
      <c r="F28" s="112" t="s">
        <v>88</v>
      </c>
      <c r="G28" s="114">
        <v>7</v>
      </c>
      <c r="H28" s="115">
        <v>409</v>
      </c>
    </row>
    <row r="29" spans="1:8" ht="19.8" customHeight="1" x14ac:dyDescent="0.3">
      <c r="A29" s="128">
        <v>45987</v>
      </c>
      <c r="B29" s="112" t="s">
        <v>28</v>
      </c>
      <c r="C29" s="113" t="s">
        <v>47</v>
      </c>
      <c r="D29" s="112" t="s">
        <v>1</v>
      </c>
      <c r="E29" s="129">
        <v>1.895833333333333</v>
      </c>
      <c r="F29" s="112" t="s">
        <v>30</v>
      </c>
      <c r="G29" s="114">
        <v>9</v>
      </c>
      <c r="H29" s="115">
        <v>439</v>
      </c>
    </row>
    <row r="30" spans="1:8" ht="19.8" customHeight="1" x14ac:dyDescent="0.3">
      <c r="A30" s="128">
        <v>45987</v>
      </c>
      <c r="B30" s="112" t="s">
        <v>43</v>
      </c>
      <c r="C30" s="113" t="s">
        <v>52</v>
      </c>
      <c r="D30" s="112" t="s">
        <v>1</v>
      </c>
      <c r="E30" s="129">
        <v>1.1701388888888891</v>
      </c>
      <c r="F30" s="112" t="s">
        <v>91</v>
      </c>
      <c r="G30" s="114">
        <v>9</v>
      </c>
      <c r="H30" s="115">
        <v>441</v>
      </c>
    </row>
    <row r="31" spans="1:8" ht="19.8" customHeight="1" x14ac:dyDescent="0.3">
      <c r="A31" s="128">
        <v>45987</v>
      </c>
      <c r="B31" s="112" t="s">
        <v>43</v>
      </c>
      <c r="C31" s="113" t="s">
        <v>44</v>
      </c>
      <c r="D31" s="112" t="s">
        <v>1</v>
      </c>
      <c r="E31" s="129">
        <v>1.864583333333333</v>
      </c>
      <c r="F31" s="112" t="s">
        <v>45</v>
      </c>
      <c r="G31" s="114">
        <v>9</v>
      </c>
      <c r="H31" s="115">
        <v>682</v>
      </c>
    </row>
    <row r="32" spans="1:8" ht="19.8" customHeight="1" x14ac:dyDescent="0.3">
      <c r="A32" s="128">
        <v>45987</v>
      </c>
      <c r="B32" s="112" t="s">
        <v>43</v>
      </c>
      <c r="C32" s="113" t="s">
        <v>50</v>
      </c>
      <c r="D32" s="112" t="s">
        <v>1</v>
      </c>
      <c r="E32" s="129">
        <v>1.5277777777777779</v>
      </c>
      <c r="F32" s="112" t="s">
        <v>45</v>
      </c>
      <c r="G32" s="114">
        <v>9</v>
      </c>
      <c r="H32" s="115">
        <v>749</v>
      </c>
    </row>
    <row r="33" spans="1:8" ht="19.8" customHeight="1" x14ac:dyDescent="0.3">
      <c r="A33" s="130">
        <v>45987</v>
      </c>
      <c r="B33" s="117" t="s">
        <v>54</v>
      </c>
      <c r="C33" s="118" t="s">
        <v>55</v>
      </c>
      <c r="D33" s="117" t="s">
        <v>1</v>
      </c>
      <c r="E33" s="131">
        <v>1.305555555555556</v>
      </c>
      <c r="F33" s="117" t="s">
        <v>56</v>
      </c>
      <c r="G33" s="119">
        <v>4</v>
      </c>
      <c r="H33" s="122" t="s">
        <v>85</v>
      </c>
    </row>
    <row r="34" spans="1:8" ht="19.8" customHeight="1" x14ac:dyDescent="0.3">
      <c r="A34" s="128">
        <v>45988</v>
      </c>
      <c r="B34" s="112" t="s">
        <v>59</v>
      </c>
      <c r="C34" s="113" t="s">
        <v>60</v>
      </c>
      <c r="D34" s="112" t="s">
        <v>1</v>
      </c>
      <c r="E34" s="129">
        <v>1.305555555555556</v>
      </c>
      <c r="F34" s="112" t="s">
        <v>61</v>
      </c>
      <c r="G34" s="114">
        <v>1</v>
      </c>
      <c r="H34" s="115">
        <v>339</v>
      </c>
    </row>
    <row r="35" spans="1:8" ht="19.8" customHeight="1" x14ac:dyDescent="0.3">
      <c r="A35" s="128">
        <v>45988</v>
      </c>
      <c r="B35" s="112" t="s">
        <v>33</v>
      </c>
      <c r="C35" s="113" t="s">
        <v>68</v>
      </c>
      <c r="D35" s="112" t="s">
        <v>1</v>
      </c>
      <c r="E35" s="129">
        <v>1.197916666666667</v>
      </c>
      <c r="F35" s="112" t="s">
        <v>35</v>
      </c>
      <c r="G35" s="114">
        <v>9</v>
      </c>
      <c r="H35" s="115">
        <v>349</v>
      </c>
    </row>
    <row r="36" spans="1:8" ht="19.8" customHeight="1" x14ac:dyDescent="0.3">
      <c r="A36" s="128">
        <v>45988</v>
      </c>
      <c r="B36" s="112" t="s">
        <v>102</v>
      </c>
      <c r="C36" s="113" t="s">
        <v>103</v>
      </c>
      <c r="D36" s="112" t="s">
        <v>1</v>
      </c>
      <c r="E36" s="129">
        <v>1.8888888888888891</v>
      </c>
      <c r="F36" s="112" t="s">
        <v>30</v>
      </c>
      <c r="G36" s="114">
        <v>9</v>
      </c>
      <c r="H36" s="115">
        <v>371</v>
      </c>
    </row>
    <row r="37" spans="1:8" ht="19.8" customHeight="1" x14ac:dyDescent="0.3">
      <c r="A37" s="128">
        <v>45988</v>
      </c>
      <c r="B37" s="112" t="s">
        <v>102</v>
      </c>
      <c r="C37" s="113" t="s">
        <v>105</v>
      </c>
      <c r="D37" s="112" t="s">
        <v>1</v>
      </c>
      <c r="E37" s="129">
        <v>1.2847222222222221</v>
      </c>
      <c r="F37" s="112" t="s">
        <v>30</v>
      </c>
      <c r="G37" s="114">
        <v>9</v>
      </c>
      <c r="H37" s="115">
        <v>371</v>
      </c>
    </row>
    <row r="38" spans="1:8" ht="19.8" customHeight="1" x14ac:dyDescent="0.3">
      <c r="A38" s="128">
        <v>45988</v>
      </c>
      <c r="B38" s="112" t="s">
        <v>33</v>
      </c>
      <c r="C38" s="113" t="s">
        <v>34</v>
      </c>
      <c r="D38" s="112" t="s">
        <v>1</v>
      </c>
      <c r="E38" s="129">
        <v>1.833333333333333</v>
      </c>
      <c r="F38" s="112" t="s">
        <v>35</v>
      </c>
      <c r="G38" s="114">
        <v>9</v>
      </c>
      <c r="H38" s="115">
        <v>409</v>
      </c>
    </row>
    <row r="39" spans="1:8" ht="19.8" customHeight="1" x14ac:dyDescent="0.3">
      <c r="A39" s="128">
        <v>45988</v>
      </c>
      <c r="B39" s="112" t="s">
        <v>43</v>
      </c>
      <c r="C39" s="113" t="s">
        <v>52</v>
      </c>
      <c r="D39" s="112" t="s">
        <v>1</v>
      </c>
      <c r="E39" s="129">
        <v>1.1701388888888891</v>
      </c>
      <c r="F39" s="112" t="s">
        <v>106</v>
      </c>
      <c r="G39" s="114">
        <v>9</v>
      </c>
      <c r="H39" s="115">
        <v>415</v>
      </c>
    </row>
    <row r="40" spans="1:8" ht="19.8" customHeight="1" x14ac:dyDescent="0.3">
      <c r="A40" s="128">
        <v>45988</v>
      </c>
      <c r="B40" s="112" t="s">
        <v>43</v>
      </c>
      <c r="C40" s="113" t="s">
        <v>50</v>
      </c>
      <c r="D40" s="112" t="s">
        <v>1</v>
      </c>
      <c r="E40" s="129">
        <v>1.5277777777777779</v>
      </c>
      <c r="F40" s="112" t="s">
        <v>91</v>
      </c>
      <c r="G40" s="114">
        <v>9</v>
      </c>
      <c r="H40" s="115">
        <v>437</v>
      </c>
    </row>
    <row r="41" spans="1:8" ht="19.8" customHeight="1" x14ac:dyDescent="0.3">
      <c r="A41" s="128">
        <v>45988</v>
      </c>
      <c r="B41" s="112" t="s">
        <v>28</v>
      </c>
      <c r="C41" s="113" t="s">
        <v>29</v>
      </c>
      <c r="D41" s="112" t="s">
        <v>1</v>
      </c>
      <c r="E41" s="129">
        <v>1.5625</v>
      </c>
      <c r="F41" s="112" t="s">
        <v>30</v>
      </c>
      <c r="G41" s="114">
        <v>9</v>
      </c>
      <c r="H41" s="115">
        <v>439</v>
      </c>
    </row>
    <row r="42" spans="1:8" ht="19.8" customHeight="1" x14ac:dyDescent="0.3">
      <c r="A42" s="128">
        <v>45988</v>
      </c>
      <c r="B42" s="112" t="s">
        <v>28</v>
      </c>
      <c r="C42" s="113" t="s">
        <v>75</v>
      </c>
      <c r="D42" s="112" t="s">
        <v>1</v>
      </c>
      <c r="E42" s="129">
        <v>1.958333333333333</v>
      </c>
      <c r="F42" s="112" t="s">
        <v>30</v>
      </c>
      <c r="G42" s="114">
        <v>9</v>
      </c>
      <c r="H42" s="115">
        <v>439</v>
      </c>
    </row>
    <row r="43" spans="1:8" ht="19.8" customHeight="1" x14ac:dyDescent="0.3">
      <c r="A43" s="132">
        <v>45988</v>
      </c>
      <c r="B43" s="124" t="s">
        <v>76</v>
      </c>
      <c r="C43" s="125" t="s">
        <v>77</v>
      </c>
      <c r="D43" s="124" t="s">
        <v>1</v>
      </c>
      <c r="E43" s="133">
        <v>1.9236111111111109</v>
      </c>
      <c r="F43" s="124" t="s">
        <v>30</v>
      </c>
      <c r="G43" s="126">
        <v>6</v>
      </c>
      <c r="H43" s="127">
        <v>446</v>
      </c>
    </row>
    <row r="44" spans="1:8" ht="19.8" customHeight="1" x14ac:dyDescent="0.3">
      <c r="A44" s="128">
        <v>45988</v>
      </c>
      <c r="B44" s="112" t="s">
        <v>33</v>
      </c>
      <c r="C44" s="113" t="s">
        <v>68</v>
      </c>
      <c r="D44" s="112" t="s">
        <v>1</v>
      </c>
      <c r="E44" s="129">
        <v>1.197916666666667</v>
      </c>
      <c r="F44" s="112" t="s">
        <v>38</v>
      </c>
      <c r="G44" s="114">
        <v>9</v>
      </c>
      <c r="H44" s="115">
        <v>449</v>
      </c>
    </row>
    <row r="45" spans="1:8" ht="19.8" customHeight="1" x14ac:dyDescent="0.3">
      <c r="A45" s="128">
        <v>45988</v>
      </c>
      <c r="B45" s="112" t="s">
        <v>59</v>
      </c>
      <c r="C45" s="113" t="s">
        <v>60</v>
      </c>
      <c r="D45" s="112" t="s">
        <v>1</v>
      </c>
      <c r="E45" s="129">
        <v>1.305555555555556</v>
      </c>
      <c r="F45" s="112" t="s">
        <v>64</v>
      </c>
      <c r="G45" s="114">
        <v>1</v>
      </c>
      <c r="H45" s="115">
        <v>489</v>
      </c>
    </row>
    <row r="46" spans="1:8" ht="19.8" customHeight="1" x14ac:dyDescent="0.3">
      <c r="A46" s="128">
        <v>45988</v>
      </c>
      <c r="B46" s="112" t="s">
        <v>33</v>
      </c>
      <c r="C46" s="113" t="s">
        <v>34</v>
      </c>
      <c r="D46" s="112" t="s">
        <v>1</v>
      </c>
      <c r="E46" s="129">
        <v>1.833333333333333</v>
      </c>
      <c r="F46" s="112" t="s">
        <v>38</v>
      </c>
      <c r="G46" s="114">
        <v>9</v>
      </c>
      <c r="H46" s="115">
        <v>509</v>
      </c>
    </row>
    <row r="47" spans="1:8" ht="19.8" customHeight="1" x14ac:dyDescent="0.3">
      <c r="A47" s="128">
        <v>45988</v>
      </c>
      <c r="B47" s="112" t="s">
        <v>33</v>
      </c>
      <c r="C47" s="113" t="s">
        <v>68</v>
      </c>
      <c r="D47" s="112" t="s">
        <v>1</v>
      </c>
      <c r="E47" s="129">
        <v>1.197916666666667</v>
      </c>
      <c r="F47" s="112" t="s">
        <v>41</v>
      </c>
      <c r="G47" s="114">
        <v>9</v>
      </c>
      <c r="H47" s="115">
        <v>539</v>
      </c>
    </row>
    <row r="48" spans="1:8" ht="19.8" customHeight="1" x14ac:dyDescent="0.3">
      <c r="A48" s="128">
        <v>45988</v>
      </c>
      <c r="B48" s="112" t="s">
        <v>43</v>
      </c>
      <c r="C48" s="113" t="s">
        <v>44</v>
      </c>
      <c r="D48" s="112" t="s">
        <v>1</v>
      </c>
      <c r="E48" s="129">
        <v>1.881944444444444</v>
      </c>
      <c r="F48" s="112" t="s">
        <v>45</v>
      </c>
      <c r="G48" s="114">
        <v>9</v>
      </c>
      <c r="H48" s="115">
        <v>583</v>
      </c>
    </row>
    <row r="49" spans="1:8" ht="19.8" customHeight="1" x14ac:dyDescent="0.3">
      <c r="A49" s="128">
        <v>45988</v>
      </c>
      <c r="B49" s="112" t="s">
        <v>33</v>
      </c>
      <c r="C49" s="113" t="s">
        <v>34</v>
      </c>
      <c r="D49" s="112" t="s">
        <v>1</v>
      </c>
      <c r="E49" s="129">
        <v>1.833333333333333</v>
      </c>
      <c r="F49" s="112" t="s">
        <v>41</v>
      </c>
      <c r="G49" s="114">
        <v>9</v>
      </c>
      <c r="H49" s="115">
        <v>599</v>
      </c>
    </row>
    <row r="50" spans="1:8" ht="19.8" customHeight="1" x14ac:dyDescent="0.3">
      <c r="A50" s="128">
        <v>45988</v>
      </c>
      <c r="B50" s="112" t="s">
        <v>59</v>
      </c>
      <c r="C50" s="113" t="s">
        <v>60</v>
      </c>
      <c r="D50" s="112" t="s">
        <v>1</v>
      </c>
      <c r="E50" s="129">
        <v>1.305555555555556</v>
      </c>
      <c r="F50" s="112" t="s">
        <v>67</v>
      </c>
      <c r="G50" s="114">
        <v>1</v>
      </c>
      <c r="H50" s="115">
        <v>899</v>
      </c>
    </row>
    <row r="51" spans="1:8" ht="19.8" customHeight="1" x14ac:dyDescent="0.3">
      <c r="A51" s="130">
        <v>45988</v>
      </c>
      <c r="B51" s="117" t="s">
        <v>54</v>
      </c>
      <c r="C51" s="118" t="s">
        <v>55</v>
      </c>
      <c r="D51" s="117" t="s">
        <v>1</v>
      </c>
      <c r="E51" s="131">
        <v>1.305555555555556</v>
      </c>
      <c r="F51" s="117" t="s">
        <v>56</v>
      </c>
      <c r="G51" s="119">
        <v>4</v>
      </c>
      <c r="H51" s="122" t="s">
        <v>85</v>
      </c>
    </row>
    <row r="52" spans="1:8" ht="19.8" customHeight="1" x14ac:dyDescent="0.3">
      <c r="A52" s="128">
        <v>45989</v>
      </c>
      <c r="B52" s="112" t="s">
        <v>59</v>
      </c>
      <c r="C52" s="113" t="s">
        <v>60</v>
      </c>
      <c r="D52" s="112" t="s">
        <v>1</v>
      </c>
      <c r="E52" s="129">
        <v>1.305555555555556</v>
      </c>
      <c r="F52" s="112" t="s">
        <v>61</v>
      </c>
      <c r="G52" s="114">
        <v>5</v>
      </c>
      <c r="H52" s="115">
        <v>339</v>
      </c>
    </row>
    <row r="53" spans="1:8" ht="19.8" customHeight="1" x14ac:dyDescent="0.3">
      <c r="A53" s="128">
        <v>45989</v>
      </c>
      <c r="B53" s="112" t="s">
        <v>33</v>
      </c>
      <c r="C53" s="113" t="s">
        <v>34</v>
      </c>
      <c r="D53" s="112" t="s">
        <v>1</v>
      </c>
      <c r="E53" s="129">
        <v>1.833333333333333</v>
      </c>
      <c r="F53" s="112" t="s">
        <v>35</v>
      </c>
      <c r="G53" s="114">
        <v>9</v>
      </c>
      <c r="H53" s="115">
        <v>349</v>
      </c>
    </row>
    <row r="54" spans="1:8" ht="19.8" customHeight="1" x14ac:dyDescent="0.3">
      <c r="A54" s="128">
        <v>45989</v>
      </c>
      <c r="B54" s="112" t="s">
        <v>102</v>
      </c>
      <c r="C54" s="113" t="s">
        <v>113</v>
      </c>
      <c r="D54" s="112" t="s">
        <v>1</v>
      </c>
      <c r="E54" s="129">
        <v>1.1736111111111109</v>
      </c>
      <c r="F54" s="112" t="s">
        <v>30</v>
      </c>
      <c r="G54" s="114">
        <v>9</v>
      </c>
      <c r="H54" s="115">
        <v>371</v>
      </c>
    </row>
    <row r="55" spans="1:8" ht="19.8" customHeight="1" x14ac:dyDescent="0.3">
      <c r="A55" s="128">
        <v>45989</v>
      </c>
      <c r="B55" s="112" t="s">
        <v>43</v>
      </c>
      <c r="C55" s="113" t="s">
        <v>44</v>
      </c>
      <c r="D55" s="112" t="s">
        <v>1</v>
      </c>
      <c r="E55" s="129">
        <v>1.864583333333333</v>
      </c>
      <c r="F55" s="112" t="s">
        <v>106</v>
      </c>
      <c r="G55" s="114">
        <v>9</v>
      </c>
      <c r="H55" s="115">
        <v>411</v>
      </c>
    </row>
    <row r="56" spans="1:8" ht="19.8" customHeight="1" x14ac:dyDescent="0.3">
      <c r="A56" s="128">
        <v>45989</v>
      </c>
      <c r="B56" s="112" t="s">
        <v>43</v>
      </c>
      <c r="C56" s="113" t="s">
        <v>52</v>
      </c>
      <c r="D56" s="112" t="s">
        <v>1</v>
      </c>
      <c r="E56" s="129">
        <v>1.1701388888888891</v>
      </c>
      <c r="F56" s="112" t="s">
        <v>106</v>
      </c>
      <c r="G56" s="114">
        <v>9</v>
      </c>
      <c r="H56" s="115">
        <v>411</v>
      </c>
    </row>
    <row r="57" spans="1:8" ht="19.8" customHeight="1" x14ac:dyDescent="0.3">
      <c r="A57" s="128">
        <v>45989</v>
      </c>
      <c r="B57" s="112" t="s">
        <v>28</v>
      </c>
      <c r="C57" s="113" t="s">
        <v>47</v>
      </c>
      <c r="D57" s="112" t="s">
        <v>1</v>
      </c>
      <c r="E57" s="129">
        <v>1.958333333333333</v>
      </c>
      <c r="F57" s="112" t="s">
        <v>30</v>
      </c>
      <c r="G57" s="114">
        <v>9</v>
      </c>
      <c r="H57" s="115">
        <v>439</v>
      </c>
    </row>
    <row r="58" spans="1:8" ht="19.8" customHeight="1" x14ac:dyDescent="0.3">
      <c r="A58" s="132">
        <v>45989</v>
      </c>
      <c r="B58" s="124" t="s">
        <v>76</v>
      </c>
      <c r="C58" s="125" t="s">
        <v>77</v>
      </c>
      <c r="D58" s="124" t="s">
        <v>1</v>
      </c>
      <c r="E58" s="133">
        <v>1.5798611111111109</v>
      </c>
      <c r="F58" s="124" t="s">
        <v>30</v>
      </c>
      <c r="G58" s="126">
        <v>9</v>
      </c>
      <c r="H58" s="127">
        <v>446</v>
      </c>
    </row>
    <row r="59" spans="1:8" ht="19.8" customHeight="1" x14ac:dyDescent="0.3">
      <c r="A59" s="128">
        <v>45989</v>
      </c>
      <c r="B59" s="112" t="s">
        <v>33</v>
      </c>
      <c r="C59" s="113" t="s">
        <v>34</v>
      </c>
      <c r="D59" s="112" t="s">
        <v>1</v>
      </c>
      <c r="E59" s="129">
        <v>1.833333333333333</v>
      </c>
      <c r="F59" s="112" t="s">
        <v>38</v>
      </c>
      <c r="G59" s="114">
        <v>9</v>
      </c>
      <c r="H59" s="115">
        <v>449</v>
      </c>
    </row>
    <row r="60" spans="1:8" ht="19.8" customHeight="1" x14ac:dyDescent="0.3">
      <c r="A60" s="128">
        <v>45989</v>
      </c>
      <c r="B60" s="112" t="s">
        <v>59</v>
      </c>
      <c r="C60" s="113" t="s">
        <v>60</v>
      </c>
      <c r="D60" s="112" t="s">
        <v>1</v>
      </c>
      <c r="E60" s="129">
        <v>1.305555555555556</v>
      </c>
      <c r="F60" s="112" t="s">
        <v>64</v>
      </c>
      <c r="G60" s="114">
        <v>5</v>
      </c>
      <c r="H60" s="115">
        <v>489</v>
      </c>
    </row>
    <row r="61" spans="1:8" ht="19.8" customHeight="1" x14ac:dyDescent="0.3">
      <c r="A61" s="128">
        <v>45989</v>
      </c>
      <c r="B61" s="112" t="s">
        <v>33</v>
      </c>
      <c r="C61" s="113" t="s">
        <v>34</v>
      </c>
      <c r="D61" s="112" t="s">
        <v>1</v>
      </c>
      <c r="E61" s="129">
        <v>1.833333333333333</v>
      </c>
      <c r="F61" s="112" t="s">
        <v>41</v>
      </c>
      <c r="G61" s="114">
        <v>9</v>
      </c>
      <c r="H61" s="115">
        <v>539</v>
      </c>
    </row>
    <row r="62" spans="1:8" ht="19.8" customHeight="1" x14ac:dyDescent="0.3">
      <c r="A62" s="128">
        <v>45989</v>
      </c>
      <c r="B62" s="112" t="s">
        <v>43</v>
      </c>
      <c r="C62" s="113" t="s">
        <v>50</v>
      </c>
      <c r="D62" s="112" t="s">
        <v>1</v>
      </c>
      <c r="E62" s="129">
        <v>1.5138888888888891</v>
      </c>
      <c r="F62" s="112" t="s">
        <v>45</v>
      </c>
      <c r="G62" s="114">
        <v>9</v>
      </c>
      <c r="H62" s="115">
        <v>587</v>
      </c>
    </row>
    <row r="63" spans="1:8" ht="19.8" customHeight="1" x14ac:dyDescent="0.3">
      <c r="A63" s="128">
        <v>45989</v>
      </c>
      <c r="B63" s="112" t="s">
        <v>59</v>
      </c>
      <c r="C63" s="113" t="s">
        <v>60</v>
      </c>
      <c r="D63" s="112" t="s">
        <v>1</v>
      </c>
      <c r="E63" s="129">
        <v>1.305555555555556</v>
      </c>
      <c r="F63" s="112" t="s">
        <v>67</v>
      </c>
      <c r="G63" s="114">
        <v>5</v>
      </c>
      <c r="H63" s="115">
        <v>899</v>
      </c>
    </row>
    <row r="64" spans="1:8" ht="19.8" customHeight="1" x14ac:dyDescent="0.3">
      <c r="A64" s="130">
        <v>45989</v>
      </c>
      <c r="B64" s="117" t="s">
        <v>54</v>
      </c>
      <c r="C64" s="118" t="s">
        <v>55</v>
      </c>
      <c r="D64" s="117" t="s">
        <v>1</v>
      </c>
      <c r="E64" s="131">
        <v>1.305555555555556</v>
      </c>
      <c r="F64" s="117" t="s">
        <v>56</v>
      </c>
      <c r="G64" s="119">
        <v>4</v>
      </c>
      <c r="H64" s="122" t="s">
        <v>118</v>
      </c>
    </row>
    <row r="65" spans="1:8" ht="19.8" customHeight="1" x14ac:dyDescent="0.3">
      <c r="A65" s="128">
        <v>45990</v>
      </c>
      <c r="B65" s="112" t="s">
        <v>59</v>
      </c>
      <c r="C65" s="113" t="s">
        <v>60</v>
      </c>
      <c r="D65" s="112" t="s">
        <v>1</v>
      </c>
      <c r="E65" s="129">
        <v>1.305555555555556</v>
      </c>
      <c r="F65" s="112" t="s">
        <v>61</v>
      </c>
      <c r="G65" s="114">
        <v>4</v>
      </c>
      <c r="H65" s="115">
        <v>339</v>
      </c>
    </row>
    <row r="66" spans="1:8" ht="19.8" customHeight="1" x14ac:dyDescent="0.3">
      <c r="A66" s="128">
        <v>45990</v>
      </c>
      <c r="B66" s="112" t="s">
        <v>33</v>
      </c>
      <c r="C66" s="113" t="s">
        <v>34</v>
      </c>
      <c r="D66" s="112" t="s">
        <v>1</v>
      </c>
      <c r="E66" s="129">
        <v>1.833333333333333</v>
      </c>
      <c r="F66" s="112" t="s">
        <v>35</v>
      </c>
      <c r="G66" s="114">
        <v>9</v>
      </c>
      <c r="H66" s="115">
        <v>349</v>
      </c>
    </row>
    <row r="67" spans="1:8" ht="19.8" customHeight="1" x14ac:dyDescent="0.3">
      <c r="A67" s="128">
        <v>45990</v>
      </c>
      <c r="B67" s="112" t="s">
        <v>33</v>
      </c>
      <c r="C67" s="113" t="s">
        <v>68</v>
      </c>
      <c r="D67" s="112" t="s">
        <v>1</v>
      </c>
      <c r="E67" s="129">
        <v>1.197916666666667</v>
      </c>
      <c r="F67" s="112" t="s">
        <v>35</v>
      </c>
      <c r="G67" s="114">
        <v>9</v>
      </c>
      <c r="H67" s="115">
        <v>349</v>
      </c>
    </row>
    <row r="68" spans="1:8" ht="19.8" customHeight="1" x14ac:dyDescent="0.3">
      <c r="A68" s="128">
        <v>45990</v>
      </c>
      <c r="B68" s="112" t="s">
        <v>120</v>
      </c>
      <c r="C68" s="113" t="s">
        <v>121</v>
      </c>
      <c r="D68" s="112" t="s">
        <v>1</v>
      </c>
      <c r="E68" s="129">
        <v>1.9340277777777779</v>
      </c>
      <c r="F68" s="112" t="s">
        <v>122</v>
      </c>
      <c r="G68" s="114">
        <v>9</v>
      </c>
      <c r="H68" s="115">
        <v>354</v>
      </c>
    </row>
    <row r="69" spans="1:8" ht="19.8" customHeight="1" x14ac:dyDescent="0.3">
      <c r="A69" s="128">
        <v>45990</v>
      </c>
      <c r="B69" s="112" t="s">
        <v>102</v>
      </c>
      <c r="C69" s="113" t="s">
        <v>103</v>
      </c>
      <c r="D69" s="112" t="s">
        <v>1</v>
      </c>
      <c r="E69" s="129">
        <v>1.1736111111111109</v>
      </c>
      <c r="F69" s="112" t="s">
        <v>30</v>
      </c>
      <c r="G69" s="114">
        <v>9</v>
      </c>
      <c r="H69" s="115">
        <v>371</v>
      </c>
    </row>
    <row r="70" spans="1:8" ht="19.8" customHeight="1" x14ac:dyDescent="0.3">
      <c r="A70" s="128">
        <v>45990</v>
      </c>
      <c r="B70" s="112" t="s">
        <v>43</v>
      </c>
      <c r="C70" s="113" t="s">
        <v>44</v>
      </c>
      <c r="D70" s="112" t="s">
        <v>1</v>
      </c>
      <c r="E70" s="129">
        <v>1.864583333333333</v>
      </c>
      <c r="F70" s="112" t="s">
        <v>106</v>
      </c>
      <c r="G70" s="114">
        <v>9</v>
      </c>
      <c r="H70" s="115">
        <v>411</v>
      </c>
    </row>
    <row r="71" spans="1:8" ht="19.8" customHeight="1" x14ac:dyDescent="0.3">
      <c r="A71" s="128">
        <v>45990</v>
      </c>
      <c r="B71" s="112" t="s">
        <v>43</v>
      </c>
      <c r="C71" s="113" t="s">
        <v>52</v>
      </c>
      <c r="D71" s="112" t="s">
        <v>1</v>
      </c>
      <c r="E71" s="129">
        <v>1.1701388888888891</v>
      </c>
      <c r="F71" s="112" t="s">
        <v>106</v>
      </c>
      <c r="G71" s="114">
        <v>9</v>
      </c>
      <c r="H71" s="115">
        <v>411</v>
      </c>
    </row>
    <row r="72" spans="1:8" ht="19.8" customHeight="1" x14ac:dyDescent="0.3">
      <c r="A72" s="128">
        <v>45990</v>
      </c>
      <c r="B72" s="112" t="s">
        <v>28</v>
      </c>
      <c r="C72" s="113" t="s">
        <v>75</v>
      </c>
      <c r="D72" s="112" t="s">
        <v>1</v>
      </c>
      <c r="E72" s="129">
        <v>1.895833333333333</v>
      </c>
      <c r="F72" s="112" t="s">
        <v>30</v>
      </c>
      <c r="G72" s="114">
        <v>9</v>
      </c>
      <c r="H72" s="115">
        <v>439</v>
      </c>
    </row>
    <row r="73" spans="1:8" ht="19.8" customHeight="1" x14ac:dyDescent="0.3">
      <c r="A73" s="132">
        <v>45990</v>
      </c>
      <c r="B73" s="124" t="s">
        <v>76</v>
      </c>
      <c r="C73" s="125" t="s">
        <v>77</v>
      </c>
      <c r="D73" s="124" t="s">
        <v>1</v>
      </c>
      <c r="E73" s="133">
        <v>1.9236111111111109</v>
      </c>
      <c r="F73" s="124" t="s">
        <v>30</v>
      </c>
      <c r="G73" s="126">
        <v>9</v>
      </c>
      <c r="H73" s="127">
        <v>446</v>
      </c>
    </row>
    <row r="74" spans="1:8" ht="19.8" customHeight="1" x14ac:dyDescent="0.3">
      <c r="A74" s="128">
        <v>45990</v>
      </c>
      <c r="B74" s="112" t="s">
        <v>33</v>
      </c>
      <c r="C74" s="113" t="s">
        <v>34</v>
      </c>
      <c r="D74" s="112" t="s">
        <v>1</v>
      </c>
      <c r="E74" s="129">
        <v>1.833333333333333</v>
      </c>
      <c r="F74" s="112" t="s">
        <v>38</v>
      </c>
      <c r="G74" s="114">
        <v>9</v>
      </c>
      <c r="H74" s="115">
        <v>449</v>
      </c>
    </row>
    <row r="75" spans="1:8" ht="19.8" customHeight="1" x14ac:dyDescent="0.3">
      <c r="A75" s="128">
        <v>45990</v>
      </c>
      <c r="B75" s="112" t="s">
        <v>33</v>
      </c>
      <c r="C75" s="113" t="s">
        <v>68</v>
      </c>
      <c r="D75" s="112" t="s">
        <v>1</v>
      </c>
      <c r="E75" s="129">
        <v>1.197916666666667</v>
      </c>
      <c r="F75" s="112" t="s">
        <v>38</v>
      </c>
      <c r="G75" s="114">
        <v>9</v>
      </c>
      <c r="H75" s="115">
        <v>449</v>
      </c>
    </row>
    <row r="76" spans="1:8" ht="19.8" customHeight="1" x14ac:dyDescent="0.3">
      <c r="A76" s="128">
        <v>45990</v>
      </c>
      <c r="B76" s="112" t="s">
        <v>120</v>
      </c>
      <c r="C76" s="113" t="s">
        <v>121</v>
      </c>
      <c r="D76" s="112" t="s">
        <v>1</v>
      </c>
      <c r="E76" s="129">
        <v>1.9340277777777779</v>
      </c>
      <c r="F76" s="112" t="s">
        <v>67</v>
      </c>
      <c r="G76" s="114">
        <v>9</v>
      </c>
      <c r="H76" s="115">
        <v>477</v>
      </c>
    </row>
    <row r="77" spans="1:8" ht="19.8" customHeight="1" x14ac:dyDescent="0.3">
      <c r="A77" s="128">
        <v>45990</v>
      </c>
      <c r="B77" s="112" t="s">
        <v>59</v>
      </c>
      <c r="C77" s="113" t="s">
        <v>60</v>
      </c>
      <c r="D77" s="112" t="s">
        <v>1</v>
      </c>
      <c r="E77" s="129">
        <v>1.305555555555556</v>
      </c>
      <c r="F77" s="112" t="s">
        <v>64</v>
      </c>
      <c r="G77" s="114">
        <v>4</v>
      </c>
      <c r="H77" s="115">
        <v>489</v>
      </c>
    </row>
    <row r="78" spans="1:8" ht="19.8" customHeight="1" x14ac:dyDescent="0.3">
      <c r="A78" s="128">
        <v>45990</v>
      </c>
      <c r="B78" s="112" t="s">
        <v>33</v>
      </c>
      <c r="C78" s="113" t="s">
        <v>34</v>
      </c>
      <c r="D78" s="112" t="s">
        <v>1</v>
      </c>
      <c r="E78" s="129">
        <v>1.833333333333333</v>
      </c>
      <c r="F78" s="112" t="s">
        <v>41</v>
      </c>
      <c r="G78" s="114">
        <v>9</v>
      </c>
      <c r="H78" s="115">
        <v>539</v>
      </c>
    </row>
    <row r="79" spans="1:8" ht="19.8" customHeight="1" x14ac:dyDescent="0.3">
      <c r="A79" s="128">
        <v>45990</v>
      </c>
      <c r="B79" s="112" t="s">
        <v>33</v>
      </c>
      <c r="C79" s="113" t="s">
        <v>68</v>
      </c>
      <c r="D79" s="112" t="s">
        <v>1</v>
      </c>
      <c r="E79" s="129">
        <v>1.197916666666667</v>
      </c>
      <c r="F79" s="112" t="s">
        <v>41</v>
      </c>
      <c r="G79" s="114">
        <v>9</v>
      </c>
      <c r="H79" s="115">
        <v>539</v>
      </c>
    </row>
    <row r="80" spans="1:8" ht="19.8" customHeight="1" x14ac:dyDescent="0.3">
      <c r="A80" s="128">
        <v>45990</v>
      </c>
      <c r="B80" s="112" t="s">
        <v>43</v>
      </c>
      <c r="C80" s="113" t="s">
        <v>50</v>
      </c>
      <c r="D80" s="112" t="s">
        <v>1</v>
      </c>
      <c r="E80" s="129">
        <v>1.5277777777777779</v>
      </c>
      <c r="F80" s="112" t="s">
        <v>45</v>
      </c>
      <c r="G80" s="114">
        <v>9</v>
      </c>
      <c r="H80" s="115">
        <v>583</v>
      </c>
    </row>
    <row r="81" spans="1:8" ht="19.8" customHeight="1" x14ac:dyDescent="0.3">
      <c r="A81" s="128">
        <v>45990</v>
      </c>
      <c r="B81" s="112" t="s">
        <v>59</v>
      </c>
      <c r="C81" s="113" t="s">
        <v>60</v>
      </c>
      <c r="D81" s="112" t="s">
        <v>1</v>
      </c>
      <c r="E81" s="129">
        <v>1.305555555555556</v>
      </c>
      <c r="F81" s="112" t="s">
        <v>67</v>
      </c>
      <c r="G81" s="114">
        <v>4</v>
      </c>
      <c r="H81" s="115">
        <v>899</v>
      </c>
    </row>
    <row r="82" spans="1:8" ht="19.8" customHeight="1" x14ac:dyDescent="0.3">
      <c r="A82" s="130">
        <v>45990</v>
      </c>
      <c r="B82" s="117" t="s">
        <v>54</v>
      </c>
      <c r="C82" s="118" t="s">
        <v>55</v>
      </c>
      <c r="D82" s="117" t="s">
        <v>1</v>
      </c>
      <c r="E82" s="131">
        <v>1.305555555555556</v>
      </c>
      <c r="F82" s="117" t="s">
        <v>56</v>
      </c>
      <c r="G82" s="119">
        <v>4</v>
      </c>
      <c r="H82" s="122" t="s">
        <v>118</v>
      </c>
    </row>
    <row r="83" spans="1:8" ht="19.8" customHeight="1" x14ac:dyDescent="0.3">
      <c r="A83" s="128">
        <v>45991</v>
      </c>
      <c r="B83" s="112" t="s">
        <v>102</v>
      </c>
      <c r="C83" s="113" t="s">
        <v>113</v>
      </c>
      <c r="D83" s="112" t="s">
        <v>1</v>
      </c>
      <c r="E83" s="129">
        <v>1.2152777777777779</v>
      </c>
      <c r="F83" s="112" t="s">
        <v>30</v>
      </c>
      <c r="G83" s="114">
        <v>9</v>
      </c>
      <c r="H83" s="115">
        <v>371</v>
      </c>
    </row>
    <row r="84" spans="1:8" ht="19.8" customHeight="1" x14ac:dyDescent="0.3">
      <c r="A84" s="128">
        <v>45991</v>
      </c>
      <c r="B84" s="112" t="s">
        <v>43</v>
      </c>
      <c r="C84" s="113" t="s">
        <v>44</v>
      </c>
      <c r="D84" s="112" t="s">
        <v>1</v>
      </c>
      <c r="E84" s="129">
        <v>1.864583333333333</v>
      </c>
      <c r="F84" s="112" t="s">
        <v>106</v>
      </c>
      <c r="G84" s="114">
        <v>9</v>
      </c>
      <c r="H84" s="115">
        <v>411</v>
      </c>
    </row>
    <row r="85" spans="1:8" ht="19.8" customHeight="1" x14ac:dyDescent="0.3">
      <c r="A85" s="128">
        <v>45991</v>
      </c>
      <c r="B85" s="112" t="s">
        <v>43</v>
      </c>
      <c r="C85" s="113" t="s">
        <v>50</v>
      </c>
      <c r="D85" s="112" t="s">
        <v>1</v>
      </c>
      <c r="E85" s="129">
        <v>1.5034722222222221</v>
      </c>
      <c r="F85" s="112" t="s">
        <v>106</v>
      </c>
      <c r="G85" s="114">
        <v>9</v>
      </c>
      <c r="H85" s="115">
        <v>411</v>
      </c>
    </row>
    <row r="86" spans="1:8" ht="19.8" customHeight="1" x14ac:dyDescent="0.3">
      <c r="A86" s="128">
        <v>45991</v>
      </c>
      <c r="B86" s="112" t="s">
        <v>43</v>
      </c>
      <c r="C86" s="113" t="s">
        <v>52</v>
      </c>
      <c r="D86" s="112" t="s">
        <v>1</v>
      </c>
      <c r="E86" s="129">
        <v>1.1701388888888891</v>
      </c>
      <c r="F86" s="112" t="s">
        <v>106</v>
      </c>
      <c r="G86" s="114">
        <v>9</v>
      </c>
      <c r="H86" s="115">
        <v>411</v>
      </c>
    </row>
    <row r="87" spans="1:8" ht="19.8" customHeight="1" x14ac:dyDescent="0.3">
      <c r="A87" s="128">
        <v>45991</v>
      </c>
      <c r="B87" s="112" t="s">
        <v>28</v>
      </c>
      <c r="C87" s="113" t="s">
        <v>126</v>
      </c>
      <c r="D87" s="112" t="s">
        <v>1</v>
      </c>
      <c r="E87" s="129">
        <v>1.163194444444444</v>
      </c>
      <c r="F87" s="112" t="s">
        <v>30</v>
      </c>
      <c r="G87" s="114">
        <v>9</v>
      </c>
      <c r="H87" s="115">
        <v>439</v>
      </c>
    </row>
    <row r="88" spans="1:8" ht="19.8" customHeight="1" x14ac:dyDescent="0.3">
      <c r="A88" s="128">
        <v>45991</v>
      </c>
      <c r="B88" s="112" t="s">
        <v>28</v>
      </c>
      <c r="C88" s="113" t="s">
        <v>29</v>
      </c>
      <c r="D88" s="112" t="s">
        <v>1</v>
      </c>
      <c r="E88" s="129">
        <v>1.958333333333333</v>
      </c>
      <c r="F88" s="112" t="s">
        <v>30</v>
      </c>
      <c r="G88" s="114">
        <v>9</v>
      </c>
      <c r="H88" s="115">
        <v>439</v>
      </c>
    </row>
    <row r="89" spans="1:8" ht="19.8" customHeight="1" x14ac:dyDescent="0.3">
      <c r="A89" s="128">
        <v>45991</v>
      </c>
      <c r="B89" s="112" t="s">
        <v>28</v>
      </c>
      <c r="C89" s="113" t="s">
        <v>127</v>
      </c>
      <c r="D89" s="112" t="s">
        <v>1</v>
      </c>
      <c r="E89" s="129">
        <v>1.6840277777777779</v>
      </c>
      <c r="F89" s="112" t="s">
        <v>30</v>
      </c>
      <c r="G89" s="114">
        <v>9</v>
      </c>
      <c r="H89" s="115">
        <v>439</v>
      </c>
    </row>
    <row r="90" spans="1:8" ht="19.8" customHeight="1" x14ac:dyDescent="0.3">
      <c r="A90" s="130">
        <v>45991</v>
      </c>
      <c r="B90" s="117" t="s">
        <v>54</v>
      </c>
      <c r="C90" s="118" t="s">
        <v>55</v>
      </c>
      <c r="D90" s="117" t="s">
        <v>1</v>
      </c>
      <c r="E90" s="131">
        <v>1.305555555555556</v>
      </c>
      <c r="F90" s="117" t="s">
        <v>56</v>
      </c>
      <c r="G90" s="119">
        <v>4</v>
      </c>
      <c r="H90" s="122" t="s">
        <v>128</v>
      </c>
    </row>
    <row r="91" spans="1:8" ht="19.8" customHeight="1" x14ac:dyDescent="0.3">
      <c r="A91" s="128">
        <v>45992</v>
      </c>
      <c r="B91" s="112" t="s">
        <v>33</v>
      </c>
      <c r="C91" s="113" t="s">
        <v>68</v>
      </c>
      <c r="D91" s="112" t="s">
        <v>1</v>
      </c>
      <c r="E91" s="129">
        <v>1.2013888888888891</v>
      </c>
      <c r="F91" s="112" t="s">
        <v>88</v>
      </c>
      <c r="G91" s="114">
        <v>9</v>
      </c>
      <c r="H91" s="115">
        <v>349</v>
      </c>
    </row>
    <row r="92" spans="1:8" ht="19.8" customHeight="1" x14ac:dyDescent="0.3">
      <c r="A92" s="128">
        <v>45992</v>
      </c>
      <c r="B92" s="112" t="s">
        <v>59</v>
      </c>
      <c r="C92" s="113" t="s">
        <v>60</v>
      </c>
      <c r="D92" s="112" t="s">
        <v>1</v>
      </c>
      <c r="E92" s="129">
        <v>1.305555555555556</v>
      </c>
      <c r="F92" s="112" t="s">
        <v>86</v>
      </c>
      <c r="G92" s="114">
        <v>9</v>
      </c>
      <c r="H92" s="115">
        <v>369</v>
      </c>
    </row>
    <row r="93" spans="1:8" ht="19.8" customHeight="1" x14ac:dyDescent="0.3">
      <c r="A93" s="128">
        <v>45992</v>
      </c>
      <c r="B93" s="112" t="s">
        <v>102</v>
      </c>
      <c r="C93" s="113" t="s">
        <v>105</v>
      </c>
      <c r="D93" s="112" t="s">
        <v>1</v>
      </c>
      <c r="E93" s="129">
        <v>1.1284722222222221</v>
      </c>
      <c r="F93" s="112" t="s">
        <v>30</v>
      </c>
      <c r="G93" s="114">
        <v>8</v>
      </c>
      <c r="H93" s="115">
        <v>371</v>
      </c>
    </row>
    <row r="94" spans="1:8" ht="19.8" customHeight="1" x14ac:dyDescent="0.3">
      <c r="A94" s="128">
        <v>45992</v>
      </c>
      <c r="B94" s="112" t="s">
        <v>33</v>
      </c>
      <c r="C94" s="113" t="s">
        <v>34</v>
      </c>
      <c r="D94" s="112" t="s">
        <v>1</v>
      </c>
      <c r="E94" s="129">
        <v>1.836805555555556</v>
      </c>
      <c r="F94" s="112" t="s">
        <v>88</v>
      </c>
      <c r="G94" s="114">
        <v>9</v>
      </c>
      <c r="H94" s="115">
        <v>409</v>
      </c>
    </row>
    <row r="95" spans="1:8" ht="19.8" customHeight="1" x14ac:dyDescent="0.3">
      <c r="A95" s="128">
        <v>45992</v>
      </c>
      <c r="B95" s="112" t="s">
        <v>43</v>
      </c>
      <c r="C95" s="113" t="s">
        <v>44</v>
      </c>
      <c r="D95" s="112" t="s">
        <v>1</v>
      </c>
      <c r="E95" s="129">
        <v>1.864583333333333</v>
      </c>
      <c r="F95" s="112" t="s">
        <v>106</v>
      </c>
      <c r="G95" s="114">
        <v>9</v>
      </c>
      <c r="H95" s="115">
        <v>411</v>
      </c>
    </row>
    <row r="96" spans="1:8" ht="19.8" customHeight="1" x14ac:dyDescent="0.3">
      <c r="A96" s="128">
        <v>45992</v>
      </c>
      <c r="B96" s="112" t="s">
        <v>43</v>
      </c>
      <c r="C96" s="113" t="s">
        <v>50</v>
      </c>
      <c r="D96" s="112" t="s">
        <v>1</v>
      </c>
      <c r="E96" s="129">
        <v>1.5277777777777779</v>
      </c>
      <c r="F96" s="112" t="s">
        <v>106</v>
      </c>
      <c r="G96" s="114">
        <v>9</v>
      </c>
      <c r="H96" s="115">
        <v>411</v>
      </c>
    </row>
    <row r="97" spans="1:8" ht="19.8" customHeight="1" x14ac:dyDescent="0.3">
      <c r="A97" s="128">
        <v>45992</v>
      </c>
      <c r="B97" s="112" t="s">
        <v>43</v>
      </c>
      <c r="C97" s="113" t="s">
        <v>52</v>
      </c>
      <c r="D97" s="112" t="s">
        <v>1</v>
      </c>
      <c r="E97" s="129">
        <v>1.1701388888888891</v>
      </c>
      <c r="F97" s="112" t="s">
        <v>106</v>
      </c>
      <c r="G97" s="114">
        <v>9</v>
      </c>
      <c r="H97" s="115">
        <v>411</v>
      </c>
    </row>
    <row r="98" spans="1:8" ht="19.8" customHeight="1" x14ac:dyDescent="0.3">
      <c r="A98" s="128">
        <v>45992</v>
      </c>
      <c r="B98" s="112" t="s">
        <v>28</v>
      </c>
      <c r="C98" s="113" t="s">
        <v>47</v>
      </c>
      <c r="D98" s="112" t="s">
        <v>1</v>
      </c>
      <c r="E98" s="129">
        <v>1.958333333333333</v>
      </c>
      <c r="F98" s="112" t="s">
        <v>30</v>
      </c>
      <c r="G98" s="114">
        <v>1</v>
      </c>
      <c r="H98" s="115">
        <v>439</v>
      </c>
    </row>
    <row r="99" spans="1:8" ht="19.8" customHeight="1" x14ac:dyDescent="0.3">
      <c r="A99" s="130">
        <v>45992</v>
      </c>
      <c r="B99" s="117" t="s">
        <v>54</v>
      </c>
      <c r="C99" s="118" t="s">
        <v>55</v>
      </c>
      <c r="D99" s="117" t="s">
        <v>1</v>
      </c>
      <c r="E99" s="131">
        <v>1.305555555555556</v>
      </c>
      <c r="F99" s="117" t="s">
        <v>56</v>
      </c>
      <c r="G99" s="119">
        <v>4</v>
      </c>
      <c r="H99" s="122" t="s">
        <v>85</v>
      </c>
    </row>
    <row r="100" spans="1:8" ht="19.8" customHeight="1" x14ac:dyDescent="0.3">
      <c r="A100" s="128">
        <v>45993</v>
      </c>
      <c r="B100" s="112" t="s">
        <v>43</v>
      </c>
      <c r="C100" s="113" t="s">
        <v>44</v>
      </c>
      <c r="D100" s="112" t="s">
        <v>1</v>
      </c>
      <c r="E100" s="129">
        <v>1.864583333333333</v>
      </c>
      <c r="F100" s="112" t="s">
        <v>106</v>
      </c>
      <c r="G100" s="114">
        <v>9</v>
      </c>
      <c r="H100" s="115">
        <v>411</v>
      </c>
    </row>
    <row r="101" spans="1:8" ht="19.8" customHeight="1" x14ac:dyDescent="0.3">
      <c r="A101" s="128">
        <v>45993</v>
      </c>
      <c r="B101" s="112" t="s">
        <v>43</v>
      </c>
      <c r="C101" s="113" t="s">
        <v>50</v>
      </c>
      <c r="D101" s="112" t="s">
        <v>1</v>
      </c>
      <c r="E101" s="129">
        <v>1.5277777777777779</v>
      </c>
      <c r="F101" s="112" t="s">
        <v>106</v>
      </c>
      <c r="G101" s="114">
        <v>9</v>
      </c>
      <c r="H101" s="115">
        <v>411</v>
      </c>
    </row>
    <row r="102" spans="1:8" ht="19.8" customHeight="1" x14ac:dyDescent="0.3">
      <c r="A102" s="128">
        <v>45993</v>
      </c>
      <c r="B102" s="112" t="s">
        <v>43</v>
      </c>
      <c r="C102" s="113" t="s">
        <v>52</v>
      </c>
      <c r="D102" s="112" t="s">
        <v>1</v>
      </c>
      <c r="E102" s="129">
        <v>1.1701388888888891</v>
      </c>
      <c r="F102" s="112" t="s">
        <v>106</v>
      </c>
      <c r="G102" s="114">
        <v>9</v>
      </c>
      <c r="H102" s="115">
        <v>411</v>
      </c>
    </row>
    <row r="103" spans="1:8" ht="19.8" customHeight="1" x14ac:dyDescent="0.3">
      <c r="A103" s="128">
        <v>45993</v>
      </c>
      <c r="B103" s="112" t="s">
        <v>28</v>
      </c>
      <c r="C103" s="113" t="s">
        <v>75</v>
      </c>
      <c r="D103" s="112" t="s">
        <v>1</v>
      </c>
      <c r="E103" s="129">
        <v>1.958333333333333</v>
      </c>
      <c r="F103" s="112" t="s">
        <v>30</v>
      </c>
      <c r="G103" s="114">
        <v>9</v>
      </c>
      <c r="H103" s="115">
        <v>439</v>
      </c>
    </row>
    <row r="104" spans="1:8" ht="19.8" customHeight="1" x14ac:dyDescent="0.3">
      <c r="A104" s="132">
        <v>45993</v>
      </c>
      <c r="B104" s="124" t="s">
        <v>76</v>
      </c>
      <c r="C104" s="125" t="s">
        <v>77</v>
      </c>
      <c r="D104" s="124" t="s">
        <v>1</v>
      </c>
      <c r="E104" s="133">
        <v>1.270833333333333</v>
      </c>
      <c r="F104" s="124" t="s">
        <v>30</v>
      </c>
      <c r="G104" s="126">
        <v>6</v>
      </c>
      <c r="H104" s="127">
        <v>455</v>
      </c>
    </row>
    <row r="105" spans="1:8" ht="19.8" customHeight="1" x14ac:dyDescent="0.3">
      <c r="A105" s="130">
        <v>45993</v>
      </c>
      <c r="B105" s="117" t="s">
        <v>54</v>
      </c>
      <c r="C105" s="118" t="s">
        <v>55</v>
      </c>
      <c r="D105" s="117" t="s">
        <v>1</v>
      </c>
      <c r="E105" s="131">
        <v>1.305555555555556</v>
      </c>
      <c r="F105" s="117" t="s">
        <v>56</v>
      </c>
      <c r="G105" s="119">
        <v>4</v>
      </c>
      <c r="H105" s="122" t="s">
        <v>118</v>
      </c>
    </row>
    <row r="106" spans="1:8" ht="19.8" customHeight="1" x14ac:dyDescent="0.3">
      <c r="A106" s="128">
        <v>45994</v>
      </c>
      <c r="B106" s="112" t="s">
        <v>59</v>
      </c>
      <c r="C106" s="113" t="s">
        <v>60</v>
      </c>
      <c r="D106" s="112" t="s">
        <v>1</v>
      </c>
      <c r="E106" s="129">
        <v>1.305555555555556</v>
      </c>
      <c r="F106" s="112" t="s">
        <v>61</v>
      </c>
      <c r="G106" s="114">
        <v>9</v>
      </c>
      <c r="H106" s="115">
        <v>369</v>
      </c>
    </row>
    <row r="107" spans="1:8" ht="19.8" customHeight="1" x14ac:dyDescent="0.3">
      <c r="A107" s="128">
        <v>45994</v>
      </c>
      <c r="B107" s="112" t="s">
        <v>102</v>
      </c>
      <c r="C107" s="113" t="s">
        <v>103</v>
      </c>
      <c r="D107" s="112" t="s">
        <v>1</v>
      </c>
      <c r="E107" s="129">
        <v>1.0902777777777779</v>
      </c>
      <c r="F107" s="112" t="s">
        <v>30</v>
      </c>
      <c r="G107" s="114">
        <v>8</v>
      </c>
      <c r="H107" s="115">
        <v>371</v>
      </c>
    </row>
    <row r="108" spans="1:8" ht="19.8" customHeight="1" x14ac:dyDescent="0.3">
      <c r="A108" s="128">
        <v>45994</v>
      </c>
      <c r="B108" s="112" t="s">
        <v>120</v>
      </c>
      <c r="C108" s="113" t="s">
        <v>121</v>
      </c>
      <c r="D108" s="112" t="s">
        <v>1</v>
      </c>
      <c r="E108" s="129">
        <v>1.9722222222222221</v>
      </c>
      <c r="F108" s="112" t="s">
        <v>122</v>
      </c>
      <c r="G108" s="114">
        <v>9</v>
      </c>
      <c r="H108" s="115">
        <v>393</v>
      </c>
    </row>
    <row r="109" spans="1:8" ht="19.8" customHeight="1" x14ac:dyDescent="0.3">
      <c r="A109" s="128">
        <v>45994</v>
      </c>
      <c r="B109" s="112" t="s">
        <v>43</v>
      </c>
      <c r="C109" s="113" t="s">
        <v>44</v>
      </c>
      <c r="D109" s="112" t="s">
        <v>1</v>
      </c>
      <c r="E109" s="129">
        <v>1.864583333333333</v>
      </c>
      <c r="F109" s="112" t="s">
        <v>106</v>
      </c>
      <c r="G109" s="114">
        <v>9</v>
      </c>
      <c r="H109" s="115">
        <v>411</v>
      </c>
    </row>
    <row r="110" spans="1:8" ht="19.8" customHeight="1" x14ac:dyDescent="0.3">
      <c r="A110" s="128">
        <v>45994</v>
      </c>
      <c r="B110" s="112" t="s">
        <v>43</v>
      </c>
      <c r="C110" s="113" t="s">
        <v>50</v>
      </c>
      <c r="D110" s="112" t="s">
        <v>1</v>
      </c>
      <c r="E110" s="129">
        <v>1.5277777777777779</v>
      </c>
      <c r="F110" s="112" t="s">
        <v>106</v>
      </c>
      <c r="G110" s="114">
        <v>9</v>
      </c>
      <c r="H110" s="115">
        <v>411</v>
      </c>
    </row>
    <row r="111" spans="1:8" ht="19.8" customHeight="1" x14ac:dyDescent="0.3">
      <c r="A111" s="128">
        <v>45994</v>
      </c>
      <c r="B111" s="112" t="s">
        <v>43</v>
      </c>
      <c r="C111" s="113" t="s">
        <v>52</v>
      </c>
      <c r="D111" s="112" t="s">
        <v>1</v>
      </c>
      <c r="E111" s="129">
        <v>1.1701388888888891</v>
      </c>
      <c r="F111" s="112" t="s">
        <v>106</v>
      </c>
      <c r="G111" s="114">
        <v>9</v>
      </c>
      <c r="H111" s="115">
        <v>411</v>
      </c>
    </row>
    <row r="112" spans="1:8" ht="19.8" customHeight="1" x14ac:dyDescent="0.3">
      <c r="A112" s="128">
        <v>45994</v>
      </c>
      <c r="B112" s="112" t="s">
        <v>33</v>
      </c>
      <c r="C112" s="113" t="s">
        <v>34</v>
      </c>
      <c r="D112" s="112" t="s">
        <v>1</v>
      </c>
      <c r="E112" s="129">
        <v>1.836805555555556</v>
      </c>
      <c r="F112" s="112" t="s">
        <v>35</v>
      </c>
      <c r="G112" s="114">
        <v>9</v>
      </c>
      <c r="H112" s="115">
        <v>439</v>
      </c>
    </row>
    <row r="113" spans="1:8" ht="19.8" customHeight="1" x14ac:dyDescent="0.3">
      <c r="A113" s="128">
        <v>45994</v>
      </c>
      <c r="B113" s="112" t="s">
        <v>28</v>
      </c>
      <c r="C113" s="113" t="s">
        <v>47</v>
      </c>
      <c r="D113" s="112" t="s">
        <v>1</v>
      </c>
      <c r="E113" s="129">
        <v>1.895833333333333</v>
      </c>
      <c r="F113" s="112" t="s">
        <v>30</v>
      </c>
      <c r="G113" s="114">
        <v>9</v>
      </c>
      <c r="H113" s="115">
        <v>439</v>
      </c>
    </row>
    <row r="114" spans="1:8" ht="19.8" customHeight="1" x14ac:dyDescent="0.3">
      <c r="A114" s="128">
        <v>45994</v>
      </c>
      <c r="B114" s="112" t="s">
        <v>120</v>
      </c>
      <c r="C114" s="113" t="s">
        <v>121</v>
      </c>
      <c r="D114" s="112" t="s">
        <v>1</v>
      </c>
      <c r="E114" s="129">
        <v>1.9722222222222221</v>
      </c>
      <c r="F114" s="112" t="s">
        <v>67</v>
      </c>
      <c r="G114" s="114">
        <v>9</v>
      </c>
      <c r="H114" s="115">
        <v>516</v>
      </c>
    </row>
    <row r="115" spans="1:8" ht="19.8" customHeight="1" x14ac:dyDescent="0.3">
      <c r="A115" s="128">
        <v>45994</v>
      </c>
      <c r="B115" s="112" t="s">
        <v>59</v>
      </c>
      <c r="C115" s="113" t="s">
        <v>60</v>
      </c>
      <c r="D115" s="112" t="s">
        <v>1</v>
      </c>
      <c r="E115" s="129">
        <v>1.305555555555556</v>
      </c>
      <c r="F115" s="112" t="s">
        <v>64</v>
      </c>
      <c r="G115" s="114">
        <v>9</v>
      </c>
      <c r="H115" s="115">
        <v>519</v>
      </c>
    </row>
    <row r="116" spans="1:8" ht="19.8" customHeight="1" x14ac:dyDescent="0.3">
      <c r="A116" s="128">
        <v>45994</v>
      </c>
      <c r="B116" s="112" t="s">
        <v>33</v>
      </c>
      <c r="C116" s="113" t="s">
        <v>34</v>
      </c>
      <c r="D116" s="112" t="s">
        <v>1</v>
      </c>
      <c r="E116" s="129">
        <v>1.836805555555556</v>
      </c>
      <c r="F116" s="112" t="s">
        <v>38</v>
      </c>
      <c r="G116" s="114">
        <v>9</v>
      </c>
      <c r="H116" s="115">
        <v>539</v>
      </c>
    </row>
    <row r="117" spans="1:8" ht="19.8" customHeight="1" x14ac:dyDescent="0.3">
      <c r="A117" s="128">
        <v>45994</v>
      </c>
      <c r="B117" s="112" t="s">
        <v>33</v>
      </c>
      <c r="C117" s="113" t="s">
        <v>34</v>
      </c>
      <c r="D117" s="112" t="s">
        <v>1</v>
      </c>
      <c r="E117" s="129">
        <v>1.836805555555556</v>
      </c>
      <c r="F117" s="112" t="s">
        <v>41</v>
      </c>
      <c r="G117" s="114">
        <v>9</v>
      </c>
      <c r="H117" s="115">
        <v>629</v>
      </c>
    </row>
    <row r="118" spans="1:8" ht="19.8" customHeight="1" x14ac:dyDescent="0.3">
      <c r="A118" s="128">
        <v>45994</v>
      </c>
      <c r="B118" s="112" t="s">
        <v>59</v>
      </c>
      <c r="C118" s="113" t="s">
        <v>60</v>
      </c>
      <c r="D118" s="112" t="s">
        <v>1</v>
      </c>
      <c r="E118" s="129">
        <v>1.305555555555556</v>
      </c>
      <c r="F118" s="112" t="s">
        <v>67</v>
      </c>
      <c r="G118" s="114">
        <v>9</v>
      </c>
      <c r="H118" s="115">
        <v>899</v>
      </c>
    </row>
    <row r="119" spans="1:8" ht="19.8" customHeight="1" x14ac:dyDescent="0.3">
      <c r="A119" s="130">
        <v>45994</v>
      </c>
      <c r="B119" s="117" t="s">
        <v>54</v>
      </c>
      <c r="C119" s="118" t="s">
        <v>55</v>
      </c>
      <c r="D119" s="117" t="s">
        <v>1</v>
      </c>
      <c r="E119" s="131">
        <v>1.305555555555556</v>
      </c>
      <c r="F119" s="117" t="s">
        <v>56</v>
      </c>
      <c r="G119" s="119">
        <v>4</v>
      </c>
      <c r="H119" s="122" t="s">
        <v>85</v>
      </c>
    </row>
    <row r="120" spans="1:8" ht="19.8" customHeight="1" x14ac:dyDescent="0.3">
      <c r="A120" s="128">
        <v>45995</v>
      </c>
      <c r="B120" s="112" t="s">
        <v>102</v>
      </c>
      <c r="C120" s="113" t="s">
        <v>103</v>
      </c>
      <c r="D120" s="112" t="s">
        <v>1</v>
      </c>
      <c r="E120" s="129">
        <v>1.8888888888888891</v>
      </c>
      <c r="F120" s="112" t="s">
        <v>30</v>
      </c>
      <c r="G120" s="114">
        <v>9</v>
      </c>
      <c r="H120" s="115">
        <v>371</v>
      </c>
    </row>
    <row r="121" spans="1:8" ht="19.8" customHeight="1" x14ac:dyDescent="0.3">
      <c r="A121" s="128">
        <v>45995</v>
      </c>
      <c r="B121" s="112" t="s">
        <v>43</v>
      </c>
      <c r="C121" s="113" t="s">
        <v>50</v>
      </c>
      <c r="D121" s="112" t="s">
        <v>1</v>
      </c>
      <c r="E121" s="129">
        <v>1.5277777777777779</v>
      </c>
      <c r="F121" s="112" t="s">
        <v>106</v>
      </c>
      <c r="G121" s="114">
        <v>9</v>
      </c>
      <c r="H121" s="115">
        <v>411</v>
      </c>
    </row>
    <row r="122" spans="1:8" ht="19.8" customHeight="1" x14ac:dyDescent="0.3">
      <c r="A122" s="128">
        <v>45995</v>
      </c>
      <c r="B122" s="112" t="s">
        <v>43</v>
      </c>
      <c r="C122" s="113" t="s">
        <v>52</v>
      </c>
      <c r="D122" s="112" t="s">
        <v>1</v>
      </c>
      <c r="E122" s="129">
        <v>1.1701388888888891</v>
      </c>
      <c r="F122" s="112" t="s">
        <v>106</v>
      </c>
      <c r="G122" s="114">
        <v>9</v>
      </c>
      <c r="H122" s="115">
        <v>411</v>
      </c>
    </row>
    <row r="123" spans="1:8" ht="19.8" customHeight="1" x14ac:dyDescent="0.3">
      <c r="A123" s="128">
        <v>45995</v>
      </c>
      <c r="B123" s="112" t="s">
        <v>43</v>
      </c>
      <c r="C123" s="113" t="s">
        <v>44</v>
      </c>
      <c r="D123" s="112" t="s">
        <v>1</v>
      </c>
      <c r="E123" s="129">
        <v>1.864583333333333</v>
      </c>
      <c r="F123" s="112" t="s">
        <v>91</v>
      </c>
      <c r="G123" s="114">
        <v>9</v>
      </c>
      <c r="H123" s="115">
        <v>437</v>
      </c>
    </row>
    <row r="124" spans="1:8" ht="19.8" customHeight="1" x14ac:dyDescent="0.3">
      <c r="A124" s="132">
        <v>45995</v>
      </c>
      <c r="B124" s="124" t="s">
        <v>76</v>
      </c>
      <c r="C124" s="125" t="s">
        <v>77</v>
      </c>
      <c r="D124" s="124" t="s">
        <v>1</v>
      </c>
      <c r="E124" s="133">
        <v>1.9236111111111109</v>
      </c>
      <c r="F124" s="124" t="s">
        <v>30</v>
      </c>
      <c r="G124" s="126">
        <v>2</v>
      </c>
      <c r="H124" s="127">
        <v>446</v>
      </c>
    </row>
    <row r="125" spans="1:8" ht="19.8" customHeight="1" x14ac:dyDescent="0.3">
      <c r="A125" s="128">
        <v>45995</v>
      </c>
      <c r="B125" s="112" t="s">
        <v>28</v>
      </c>
      <c r="C125" s="113" t="s">
        <v>29</v>
      </c>
      <c r="D125" s="112" t="s">
        <v>1</v>
      </c>
      <c r="E125" s="129">
        <v>1.5625</v>
      </c>
      <c r="F125" s="112" t="s">
        <v>30</v>
      </c>
      <c r="G125" s="114">
        <v>9</v>
      </c>
      <c r="H125" s="115">
        <v>563</v>
      </c>
    </row>
    <row r="126" spans="1:8" ht="19.8" customHeight="1" x14ac:dyDescent="0.3">
      <c r="A126" s="128">
        <v>45995</v>
      </c>
      <c r="B126" s="112" t="s">
        <v>28</v>
      </c>
      <c r="C126" s="113" t="s">
        <v>75</v>
      </c>
      <c r="D126" s="112" t="s">
        <v>1</v>
      </c>
      <c r="E126" s="129">
        <v>1.958333333333333</v>
      </c>
      <c r="F126" s="112" t="s">
        <v>30</v>
      </c>
      <c r="G126" s="114">
        <v>9</v>
      </c>
      <c r="H126" s="115">
        <v>563</v>
      </c>
    </row>
    <row r="127" spans="1:8" ht="19.8" customHeight="1" x14ac:dyDescent="0.3">
      <c r="A127" s="130">
        <v>45995</v>
      </c>
      <c r="B127" s="117" t="s">
        <v>54</v>
      </c>
      <c r="C127" s="118" t="s">
        <v>55</v>
      </c>
      <c r="D127" s="117" t="s">
        <v>1</v>
      </c>
      <c r="E127" s="131">
        <v>1.305555555555556</v>
      </c>
      <c r="F127" s="117" t="s">
        <v>56</v>
      </c>
      <c r="G127" s="119">
        <v>4</v>
      </c>
      <c r="H127" s="122" t="s">
        <v>85</v>
      </c>
    </row>
    <row r="128" spans="1:8" ht="19.8" customHeight="1" x14ac:dyDescent="0.3">
      <c r="A128" s="128">
        <v>45996</v>
      </c>
      <c r="B128" s="112" t="s">
        <v>43</v>
      </c>
      <c r="C128" s="113" t="s">
        <v>44</v>
      </c>
      <c r="D128" s="112" t="s">
        <v>1</v>
      </c>
      <c r="E128" s="129">
        <v>1.864583333333333</v>
      </c>
      <c r="F128" s="112" t="s">
        <v>106</v>
      </c>
      <c r="G128" s="114">
        <v>9</v>
      </c>
      <c r="H128" s="115">
        <v>411</v>
      </c>
    </row>
    <row r="129" spans="1:8" ht="19.8" customHeight="1" x14ac:dyDescent="0.3">
      <c r="A129" s="128">
        <v>45996</v>
      </c>
      <c r="B129" s="112" t="s">
        <v>43</v>
      </c>
      <c r="C129" s="113" t="s">
        <v>52</v>
      </c>
      <c r="D129" s="112" t="s">
        <v>1</v>
      </c>
      <c r="E129" s="129">
        <v>1.1701388888888891</v>
      </c>
      <c r="F129" s="112" t="s">
        <v>106</v>
      </c>
      <c r="G129" s="114">
        <v>9</v>
      </c>
      <c r="H129" s="115">
        <v>415</v>
      </c>
    </row>
    <row r="130" spans="1:8" ht="19.8" customHeight="1" x14ac:dyDescent="0.3">
      <c r="A130" s="128">
        <v>45996</v>
      </c>
      <c r="B130" s="112" t="s">
        <v>28</v>
      </c>
      <c r="C130" s="113" t="s">
        <v>47</v>
      </c>
      <c r="D130" s="112" t="s">
        <v>1</v>
      </c>
      <c r="E130" s="129">
        <v>1.958333333333333</v>
      </c>
      <c r="F130" s="112" t="s">
        <v>30</v>
      </c>
      <c r="G130" s="114">
        <v>9</v>
      </c>
      <c r="H130" s="115">
        <v>439</v>
      </c>
    </row>
    <row r="131" spans="1:8" ht="19.8" customHeight="1" x14ac:dyDescent="0.3">
      <c r="A131" s="132">
        <v>45996</v>
      </c>
      <c r="B131" s="124" t="s">
        <v>76</v>
      </c>
      <c r="C131" s="125" t="s">
        <v>77</v>
      </c>
      <c r="D131" s="124" t="s">
        <v>1</v>
      </c>
      <c r="E131" s="133">
        <v>1.5798611111111109</v>
      </c>
      <c r="F131" s="124" t="s">
        <v>30</v>
      </c>
      <c r="G131" s="126">
        <v>1</v>
      </c>
      <c r="H131" s="127">
        <v>446</v>
      </c>
    </row>
    <row r="132" spans="1:8" ht="19.8" customHeight="1" x14ac:dyDescent="0.3">
      <c r="A132" s="128">
        <v>45996</v>
      </c>
      <c r="B132" s="112" t="s">
        <v>43</v>
      </c>
      <c r="C132" s="113" t="s">
        <v>50</v>
      </c>
      <c r="D132" s="112" t="s">
        <v>1</v>
      </c>
      <c r="E132" s="129">
        <v>1.5277777777777779</v>
      </c>
      <c r="F132" s="112" t="s">
        <v>45</v>
      </c>
      <c r="G132" s="114">
        <v>9</v>
      </c>
      <c r="H132" s="115">
        <v>587</v>
      </c>
    </row>
    <row r="133" spans="1:8" ht="19.8" customHeight="1" x14ac:dyDescent="0.3">
      <c r="A133" s="130">
        <v>45996</v>
      </c>
      <c r="B133" s="117" t="s">
        <v>54</v>
      </c>
      <c r="C133" s="118" t="s">
        <v>55</v>
      </c>
      <c r="D133" s="117" t="s">
        <v>1</v>
      </c>
      <c r="E133" s="131">
        <v>1.305555555555556</v>
      </c>
      <c r="F133" s="117" t="s">
        <v>56</v>
      </c>
      <c r="G133" s="119">
        <v>4</v>
      </c>
      <c r="H133" s="122" t="s">
        <v>85</v>
      </c>
    </row>
    <row r="134" spans="1:8" ht="19.8" customHeight="1" x14ac:dyDescent="0.3">
      <c r="A134" s="128">
        <v>45997</v>
      </c>
      <c r="B134" s="112" t="s">
        <v>59</v>
      </c>
      <c r="C134" s="113" t="s">
        <v>60</v>
      </c>
      <c r="D134" s="112" t="s">
        <v>1</v>
      </c>
      <c r="E134" s="129">
        <v>1.305555555555556</v>
      </c>
      <c r="F134" s="112" t="s">
        <v>61</v>
      </c>
      <c r="G134" s="114">
        <v>6</v>
      </c>
      <c r="H134" s="115">
        <v>339</v>
      </c>
    </row>
    <row r="135" spans="1:8" ht="19.8" customHeight="1" x14ac:dyDescent="0.3">
      <c r="A135" s="128">
        <v>45997</v>
      </c>
      <c r="B135" s="112" t="s">
        <v>33</v>
      </c>
      <c r="C135" s="113" t="s">
        <v>34</v>
      </c>
      <c r="D135" s="112" t="s">
        <v>1</v>
      </c>
      <c r="E135" s="129">
        <v>1.836805555555556</v>
      </c>
      <c r="F135" s="112" t="s">
        <v>35</v>
      </c>
      <c r="G135" s="114">
        <v>9</v>
      </c>
      <c r="H135" s="115">
        <v>349</v>
      </c>
    </row>
    <row r="136" spans="1:8" ht="19.8" customHeight="1" x14ac:dyDescent="0.3">
      <c r="A136" s="128">
        <v>45997</v>
      </c>
      <c r="B136" s="112" t="s">
        <v>33</v>
      </c>
      <c r="C136" s="113" t="s">
        <v>68</v>
      </c>
      <c r="D136" s="112" t="s">
        <v>1</v>
      </c>
      <c r="E136" s="129">
        <v>1.2013888888888891</v>
      </c>
      <c r="F136" s="112" t="s">
        <v>35</v>
      </c>
      <c r="G136" s="114">
        <v>9</v>
      </c>
      <c r="H136" s="115">
        <v>349</v>
      </c>
    </row>
    <row r="137" spans="1:8" ht="19.8" customHeight="1" x14ac:dyDescent="0.3">
      <c r="A137" s="128">
        <v>45997</v>
      </c>
      <c r="B137" s="112" t="s">
        <v>120</v>
      </c>
      <c r="C137" s="113" t="s">
        <v>121</v>
      </c>
      <c r="D137" s="112" t="s">
        <v>1</v>
      </c>
      <c r="E137" s="129">
        <v>1.9722222222222221</v>
      </c>
      <c r="F137" s="112" t="s">
        <v>122</v>
      </c>
      <c r="G137" s="114">
        <v>9</v>
      </c>
      <c r="H137" s="115">
        <v>399</v>
      </c>
    </row>
    <row r="138" spans="1:8" ht="19.8" customHeight="1" x14ac:dyDescent="0.3">
      <c r="A138" s="128">
        <v>45997</v>
      </c>
      <c r="B138" s="112" t="s">
        <v>43</v>
      </c>
      <c r="C138" s="113" t="s">
        <v>44</v>
      </c>
      <c r="D138" s="112" t="s">
        <v>1</v>
      </c>
      <c r="E138" s="129">
        <v>1.864583333333333</v>
      </c>
      <c r="F138" s="112" t="s">
        <v>106</v>
      </c>
      <c r="G138" s="114">
        <v>9</v>
      </c>
      <c r="H138" s="115">
        <v>411</v>
      </c>
    </row>
    <row r="139" spans="1:8" ht="19.8" customHeight="1" x14ac:dyDescent="0.3">
      <c r="A139" s="128">
        <v>45997</v>
      </c>
      <c r="B139" s="112" t="s">
        <v>43</v>
      </c>
      <c r="C139" s="113" t="s">
        <v>50</v>
      </c>
      <c r="D139" s="112" t="s">
        <v>1</v>
      </c>
      <c r="E139" s="129">
        <v>1.5277777777777779</v>
      </c>
      <c r="F139" s="112" t="s">
        <v>106</v>
      </c>
      <c r="G139" s="114">
        <v>9</v>
      </c>
      <c r="H139" s="115">
        <v>411</v>
      </c>
    </row>
    <row r="140" spans="1:8" ht="19.8" customHeight="1" x14ac:dyDescent="0.3">
      <c r="A140" s="128">
        <v>45997</v>
      </c>
      <c r="B140" s="112" t="s">
        <v>43</v>
      </c>
      <c r="C140" s="113" t="s">
        <v>52</v>
      </c>
      <c r="D140" s="112" t="s">
        <v>1</v>
      </c>
      <c r="E140" s="129">
        <v>1.1701388888888891</v>
      </c>
      <c r="F140" s="112" t="s">
        <v>106</v>
      </c>
      <c r="G140" s="114">
        <v>9</v>
      </c>
      <c r="H140" s="115">
        <v>411</v>
      </c>
    </row>
    <row r="141" spans="1:8" ht="19.8" customHeight="1" x14ac:dyDescent="0.3">
      <c r="A141" s="128">
        <v>45997</v>
      </c>
      <c r="B141" s="112" t="s">
        <v>28</v>
      </c>
      <c r="C141" s="113" t="s">
        <v>75</v>
      </c>
      <c r="D141" s="112" t="s">
        <v>1</v>
      </c>
      <c r="E141" s="129">
        <v>1.895833333333333</v>
      </c>
      <c r="F141" s="112" t="s">
        <v>30</v>
      </c>
      <c r="G141" s="114">
        <v>9</v>
      </c>
      <c r="H141" s="115">
        <v>439</v>
      </c>
    </row>
    <row r="142" spans="1:8" ht="19.8" customHeight="1" x14ac:dyDescent="0.3">
      <c r="A142" s="132">
        <v>45997</v>
      </c>
      <c r="B142" s="124" t="s">
        <v>76</v>
      </c>
      <c r="C142" s="125" t="s">
        <v>77</v>
      </c>
      <c r="D142" s="124" t="s">
        <v>1</v>
      </c>
      <c r="E142" s="133">
        <v>1.9236111111111109</v>
      </c>
      <c r="F142" s="124" t="s">
        <v>30</v>
      </c>
      <c r="G142" s="126">
        <v>9</v>
      </c>
      <c r="H142" s="127">
        <v>446</v>
      </c>
    </row>
    <row r="143" spans="1:8" ht="19.8" customHeight="1" x14ac:dyDescent="0.3">
      <c r="A143" s="128">
        <v>45997</v>
      </c>
      <c r="B143" s="112" t="s">
        <v>33</v>
      </c>
      <c r="C143" s="113" t="s">
        <v>34</v>
      </c>
      <c r="D143" s="112" t="s">
        <v>1</v>
      </c>
      <c r="E143" s="129">
        <v>1.836805555555556</v>
      </c>
      <c r="F143" s="112" t="s">
        <v>38</v>
      </c>
      <c r="G143" s="114">
        <v>9</v>
      </c>
      <c r="H143" s="115">
        <v>449</v>
      </c>
    </row>
    <row r="144" spans="1:8" ht="19.8" customHeight="1" x14ac:dyDescent="0.3">
      <c r="A144" s="128">
        <v>45997</v>
      </c>
      <c r="B144" s="112" t="s">
        <v>33</v>
      </c>
      <c r="C144" s="113" t="s">
        <v>68</v>
      </c>
      <c r="D144" s="112" t="s">
        <v>1</v>
      </c>
      <c r="E144" s="129">
        <v>1.2013888888888891</v>
      </c>
      <c r="F144" s="112" t="s">
        <v>38</v>
      </c>
      <c r="G144" s="114">
        <v>9</v>
      </c>
      <c r="H144" s="115">
        <v>449</v>
      </c>
    </row>
    <row r="145" spans="1:8" ht="19.8" customHeight="1" x14ac:dyDescent="0.3">
      <c r="A145" s="128">
        <v>45997</v>
      </c>
      <c r="B145" s="112" t="s">
        <v>59</v>
      </c>
      <c r="C145" s="113" t="s">
        <v>60</v>
      </c>
      <c r="D145" s="112" t="s">
        <v>1</v>
      </c>
      <c r="E145" s="129">
        <v>1.305555555555556</v>
      </c>
      <c r="F145" s="112" t="s">
        <v>64</v>
      </c>
      <c r="G145" s="114">
        <v>6</v>
      </c>
      <c r="H145" s="115">
        <v>489</v>
      </c>
    </row>
    <row r="146" spans="1:8" ht="19.8" customHeight="1" x14ac:dyDescent="0.3">
      <c r="A146" s="128">
        <v>45997</v>
      </c>
      <c r="B146" s="112" t="s">
        <v>120</v>
      </c>
      <c r="C146" s="113" t="s">
        <v>121</v>
      </c>
      <c r="D146" s="112" t="s">
        <v>1</v>
      </c>
      <c r="E146" s="129">
        <v>1.9722222222222221</v>
      </c>
      <c r="F146" s="112" t="s">
        <v>67</v>
      </c>
      <c r="G146" s="114">
        <v>9</v>
      </c>
      <c r="H146" s="115">
        <v>522</v>
      </c>
    </row>
    <row r="147" spans="1:8" ht="19.8" customHeight="1" x14ac:dyDescent="0.3">
      <c r="A147" s="128">
        <v>45997</v>
      </c>
      <c r="B147" s="112" t="s">
        <v>33</v>
      </c>
      <c r="C147" s="113" t="s">
        <v>34</v>
      </c>
      <c r="D147" s="112" t="s">
        <v>1</v>
      </c>
      <c r="E147" s="129">
        <v>1.836805555555556</v>
      </c>
      <c r="F147" s="112" t="s">
        <v>41</v>
      </c>
      <c r="G147" s="114">
        <v>9</v>
      </c>
      <c r="H147" s="115">
        <v>539</v>
      </c>
    </row>
    <row r="148" spans="1:8" ht="19.8" customHeight="1" x14ac:dyDescent="0.3">
      <c r="A148" s="128">
        <v>45997</v>
      </c>
      <c r="B148" s="112" t="s">
        <v>33</v>
      </c>
      <c r="C148" s="113" t="s">
        <v>68</v>
      </c>
      <c r="D148" s="112" t="s">
        <v>1</v>
      </c>
      <c r="E148" s="129">
        <v>1.2013888888888891</v>
      </c>
      <c r="F148" s="112" t="s">
        <v>41</v>
      </c>
      <c r="G148" s="114">
        <v>9</v>
      </c>
      <c r="H148" s="115">
        <v>539</v>
      </c>
    </row>
    <row r="149" spans="1:8" ht="19.8" customHeight="1" x14ac:dyDescent="0.3">
      <c r="A149" s="128">
        <v>45997</v>
      </c>
      <c r="B149" s="112" t="s">
        <v>59</v>
      </c>
      <c r="C149" s="113" t="s">
        <v>60</v>
      </c>
      <c r="D149" s="112" t="s">
        <v>1</v>
      </c>
      <c r="E149" s="129">
        <v>1.305555555555556</v>
      </c>
      <c r="F149" s="112" t="s">
        <v>67</v>
      </c>
      <c r="G149" s="114">
        <v>6</v>
      </c>
      <c r="H149" s="115">
        <v>899</v>
      </c>
    </row>
    <row r="150" spans="1:8" ht="19.8" customHeight="1" x14ac:dyDescent="0.3">
      <c r="A150" s="130">
        <v>45997</v>
      </c>
      <c r="B150" s="117" t="s">
        <v>54</v>
      </c>
      <c r="C150" s="118" t="s">
        <v>55</v>
      </c>
      <c r="D150" s="117" t="s">
        <v>1</v>
      </c>
      <c r="E150" s="131">
        <v>1.305555555555556</v>
      </c>
      <c r="F150" s="117" t="s">
        <v>56</v>
      </c>
      <c r="G150" s="119">
        <v>4</v>
      </c>
      <c r="H150" s="122" t="s">
        <v>118</v>
      </c>
    </row>
    <row r="151" spans="1:8" ht="19.8" customHeight="1" x14ac:dyDescent="0.3">
      <c r="A151" s="128">
        <v>45998</v>
      </c>
      <c r="B151" s="112" t="s">
        <v>102</v>
      </c>
      <c r="C151" s="113" t="s">
        <v>113</v>
      </c>
      <c r="D151" s="112" t="s">
        <v>1</v>
      </c>
      <c r="E151" s="129">
        <v>1.2222222222222221</v>
      </c>
      <c r="F151" s="112" t="s">
        <v>30</v>
      </c>
      <c r="G151" s="114">
        <v>9</v>
      </c>
      <c r="H151" s="115">
        <v>371</v>
      </c>
    </row>
    <row r="152" spans="1:8" ht="19.8" customHeight="1" x14ac:dyDescent="0.3">
      <c r="A152" s="128">
        <v>45998</v>
      </c>
      <c r="B152" s="112" t="s">
        <v>43</v>
      </c>
      <c r="C152" s="113" t="s">
        <v>44</v>
      </c>
      <c r="D152" s="112" t="s">
        <v>1</v>
      </c>
      <c r="E152" s="129">
        <v>1.864583333333333</v>
      </c>
      <c r="F152" s="112" t="s">
        <v>106</v>
      </c>
      <c r="G152" s="114">
        <v>9</v>
      </c>
      <c r="H152" s="115">
        <v>411</v>
      </c>
    </row>
    <row r="153" spans="1:8" ht="19.8" customHeight="1" x14ac:dyDescent="0.3">
      <c r="A153" s="128">
        <v>45998</v>
      </c>
      <c r="B153" s="112" t="s">
        <v>43</v>
      </c>
      <c r="C153" s="113" t="s">
        <v>50</v>
      </c>
      <c r="D153" s="112" t="s">
        <v>1</v>
      </c>
      <c r="E153" s="129">
        <v>1.5277777777777779</v>
      </c>
      <c r="F153" s="112" t="s">
        <v>106</v>
      </c>
      <c r="G153" s="114">
        <v>9</v>
      </c>
      <c r="H153" s="115">
        <v>411</v>
      </c>
    </row>
    <row r="154" spans="1:8" ht="19.8" customHeight="1" x14ac:dyDescent="0.3">
      <c r="A154" s="128">
        <v>45998</v>
      </c>
      <c r="B154" s="112" t="s">
        <v>43</v>
      </c>
      <c r="C154" s="113" t="s">
        <v>52</v>
      </c>
      <c r="D154" s="112" t="s">
        <v>1</v>
      </c>
      <c r="E154" s="129">
        <v>1.1701388888888891</v>
      </c>
      <c r="F154" s="112" t="s">
        <v>106</v>
      </c>
      <c r="G154" s="114">
        <v>9</v>
      </c>
      <c r="H154" s="115">
        <v>411</v>
      </c>
    </row>
    <row r="155" spans="1:8" ht="19.8" customHeight="1" x14ac:dyDescent="0.3">
      <c r="A155" s="128">
        <v>45998</v>
      </c>
      <c r="B155" s="112" t="s">
        <v>28</v>
      </c>
      <c r="C155" s="113" t="s">
        <v>29</v>
      </c>
      <c r="D155" s="112" t="s">
        <v>1</v>
      </c>
      <c r="E155" s="129">
        <v>1.958333333333333</v>
      </c>
      <c r="F155" s="112" t="s">
        <v>30</v>
      </c>
      <c r="G155" s="114">
        <v>9</v>
      </c>
      <c r="H155" s="115">
        <v>439</v>
      </c>
    </row>
    <row r="156" spans="1:8" ht="19.8" customHeight="1" x14ac:dyDescent="0.3">
      <c r="A156" s="130">
        <v>45998</v>
      </c>
      <c r="B156" s="117" t="s">
        <v>54</v>
      </c>
      <c r="C156" s="118" t="s">
        <v>55</v>
      </c>
      <c r="D156" s="117" t="s">
        <v>1</v>
      </c>
      <c r="E156" s="131">
        <v>1.305555555555556</v>
      </c>
      <c r="F156" s="117" t="s">
        <v>56</v>
      </c>
      <c r="G156" s="119">
        <v>4</v>
      </c>
      <c r="H156" s="122" t="s">
        <v>118</v>
      </c>
    </row>
    <row r="157" spans="1:8" ht="19.8" customHeight="1" x14ac:dyDescent="0.3">
      <c r="A157" s="128">
        <v>45999</v>
      </c>
      <c r="B157" s="112" t="s">
        <v>43</v>
      </c>
      <c r="C157" s="113" t="s">
        <v>44</v>
      </c>
      <c r="D157" s="112" t="s">
        <v>1</v>
      </c>
      <c r="E157" s="129">
        <v>1.864583333333333</v>
      </c>
      <c r="F157" s="112" t="s">
        <v>106</v>
      </c>
      <c r="G157" s="114">
        <v>9</v>
      </c>
      <c r="H157" s="115">
        <v>411</v>
      </c>
    </row>
    <row r="158" spans="1:8" ht="19.8" customHeight="1" x14ac:dyDescent="0.3">
      <c r="A158" s="128">
        <v>45999</v>
      </c>
      <c r="B158" s="112" t="s">
        <v>43</v>
      </c>
      <c r="C158" s="113" t="s">
        <v>50</v>
      </c>
      <c r="D158" s="112" t="s">
        <v>1</v>
      </c>
      <c r="E158" s="129">
        <v>1.5277777777777779</v>
      </c>
      <c r="F158" s="112" t="s">
        <v>106</v>
      </c>
      <c r="G158" s="114">
        <v>9</v>
      </c>
      <c r="H158" s="115">
        <v>411</v>
      </c>
    </row>
    <row r="159" spans="1:8" ht="19.8" customHeight="1" x14ac:dyDescent="0.3">
      <c r="A159" s="128">
        <v>45999</v>
      </c>
      <c r="B159" s="112" t="s">
        <v>43</v>
      </c>
      <c r="C159" s="113" t="s">
        <v>52</v>
      </c>
      <c r="D159" s="112" t="s">
        <v>1</v>
      </c>
      <c r="E159" s="129">
        <v>1.1701388888888891</v>
      </c>
      <c r="F159" s="112" t="s">
        <v>106</v>
      </c>
      <c r="G159" s="114">
        <v>9</v>
      </c>
      <c r="H159" s="115">
        <v>411</v>
      </c>
    </row>
    <row r="160" spans="1:8" ht="19.8" customHeight="1" x14ac:dyDescent="0.3">
      <c r="A160" s="128">
        <v>45999</v>
      </c>
      <c r="B160" s="112" t="s">
        <v>28</v>
      </c>
      <c r="C160" s="113" t="s">
        <v>47</v>
      </c>
      <c r="D160" s="112" t="s">
        <v>1</v>
      </c>
      <c r="E160" s="129">
        <v>1.958333333333333</v>
      </c>
      <c r="F160" s="112" t="s">
        <v>30</v>
      </c>
      <c r="G160" s="114">
        <v>9</v>
      </c>
      <c r="H160" s="115">
        <v>439</v>
      </c>
    </row>
    <row r="161" spans="1:8" ht="19.8" customHeight="1" x14ac:dyDescent="0.3">
      <c r="A161" s="130">
        <v>45999</v>
      </c>
      <c r="B161" s="117" t="s">
        <v>54</v>
      </c>
      <c r="C161" s="118" t="s">
        <v>55</v>
      </c>
      <c r="D161" s="117" t="s">
        <v>1</v>
      </c>
      <c r="E161" s="131">
        <v>1.305555555555556</v>
      </c>
      <c r="F161" s="117" t="s">
        <v>56</v>
      </c>
      <c r="G161" s="119">
        <v>4</v>
      </c>
      <c r="H161" s="122" t="s">
        <v>85</v>
      </c>
    </row>
    <row r="162" spans="1:8" ht="19.8" customHeight="1" x14ac:dyDescent="0.3">
      <c r="A162" s="128">
        <v>46000</v>
      </c>
      <c r="B162" s="112" t="s">
        <v>43</v>
      </c>
      <c r="C162" s="113" t="s">
        <v>44</v>
      </c>
      <c r="D162" s="112" t="s">
        <v>1</v>
      </c>
      <c r="E162" s="129">
        <v>1.864583333333333</v>
      </c>
      <c r="F162" s="112" t="s">
        <v>106</v>
      </c>
      <c r="G162" s="114">
        <v>9</v>
      </c>
      <c r="H162" s="115">
        <v>411</v>
      </c>
    </row>
    <row r="163" spans="1:8" ht="19.8" customHeight="1" x14ac:dyDescent="0.3">
      <c r="A163" s="128">
        <v>46000</v>
      </c>
      <c r="B163" s="112" t="s">
        <v>43</v>
      </c>
      <c r="C163" s="113" t="s">
        <v>50</v>
      </c>
      <c r="D163" s="112" t="s">
        <v>1</v>
      </c>
      <c r="E163" s="129">
        <v>1.5277777777777779</v>
      </c>
      <c r="F163" s="112" t="s">
        <v>106</v>
      </c>
      <c r="G163" s="114">
        <v>9</v>
      </c>
      <c r="H163" s="115">
        <v>411</v>
      </c>
    </row>
    <row r="164" spans="1:8" ht="19.8" customHeight="1" x14ac:dyDescent="0.3">
      <c r="A164" s="128">
        <v>46000</v>
      </c>
      <c r="B164" s="112" t="s">
        <v>43</v>
      </c>
      <c r="C164" s="113" t="s">
        <v>52</v>
      </c>
      <c r="D164" s="112" t="s">
        <v>1</v>
      </c>
      <c r="E164" s="129">
        <v>1.1701388888888891</v>
      </c>
      <c r="F164" s="112" t="s">
        <v>106</v>
      </c>
      <c r="G164" s="114">
        <v>9</v>
      </c>
      <c r="H164" s="115">
        <v>411</v>
      </c>
    </row>
    <row r="165" spans="1:8" ht="19.8" customHeight="1" x14ac:dyDescent="0.3">
      <c r="A165" s="132">
        <v>46000</v>
      </c>
      <c r="B165" s="124" t="s">
        <v>76</v>
      </c>
      <c r="C165" s="125" t="s">
        <v>77</v>
      </c>
      <c r="D165" s="124" t="s">
        <v>1</v>
      </c>
      <c r="E165" s="133">
        <v>1.270833333333333</v>
      </c>
      <c r="F165" s="124" t="s">
        <v>30</v>
      </c>
      <c r="G165" s="126">
        <v>9</v>
      </c>
      <c r="H165" s="127">
        <v>425</v>
      </c>
    </row>
    <row r="166" spans="1:8" ht="19.8" customHeight="1" x14ac:dyDescent="0.3">
      <c r="A166" s="128">
        <v>46000</v>
      </c>
      <c r="B166" s="112" t="s">
        <v>28</v>
      </c>
      <c r="C166" s="113" t="s">
        <v>75</v>
      </c>
      <c r="D166" s="112" t="s">
        <v>1</v>
      </c>
      <c r="E166" s="129">
        <v>1.958333333333333</v>
      </c>
      <c r="F166" s="112" t="s">
        <v>30</v>
      </c>
      <c r="G166" s="114">
        <v>9</v>
      </c>
      <c r="H166" s="115">
        <v>439</v>
      </c>
    </row>
    <row r="167" spans="1:8" ht="19.8" customHeight="1" x14ac:dyDescent="0.3">
      <c r="A167" s="130">
        <v>46000</v>
      </c>
      <c r="B167" s="117" t="s">
        <v>54</v>
      </c>
      <c r="C167" s="118" t="s">
        <v>55</v>
      </c>
      <c r="D167" s="117" t="s">
        <v>1</v>
      </c>
      <c r="E167" s="131">
        <v>1.305555555555556</v>
      </c>
      <c r="F167" s="117" t="s">
        <v>56</v>
      </c>
      <c r="G167" s="119">
        <v>4</v>
      </c>
      <c r="H167" s="122" t="s">
        <v>85</v>
      </c>
    </row>
    <row r="168" spans="1:8" ht="19.8" customHeight="1" x14ac:dyDescent="0.3">
      <c r="A168" s="128">
        <v>46001</v>
      </c>
      <c r="B168" s="112" t="s">
        <v>102</v>
      </c>
      <c r="C168" s="113" t="s">
        <v>103</v>
      </c>
      <c r="D168" s="112" t="s">
        <v>1</v>
      </c>
      <c r="E168" s="129">
        <v>1.0902777777777779</v>
      </c>
      <c r="F168" s="112" t="s">
        <v>30</v>
      </c>
      <c r="G168" s="114">
        <v>9</v>
      </c>
      <c r="H168" s="115">
        <v>371</v>
      </c>
    </row>
    <row r="169" spans="1:8" ht="19.8" customHeight="1" x14ac:dyDescent="0.3">
      <c r="A169" s="128">
        <v>46001</v>
      </c>
      <c r="B169" s="112" t="s">
        <v>43</v>
      </c>
      <c r="C169" s="113" t="s">
        <v>44</v>
      </c>
      <c r="D169" s="112" t="s">
        <v>1</v>
      </c>
      <c r="E169" s="129">
        <v>1.864583333333333</v>
      </c>
      <c r="F169" s="112" t="s">
        <v>106</v>
      </c>
      <c r="G169" s="114">
        <v>9</v>
      </c>
      <c r="H169" s="115">
        <v>411</v>
      </c>
    </row>
    <row r="170" spans="1:8" ht="19.8" customHeight="1" x14ac:dyDescent="0.3">
      <c r="A170" s="128">
        <v>46001</v>
      </c>
      <c r="B170" s="112" t="s">
        <v>43</v>
      </c>
      <c r="C170" s="113" t="s">
        <v>50</v>
      </c>
      <c r="D170" s="112" t="s">
        <v>1</v>
      </c>
      <c r="E170" s="129">
        <v>1.5277777777777779</v>
      </c>
      <c r="F170" s="112" t="s">
        <v>106</v>
      </c>
      <c r="G170" s="114">
        <v>9</v>
      </c>
      <c r="H170" s="115">
        <v>411</v>
      </c>
    </row>
    <row r="171" spans="1:8" ht="19.8" customHeight="1" x14ac:dyDescent="0.3">
      <c r="A171" s="128">
        <v>46001</v>
      </c>
      <c r="B171" s="112" t="s">
        <v>43</v>
      </c>
      <c r="C171" s="113" t="s">
        <v>52</v>
      </c>
      <c r="D171" s="112" t="s">
        <v>1</v>
      </c>
      <c r="E171" s="129">
        <v>1.1701388888888891</v>
      </c>
      <c r="F171" s="112" t="s">
        <v>106</v>
      </c>
      <c r="G171" s="114">
        <v>9</v>
      </c>
      <c r="H171" s="115">
        <v>411</v>
      </c>
    </row>
    <row r="172" spans="1:8" ht="19.8" customHeight="1" x14ac:dyDescent="0.3">
      <c r="A172" s="128">
        <v>46001</v>
      </c>
      <c r="B172" s="112" t="s">
        <v>28</v>
      </c>
      <c r="C172" s="113" t="s">
        <v>47</v>
      </c>
      <c r="D172" s="112" t="s">
        <v>1</v>
      </c>
      <c r="E172" s="129">
        <v>1.895833333333333</v>
      </c>
      <c r="F172" s="112" t="s">
        <v>30</v>
      </c>
      <c r="G172" s="114">
        <v>7</v>
      </c>
      <c r="H172" s="115">
        <v>439</v>
      </c>
    </row>
    <row r="173" spans="1:8" ht="19.8" customHeight="1" x14ac:dyDescent="0.3">
      <c r="A173" s="130">
        <v>46001</v>
      </c>
      <c r="B173" s="117" t="s">
        <v>54</v>
      </c>
      <c r="C173" s="118" t="s">
        <v>55</v>
      </c>
      <c r="D173" s="117" t="s">
        <v>1</v>
      </c>
      <c r="E173" s="131">
        <v>1.305555555555556</v>
      </c>
      <c r="F173" s="117" t="s">
        <v>56</v>
      </c>
      <c r="G173" s="119">
        <v>4</v>
      </c>
      <c r="H173" s="122" t="s">
        <v>58</v>
      </c>
    </row>
    <row r="174" spans="1:8" ht="19.8" customHeight="1" x14ac:dyDescent="0.3">
      <c r="A174" s="128">
        <v>46002</v>
      </c>
      <c r="B174" s="112" t="s">
        <v>102</v>
      </c>
      <c r="C174" s="113" t="s">
        <v>103</v>
      </c>
      <c r="D174" s="112" t="s">
        <v>1</v>
      </c>
      <c r="E174" s="129">
        <v>1.8888888888888891</v>
      </c>
      <c r="F174" s="112" t="s">
        <v>30</v>
      </c>
      <c r="G174" s="114">
        <v>9</v>
      </c>
      <c r="H174" s="115">
        <v>371</v>
      </c>
    </row>
    <row r="175" spans="1:8" ht="19.8" customHeight="1" x14ac:dyDescent="0.3">
      <c r="A175" s="128">
        <v>46002</v>
      </c>
      <c r="B175" s="112" t="s">
        <v>43</v>
      </c>
      <c r="C175" s="113" t="s">
        <v>44</v>
      </c>
      <c r="D175" s="112" t="s">
        <v>1</v>
      </c>
      <c r="E175" s="129">
        <v>1.864583333333333</v>
      </c>
      <c r="F175" s="112" t="s">
        <v>106</v>
      </c>
      <c r="G175" s="114">
        <v>9</v>
      </c>
      <c r="H175" s="115">
        <v>411</v>
      </c>
    </row>
    <row r="176" spans="1:8" ht="19.8" customHeight="1" x14ac:dyDescent="0.3">
      <c r="A176" s="128">
        <v>46002</v>
      </c>
      <c r="B176" s="112" t="s">
        <v>43</v>
      </c>
      <c r="C176" s="113" t="s">
        <v>50</v>
      </c>
      <c r="D176" s="112" t="s">
        <v>1</v>
      </c>
      <c r="E176" s="129">
        <v>1.5277777777777779</v>
      </c>
      <c r="F176" s="112" t="s">
        <v>106</v>
      </c>
      <c r="G176" s="114">
        <v>9</v>
      </c>
      <c r="H176" s="115">
        <v>411</v>
      </c>
    </row>
    <row r="177" spans="1:8" ht="19.8" customHeight="1" x14ac:dyDescent="0.3">
      <c r="A177" s="128">
        <v>46002</v>
      </c>
      <c r="B177" s="112" t="s">
        <v>43</v>
      </c>
      <c r="C177" s="113" t="s">
        <v>52</v>
      </c>
      <c r="D177" s="112" t="s">
        <v>1</v>
      </c>
      <c r="E177" s="129">
        <v>1.1701388888888891</v>
      </c>
      <c r="F177" s="112" t="s">
        <v>106</v>
      </c>
      <c r="G177" s="114">
        <v>9</v>
      </c>
      <c r="H177" s="115">
        <v>411</v>
      </c>
    </row>
    <row r="178" spans="1:8" ht="19.8" customHeight="1" x14ac:dyDescent="0.3">
      <c r="A178" s="128">
        <v>46002</v>
      </c>
      <c r="B178" s="112" t="s">
        <v>28</v>
      </c>
      <c r="C178" s="113" t="s">
        <v>29</v>
      </c>
      <c r="D178" s="112" t="s">
        <v>1</v>
      </c>
      <c r="E178" s="129">
        <v>1.5625</v>
      </c>
      <c r="F178" s="112" t="s">
        <v>30</v>
      </c>
      <c r="G178" s="114">
        <v>5</v>
      </c>
      <c r="H178" s="115">
        <v>439</v>
      </c>
    </row>
    <row r="179" spans="1:8" ht="19.8" customHeight="1" x14ac:dyDescent="0.3">
      <c r="A179" s="132">
        <v>46002</v>
      </c>
      <c r="B179" s="124" t="s">
        <v>76</v>
      </c>
      <c r="C179" s="125" t="s">
        <v>77</v>
      </c>
      <c r="D179" s="124" t="s">
        <v>1</v>
      </c>
      <c r="E179" s="133">
        <v>1.9236111111111109</v>
      </c>
      <c r="F179" s="124" t="s">
        <v>30</v>
      </c>
      <c r="G179" s="126">
        <v>6</v>
      </c>
      <c r="H179" s="127">
        <v>446</v>
      </c>
    </row>
    <row r="180" spans="1:8" ht="19.8" customHeight="1" x14ac:dyDescent="0.3">
      <c r="A180" s="128">
        <v>46002</v>
      </c>
      <c r="B180" s="112" t="s">
        <v>28</v>
      </c>
      <c r="C180" s="113" t="s">
        <v>75</v>
      </c>
      <c r="D180" s="112" t="s">
        <v>1</v>
      </c>
      <c r="E180" s="129">
        <v>1.958333333333333</v>
      </c>
      <c r="F180" s="112" t="s">
        <v>30</v>
      </c>
      <c r="G180" s="114">
        <v>6</v>
      </c>
      <c r="H180" s="115">
        <v>563</v>
      </c>
    </row>
    <row r="181" spans="1:8" ht="19.8" customHeight="1" x14ac:dyDescent="0.3">
      <c r="A181" s="130">
        <v>46002</v>
      </c>
      <c r="B181" s="117" t="s">
        <v>54</v>
      </c>
      <c r="C181" s="118" t="s">
        <v>55</v>
      </c>
      <c r="D181" s="117" t="s">
        <v>1</v>
      </c>
      <c r="E181" s="131">
        <v>1.305555555555556</v>
      </c>
      <c r="F181" s="117" t="s">
        <v>56</v>
      </c>
      <c r="G181" s="119">
        <v>4</v>
      </c>
      <c r="H181" s="122" t="s">
        <v>58</v>
      </c>
    </row>
    <row r="182" spans="1:8" ht="19.8" customHeight="1" x14ac:dyDescent="0.3">
      <c r="A182" s="128">
        <v>46003</v>
      </c>
      <c r="B182" s="112" t="s">
        <v>43</v>
      </c>
      <c r="C182" s="113" t="s">
        <v>44</v>
      </c>
      <c r="D182" s="112" t="s">
        <v>1</v>
      </c>
      <c r="E182" s="129">
        <v>1.864583333333333</v>
      </c>
      <c r="F182" s="112" t="s">
        <v>106</v>
      </c>
      <c r="G182" s="114">
        <v>9</v>
      </c>
      <c r="H182" s="115">
        <v>411</v>
      </c>
    </row>
    <row r="183" spans="1:8" ht="19.8" customHeight="1" x14ac:dyDescent="0.3">
      <c r="A183" s="128">
        <v>46003</v>
      </c>
      <c r="B183" s="112" t="s">
        <v>43</v>
      </c>
      <c r="C183" s="113" t="s">
        <v>52</v>
      </c>
      <c r="D183" s="112" t="s">
        <v>1</v>
      </c>
      <c r="E183" s="129">
        <v>1.1701388888888891</v>
      </c>
      <c r="F183" s="112" t="s">
        <v>106</v>
      </c>
      <c r="G183" s="114">
        <v>9</v>
      </c>
      <c r="H183" s="115">
        <v>411</v>
      </c>
    </row>
    <row r="184" spans="1:8" ht="19.8" customHeight="1" x14ac:dyDescent="0.3">
      <c r="A184" s="128">
        <v>46003</v>
      </c>
      <c r="B184" s="112" t="s">
        <v>28</v>
      </c>
      <c r="C184" s="113" t="s">
        <v>47</v>
      </c>
      <c r="D184" s="112" t="s">
        <v>1</v>
      </c>
      <c r="E184" s="129">
        <v>1.958333333333333</v>
      </c>
      <c r="F184" s="112" t="s">
        <v>30</v>
      </c>
      <c r="G184" s="114">
        <v>8</v>
      </c>
      <c r="H184" s="115">
        <v>439</v>
      </c>
    </row>
    <row r="185" spans="1:8" ht="19.8" customHeight="1" x14ac:dyDescent="0.3">
      <c r="A185" s="132">
        <v>46003</v>
      </c>
      <c r="B185" s="124" t="s">
        <v>76</v>
      </c>
      <c r="C185" s="125" t="s">
        <v>77</v>
      </c>
      <c r="D185" s="124" t="s">
        <v>1</v>
      </c>
      <c r="E185" s="133">
        <v>1.5798611111111109</v>
      </c>
      <c r="F185" s="124" t="s">
        <v>30</v>
      </c>
      <c r="G185" s="126">
        <v>8</v>
      </c>
      <c r="H185" s="127">
        <v>476</v>
      </c>
    </row>
    <row r="186" spans="1:8" ht="19.8" customHeight="1" x14ac:dyDescent="0.3">
      <c r="A186" s="128">
        <v>46003</v>
      </c>
      <c r="B186" s="112" t="s">
        <v>43</v>
      </c>
      <c r="C186" s="113" t="s">
        <v>50</v>
      </c>
      <c r="D186" s="112" t="s">
        <v>1</v>
      </c>
      <c r="E186" s="129">
        <v>1.5277777777777779</v>
      </c>
      <c r="F186" s="112" t="s">
        <v>45</v>
      </c>
      <c r="G186" s="114">
        <v>9</v>
      </c>
      <c r="H186" s="121" t="s">
        <v>148</v>
      </c>
    </row>
    <row r="187" spans="1:8" ht="19.8" customHeight="1" x14ac:dyDescent="0.3">
      <c r="A187" s="130">
        <v>46003</v>
      </c>
      <c r="B187" s="117" t="s">
        <v>54</v>
      </c>
      <c r="C187" s="118" t="s">
        <v>55</v>
      </c>
      <c r="D187" s="117" t="s">
        <v>1</v>
      </c>
      <c r="E187" s="131">
        <v>1.305555555555556</v>
      </c>
      <c r="F187" s="117" t="s">
        <v>56</v>
      </c>
      <c r="G187" s="119">
        <v>4</v>
      </c>
      <c r="H187" s="122" t="s">
        <v>85</v>
      </c>
    </row>
    <row r="188" spans="1:8" ht="19.8" customHeight="1" x14ac:dyDescent="0.3">
      <c r="A188" s="128">
        <v>46004</v>
      </c>
      <c r="B188" s="112" t="s">
        <v>33</v>
      </c>
      <c r="C188" s="113" t="s">
        <v>34</v>
      </c>
      <c r="D188" s="112" t="s">
        <v>1</v>
      </c>
      <c r="E188" s="129">
        <v>1.836805555555556</v>
      </c>
      <c r="F188" s="112" t="s">
        <v>35</v>
      </c>
      <c r="G188" s="114">
        <v>9</v>
      </c>
      <c r="H188" s="115">
        <v>349</v>
      </c>
    </row>
    <row r="189" spans="1:8" ht="19.8" customHeight="1" x14ac:dyDescent="0.3">
      <c r="A189" s="128">
        <v>46004</v>
      </c>
      <c r="B189" s="112" t="s">
        <v>33</v>
      </c>
      <c r="C189" s="113" t="s">
        <v>68</v>
      </c>
      <c r="D189" s="112" t="s">
        <v>1</v>
      </c>
      <c r="E189" s="129">
        <v>1.2013888888888891</v>
      </c>
      <c r="F189" s="112" t="s">
        <v>35</v>
      </c>
      <c r="G189" s="114">
        <v>4</v>
      </c>
      <c r="H189" s="115">
        <v>349</v>
      </c>
    </row>
    <row r="190" spans="1:8" ht="19.8" customHeight="1" x14ac:dyDescent="0.3">
      <c r="A190" s="128">
        <v>46004</v>
      </c>
      <c r="B190" s="112" t="s">
        <v>43</v>
      </c>
      <c r="C190" s="113" t="s">
        <v>44</v>
      </c>
      <c r="D190" s="112" t="s">
        <v>1</v>
      </c>
      <c r="E190" s="129">
        <v>1.864583333333333</v>
      </c>
      <c r="F190" s="112" t="s">
        <v>106</v>
      </c>
      <c r="G190" s="114">
        <v>9</v>
      </c>
      <c r="H190" s="115">
        <v>411</v>
      </c>
    </row>
    <row r="191" spans="1:8" ht="19.8" customHeight="1" x14ac:dyDescent="0.3">
      <c r="A191" s="128">
        <v>46004</v>
      </c>
      <c r="B191" s="112" t="s">
        <v>43</v>
      </c>
      <c r="C191" s="113" t="s">
        <v>52</v>
      </c>
      <c r="D191" s="112" t="s">
        <v>1</v>
      </c>
      <c r="E191" s="129">
        <v>1.1701388888888891</v>
      </c>
      <c r="F191" s="112" t="s">
        <v>106</v>
      </c>
      <c r="G191" s="114">
        <v>9</v>
      </c>
      <c r="H191" s="115">
        <v>411</v>
      </c>
    </row>
    <row r="192" spans="1:8" ht="19.8" customHeight="1" x14ac:dyDescent="0.3">
      <c r="A192" s="128">
        <v>46004</v>
      </c>
      <c r="B192" s="112" t="s">
        <v>43</v>
      </c>
      <c r="C192" s="113" t="s">
        <v>50</v>
      </c>
      <c r="D192" s="112" t="s">
        <v>1</v>
      </c>
      <c r="E192" s="129">
        <v>1.5277777777777779</v>
      </c>
      <c r="F192" s="112" t="s">
        <v>106</v>
      </c>
      <c r="G192" s="114">
        <v>9</v>
      </c>
      <c r="H192" s="115">
        <v>415</v>
      </c>
    </row>
    <row r="193" spans="1:8" ht="19.8" customHeight="1" x14ac:dyDescent="0.3">
      <c r="A193" s="128">
        <v>46004</v>
      </c>
      <c r="B193" s="112" t="s">
        <v>28</v>
      </c>
      <c r="C193" s="113" t="s">
        <v>75</v>
      </c>
      <c r="D193" s="112" t="s">
        <v>1</v>
      </c>
      <c r="E193" s="129">
        <v>1.895833333333333</v>
      </c>
      <c r="F193" s="112" t="s">
        <v>30</v>
      </c>
      <c r="G193" s="114">
        <v>9</v>
      </c>
      <c r="H193" s="115">
        <v>439</v>
      </c>
    </row>
    <row r="194" spans="1:8" ht="19.8" customHeight="1" x14ac:dyDescent="0.3">
      <c r="A194" s="132">
        <v>46004</v>
      </c>
      <c r="B194" s="124" t="s">
        <v>76</v>
      </c>
      <c r="C194" s="125" t="s">
        <v>77</v>
      </c>
      <c r="D194" s="124" t="s">
        <v>1</v>
      </c>
      <c r="E194" s="133">
        <v>1.9236111111111109</v>
      </c>
      <c r="F194" s="124" t="s">
        <v>30</v>
      </c>
      <c r="G194" s="126">
        <v>9</v>
      </c>
      <c r="H194" s="127">
        <v>446</v>
      </c>
    </row>
    <row r="195" spans="1:8" ht="19.8" customHeight="1" x14ac:dyDescent="0.3">
      <c r="A195" s="128">
        <v>46004</v>
      </c>
      <c r="B195" s="112" t="s">
        <v>33</v>
      </c>
      <c r="C195" s="113" t="s">
        <v>34</v>
      </c>
      <c r="D195" s="112" t="s">
        <v>1</v>
      </c>
      <c r="E195" s="129">
        <v>1.836805555555556</v>
      </c>
      <c r="F195" s="112" t="s">
        <v>38</v>
      </c>
      <c r="G195" s="114">
        <v>9</v>
      </c>
      <c r="H195" s="115">
        <v>449</v>
      </c>
    </row>
    <row r="196" spans="1:8" ht="19.8" customHeight="1" x14ac:dyDescent="0.3">
      <c r="A196" s="128">
        <v>46004</v>
      </c>
      <c r="B196" s="112" t="s">
        <v>33</v>
      </c>
      <c r="C196" s="113" t="s">
        <v>68</v>
      </c>
      <c r="D196" s="112" t="s">
        <v>1</v>
      </c>
      <c r="E196" s="129">
        <v>1.2013888888888891</v>
      </c>
      <c r="F196" s="112" t="s">
        <v>38</v>
      </c>
      <c r="G196" s="114">
        <v>4</v>
      </c>
      <c r="H196" s="115">
        <v>449</v>
      </c>
    </row>
    <row r="197" spans="1:8" ht="19.8" customHeight="1" x14ac:dyDescent="0.3">
      <c r="A197" s="128">
        <v>46004</v>
      </c>
      <c r="B197" s="112" t="s">
        <v>33</v>
      </c>
      <c r="C197" s="113" t="s">
        <v>34</v>
      </c>
      <c r="D197" s="112" t="s">
        <v>1</v>
      </c>
      <c r="E197" s="129">
        <v>1.836805555555556</v>
      </c>
      <c r="F197" s="112" t="s">
        <v>41</v>
      </c>
      <c r="G197" s="114">
        <v>9</v>
      </c>
      <c r="H197" s="115">
        <v>539</v>
      </c>
    </row>
    <row r="198" spans="1:8" ht="19.8" customHeight="1" x14ac:dyDescent="0.3">
      <c r="A198" s="128">
        <v>46004</v>
      </c>
      <c r="B198" s="112" t="s">
        <v>33</v>
      </c>
      <c r="C198" s="113" t="s">
        <v>68</v>
      </c>
      <c r="D198" s="112" t="s">
        <v>1</v>
      </c>
      <c r="E198" s="129">
        <v>1.2013888888888891</v>
      </c>
      <c r="F198" s="112" t="s">
        <v>41</v>
      </c>
      <c r="G198" s="114">
        <v>4</v>
      </c>
      <c r="H198" s="115">
        <v>539</v>
      </c>
    </row>
    <row r="199" spans="1:8" ht="19.8" customHeight="1" x14ac:dyDescent="0.3">
      <c r="A199" s="130">
        <v>46004</v>
      </c>
      <c r="B199" s="117" t="s">
        <v>54</v>
      </c>
      <c r="C199" s="118" t="s">
        <v>55</v>
      </c>
      <c r="D199" s="117" t="s">
        <v>1</v>
      </c>
      <c r="E199" s="131">
        <v>1.305555555555556</v>
      </c>
      <c r="F199" s="117" t="s">
        <v>56</v>
      </c>
      <c r="G199" s="119">
        <v>4</v>
      </c>
      <c r="H199" s="122" t="s">
        <v>118</v>
      </c>
    </row>
    <row r="200" spans="1:8" ht="19.8" customHeight="1" x14ac:dyDescent="0.3">
      <c r="A200" s="128">
        <v>46005</v>
      </c>
      <c r="B200" s="112" t="s">
        <v>102</v>
      </c>
      <c r="C200" s="113" t="s">
        <v>113</v>
      </c>
      <c r="D200" s="112" t="s">
        <v>1</v>
      </c>
      <c r="E200" s="129">
        <v>1.2222222222222221</v>
      </c>
      <c r="F200" s="112" t="s">
        <v>30</v>
      </c>
      <c r="G200" s="114">
        <v>5</v>
      </c>
      <c r="H200" s="115">
        <v>371</v>
      </c>
    </row>
    <row r="201" spans="1:8" ht="19.8" customHeight="1" x14ac:dyDescent="0.3">
      <c r="A201" s="128">
        <v>46005</v>
      </c>
      <c r="B201" s="112" t="s">
        <v>43</v>
      </c>
      <c r="C201" s="113" t="s">
        <v>44</v>
      </c>
      <c r="D201" s="112" t="s">
        <v>1</v>
      </c>
      <c r="E201" s="129">
        <v>1.864583333333333</v>
      </c>
      <c r="F201" s="112" t="s">
        <v>106</v>
      </c>
      <c r="G201" s="114">
        <v>9</v>
      </c>
      <c r="H201" s="115">
        <v>411</v>
      </c>
    </row>
    <row r="202" spans="1:8" ht="19.8" customHeight="1" x14ac:dyDescent="0.3">
      <c r="A202" s="128">
        <v>46005</v>
      </c>
      <c r="B202" s="112" t="s">
        <v>43</v>
      </c>
      <c r="C202" s="113" t="s">
        <v>52</v>
      </c>
      <c r="D202" s="112" t="s">
        <v>1</v>
      </c>
      <c r="E202" s="129">
        <v>1.1701388888888891</v>
      </c>
      <c r="F202" s="112" t="s">
        <v>106</v>
      </c>
      <c r="G202" s="114">
        <v>9</v>
      </c>
      <c r="H202" s="115">
        <v>411</v>
      </c>
    </row>
    <row r="203" spans="1:8" ht="19.8" customHeight="1" x14ac:dyDescent="0.3">
      <c r="A203" s="128">
        <v>46005</v>
      </c>
      <c r="B203" s="112" t="s">
        <v>28</v>
      </c>
      <c r="C203" s="113" t="s">
        <v>29</v>
      </c>
      <c r="D203" s="112" t="s">
        <v>1</v>
      </c>
      <c r="E203" s="129">
        <v>1.958333333333333</v>
      </c>
      <c r="F203" s="112" t="s">
        <v>30</v>
      </c>
      <c r="G203" s="114">
        <v>9</v>
      </c>
      <c r="H203" s="115">
        <v>439</v>
      </c>
    </row>
    <row r="204" spans="1:8" ht="19.8" customHeight="1" x14ac:dyDescent="0.3">
      <c r="A204" s="130">
        <v>46005</v>
      </c>
      <c r="B204" s="117" t="s">
        <v>54</v>
      </c>
      <c r="C204" s="118" t="s">
        <v>55</v>
      </c>
      <c r="D204" s="117" t="s">
        <v>1</v>
      </c>
      <c r="E204" s="131">
        <v>1.305555555555556</v>
      </c>
      <c r="F204" s="117" t="s">
        <v>56</v>
      </c>
      <c r="G204" s="119">
        <v>4</v>
      </c>
      <c r="H204" s="122" t="s">
        <v>85</v>
      </c>
    </row>
    <row r="205" spans="1:8" ht="19.8" customHeight="1" x14ac:dyDescent="0.3">
      <c r="A205" s="128">
        <v>46006</v>
      </c>
      <c r="B205" s="112" t="s">
        <v>43</v>
      </c>
      <c r="C205" s="113" t="s">
        <v>44</v>
      </c>
      <c r="D205" s="112" t="s">
        <v>1</v>
      </c>
      <c r="E205" s="129">
        <v>1.864583333333333</v>
      </c>
      <c r="F205" s="112" t="s">
        <v>106</v>
      </c>
      <c r="G205" s="114">
        <v>9</v>
      </c>
      <c r="H205" s="115">
        <v>411</v>
      </c>
    </row>
    <row r="206" spans="1:8" ht="19.8" customHeight="1" x14ac:dyDescent="0.3">
      <c r="A206" s="128">
        <v>46006</v>
      </c>
      <c r="B206" s="112" t="s">
        <v>43</v>
      </c>
      <c r="C206" s="113" t="s">
        <v>50</v>
      </c>
      <c r="D206" s="112" t="s">
        <v>1</v>
      </c>
      <c r="E206" s="129">
        <v>1.5277777777777779</v>
      </c>
      <c r="F206" s="112" t="s">
        <v>106</v>
      </c>
      <c r="G206" s="114">
        <v>9</v>
      </c>
      <c r="H206" s="115">
        <v>411</v>
      </c>
    </row>
    <row r="207" spans="1:8" ht="19.8" customHeight="1" x14ac:dyDescent="0.3">
      <c r="A207" s="128">
        <v>46006</v>
      </c>
      <c r="B207" s="112" t="s">
        <v>43</v>
      </c>
      <c r="C207" s="113" t="s">
        <v>52</v>
      </c>
      <c r="D207" s="112" t="s">
        <v>1</v>
      </c>
      <c r="E207" s="129">
        <v>1.1701388888888891</v>
      </c>
      <c r="F207" s="112" t="s">
        <v>106</v>
      </c>
      <c r="G207" s="114">
        <v>9</v>
      </c>
      <c r="H207" s="115">
        <v>411</v>
      </c>
    </row>
    <row r="208" spans="1:8" ht="19.8" customHeight="1" x14ac:dyDescent="0.3">
      <c r="A208" s="128">
        <v>46006</v>
      </c>
      <c r="B208" s="112" t="s">
        <v>28</v>
      </c>
      <c r="C208" s="113" t="s">
        <v>47</v>
      </c>
      <c r="D208" s="112" t="s">
        <v>1</v>
      </c>
      <c r="E208" s="129">
        <v>1.958333333333333</v>
      </c>
      <c r="F208" s="112" t="s">
        <v>30</v>
      </c>
      <c r="G208" s="114">
        <v>4</v>
      </c>
      <c r="H208" s="115">
        <v>439</v>
      </c>
    </row>
    <row r="209" spans="1:8" ht="19.8" customHeight="1" x14ac:dyDescent="0.3">
      <c r="A209" s="130">
        <v>46006</v>
      </c>
      <c r="B209" s="117" t="s">
        <v>54</v>
      </c>
      <c r="C209" s="118" t="s">
        <v>55</v>
      </c>
      <c r="D209" s="117" t="s">
        <v>1</v>
      </c>
      <c r="E209" s="131">
        <v>1.305555555555556</v>
      </c>
      <c r="F209" s="117" t="s">
        <v>56</v>
      </c>
      <c r="G209" s="119">
        <v>4</v>
      </c>
      <c r="H209" s="122" t="s">
        <v>118</v>
      </c>
    </row>
    <row r="210" spans="1:8" ht="19.8" customHeight="1" x14ac:dyDescent="0.3">
      <c r="A210" s="128">
        <v>46007</v>
      </c>
      <c r="B210" s="112" t="s">
        <v>33</v>
      </c>
      <c r="C210" s="113" t="s">
        <v>34</v>
      </c>
      <c r="D210" s="112" t="s">
        <v>1</v>
      </c>
      <c r="E210" s="129">
        <v>1.836805555555556</v>
      </c>
      <c r="F210" s="112" t="s">
        <v>35</v>
      </c>
      <c r="G210" s="114">
        <v>9</v>
      </c>
      <c r="H210" s="115">
        <v>349</v>
      </c>
    </row>
    <row r="211" spans="1:8" ht="19.8" customHeight="1" x14ac:dyDescent="0.3">
      <c r="A211" s="128">
        <v>46007</v>
      </c>
      <c r="B211" s="112" t="s">
        <v>33</v>
      </c>
      <c r="C211" s="113" t="s">
        <v>68</v>
      </c>
      <c r="D211" s="112" t="s">
        <v>1</v>
      </c>
      <c r="E211" s="129">
        <v>1.2013888888888891</v>
      </c>
      <c r="F211" s="112" t="s">
        <v>35</v>
      </c>
      <c r="G211" s="114">
        <v>9</v>
      </c>
      <c r="H211" s="115">
        <v>349</v>
      </c>
    </row>
    <row r="212" spans="1:8" ht="19.8" customHeight="1" x14ac:dyDescent="0.3">
      <c r="A212" s="132">
        <v>46007</v>
      </c>
      <c r="B212" s="124" t="s">
        <v>76</v>
      </c>
      <c r="C212" s="125" t="s">
        <v>77</v>
      </c>
      <c r="D212" s="124" t="s">
        <v>1</v>
      </c>
      <c r="E212" s="133">
        <v>1.270833333333333</v>
      </c>
      <c r="F212" s="124" t="s">
        <v>30</v>
      </c>
      <c r="G212" s="126">
        <v>9</v>
      </c>
      <c r="H212" s="127">
        <v>425</v>
      </c>
    </row>
    <row r="213" spans="1:8" ht="19.8" customHeight="1" x14ac:dyDescent="0.3">
      <c r="A213" s="128">
        <v>46007</v>
      </c>
      <c r="B213" s="112" t="s">
        <v>43</v>
      </c>
      <c r="C213" s="113" t="s">
        <v>44</v>
      </c>
      <c r="D213" s="112" t="s">
        <v>1</v>
      </c>
      <c r="E213" s="129">
        <v>1.864583333333333</v>
      </c>
      <c r="F213" s="112" t="s">
        <v>91</v>
      </c>
      <c r="G213" s="114">
        <v>9</v>
      </c>
      <c r="H213" s="115">
        <v>437</v>
      </c>
    </row>
    <row r="214" spans="1:8" ht="19.8" customHeight="1" x14ac:dyDescent="0.3">
      <c r="A214" s="128">
        <v>46007</v>
      </c>
      <c r="B214" s="112" t="s">
        <v>43</v>
      </c>
      <c r="C214" s="113" t="s">
        <v>52</v>
      </c>
      <c r="D214" s="112" t="s">
        <v>1</v>
      </c>
      <c r="E214" s="129">
        <v>1.1701388888888891</v>
      </c>
      <c r="F214" s="112" t="s">
        <v>91</v>
      </c>
      <c r="G214" s="114">
        <v>9</v>
      </c>
      <c r="H214" s="115">
        <v>437</v>
      </c>
    </row>
    <row r="215" spans="1:8" ht="19.8" customHeight="1" x14ac:dyDescent="0.3">
      <c r="A215" s="128">
        <v>46007</v>
      </c>
      <c r="B215" s="112" t="s">
        <v>28</v>
      </c>
      <c r="C215" s="113" t="s">
        <v>75</v>
      </c>
      <c r="D215" s="112" t="s">
        <v>1</v>
      </c>
      <c r="E215" s="129">
        <v>1.958333333333333</v>
      </c>
      <c r="F215" s="112" t="s">
        <v>30</v>
      </c>
      <c r="G215" s="114">
        <v>9</v>
      </c>
      <c r="H215" s="115">
        <v>439</v>
      </c>
    </row>
    <row r="216" spans="1:8" ht="19.8" customHeight="1" x14ac:dyDescent="0.3">
      <c r="A216" s="128">
        <v>46007</v>
      </c>
      <c r="B216" s="112" t="s">
        <v>33</v>
      </c>
      <c r="C216" s="113" t="s">
        <v>34</v>
      </c>
      <c r="D216" s="112" t="s">
        <v>1</v>
      </c>
      <c r="E216" s="129">
        <v>1.836805555555556</v>
      </c>
      <c r="F216" s="112" t="s">
        <v>38</v>
      </c>
      <c r="G216" s="114">
        <v>9</v>
      </c>
      <c r="H216" s="115">
        <v>449</v>
      </c>
    </row>
    <row r="217" spans="1:8" ht="19.8" customHeight="1" x14ac:dyDescent="0.3">
      <c r="A217" s="128">
        <v>46007</v>
      </c>
      <c r="B217" s="112" t="s">
        <v>33</v>
      </c>
      <c r="C217" s="113" t="s">
        <v>68</v>
      </c>
      <c r="D217" s="112" t="s">
        <v>1</v>
      </c>
      <c r="E217" s="129">
        <v>1.2013888888888891</v>
      </c>
      <c r="F217" s="112" t="s">
        <v>38</v>
      </c>
      <c r="G217" s="114">
        <v>9</v>
      </c>
      <c r="H217" s="115">
        <v>449</v>
      </c>
    </row>
    <row r="218" spans="1:8" ht="19.8" customHeight="1" x14ac:dyDescent="0.3">
      <c r="A218" s="128">
        <v>46007</v>
      </c>
      <c r="B218" s="112" t="s">
        <v>33</v>
      </c>
      <c r="C218" s="113" t="s">
        <v>34</v>
      </c>
      <c r="D218" s="112" t="s">
        <v>1</v>
      </c>
      <c r="E218" s="129">
        <v>1.836805555555556</v>
      </c>
      <c r="F218" s="112" t="s">
        <v>41</v>
      </c>
      <c r="G218" s="114">
        <v>9</v>
      </c>
      <c r="H218" s="115">
        <v>539</v>
      </c>
    </row>
    <row r="219" spans="1:8" ht="19.8" customHeight="1" x14ac:dyDescent="0.3">
      <c r="A219" s="128">
        <v>46007</v>
      </c>
      <c r="B219" s="112" t="s">
        <v>33</v>
      </c>
      <c r="C219" s="113" t="s">
        <v>68</v>
      </c>
      <c r="D219" s="112" t="s">
        <v>1</v>
      </c>
      <c r="E219" s="129">
        <v>1.2013888888888891</v>
      </c>
      <c r="F219" s="112" t="s">
        <v>41</v>
      </c>
      <c r="G219" s="114">
        <v>9</v>
      </c>
      <c r="H219" s="115">
        <v>539</v>
      </c>
    </row>
    <row r="220" spans="1:8" ht="19.8" customHeight="1" x14ac:dyDescent="0.3">
      <c r="A220" s="128">
        <v>46007</v>
      </c>
      <c r="B220" s="112" t="s">
        <v>43</v>
      </c>
      <c r="C220" s="113" t="s">
        <v>50</v>
      </c>
      <c r="D220" s="112" t="s">
        <v>1</v>
      </c>
      <c r="E220" s="129">
        <v>1.5277777777777779</v>
      </c>
      <c r="F220" s="112" t="s">
        <v>45</v>
      </c>
      <c r="G220" s="114">
        <v>9</v>
      </c>
      <c r="H220" s="115">
        <v>727</v>
      </c>
    </row>
    <row r="221" spans="1:8" ht="19.8" customHeight="1" x14ac:dyDescent="0.3">
      <c r="A221" s="130">
        <v>46007</v>
      </c>
      <c r="B221" s="117" t="s">
        <v>54</v>
      </c>
      <c r="C221" s="118" t="s">
        <v>55</v>
      </c>
      <c r="D221" s="117" t="s">
        <v>1</v>
      </c>
      <c r="E221" s="131">
        <v>1.305555555555556</v>
      </c>
      <c r="F221" s="117" t="s">
        <v>56</v>
      </c>
      <c r="G221" s="119">
        <v>4</v>
      </c>
      <c r="H221" s="122" t="s">
        <v>85</v>
      </c>
    </row>
    <row r="222" spans="1:8" ht="19.8" customHeight="1" x14ac:dyDescent="0.3">
      <c r="A222" s="128">
        <v>46008</v>
      </c>
      <c r="B222" s="112" t="s">
        <v>102</v>
      </c>
      <c r="C222" s="113" t="s">
        <v>103</v>
      </c>
      <c r="D222" s="112" t="s">
        <v>1</v>
      </c>
      <c r="E222" s="129">
        <v>1.0902777777777779</v>
      </c>
      <c r="F222" s="112" t="s">
        <v>30</v>
      </c>
      <c r="G222" s="114">
        <v>7</v>
      </c>
      <c r="H222" s="115">
        <v>371</v>
      </c>
    </row>
    <row r="223" spans="1:8" ht="19.8" customHeight="1" x14ac:dyDescent="0.3">
      <c r="A223" s="128">
        <v>46008</v>
      </c>
      <c r="B223" s="112" t="s">
        <v>43</v>
      </c>
      <c r="C223" s="113" t="s">
        <v>52</v>
      </c>
      <c r="D223" s="112" t="s">
        <v>1</v>
      </c>
      <c r="E223" s="129">
        <v>1.1701388888888891</v>
      </c>
      <c r="F223" s="112" t="s">
        <v>91</v>
      </c>
      <c r="G223" s="114">
        <v>9</v>
      </c>
      <c r="H223" s="115">
        <v>437</v>
      </c>
    </row>
    <row r="224" spans="1:8" ht="19.8" customHeight="1" x14ac:dyDescent="0.3">
      <c r="A224" s="128">
        <v>46008</v>
      </c>
      <c r="B224" s="112" t="s">
        <v>28</v>
      </c>
      <c r="C224" s="113" t="s">
        <v>47</v>
      </c>
      <c r="D224" s="112" t="s">
        <v>1</v>
      </c>
      <c r="E224" s="129">
        <v>1.895833333333333</v>
      </c>
      <c r="F224" s="112" t="s">
        <v>30</v>
      </c>
      <c r="G224" s="114">
        <v>9</v>
      </c>
      <c r="H224" s="115">
        <v>439</v>
      </c>
    </row>
    <row r="225" spans="1:8" ht="19.8" customHeight="1" x14ac:dyDescent="0.3">
      <c r="A225" s="128">
        <v>46008</v>
      </c>
      <c r="B225" s="112" t="s">
        <v>43</v>
      </c>
      <c r="C225" s="113" t="s">
        <v>50</v>
      </c>
      <c r="D225" s="112" t="s">
        <v>1</v>
      </c>
      <c r="E225" s="129">
        <v>1.5277777777777779</v>
      </c>
      <c r="F225" s="112" t="s">
        <v>45</v>
      </c>
      <c r="G225" s="114">
        <v>9</v>
      </c>
      <c r="H225" s="115">
        <v>727</v>
      </c>
    </row>
    <row r="226" spans="1:8" ht="19.8" customHeight="1" x14ac:dyDescent="0.3">
      <c r="A226" s="128">
        <v>46008</v>
      </c>
      <c r="B226" s="112" t="s">
        <v>43</v>
      </c>
      <c r="C226" s="113" t="s">
        <v>44</v>
      </c>
      <c r="D226" s="112" t="s">
        <v>1</v>
      </c>
      <c r="E226" s="129">
        <v>1.864583333333333</v>
      </c>
      <c r="F226" s="112" t="s">
        <v>45</v>
      </c>
      <c r="G226" s="114">
        <v>9</v>
      </c>
      <c r="H226" s="115">
        <v>907</v>
      </c>
    </row>
    <row r="227" spans="1:8" ht="19.8" customHeight="1" x14ac:dyDescent="0.3">
      <c r="A227" s="130">
        <v>46008</v>
      </c>
      <c r="B227" s="117" t="s">
        <v>54</v>
      </c>
      <c r="C227" s="118" t="s">
        <v>55</v>
      </c>
      <c r="D227" s="117" t="s">
        <v>1</v>
      </c>
      <c r="E227" s="131">
        <v>1.305555555555556</v>
      </c>
      <c r="F227" s="117" t="s">
        <v>56</v>
      </c>
      <c r="G227" s="119">
        <v>4</v>
      </c>
      <c r="H227" s="122" t="s">
        <v>118</v>
      </c>
    </row>
    <row r="228" spans="1:8" ht="19.8" customHeight="1" x14ac:dyDescent="0.3">
      <c r="A228" s="128">
        <v>46009</v>
      </c>
      <c r="B228" s="112" t="s">
        <v>33</v>
      </c>
      <c r="C228" s="113" t="s">
        <v>68</v>
      </c>
      <c r="D228" s="112" t="s">
        <v>1</v>
      </c>
      <c r="E228" s="129">
        <v>1.2013888888888891</v>
      </c>
      <c r="F228" s="112" t="s">
        <v>35</v>
      </c>
      <c r="G228" s="114">
        <v>9</v>
      </c>
      <c r="H228" s="115">
        <v>349</v>
      </c>
    </row>
    <row r="229" spans="1:8" ht="19.8" customHeight="1" x14ac:dyDescent="0.3">
      <c r="A229" s="128">
        <v>46009</v>
      </c>
      <c r="B229" s="112" t="s">
        <v>102</v>
      </c>
      <c r="C229" s="113" t="s">
        <v>103</v>
      </c>
      <c r="D229" s="112" t="s">
        <v>1</v>
      </c>
      <c r="E229" s="129">
        <v>1.913194444444444</v>
      </c>
      <c r="F229" s="112" t="s">
        <v>30</v>
      </c>
      <c r="G229" s="114">
        <v>6</v>
      </c>
      <c r="H229" s="115">
        <v>371</v>
      </c>
    </row>
    <row r="230" spans="1:8" ht="19.8" customHeight="1" x14ac:dyDescent="0.3">
      <c r="A230" s="128">
        <v>46009</v>
      </c>
      <c r="B230" s="112" t="s">
        <v>43</v>
      </c>
      <c r="C230" s="113" t="s">
        <v>52</v>
      </c>
      <c r="D230" s="112" t="s">
        <v>1</v>
      </c>
      <c r="E230" s="129">
        <v>1.1701388888888891</v>
      </c>
      <c r="F230" s="112" t="s">
        <v>91</v>
      </c>
      <c r="G230" s="114">
        <v>9</v>
      </c>
      <c r="H230" s="115">
        <v>437</v>
      </c>
    </row>
    <row r="231" spans="1:8" ht="19.8" customHeight="1" x14ac:dyDescent="0.3">
      <c r="A231" s="128">
        <v>46009</v>
      </c>
      <c r="B231" s="112" t="s">
        <v>28</v>
      </c>
      <c r="C231" s="113" t="s">
        <v>29</v>
      </c>
      <c r="D231" s="112" t="s">
        <v>1</v>
      </c>
      <c r="E231" s="129">
        <v>1.5625</v>
      </c>
      <c r="F231" s="112" t="s">
        <v>30</v>
      </c>
      <c r="G231" s="114">
        <v>3</v>
      </c>
      <c r="H231" s="115">
        <v>439</v>
      </c>
    </row>
    <row r="232" spans="1:8" ht="19.8" customHeight="1" x14ac:dyDescent="0.3">
      <c r="A232" s="132">
        <v>46009</v>
      </c>
      <c r="B232" s="124" t="s">
        <v>76</v>
      </c>
      <c r="C232" s="125" t="s">
        <v>77</v>
      </c>
      <c r="D232" s="124" t="s">
        <v>1</v>
      </c>
      <c r="E232" s="133">
        <v>1.9236111111111109</v>
      </c>
      <c r="F232" s="124" t="s">
        <v>30</v>
      </c>
      <c r="G232" s="126">
        <v>2</v>
      </c>
      <c r="H232" s="127">
        <v>446</v>
      </c>
    </row>
    <row r="233" spans="1:8" ht="19.8" customHeight="1" x14ac:dyDescent="0.3">
      <c r="A233" s="128">
        <v>46009</v>
      </c>
      <c r="B233" s="112" t="s">
        <v>33</v>
      </c>
      <c r="C233" s="113" t="s">
        <v>68</v>
      </c>
      <c r="D233" s="112" t="s">
        <v>1</v>
      </c>
      <c r="E233" s="129">
        <v>1.2013888888888891</v>
      </c>
      <c r="F233" s="112" t="s">
        <v>38</v>
      </c>
      <c r="G233" s="114">
        <v>9</v>
      </c>
      <c r="H233" s="115">
        <v>449</v>
      </c>
    </row>
    <row r="234" spans="1:8" ht="19.8" customHeight="1" x14ac:dyDescent="0.3">
      <c r="A234" s="128">
        <v>46009</v>
      </c>
      <c r="B234" s="112" t="s">
        <v>59</v>
      </c>
      <c r="C234" s="113" t="s">
        <v>60</v>
      </c>
      <c r="D234" s="112" t="s">
        <v>1</v>
      </c>
      <c r="E234" s="129">
        <v>1.305555555555556</v>
      </c>
      <c r="F234" s="112" t="s">
        <v>61</v>
      </c>
      <c r="G234" s="114">
        <v>10</v>
      </c>
      <c r="H234" s="115">
        <v>509</v>
      </c>
    </row>
    <row r="235" spans="1:8" ht="19.8" customHeight="1" x14ac:dyDescent="0.3">
      <c r="A235" s="128">
        <v>46009</v>
      </c>
      <c r="B235" s="112" t="s">
        <v>33</v>
      </c>
      <c r="C235" s="113" t="s">
        <v>34</v>
      </c>
      <c r="D235" s="112" t="s">
        <v>1</v>
      </c>
      <c r="E235" s="129">
        <v>1.836805555555556</v>
      </c>
      <c r="F235" s="112" t="s">
        <v>35</v>
      </c>
      <c r="G235" s="114">
        <v>2</v>
      </c>
      <c r="H235" s="115">
        <v>519</v>
      </c>
    </row>
    <row r="236" spans="1:8" ht="19.8" customHeight="1" x14ac:dyDescent="0.3">
      <c r="A236" s="128">
        <v>46009</v>
      </c>
      <c r="B236" s="112" t="s">
        <v>33</v>
      </c>
      <c r="C236" s="113" t="s">
        <v>68</v>
      </c>
      <c r="D236" s="112" t="s">
        <v>1</v>
      </c>
      <c r="E236" s="129">
        <v>1.2013888888888891</v>
      </c>
      <c r="F236" s="112" t="s">
        <v>41</v>
      </c>
      <c r="G236" s="114">
        <v>9</v>
      </c>
      <c r="H236" s="115">
        <v>539</v>
      </c>
    </row>
    <row r="237" spans="1:8" ht="19.8" customHeight="1" x14ac:dyDescent="0.3">
      <c r="A237" s="128">
        <v>46009</v>
      </c>
      <c r="B237" s="112" t="s">
        <v>33</v>
      </c>
      <c r="C237" s="113" t="s">
        <v>34</v>
      </c>
      <c r="D237" s="112" t="s">
        <v>1</v>
      </c>
      <c r="E237" s="129">
        <v>1.836805555555556</v>
      </c>
      <c r="F237" s="112" t="s">
        <v>38</v>
      </c>
      <c r="G237" s="114">
        <v>2</v>
      </c>
      <c r="H237" s="115">
        <v>619</v>
      </c>
    </row>
    <row r="238" spans="1:8" ht="19.8" customHeight="1" x14ac:dyDescent="0.3">
      <c r="A238" s="128">
        <v>46009</v>
      </c>
      <c r="B238" s="112" t="s">
        <v>28</v>
      </c>
      <c r="C238" s="113" t="s">
        <v>75</v>
      </c>
      <c r="D238" s="112" t="s">
        <v>1</v>
      </c>
      <c r="E238" s="129">
        <v>1.958333333333333</v>
      </c>
      <c r="F238" s="112" t="s">
        <v>30</v>
      </c>
      <c r="G238" s="114">
        <v>9</v>
      </c>
      <c r="H238" s="115">
        <v>629</v>
      </c>
    </row>
    <row r="239" spans="1:8" ht="19.8" customHeight="1" x14ac:dyDescent="0.3">
      <c r="A239" s="128">
        <v>46009</v>
      </c>
      <c r="B239" s="112" t="s">
        <v>59</v>
      </c>
      <c r="C239" s="113" t="s">
        <v>60</v>
      </c>
      <c r="D239" s="112" t="s">
        <v>1</v>
      </c>
      <c r="E239" s="129">
        <v>1.305555555555556</v>
      </c>
      <c r="F239" s="112" t="s">
        <v>64</v>
      </c>
      <c r="G239" s="114">
        <v>10</v>
      </c>
      <c r="H239" s="115">
        <v>659</v>
      </c>
    </row>
    <row r="240" spans="1:8" ht="19.8" customHeight="1" x14ac:dyDescent="0.3">
      <c r="A240" s="128">
        <v>46009</v>
      </c>
      <c r="B240" s="112" t="s">
        <v>33</v>
      </c>
      <c r="C240" s="113" t="s">
        <v>34</v>
      </c>
      <c r="D240" s="112" t="s">
        <v>1</v>
      </c>
      <c r="E240" s="129">
        <v>1.836805555555556</v>
      </c>
      <c r="F240" s="112" t="s">
        <v>41</v>
      </c>
      <c r="G240" s="114">
        <v>2</v>
      </c>
      <c r="H240" s="115">
        <v>709</v>
      </c>
    </row>
    <row r="241" spans="1:8" ht="19.8" customHeight="1" x14ac:dyDescent="0.3">
      <c r="A241" s="128">
        <v>46009</v>
      </c>
      <c r="B241" s="112" t="s">
        <v>43</v>
      </c>
      <c r="C241" s="113" t="s">
        <v>50</v>
      </c>
      <c r="D241" s="112" t="s">
        <v>1</v>
      </c>
      <c r="E241" s="129">
        <v>1.5277777777777779</v>
      </c>
      <c r="F241" s="112" t="s">
        <v>45</v>
      </c>
      <c r="G241" s="114">
        <v>9</v>
      </c>
      <c r="H241" s="115">
        <v>817</v>
      </c>
    </row>
    <row r="242" spans="1:8" ht="19.8" customHeight="1" x14ac:dyDescent="0.3">
      <c r="A242" s="128">
        <v>46009</v>
      </c>
      <c r="B242" s="112" t="s">
        <v>59</v>
      </c>
      <c r="C242" s="113" t="s">
        <v>60</v>
      </c>
      <c r="D242" s="112" t="s">
        <v>1</v>
      </c>
      <c r="E242" s="129">
        <v>1.305555555555556</v>
      </c>
      <c r="F242" s="112" t="s">
        <v>67</v>
      </c>
      <c r="G242" s="114">
        <v>10</v>
      </c>
      <c r="H242" s="115">
        <v>899</v>
      </c>
    </row>
    <row r="243" spans="1:8" ht="19.8" customHeight="1" x14ac:dyDescent="0.3">
      <c r="A243" s="128">
        <v>46009</v>
      </c>
      <c r="B243" s="112" t="s">
        <v>43</v>
      </c>
      <c r="C243" s="113" t="s">
        <v>44</v>
      </c>
      <c r="D243" s="112" t="s">
        <v>1</v>
      </c>
      <c r="E243" s="129">
        <v>1.864583333333333</v>
      </c>
      <c r="F243" s="112" t="s">
        <v>45</v>
      </c>
      <c r="G243" s="114">
        <v>9</v>
      </c>
      <c r="H243" s="121" t="s">
        <v>161</v>
      </c>
    </row>
    <row r="244" spans="1:8" ht="19.8" customHeight="1" x14ac:dyDescent="0.3">
      <c r="A244" s="130">
        <v>46009</v>
      </c>
      <c r="B244" s="117" t="s">
        <v>54</v>
      </c>
      <c r="C244" s="118" t="s">
        <v>55</v>
      </c>
      <c r="D244" s="117" t="s">
        <v>1</v>
      </c>
      <c r="E244" s="131">
        <v>1.305555555555556</v>
      </c>
      <c r="F244" s="117" t="s">
        <v>56</v>
      </c>
      <c r="G244" s="119">
        <v>4</v>
      </c>
      <c r="H244" s="122" t="s">
        <v>168</v>
      </c>
    </row>
    <row r="245" spans="1:8" ht="19.8" customHeight="1" x14ac:dyDescent="0.3">
      <c r="A245" s="128">
        <v>46010</v>
      </c>
      <c r="B245" s="112" t="s">
        <v>43</v>
      </c>
      <c r="C245" s="113" t="s">
        <v>52</v>
      </c>
      <c r="D245" s="112" t="s">
        <v>1</v>
      </c>
      <c r="E245" s="129">
        <v>1.1701388888888891</v>
      </c>
      <c r="F245" s="112" t="s">
        <v>91</v>
      </c>
      <c r="G245" s="114">
        <v>9</v>
      </c>
      <c r="H245" s="115">
        <v>437</v>
      </c>
    </row>
    <row r="246" spans="1:8" ht="19.8" customHeight="1" x14ac:dyDescent="0.3">
      <c r="A246" s="128">
        <v>46010</v>
      </c>
      <c r="B246" s="112" t="s">
        <v>28</v>
      </c>
      <c r="C246" s="113" t="s">
        <v>47</v>
      </c>
      <c r="D246" s="112" t="s">
        <v>1</v>
      </c>
      <c r="E246" s="129">
        <v>1.958333333333333</v>
      </c>
      <c r="F246" s="112" t="s">
        <v>30</v>
      </c>
      <c r="G246" s="114">
        <v>8</v>
      </c>
      <c r="H246" s="115">
        <v>439</v>
      </c>
    </row>
    <row r="247" spans="1:8" ht="19.8" customHeight="1" x14ac:dyDescent="0.3">
      <c r="A247" s="132">
        <v>46010</v>
      </c>
      <c r="B247" s="124" t="s">
        <v>76</v>
      </c>
      <c r="C247" s="125" t="s">
        <v>77</v>
      </c>
      <c r="D247" s="124" t="s">
        <v>1</v>
      </c>
      <c r="E247" s="133">
        <v>1.5798611111111109</v>
      </c>
      <c r="F247" s="124" t="s">
        <v>30</v>
      </c>
      <c r="G247" s="126">
        <v>9</v>
      </c>
      <c r="H247" s="127">
        <v>446</v>
      </c>
    </row>
    <row r="248" spans="1:8" ht="19.8" customHeight="1" x14ac:dyDescent="0.3">
      <c r="A248" s="128">
        <v>46010</v>
      </c>
      <c r="B248" s="112" t="s">
        <v>43</v>
      </c>
      <c r="C248" s="113" t="s">
        <v>44</v>
      </c>
      <c r="D248" s="112" t="s">
        <v>1</v>
      </c>
      <c r="E248" s="129">
        <v>1.864583333333333</v>
      </c>
      <c r="F248" s="112" t="s">
        <v>45</v>
      </c>
      <c r="G248" s="114">
        <v>9</v>
      </c>
      <c r="H248" s="115">
        <v>727</v>
      </c>
    </row>
    <row r="249" spans="1:8" ht="19.8" customHeight="1" x14ac:dyDescent="0.3">
      <c r="A249" s="128">
        <v>46010</v>
      </c>
      <c r="B249" s="112" t="s">
        <v>43</v>
      </c>
      <c r="C249" s="113" t="s">
        <v>50</v>
      </c>
      <c r="D249" s="112" t="s">
        <v>1</v>
      </c>
      <c r="E249" s="129">
        <v>1.5277777777777779</v>
      </c>
      <c r="F249" s="112" t="s">
        <v>45</v>
      </c>
      <c r="G249" s="114">
        <v>9</v>
      </c>
      <c r="H249" s="115">
        <v>911</v>
      </c>
    </row>
    <row r="250" spans="1:8" ht="19.8" customHeight="1" x14ac:dyDescent="0.3">
      <c r="A250" s="130">
        <v>46010</v>
      </c>
      <c r="B250" s="117" t="s">
        <v>54</v>
      </c>
      <c r="C250" s="118" t="s">
        <v>55</v>
      </c>
      <c r="D250" s="117" t="s">
        <v>1</v>
      </c>
      <c r="E250" s="131">
        <v>1.305555555555556</v>
      </c>
      <c r="F250" s="117" t="s">
        <v>56</v>
      </c>
      <c r="G250" s="119">
        <v>4</v>
      </c>
      <c r="H250" s="122" t="s">
        <v>85</v>
      </c>
    </row>
    <row r="251" spans="1:8" ht="19.8" customHeight="1" x14ac:dyDescent="0.3">
      <c r="A251" s="128">
        <v>46011</v>
      </c>
      <c r="B251" s="112" t="s">
        <v>43</v>
      </c>
      <c r="C251" s="113" t="s">
        <v>44</v>
      </c>
      <c r="D251" s="112" t="s">
        <v>1</v>
      </c>
      <c r="E251" s="129">
        <v>1.864583333333333</v>
      </c>
      <c r="F251" s="112" t="s">
        <v>91</v>
      </c>
      <c r="G251" s="114">
        <v>9</v>
      </c>
      <c r="H251" s="115">
        <v>437</v>
      </c>
    </row>
    <row r="252" spans="1:8" ht="19.8" customHeight="1" x14ac:dyDescent="0.3">
      <c r="A252" s="128">
        <v>46011</v>
      </c>
      <c r="B252" s="112" t="s">
        <v>43</v>
      </c>
      <c r="C252" s="113" t="s">
        <v>50</v>
      </c>
      <c r="D252" s="112" t="s">
        <v>1</v>
      </c>
      <c r="E252" s="129">
        <v>1.5277777777777779</v>
      </c>
      <c r="F252" s="112" t="s">
        <v>91</v>
      </c>
      <c r="G252" s="114">
        <v>9</v>
      </c>
      <c r="H252" s="115">
        <v>437</v>
      </c>
    </row>
    <row r="253" spans="1:8" ht="19.8" customHeight="1" x14ac:dyDescent="0.3">
      <c r="A253" s="128">
        <v>46011</v>
      </c>
      <c r="B253" s="112" t="s">
        <v>43</v>
      </c>
      <c r="C253" s="113" t="s">
        <v>52</v>
      </c>
      <c r="D253" s="112" t="s">
        <v>1</v>
      </c>
      <c r="E253" s="129">
        <v>1.1701388888888891</v>
      </c>
      <c r="F253" s="112" t="s">
        <v>91</v>
      </c>
      <c r="G253" s="114">
        <v>9</v>
      </c>
      <c r="H253" s="115">
        <v>437</v>
      </c>
    </row>
    <row r="254" spans="1:8" ht="19.8" customHeight="1" x14ac:dyDescent="0.3">
      <c r="A254" s="128">
        <v>46011</v>
      </c>
      <c r="B254" s="112" t="s">
        <v>28</v>
      </c>
      <c r="C254" s="113" t="s">
        <v>75</v>
      </c>
      <c r="D254" s="112" t="s">
        <v>1</v>
      </c>
      <c r="E254" s="129">
        <v>1.895833333333333</v>
      </c>
      <c r="F254" s="112" t="s">
        <v>30</v>
      </c>
      <c r="G254" s="114">
        <v>9</v>
      </c>
      <c r="H254" s="115">
        <v>439</v>
      </c>
    </row>
    <row r="255" spans="1:8" ht="19.8" customHeight="1" x14ac:dyDescent="0.3">
      <c r="A255" s="132">
        <v>46011</v>
      </c>
      <c r="B255" s="124" t="s">
        <v>76</v>
      </c>
      <c r="C255" s="125" t="s">
        <v>77</v>
      </c>
      <c r="D255" s="124" t="s">
        <v>1</v>
      </c>
      <c r="E255" s="133">
        <v>1.9236111111111109</v>
      </c>
      <c r="F255" s="124" t="s">
        <v>30</v>
      </c>
      <c r="G255" s="126">
        <v>9</v>
      </c>
      <c r="H255" s="127">
        <v>446</v>
      </c>
    </row>
    <row r="256" spans="1:8" ht="19.8" customHeight="1" x14ac:dyDescent="0.3">
      <c r="A256" s="130">
        <v>46011</v>
      </c>
      <c r="B256" s="117" t="s">
        <v>54</v>
      </c>
      <c r="C256" s="118" t="s">
        <v>55</v>
      </c>
      <c r="D256" s="117" t="s">
        <v>1</v>
      </c>
      <c r="E256" s="131">
        <v>1.305555555555556</v>
      </c>
      <c r="F256" s="117" t="s">
        <v>56</v>
      </c>
      <c r="G256" s="119">
        <v>4</v>
      </c>
      <c r="H256" s="122" t="s">
        <v>85</v>
      </c>
    </row>
    <row r="257" spans="1:8" ht="19.8" customHeight="1" x14ac:dyDescent="0.3">
      <c r="A257" s="128">
        <v>46012</v>
      </c>
      <c r="B257" s="112" t="s">
        <v>43</v>
      </c>
      <c r="C257" s="113" t="s">
        <v>44</v>
      </c>
      <c r="D257" s="112" t="s">
        <v>1</v>
      </c>
      <c r="E257" s="129">
        <v>1.864583333333333</v>
      </c>
      <c r="F257" s="112" t="s">
        <v>91</v>
      </c>
      <c r="G257" s="114">
        <v>9</v>
      </c>
      <c r="H257" s="115">
        <v>437</v>
      </c>
    </row>
    <row r="258" spans="1:8" ht="19.8" customHeight="1" x14ac:dyDescent="0.3">
      <c r="A258" s="128">
        <v>46012</v>
      </c>
      <c r="B258" s="112" t="s">
        <v>43</v>
      </c>
      <c r="C258" s="113" t="s">
        <v>50</v>
      </c>
      <c r="D258" s="112" t="s">
        <v>1</v>
      </c>
      <c r="E258" s="129">
        <v>1.5277777777777779</v>
      </c>
      <c r="F258" s="112" t="s">
        <v>91</v>
      </c>
      <c r="G258" s="114">
        <v>9</v>
      </c>
      <c r="H258" s="115">
        <v>437</v>
      </c>
    </row>
    <row r="259" spans="1:8" ht="19.8" customHeight="1" x14ac:dyDescent="0.3">
      <c r="A259" s="128">
        <v>46012</v>
      </c>
      <c r="B259" s="112" t="s">
        <v>43</v>
      </c>
      <c r="C259" s="113" t="s">
        <v>52</v>
      </c>
      <c r="D259" s="112" t="s">
        <v>1</v>
      </c>
      <c r="E259" s="129">
        <v>1.1701388888888891</v>
      </c>
      <c r="F259" s="112" t="s">
        <v>91</v>
      </c>
      <c r="G259" s="114">
        <v>9</v>
      </c>
      <c r="H259" s="115">
        <v>437</v>
      </c>
    </row>
    <row r="260" spans="1:8" ht="19.8" customHeight="1" x14ac:dyDescent="0.3">
      <c r="A260" s="128">
        <v>46012</v>
      </c>
      <c r="B260" s="112" t="s">
        <v>28</v>
      </c>
      <c r="C260" s="113" t="s">
        <v>29</v>
      </c>
      <c r="D260" s="112" t="s">
        <v>1</v>
      </c>
      <c r="E260" s="129">
        <v>1.958333333333333</v>
      </c>
      <c r="F260" s="112" t="s">
        <v>30</v>
      </c>
      <c r="G260" s="114">
        <v>9</v>
      </c>
      <c r="H260" s="115">
        <v>439</v>
      </c>
    </row>
    <row r="261" spans="1:8" ht="19.8" customHeight="1" x14ac:dyDescent="0.3">
      <c r="A261" s="130">
        <v>46012</v>
      </c>
      <c r="B261" s="117" t="s">
        <v>54</v>
      </c>
      <c r="C261" s="118" t="s">
        <v>55</v>
      </c>
      <c r="D261" s="117" t="s">
        <v>1</v>
      </c>
      <c r="E261" s="131">
        <v>1.305555555555556</v>
      </c>
      <c r="F261" s="117" t="s">
        <v>56</v>
      </c>
      <c r="G261" s="119">
        <v>4</v>
      </c>
      <c r="H261" s="122" t="s">
        <v>118</v>
      </c>
    </row>
    <row r="262" spans="1:8" ht="19.8" customHeight="1" x14ac:dyDescent="0.3">
      <c r="A262" s="128">
        <v>46013</v>
      </c>
      <c r="B262" s="112" t="s">
        <v>59</v>
      </c>
      <c r="C262" s="113" t="s">
        <v>60</v>
      </c>
      <c r="D262" s="112" t="s">
        <v>1</v>
      </c>
      <c r="E262" s="129">
        <v>1.305555555555556</v>
      </c>
      <c r="F262" s="112" t="s">
        <v>61</v>
      </c>
      <c r="G262" s="114">
        <v>9</v>
      </c>
      <c r="H262" s="115">
        <v>339</v>
      </c>
    </row>
    <row r="263" spans="1:8" ht="19.8" customHeight="1" x14ac:dyDescent="0.3">
      <c r="A263" s="128">
        <v>46013</v>
      </c>
      <c r="B263" s="112" t="s">
        <v>33</v>
      </c>
      <c r="C263" s="113" t="s">
        <v>34</v>
      </c>
      <c r="D263" s="112" t="s">
        <v>1</v>
      </c>
      <c r="E263" s="129">
        <v>1.836805555555556</v>
      </c>
      <c r="F263" s="112" t="s">
        <v>35</v>
      </c>
      <c r="G263" s="114">
        <v>9</v>
      </c>
      <c r="H263" s="115">
        <v>349</v>
      </c>
    </row>
    <row r="264" spans="1:8" ht="19.8" customHeight="1" x14ac:dyDescent="0.3">
      <c r="A264" s="128">
        <v>46013</v>
      </c>
      <c r="B264" s="112" t="s">
        <v>33</v>
      </c>
      <c r="C264" s="113" t="s">
        <v>68</v>
      </c>
      <c r="D264" s="112" t="s">
        <v>1</v>
      </c>
      <c r="E264" s="129">
        <v>1.2013888888888891</v>
      </c>
      <c r="F264" s="112" t="s">
        <v>35</v>
      </c>
      <c r="G264" s="114">
        <v>3</v>
      </c>
      <c r="H264" s="115">
        <v>349</v>
      </c>
    </row>
    <row r="265" spans="1:8" ht="19.8" customHeight="1" x14ac:dyDescent="0.3">
      <c r="A265" s="128">
        <v>46013</v>
      </c>
      <c r="B265" s="112" t="s">
        <v>102</v>
      </c>
      <c r="C265" s="113" t="s">
        <v>105</v>
      </c>
      <c r="D265" s="112" t="s">
        <v>1</v>
      </c>
      <c r="E265" s="129">
        <v>1.1284722222222221</v>
      </c>
      <c r="F265" s="112" t="s">
        <v>30</v>
      </c>
      <c r="G265" s="114">
        <v>6</v>
      </c>
      <c r="H265" s="115">
        <v>425</v>
      </c>
    </row>
    <row r="266" spans="1:8" ht="19.8" customHeight="1" x14ac:dyDescent="0.3">
      <c r="A266" s="128">
        <v>46013</v>
      </c>
      <c r="B266" s="112" t="s">
        <v>43</v>
      </c>
      <c r="C266" s="113" t="s">
        <v>44</v>
      </c>
      <c r="D266" s="112" t="s">
        <v>1</v>
      </c>
      <c r="E266" s="129">
        <v>1.864583333333333</v>
      </c>
      <c r="F266" s="112" t="s">
        <v>91</v>
      </c>
      <c r="G266" s="114">
        <v>9</v>
      </c>
      <c r="H266" s="115">
        <v>437</v>
      </c>
    </row>
    <row r="267" spans="1:8" ht="19.8" customHeight="1" x14ac:dyDescent="0.3">
      <c r="A267" s="128">
        <v>46013</v>
      </c>
      <c r="B267" s="112" t="s">
        <v>43</v>
      </c>
      <c r="C267" s="113" t="s">
        <v>50</v>
      </c>
      <c r="D267" s="112" t="s">
        <v>1</v>
      </c>
      <c r="E267" s="129">
        <v>1.5277777777777779</v>
      </c>
      <c r="F267" s="112" t="s">
        <v>91</v>
      </c>
      <c r="G267" s="114">
        <v>9</v>
      </c>
      <c r="H267" s="115">
        <v>437</v>
      </c>
    </row>
    <row r="268" spans="1:8" ht="19.8" customHeight="1" x14ac:dyDescent="0.3">
      <c r="A268" s="128">
        <v>46013</v>
      </c>
      <c r="B268" s="112" t="s">
        <v>43</v>
      </c>
      <c r="C268" s="113" t="s">
        <v>52</v>
      </c>
      <c r="D268" s="112" t="s">
        <v>1</v>
      </c>
      <c r="E268" s="129">
        <v>1.1701388888888891</v>
      </c>
      <c r="F268" s="112" t="s">
        <v>91</v>
      </c>
      <c r="G268" s="114">
        <v>9</v>
      </c>
      <c r="H268" s="115">
        <v>437</v>
      </c>
    </row>
    <row r="269" spans="1:8" ht="19.8" customHeight="1" x14ac:dyDescent="0.3">
      <c r="A269" s="128">
        <v>46013</v>
      </c>
      <c r="B269" s="112" t="s">
        <v>28</v>
      </c>
      <c r="C269" s="113" t="s">
        <v>47</v>
      </c>
      <c r="D269" s="112" t="s">
        <v>1</v>
      </c>
      <c r="E269" s="129">
        <v>1.958333333333333</v>
      </c>
      <c r="F269" s="112" t="s">
        <v>30</v>
      </c>
      <c r="G269" s="114">
        <v>9</v>
      </c>
      <c r="H269" s="115">
        <v>439</v>
      </c>
    </row>
    <row r="270" spans="1:8" ht="19.8" customHeight="1" x14ac:dyDescent="0.3">
      <c r="A270" s="128">
        <v>46013</v>
      </c>
      <c r="B270" s="112" t="s">
        <v>33</v>
      </c>
      <c r="C270" s="113" t="s">
        <v>34</v>
      </c>
      <c r="D270" s="112" t="s">
        <v>1</v>
      </c>
      <c r="E270" s="129">
        <v>1.836805555555556</v>
      </c>
      <c r="F270" s="112" t="s">
        <v>38</v>
      </c>
      <c r="G270" s="114">
        <v>9</v>
      </c>
      <c r="H270" s="115">
        <v>449</v>
      </c>
    </row>
    <row r="271" spans="1:8" ht="19.8" customHeight="1" x14ac:dyDescent="0.3">
      <c r="A271" s="128">
        <v>46013</v>
      </c>
      <c r="B271" s="112" t="s">
        <v>33</v>
      </c>
      <c r="C271" s="113" t="s">
        <v>68</v>
      </c>
      <c r="D271" s="112" t="s">
        <v>1</v>
      </c>
      <c r="E271" s="129">
        <v>1.2013888888888891</v>
      </c>
      <c r="F271" s="112" t="s">
        <v>38</v>
      </c>
      <c r="G271" s="114">
        <v>3</v>
      </c>
      <c r="H271" s="115">
        <v>449</v>
      </c>
    </row>
    <row r="272" spans="1:8" ht="19.8" customHeight="1" x14ac:dyDescent="0.3">
      <c r="A272" s="128">
        <v>46013</v>
      </c>
      <c r="B272" s="112" t="s">
        <v>59</v>
      </c>
      <c r="C272" s="113" t="s">
        <v>60</v>
      </c>
      <c r="D272" s="112" t="s">
        <v>1</v>
      </c>
      <c r="E272" s="129">
        <v>1.305555555555556</v>
      </c>
      <c r="F272" s="112" t="s">
        <v>64</v>
      </c>
      <c r="G272" s="114">
        <v>9</v>
      </c>
      <c r="H272" s="115">
        <v>489</v>
      </c>
    </row>
    <row r="273" spans="1:8" ht="19.8" customHeight="1" x14ac:dyDescent="0.3">
      <c r="A273" s="128">
        <v>46013</v>
      </c>
      <c r="B273" s="112" t="s">
        <v>33</v>
      </c>
      <c r="C273" s="113" t="s">
        <v>34</v>
      </c>
      <c r="D273" s="112" t="s">
        <v>1</v>
      </c>
      <c r="E273" s="129">
        <v>1.836805555555556</v>
      </c>
      <c r="F273" s="112" t="s">
        <v>41</v>
      </c>
      <c r="G273" s="114">
        <v>9</v>
      </c>
      <c r="H273" s="115">
        <v>539</v>
      </c>
    </row>
    <row r="274" spans="1:8" ht="19.8" customHeight="1" x14ac:dyDescent="0.3">
      <c r="A274" s="128">
        <v>46013</v>
      </c>
      <c r="B274" s="112" t="s">
        <v>33</v>
      </c>
      <c r="C274" s="113" t="s">
        <v>68</v>
      </c>
      <c r="D274" s="112" t="s">
        <v>1</v>
      </c>
      <c r="E274" s="129">
        <v>1.2013888888888891</v>
      </c>
      <c r="F274" s="112" t="s">
        <v>41</v>
      </c>
      <c r="G274" s="114">
        <v>3</v>
      </c>
      <c r="H274" s="115">
        <v>539</v>
      </c>
    </row>
    <row r="275" spans="1:8" ht="19.8" customHeight="1" x14ac:dyDescent="0.3">
      <c r="A275" s="128">
        <v>46013</v>
      </c>
      <c r="B275" s="112" t="s">
        <v>59</v>
      </c>
      <c r="C275" s="113" t="s">
        <v>60</v>
      </c>
      <c r="D275" s="112" t="s">
        <v>1</v>
      </c>
      <c r="E275" s="129">
        <v>1.305555555555556</v>
      </c>
      <c r="F275" s="112" t="s">
        <v>67</v>
      </c>
      <c r="G275" s="114">
        <v>9</v>
      </c>
      <c r="H275" s="115">
        <v>899</v>
      </c>
    </row>
    <row r="276" spans="1:8" ht="19.8" customHeight="1" x14ac:dyDescent="0.3">
      <c r="A276" s="130">
        <v>46013</v>
      </c>
      <c r="B276" s="117" t="s">
        <v>54</v>
      </c>
      <c r="C276" s="118" t="s">
        <v>55</v>
      </c>
      <c r="D276" s="117" t="s">
        <v>1</v>
      </c>
      <c r="E276" s="131">
        <v>1.305555555555556</v>
      </c>
      <c r="F276" s="117" t="s">
        <v>56</v>
      </c>
      <c r="G276" s="119">
        <v>4</v>
      </c>
      <c r="H276" s="122" t="s">
        <v>118</v>
      </c>
    </row>
    <row r="277" spans="1:8" ht="19.8" customHeight="1" x14ac:dyDescent="0.3">
      <c r="A277" s="128">
        <v>46014</v>
      </c>
      <c r="B277" s="112" t="s">
        <v>59</v>
      </c>
      <c r="C277" s="113" t="s">
        <v>60</v>
      </c>
      <c r="D277" s="112" t="s">
        <v>1</v>
      </c>
      <c r="E277" s="129">
        <v>1.305555555555556</v>
      </c>
      <c r="F277" s="112" t="s">
        <v>61</v>
      </c>
      <c r="G277" s="114">
        <v>6</v>
      </c>
      <c r="H277" s="115">
        <v>339</v>
      </c>
    </row>
    <row r="278" spans="1:8" ht="19.8" customHeight="1" x14ac:dyDescent="0.3">
      <c r="A278" s="128">
        <v>46014</v>
      </c>
      <c r="B278" s="112" t="s">
        <v>33</v>
      </c>
      <c r="C278" s="113" t="s">
        <v>34</v>
      </c>
      <c r="D278" s="112" t="s">
        <v>1</v>
      </c>
      <c r="E278" s="129">
        <v>1.836805555555556</v>
      </c>
      <c r="F278" s="112" t="s">
        <v>35</v>
      </c>
      <c r="G278" s="114">
        <v>9</v>
      </c>
      <c r="H278" s="115">
        <v>349</v>
      </c>
    </row>
    <row r="279" spans="1:8" ht="19.8" customHeight="1" x14ac:dyDescent="0.3">
      <c r="A279" s="128">
        <v>46014</v>
      </c>
      <c r="B279" s="112" t="s">
        <v>33</v>
      </c>
      <c r="C279" s="113" t="s">
        <v>68</v>
      </c>
      <c r="D279" s="112" t="s">
        <v>1</v>
      </c>
      <c r="E279" s="129">
        <v>1.2013888888888891</v>
      </c>
      <c r="F279" s="112" t="s">
        <v>35</v>
      </c>
      <c r="G279" s="114">
        <v>3</v>
      </c>
      <c r="H279" s="115">
        <v>349</v>
      </c>
    </row>
    <row r="280" spans="1:8" ht="19.8" customHeight="1" x14ac:dyDescent="0.3">
      <c r="A280" s="132">
        <v>46014</v>
      </c>
      <c r="B280" s="124" t="s">
        <v>76</v>
      </c>
      <c r="C280" s="125" t="s">
        <v>77</v>
      </c>
      <c r="D280" s="124" t="s">
        <v>1</v>
      </c>
      <c r="E280" s="133">
        <v>1.270833333333333</v>
      </c>
      <c r="F280" s="124" t="s">
        <v>30</v>
      </c>
      <c r="G280" s="126">
        <v>9</v>
      </c>
      <c r="H280" s="127">
        <v>425</v>
      </c>
    </row>
    <row r="281" spans="1:8" ht="19.8" customHeight="1" x14ac:dyDescent="0.3">
      <c r="A281" s="128">
        <v>46014</v>
      </c>
      <c r="B281" s="112" t="s">
        <v>43</v>
      </c>
      <c r="C281" s="113" t="s">
        <v>44</v>
      </c>
      <c r="D281" s="112" t="s">
        <v>1</v>
      </c>
      <c r="E281" s="129">
        <v>1.864583333333333</v>
      </c>
      <c r="F281" s="112" t="s">
        <v>91</v>
      </c>
      <c r="G281" s="114">
        <v>9</v>
      </c>
      <c r="H281" s="115">
        <v>437</v>
      </c>
    </row>
    <row r="282" spans="1:8" ht="19.8" customHeight="1" x14ac:dyDescent="0.3">
      <c r="A282" s="128">
        <v>46014</v>
      </c>
      <c r="B282" s="112" t="s">
        <v>43</v>
      </c>
      <c r="C282" s="113" t="s">
        <v>52</v>
      </c>
      <c r="D282" s="112" t="s">
        <v>1</v>
      </c>
      <c r="E282" s="129">
        <v>1.1701388888888891</v>
      </c>
      <c r="F282" s="112" t="s">
        <v>91</v>
      </c>
      <c r="G282" s="114">
        <v>9</v>
      </c>
      <c r="H282" s="115">
        <v>437</v>
      </c>
    </row>
    <row r="283" spans="1:8" ht="19.8" customHeight="1" x14ac:dyDescent="0.3">
      <c r="A283" s="128">
        <v>46014</v>
      </c>
      <c r="B283" s="112" t="s">
        <v>28</v>
      </c>
      <c r="C283" s="113" t="s">
        <v>75</v>
      </c>
      <c r="D283" s="112" t="s">
        <v>1</v>
      </c>
      <c r="E283" s="129">
        <v>1.958333333333333</v>
      </c>
      <c r="F283" s="112" t="s">
        <v>30</v>
      </c>
      <c r="G283" s="114">
        <v>9</v>
      </c>
      <c r="H283" s="115">
        <v>439</v>
      </c>
    </row>
    <row r="284" spans="1:8" ht="19.8" customHeight="1" x14ac:dyDescent="0.3">
      <c r="A284" s="128">
        <v>46014</v>
      </c>
      <c r="B284" s="112" t="s">
        <v>33</v>
      </c>
      <c r="C284" s="113" t="s">
        <v>34</v>
      </c>
      <c r="D284" s="112" t="s">
        <v>1</v>
      </c>
      <c r="E284" s="129">
        <v>1.836805555555556</v>
      </c>
      <c r="F284" s="112" t="s">
        <v>38</v>
      </c>
      <c r="G284" s="114">
        <v>9</v>
      </c>
      <c r="H284" s="115">
        <v>449</v>
      </c>
    </row>
    <row r="285" spans="1:8" ht="19.8" customHeight="1" x14ac:dyDescent="0.3">
      <c r="A285" s="128">
        <v>46014</v>
      </c>
      <c r="B285" s="112" t="s">
        <v>33</v>
      </c>
      <c r="C285" s="113" t="s">
        <v>68</v>
      </c>
      <c r="D285" s="112" t="s">
        <v>1</v>
      </c>
      <c r="E285" s="129">
        <v>1.2013888888888891</v>
      </c>
      <c r="F285" s="112" t="s">
        <v>38</v>
      </c>
      <c r="G285" s="114">
        <v>3</v>
      </c>
      <c r="H285" s="115">
        <v>449</v>
      </c>
    </row>
    <row r="286" spans="1:8" ht="19.8" customHeight="1" x14ac:dyDescent="0.3">
      <c r="A286" s="128">
        <v>46014</v>
      </c>
      <c r="B286" s="112" t="s">
        <v>59</v>
      </c>
      <c r="C286" s="113" t="s">
        <v>60</v>
      </c>
      <c r="D286" s="112" t="s">
        <v>1</v>
      </c>
      <c r="E286" s="129">
        <v>1.305555555555556</v>
      </c>
      <c r="F286" s="112" t="s">
        <v>64</v>
      </c>
      <c r="G286" s="114">
        <v>6</v>
      </c>
      <c r="H286" s="115">
        <v>489</v>
      </c>
    </row>
    <row r="287" spans="1:8" ht="19.8" customHeight="1" x14ac:dyDescent="0.3">
      <c r="A287" s="128">
        <v>46014</v>
      </c>
      <c r="B287" s="112" t="s">
        <v>33</v>
      </c>
      <c r="C287" s="113" t="s">
        <v>34</v>
      </c>
      <c r="D287" s="112" t="s">
        <v>1</v>
      </c>
      <c r="E287" s="129">
        <v>1.836805555555556</v>
      </c>
      <c r="F287" s="112" t="s">
        <v>41</v>
      </c>
      <c r="G287" s="114">
        <v>9</v>
      </c>
      <c r="H287" s="115">
        <v>539</v>
      </c>
    </row>
    <row r="288" spans="1:8" ht="19.8" customHeight="1" x14ac:dyDescent="0.3">
      <c r="A288" s="128">
        <v>46014</v>
      </c>
      <c r="B288" s="112" t="s">
        <v>33</v>
      </c>
      <c r="C288" s="113" t="s">
        <v>68</v>
      </c>
      <c r="D288" s="112" t="s">
        <v>1</v>
      </c>
      <c r="E288" s="129">
        <v>1.2013888888888891</v>
      </c>
      <c r="F288" s="112" t="s">
        <v>41</v>
      </c>
      <c r="G288" s="114">
        <v>3</v>
      </c>
      <c r="H288" s="115">
        <v>539</v>
      </c>
    </row>
    <row r="289" spans="1:8" ht="19.8" customHeight="1" x14ac:dyDescent="0.3">
      <c r="A289" s="128">
        <v>46014</v>
      </c>
      <c r="B289" s="112" t="s">
        <v>59</v>
      </c>
      <c r="C289" s="113" t="s">
        <v>60</v>
      </c>
      <c r="D289" s="112" t="s">
        <v>1</v>
      </c>
      <c r="E289" s="129">
        <v>1.305555555555556</v>
      </c>
      <c r="F289" s="112" t="s">
        <v>67</v>
      </c>
      <c r="G289" s="114">
        <v>6</v>
      </c>
      <c r="H289" s="115">
        <v>899</v>
      </c>
    </row>
    <row r="290" spans="1:8" ht="19.8" customHeight="1" x14ac:dyDescent="0.3">
      <c r="A290" s="130">
        <v>46014</v>
      </c>
      <c r="B290" s="117" t="s">
        <v>54</v>
      </c>
      <c r="C290" s="118" t="s">
        <v>55</v>
      </c>
      <c r="D290" s="117" t="s">
        <v>1</v>
      </c>
      <c r="E290" s="131">
        <v>1.305555555555556</v>
      </c>
      <c r="F290" s="117" t="s">
        <v>56</v>
      </c>
      <c r="G290" s="119">
        <v>4</v>
      </c>
      <c r="H290" s="122" t="s">
        <v>118</v>
      </c>
    </row>
    <row r="291" spans="1:8" ht="19.8" customHeight="1" x14ac:dyDescent="0.3">
      <c r="A291" s="128">
        <v>46015</v>
      </c>
      <c r="B291" s="112" t="s">
        <v>43</v>
      </c>
      <c r="C291" s="113" t="s">
        <v>52</v>
      </c>
      <c r="D291" s="112" t="s">
        <v>1</v>
      </c>
      <c r="E291" s="129">
        <v>1.1701388888888891</v>
      </c>
      <c r="F291" s="112" t="s">
        <v>91</v>
      </c>
      <c r="G291" s="114">
        <v>9</v>
      </c>
      <c r="H291" s="115">
        <v>437</v>
      </c>
    </row>
    <row r="292" spans="1:8" ht="19.8" customHeight="1" x14ac:dyDescent="0.3">
      <c r="A292" s="128">
        <v>46015</v>
      </c>
      <c r="B292" s="112" t="s">
        <v>102</v>
      </c>
      <c r="C292" s="113" t="s">
        <v>103</v>
      </c>
      <c r="D292" s="112" t="s">
        <v>1</v>
      </c>
      <c r="E292" s="129">
        <v>1.0902777777777779</v>
      </c>
      <c r="F292" s="112" t="s">
        <v>30</v>
      </c>
      <c r="G292" s="114">
        <v>9</v>
      </c>
      <c r="H292" s="115">
        <v>500</v>
      </c>
    </row>
    <row r="293" spans="1:8" ht="19.8" customHeight="1" x14ac:dyDescent="0.3">
      <c r="A293" s="128">
        <v>46015</v>
      </c>
      <c r="B293" s="112" t="s">
        <v>28</v>
      </c>
      <c r="C293" s="113" t="s">
        <v>47</v>
      </c>
      <c r="D293" s="112" t="s">
        <v>1</v>
      </c>
      <c r="E293" s="129">
        <v>1.895833333333333</v>
      </c>
      <c r="F293" s="112" t="s">
        <v>30</v>
      </c>
      <c r="G293" s="114">
        <v>9</v>
      </c>
      <c r="H293" s="115">
        <v>563</v>
      </c>
    </row>
    <row r="294" spans="1:8" ht="19.8" customHeight="1" x14ac:dyDescent="0.3">
      <c r="A294" s="128">
        <v>46015</v>
      </c>
      <c r="B294" s="112" t="s">
        <v>43</v>
      </c>
      <c r="C294" s="113" t="s">
        <v>44</v>
      </c>
      <c r="D294" s="112" t="s">
        <v>1</v>
      </c>
      <c r="E294" s="129">
        <v>1.864583333333333</v>
      </c>
      <c r="F294" s="112" t="s">
        <v>45</v>
      </c>
      <c r="G294" s="114">
        <v>9</v>
      </c>
      <c r="H294" s="115">
        <v>727</v>
      </c>
    </row>
    <row r="295" spans="1:8" ht="19.8" customHeight="1" x14ac:dyDescent="0.3">
      <c r="A295" s="128">
        <v>46015</v>
      </c>
      <c r="B295" s="112" t="s">
        <v>43</v>
      </c>
      <c r="C295" s="113" t="s">
        <v>50</v>
      </c>
      <c r="D295" s="112" t="s">
        <v>1</v>
      </c>
      <c r="E295" s="129">
        <v>1.5277777777777779</v>
      </c>
      <c r="F295" s="112" t="s">
        <v>45</v>
      </c>
      <c r="G295" s="114">
        <v>9</v>
      </c>
      <c r="H295" s="115">
        <v>727</v>
      </c>
    </row>
    <row r="296" spans="1:8" ht="19.8" customHeight="1" x14ac:dyDescent="0.3">
      <c r="A296" s="130">
        <v>46015</v>
      </c>
      <c r="B296" s="117" t="s">
        <v>54</v>
      </c>
      <c r="C296" s="118" t="s">
        <v>55</v>
      </c>
      <c r="D296" s="117" t="s">
        <v>1</v>
      </c>
      <c r="E296" s="131">
        <v>1.305555555555556</v>
      </c>
      <c r="F296" s="117" t="s">
        <v>56</v>
      </c>
      <c r="G296" s="119">
        <v>4</v>
      </c>
      <c r="H296" s="122" t="s">
        <v>85</v>
      </c>
    </row>
    <row r="297" spans="1:8" ht="19.8" customHeight="1" x14ac:dyDescent="0.3">
      <c r="A297" s="128">
        <v>46016</v>
      </c>
      <c r="B297" s="112" t="s">
        <v>43</v>
      </c>
      <c r="C297" s="113" t="s">
        <v>52</v>
      </c>
      <c r="D297" s="112" t="s">
        <v>1</v>
      </c>
      <c r="E297" s="129">
        <v>1.1701388888888891</v>
      </c>
      <c r="F297" s="112" t="s">
        <v>91</v>
      </c>
      <c r="G297" s="114">
        <v>9</v>
      </c>
      <c r="H297" s="115">
        <v>437</v>
      </c>
    </row>
    <row r="298" spans="1:8" ht="19.8" customHeight="1" x14ac:dyDescent="0.3">
      <c r="A298" s="132">
        <v>46016</v>
      </c>
      <c r="B298" s="124" t="s">
        <v>76</v>
      </c>
      <c r="C298" s="125" t="s">
        <v>77</v>
      </c>
      <c r="D298" s="124" t="s">
        <v>1</v>
      </c>
      <c r="E298" s="133">
        <v>1.9236111111111109</v>
      </c>
      <c r="F298" s="124" t="s">
        <v>30</v>
      </c>
      <c r="G298" s="126">
        <v>1</v>
      </c>
      <c r="H298" s="127">
        <v>446</v>
      </c>
    </row>
    <row r="299" spans="1:8" ht="19.8" customHeight="1" x14ac:dyDescent="0.3">
      <c r="A299" s="128">
        <v>46016</v>
      </c>
      <c r="B299" s="112" t="s">
        <v>102</v>
      </c>
      <c r="C299" s="113" t="s">
        <v>103</v>
      </c>
      <c r="D299" s="112" t="s">
        <v>1</v>
      </c>
      <c r="E299" s="129">
        <v>1.8888888888888891</v>
      </c>
      <c r="F299" s="112" t="s">
        <v>178</v>
      </c>
      <c r="G299" s="114">
        <v>7</v>
      </c>
      <c r="H299" s="115">
        <v>500</v>
      </c>
    </row>
    <row r="300" spans="1:8" ht="19.8" customHeight="1" x14ac:dyDescent="0.3">
      <c r="A300" s="128">
        <v>46016</v>
      </c>
      <c r="B300" s="112" t="s">
        <v>28</v>
      </c>
      <c r="C300" s="113" t="s">
        <v>29</v>
      </c>
      <c r="D300" s="112" t="s">
        <v>1</v>
      </c>
      <c r="E300" s="129">
        <v>1.5625</v>
      </c>
      <c r="F300" s="112" t="s">
        <v>30</v>
      </c>
      <c r="G300" s="114">
        <v>3</v>
      </c>
      <c r="H300" s="115">
        <v>563</v>
      </c>
    </row>
    <row r="301" spans="1:8" ht="19.8" customHeight="1" x14ac:dyDescent="0.3">
      <c r="A301" s="128">
        <v>46016</v>
      </c>
      <c r="B301" s="112" t="s">
        <v>28</v>
      </c>
      <c r="C301" s="113" t="s">
        <v>75</v>
      </c>
      <c r="D301" s="112" t="s">
        <v>1</v>
      </c>
      <c r="E301" s="129">
        <v>1.958333333333333</v>
      </c>
      <c r="F301" s="112" t="s">
        <v>30</v>
      </c>
      <c r="G301" s="114">
        <v>9</v>
      </c>
      <c r="H301" s="115">
        <v>563</v>
      </c>
    </row>
    <row r="302" spans="1:8" ht="19.8" customHeight="1" x14ac:dyDescent="0.3">
      <c r="A302" s="128">
        <v>46016</v>
      </c>
      <c r="B302" s="112" t="s">
        <v>43</v>
      </c>
      <c r="C302" s="113" t="s">
        <v>44</v>
      </c>
      <c r="D302" s="112" t="s">
        <v>1</v>
      </c>
      <c r="E302" s="129">
        <v>1.864583333333333</v>
      </c>
      <c r="F302" s="112" t="s">
        <v>45</v>
      </c>
      <c r="G302" s="114">
        <v>9</v>
      </c>
      <c r="H302" s="115">
        <v>727</v>
      </c>
    </row>
    <row r="303" spans="1:8" ht="19.8" customHeight="1" x14ac:dyDescent="0.3">
      <c r="A303" s="128">
        <v>46016</v>
      </c>
      <c r="B303" s="112" t="s">
        <v>43</v>
      </c>
      <c r="C303" s="113" t="s">
        <v>50</v>
      </c>
      <c r="D303" s="112" t="s">
        <v>1</v>
      </c>
      <c r="E303" s="129">
        <v>1.5277777777777779</v>
      </c>
      <c r="F303" s="112" t="s">
        <v>45</v>
      </c>
      <c r="G303" s="114">
        <v>9</v>
      </c>
      <c r="H303" s="115">
        <v>821</v>
      </c>
    </row>
    <row r="304" spans="1:8" ht="19.8" customHeight="1" x14ac:dyDescent="0.3">
      <c r="A304" s="130">
        <v>46016</v>
      </c>
      <c r="B304" s="117" t="s">
        <v>54</v>
      </c>
      <c r="C304" s="118" t="s">
        <v>55</v>
      </c>
      <c r="D304" s="117" t="s">
        <v>1</v>
      </c>
      <c r="E304" s="131">
        <v>1.305555555555556</v>
      </c>
      <c r="F304" s="117" t="s">
        <v>56</v>
      </c>
      <c r="G304" s="119">
        <v>4</v>
      </c>
      <c r="H304" s="122" t="s">
        <v>58</v>
      </c>
    </row>
    <row r="305" spans="1:8" ht="19.8" customHeight="1" x14ac:dyDescent="0.3">
      <c r="A305" s="128">
        <v>46017</v>
      </c>
      <c r="B305" s="112" t="s">
        <v>33</v>
      </c>
      <c r="C305" s="113" t="s">
        <v>34</v>
      </c>
      <c r="D305" s="112" t="s">
        <v>1</v>
      </c>
      <c r="E305" s="129">
        <v>1.836805555555556</v>
      </c>
      <c r="F305" s="112" t="s">
        <v>35</v>
      </c>
      <c r="G305" s="114">
        <v>9</v>
      </c>
      <c r="H305" s="115">
        <v>409</v>
      </c>
    </row>
    <row r="306" spans="1:8" ht="19.8" customHeight="1" x14ac:dyDescent="0.3">
      <c r="A306" s="128">
        <v>46017</v>
      </c>
      <c r="B306" s="112" t="s">
        <v>43</v>
      </c>
      <c r="C306" s="113" t="s">
        <v>44</v>
      </c>
      <c r="D306" s="112" t="s">
        <v>1</v>
      </c>
      <c r="E306" s="129">
        <v>1.864583333333333</v>
      </c>
      <c r="F306" s="112" t="s">
        <v>91</v>
      </c>
      <c r="G306" s="114">
        <v>9</v>
      </c>
      <c r="H306" s="115">
        <v>437</v>
      </c>
    </row>
    <row r="307" spans="1:8" ht="19.8" customHeight="1" x14ac:dyDescent="0.3">
      <c r="A307" s="128">
        <v>46017</v>
      </c>
      <c r="B307" s="112" t="s">
        <v>43</v>
      </c>
      <c r="C307" s="113" t="s">
        <v>52</v>
      </c>
      <c r="D307" s="112" t="s">
        <v>1</v>
      </c>
      <c r="E307" s="129">
        <v>1.1701388888888891</v>
      </c>
      <c r="F307" s="112" t="s">
        <v>91</v>
      </c>
      <c r="G307" s="114">
        <v>9</v>
      </c>
      <c r="H307" s="115">
        <v>437</v>
      </c>
    </row>
    <row r="308" spans="1:8" ht="19.8" customHeight="1" x14ac:dyDescent="0.3">
      <c r="A308" s="128">
        <v>46017</v>
      </c>
      <c r="B308" s="112" t="s">
        <v>28</v>
      </c>
      <c r="C308" s="113" t="s">
        <v>47</v>
      </c>
      <c r="D308" s="112" t="s">
        <v>1</v>
      </c>
      <c r="E308" s="129">
        <v>1.958333333333333</v>
      </c>
      <c r="F308" s="112" t="s">
        <v>178</v>
      </c>
      <c r="G308" s="114">
        <v>9</v>
      </c>
      <c r="H308" s="115">
        <v>439</v>
      </c>
    </row>
    <row r="309" spans="1:8" ht="19.8" customHeight="1" x14ac:dyDescent="0.3">
      <c r="A309" s="132">
        <v>46017</v>
      </c>
      <c r="B309" s="124" t="s">
        <v>76</v>
      </c>
      <c r="C309" s="125" t="s">
        <v>77</v>
      </c>
      <c r="D309" s="124" t="s">
        <v>1</v>
      </c>
      <c r="E309" s="133">
        <v>1.5798611111111109</v>
      </c>
      <c r="F309" s="124" t="s">
        <v>30</v>
      </c>
      <c r="G309" s="126">
        <v>9</v>
      </c>
      <c r="H309" s="127">
        <v>446</v>
      </c>
    </row>
    <row r="310" spans="1:8" ht="19.8" customHeight="1" x14ac:dyDescent="0.3">
      <c r="A310" s="128">
        <v>46017</v>
      </c>
      <c r="B310" s="112" t="s">
        <v>102</v>
      </c>
      <c r="C310" s="113" t="s">
        <v>113</v>
      </c>
      <c r="D310" s="112" t="s">
        <v>1</v>
      </c>
      <c r="E310" s="129">
        <v>1.2222222222222221</v>
      </c>
      <c r="F310" s="112" t="s">
        <v>178</v>
      </c>
      <c r="G310" s="114">
        <v>8</v>
      </c>
      <c r="H310" s="115">
        <v>500</v>
      </c>
    </row>
    <row r="311" spans="1:8" ht="19.8" customHeight="1" x14ac:dyDescent="0.3">
      <c r="A311" s="128">
        <v>46017</v>
      </c>
      <c r="B311" s="112" t="s">
        <v>33</v>
      </c>
      <c r="C311" s="113" t="s">
        <v>34</v>
      </c>
      <c r="D311" s="112" t="s">
        <v>1</v>
      </c>
      <c r="E311" s="129">
        <v>1.836805555555556</v>
      </c>
      <c r="F311" s="112" t="s">
        <v>38</v>
      </c>
      <c r="G311" s="114">
        <v>9</v>
      </c>
      <c r="H311" s="115">
        <v>509</v>
      </c>
    </row>
    <row r="312" spans="1:8" ht="19.8" customHeight="1" x14ac:dyDescent="0.3">
      <c r="A312" s="128">
        <v>46017</v>
      </c>
      <c r="B312" s="112" t="s">
        <v>33</v>
      </c>
      <c r="C312" s="113" t="s">
        <v>34</v>
      </c>
      <c r="D312" s="112" t="s">
        <v>1</v>
      </c>
      <c r="E312" s="129">
        <v>1.836805555555556</v>
      </c>
      <c r="F312" s="112" t="s">
        <v>41</v>
      </c>
      <c r="G312" s="114">
        <v>9</v>
      </c>
      <c r="H312" s="115">
        <v>599</v>
      </c>
    </row>
    <row r="313" spans="1:8" ht="19.8" customHeight="1" x14ac:dyDescent="0.3">
      <c r="A313" s="128">
        <v>46017</v>
      </c>
      <c r="B313" s="112" t="s">
        <v>43</v>
      </c>
      <c r="C313" s="113" t="s">
        <v>50</v>
      </c>
      <c r="D313" s="112" t="s">
        <v>1</v>
      </c>
      <c r="E313" s="129">
        <v>1.5277777777777779</v>
      </c>
      <c r="F313" s="112" t="s">
        <v>45</v>
      </c>
      <c r="G313" s="114">
        <v>9</v>
      </c>
      <c r="H313" s="115">
        <v>731</v>
      </c>
    </row>
    <row r="314" spans="1:8" ht="19.8" customHeight="1" x14ac:dyDescent="0.3">
      <c r="A314" s="130">
        <v>46017</v>
      </c>
      <c r="B314" s="117" t="s">
        <v>54</v>
      </c>
      <c r="C314" s="118" t="s">
        <v>55</v>
      </c>
      <c r="D314" s="117" t="s">
        <v>1</v>
      </c>
      <c r="E314" s="131">
        <v>1.305555555555556</v>
      </c>
      <c r="F314" s="117" t="s">
        <v>56</v>
      </c>
      <c r="G314" s="119">
        <v>4</v>
      </c>
      <c r="H314" s="122" t="s">
        <v>118</v>
      </c>
    </row>
    <row r="315" spans="1:8" ht="19.8" customHeight="1" x14ac:dyDescent="0.3">
      <c r="A315" s="128">
        <v>46018</v>
      </c>
      <c r="B315" s="112" t="s">
        <v>59</v>
      </c>
      <c r="C315" s="113" t="s">
        <v>60</v>
      </c>
      <c r="D315" s="112" t="s">
        <v>1</v>
      </c>
      <c r="E315" s="129">
        <v>1.305555555555556</v>
      </c>
      <c r="F315" s="112" t="s">
        <v>61</v>
      </c>
      <c r="G315" s="114">
        <v>10</v>
      </c>
      <c r="H315" s="115">
        <v>339</v>
      </c>
    </row>
    <row r="316" spans="1:8" ht="19.8" customHeight="1" x14ac:dyDescent="0.3">
      <c r="A316" s="128">
        <v>46018</v>
      </c>
      <c r="B316" s="112" t="s">
        <v>33</v>
      </c>
      <c r="C316" s="113" t="s">
        <v>34</v>
      </c>
      <c r="D316" s="112" t="s">
        <v>1</v>
      </c>
      <c r="E316" s="129">
        <v>1.836805555555556</v>
      </c>
      <c r="F316" s="112" t="s">
        <v>35</v>
      </c>
      <c r="G316" s="114">
        <v>4</v>
      </c>
      <c r="H316" s="115">
        <v>349</v>
      </c>
    </row>
    <row r="317" spans="1:8" ht="19.8" customHeight="1" x14ac:dyDescent="0.3">
      <c r="A317" s="128">
        <v>46018</v>
      </c>
      <c r="B317" s="112" t="s">
        <v>33</v>
      </c>
      <c r="C317" s="113" t="s">
        <v>68</v>
      </c>
      <c r="D317" s="112" t="s">
        <v>1</v>
      </c>
      <c r="E317" s="129">
        <v>1.2013888888888891</v>
      </c>
      <c r="F317" s="112" t="s">
        <v>35</v>
      </c>
      <c r="G317" s="114">
        <v>6</v>
      </c>
      <c r="H317" s="115">
        <v>349</v>
      </c>
    </row>
    <row r="318" spans="1:8" ht="19.8" customHeight="1" x14ac:dyDescent="0.3">
      <c r="A318" s="128">
        <v>46018</v>
      </c>
      <c r="B318" s="112" t="s">
        <v>120</v>
      </c>
      <c r="C318" s="113" t="s">
        <v>121</v>
      </c>
      <c r="D318" s="112" t="s">
        <v>1</v>
      </c>
      <c r="E318" s="129">
        <v>1.9722222222222221</v>
      </c>
      <c r="F318" s="112" t="s">
        <v>122</v>
      </c>
      <c r="G318" s="114">
        <v>9</v>
      </c>
      <c r="H318" s="115">
        <v>399</v>
      </c>
    </row>
    <row r="319" spans="1:8" ht="19.8" customHeight="1" x14ac:dyDescent="0.3">
      <c r="A319" s="128">
        <v>46018</v>
      </c>
      <c r="B319" s="112" t="s">
        <v>43</v>
      </c>
      <c r="C319" s="113" t="s">
        <v>44</v>
      </c>
      <c r="D319" s="112" t="s">
        <v>1</v>
      </c>
      <c r="E319" s="129">
        <v>1.864583333333333</v>
      </c>
      <c r="F319" s="112" t="s">
        <v>91</v>
      </c>
      <c r="G319" s="114">
        <v>9</v>
      </c>
      <c r="H319" s="115">
        <v>437</v>
      </c>
    </row>
    <row r="320" spans="1:8" ht="19.8" customHeight="1" x14ac:dyDescent="0.3">
      <c r="A320" s="128">
        <v>46018</v>
      </c>
      <c r="B320" s="112" t="s">
        <v>43</v>
      </c>
      <c r="C320" s="113" t="s">
        <v>50</v>
      </c>
      <c r="D320" s="112" t="s">
        <v>1</v>
      </c>
      <c r="E320" s="129">
        <v>1.5277777777777779</v>
      </c>
      <c r="F320" s="112" t="s">
        <v>91</v>
      </c>
      <c r="G320" s="114">
        <v>9</v>
      </c>
      <c r="H320" s="115">
        <v>437</v>
      </c>
    </row>
    <row r="321" spans="1:8" ht="19.8" customHeight="1" x14ac:dyDescent="0.3">
      <c r="A321" s="128">
        <v>46018</v>
      </c>
      <c r="B321" s="112" t="s">
        <v>43</v>
      </c>
      <c r="C321" s="113" t="s">
        <v>52</v>
      </c>
      <c r="D321" s="112" t="s">
        <v>1</v>
      </c>
      <c r="E321" s="129">
        <v>1.1701388888888891</v>
      </c>
      <c r="F321" s="112" t="s">
        <v>91</v>
      </c>
      <c r="G321" s="114">
        <v>9</v>
      </c>
      <c r="H321" s="115">
        <v>437</v>
      </c>
    </row>
    <row r="322" spans="1:8" ht="19.8" customHeight="1" x14ac:dyDescent="0.3">
      <c r="A322" s="128">
        <v>46018</v>
      </c>
      <c r="B322" s="112" t="s">
        <v>28</v>
      </c>
      <c r="C322" s="113" t="s">
        <v>75</v>
      </c>
      <c r="D322" s="112" t="s">
        <v>1</v>
      </c>
      <c r="E322" s="129">
        <v>1.895833333333333</v>
      </c>
      <c r="F322" s="112" t="s">
        <v>178</v>
      </c>
      <c r="G322" s="114">
        <v>9</v>
      </c>
      <c r="H322" s="115">
        <v>439</v>
      </c>
    </row>
    <row r="323" spans="1:8" ht="19.8" customHeight="1" x14ac:dyDescent="0.3">
      <c r="A323" s="132">
        <v>46018</v>
      </c>
      <c r="B323" s="124" t="s">
        <v>76</v>
      </c>
      <c r="C323" s="125" t="s">
        <v>77</v>
      </c>
      <c r="D323" s="124" t="s">
        <v>1</v>
      </c>
      <c r="E323" s="133">
        <v>1.9236111111111109</v>
      </c>
      <c r="F323" s="124" t="s">
        <v>30</v>
      </c>
      <c r="G323" s="126">
        <v>9</v>
      </c>
      <c r="H323" s="127">
        <v>446</v>
      </c>
    </row>
    <row r="324" spans="1:8" ht="19.8" customHeight="1" x14ac:dyDescent="0.3">
      <c r="A324" s="128">
        <v>46018</v>
      </c>
      <c r="B324" s="112" t="s">
        <v>33</v>
      </c>
      <c r="C324" s="113" t="s">
        <v>34</v>
      </c>
      <c r="D324" s="112" t="s">
        <v>1</v>
      </c>
      <c r="E324" s="129">
        <v>1.836805555555556</v>
      </c>
      <c r="F324" s="112" t="s">
        <v>38</v>
      </c>
      <c r="G324" s="114">
        <v>4</v>
      </c>
      <c r="H324" s="115">
        <v>449</v>
      </c>
    </row>
    <row r="325" spans="1:8" ht="19.8" customHeight="1" x14ac:dyDescent="0.3">
      <c r="A325" s="128">
        <v>46018</v>
      </c>
      <c r="B325" s="112" t="s">
        <v>33</v>
      </c>
      <c r="C325" s="113" t="s">
        <v>68</v>
      </c>
      <c r="D325" s="112" t="s">
        <v>1</v>
      </c>
      <c r="E325" s="129">
        <v>1.2013888888888891</v>
      </c>
      <c r="F325" s="112" t="s">
        <v>38</v>
      </c>
      <c r="G325" s="114">
        <v>6</v>
      </c>
      <c r="H325" s="115">
        <v>449</v>
      </c>
    </row>
    <row r="326" spans="1:8" ht="19.8" customHeight="1" x14ac:dyDescent="0.3">
      <c r="A326" s="128">
        <v>46018</v>
      </c>
      <c r="B326" s="112" t="s">
        <v>59</v>
      </c>
      <c r="C326" s="113" t="s">
        <v>60</v>
      </c>
      <c r="D326" s="112" t="s">
        <v>1</v>
      </c>
      <c r="E326" s="129">
        <v>1.305555555555556</v>
      </c>
      <c r="F326" s="112" t="s">
        <v>64</v>
      </c>
      <c r="G326" s="114">
        <v>10</v>
      </c>
      <c r="H326" s="115">
        <v>489</v>
      </c>
    </row>
    <row r="327" spans="1:8" ht="19.8" customHeight="1" x14ac:dyDescent="0.3">
      <c r="A327" s="128">
        <v>46018</v>
      </c>
      <c r="B327" s="112" t="s">
        <v>33</v>
      </c>
      <c r="C327" s="113" t="s">
        <v>34</v>
      </c>
      <c r="D327" s="112" t="s">
        <v>1</v>
      </c>
      <c r="E327" s="129">
        <v>1.836805555555556</v>
      </c>
      <c r="F327" s="112" t="s">
        <v>41</v>
      </c>
      <c r="G327" s="114">
        <v>4</v>
      </c>
      <c r="H327" s="115">
        <v>539</v>
      </c>
    </row>
    <row r="328" spans="1:8" ht="19.8" customHeight="1" x14ac:dyDescent="0.3">
      <c r="A328" s="128">
        <v>46018</v>
      </c>
      <c r="B328" s="112" t="s">
        <v>33</v>
      </c>
      <c r="C328" s="113" t="s">
        <v>68</v>
      </c>
      <c r="D328" s="112" t="s">
        <v>1</v>
      </c>
      <c r="E328" s="129">
        <v>1.2013888888888891</v>
      </c>
      <c r="F328" s="112" t="s">
        <v>41</v>
      </c>
      <c r="G328" s="114">
        <v>6</v>
      </c>
      <c r="H328" s="115">
        <v>539</v>
      </c>
    </row>
    <row r="329" spans="1:8" ht="19.8" customHeight="1" x14ac:dyDescent="0.3">
      <c r="A329" s="128">
        <v>46018</v>
      </c>
      <c r="B329" s="112" t="s">
        <v>120</v>
      </c>
      <c r="C329" s="113" t="s">
        <v>121</v>
      </c>
      <c r="D329" s="112" t="s">
        <v>1</v>
      </c>
      <c r="E329" s="129">
        <v>1.9722222222222221</v>
      </c>
      <c r="F329" s="112" t="s">
        <v>67</v>
      </c>
      <c r="G329" s="114">
        <v>9</v>
      </c>
      <c r="H329" s="115">
        <v>604</v>
      </c>
    </row>
    <row r="330" spans="1:8" ht="19.8" customHeight="1" x14ac:dyDescent="0.3">
      <c r="A330" s="128">
        <v>46018</v>
      </c>
      <c r="B330" s="112" t="s">
        <v>59</v>
      </c>
      <c r="C330" s="113" t="s">
        <v>60</v>
      </c>
      <c r="D330" s="112" t="s">
        <v>1</v>
      </c>
      <c r="E330" s="129">
        <v>1.305555555555556</v>
      </c>
      <c r="F330" s="112" t="s">
        <v>67</v>
      </c>
      <c r="G330" s="114">
        <v>10</v>
      </c>
      <c r="H330" s="115">
        <v>899</v>
      </c>
    </row>
    <row r="331" spans="1:8" ht="19.8" customHeight="1" x14ac:dyDescent="0.3">
      <c r="A331" s="130">
        <v>46018</v>
      </c>
      <c r="B331" s="117" t="s">
        <v>54</v>
      </c>
      <c r="C331" s="118" t="s">
        <v>55</v>
      </c>
      <c r="D331" s="117" t="s">
        <v>1</v>
      </c>
      <c r="E331" s="131">
        <v>1.305555555555556</v>
      </c>
      <c r="F331" s="117" t="s">
        <v>56</v>
      </c>
      <c r="G331" s="119">
        <v>4</v>
      </c>
      <c r="H331" s="122" t="s">
        <v>118</v>
      </c>
    </row>
    <row r="332" spans="1:8" ht="19.8" customHeight="1" x14ac:dyDescent="0.3">
      <c r="A332" s="128">
        <v>46019</v>
      </c>
      <c r="B332" s="112" t="s">
        <v>43</v>
      </c>
      <c r="C332" s="113" t="s">
        <v>44</v>
      </c>
      <c r="D332" s="112" t="s">
        <v>1</v>
      </c>
      <c r="E332" s="129">
        <v>1.864583333333333</v>
      </c>
      <c r="F332" s="112" t="s">
        <v>91</v>
      </c>
      <c r="G332" s="114">
        <v>9</v>
      </c>
      <c r="H332" s="115">
        <v>437</v>
      </c>
    </row>
    <row r="333" spans="1:8" ht="19.8" customHeight="1" x14ac:dyDescent="0.3">
      <c r="A333" s="128">
        <v>46019</v>
      </c>
      <c r="B333" s="112" t="s">
        <v>43</v>
      </c>
      <c r="C333" s="113" t="s">
        <v>50</v>
      </c>
      <c r="D333" s="112" t="s">
        <v>1</v>
      </c>
      <c r="E333" s="129">
        <v>1.5277777777777779</v>
      </c>
      <c r="F333" s="112" t="s">
        <v>91</v>
      </c>
      <c r="G333" s="114">
        <v>9</v>
      </c>
      <c r="H333" s="115">
        <v>437</v>
      </c>
    </row>
    <row r="334" spans="1:8" ht="19.8" customHeight="1" x14ac:dyDescent="0.3">
      <c r="A334" s="128">
        <v>46019</v>
      </c>
      <c r="B334" s="112" t="s">
        <v>43</v>
      </c>
      <c r="C334" s="113" t="s">
        <v>52</v>
      </c>
      <c r="D334" s="112" t="s">
        <v>1</v>
      </c>
      <c r="E334" s="129">
        <v>1.1701388888888891</v>
      </c>
      <c r="F334" s="112" t="s">
        <v>91</v>
      </c>
      <c r="G334" s="114">
        <v>9</v>
      </c>
      <c r="H334" s="115">
        <v>437</v>
      </c>
    </row>
    <row r="335" spans="1:8" ht="19.8" customHeight="1" x14ac:dyDescent="0.3">
      <c r="A335" s="128">
        <v>46019</v>
      </c>
      <c r="B335" s="112" t="s">
        <v>28</v>
      </c>
      <c r="C335" s="113" t="s">
        <v>29</v>
      </c>
      <c r="D335" s="112" t="s">
        <v>1</v>
      </c>
      <c r="E335" s="129">
        <v>1.958333333333333</v>
      </c>
      <c r="F335" s="112" t="s">
        <v>178</v>
      </c>
      <c r="G335" s="114">
        <v>4</v>
      </c>
      <c r="H335" s="115">
        <v>439</v>
      </c>
    </row>
    <row r="336" spans="1:8" ht="19.8" customHeight="1" x14ac:dyDescent="0.3">
      <c r="A336" s="130">
        <v>46019</v>
      </c>
      <c r="B336" s="117" t="s">
        <v>54</v>
      </c>
      <c r="C336" s="118" t="s">
        <v>55</v>
      </c>
      <c r="D336" s="117" t="s">
        <v>1</v>
      </c>
      <c r="E336" s="131">
        <v>1.305555555555556</v>
      </c>
      <c r="F336" s="117" t="s">
        <v>56</v>
      </c>
      <c r="G336" s="119">
        <v>4</v>
      </c>
      <c r="H336" s="122" t="s">
        <v>118</v>
      </c>
    </row>
    <row r="337" spans="1:8" ht="19.8" customHeight="1" x14ac:dyDescent="0.3">
      <c r="A337" s="128">
        <v>46020</v>
      </c>
      <c r="B337" s="112" t="s">
        <v>33</v>
      </c>
      <c r="C337" s="113" t="s">
        <v>34</v>
      </c>
      <c r="D337" s="112" t="s">
        <v>1</v>
      </c>
      <c r="E337" s="129">
        <v>1.836805555555556</v>
      </c>
      <c r="F337" s="112" t="s">
        <v>35</v>
      </c>
      <c r="G337" s="114">
        <v>2</v>
      </c>
      <c r="H337" s="115">
        <v>379</v>
      </c>
    </row>
    <row r="338" spans="1:8" ht="19.8" customHeight="1" x14ac:dyDescent="0.3">
      <c r="A338" s="128">
        <v>46020</v>
      </c>
      <c r="B338" s="112" t="s">
        <v>33</v>
      </c>
      <c r="C338" s="113" t="s">
        <v>68</v>
      </c>
      <c r="D338" s="112" t="s">
        <v>1</v>
      </c>
      <c r="E338" s="129">
        <v>1.2013888888888891</v>
      </c>
      <c r="F338" s="112" t="s">
        <v>35</v>
      </c>
      <c r="G338" s="114">
        <v>1</v>
      </c>
      <c r="H338" s="115">
        <v>379</v>
      </c>
    </row>
    <row r="339" spans="1:8" ht="19.8" customHeight="1" x14ac:dyDescent="0.3">
      <c r="A339" s="128">
        <v>46020</v>
      </c>
      <c r="B339" s="112" t="s">
        <v>102</v>
      </c>
      <c r="C339" s="113" t="s">
        <v>105</v>
      </c>
      <c r="D339" s="112" t="s">
        <v>1</v>
      </c>
      <c r="E339" s="129">
        <v>1.1284722222222221</v>
      </c>
      <c r="F339" s="112" t="s">
        <v>178</v>
      </c>
      <c r="G339" s="114">
        <v>5</v>
      </c>
      <c r="H339" s="115">
        <v>425</v>
      </c>
    </row>
    <row r="340" spans="1:8" ht="19.8" customHeight="1" x14ac:dyDescent="0.3">
      <c r="A340" s="128">
        <v>46020</v>
      </c>
      <c r="B340" s="112" t="s">
        <v>43</v>
      </c>
      <c r="C340" s="113" t="s">
        <v>44</v>
      </c>
      <c r="D340" s="112" t="s">
        <v>1</v>
      </c>
      <c r="E340" s="129">
        <v>1.864583333333333</v>
      </c>
      <c r="F340" s="112" t="s">
        <v>91</v>
      </c>
      <c r="G340" s="114">
        <v>9</v>
      </c>
      <c r="H340" s="115">
        <v>437</v>
      </c>
    </row>
    <row r="341" spans="1:8" ht="19.8" customHeight="1" x14ac:dyDescent="0.3">
      <c r="A341" s="128">
        <v>46020</v>
      </c>
      <c r="B341" s="112" t="s">
        <v>43</v>
      </c>
      <c r="C341" s="113" t="s">
        <v>50</v>
      </c>
      <c r="D341" s="112" t="s">
        <v>1</v>
      </c>
      <c r="E341" s="129">
        <v>1.5277777777777779</v>
      </c>
      <c r="F341" s="112" t="s">
        <v>91</v>
      </c>
      <c r="G341" s="114">
        <v>9</v>
      </c>
      <c r="H341" s="115">
        <v>437</v>
      </c>
    </row>
    <row r="342" spans="1:8" ht="19.8" customHeight="1" x14ac:dyDescent="0.3">
      <c r="A342" s="128">
        <v>46020</v>
      </c>
      <c r="B342" s="112" t="s">
        <v>43</v>
      </c>
      <c r="C342" s="113" t="s">
        <v>52</v>
      </c>
      <c r="D342" s="112" t="s">
        <v>1</v>
      </c>
      <c r="E342" s="129">
        <v>1.1701388888888891</v>
      </c>
      <c r="F342" s="112" t="s">
        <v>91</v>
      </c>
      <c r="G342" s="114">
        <v>9</v>
      </c>
      <c r="H342" s="115">
        <v>437</v>
      </c>
    </row>
    <row r="343" spans="1:8" ht="19.8" customHeight="1" x14ac:dyDescent="0.3">
      <c r="A343" s="128">
        <v>46020</v>
      </c>
      <c r="B343" s="112" t="s">
        <v>28</v>
      </c>
      <c r="C343" s="113" t="s">
        <v>47</v>
      </c>
      <c r="D343" s="112" t="s">
        <v>1</v>
      </c>
      <c r="E343" s="129">
        <v>1.958333333333333</v>
      </c>
      <c r="F343" s="112" t="s">
        <v>178</v>
      </c>
      <c r="G343" s="114">
        <v>9</v>
      </c>
      <c r="H343" s="115">
        <v>439</v>
      </c>
    </row>
    <row r="344" spans="1:8" ht="19.8" customHeight="1" x14ac:dyDescent="0.3">
      <c r="A344" s="128">
        <v>46020</v>
      </c>
      <c r="B344" s="112" t="s">
        <v>33</v>
      </c>
      <c r="C344" s="113" t="s">
        <v>34</v>
      </c>
      <c r="D344" s="112" t="s">
        <v>1</v>
      </c>
      <c r="E344" s="129">
        <v>1.836805555555556</v>
      </c>
      <c r="F344" s="112" t="s">
        <v>38</v>
      </c>
      <c r="G344" s="114">
        <v>2</v>
      </c>
      <c r="H344" s="115">
        <v>479</v>
      </c>
    </row>
    <row r="345" spans="1:8" ht="19.8" customHeight="1" x14ac:dyDescent="0.3">
      <c r="A345" s="128">
        <v>46020</v>
      </c>
      <c r="B345" s="112" t="s">
        <v>33</v>
      </c>
      <c r="C345" s="113" t="s">
        <v>68</v>
      </c>
      <c r="D345" s="112" t="s">
        <v>1</v>
      </c>
      <c r="E345" s="129">
        <v>1.2013888888888891</v>
      </c>
      <c r="F345" s="112" t="s">
        <v>38</v>
      </c>
      <c r="G345" s="114">
        <v>1</v>
      </c>
      <c r="H345" s="115">
        <v>479</v>
      </c>
    </row>
    <row r="346" spans="1:8" ht="19.8" customHeight="1" x14ac:dyDescent="0.3">
      <c r="A346" s="128">
        <v>46020</v>
      </c>
      <c r="B346" s="112" t="s">
        <v>33</v>
      </c>
      <c r="C346" s="113" t="s">
        <v>34</v>
      </c>
      <c r="D346" s="112" t="s">
        <v>1</v>
      </c>
      <c r="E346" s="129">
        <v>1.836805555555556</v>
      </c>
      <c r="F346" s="112" t="s">
        <v>41</v>
      </c>
      <c r="G346" s="114">
        <v>2</v>
      </c>
      <c r="H346" s="115">
        <v>569</v>
      </c>
    </row>
    <row r="347" spans="1:8" ht="19.8" customHeight="1" x14ac:dyDescent="0.3">
      <c r="A347" s="128">
        <v>46020</v>
      </c>
      <c r="B347" s="112" t="s">
        <v>33</v>
      </c>
      <c r="C347" s="113" t="s">
        <v>68</v>
      </c>
      <c r="D347" s="112" t="s">
        <v>1</v>
      </c>
      <c r="E347" s="129">
        <v>1.2013888888888891</v>
      </c>
      <c r="F347" s="112" t="s">
        <v>41</v>
      </c>
      <c r="G347" s="114">
        <v>1</v>
      </c>
      <c r="H347" s="115">
        <v>569</v>
      </c>
    </row>
    <row r="348" spans="1:8" ht="19.8" customHeight="1" x14ac:dyDescent="0.3">
      <c r="A348" s="130">
        <v>46020</v>
      </c>
      <c r="B348" s="117" t="s">
        <v>54</v>
      </c>
      <c r="C348" s="118" t="s">
        <v>55</v>
      </c>
      <c r="D348" s="117" t="s">
        <v>1</v>
      </c>
      <c r="E348" s="131">
        <v>1.305555555555556</v>
      </c>
      <c r="F348" s="117" t="s">
        <v>56</v>
      </c>
      <c r="G348" s="119">
        <v>4</v>
      </c>
      <c r="H348" s="122" t="s">
        <v>85</v>
      </c>
    </row>
    <row r="349" spans="1:8" ht="19.8" customHeight="1" x14ac:dyDescent="0.3">
      <c r="A349" s="132">
        <v>46021</v>
      </c>
      <c r="B349" s="124" t="s">
        <v>76</v>
      </c>
      <c r="C349" s="125" t="s">
        <v>77</v>
      </c>
      <c r="D349" s="124" t="s">
        <v>1</v>
      </c>
      <c r="E349" s="133">
        <v>1.270833333333333</v>
      </c>
      <c r="F349" s="124" t="s">
        <v>30</v>
      </c>
      <c r="G349" s="126">
        <v>1</v>
      </c>
      <c r="H349" s="127">
        <v>425</v>
      </c>
    </row>
    <row r="350" spans="1:8" ht="19.8" customHeight="1" x14ac:dyDescent="0.3">
      <c r="A350" s="128">
        <v>46021</v>
      </c>
      <c r="B350" s="112" t="s">
        <v>43</v>
      </c>
      <c r="C350" s="113" t="s">
        <v>44</v>
      </c>
      <c r="D350" s="112" t="s">
        <v>1</v>
      </c>
      <c r="E350" s="129">
        <v>1.864583333333333</v>
      </c>
      <c r="F350" s="112" t="s">
        <v>91</v>
      </c>
      <c r="G350" s="114">
        <v>9</v>
      </c>
      <c r="H350" s="115">
        <v>437</v>
      </c>
    </row>
    <row r="351" spans="1:8" ht="19.8" customHeight="1" x14ac:dyDescent="0.3">
      <c r="A351" s="128">
        <v>46021</v>
      </c>
      <c r="B351" s="112" t="s">
        <v>43</v>
      </c>
      <c r="C351" s="113" t="s">
        <v>52</v>
      </c>
      <c r="D351" s="112" t="s">
        <v>1</v>
      </c>
      <c r="E351" s="129">
        <v>1.1701388888888891</v>
      </c>
      <c r="F351" s="112" t="s">
        <v>91</v>
      </c>
      <c r="G351" s="114">
        <v>9</v>
      </c>
      <c r="H351" s="115">
        <v>437</v>
      </c>
    </row>
    <row r="352" spans="1:8" ht="19.8" customHeight="1" x14ac:dyDescent="0.3">
      <c r="A352" s="128">
        <v>46021</v>
      </c>
      <c r="B352" s="112" t="s">
        <v>28</v>
      </c>
      <c r="C352" s="113" t="s">
        <v>75</v>
      </c>
      <c r="D352" s="112" t="s">
        <v>1</v>
      </c>
      <c r="E352" s="129">
        <v>1.958333333333333</v>
      </c>
      <c r="F352" s="112" t="s">
        <v>178</v>
      </c>
      <c r="G352" s="114">
        <v>9</v>
      </c>
      <c r="H352" s="115">
        <v>629</v>
      </c>
    </row>
    <row r="353" spans="1:8" ht="19.8" customHeight="1" x14ac:dyDescent="0.3">
      <c r="A353" s="128">
        <v>46021</v>
      </c>
      <c r="B353" s="112" t="s">
        <v>43</v>
      </c>
      <c r="C353" s="113" t="s">
        <v>50</v>
      </c>
      <c r="D353" s="112" t="s">
        <v>1</v>
      </c>
      <c r="E353" s="129">
        <v>1.5277777777777779</v>
      </c>
      <c r="F353" s="112" t="s">
        <v>45</v>
      </c>
      <c r="G353" s="114">
        <v>9</v>
      </c>
      <c r="H353" s="115">
        <v>727</v>
      </c>
    </row>
    <row r="354" spans="1:8" ht="19.8" customHeight="1" x14ac:dyDescent="0.3">
      <c r="A354" s="130">
        <v>46021</v>
      </c>
      <c r="B354" s="117" t="s">
        <v>54</v>
      </c>
      <c r="C354" s="118" t="s">
        <v>55</v>
      </c>
      <c r="D354" s="117" t="s">
        <v>1</v>
      </c>
      <c r="E354" s="131">
        <v>1.305555555555556</v>
      </c>
      <c r="F354" s="117" t="s">
        <v>56</v>
      </c>
      <c r="G354" s="119">
        <v>4</v>
      </c>
      <c r="H354" s="122" t="s">
        <v>85</v>
      </c>
    </row>
    <row r="355" spans="1:8" ht="19.8" customHeight="1" x14ac:dyDescent="0.3">
      <c r="A355" s="128">
        <v>46022</v>
      </c>
      <c r="B355" s="112" t="s">
        <v>43</v>
      </c>
      <c r="C355" s="113" t="s">
        <v>52</v>
      </c>
      <c r="D355" s="112" t="s">
        <v>1</v>
      </c>
      <c r="E355" s="129">
        <v>1.1701388888888891</v>
      </c>
      <c r="F355" s="112" t="s">
        <v>91</v>
      </c>
      <c r="G355" s="114">
        <v>9</v>
      </c>
      <c r="H355" s="115">
        <v>437</v>
      </c>
    </row>
    <row r="356" spans="1:8" ht="19.8" customHeight="1" x14ac:dyDescent="0.3">
      <c r="A356" s="128">
        <v>46022</v>
      </c>
      <c r="B356" s="112" t="s">
        <v>102</v>
      </c>
      <c r="C356" s="113" t="s">
        <v>103</v>
      </c>
      <c r="D356" s="112" t="s">
        <v>1</v>
      </c>
      <c r="E356" s="129">
        <v>1.0902777777777779</v>
      </c>
      <c r="F356" s="112" t="s">
        <v>178</v>
      </c>
      <c r="G356" s="114">
        <v>8</v>
      </c>
      <c r="H356" s="115">
        <v>500</v>
      </c>
    </row>
    <row r="357" spans="1:8" ht="19.8" customHeight="1" x14ac:dyDescent="0.3">
      <c r="A357" s="128">
        <v>46022</v>
      </c>
      <c r="B357" s="112" t="s">
        <v>28</v>
      </c>
      <c r="C357" s="113" t="s">
        <v>47</v>
      </c>
      <c r="D357" s="112" t="s">
        <v>1</v>
      </c>
      <c r="E357" s="129">
        <v>1.895833333333333</v>
      </c>
      <c r="F357" s="112" t="s">
        <v>178</v>
      </c>
      <c r="G357" s="114">
        <v>9</v>
      </c>
      <c r="H357" s="115">
        <v>629</v>
      </c>
    </row>
    <row r="358" spans="1:8" ht="19.8" customHeight="1" x14ac:dyDescent="0.3">
      <c r="A358" s="128">
        <v>46022</v>
      </c>
      <c r="B358" s="112" t="s">
        <v>43</v>
      </c>
      <c r="C358" s="113" t="s">
        <v>44</v>
      </c>
      <c r="D358" s="112" t="s">
        <v>1</v>
      </c>
      <c r="E358" s="129">
        <v>1.864583333333333</v>
      </c>
      <c r="F358" s="112" t="s">
        <v>45</v>
      </c>
      <c r="G358" s="114">
        <v>9</v>
      </c>
      <c r="H358" s="115">
        <v>727</v>
      </c>
    </row>
    <row r="359" spans="1:8" ht="19.8" customHeight="1" x14ac:dyDescent="0.3">
      <c r="A359" s="128">
        <v>46022</v>
      </c>
      <c r="B359" s="112" t="s">
        <v>43</v>
      </c>
      <c r="C359" s="113" t="s">
        <v>50</v>
      </c>
      <c r="D359" s="112" t="s">
        <v>1</v>
      </c>
      <c r="E359" s="129">
        <v>1.5277777777777779</v>
      </c>
      <c r="F359" s="112" t="s">
        <v>45</v>
      </c>
      <c r="G359" s="114">
        <v>9</v>
      </c>
      <c r="H359" s="115">
        <v>727</v>
      </c>
    </row>
    <row r="360" spans="1:8" ht="19.8" customHeight="1" x14ac:dyDescent="0.3">
      <c r="A360" s="130">
        <v>46022</v>
      </c>
      <c r="B360" s="117" t="s">
        <v>54</v>
      </c>
      <c r="C360" s="118" t="s">
        <v>55</v>
      </c>
      <c r="D360" s="117" t="s">
        <v>1</v>
      </c>
      <c r="E360" s="131">
        <v>1.305555555555556</v>
      </c>
      <c r="F360" s="117" t="s">
        <v>56</v>
      </c>
      <c r="G360" s="119">
        <v>4</v>
      </c>
      <c r="H360" s="122" t="s">
        <v>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141"/>
  <sheetViews>
    <sheetView topLeftCell="F1" zoomScale="85" workbookViewId="0">
      <selection activeCell="E6" sqref="E6"/>
    </sheetView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6640625" bestFit="1" customWidth="1"/>
    <col min="6" max="6" width="23.77734375" bestFit="1" customWidth="1"/>
    <col min="7" max="7" width="47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4.5546875" bestFit="1" customWidth="1"/>
  </cols>
  <sheetData>
    <row r="1" spans="1:92" ht="28.8" customHeight="1" x14ac:dyDescent="0.3">
      <c r="A1" s="218" t="s">
        <v>0</v>
      </c>
      <c r="B1" s="217"/>
      <c r="C1" s="217"/>
      <c r="D1" s="217"/>
      <c r="E1" s="217"/>
      <c r="F1" s="1" t="s">
        <v>294</v>
      </c>
      <c r="G1" s="2" t="s">
        <v>2</v>
      </c>
      <c r="H1" s="216" t="s">
        <v>3</v>
      </c>
      <c r="I1" s="217"/>
      <c r="J1" s="217"/>
      <c r="K1" s="217"/>
      <c r="L1" s="217"/>
      <c r="M1" s="1" t="s">
        <v>4</v>
      </c>
      <c r="N1" s="226" t="s">
        <v>5</v>
      </c>
      <c r="O1" s="217"/>
      <c r="P1" s="217"/>
      <c r="Q1" s="217"/>
      <c r="R1" s="21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24" t="s">
        <v>6</v>
      </c>
      <c r="B2" s="225"/>
      <c r="C2" s="225"/>
      <c r="D2" s="225"/>
      <c r="E2" s="225"/>
      <c r="F2" s="225"/>
      <c r="G2" s="234">
        <v>45984.555124977051</v>
      </c>
      <c r="H2" s="225"/>
      <c r="I2" s="225"/>
      <c r="J2" s="225"/>
      <c r="K2" s="235">
        <v>45984.555124977443</v>
      </c>
      <c r="L2" s="225"/>
      <c r="M2" s="225"/>
      <c r="N2" s="225"/>
      <c r="O2" s="225"/>
      <c r="P2" s="225"/>
      <c r="Q2" s="236"/>
      <c r="R2" s="23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38" t="s">
        <v>7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0" t="s">
        <v>8</v>
      </c>
      <c r="B4" s="241"/>
      <c r="C4" s="241"/>
      <c r="D4" s="241"/>
      <c r="E4" s="241"/>
      <c r="F4" s="241"/>
      <c r="G4" s="4">
        <v>45985</v>
      </c>
      <c r="H4" s="237" t="s">
        <v>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6" t="s">
        <v>76</v>
      </c>
      <c r="B6" s="36" t="s">
        <v>295</v>
      </c>
      <c r="C6" s="37">
        <v>0.51041666666666663</v>
      </c>
      <c r="D6" s="36" t="s">
        <v>296</v>
      </c>
      <c r="E6" s="134"/>
      <c r="F6" s="36" t="s">
        <v>297</v>
      </c>
      <c r="G6" s="213"/>
      <c r="H6" s="38" t="s">
        <v>298</v>
      </c>
      <c r="I6" s="135">
        <v>0.58330000000000004</v>
      </c>
      <c r="J6" s="40">
        <v>98</v>
      </c>
      <c r="K6" s="41">
        <v>45984</v>
      </c>
      <c r="L6" s="40">
        <v>39</v>
      </c>
      <c r="M6" s="40">
        <v>3</v>
      </c>
      <c r="N6" s="40">
        <v>9</v>
      </c>
      <c r="O6" s="42" t="s">
        <v>299</v>
      </c>
      <c r="P6" s="43">
        <v>0.51041666666666663</v>
      </c>
      <c r="Q6" s="40">
        <v>168</v>
      </c>
      <c r="R6" s="44" t="s">
        <v>300</v>
      </c>
    </row>
    <row r="7" spans="1:92" ht="18" x14ac:dyDescent="0.3">
      <c r="A7" s="242" t="s">
        <v>301</v>
      </c>
      <c r="B7" s="243"/>
      <c r="C7" s="243"/>
      <c r="D7" s="243"/>
      <c r="E7" s="243"/>
      <c r="F7" s="243"/>
      <c r="G7" s="214"/>
      <c r="H7" s="136"/>
      <c r="I7" s="136"/>
      <c r="J7" s="136"/>
      <c r="K7" s="136"/>
      <c r="L7" s="136"/>
      <c r="M7" s="136"/>
      <c r="N7" s="136"/>
      <c r="O7" s="137"/>
      <c r="P7" s="136"/>
      <c r="Q7" s="138"/>
      <c r="R7" s="138"/>
    </row>
    <row r="8" spans="1:92" ht="15" customHeight="1" x14ac:dyDescent="0.3">
      <c r="A8" s="34" t="s">
        <v>28</v>
      </c>
      <c r="B8" s="34" t="s">
        <v>47</v>
      </c>
      <c r="C8" s="35" t="s">
        <v>284</v>
      </c>
      <c r="D8" s="34" t="s">
        <v>30</v>
      </c>
      <c r="E8" s="34" t="s">
        <v>302</v>
      </c>
      <c r="F8" s="34" t="s">
        <v>48</v>
      </c>
      <c r="G8" s="214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15" customHeight="1" x14ac:dyDescent="0.3">
      <c r="A9" s="34" t="s">
        <v>43</v>
      </c>
      <c r="B9" s="34" t="s">
        <v>44</v>
      </c>
      <c r="C9" s="35" t="s">
        <v>288</v>
      </c>
      <c r="D9" s="34" t="s">
        <v>45</v>
      </c>
      <c r="E9" s="34" t="s">
        <v>302</v>
      </c>
      <c r="F9" s="34" t="s">
        <v>49</v>
      </c>
      <c r="G9" s="214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15" customHeight="1" x14ac:dyDescent="0.3">
      <c r="A10" s="34" t="s">
        <v>43</v>
      </c>
      <c r="B10" s="34" t="s">
        <v>50</v>
      </c>
      <c r="C10" s="35" t="s">
        <v>289</v>
      </c>
      <c r="D10" s="34" t="s">
        <v>45</v>
      </c>
      <c r="E10" s="34" t="s">
        <v>302</v>
      </c>
      <c r="F10" s="34" t="s">
        <v>46</v>
      </c>
      <c r="G10" s="214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15" customHeight="1" x14ac:dyDescent="0.3">
      <c r="A11" s="34" t="s">
        <v>43</v>
      </c>
      <c r="B11" s="34" t="s">
        <v>52</v>
      </c>
      <c r="C11" s="35" t="s">
        <v>290</v>
      </c>
      <c r="D11" s="34" t="s">
        <v>45</v>
      </c>
      <c r="E11" s="34" t="s">
        <v>302</v>
      </c>
      <c r="F11" s="34" t="s">
        <v>53</v>
      </c>
      <c r="G11" s="214"/>
      <c r="H11" s="136"/>
      <c r="I11" s="136"/>
      <c r="J11" s="136"/>
      <c r="K11" s="136"/>
      <c r="L11" s="136"/>
      <c r="M11" s="136"/>
      <c r="N11" s="136"/>
      <c r="O11" s="137"/>
      <c r="P11" s="136"/>
      <c r="Q11" s="138"/>
      <c r="R11" s="138"/>
    </row>
    <row r="12" spans="1:92" ht="15" customHeight="1" thickBot="1" x14ac:dyDescent="0.35">
      <c r="A12" s="139" t="s">
        <v>54</v>
      </c>
      <c r="B12" s="139" t="s">
        <v>55</v>
      </c>
      <c r="C12" s="140" t="s">
        <v>291</v>
      </c>
      <c r="D12" s="139" t="s">
        <v>56</v>
      </c>
      <c r="E12" s="139" t="s">
        <v>303</v>
      </c>
      <c r="F12" s="139" t="s">
        <v>58</v>
      </c>
      <c r="G12" s="215"/>
      <c r="H12" s="141"/>
      <c r="I12" s="141"/>
      <c r="J12" s="141"/>
      <c r="K12" s="141"/>
      <c r="L12" s="141"/>
      <c r="M12" s="141"/>
      <c r="N12" s="141"/>
      <c r="O12" s="142"/>
      <c r="P12" s="141"/>
      <c r="Q12" s="143"/>
      <c r="R12" s="143"/>
    </row>
    <row r="13" spans="1:92" ht="17.399999999999999" customHeight="1" thickBot="1" x14ac:dyDescent="0.35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3"/>
    </row>
    <row r="14" spans="1:92" ht="22.05" customHeight="1" thickTop="1" thickBot="1" x14ac:dyDescent="0.55000000000000004">
      <c r="A14" s="211" t="s">
        <v>8</v>
      </c>
      <c r="B14" s="212"/>
      <c r="C14" s="212"/>
      <c r="D14" s="212"/>
      <c r="E14" s="212"/>
      <c r="F14" s="212"/>
      <c r="G14" s="26">
        <v>45989</v>
      </c>
      <c r="H14" s="219" t="s">
        <v>9</v>
      </c>
      <c r="I14" s="220"/>
      <c r="J14" s="220"/>
      <c r="K14" s="220"/>
      <c r="L14" s="220"/>
      <c r="M14" s="220"/>
      <c r="N14" s="220"/>
      <c r="O14" s="220"/>
      <c r="P14" s="220"/>
      <c r="Q14" s="220"/>
      <c r="R14" s="220"/>
    </row>
    <row r="15" spans="1:92" ht="24" customHeight="1" x14ac:dyDescent="0.3">
      <c r="A15" s="27" t="s">
        <v>10</v>
      </c>
      <c r="B15" s="27" t="s">
        <v>11</v>
      </c>
      <c r="C15" s="28" t="s">
        <v>12</v>
      </c>
      <c r="D15" s="27" t="s">
        <v>13</v>
      </c>
      <c r="E15" s="27" t="s">
        <v>14</v>
      </c>
      <c r="F15" s="29" t="s">
        <v>15</v>
      </c>
      <c r="G15" s="30" t="s">
        <v>16</v>
      </c>
      <c r="H15" s="27" t="s">
        <v>17</v>
      </c>
      <c r="I15" s="31" t="s">
        <v>18</v>
      </c>
      <c r="J15" s="32" t="s">
        <v>19</v>
      </c>
      <c r="K15" s="33" t="s">
        <v>20</v>
      </c>
      <c r="L15" s="32" t="s">
        <v>21</v>
      </c>
      <c r="M15" s="32" t="s">
        <v>22</v>
      </c>
      <c r="N15" s="32" t="s">
        <v>23</v>
      </c>
      <c r="O15" s="27" t="s">
        <v>24</v>
      </c>
      <c r="P15" s="28" t="s">
        <v>25</v>
      </c>
      <c r="Q15" s="32" t="s">
        <v>26</v>
      </c>
      <c r="R15" s="27" t="s">
        <v>27</v>
      </c>
    </row>
    <row r="16" spans="1:92" ht="15" customHeight="1" x14ac:dyDescent="0.3">
      <c r="A16" s="36" t="s">
        <v>76</v>
      </c>
      <c r="B16" s="36" t="s">
        <v>295</v>
      </c>
      <c r="C16" s="37">
        <v>0.29166666666666669</v>
      </c>
      <c r="D16" s="36" t="s">
        <v>296</v>
      </c>
      <c r="E16" s="134"/>
      <c r="F16" s="36" t="s">
        <v>297</v>
      </c>
      <c r="G16" s="213"/>
      <c r="H16" s="38" t="s">
        <v>298</v>
      </c>
      <c r="I16" s="39">
        <v>0.44640000000000002</v>
      </c>
      <c r="J16" s="40">
        <v>75</v>
      </c>
      <c r="K16" s="41">
        <v>45984</v>
      </c>
      <c r="L16" s="40">
        <v>30</v>
      </c>
      <c r="M16" s="40">
        <v>1</v>
      </c>
      <c r="N16" s="40">
        <v>9</v>
      </c>
      <c r="O16" s="42" t="s">
        <v>270</v>
      </c>
      <c r="P16" s="43">
        <v>0.29166666666666669</v>
      </c>
      <c r="Q16" s="40">
        <v>168</v>
      </c>
      <c r="R16" s="44" t="s">
        <v>304</v>
      </c>
    </row>
    <row r="17" spans="1:18" ht="18" x14ac:dyDescent="0.3">
      <c r="A17" s="242" t="s">
        <v>301</v>
      </c>
      <c r="B17" s="243"/>
      <c r="C17" s="243"/>
      <c r="D17" s="243"/>
      <c r="E17" s="243"/>
      <c r="F17" s="243"/>
      <c r="G17" s="214"/>
      <c r="H17" s="136"/>
      <c r="I17" s="136"/>
      <c r="J17" s="136"/>
      <c r="K17" s="136"/>
      <c r="L17" s="136"/>
      <c r="M17" s="136"/>
      <c r="N17" s="136"/>
      <c r="O17" s="137"/>
      <c r="P17" s="136"/>
      <c r="Q17" s="138"/>
      <c r="R17" s="138"/>
    </row>
    <row r="18" spans="1:18" ht="15" customHeight="1" x14ac:dyDescent="0.3">
      <c r="A18" s="34" t="s">
        <v>59</v>
      </c>
      <c r="B18" s="34" t="s">
        <v>60</v>
      </c>
      <c r="C18" s="35" t="s">
        <v>291</v>
      </c>
      <c r="D18" s="34" t="s">
        <v>61</v>
      </c>
      <c r="E18" s="34" t="s">
        <v>305</v>
      </c>
      <c r="F18" s="34" t="s">
        <v>95</v>
      </c>
      <c r="G18" s="214"/>
      <c r="H18" s="136"/>
      <c r="I18" s="136"/>
      <c r="J18" s="136"/>
      <c r="K18" s="136"/>
      <c r="L18" s="136"/>
      <c r="M18" s="136"/>
      <c r="N18" s="136"/>
      <c r="O18" s="137"/>
      <c r="P18" s="136"/>
      <c r="Q18" s="138"/>
      <c r="R18" s="138"/>
    </row>
    <row r="19" spans="1:18" ht="15" customHeight="1" x14ac:dyDescent="0.3">
      <c r="A19" s="34" t="s">
        <v>33</v>
      </c>
      <c r="B19" s="34" t="s">
        <v>34</v>
      </c>
      <c r="C19" s="35" t="s">
        <v>285</v>
      </c>
      <c r="D19" s="34" t="s">
        <v>35</v>
      </c>
      <c r="E19" s="34" t="s">
        <v>306</v>
      </c>
      <c r="F19" s="34" t="s">
        <v>98</v>
      </c>
      <c r="G19" s="214"/>
      <c r="H19" s="136"/>
      <c r="I19" s="136"/>
      <c r="J19" s="136"/>
      <c r="K19" s="136"/>
      <c r="L19" s="136"/>
      <c r="M19" s="136"/>
      <c r="N19" s="136"/>
      <c r="O19" s="137"/>
      <c r="P19" s="136"/>
      <c r="Q19" s="138"/>
      <c r="R19" s="138"/>
    </row>
    <row r="20" spans="1:18" ht="15" customHeight="1" x14ac:dyDescent="0.3">
      <c r="A20" s="34" t="s">
        <v>102</v>
      </c>
      <c r="B20" s="34" t="s">
        <v>113</v>
      </c>
      <c r="C20" s="35" t="s">
        <v>307</v>
      </c>
      <c r="D20" s="34" t="s">
        <v>30</v>
      </c>
      <c r="E20" s="34" t="s">
        <v>302</v>
      </c>
      <c r="F20" s="34" t="s">
        <v>104</v>
      </c>
      <c r="G20" s="214"/>
      <c r="H20" s="136"/>
      <c r="I20" s="136"/>
      <c r="J20" s="136"/>
      <c r="K20" s="136"/>
      <c r="L20" s="136"/>
      <c r="M20" s="136"/>
      <c r="N20" s="136"/>
      <c r="O20" s="137"/>
      <c r="P20" s="136"/>
      <c r="Q20" s="138"/>
      <c r="R20" s="138"/>
    </row>
    <row r="21" spans="1:18" ht="15" customHeight="1" x14ac:dyDescent="0.3">
      <c r="A21" s="34" t="s">
        <v>43</v>
      </c>
      <c r="B21" s="34" t="s">
        <v>44</v>
      </c>
      <c r="C21" s="35" t="s">
        <v>286</v>
      </c>
      <c r="D21" s="34" t="s">
        <v>106</v>
      </c>
      <c r="E21" s="34" t="s">
        <v>302</v>
      </c>
      <c r="F21" s="34" t="s">
        <v>114</v>
      </c>
      <c r="G21" s="214"/>
      <c r="H21" s="136"/>
      <c r="I21" s="136"/>
      <c r="J21" s="136"/>
      <c r="K21" s="136"/>
      <c r="L21" s="136"/>
      <c r="M21" s="136"/>
      <c r="N21" s="136"/>
      <c r="O21" s="137"/>
      <c r="P21" s="136"/>
      <c r="Q21" s="138"/>
      <c r="R21" s="138"/>
    </row>
    <row r="22" spans="1:18" ht="15" customHeight="1" x14ac:dyDescent="0.3">
      <c r="A22" s="34" t="s">
        <v>43</v>
      </c>
      <c r="B22" s="34" t="s">
        <v>52</v>
      </c>
      <c r="C22" s="35" t="s">
        <v>290</v>
      </c>
      <c r="D22" s="34" t="s">
        <v>106</v>
      </c>
      <c r="E22" s="34" t="s">
        <v>302</v>
      </c>
      <c r="F22" s="34" t="s">
        <v>114</v>
      </c>
      <c r="G22" s="214"/>
      <c r="H22" s="136"/>
      <c r="I22" s="136"/>
      <c r="J22" s="136"/>
      <c r="K22" s="136"/>
      <c r="L22" s="136"/>
      <c r="M22" s="136"/>
      <c r="N22" s="136"/>
      <c r="O22" s="137"/>
      <c r="P22" s="136"/>
      <c r="Q22" s="138"/>
      <c r="R22" s="138"/>
    </row>
    <row r="23" spans="1:18" ht="15" customHeight="1" x14ac:dyDescent="0.3">
      <c r="A23" s="34" t="s">
        <v>28</v>
      </c>
      <c r="B23" s="34" t="s">
        <v>47</v>
      </c>
      <c r="C23" s="35" t="s">
        <v>284</v>
      </c>
      <c r="D23" s="34" t="s">
        <v>30</v>
      </c>
      <c r="E23" s="34" t="s">
        <v>302</v>
      </c>
      <c r="F23" s="34" t="s">
        <v>48</v>
      </c>
      <c r="G23" s="214"/>
      <c r="H23" s="136"/>
      <c r="I23" s="136"/>
      <c r="J23" s="136"/>
      <c r="K23" s="136"/>
      <c r="L23" s="136"/>
      <c r="M23" s="136"/>
      <c r="N23" s="136"/>
      <c r="O23" s="137"/>
      <c r="P23" s="136"/>
      <c r="Q23" s="138"/>
      <c r="R23" s="138"/>
    </row>
    <row r="24" spans="1:18" ht="15" customHeight="1" x14ac:dyDescent="0.3">
      <c r="A24" s="34" t="s">
        <v>76</v>
      </c>
      <c r="B24" s="34" t="s">
        <v>77</v>
      </c>
      <c r="C24" s="35" t="s">
        <v>232</v>
      </c>
      <c r="D24" s="34" t="s">
        <v>30</v>
      </c>
      <c r="E24" s="34" t="s">
        <v>302</v>
      </c>
      <c r="F24" s="34" t="s">
        <v>110</v>
      </c>
      <c r="G24" s="214"/>
      <c r="H24" s="136"/>
      <c r="I24" s="136"/>
      <c r="J24" s="136"/>
      <c r="K24" s="136"/>
      <c r="L24" s="136"/>
      <c r="M24" s="136"/>
      <c r="N24" s="136"/>
      <c r="O24" s="137"/>
      <c r="P24" s="136"/>
      <c r="Q24" s="138"/>
      <c r="R24" s="138"/>
    </row>
    <row r="25" spans="1:18" ht="15" customHeight="1" x14ac:dyDescent="0.3">
      <c r="A25" s="34" t="s">
        <v>33</v>
      </c>
      <c r="B25" s="34" t="s">
        <v>34</v>
      </c>
      <c r="C25" s="35" t="s">
        <v>285</v>
      </c>
      <c r="D25" s="34" t="s">
        <v>38</v>
      </c>
      <c r="E25" s="34" t="s">
        <v>306</v>
      </c>
      <c r="F25" s="34" t="s">
        <v>99</v>
      </c>
      <c r="G25" s="214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15" customHeight="1" x14ac:dyDescent="0.3">
      <c r="A26" s="34" t="s">
        <v>59</v>
      </c>
      <c r="B26" s="34" t="s">
        <v>60</v>
      </c>
      <c r="C26" s="35" t="s">
        <v>291</v>
      </c>
      <c r="D26" s="34" t="s">
        <v>64</v>
      </c>
      <c r="E26" s="34" t="s">
        <v>305</v>
      </c>
      <c r="F26" s="34" t="s">
        <v>97</v>
      </c>
      <c r="G26" s="214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5" customHeight="1" thickBot="1" x14ac:dyDescent="0.35">
      <c r="A27" s="139" t="s">
        <v>33</v>
      </c>
      <c r="B27" s="139" t="s">
        <v>34</v>
      </c>
      <c r="C27" s="140" t="s">
        <v>285</v>
      </c>
      <c r="D27" s="139" t="s">
        <v>41</v>
      </c>
      <c r="E27" s="139" t="s">
        <v>306</v>
      </c>
      <c r="F27" s="139" t="s">
        <v>73</v>
      </c>
      <c r="G27" s="215"/>
      <c r="H27" s="141"/>
      <c r="I27" s="141"/>
      <c r="J27" s="141"/>
      <c r="K27" s="141"/>
      <c r="L27" s="141"/>
      <c r="M27" s="141"/>
      <c r="N27" s="141"/>
      <c r="O27" s="142"/>
      <c r="P27" s="141"/>
      <c r="Q27" s="143"/>
      <c r="R27" s="143"/>
    </row>
    <row r="28" spans="1:18" ht="17.399999999999999" customHeight="1" thickBot="1" x14ac:dyDescent="0.35">
      <c r="A28" s="221"/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3"/>
    </row>
    <row r="29" spans="1:18" ht="22.05" customHeight="1" thickTop="1" thickBot="1" x14ac:dyDescent="0.55000000000000004">
      <c r="A29" s="211" t="s">
        <v>8</v>
      </c>
      <c r="B29" s="212"/>
      <c r="C29" s="212"/>
      <c r="D29" s="212"/>
      <c r="E29" s="212"/>
      <c r="F29" s="212"/>
      <c r="G29" s="26">
        <v>45992</v>
      </c>
      <c r="H29" s="219" t="s">
        <v>9</v>
      </c>
      <c r="I29" s="220"/>
      <c r="J29" s="220"/>
      <c r="K29" s="220"/>
      <c r="L29" s="220"/>
      <c r="M29" s="220"/>
      <c r="N29" s="220"/>
      <c r="O29" s="220"/>
      <c r="P29" s="220"/>
      <c r="Q29" s="220"/>
      <c r="R29" s="220"/>
    </row>
    <row r="30" spans="1:18" ht="24" customHeight="1" x14ac:dyDescent="0.3">
      <c r="A30" s="27" t="s">
        <v>10</v>
      </c>
      <c r="B30" s="27" t="s">
        <v>11</v>
      </c>
      <c r="C30" s="28" t="s">
        <v>12</v>
      </c>
      <c r="D30" s="27" t="s">
        <v>13</v>
      </c>
      <c r="E30" s="27" t="s">
        <v>14</v>
      </c>
      <c r="F30" s="29" t="s">
        <v>15</v>
      </c>
      <c r="G30" s="30" t="s">
        <v>16</v>
      </c>
      <c r="H30" s="27" t="s">
        <v>17</v>
      </c>
      <c r="I30" s="31" t="s">
        <v>18</v>
      </c>
      <c r="J30" s="32" t="s">
        <v>19</v>
      </c>
      <c r="K30" s="33" t="s">
        <v>20</v>
      </c>
      <c r="L30" s="32" t="s">
        <v>21</v>
      </c>
      <c r="M30" s="32" t="s">
        <v>22</v>
      </c>
      <c r="N30" s="32" t="s">
        <v>23</v>
      </c>
      <c r="O30" s="27" t="s">
        <v>24</v>
      </c>
      <c r="P30" s="28" t="s">
        <v>25</v>
      </c>
      <c r="Q30" s="32" t="s">
        <v>26</v>
      </c>
      <c r="R30" s="27" t="s">
        <v>27</v>
      </c>
    </row>
    <row r="31" spans="1:18" ht="15" customHeight="1" x14ac:dyDescent="0.3">
      <c r="A31" s="90" t="s">
        <v>76</v>
      </c>
      <c r="B31" s="90" t="s">
        <v>295</v>
      </c>
      <c r="C31" s="91">
        <v>0.51041666666666663</v>
      </c>
      <c r="D31" s="90" t="s">
        <v>30</v>
      </c>
      <c r="E31" s="90" t="s">
        <v>31</v>
      </c>
      <c r="F31" s="90" t="s">
        <v>308</v>
      </c>
      <c r="G31" s="213"/>
      <c r="H31" s="92" t="s">
        <v>298</v>
      </c>
      <c r="I31" s="93">
        <v>0.46429999999999999</v>
      </c>
      <c r="J31" s="94">
        <v>78</v>
      </c>
      <c r="K31" s="95">
        <v>45984</v>
      </c>
      <c r="L31" s="94">
        <v>23</v>
      </c>
      <c r="M31" s="94">
        <v>2</v>
      </c>
      <c r="N31" s="94">
        <v>0</v>
      </c>
      <c r="O31" s="96" t="s">
        <v>309</v>
      </c>
      <c r="P31" s="97">
        <v>0.51041666666666663</v>
      </c>
      <c r="Q31" s="94">
        <v>168</v>
      </c>
      <c r="R31" s="98" t="s">
        <v>310</v>
      </c>
    </row>
    <row r="32" spans="1:18" ht="18" x14ac:dyDescent="0.3">
      <c r="A32" s="242" t="s">
        <v>301</v>
      </c>
      <c r="B32" s="243"/>
      <c r="C32" s="243"/>
      <c r="D32" s="243"/>
      <c r="E32" s="243"/>
      <c r="F32" s="243"/>
      <c r="G32" s="214"/>
      <c r="H32" s="136"/>
      <c r="I32" s="136"/>
      <c r="J32" s="136"/>
      <c r="K32" s="136"/>
      <c r="L32" s="136"/>
      <c r="M32" s="136"/>
      <c r="N32" s="136"/>
      <c r="O32" s="137"/>
      <c r="P32" s="136"/>
      <c r="Q32" s="138"/>
      <c r="R32" s="138"/>
    </row>
    <row r="33" spans="1:18" ht="15" customHeight="1" x14ac:dyDescent="0.3">
      <c r="A33" s="34" t="s">
        <v>33</v>
      </c>
      <c r="B33" s="34" t="s">
        <v>68</v>
      </c>
      <c r="C33" s="35" t="s">
        <v>311</v>
      </c>
      <c r="D33" s="34" t="s">
        <v>88</v>
      </c>
      <c r="E33" s="34" t="s">
        <v>306</v>
      </c>
      <c r="F33" s="34" t="s">
        <v>98</v>
      </c>
      <c r="G33" s="214"/>
      <c r="H33" s="136"/>
      <c r="I33" s="136"/>
      <c r="J33" s="136"/>
      <c r="K33" s="136"/>
      <c r="L33" s="136"/>
      <c r="M33" s="136"/>
      <c r="N33" s="136"/>
      <c r="O33" s="137"/>
      <c r="P33" s="136"/>
      <c r="Q33" s="138"/>
      <c r="R33" s="138"/>
    </row>
    <row r="34" spans="1:18" ht="15" customHeight="1" x14ac:dyDescent="0.3">
      <c r="A34" s="34" t="s">
        <v>59</v>
      </c>
      <c r="B34" s="34" t="s">
        <v>60</v>
      </c>
      <c r="C34" s="35" t="s">
        <v>291</v>
      </c>
      <c r="D34" s="34" t="s">
        <v>86</v>
      </c>
      <c r="E34" s="34" t="s">
        <v>306</v>
      </c>
      <c r="F34" s="34" t="s">
        <v>63</v>
      </c>
      <c r="G34" s="214"/>
      <c r="H34" s="136"/>
      <c r="I34" s="136"/>
      <c r="J34" s="136"/>
      <c r="K34" s="136"/>
      <c r="L34" s="136"/>
      <c r="M34" s="136"/>
      <c r="N34" s="136"/>
      <c r="O34" s="137"/>
      <c r="P34" s="136"/>
      <c r="Q34" s="138"/>
      <c r="R34" s="138"/>
    </row>
    <row r="35" spans="1:18" ht="15" customHeight="1" x14ac:dyDescent="0.3">
      <c r="A35" s="34" t="s">
        <v>102</v>
      </c>
      <c r="B35" s="34" t="s">
        <v>105</v>
      </c>
      <c r="C35" s="35" t="s">
        <v>312</v>
      </c>
      <c r="D35" s="34" t="s">
        <v>30</v>
      </c>
      <c r="E35" s="34" t="s">
        <v>313</v>
      </c>
      <c r="F35" s="34" t="s">
        <v>104</v>
      </c>
      <c r="G35" s="214"/>
      <c r="H35" s="136"/>
      <c r="I35" s="136"/>
      <c r="J35" s="136"/>
      <c r="K35" s="136"/>
      <c r="L35" s="136"/>
      <c r="M35" s="136"/>
      <c r="N35" s="136"/>
      <c r="O35" s="137"/>
      <c r="P35" s="136"/>
      <c r="Q35" s="138"/>
      <c r="R35" s="138"/>
    </row>
    <row r="36" spans="1:18" ht="15" customHeight="1" x14ac:dyDescent="0.3">
      <c r="A36" s="34" t="s">
        <v>33</v>
      </c>
      <c r="B36" s="34" t="s">
        <v>34</v>
      </c>
      <c r="C36" s="35" t="s">
        <v>314</v>
      </c>
      <c r="D36" s="34" t="s">
        <v>88</v>
      </c>
      <c r="E36" s="34" t="s">
        <v>306</v>
      </c>
      <c r="F36" s="34" t="s">
        <v>90</v>
      </c>
      <c r="G36" s="214"/>
      <c r="H36" s="136"/>
      <c r="I36" s="136"/>
      <c r="J36" s="136"/>
      <c r="K36" s="136"/>
      <c r="L36" s="136"/>
      <c r="M36" s="136"/>
      <c r="N36" s="136"/>
      <c r="O36" s="137"/>
      <c r="P36" s="136"/>
      <c r="Q36" s="138"/>
      <c r="R36" s="138"/>
    </row>
    <row r="37" spans="1:18" ht="15" customHeight="1" x14ac:dyDescent="0.3">
      <c r="A37" s="34" t="s">
        <v>43</v>
      </c>
      <c r="B37" s="34" t="s">
        <v>44</v>
      </c>
      <c r="C37" s="35" t="s">
        <v>286</v>
      </c>
      <c r="D37" s="34" t="s">
        <v>106</v>
      </c>
      <c r="E37" s="34" t="s">
        <v>302</v>
      </c>
      <c r="F37" s="34" t="s">
        <v>114</v>
      </c>
      <c r="G37" s="214"/>
      <c r="H37" s="136"/>
      <c r="I37" s="136"/>
      <c r="J37" s="136"/>
      <c r="K37" s="136"/>
      <c r="L37" s="136"/>
      <c r="M37" s="136"/>
      <c r="N37" s="136"/>
      <c r="O37" s="137"/>
      <c r="P37" s="136"/>
      <c r="Q37" s="138"/>
      <c r="R37" s="138"/>
    </row>
    <row r="38" spans="1:18" ht="15" customHeight="1" x14ac:dyDescent="0.3">
      <c r="A38" s="34" t="s">
        <v>43</v>
      </c>
      <c r="B38" s="34" t="s">
        <v>50</v>
      </c>
      <c r="C38" s="35" t="s">
        <v>315</v>
      </c>
      <c r="D38" s="34" t="s">
        <v>106</v>
      </c>
      <c r="E38" s="34" t="s">
        <v>302</v>
      </c>
      <c r="F38" s="34" t="s">
        <v>114</v>
      </c>
      <c r="G38" s="214"/>
      <c r="H38" s="136"/>
      <c r="I38" s="136"/>
      <c r="J38" s="136"/>
      <c r="K38" s="136"/>
      <c r="L38" s="136"/>
      <c r="M38" s="136"/>
      <c r="N38" s="136"/>
      <c r="O38" s="137"/>
      <c r="P38" s="136"/>
      <c r="Q38" s="138"/>
      <c r="R38" s="138"/>
    </row>
    <row r="39" spans="1:18" ht="15" customHeight="1" x14ac:dyDescent="0.3">
      <c r="A39" s="34" t="s">
        <v>43</v>
      </c>
      <c r="B39" s="34" t="s">
        <v>52</v>
      </c>
      <c r="C39" s="35" t="s">
        <v>290</v>
      </c>
      <c r="D39" s="34" t="s">
        <v>106</v>
      </c>
      <c r="E39" s="34" t="s">
        <v>302</v>
      </c>
      <c r="F39" s="34" t="s">
        <v>114</v>
      </c>
      <c r="G39" s="214"/>
      <c r="H39" s="136"/>
      <c r="I39" s="136"/>
      <c r="J39" s="136"/>
      <c r="K39" s="136"/>
      <c r="L39" s="136"/>
      <c r="M39" s="136"/>
      <c r="N39" s="136"/>
      <c r="O39" s="137"/>
      <c r="P39" s="136"/>
      <c r="Q39" s="138"/>
      <c r="R39" s="138"/>
    </row>
    <row r="40" spans="1:18" ht="15" customHeight="1" x14ac:dyDescent="0.3">
      <c r="A40" s="34" t="s">
        <v>28</v>
      </c>
      <c r="B40" s="34" t="s">
        <v>47</v>
      </c>
      <c r="C40" s="35" t="s">
        <v>284</v>
      </c>
      <c r="D40" s="34" t="s">
        <v>30</v>
      </c>
      <c r="E40" s="34" t="s">
        <v>316</v>
      </c>
      <c r="F40" s="34" t="s">
        <v>48</v>
      </c>
      <c r="G40" s="214"/>
      <c r="H40" s="136"/>
      <c r="I40" s="136"/>
      <c r="J40" s="136"/>
      <c r="K40" s="136"/>
      <c r="L40" s="136"/>
      <c r="M40" s="136"/>
      <c r="N40" s="136"/>
      <c r="O40" s="137"/>
      <c r="P40" s="136"/>
      <c r="Q40" s="138"/>
      <c r="R40" s="138"/>
    </row>
    <row r="41" spans="1:18" ht="15" customHeight="1" thickBot="1" x14ac:dyDescent="0.35">
      <c r="A41" s="139" t="s">
        <v>54</v>
      </c>
      <c r="B41" s="139" t="s">
        <v>55</v>
      </c>
      <c r="C41" s="140" t="s">
        <v>291</v>
      </c>
      <c r="D41" s="139" t="s">
        <v>56</v>
      </c>
      <c r="E41" s="139" t="s">
        <v>303</v>
      </c>
      <c r="F41" s="139" t="s">
        <v>85</v>
      </c>
      <c r="G41" s="215"/>
      <c r="H41" s="141"/>
      <c r="I41" s="141"/>
      <c r="J41" s="141"/>
      <c r="K41" s="141"/>
      <c r="L41" s="141"/>
      <c r="M41" s="141"/>
      <c r="N41" s="141"/>
      <c r="O41" s="142"/>
      <c r="P41" s="141"/>
      <c r="Q41" s="143"/>
      <c r="R41" s="143"/>
    </row>
    <row r="42" spans="1:18" ht="17.399999999999999" customHeight="1" thickBot="1" x14ac:dyDescent="0.35">
      <c r="A42" s="221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3"/>
    </row>
    <row r="43" spans="1:18" ht="22.05" customHeight="1" thickTop="1" thickBot="1" x14ac:dyDescent="0.55000000000000004">
      <c r="A43" s="211" t="s">
        <v>8</v>
      </c>
      <c r="B43" s="212"/>
      <c r="C43" s="212"/>
      <c r="D43" s="212"/>
      <c r="E43" s="212"/>
      <c r="F43" s="212"/>
      <c r="G43" s="26">
        <v>45996</v>
      </c>
      <c r="H43" s="219" t="s">
        <v>9</v>
      </c>
      <c r="I43" s="220"/>
      <c r="J43" s="220"/>
      <c r="K43" s="220"/>
      <c r="L43" s="220"/>
      <c r="M43" s="220"/>
      <c r="N43" s="220"/>
      <c r="O43" s="220"/>
      <c r="P43" s="220"/>
      <c r="Q43" s="220"/>
      <c r="R43" s="220"/>
    </row>
    <row r="44" spans="1:18" ht="24" customHeight="1" x14ac:dyDescent="0.3">
      <c r="A44" s="27" t="s">
        <v>10</v>
      </c>
      <c r="B44" s="27" t="s">
        <v>11</v>
      </c>
      <c r="C44" s="28" t="s">
        <v>12</v>
      </c>
      <c r="D44" s="27" t="s">
        <v>13</v>
      </c>
      <c r="E44" s="27" t="s">
        <v>14</v>
      </c>
      <c r="F44" s="29" t="s">
        <v>15</v>
      </c>
      <c r="G44" s="30" t="s">
        <v>16</v>
      </c>
      <c r="H44" s="27" t="s">
        <v>17</v>
      </c>
      <c r="I44" s="31" t="s">
        <v>18</v>
      </c>
      <c r="J44" s="32" t="s">
        <v>19</v>
      </c>
      <c r="K44" s="33" t="s">
        <v>20</v>
      </c>
      <c r="L44" s="32" t="s">
        <v>21</v>
      </c>
      <c r="M44" s="32" t="s">
        <v>22</v>
      </c>
      <c r="N44" s="32" t="s">
        <v>23</v>
      </c>
      <c r="O44" s="27" t="s">
        <v>24</v>
      </c>
      <c r="P44" s="28" t="s">
        <v>25</v>
      </c>
      <c r="Q44" s="32" t="s">
        <v>26</v>
      </c>
      <c r="R44" s="27" t="s">
        <v>27</v>
      </c>
    </row>
    <row r="45" spans="1:18" ht="15" customHeight="1" x14ac:dyDescent="0.3">
      <c r="A45" s="36" t="s">
        <v>76</v>
      </c>
      <c r="B45" s="36" t="s">
        <v>295</v>
      </c>
      <c r="C45" s="37">
        <v>0.29166666666666669</v>
      </c>
      <c r="D45" s="36" t="s">
        <v>296</v>
      </c>
      <c r="E45" s="134"/>
      <c r="F45" s="36" t="s">
        <v>317</v>
      </c>
      <c r="G45" s="213"/>
      <c r="H45" s="38" t="s">
        <v>298</v>
      </c>
      <c r="I45" s="39">
        <v>0.24399999999999999</v>
      </c>
      <c r="J45" s="40">
        <v>41</v>
      </c>
      <c r="K45" s="41">
        <v>45984</v>
      </c>
      <c r="L45" s="40">
        <v>13</v>
      </c>
      <c r="M45" s="40">
        <v>1</v>
      </c>
      <c r="N45" s="40">
        <v>2</v>
      </c>
      <c r="O45" s="42" t="s">
        <v>243</v>
      </c>
      <c r="P45" s="43">
        <v>0.29166666666666669</v>
      </c>
      <c r="Q45" s="40">
        <v>168</v>
      </c>
      <c r="R45" s="44" t="s">
        <v>318</v>
      </c>
    </row>
    <row r="46" spans="1:18" ht="18" x14ac:dyDescent="0.3">
      <c r="A46" s="242" t="s">
        <v>301</v>
      </c>
      <c r="B46" s="243"/>
      <c r="C46" s="243"/>
      <c r="D46" s="243"/>
      <c r="E46" s="243"/>
      <c r="F46" s="243"/>
      <c r="G46" s="214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5" customHeight="1" x14ac:dyDescent="0.3">
      <c r="A47" s="34" t="s">
        <v>43</v>
      </c>
      <c r="B47" s="34" t="s">
        <v>44</v>
      </c>
      <c r="C47" s="35" t="s">
        <v>286</v>
      </c>
      <c r="D47" s="34" t="s">
        <v>106</v>
      </c>
      <c r="E47" s="34" t="s">
        <v>302</v>
      </c>
      <c r="F47" s="34" t="s">
        <v>114</v>
      </c>
      <c r="G47" s="214"/>
      <c r="H47" s="136"/>
      <c r="I47" s="136"/>
      <c r="J47" s="136"/>
      <c r="K47" s="136"/>
      <c r="L47" s="136"/>
      <c r="M47" s="136"/>
      <c r="N47" s="136"/>
      <c r="O47" s="137"/>
      <c r="P47" s="136"/>
      <c r="Q47" s="138"/>
      <c r="R47" s="138"/>
    </row>
    <row r="48" spans="1:18" ht="15" customHeight="1" x14ac:dyDescent="0.3">
      <c r="A48" s="34" t="s">
        <v>43</v>
      </c>
      <c r="B48" s="34" t="s">
        <v>52</v>
      </c>
      <c r="C48" s="35" t="s">
        <v>290</v>
      </c>
      <c r="D48" s="34" t="s">
        <v>106</v>
      </c>
      <c r="E48" s="34" t="s">
        <v>302</v>
      </c>
      <c r="F48" s="34" t="s">
        <v>107</v>
      </c>
      <c r="G48" s="214"/>
      <c r="H48" s="136"/>
      <c r="I48" s="136"/>
      <c r="J48" s="136"/>
      <c r="K48" s="136"/>
      <c r="L48" s="136"/>
      <c r="M48" s="136"/>
      <c r="N48" s="136"/>
      <c r="O48" s="137"/>
      <c r="P48" s="136"/>
      <c r="Q48" s="138"/>
      <c r="R48" s="138"/>
    </row>
    <row r="49" spans="1:18" ht="15" customHeight="1" x14ac:dyDescent="0.3">
      <c r="A49" s="34" t="s">
        <v>28</v>
      </c>
      <c r="B49" s="34" t="s">
        <v>47</v>
      </c>
      <c r="C49" s="35" t="s">
        <v>284</v>
      </c>
      <c r="D49" s="34" t="s">
        <v>30</v>
      </c>
      <c r="E49" s="34" t="s">
        <v>302</v>
      </c>
      <c r="F49" s="34" t="s">
        <v>48</v>
      </c>
      <c r="G49" s="214"/>
      <c r="H49" s="136"/>
      <c r="I49" s="136"/>
      <c r="J49" s="136"/>
      <c r="K49" s="136"/>
      <c r="L49" s="136"/>
      <c r="M49" s="136"/>
      <c r="N49" s="136"/>
      <c r="O49" s="137"/>
      <c r="P49" s="136"/>
      <c r="Q49" s="138"/>
      <c r="R49" s="138"/>
    </row>
    <row r="50" spans="1:18" ht="15" customHeight="1" x14ac:dyDescent="0.3">
      <c r="A50" s="34" t="s">
        <v>76</v>
      </c>
      <c r="B50" s="34" t="s">
        <v>77</v>
      </c>
      <c r="C50" s="35" t="s">
        <v>232</v>
      </c>
      <c r="D50" s="34" t="s">
        <v>30</v>
      </c>
      <c r="E50" s="34" t="s">
        <v>316</v>
      </c>
      <c r="F50" s="34" t="s">
        <v>110</v>
      </c>
      <c r="G50" s="214"/>
      <c r="H50" s="136"/>
      <c r="I50" s="136"/>
      <c r="J50" s="136"/>
      <c r="K50" s="136"/>
      <c r="L50" s="136"/>
      <c r="M50" s="136"/>
      <c r="N50" s="136"/>
      <c r="O50" s="137"/>
      <c r="P50" s="136"/>
      <c r="Q50" s="138"/>
      <c r="R50" s="138"/>
    </row>
    <row r="51" spans="1:18" ht="15" customHeight="1" x14ac:dyDescent="0.3">
      <c r="A51" s="34" t="s">
        <v>43</v>
      </c>
      <c r="B51" s="34" t="s">
        <v>50</v>
      </c>
      <c r="C51" s="35" t="s">
        <v>315</v>
      </c>
      <c r="D51" s="34" t="s">
        <v>45</v>
      </c>
      <c r="E51" s="34" t="s">
        <v>302</v>
      </c>
      <c r="F51" s="34" t="s">
        <v>115</v>
      </c>
      <c r="G51" s="214"/>
      <c r="H51" s="136"/>
      <c r="I51" s="136"/>
      <c r="J51" s="136"/>
      <c r="K51" s="136"/>
      <c r="L51" s="136"/>
      <c r="M51" s="136"/>
      <c r="N51" s="136"/>
      <c r="O51" s="137"/>
      <c r="P51" s="136"/>
      <c r="Q51" s="138"/>
      <c r="R51" s="138"/>
    </row>
    <row r="52" spans="1:18" ht="15" customHeight="1" thickBot="1" x14ac:dyDescent="0.35">
      <c r="A52" s="139" t="s">
        <v>54</v>
      </c>
      <c r="B52" s="139" t="s">
        <v>55</v>
      </c>
      <c r="C52" s="140" t="s">
        <v>291</v>
      </c>
      <c r="D52" s="139" t="s">
        <v>56</v>
      </c>
      <c r="E52" s="139" t="s">
        <v>303</v>
      </c>
      <c r="F52" s="139" t="s">
        <v>85</v>
      </c>
      <c r="G52" s="215"/>
      <c r="H52" s="141"/>
      <c r="I52" s="141"/>
      <c r="J52" s="141"/>
      <c r="K52" s="141"/>
      <c r="L52" s="141"/>
      <c r="M52" s="141"/>
      <c r="N52" s="141"/>
      <c r="O52" s="142"/>
      <c r="P52" s="141"/>
      <c r="Q52" s="143"/>
      <c r="R52" s="143"/>
    </row>
    <row r="53" spans="1:18" ht="17.399999999999999" customHeight="1" thickBot="1" x14ac:dyDescent="0.35">
      <c r="A53" s="221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3"/>
    </row>
    <row r="54" spans="1:18" ht="22.05" customHeight="1" thickTop="1" thickBot="1" x14ac:dyDescent="0.55000000000000004">
      <c r="A54" s="211" t="s">
        <v>8</v>
      </c>
      <c r="B54" s="212"/>
      <c r="C54" s="212"/>
      <c r="D54" s="212"/>
      <c r="E54" s="212"/>
      <c r="F54" s="212"/>
      <c r="G54" s="26">
        <v>45999</v>
      </c>
      <c r="H54" s="219" t="s">
        <v>9</v>
      </c>
      <c r="I54" s="220"/>
      <c r="J54" s="220"/>
      <c r="K54" s="220"/>
      <c r="L54" s="220"/>
      <c r="M54" s="220"/>
      <c r="N54" s="220"/>
      <c r="O54" s="220"/>
      <c r="P54" s="220"/>
      <c r="Q54" s="220"/>
      <c r="R54" s="220"/>
    </row>
    <row r="55" spans="1:18" ht="24" customHeight="1" x14ac:dyDescent="0.3">
      <c r="A55" s="27" t="s">
        <v>10</v>
      </c>
      <c r="B55" s="27" t="s">
        <v>11</v>
      </c>
      <c r="C55" s="28" t="s">
        <v>12</v>
      </c>
      <c r="D55" s="27" t="s">
        <v>13</v>
      </c>
      <c r="E55" s="27" t="s">
        <v>14</v>
      </c>
      <c r="F55" s="29" t="s">
        <v>15</v>
      </c>
      <c r="G55" s="30" t="s">
        <v>16</v>
      </c>
      <c r="H55" s="27" t="s">
        <v>17</v>
      </c>
      <c r="I55" s="31" t="s">
        <v>18</v>
      </c>
      <c r="J55" s="32" t="s">
        <v>19</v>
      </c>
      <c r="K55" s="33" t="s">
        <v>20</v>
      </c>
      <c r="L55" s="32" t="s">
        <v>21</v>
      </c>
      <c r="M55" s="32" t="s">
        <v>22</v>
      </c>
      <c r="N55" s="32" t="s">
        <v>23</v>
      </c>
      <c r="O55" s="27" t="s">
        <v>24</v>
      </c>
      <c r="P55" s="28" t="s">
        <v>25</v>
      </c>
      <c r="Q55" s="32" t="s">
        <v>26</v>
      </c>
      <c r="R55" s="27" t="s">
        <v>27</v>
      </c>
    </row>
    <row r="56" spans="1:18" ht="15" customHeight="1" x14ac:dyDescent="0.3">
      <c r="A56" s="99" t="s">
        <v>76</v>
      </c>
      <c r="B56" s="99" t="s">
        <v>295</v>
      </c>
      <c r="C56" s="100">
        <v>0.51041666666666663</v>
      </c>
      <c r="D56" s="99" t="s">
        <v>30</v>
      </c>
      <c r="E56" s="99" t="s">
        <v>89</v>
      </c>
      <c r="F56" s="99" t="s">
        <v>319</v>
      </c>
      <c r="G56" s="213"/>
      <c r="H56" s="101" t="s">
        <v>298</v>
      </c>
      <c r="I56" s="102">
        <v>0.28570000000000001</v>
      </c>
      <c r="J56" s="103">
        <v>48</v>
      </c>
      <c r="K56" s="104">
        <v>45984</v>
      </c>
      <c r="L56" s="103">
        <v>17</v>
      </c>
      <c r="M56" s="103">
        <v>1</v>
      </c>
      <c r="N56" s="103">
        <v>3</v>
      </c>
      <c r="O56" s="105" t="s">
        <v>274</v>
      </c>
      <c r="P56" s="106">
        <v>0.51041666666666663</v>
      </c>
      <c r="Q56" s="103">
        <v>168</v>
      </c>
      <c r="R56" s="107" t="s">
        <v>320</v>
      </c>
    </row>
    <row r="57" spans="1:18" ht="18" x14ac:dyDescent="0.3">
      <c r="A57" s="242" t="s">
        <v>301</v>
      </c>
      <c r="B57" s="243"/>
      <c r="C57" s="243"/>
      <c r="D57" s="243"/>
      <c r="E57" s="243"/>
      <c r="F57" s="243"/>
      <c r="G57" s="214"/>
      <c r="H57" s="136"/>
      <c r="I57" s="136"/>
      <c r="J57" s="136"/>
      <c r="K57" s="136"/>
      <c r="L57" s="136"/>
      <c r="M57" s="136"/>
      <c r="N57" s="136"/>
      <c r="O57" s="137"/>
      <c r="P57" s="136"/>
      <c r="Q57" s="138"/>
      <c r="R57" s="138"/>
    </row>
    <row r="58" spans="1:18" ht="15" customHeight="1" x14ac:dyDescent="0.3">
      <c r="A58" s="34" t="s">
        <v>43</v>
      </c>
      <c r="B58" s="34" t="s">
        <v>44</v>
      </c>
      <c r="C58" s="35" t="s">
        <v>286</v>
      </c>
      <c r="D58" s="34" t="s">
        <v>106</v>
      </c>
      <c r="E58" s="34" t="s">
        <v>302</v>
      </c>
      <c r="F58" s="34" t="s">
        <v>114</v>
      </c>
      <c r="G58" s="214"/>
      <c r="H58" s="136"/>
      <c r="I58" s="136"/>
      <c r="J58" s="136"/>
      <c r="K58" s="136"/>
      <c r="L58" s="136"/>
      <c r="M58" s="136"/>
      <c r="N58" s="136"/>
      <c r="O58" s="137"/>
      <c r="P58" s="136"/>
      <c r="Q58" s="138"/>
      <c r="R58" s="138"/>
    </row>
    <row r="59" spans="1:18" ht="15" customHeight="1" x14ac:dyDescent="0.3">
      <c r="A59" s="34" t="s">
        <v>43</v>
      </c>
      <c r="B59" s="34" t="s">
        <v>50</v>
      </c>
      <c r="C59" s="35" t="s">
        <v>315</v>
      </c>
      <c r="D59" s="34" t="s">
        <v>106</v>
      </c>
      <c r="E59" s="34" t="s">
        <v>302</v>
      </c>
      <c r="F59" s="34" t="s">
        <v>114</v>
      </c>
      <c r="G59" s="214"/>
      <c r="H59" s="136"/>
      <c r="I59" s="136"/>
      <c r="J59" s="136"/>
      <c r="K59" s="136"/>
      <c r="L59" s="136"/>
      <c r="M59" s="136"/>
      <c r="N59" s="136"/>
      <c r="O59" s="137"/>
      <c r="P59" s="136"/>
      <c r="Q59" s="138"/>
      <c r="R59" s="138"/>
    </row>
    <row r="60" spans="1:18" ht="15" customHeight="1" x14ac:dyDescent="0.3">
      <c r="A60" s="34" t="s">
        <v>43</v>
      </c>
      <c r="B60" s="34" t="s">
        <v>52</v>
      </c>
      <c r="C60" s="35" t="s">
        <v>290</v>
      </c>
      <c r="D60" s="34" t="s">
        <v>106</v>
      </c>
      <c r="E60" s="34" t="s">
        <v>302</v>
      </c>
      <c r="F60" s="34" t="s">
        <v>114</v>
      </c>
      <c r="G60" s="214"/>
      <c r="H60" s="136"/>
      <c r="I60" s="136"/>
      <c r="J60" s="136"/>
      <c r="K60" s="136"/>
      <c r="L60" s="136"/>
      <c r="M60" s="136"/>
      <c r="N60" s="136"/>
      <c r="O60" s="137"/>
      <c r="P60" s="136"/>
      <c r="Q60" s="138"/>
      <c r="R60" s="138"/>
    </row>
    <row r="61" spans="1:18" ht="15" customHeight="1" x14ac:dyDescent="0.3">
      <c r="A61" s="34" t="s">
        <v>28</v>
      </c>
      <c r="B61" s="34" t="s">
        <v>47</v>
      </c>
      <c r="C61" s="35" t="s">
        <v>284</v>
      </c>
      <c r="D61" s="34" t="s">
        <v>30</v>
      </c>
      <c r="E61" s="34" t="s">
        <v>302</v>
      </c>
      <c r="F61" s="34" t="s">
        <v>48</v>
      </c>
      <c r="G61" s="214"/>
      <c r="H61" s="136"/>
      <c r="I61" s="136"/>
      <c r="J61" s="136"/>
      <c r="K61" s="136"/>
      <c r="L61" s="136"/>
      <c r="M61" s="136"/>
      <c r="N61" s="136"/>
      <c r="O61" s="137"/>
      <c r="P61" s="136"/>
      <c r="Q61" s="138"/>
      <c r="R61" s="138"/>
    </row>
    <row r="62" spans="1:18" ht="15" customHeight="1" thickBot="1" x14ac:dyDescent="0.35">
      <c r="A62" s="139" t="s">
        <v>54</v>
      </c>
      <c r="B62" s="139" t="s">
        <v>55</v>
      </c>
      <c r="C62" s="140" t="s">
        <v>291</v>
      </c>
      <c r="D62" s="139" t="s">
        <v>56</v>
      </c>
      <c r="E62" s="139" t="s">
        <v>303</v>
      </c>
      <c r="F62" s="139" t="s">
        <v>85</v>
      </c>
      <c r="G62" s="215"/>
      <c r="H62" s="141"/>
      <c r="I62" s="141"/>
      <c r="J62" s="141"/>
      <c r="K62" s="141"/>
      <c r="L62" s="141"/>
      <c r="M62" s="141"/>
      <c r="N62" s="141"/>
      <c r="O62" s="142"/>
      <c r="P62" s="141"/>
      <c r="Q62" s="143"/>
      <c r="R62" s="143"/>
    </row>
    <row r="63" spans="1:18" ht="17.399999999999999" customHeight="1" thickBot="1" x14ac:dyDescent="0.35">
      <c r="A63" s="221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3"/>
    </row>
    <row r="64" spans="1:18" ht="22.05" customHeight="1" thickTop="1" thickBot="1" x14ac:dyDescent="0.55000000000000004">
      <c r="A64" s="211" t="s">
        <v>8</v>
      </c>
      <c r="B64" s="212"/>
      <c r="C64" s="212"/>
      <c r="D64" s="212"/>
      <c r="E64" s="212"/>
      <c r="F64" s="212"/>
      <c r="G64" s="26">
        <v>46003</v>
      </c>
      <c r="H64" s="219" t="s">
        <v>9</v>
      </c>
      <c r="I64" s="220"/>
      <c r="J64" s="220"/>
      <c r="K64" s="220"/>
      <c r="L64" s="220"/>
      <c r="M64" s="220"/>
      <c r="N64" s="220"/>
      <c r="O64" s="220"/>
      <c r="P64" s="220"/>
      <c r="Q64" s="220"/>
      <c r="R64" s="220"/>
    </row>
    <row r="65" spans="1:18" ht="24" customHeight="1" x14ac:dyDescent="0.3">
      <c r="A65" s="27" t="s">
        <v>10</v>
      </c>
      <c r="B65" s="27" t="s">
        <v>11</v>
      </c>
      <c r="C65" s="28" t="s">
        <v>12</v>
      </c>
      <c r="D65" s="27" t="s">
        <v>13</v>
      </c>
      <c r="E65" s="27" t="s">
        <v>14</v>
      </c>
      <c r="F65" s="29" t="s">
        <v>15</v>
      </c>
      <c r="G65" s="30" t="s">
        <v>16</v>
      </c>
      <c r="H65" s="27" t="s">
        <v>17</v>
      </c>
      <c r="I65" s="31" t="s">
        <v>18</v>
      </c>
      <c r="J65" s="32" t="s">
        <v>19</v>
      </c>
      <c r="K65" s="33" t="s">
        <v>20</v>
      </c>
      <c r="L65" s="32" t="s">
        <v>21</v>
      </c>
      <c r="M65" s="32" t="s">
        <v>22</v>
      </c>
      <c r="N65" s="32" t="s">
        <v>23</v>
      </c>
      <c r="O65" s="27" t="s">
        <v>24</v>
      </c>
      <c r="P65" s="28" t="s">
        <v>25</v>
      </c>
      <c r="Q65" s="32" t="s">
        <v>26</v>
      </c>
      <c r="R65" s="27" t="s">
        <v>27</v>
      </c>
    </row>
    <row r="66" spans="1:18" ht="15" customHeight="1" x14ac:dyDescent="0.3">
      <c r="A66" s="81" t="s">
        <v>76</v>
      </c>
      <c r="B66" s="81" t="s">
        <v>295</v>
      </c>
      <c r="C66" s="82">
        <v>0.29166666666666669</v>
      </c>
      <c r="D66" s="81" t="s">
        <v>296</v>
      </c>
      <c r="E66" s="144"/>
      <c r="F66" s="81" t="s">
        <v>317</v>
      </c>
      <c r="G66" s="213"/>
      <c r="H66" s="83" t="s">
        <v>298</v>
      </c>
      <c r="I66" s="84">
        <v>0.13100000000000001</v>
      </c>
      <c r="J66" s="85">
        <v>22</v>
      </c>
      <c r="K66" s="86">
        <v>45984</v>
      </c>
      <c r="L66" s="85">
        <v>7</v>
      </c>
      <c r="M66" s="85">
        <v>2</v>
      </c>
      <c r="N66" s="85">
        <v>0</v>
      </c>
      <c r="O66" s="87" t="s">
        <v>258</v>
      </c>
      <c r="P66" s="88">
        <v>0.29166666666666669</v>
      </c>
      <c r="Q66" s="85">
        <v>168</v>
      </c>
      <c r="R66" s="89" t="s">
        <v>321</v>
      </c>
    </row>
    <row r="67" spans="1:18" ht="18" x14ac:dyDescent="0.3">
      <c r="A67" s="242" t="s">
        <v>301</v>
      </c>
      <c r="B67" s="243"/>
      <c r="C67" s="243"/>
      <c r="D67" s="243"/>
      <c r="E67" s="243"/>
      <c r="F67" s="243"/>
      <c r="G67" s="214"/>
      <c r="H67" s="136"/>
      <c r="I67" s="136"/>
      <c r="J67" s="136"/>
      <c r="K67" s="136"/>
      <c r="L67" s="136"/>
      <c r="M67" s="136"/>
      <c r="N67" s="136"/>
      <c r="O67" s="137"/>
      <c r="P67" s="136"/>
      <c r="Q67" s="138"/>
      <c r="R67" s="138"/>
    </row>
    <row r="68" spans="1:18" ht="15" customHeight="1" x14ac:dyDescent="0.3">
      <c r="A68" s="34" t="s">
        <v>43</v>
      </c>
      <c r="B68" s="34" t="s">
        <v>44</v>
      </c>
      <c r="C68" s="35" t="s">
        <v>286</v>
      </c>
      <c r="D68" s="34" t="s">
        <v>106</v>
      </c>
      <c r="E68" s="34" t="s">
        <v>302</v>
      </c>
      <c r="F68" s="34" t="s">
        <v>114</v>
      </c>
      <c r="G68" s="214"/>
      <c r="H68" s="136"/>
      <c r="I68" s="136"/>
      <c r="J68" s="136"/>
      <c r="K68" s="136"/>
      <c r="L68" s="136"/>
      <c r="M68" s="136"/>
      <c r="N68" s="136"/>
      <c r="O68" s="137"/>
      <c r="P68" s="136"/>
      <c r="Q68" s="138"/>
      <c r="R68" s="138"/>
    </row>
    <row r="69" spans="1:18" ht="15" customHeight="1" x14ac:dyDescent="0.3">
      <c r="A69" s="34" t="s">
        <v>43</v>
      </c>
      <c r="B69" s="34" t="s">
        <v>52</v>
      </c>
      <c r="C69" s="35" t="s">
        <v>290</v>
      </c>
      <c r="D69" s="34" t="s">
        <v>106</v>
      </c>
      <c r="E69" s="34" t="s">
        <v>302</v>
      </c>
      <c r="F69" s="34" t="s">
        <v>114</v>
      </c>
      <c r="G69" s="214"/>
      <c r="H69" s="136"/>
      <c r="I69" s="136"/>
      <c r="J69" s="136"/>
      <c r="K69" s="136"/>
      <c r="L69" s="136"/>
      <c r="M69" s="136"/>
      <c r="N69" s="136"/>
      <c r="O69" s="137"/>
      <c r="P69" s="136"/>
      <c r="Q69" s="138"/>
      <c r="R69" s="138"/>
    </row>
    <row r="70" spans="1:18" ht="15" customHeight="1" x14ac:dyDescent="0.3">
      <c r="A70" s="34" t="s">
        <v>28</v>
      </c>
      <c r="B70" s="34" t="s">
        <v>47</v>
      </c>
      <c r="C70" s="35" t="s">
        <v>284</v>
      </c>
      <c r="D70" s="34" t="s">
        <v>30</v>
      </c>
      <c r="E70" s="34" t="s">
        <v>313</v>
      </c>
      <c r="F70" s="34" t="s">
        <v>48</v>
      </c>
      <c r="G70" s="214"/>
      <c r="H70" s="136"/>
      <c r="I70" s="136"/>
      <c r="J70" s="136"/>
      <c r="K70" s="136"/>
      <c r="L70" s="136"/>
      <c r="M70" s="136"/>
      <c r="N70" s="136"/>
      <c r="O70" s="137"/>
      <c r="P70" s="136"/>
      <c r="Q70" s="138"/>
      <c r="R70" s="138"/>
    </row>
    <row r="71" spans="1:18" ht="15" customHeight="1" x14ac:dyDescent="0.3">
      <c r="A71" s="34" t="s">
        <v>76</v>
      </c>
      <c r="B71" s="34" t="s">
        <v>77</v>
      </c>
      <c r="C71" s="35" t="s">
        <v>232</v>
      </c>
      <c r="D71" s="34" t="s">
        <v>30</v>
      </c>
      <c r="E71" s="34" t="s">
        <v>313</v>
      </c>
      <c r="F71" s="34" t="s">
        <v>149</v>
      </c>
      <c r="G71" s="214"/>
      <c r="H71" s="136"/>
      <c r="I71" s="136"/>
      <c r="J71" s="136"/>
      <c r="K71" s="136"/>
      <c r="L71" s="136"/>
      <c r="M71" s="136"/>
      <c r="N71" s="136"/>
      <c r="O71" s="137"/>
      <c r="P71" s="136"/>
      <c r="Q71" s="138"/>
      <c r="R71" s="138"/>
    </row>
    <row r="72" spans="1:18" ht="15" customHeight="1" x14ac:dyDescent="0.3">
      <c r="A72" s="34" t="s">
        <v>43</v>
      </c>
      <c r="B72" s="34" t="s">
        <v>50</v>
      </c>
      <c r="C72" s="35" t="s">
        <v>315</v>
      </c>
      <c r="D72" s="34" t="s">
        <v>45</v>
      </c>
      <c r="E72" s="34" t="s">
        <v>302</v>
      </c>
      <c r="F72" s="34" t="s">
        <v>148</v>
      </c>
      <c r="G72" s="214"/>
      <c r="H72" s="136"/>
      <c r="I72" s="136"/>
      <c r="J72" s="136"/>
      <c r="K72" s="136"/>
      <c r="L72" s="136"/>
      <c r="M72" s="136"/>
      <c r="N72" s="136"/>
      <c r="O72" s="137"/>
      <c r="P72" s="136"/>
      <c r="Q72" s="138"/>
      <c r="R72" s="138"/>
    </row>
    <row r="73" spans="1:18" ht="15" customHeight="1" thickBot="1" x14ac:dyDescent="0.35">
      <c r="A73" s="139" t="s">
        <v>54</v>
      </c>
      <c r="B73" s="139" t="s">
        <v>55</v>
      </c>
      <c r="C73" s="140" t="s">
        <v>291</v>
      </c>
      <c r="D73" s="139" t="s">
        <v>56</v>
      </c>
      <c r="E73" s="139" t="s">
        <v>303</v>
      </c>
      <c r="F73" s="139" t="s">
        <v>85</v>
      </c>
      <c r="G73" s="215"/>
      <c r="H73" s="141"/>
      <c r="I73" s="141"/>
      <c r="J73" s="141"/>
      <c r="K73" s="141"/>
      <c r="L73" s="141"/>
      <c r="M73" s="141"/>
      <c r="N73" s="141"/>
      <c r="O73" s="142"/>
      <c r="P73" s="141"/>
      <c r="Q73" s="143"/>
      <c r="R73" s="143"/>
    </row>
    <row r="74" spans="1:18" ht="17.399999999999999" customHeight="1" thickBot="1" x14ac:dyDescent="0.35">
      <c r="A74" s="221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3"/>
    </row>
    <row r="75" spans="1:18" ht="22.05" customHeight="1" thickTop="1" thickBot="1" x14ac:dyDescent="0.55000000000000004">
      <c r="A75" s="211" t="s">
        <v>8</v>
      </c>
      <c r="B75" s="212"/>
      <c r="C75" s="212"/>
      <c r="D75" s="212"/>
      <c r="E75" s="212"/>
      <c r="F75" s="212"/>
      <c r="G75" s="26">
        <v>46006</v>
      </c>
      <c r="H75" s="219" t="s">
        <v>9</v>
      </c>
      <c r="I75" s="220"/>
      <c r="J75" s="220"/>
      <c r="K75" s="220"/>
      <c r="L75" s="220"/>
      <c r="M75" s="220"/>
      <c r="N75" s="220"/>
      <c r="O75" s="220"/>
      <c r="P75" s="220"/>
      <c r="Q75" s="220"/>
      <c r="R75" s="220"/>
    </row>
    <row r="76" spans="1:18" ht="24" customHeight="1" x14ac:dyDescent="0.3">
      <c r="A76" s="27" t="s">
        <v>10</v>
      </c>
      <c r="B76" s="27" t="s">
        <v>11</v>
      </c>
      <c r="C76" s="28" t="s">
        <v>12</v>
      </c>
      <c r="D76" s="27" t="s">
        <v>13</v>
      </c>
      <c r="E76" s="27" t="s">
        <v>14</v>
      </c>
      <c r="F76" s="29" t="s">
        <v>15</v>
      </c>
      <c r="G76" s="30" t="s">
        <v>16</v>
      </c>
      <c r="H76" s="27" t="s">
        <v>17</v>
      </c>
      <c r="I76" s="31" t="s">
        <v>18</v>
      </c>
      <c r="J76" s="32" t="s">
        <v>19</v>
      </c>
      <c r="K76" s="33" t="s">
        <v>20</v>
      </c>
      <c r="L76" s="32" t="s">
        <v>21</v>
      </c>
      <c r="M76" s="32" t="s">
        <v>22</v>
      </c>
      <c r="N76" s="32" t="s">
        <v>23</v>
      </c>
      <c r="O76" s="27" t="s">
        <v>24</v>
      </c>
      <c r="P76" s="28" t="s">
        <v>25</v>
      </c>
      <c r="Q76" s="32" t="s">
        <v>26</v>
      </c>
      <c r="R76" s="27" t="s">
        <v>27</v>
      </c>
    </row>
    <row r="77" spans="1:18" ht="15" customHeight="1" x14ac:dyDescent="0.3">
      <c r="A77" s="81" t="s">
        <v>76</v>
      </c>
      <c r="B77" s="81" t="s">
        <v>295</v>
      </c>
      <c r="C77" s="82">
        <v>0.51041666666666663</v>
      </c>
      <c r="D77" s="81" t="s">
        <v>30</v>
      </c>
      <c r="E77" s="81" t="s">
        <v>94</v>
      </c>
      <c r="F77" s="81" t="s">
        <v>319</v>
      </c>
      <c r="G77" s="233"/>
      <c r="H77" s="83" t="s">
        <v>298</v>
      </c>
      <c r="I77" s="84">
        <v>0.13689999999999999</v>
      </c>
      <c r="J77" s="85">
        <v>23</v>
      </c>
      <c r="K77" s="86">
        <v>45983</v>
      </c>
      <c r="L77" s="85">
        <v>14</v>
      </c>
      <c r="M77" s="85">
        <v>0</v>
      </c>
      <c r="N77" s="85">
        <v>11</v>
      </c>
      <c r="O77" s="87" t="s">
        <v>243</v>
      </c>
      <c r="P77" s="88">
        <v>0.51041666666666663</v>
      </c>
      <c r="Q77" s="85">
        <v>168</v>
      </c>
      <c r="R77" s="89" t="s">
        <v>322</v>
      </c>
    </row>
    <row r="78" spans="1:18" ht="18" x14ac:dyDescent="0.3">
      <c r="A78" s="242" t="s">
        <v>301</v>
      </c>
      <c r="B78" s="243"/>
      <c r="C78" s="243"/>
      <c r="D78" s="243"/>
      <c r="E78" s="243"/>
      <c r="F78" s="243"/>
      <c r="G78" s="214"/>
      <c r="H78" s="136"/>
      <c r="I78" s="136"/>
      <c r="J78" s="136"/>
      <c r="K78" s="136"/>
      <c r="L78" s="136"/>
      <c r="M78" s="136"/>
      <c r="N78" s="136"/>
      <c r="O78" s="137"/>
      <c r="P78" s="136"/>
      <c r="Q78" s="138"/>
      <c r="R78" s="138"/>
    </row>
    <row r="79" spans="1:18" ht="15" customHeight="1" x14ac:dyDescent="0.3">
      <c r="A79" s="34" t="s">
        <v>43</v>
      </c>
      <c r="B79" s="34" t="s">
        <v>44</v>
      </c>
      <c r="C79" s="35" t="s">
        <v>286</v>
      </c>
      <c r="D79" s="34" t="s">
        <v>106</v>
      </c>
      <c r="E79" s="34" t="s">
        <v>302</v>
      </c>
      <c r="F79" s="34" t="s">
        <v>114</v>
      </c>
      <c r="G79" s="214"/>
      <c r="H79" s="136"/>
      <c r="I79" s="136"/>
      <c r="J79" s="136"/>
      <c r="K79" s="136"/>
      <c r="L79" s="136"/>
      <c r="M79" s="136"/>
      <c r="N79" s="136"/>
      <c r="O79" s="137"/>
      <c r="P79" s="136"/>
      <c r="Q79" s="138"/>
      <c r="R79" s="138"/>
    </row>
    <row r="80" spans="1:18" ht="15" customHeight="1" x14ac:dyDescent="0.3">
      <c r="A80" s="34" t="s">
        <v>43</v>
      </c>
      <c r="B80" s="34" t="s">
        <v>50</v>
      </c>
      <c r="C80" s="35" t="s">
        <v>315</v>
      </c>
      <c r="D80" s="34" t="s">
        <v>106</v>
      </c>
      <c r="E80" s="34" t="s">
        <v>302</v>
      </c>
      <c r="F80" s="34" t="s">
        <v>114</v>
      </c>
      <c r="G80" s="214"/>
      <c r="H80" s="136"/>
      <c r="I80" s="136"/>
      <c r="J80" s="136"/>
      <c r="K80" s="136"/>
      <c r="L80" s="136"/>
      <c r="M80" s="136"/>
      <c r="N80" s="136"/>
      <c r="O80" s="137"/>
      <c r="P80" s="136"/>
      <c r="Q80" s="138"/>
      <c r="R80" s="138"/>
    </row>
    <row r="81" spans="1:18" ht="15" customHeight="1" x14ac:dyDescent="0.3">
      <c r="A81" s="34" t="s">
        <v>43</v>
      </c>
      <c r="B81" s="34" t="s">
        <v>52</v>
      </c>
      <c r="C81" s="35" t="s">
        <v>290</v>
      </c>
      <c r="D81" s="34" t="s">
        <v>106</v>
      </c>
      <c r="E81" s="34" t="s">
        <v>302</v>
      </c>
      <c r="F81" s="34" t="s">
        <v>114</v>
      </c>
      <c r="G81" s="214"/>
      <c r="H81" s="136"/>
      <c r="I81" s="136"/>
      <c r="J81" s="136"/>
      <c r="K81" s="136"/>
      <c r="L81" s="136"/>
      <c r="M81" s="136"/>
      <c r="N81" s="136"/>
      <c r="O81" s="137"/>
      <c r="P81" s="136"/>
      <c r="Q81" s="138"/>
      <c r="R81" s="138"/>
    </row>
    <row r="82" spans="1:18" ht="15" customHeight="1" x14ac:dyDescent="0.3">
      <c r="A82" s="34" t="s">
        <v>28</v>
      </c>
      <c r="B82" s="34" t="s">
        <v>47</v>
      </c>
      <c r="C82" s="35" t="s">
        <v>284</v>
      </c>
      <c r="D82" s="34" t="s">
        <v>30</v>
      </c>
      <c r="E82" s="34" t="s">
        <v>303</v>
      </c>
      <c r="F82" s="34" t="s">
        <v>48</v>
      </c>
      <c r="G82" s="214"/>
      <c r="H82" s="136"/>
      <c r="I82" s="136"/>
      <c r="J82" s="136"/>
      <c r="K82" s="136"/>
      <c r="L82" s="136"/>
      <c r="M82" s="136"/>
      <c r="N82" s="136"/>
      <c r="O82" s="137"/>
      <c r="P82" s="136"/>
      <c r="Q82" s="138"/>
      <c r="R82" s="138"/>
    </row>
    <row r="83" spans="1:18" ht="15" customHeight="1" thickBot="1" x14ac:dyDescent="0.35">
      <c r="A83" s="139" t="s">
        <v>54</v>
      </c>
      <c r="B83" s="139" t="s">
        <v>55</v>
      </c>
      <c r="C83" s="140" t="s">
        <v>291</v>
      </c>
      <c r="D83" s="139" t="s">
        <v>56</v>
      </c>
      <c r="E83" s="139" t="s">
        <v>303</v>
      </c>
      <c r="F83" s="139" t="s">
        <v>118</v>
      </c>
      <c r="G83" s="215"/>
      <c r="H83" s="141"/>
      <c r="I83" s="141"/>
      <c r="J83" s="141"/>
      <c r="K83" s="141"/>
      <c r="L83" s="141"/>
      <c r="M83" s="141"/>
      <c r="N83" s="141"/>
      <c r="O83" s="142"/>
      <c r="P83" s="141"/>
      <c r="Q83" s="143"/>
      <c r="R83" s="143"/>
    </row>
    <row r="84" spans="1:18" ht="17.399999999999999" customHeight="1" thickBot="1" x14ac:dyDescent="0.35">
      <c r="A84" s="221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3"/>
    </row>
    <row r="85" spans="1:18" ht="22.05" customHeight="1" thickTop="1" thickBot="1" x14ac:dyDescent="0.55000000000000004">
      <c r="A85" s="211" t="s">
        <v>8</v>
      </c>
      <c r="B85" s="212"/>
      <c r="C85" s="212"/>
      <c r="D85" s="212"/>
      <c r="E85" s="212"/>
      <c r="F85" s="212"/>
      <c r="G85" s="26">
        <v>46010</v>
      </c>
      <c r="H85" s="219" t="s">
        <v>9</v>
      </c>
      <c r="I85" s="220"/>
      <c r="J85" s="220"/>
      <c r="K85" s="220"/>
      <c r="L85" s="220"/>
      <c r="M85" s="220"/>
      <c r="N85" s="220"/>
      <c r="O85" s="220"/>
      <c r="P85" s="220"/>
      <c r="Q85" s="220"/>
      <c r="R85" s="220"/>
    </row>
    <row r="86" spans="1:18" ht="24" customHeight="1" x14ac:dyDescent="0.3">
      <c r="A86" s="27" t="s">
        <v>10</v>
      </c>
      <c r="B86" s="27" t="s">
        <v>11</v>
      </c>
      <c r="C86" s="28" t="s">
        <v>12</v>
      </c>
      <c r="D86" s="27" t="s">
        <v>13</v>
      </c>
      <c r="E86" s="27" t="s">
        <v>14</v>
      </c>
      <c r="F86" s="29" t="s">
        <v>15</v>
      </c>
      <c r="G86" s="30" t="s">
        <v>16</v>
      </c>
      <c r="H86" s="27" t="s">
        <v>17</v>
      </c>
      <c r="I86" s="31" t="s">
        <v>18</v>
      </c>
      <c r="J86" s="32" t="s">
        <v>19</v>
      </c>
      <c r="K86" s="33" t="s">
        <v>20</v>
      </c>
      <c r="L86" s="32" t="s">
        <v>21</v>
      </c>
      <c r="M86" s="32" t="s">
        <v>22</v>
      </c>
      <c r="N86" s="32" t="s">
        <v>23</v>
      </c>
      <c r="O86" s="27" t="s">
        <v>24</v>
      </c>
      <c r="P86" s="28" t="s">
        <v>25</v>
      </c>
      <c r="Q86" s="32" t="s">
        <v>26</v>
      </c>
      <c r="R86" s="27" t="s">
        <v>27</v>
      </c>
    </row>
    <row r="87" spans="1:18" ht="15" customHeight="1" x14ac:dyDescent="0.3">
      <c r="A87" s="99" t="s">
        <v>76</v>
      </c>
      <c r="B87" s="99" t="s">
        <v>295</v>
      </c>
      <c r="C87" s="100">
        <v>0.29166666666666669</v>
      </c>
      <c r="D87" s="99" t="s">
        <v>30</v>
      </c>
      <c r="E87" s="99" t="s">
        <v>78</v>
      </c>
      <c r="F87" s="99" t="s">
        <v>323</v>
      </c>
      <c r="G87" s="233"/>
      <c r="H87" s="101" t="s">
        <v>298</v>
      </c>
      <c r="I87" s="102">
        <v>8.3299999999999999E-2</v>
      </c>
      <c r="J87" s="103">
        <v>14</v>
      </c>
      <c r="K87" s="104">
        <v>45984</v>
      </c>
      <c r="L87" s="103">
        <v>4</v>
      </c>
      <c r="M87" s="103">
        <v>2</v>
      </c>
      <c r="N87" s="103">
        <v>0</v>
      </c>
      <c r="O87" s="105" t="s">
        <v>269</v>
      </c>
      <c r="P87" s="106">
        <v>0.29166666666666669</v>
      </c>
      <c r="Q87" s="103">
        <v>168</v>
      </c>
      <c r="R87" s="107" t="s">
        <v>324</v>
      </c>
    </row>
    <row r="88" spans="1:18" ht="18" x14ac:dyDescent="0.3">
      <c r="A88" s="242" t="s">
        <v>301</v>
      </c>
      <c r="B88" s="243"/>
      <c r="C88" s="243"/>
      <c r="D88" s="243"/>
      <c r="E88" s="243"/>
      <c r="F88" s="243"/>
      <c r="G88" s="214"/>
      <c r="H88" s="136"/>
      <c r="I88" s="136"/>
      <c r="J88" s="136"/>
      <c r="K88" s="136"/>
      <c r="L88" s="136"/>
      <c r="M88" s="136"/>
      <c r="N88" s="136"/>
      <c r="O88" s="137"/>
      <c r="P88" s="136"/>
      <c r="Q88" s="138"/>
      <c r="R88" s="138"/>
    </row>
    <row r="89" spans="1:18" ht="15" customHeight="1" x14ac:dyDescent="0.3">
      <c r="A89" s="34" t="s">
        <v>43</v>
      </c>
      <c r="B89" s="34" t="s">
        <v>52</v>
      </c>
      <c r="C89" s="35" t="s">
        <v>290</v>
      </c>
      <c r="D89" s="34" t="s">
        <v>91</v>
      </c>
      <c r="E89" s="34" t="s">
        <v>302</v>
      </c>
      <c r="F89" s="34" t="s">
        <v>108</v>
      </c>
      <c r="G89" s="214"/>
      <c r="H89" s="136"/>
      <c r="I89" s="136"/>
      <c r="J89" s="136"/>
      <c r="K89" s="136"/>
      <c r="L89" s="136"/>
      <c r="M89" s="136"/>
      <c r="N89" s="136"/>
      <c r="O89" s="137"/>
      <c r="P89" s="136"/>
      <c r="Q89" s="138"/>
      <c r="R89" s="138"/>
    </row>
    <row r="90" spans="1:18" ht="15" customHeight="1" x14ac:dyDescent="0.3">
      <c r="A90" s="34" t="s">
        <v>28</v>
      </c>
      <c r="B90" s="34" t="s">
        <v>47</v>
      </c>
      <c r="C90" s="35" t="s">
        <v>284</v>
      </c>
      <c r="D90" s="34" t="s">
        <v>30</v>
      </c>
      <c r="E90" s="34" t="s">
        <v>313</v>
      </c>
      <c r="F90" s="34" t="s">
        <v>48</v>
      </c>
      <c r="G90" s="214"/>
      <c r="H90" s="136"/>
      <c r="I90" s="136"/>
      <c r="J90" s="136"/>
      <c r="K90" s="136"/>
      <c r="L90" s="136"/>
      <c r="M90" s="136"/>
      <c r="N90" s="136"/>
      <c r="O90" s="137"/>
      <c r="P90" s="136"/>
      <c r="Q90" s="138"/>
      <c r="R90" s="138"/>
    </row>
    <row r="91" spans="1:18" ht="15" customHeight="1" x14ac:dyDescent="0.3">
      <c r="A91" s="34" t="s">
        <v>76</v>
      </c>
      <c r="B91" s="34" t="s">
        <v>77</v>
      </c>
      <c r="C91" s="35" t="s">
        <v>232</v>
      </c>
      <c r="D91" s="34" t="s">
        <v>30</v>
      </c>
      <c r="E91" s="34" t="s">
        <v>302</v>
      </c>
      <c r="F91" s="34" t="s">
        <v>110</v>
      </c>
      <c r="G91" s="214"/>
      <c r="H91" s="136"/>
      <c r="I91" s="136"/>
      <c r="J91" s="136"/>
      <c r="K91" s="136"/>
      <c r="L91" s="136"/>
      <c r="M91" s="136"/>
      <c r="N91" s="136"/>
      <c r="O91" s="137"/>
      <c r="P91" s="136"/>
      <c r="Q91" s="138"/>
      <c r="R91" s="138"/>
    </row>
    <row r="92" spans="1:18" ht="15" customHeight="1" x14ac:dyDescent="0.3">
      <c r="A92" s="34" t="s">
        <v>43</v>
      </c>
      <c r="B92" s="34" t="s">
        <v>44</v>
      </c>
      <c r="C92" s="35" t="s">
        <v>286</v>
      </c>
      <c r="D92" s="34" t="s">
        <v>45</v>
      </c>
      <c r="E92" s="34" t="s">
        <v>302</v>
      </c>
      <c r="F92" s="34" t="s">
        <v>155</v>
      </c>
      <c r="G92" s="214"/>
      <c r="H92" s="136"/>
      <c r="I92" s="136"/>
      <c r="J92" s="136"/>
      <c r="K92" s="136"/>
      <c r="L92" s="136"/>
      <c r="M92" s="136"/>
      <c r="N92" s="136"/>
      <c r="O92" s="137"/>
      <c r="P92" s="136"/>
      <c r="Q92" s="138"/>
      <c r="R92" s="138"/>
    </row>
    <row r="93" spans="1:18" ht="15" customHeight="1" x14ac:dyDescent="0.3">
      <c r="A93" s="34" t="s">
        <v>43</v>
      </c>
      <c r="B93" s="34" t="s">
        <v>50</v>
      </c>
      <c r="C93" s="35" t="s">
        <v>315</v>
      </c>
      <c r="D93" s="34" t="s">
        <v>45</v>
      </c>
      <c r="E93" s="34" t="s">
        <v>302</v>
      </c>
      <c r="F93" s="34" t="s">
        <v>169</v>
      </c>
      <c r="G93" s="214"/>
      <c r="H93" s="136"/>
      <c r="I93" s="136"/>
      <c r="J93" s="136"/>
      <c r="K93" s="136"/>
      <c r="L93" s="136"/>
      <c r="M93" s="136"/>
      <c r="N93" s="136"/>
      <c r="O93" s="137"/>
      <c r="P93" s="136"/>
      <c r="Q93" s="138"/>
      <c r="R93" s="138"/>
    </row>
    <row r="94" spans="1:18" ht="15" customHeight="1" thickBot="1" x14ac:dyDescent="0.35">
      <c r="A94" s="139" t="s">
        <v>54</v>
      </c>
      <c r="B94" s="139" t="s">
        <v>55</v>
      </c>
      <c r="C94" s="140" t="s">
        <v>291</v>
      </c>
      <c r="D94" s="139" t="s">
        <v>56</v>
      </c>
      <c r="E94" s="139" t="s">
        <v>303</v>
      </c>
      <c r="F94" s="139" t="s">
        <v>85</v>
      </c>
      <c r="G94" s="215"/>
      <c r="H94" s="141"/>
      <c r="I94" s="141"/>
      <c r="J94" s="141"/>
      <c r="K94" s="141"/>
      <c r="L94" s="141"/>
      <c r="M94" s="141"/>
      <c r="N94" s="141"/>
      <c r="O94" s="142"/>
      <c r="P94" s="141"/>
      <c r="Q94" s="143"/>
      <c r="R94" s="143"/>
    </row>
    <row r="95" spans="1:18" ht="17.399999999999999" customHeight="1" thickBot="1" x14ac:dyDescent="0.35">
      <c r="A95" s="221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3"/>
    </row>
    <row r="96" spans="1:18" ht="22.05" customHeight="1" thickTop="1" thickBot="1" x14ac:dyDescent="0.55000000000000004">
      <c r="A96" s="211" t="s">
        <v>8</v>
      </c>
      <c r="B96" s="212"/>
      <c r="C96" s="212"/>
      <c r="D96" s="212"/>
      <c r="E96" s="212"/>
      <c r="F96" s="212"/>
      <c r="G96" s="26">
        <v>46013</v>
      </c>
      <c r="H96" s="219" t="s">
        <v>9</v>
      </c>
      <c r="I96" s="220"/>
      <c r="J96" s="220"/>
      <c r="K96" s="220"/>
      <c r="L96" s="220"/>
      <c r="M96" s="220"/>
      <c r="N96" s="220"/>
      <c r="O96" s="220"/>
      <c r="P96" s="220"/>
      <c r="Q96" s="220"/>
      <c r="R96" s="220"/>
    </row>
    <row r="97" spans="1:18" ht="24" customHeight="1" x14ac:dyDescent="0.3">
      <c r="A97" s="27" t="s">
        <v>10</v>
      </c>
      <c r="B97" s="27" t="s">
        <v>11</v>
      </c>
      <c r="C97" s="28" t="s">
        <v>12</v>
      </c>
      <c r="D97" s="27" t="s">
        <v>13</v>
      </c>
      <c r="E97" s="27" t="s">
        <v>14</v>
      </c>
      <c r="F97" s="29" t="s">
        <v>15</v>
      </c>
      <c r="G97" s="30" t="s">
        <v>16</v>
      </c>
      <c r="H97" s="27" t="s">
        <v>17</v>
      </c>
      <c r="I97" s="31" t="s">
        <v>18</v>
      </c>
      <c r="J97" s="32" t="s">
        <v>19</v>
      </c>
      <c r="K97" s="33" t="s">
        <v>20</v>
      </c>
      <c r="L97" s="32" t="s">
        <v>21</v>
      </c>
      <c r="M97" s="32" t="s">
        <v>22</v>
      </c>
      <c r="N97" s="32" t="s">
        <v>23</v>
      </c>
      <c r="O97" s="27" t="s">
        <v>24</v>
      </c>
      <c r="P97" s="28" t="s">
        <v>25</v>
      </c>
      <c r="Q97" s="32" t="s">
        <v>26</v>
      </c>
      <c r="R97" s="27" t="s">
        <v>27</v>
      </c>
    </row>
    <row r="98" spans="1:18" ht="15" customHeight="1" x14ac:dyDescent="0.3">
      <c r="A98" s="81" t="s">
        <v>76</v>
      </c>
      <c r="B98" s="81" t="s">
        <v>295</v>
      </c>
      <c r="C98" s="82">
        <v>0.51041666666666663</v>
      </c>
      <c r="D98" s="81" t="s">
        <v>296</v>
      </c>
      <c r="E98" s="144"/>
      <c r="F98" s="81" t="s">
        <v>317</v>
      </c>
      <c r="G98" s="213"/>
      <c r="H98" s="83" t="s">
        <v>298</v>
      </c>
      <c r="I98" s="84">
        <v>8.3299999999999999E-2</v>
      </c>
      <c r="J98" s="85">
        <v>14</v>
      </c>
      <c r="K98" s="86">
        <v>45977</v>
      </c>
      <c r="L98" s="85">
        <v>1</v>
      </c>
      <c r="M98" s="85">
        <v>0</v>
      </c>
      <c r="N98" s="85">
        <v>0</v>
      </c>
      <c r="O98" s="87" t="s">
        <v>325</v>
      </c>
      <c r="P98" s="88">
        <v>0.51041666666666663</v>
      </c>
      <c r="Q98" s="85">
        <v>168</v>
      </c>
      <c r="R98" s="89" t="s">
        <v>326</v>
      </c>
    </row>
    <row r="99" spans="1:18" ht="18" x14ac:dyDescent="0.3">
      <c r="A99" s="242" t="s">
        <v>301</v>
      </c>
      <c r="B99" s="243"/>
      <c r="C99" s="243"/>
      <c r="D99" s="243"/>
      <c r="E99" s="243"/>
      <c r="F99" s="243"/>
      <c r="G99" s="214"/>
      <c r="H99" s="136"/>
      <c r="I99" s="136"/>
      <c r="J99" s="136"/>
      <c r="K99" s="136"/>
      <c r="L99" s="136"/>
      <c r="M99" s="136"/>
      <c r="N99" s="136"/>
      <c r="O99" s="137"/>
      <c r="P99" s="136"/>
      <c r="Q99" s="138"/>
      <c r="R99" s="138"/>
    </row>
    <row r="100" spans="1:18" ht="15" customHeight="1" x14ac:dyDescent="0.3">
      <c r="A100" s="34" t="s">
        <v>59</v>
      </c>
      <c r="B100" s="34" t="s">
        <v>60</v>
      </c>
      <c r="C100" s="35" t="s">
        <v>291</v>
      </c>
      <c r="D100" s="34" t="s">
        <v>61</v>
      </c>
      <c r="E100" s="34" t="s">
        <v>306</v>
      </c>
      <c r="F100" s="34" t="s">
        <v>95</v>
      </c>
      <c r="G100" s="214"/>
      <c r="H100" s="136"/>
      <c r="I100" s="136"/>
      <c r="J100" s="136"/>
      <c r="K100" s="136"/>
      <c r="L100" s="136"/>
      <c r="M100" s="136"/>
      <c r="N100" s="136"/>
      <c r="O100" s="137"/>
      <c r="P100" s="136"/>
      <c r="Q100" s="138"/>
      <c r="R100" s="138"/>
    </row>
    <row r="101" spans="1:18" ht="15" customHeight="1" x14ac:dyDescent="0.3">
      <c r="A101" s="34" t="s">
        <v>33</v>
      </c>
      <c r="B101" s="34" t="s">
        <v>34</v>
      </c>
      <c r="C101" s="35" t="s">
        <v>314</v>
      </c>
      <c r="D101" s="34" t="s">
        <v>35</v>
      </c>
      <c r="E101" s="34" t="s">
        <v>306</v>
      </c>
      <c r="F101" s="34" t="s">
        <v>98</v>
      </c>
      <c r="G101" s="214"/>
      <c r="H101" s="136"/>
      <c r="I101" s="136"/>
      <c r="J101" s="136"/>
      <c r="K101" s="136"/>
      <c r="L101" s="136"/>
      <c r="M101" s="136"/>
      <c r="N101" s="136"/>
      <c r="O101" s="137"/>
      <c r="P101" s="136"/>
      <c r="Q101" s="138"/>
      <c r="R101" s="138"/>
    </row>
    <row r="102" spans="1:18" ht="15" customHeight="1" x14ac:dyDescent="0.3">
      <c r="A102" s="34" t="s">
        <v>33</v>
      </c>
      <c r="B102" s="34" t="s">
        <v>68</v>
      </c>
      <c r="C102" s="35" t="s">
        <v>311</v>
      </c>
      <c r="D102" s="34" t="s">
        <v>35</v>
      </c>
      <c r="E102" s="34" t="s">
        <v>327</v>
      </c>
      <c r="F102" s="34" t="s">
        <v>98</v>
      </c>
      <c r="G102" s="214"/>
      <c r="H102" s="136"/>
      <c r="I102" s="136"/>
      <c r="J102" s="136"/>
      <c r="K102" s="136"/>
      <c r="L102" s="136"/>
      <c r="M102" s="136"/>
      <c r="N102" s="136"/>
      <c r="O102" s="137"/>
      <c r="P102" s="136"/>
      <c r="Q102" s="138"/>
      <c r="R102" s="138"/>
    </row>
    <row r="103" spans="1:18" ht="15" customHeight="1" x14ac:dyDescent="0.3">
      <c r="A103" s="34" t="s">
        <v>102</v>
      </c>
      <c r="B103" s="34" t="s">
        <v>105</v>
      </c>
      <c r="C103" s="35" t="s">
        <v>312</v>
      </c>
      <c r="D103" s="34" t="s">
        <v>30</v>
      </c>
      <c r="E103" s="34" t="s">
        <v>328</v>
      </c>
      <c r="F103" s="34" t="s">
        <v>144</v>
      </c>
      <c r="G103" s="214"/>
      <c r="H103" s="136"/>
      <c r="I103" s="136"/>
      <c r="J103" s="136"/>
      <c r="K103" s="136"/>
      <c r="L103" s="136"/>
      <c r="M103" s="136"/>
      <c r="N103" s="136"/>
      <c r="O103" s="137"/>
      <c r="P103" s="136"/>
      <c r="Q103" s="138"/>
      <c r="R103" s="138"/>
    </row>
    <row r="104" spans="1:18" ht="15" customHeight="1" x14ac:dyDescent="0.3">
      <c r="A104" s="34" t="s">
        <v>43</v>
      </c>
      <c r="B104" s="34" t="s">
        <v>44</v>
      </c>
      <c r="C104" s="35" t="s">
        <v>286</v>
      </c>
      <c r="D104" s="34" t="s">
        <v>91</v>
      </c>
      <c r="E104" s="34" t="s">
        <v>302</v>
      </c>
      <c r="F104" s="34" t="s">
        <v>108</v>
      </c>
      <c r="G104" s="214"/>
      <c r="H104" s="136"/>
      <c r="I104" s="136"/>
      <c r="J104" s="136"/>
      <c r="K104" s="136"/>
      <c r="L104" s="136"/>
      <c r="M104" s="136"/>
      <c r="N104" s="136"/>
      <c r="O104" s="137"/>
      <c r="P104" s="136"/>
      <c r="Q104" s="138"/>
      <c r="R104" s="138"/>
    </row>
    <row r="105" spans="1:18" ht="15" customHeight="1" x14ac:dyDescent="0.3">
      <c r="A105" s="34" t="s">
        <v>43</v>
      </c>
      <c r="B105" s="34" t="s">
        <v>50</v>
      </c>
      <c r="C105" s="35" t="s">
        <v>315</v>
      </c>
      <c r="D105" s="34" t="s">
        <v>91</v>
      </c>
      <c r="E105" s="34" t="s">
        <v>302</v>
      </c>
      <c r="F105" s="34" t="s">
        <v>108</v>
      </c>
      <c r="G105" s="214"/>
      <c r="H105" s="136"/>
      <c r="I105" s="136"/>
      <c r="J105" s="136"/>
      <c r="K105" s="136"/>
      <c r="L105" s="136"/>
      <c r="M105" s="136"/>
      <c r="N105" s="136"/>
      <c r="O105" s="137"/>
      <c r="P105" s="136"/>
      <c r="Q105" s="138"/>
      <c r="R105" s="138"/>
    </row>
    <row r="106" spans="1:18" ht="15" customHeight="1" x14ac:dyDescent="0.3">
      <c r="A106" s="34" t="s">
        <v>43</v>
      </c>
      <c r="B106" s="34" t="s">
        <v>52</v>
      </c>
      <c r="C106" s="35" t="s">
        <v>290</v>
      </c>
      <c r="D106" s="34" t="s">
        <v>91</v>
      </c>
      <c r="E106" s="34" t="s">
        <v>302</v>
      </c>
      <c r="F106" s="34" t="s">
        <v>108</v>
      </c>
      <c r="G106" s="214"/>
      <c r="H106" s="136"/>
      <c r="I106" s="136"/>
      <c r="J106" s="136"/>
      <c r="K106" s="136"/>
      <c r="L106" s="136"/>
      <c r="M106" s="136"/>
      <c r="N106" s="136"/>
      <c r="O106" s="137"/>
      <c r="P106" s="136"/>
      <c r="Q106" s="138"/>
      <c r="R106" s="138"/>
    </row>
    <row r="107" spans="1:18" ht="15" customHeight="1" x14ac:dyDescent="0.3">
      <c r="A107" s="34" t="s">
        <v>28</v>
      </c>
      <c r="B107" s="34" t="s">
        <v>47</v>
      </c>
      <c r="C107" s="35" t="s">
        <v>284</v>
      </c>
      <c r="D107" s="34" t="s">
        <v>30</v>
      </c>
      <c r="E107" s="34" t="s">
        <v>302</v>
      </c>
      <c r="F107" s="34" t="s">
        <v>48</v>
      </c>
      <c r="G107" s="214"/>
      <c r="H107" s="136"/>
      <c r="I107" s="136"/>
      <c r="J107" s="136"/>
      <c r="K107" s="136"/>
      <c r="L107" s="136"/>
      <c r="M107" s="136"/>
      <c r="N107" s="136"/>
      <c r="O107" s="137"/>
      <c r="P107" s="136"/>
      <c r="Q107" s="138"/>
      <c r="R107" s="138"/>
    </row>
    <row r="108" spans="1:18" ht="15" customHeight="1" x14ac:dyDescent="0.3">
      <c r="A108" s="34" t="s">
        <v>33</v>
      </c>
      <c r="B108" s="34" t="s">
        <v>34</v>
      </c>
      <c r="C108" s="35" t="s">
        <v>314</v>
      </c>
      <c r="D108" s="34" t="s">
        <v>38</v>
      </c>
      <c r="E108" s="34" t="s">
        <v>306</v>
      </c>
      <c r="F108" s="34" t="s">
        <v>99</v>
      </c>
      <c r="G108" s="214"/>
      <c r="H108" s="136"/>
      <c r="I108" s="136"/>
      <c r="J108" s="136"/>
      <c r="K108" s="136"/>
      <c r="L108" s="136"/>
      <c r="M108" s="136"/>
      <c r="N108" s="136"/>
      <c r="O108" s="137"/>
      <c r="P108" s="136"/>
      <c r="Q108" s="138"/>
      <c r="R108" s="138"/>
    </row>
    <row r="109" spans="1:18" ht="15" customHeight="1" thickBot="1" x14ac:dyDescent="0.35">
      <c r="A109" s="139" t="s">
        <v>33</v>
      </c>
      <c r="B109" s="139" t="s">
        <v>68</v>
      </c>
      <c r="C109" s="140" t="s">
        <v>311</v>
      </c>
      <c r="D109" s="139" t="s">
        <v>38</v>
      </c>
      <c r="E109" s="139" t="s">
        <v>327</v>
      </c>
      <c r="F109" s="139" t="s">
        <v>99</v>
      </c>
      <c r="G109" s="215"/>
      <c r="H109" s="141"/>
      <c r="I109" s="141"/>
      <c r="J109" s="141"/>
      <c r="K109" s="141"/>
      <c r="L109" s="141"/>
      <c r="M109" s="141"/>
      <c r="N109" s="141"/>
      <c r="O109" s="142"/>
      <c r="P109" s="141"/>
      <c r="Q109" s="143"/>
      <c r="R109" s="143"/>
    </row>
    <row r="110" spans="1:18" ht="17.399999999999999" customHeight="1" thickBot="1" x14ac:dyDescent="0.35">
      <c r="A110" s="221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3"/>
    </row>
    <row r="111" spans="1:18" ht="22.05" customHeight="1" thickTop="1" thickBot="1" x14ac:dyDescent="0.55000000000000004">
      <c r="A111" s="211" t="s">
        <v>8</v>
      </c>
      <c r="B111" s="212"/>
      <c r="C111" s="212"/>
      <c r="D111" s="212"/>
      <c r="E111" s="212"/>
      <c r="F111" s="212"/>
      <c r="G111" s="26">
        <v>46017</v>
      </c>
      <c r="H111" s="219" t="s">
        <v>9</v>
      </c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</row>
    <row r="112" spans="1:18" ht="24" customHeight="1" x14ac:dyDescent="0.3">
      <c r="A112" s="27" t="s">
        <v>10</v>
      </c>
      <c r="B112" s="27" t="s">
        <v>11</v>
      </c>
      <c r="C112" s="28" t="s">
        <v>12</v>
      </c>
      <c r="D112" s="27" t="s">
        <v>13</v>
      </c>
      <c r="E112" s="27" t="s">
        <v>14</v>
      </c>
      <c r="F112" s="29" t="s">
        <v>15</v>
      </c>
      <c r="G112" s="30" t="s">
        <v>16</v>
      </c>
      <c r="H112" s="27" t="s">
        <v>17</v>
      </c>
      <c r="I112" s="31" t="s">
        <v>18</v>
      </c>
      <c r="J112" s="32" t="s">
        <v>19</v>
      </c>
      <c r="K112" s="33" t="s">
        <v>20</v>
      </c>
      <c r="L112" s="32" t="s">
        <v>21</v>
      </c>
      <c r="M112" s="32" t="s">
        <v>22</v>
      </c>
      <c r="N112" s="32" t="s">
        <v>23</v>
      </c>
      <c r="O112" s="27" t="s">
        <v>24</v>
      </c>
      <c r="P112" s="28" t="s">
        <v>25</v>
      </c>
      <c r="Q112" s="32" t="s">
        <v>26</v>
      </c>
      <c r="R112" s="27" t="s">
        <v>27</v>
      </c>
    </row>
    <row r="113" spans="1:18" ht="15" customHeight="1" x14ac:dyDescent="0.3">
      <c r="A113" s="45" t="s">
        <v>76</v>
      </c>
      <c r="B113" s="45" t="s">
        <v>295</v>
      </c>
      <c r="C113" s="46">
        <v>0.29166666666666669</v>
      </c>
      <c r="D113" s="45" t="s">
        <v>30</v>
      </c>
      <c r="E113" s="45" t="s">
        <v>89</v>
      </c>
      <c r="F113" s="45" t="s">
        <v>308</v>
      </c>
      <c r="G113" s="213"/>
      <c r="H113" s="47" t="s">
        <v>298</v>
      </c>
      <c r="I113" s="48">
        <v>0.13689999999999999</v>
      </c>
      <c r="J113" s="49">
        <v>23</v>
      </c>
      <c r="K113" s="50">
        <v>45983</v>
      </c>
      <c r="L113" s="49">
        <v>7</v>
      </c>
      <c r="M113" s="49">
        <v>0</v>
      </c>
      <c r="N113" s="49">
        <v>4</v>
      </c>
      <c r="O113" s="51" t="s">
        <v>329</v>
      </c>
      <c r="P113" s="52">
        <v>0.29166666666666669</v>
      </c>
      <c r="Q113" s="49">
        <v>168</v>
      </c>
      <c r="R113" s="53" t="s">
        <v>330</v>
      </c>
    </row>
    <row r="114" spans="1:18" ht="18" x14ac:dyDescent="0.3">
      <c r="A114" s="242" t="s">
        <v>301</v>
      </c>
      <c r="B114" s="243"/>
      <c r="C114" s="243"/>
      <c r="D114" s="243"/>
      <c r="E114" s="243"/>
      <c r="F114" s="243"/>
      <c r="G114" s="214"/>
      <c r="H114" s="136"/>
      <c r="I114" s="136"/>
      <c r="J114" s="136"/>
      <c r="K114" s="136"/>
      <c r="L114" s="136"/>
      <c r="M114" s="136"/>
      <c r="N114" s="136"/>
      <c r="O114" s="137"/>
      <c r="P114" s="136"/>
      <c r="Q114" s="138"/>
      <c r="R114" s="138"/>
    </row>
    <row r="115" spans="1:18" ht="15" customHeight="1" x14ac:dyDescent="0.3">
      <c r="A115" s="34" t="s">
        <v>33</v>
      </c>
      <c r="B115" s="34" t="s">
        <v>34</v>
      </c>
      <c r="C115" s="35" t="s">
        <v>314</v>
      </c>
      <c r="D115" s="34" t="s">
        <v>35</v>
      </c>
      <c r="E115" s="34" t="s">
        <v>306</v>
      </c>
      <c r="F115" s="34" t="s">
        <v>90</v>
      </c>
      <c r="G115" s="214"/>
      <c r="H115" s="136"/>
      <c r="I115" s="136"/>
      <c r="J115" s="136"/>
      <c r="K115" s="136"/>
      <c r="L115" s="136"/>
      <c r="M115" s="136"/>
      <c r="N115" s="136"/>
      <c r="O115" s="137"/>
      <c r="P115" s="136"/>
      <c r="Q115" s="138"/>
      <c r="R115" s="138"/>
    </row>
    <row r="116" spans="1:18" ht="15" customHeight="1" x14ac:dyDescent="0.3">
      <c r="A116" s="34" t="s">
        <v>43</v>
      </c>
      <c r="B116" s="34" t="s">
        <v>44</v>
      </c>
      <c r="C116" s="35" t="s">
        <v>286</v>
      </c>
      <c r="D116" s="34" t="s">
        <v>91</v>
      </c>
      <c r="E116" s="34" t="s">
        <v>302</v>
      </c>
      <c r="F116" s="34" t="s">
        <v>108</v>
      </c>
      <c r="G116" s="214"/>
      <c r="H116" s="136"/>
      <c r="I116" s="136"/>
      <c r="J116" s="136"/>
      <c r="K116" s="136"/>
      <c r="L116" s="136"/>
      <c r="M116" s="136"/>
      <c r="N116" s="136"/>
      <c r="O116" s="137"/>
      <c r="P116" s="136"/>
      <c r="Q116" s="138"/>
      <c r="R116" s="138"/>
    </row>
    <row r="117" spans="1:18" ht="15" customHeight="1" x14ac:dyDescent="0.3">
      <c r="A117" s="34" t="s">
        <v>43</v>
      </c>
      <c r="B117" s="34" t="s">
        <v>52</v>
      </c>
      <c r="C117" s="35" t="s">
        <v>290</v>
      </c>
      <c r="D117" s="34" t="s">
        <v>91</v>
      </c>
      <c r="E117" s="34" t="s">
        <v>302</v>
      </c>
      <c r="F117" s="34" t="s">
        <v>108</v>
      </c>
      <c r="G117" s="214"/>
      <c r="H117" s="136"/>
      <c r="I117" s="136"/>
      <c r="J117" s="136"/>
      <c r="K117" s="136"/>
      <c r="L117" s="136"/>
      <c r="M117" s="136"/>
      <c r="N117" s="136"/>
      <c r="O117" s="137"/>
      <c r="P117" s="136"/>
      <c r="Q117" s="138"/>
      <c r="R117" s="138"/>
    </row>
    <row r="118" spans="1:18" ht="15" customHeight="1" x14ac:dyDescent="0.3">
      <c r="A118" s="34" t="s">
        <v>28</v>
      </c>
      <c r="B118" s="34" t="s">
        <v>47</v>
      </c>
      <c r="C118" s="35" t="s">
        <v>284</v>
      </c>
      <c r="D118" s="34" t="s">
        <v>178</v>
      </c>
      <c r="E118" s="34" t="s">
        <v>302</v>
      </c>
      <c r="F118" s="34" t="s">
        <v>48</v>
      </c>
      <c r="G118" s="214"/>
      <c r="H118" s="136"/>
      <c r="I118" s="136"/>
      <c r="J118" s="136"/>
      <c r="K118" s="136"/>
      <c r="L118" s="136"/>
      <c r="M118" s="136"/>
      <c r="N118" s="136"/>
      <c r="O118" s="137"/>
      <c r="P118" s="136"/>
      <c r="Q118" s="138"/>
      <c r="R118" s="138"/>
    </row>
    <row r="119" spans="1:18" ht="15" customHeight="1" x14ac:dyDescent="0.3">
      <c r="A119" s="34" t="s">
        <v>76</v>
      </c>
      <c r="B119" s="34" t="s">
        <v>77</v>
      </c>
      <c r="C119" s="35" t="s">
        <v>232</v>
      </c>
      <c r="D119" s="34" t="s">
        <v>30</v>
      </c>
      <c r="E119" s="34" t="s">
        <v>302</v>
      </c>
      <c r="F119" s="34" t="s">
        <v>110</v>
      </c>
      <c r="G119" s="214"/>
      <c r="H119" s="136"/>
      <c r="I119" s="136"/>
      <c r="J119" s="136"/>
      <c r="K119" s="136"/>
      <c r="L119" s="136"/>
      <c r="M119" s="136"/>
      <c r="N119" s="136"/>
      <c r="O119" s="137"/>
      <c r="P119" s="136"/>
      <c r="Q119" s="138"/>
      <c r="R119" s="138"/>
    </row>
    <row r="120" spans="1:18" ht="15" customHeight="1" x14ac:dyDescent="0.3">
      <c r="A120" s="34" t="s">
        <v>102</v>
      </c>
      <c r="B120" s="34" t="s">
        <v>113</v>
      </c>
      <c r="C120" s="35" t="s">
        <v>331</v>
      </c>
      <c r="D120" s="34" t="s">
        <v>178</v>
      </c>
      <c r="E120" s="34" t="s">
        <v>313</v>
      </c>
      <c r="F120" s="34" t="s">
        <v>175</v>
      </c>
      <c r="G120" s="214"/>
      <c r="H120" s="136"/>
      <c r="I120" s="136"/>
      <c r="J120" s="136"/>
      <c r="K120" s="136"/>
      <c r="L120" s="136"/>
      <c r="M120" s="136"/>
      <c r="N120" s="136"/>
      <c r="O120" s="137"/>
      <c r="P120" s="136"/>
      <c r="Q120" s="138"/>
      <c r="R120" s="138"/>
    </row>
    <row r="121" spans="1:18" ht="15" customHeight="1" x14ac:dyDescent="0.3">
      <c r="A121" s="34" t="s">
        <v>33</v>
      </c>
      <c r="B121" s="34" t="s">
        <v>34</v>
      </c>
      <c r="C121" s="35" t="s">
        <v>314</v>
      </c>
      <c r="D121" s="34" t="s">
        <v>38</v>
      </c>
      <c r="E121" s="34" t="s">
        <v>306</v>
      </c>
      <c r="F121" s="34" t="s">
        <v>100</v>
      </c>
      <c r="G121" s="214"/>
      <c r="H121" s="136"/>
      <c r="I121" s="136"/>
      <c r="J121" s="136"/>
      <c r="K121" s="136"/>
      <c r="L121" s="136"/>
      <c r="M121" s="136"/>
      <c r="N121" s="136"/>
      <c r="O121" s="137"/>
      <c r="P121" s="136"/>
      <c r="Q121" s="138"/>
      <c r="R121" s="138"/>
    </row>
    <row r="122" spans="1:18" ht="15" customHeight="1" x14ac:dyDescent="0.3">
      <c r="A122" s="34" t="s">
        <v>33</v>
      </c>
      <c r="B122" s="34" t="s">
        <v>34</v>
      </c>
      <c r="C122" s="35" t="s">
        <v>314</v>
      </c>
      <c r="D122" s="34" t="s">
        <v>41</v>
      </c>
      <c r="E122" s="34" t="s">
        <v>306</v>
      </c>
      <c r="F122" s="34" t="s">
        <v>101</v>
      </c>
      <c r="G122" s="214"/>
      <c r="H122" s="136"/>
      <c r="I122" s="136"/>
      <c r="J122" s="136"/>
      <c r="K122" s="136"/>
      <c r="L122" s="136"/>
      <c r="M122" s="136"/>
      <c r="N122" s="136"/>
      <c r="O122" s="137"/>
      <c r="P122" s="136"/>
      <c r="Q122" s="138"/>
      <c r="R122" s="138"/>
    </row>
    <row r="123" spans="1:18" ht="15" customHeight="1" x14ac:dyDescent="0.3">
      <c r="A123" s="34" t="s">
        <v>43</v>
      </c>
      <c r="B123" s="34" t="s">
        <v>50</v>
      </c>
      <c r="C123" s="35" t="s">
        <v>315</v>
      </c>
      <c r="D123" s="34" t="s">
        <v>45</v>
      </c>
      <c r="E123" s="34" t="s">
        <v>302</v>
      </c>
      <c r="F123" s="34" t="s">
        <v>179</v>
      </c>
      <c r="G123" s="214"/>
      <c r="H123" s="136"/>
      <c r="I123" s="136"/>
      <c r="J123" s="136"/>
      <c r="K123" s="136"/>
      <c r="L123" s="136"/>
      <c r="M123" s="136"/>
      <c r="N123" s="136"/>
      <c r="O123" s="137"/>
      <c r="P123" s="136"/>
      <c r="Q123" s="138"/>
      <c r="R123" s="138"/>
    </row>
    <row r="124" spans="1:18" ht="15" customHeight="1" thickBot="1" x14ac:dyDescent="0.35">
      <c r="A124" s="139" t="s">
        <v>54</v>
      </c>
      <c r="B124" s="139" t="s">
        <v>55</v>
      </c>
      <c r="C124" s="140" t="s">
        <v>291</v>
      </c>
      <c r="D124" s="139" t="s">
        <v>56</v>
      </c>
      <c r="E124" s="139" t="s">
        <v>303</v>
      </c>
      <c r="F124" s="139" t="s">
        <v>118</v>
      </c>
      <c r="G124" s="215"/>
      <c r="H124" s="141"/>
      <c r="I124" s="141"/>
      <c r="J124" s="141"/>
      <c r="K124" s="141"/>
      <c r="L124" s="141"/>
      <c r="M124" s="141"/>
      <c r="N124" s="141"/>
      <c r="O124" s="142"/>
      <c r="P124" s="141"/>
      <c r="Q124" s="143"/>
      <c r="R124" s="143"/>
    </row>
    <row r="125" spans="1:18" ht="17.399999999999999" customHeight="1" thickBot="1" x14ac:dyDescent="0.35">
      <c r="A125" s="221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3"/>
    </row>
    <row r="126" spans="1:18" ht="22.05" customHeight="1" thickTop="1" thickBot="1" x14ac:dyDescent="0.55000000000000004">
      <c r="A126" s="211" t="s">
        <v>8</v>
      </c>
      <c r="B126" s="212"/>
      <c r="C126" s="212"/>
      <c r="D126" s="212"/>
      <c r="E126" s="212"/>
      <c r="F126" s="212"/>
      <c r="G126" s="26">
        <v>46020</v>
      </c>
      <c r="H126" s="219" t="s">
        <v>9</v>
      </c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</row>
    <row r="127" spans="1:18" ht="24" customHeight="1" x14ac:dyDescent="0.3">
      <c r="A127" s="27" t="s">
        <v>10</v>
      </c>
      <c r="B127" s="27" t="s">
        <v>11</v>
      </c>
      <c r="C127" s="28" t="s">
        <v>12</v>
      </c>
      <c r="D127" s="27" t="s">
        <v>13</v>
      </c>
      <c r="E127" s="27" t="s">
        <v>14</v>
      </c>
      <c r="F127" s="29" t="s">
        <v>15</v>
      </c>
      <c r="G127" s="30" t="s">
        <v>16</v>
      </c>
      <c r="H127" s="27" t="s">
        <v>17</v>
      </c>
      <c r="I127" s="31" t="s">
        <v>18</v>
      </c>
      <c r="J127" s="32" t="s">
        <v>19</v>
      </c>
      <c r="K127" s="33" t="s">
        <v>20</v>
      </c>
      <c r="L127" s="32" t="s">
        <v>21</v>
      </c>
      <c r="M127" s="32" t="s">
        <v>22</v>
      </c>
      <c r="N127" s="32" t="s">
        <v>23</v>
      </c>
      <c r="O127" s="27" t="s">
        <v>24</v>
      </c>
      <c r="P127" s="28" t="s">
        <v>25</v>
      </c>
      <c r="Q127" s="32" t="s">
        <v>26</v>
      </c>
      <c r="R127" s="27" t="s">
        <v>27</v>
      </c>
    </row>
    <row r="128" spans="1:18" ht="15" customHeight="1" x14ac:dyDescent="0.3">
      <c r="A128" s="99" t="s">
        <v>76</v>
      </c>
      <c r="B128" s="99" t="s">
        <v>295</v>
      </c>
      <c r="C128" s="100">
        <v>0.51041666666666663</v>
      </c>
      <c r="D128" s="99" t="s">
        <v>296</v>
      </c>
      <c r="E128" s="145"/>
      <c r="F128" s="99" t="s">
        <v>317</v>
      </c>
      <c r="G128" s="233"/>
      <c r="H128" s="101" t="s">
        <v>298</v>
      </c>
      <c r="I128" s="102">
        <v>0.11310000000000001</v>
      </c>
      <c r="J128" s="103">
        <v>19</v>
      </c>
      <c r="K128" s="104">
        <v>45980</v>
      </c>
      <c r="L128" s="103">
        <v>6</v>
      </c>
      <c r="M128" s="103">
        <v>0</v>
      </c>
      <c r="N128" s="103">
        <v>0</v>
      </c>
      <c r="O128" s="105" t="s">
        <v>257</v>
      </c>
      <c r="P128" s="106">
        <v>0.51041666666666663</v>
      </c>
      <c r="Q128" s="103">
        <v>168</v>
      </c>
      <c r="R128" s="107" t="s">
        <v>332</v>
      </c>
    </row>
    <row r="129" spans="1:18" ht="18" x14ac:dyDescent="0.3">
      <c r="A129" s="242" t="s">
        <v>301</v>
      </c>
      <c r="B129" s="243"/>
      <c r="C129" s="243"/>
      <c r="D129" s="243"/>
      <c r="E129" s="243"/>
      <c r="F129" s="243"/>
      <c r="G129" s="214"/>
      <c r="H129" s="136"/>
      <c r="I129" s="136"/>
      <c r="J129" s="136"/>
      <c r="K129" s="136"/>
      <c r="L129" s="136"/>
      <c r="M129" s="136"/>
      <c r="N129" s="136"/>
      <c r="O129" s="137"/>
      <c r="P129" s="136"/>
      <c r="Q129" s="138"/>
      <c r="R129" s="138"/>
    </row>
    <row r="130" spans="1:18" ht="15" customHeight="1" x14ac:dyDescent="0.3">
      <c r="A130" s="34" t="s">
        <v>33</v>
      </c>
      <c r="B130" s="34" t="s">
        <v>34</v>
      </c>
      <c r="C130" s="35" t="s">
        <v>314</v>
      </c>
      <c r="D130" s="34" t="s">
        <v>35</v>
      </c>
      <c r="E130" s="34" t="s">
        <v>333</v>
      </c>
      <c r="F130" s="34" t="s">
        <v>69</v>
      </c>
      <c r="G130" s="214"/>
      <c r="H130" s="136"/>
      <c r="I130" s="136"/>
      <c r="J130" s="136"/>
      <c r="K130" s="136"/>
      <c r="L130" s="136"/>
      <c r="M130" s="136"/>
      <c r="N130" s="136"/>
      <c r="O130" s="137"/>
      <c r="P130" s="136"/>
      <c r="Q130" s="138"/>
      <c r="R130" s="138"/>
    </row>
    <row r="131" spans="1:18" ht="15" customHeight="1" x14ac:dyDescent="0.3">
      <c r="A131" s="34" t="s">
        <v>33</v>
      </c>
      <c r="B131" s="34" t="s">
        <v>68</v>
      </c>
      <c r="C131" s="35" t="s">
        <v>311</v>
      </c>
      <c r="D131" s="34" t="s">
        <v>35</v>
      </c>
      <c r="E131" s="34" t="s">
        <v>316</v>
      </c>
      <c r="F131" s="34" t="s">
        <v>69</v>
      </c>
      <c r="G131" s="214"/>
      <c r="H131" s="136"/>
      <c r="I131" s="136"/>
      <c r="J131" s="136"/>
      <c r="K131" s="136"/>
      <c r="L131" s="136"/>
      <c r="M131" s="136"/>
      <c r="N131" s="136"/>
      <c r="O131" s="137"/>
      <c r="P131" s="136"/>
      <c r="Q131" s="138"/>
      <c r="R131" s="138"/>
    </row>
    <row r="132" spans="1:18" ht="15" customHeight="1" x14ac:dyDescent="0.3">
      <c r="A132" s="34" t="s">
        <v>102</v>
      </c>
      <c r="B132" s="34" t="s">
        <v>105</v>
      </c>
      <c r="C132" s="35" t="s">
        <v>312</v>
      </c>
      <c r="D132" s="34" t="s">
        <v>178</v>
      </c>
      <c r="E132" s="34" t="s">
        <v>305</v>
      </c>
      <c r="F132" s="34" t="s">
        <v>144</v>
      </c>
      <c r="G132" s="214"/>
      <c r="H132" s="136"/>
      <c r="I132" s="136"/>
      <c r="J132" s="136"/>
      <c r="K132" s="136"/>
      <c r="L132" s="136"/>
      <c r="M132" s="136"/>
      <c r="N132" s="136"/>
      <c r="O132" s="137"/>
      <c r="P132" s="136"/>
      <c r="Q132" s="138"/>
      <c r="R132" s="138"/>
    </row>
    <row r="133" spans="1:18" ht="15" customHeight="1" x14ac:dyDescent="0.3">
      <c r="A133" s="34" t="s">
        <v>43</v>
      </c>
      <c r="B133" s="34" t="s">
        <v>44</v>
      </c>
      <c r="C133" s="35" t="s">
        <v>286</v>
      </c>
      <c r="D133" s="34" t="s">
        <v>91</v>
      </c>
      <c r="E133" s="34" t="s">
        <v>302</v>
      </c>
      <c r="F133" s="34" t="s">
        <v>108</v>
      </c>
      <c r="G133" s="214"/>
      <c r="H133" s="136"/>
      <c r="I133" s="136"/>
      <c r="J133" s="136"/>
      <c r="K133" s="136"/>
      <c r="L133" s="136"/>
      <c r="M133" s="136"/>
      <c r="N133" s="136"/>
      <c r="O133" s="137"/>
      <c r="P133" s="136"/>
      <c r="Q133" s="138"/>
      <c r="R133" s="138"/>
    </row>
    <row r="134" spans="1:18" ht="15" customHeight="1" x14ac:dyDescent="0.3">
      <c r="A134" s="34" t="s">
        <v>43</v>
      </c>
      <c r="B134" s="34" t="s">
        <v>50</v>
      </c>
      <c r="C134" s="35" t="s">
        <v>315</v>
      </c>
      <c r="D134" s="34" t="s">
        <v>91</v>
      </c>
      <c r="E134" s="34" t="s">
        <v>302</v>
      </c>
      <c r="F134" s="34" t="s">
        <v>108</v>
      </c>
      <c r="G134" s="214"/>
      <c r="H134" s="136"/>
      <c r="I134" s="136"/>
      <c r="J134" s="136"/>
      <c r="K134" s="136"/>
      <c r="L134" s="136"/>
      <c r="M134" s="136"/>
      <c r="N134" s="136"/>
      <c r="O134" s="137"/>
      <c r="P134" s="136"/>
      <c r="Q134" s="138"/>
      <c r="R134" s="138"/>
    </row>
    <row r="135" spans="1:18" ht="15" customHeight="1" x14ac:dyDescent="0.3">
      <c r="A135" s="34" t="s">
        <v>43</v>
      </c>
      <c r="B135" s="34" t="s">
        <v>52</v>
      </c>
      <c r="C135" s="35" t="s">
        <v>290</v>
      </c>
      <c r="D135" s="34" t="s">
        <v>91</v>
      </c>
      <c r="E135" s="34" t="s">
        <v>302</v>
      </c>
      <c r="F135" s="34" t="s">
        <v>108</v>
      </c>
      <c r="G135" s="214"/>
      <c r="H135" s="136"/>
      <c r="I135" s="136"/>
      <c r="J135" s="136"/>
      <c r="K135" s="136"/>
      <c r="L135" s="136"/>
      <c r="M135" s="136"/>
      <c r="N135" s="136"/>
      <c r="O135" s="137"/>
      <c r="P135" s="136"/>
      <c r="Q135" s="138"/>
      <c r="R135" s="138"/>
    </row>
    <row r="136" spans="1:18" ht="15" customHeight="1" x14ac:dyDescent="0.3">
      <c r="A136" s="34" t="s">
        <v>28</v>
      </c>
      <c r="B136" s="34" t="s">
        <v>47</v>
      </c>
      <c r="C136" s="35" t="s">
        <v>284</v>
      </c>
      <c r="D136" s="34" t="s">
        <v>178</v>
      </c>
      <c r="E136" s="34" t="s">
        <v>302</v>
      </c>
      <c r="F136" s="34" t="s">
        <v>48</v>
      </c>
      <c r="G136" s="214"/>
      <c r="H136" s="136"/>
      <c r="I136" s="136"/>
      <c r="J136" s="136"/>
      <c r="K136" s="136"/>
      <c r="L136" s="136"/>
      <c r="M136" s="136"/>
      <c r="N136" s="136"/>
      <c r="O136" s="137"/>
      <c r="P136" s="136"/>
      <c r="Q136" s="138"/>
      <c r="R136" s="138"/>
    </row>
    <row r="137" spans="1:18" ht="15" customHeight="1" x14ac:dyDescent="0.3">
      <c r="A137" s="34" t="s">
        <v>33</v>
      </c>
      <c r="B137" s="34" t="s">
        <v>34</v>
      </c>
      <c r="C137" s="35" t="s">
        <v>314</v>
      </c>
      <c r="D137" s="34" t="s">
        <v>38</v>
      </c>
      <c r="E137" s="34" t="s">
        <v>333</v>
      </c>
      <c r="F137" s="34" t="s">
        <v>70</v>
      </c>
      <c r="G137" s="214"/>
      <c r="H137" s="136"/>
      <c r="I137" s="136"/>
      <c r="J137" s="136"/>
      <c r="K137" s="136"/>
      <c r="L137" s="136"/>
      <c r="M137" s="136"/>
      <c r="N137" s="136"/>
      <c r="O137" s="137"/>
      <c r="P137" s="136"/>
      <c r="Q137" s="138"/>
      <c r="R137" s="138"/>
    </row>
    <row r="138" spans="1:18" ht="15" customHeight="1" x14ac:dyDescent="0.3">
      <c r="A138" s="34" t="s">
        <v>33</v>
      </c>
      <c r="B138" s="34" t="s">
        <v>68</v>
      </c>
      <c r="C138" s="35" t="s">
        <v>311</v>
      </c>
      <c r="D138" s="34" t="s">
        <v>38</v>
      </c>
      <c r="E138" s="34" t="s">
        <v>316</v>
      </c>
      <c r="F138" s="34" t="s">
        <v>70</v>
      </c>
      <c r="G138" s="214"/>
      <c r="H138" s="136"/>
      <c r="I138" s="136"/>
      <c r="J138" s="136"/>
      <c r="K138" s="136"/>
      <c r="L138" s="136"/>
      <c r="M138" s="136"/>
      <c r="N138" s="136"/>
      <c r="O138" s="137"/>
      <c r="P138" s="136"/>
      <c r="Q138" s="138"/>
      <c r="R138" s="138"/>
    </row>
    <row r="139" spans="1:18" ht="15" customHeight="1" thickBot="1" x14ac:dyDescent="0.35">
      <c r="A139" s="139" t="s">
        <v>33</v>
      </c>
      <c r="B139" s="139" t="s">
        <v>34</v>
      </c>
      <c r="C139" s="140" t="s">
        <v>314</v>
      </c>
      <c r="D139" s="139" t="s">
        <v>41</v>
      </c>
      <c r="E139" s="139" t="s">
        <v>333</v>
      </c>
      <c r="F139" s="139" t="s">
        <v>71</v>
      </c>
      <c r="G139" s="215"/>
      <c r="H139" s="141"/>
      <c r="I139" s="141"/>
      <c r="J139" s="141"/>
      <c r="K139" s="141"/>
      <c r="L139" s="141"/>
      <c r="M139" s="141"/>
      <c r="N139" s="141"/>
      <c r="O139" s="142"/>
      <c r="P139" s="141"/>
      <c r="Q139" s="143"/>
      <c r="R139" s="143"/>
    </row>
    <row r="140" spans="1:18" ht="17.399999999999999" customHeight="1" thickBot="1" x14ac:dyDescent="0.35">
      <c r="A140" s="221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3"/>
    </row>
    <row r="141" spans="1:18" ht="15" thickTop="1" x14ac:dyDescent="0.3"/>
  </sheetData>
  <mergeCells count="62">
    <mergeCell ref="H14:R14"/>
    <mergeCell ref="A7:F7"/>
    <mergeCell ref="A140:R140"/>
    <mergeCell ref="A53:R53"/>
    <mergeCell ref="G56:G62"/>
    <mergeCell ref="A125:R125"/>
    <mergeCell ref="A63:R63"/>
    <mergeCell ref="G87:G94"/>
    <mergeCell ref="A67:F67"/>
    <mergeCell ref="G98:G109"/>
    <mergeCell ref="A111:F111"/>
    <mergeCell ref="G77:G83"/>
    <mergeCell ref="H75:R75"/>
    <mergeCell ref="A114:F114"/>
    <mergeCell ref="A64:F64"/>
    <mergeCell ref="H111:R111"/>
    <mergeCell ref="G128:G139"/>
    <mergeCell ref="H96:R96"/>
    <mergeCell ref="A129:F129"/>
    <mergeCell ref="A85:F85"/>
    <mergeCell ref="A95:R95"/>
    <mergeCell ref="A14:F14"/>
    <mergeCell ref="A32:F32"/>
    <mergeCell ref="A42:R42"/>
    <mergeCell ref="H64:R64"/>
    <mergeCell ref="A126:F126"/>
    <mergeCell ref="A17:F17"/>
    <mergeCell ref="A96:F96"/>
    <mergeCell ref="H85:R85"/>
    <mergeCell ref="A29:F29"/>
    <mergeCell ref="A43:F43"/>
    <mergeCell ref="G66:G73"/>
    <mergeCell ref="A28:R28"/>
    <mergeCell ref="G31:G41"/>
    <mergeCell ref="H29:R29"/>
    <mergeCell ref="H126:R126"/>
    <mergeCell ref="A99:F99"/>
    <mergeCell ref="G6:G12"/>
    <mergeCell ref="H54:R54"/>
    <mergeCell ref="H1:L1"/>
    <mergeCell ref="A1:E1"/>
    <mergeCell ref="H43:R43"/>
    <mergeCell ref="G16:G27"/>
    <mergeCell ref="H4:R4"/>
    <mergeCell ref="A2:F2"/>
    <mergeCell ref="A3:R3"/>
    <mergeCell ref="G2:J2"/>
    <mergeCell ref="A4:F4"/>
    <mergeCell ref="N1:R1"/>
    <mergeCell ref="A13:R13"/>
    <mergeCell ref="K2:R2"/>
    <mergeCell ref="G45:G52"/>
    <mergeCell ref="A54:F54"/>
    <mergeCell ref="A46:F46"/>
    <mergeCell ref="G113:G124"/>
    <mergeCell ref="A75:F75"/>
    <mergeCell ref="A84:R84"/>
    <mergeCell ref="A74:R74"/>
    <mergeCell ref="A57:F57"/>
    <mergeCell ref="A88:F88"/>
    <mergeCell ref="A110:R110"/>
    <mergeCell ref="A78:F7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>
      <selection activeCell="C5" sqref="C5"/>
    </sheetView>
  </sheetViews>
  <sheetFormatPr defaultRowHeight="15.6" outlineLevelCol="1" x14ac:dyDescent="0.3"/>
  <cols>
    <col min="1" max="1" width="10.33203125" style="194" bestFit="1" customWidth="1"/>
    <col min="2" max="2" width="11.109375" style="194" bestFit="1" customWidth="1"/>
    <col min="3" max="3" width="7.88671875" style="194" bestFit="1" customWidth="1"/>
    <col min="4" max="4" width="6.77734375" style="194" bestFit="1" customWidth="1"/>
    <col min="5" max="5" width="11.109375" style="194" bestFit="1" customWidth="1"/>
    <col min="6" max="6" width="5.21875" style="194" bestFit="1" customWidth="1"/>
    <col min="7" max="7" width="10" style="194" bestFit="1" customWidth="1"/>
    <col min="8" max="8" width="8.5546875" style="194" bestFit="1" customWidth="1"/>
    <col min="9" max="10" width="8" style="194" bestFit="1" customWidth="1"/>
    <col min="11" max="11" width="12.21875" style="194" bestFit="1" customWidth="1"/>
    <col min="12" max="12" width="10.109375" style="194" bestFit="1" customWidth="1"/>
    <col min="13" max="13" width="8.77734375" style="194" hidden="1" customWidth="1" outlineLevel="1"/>
    <col min="14" max="14" width="7.33203125" style="194" hidden="1" customWidth="1" outlineLevel="1"/>
    <col min="15" max="15" width="9.109375" style="194" hidden="1" customWidth="1" outlineLevel="1"/>
    <col min="16" max="16" width="15.33203125" style="194" bestFit="1" customWidth="1" collapsed="1"/>
    <col min="17" max="26" width="3.88671875" style="194" bestFit="1" customWidth="1"/>
    <col min="27" max="27" width="4.77734375" style="194" bestFit="1" customWidth="1"/>
    <col min="28" max="28" width="5" style="194" bestFit="1" customWidth="1"/>
    <col min="29" max="29" width="5.109375" style="194" bestFit="1" customWidth="1"/>
    <col min="30" max="31" width="5.33203125" style="194" bestFit="1" customWidth="1"/>
    <col min="32" max="32" width="4.44140625" style="194" bestFit="1" customWidth="1"/>
    <col min="33" max="36" width="3.88671875" style="194" bestFit="1" customWidth="1"/>
    <col min="37" max="16384" width="8.88671875" style="194"/>
  </cols>
  <sheetData>
    <row r="1" spans="1:36" x14ac:dyDescent="0.3">
      <c r="A1" s="193" t="s">
        <v>185</v>
      </c>
      <c r="B1" s="193" t="s">
        <v>186</v>
      </c>
      <c r="C1" s="193" t="s">
        <v>187</v>
      </c>
      <c r="D1" s="193" t="s">
        <v>25</v>
      </c>
      <c r="E1" s="193" t="s">
        <v>188</v>
      </c>
      <c r="F1" s="193" t="s">
        <v>189</v>
      </c>
      <c r="G1" s="193" t="s">
        <v>18</v>
      </c>
      <c r="H1" s="193" t="s">
        <v>190</v>
      </c>
      <c r="I1" s="193" t="s">
        <v>191</v>
      </c>
      <c r="J1" s="193" t="s">
        <v>192</v>
      </c>
      <c r="K1" s="193" t="s">
        <v>193</v>
      </c>
      <c r="L1" s="193" t="s">
        <v>20</v>
      </c>
      <c r="M1" s="193" t="s">
        <v>22</v>
      </c>
      <c r="N1" s="193" t="s">
        <v>23</v>
      </c>
      <c r="O1" s="193" t="s">
        <v>21</v>
      </c>
      <c r="P1" s="193" t="s">
        <v>24</v>
      </c>
      <c r="Q1" s="193" t="s">
        <v>194</v>
      </c>
      <c r="R1" s="193" t="s">
        <v>195</v>
      </c>
      <c r="S1" s="193" t="s">
        <v>196</v>
      </c>
      <c r="T1" s="193" t="s">
        <v>197</v>
      </c>
      <c r="U1" s="193" t="s">
        <v>198</v>
      </c>
      <c r="V1" s="193" t="s">
        <v>199</v>
      </c>
      <c r="W1" s="193" t="s">
        <v>200</v>
      </c>
      <c r="X1" s="193" t="s">
        <v>201</v>
      </c>
      <c r="Y1" s="193" t="s">
        <v>202</v>
      </c>
      <c r="Z1" s="193" t="s">
        <v>203</v>
      </c>
      <c r="AA1" s="193" t="s">
        <v>204</v>
      </c>
      <c r="AB1" s="193" t="s">
        <v>205</v>
      </c>
      <c r="AC1" s="193" t="s">
        <v>206</v>
      </c>
      <c r="AD1" s="193" t="s">
        <v>207</v>
      </c>
      <c r="AE1" s="193" t="s">
        <v>208</v>
      </c>
      <c r="AF1" s="193" t="s">
        <v>209</v>
      </c>
      <c r="AG1" s="193" t="s">
        <v>210</v>
      </c>
      <c r="AH1" s="193" t="s">
        <v>211</v>
      </c>
      <c r="AI1" s="193" t="s">
        <v>212</v>
      </c>
      <c r="AJ1" s="193" t="s">
        <v>213</v>
      </c>
    </row>
    <row r="2" spans="1:36" x14ac:dyDescent="0.3">
      <c r="A2" s="195" t="s">
        <v>334</v>
      </c>
      <c r="B2" s="196">
        <v>45985</v>
      </c>
      <c r="C2" s="197" t="s">
        <v>298</v>
      </c>
      <c r="D2" s="198" t="s">
        <v>335</v>
      </c>
      <c r="E2" s="197" t="s">
        <v>294</v>
      </c>
      <c r="F2" s="197" t="s">
        <v>216</v>
      </c>
      <c r="G2" s="199">
        <v>0.58330000000000004</v>
      </c>
      <c r="H2" s="200">
        <v>168</v>
      </c>
      <c r="I2" s="200">
        <v>98</v>
      </c>
      <c r="J2" s="200">
        <v>0</v>
      </c>
      <c r="K2" s="197" t="s">
        <v>217</v>
      </c>
      <c r="L2" s="201">
        <v>45984</v>
      </c>
      <c r="M2" s="200">
        <v>3</v>
      </c>
      <c r="N2" s="200">
        <v>9</v>
      </c>
      <c r="O2" s="200">
        <v>39</v>
      </c>
      <c r="P2" s="197" t="s">
        <v>299</v>
      </c>
      <c r="Q2" s="193"/>
      <c r="R2" s="193"/>
      <c r="S2" s="193"/>
      <c r="T2" s="193"/>
      <c r="U2" s="193"/>
      <c r="V2" s="193"/>
      <c r="W2" s="193"/>
      <c r="X2" s="193"/>
      <c r="Y2" s="193"/>
      <c r="Z2" s="200" t="s">
        <v>225</v>
      </c>
      <c r="AA2" s="200" t="s">
        <v>336</v>
      </c>
      <c r="AB2" s="200" t="s">
        <v>337</v>
      </c>
      <c r="AC2" s="200" t="s">
        <v>338</v>
      </c>
      <c r="AD2" s="200" t="s">
        <v>259</v>
      </c>
      <c r="AE2" s="200" t="s">
        <v>339</v>
      </c>
      <c r="AF2" s="200" t="s">
        <v>265</v>
      </c>
      <c r="AG2" s="193"/>
      <c r="AH2" s="193"/>
      <c r="AI2" s="193"/>
      <c r="AJ2" s="193"/>
    </row>
    <row r="3" spans="1:36" x14ac:dyDescent="0.3">
      <c r="A3" s="195" t="s">
        <v>231</v>
      </c>
      <c r="B3" s="196">
        <v>45989</v>
      </c>
      <c r="C3" s="197" t="s">
        <v>298</v>
      </c>
      <c r="D3" s="198" t="s">
        <v>340</v>
      </c>
      <c r="E3" s="197" t="s">
        <v>294</v>
      </c>
      <c r="F3" s="197" t="s">
        <v>216</v>
      </c>
      <c r="G3" s="199">
        <v>0.44640000000000002</v>
      </c>
      <c r="H3" s="200">
        <v>168</v>
      </c>
      <c r="I3" s="200">
        <v>75</v>
      </c>
      <c r="J3" s="200">
        <v>0</v>
      </c>
      <c r="K3" s="197" t="s">
        <v>217</v>
      </c>
      <c r="L3" s="201">
        <v>45984</v>
      </c>
      <c r="M3" s="200">
        <v>1</v>
      </c>
      <c r="N3" s="200">
        <v>9</v>
      </c>
      <c r="O3" s="200">
        <v>30</v>
      </c>
      <c r="P3" s="197" t="s">
        <v>270</v>
      </c>
      <c r="Q3" s="193"/>
      <c r="R3" s="193"/>
      <c r="S3" s="193"/>
      <c r="T3" s="193"/>
      <c r="U3" s="193"/>
      <c r="V3" s="193"/>
      <c r="W3" s="193"/>
      <c r="X3" s="193"/>
      <c r="Y3" s="193"/>
      <c r="Z3" s="200" t="s">
        <v>225</v>
      </c>
      <c r="AA3" s="200" t="s">
        <v>251</v>
      </c>
      <c r="AB3" s="200" t="s">
        <v>257</v>
      </c>
      <c r="AC3" s="200" t="s">
        <v>253</v>
      </c>
      <c r="AD3" s="200" t="s">
        <v>341</v>
      </c>
      <c r="AE3" s="200" t="s">
        <v>342</v>
      </c>
      <c r="AF3" s="200" t="s">
        <v>264</v>
      </c>
      <c r="AG3" s="193"/>
      <c r="AH3" s="193"/>
      <c r="AI3" s="193"/>
      <c r="AJ3" s="193"/>
    </row>
    <row r="4" spans="1:36" x14ac:dyDescent="0.3">
      <c r="A4" s="195" t="s">
        <v>334</v>
      </c>
      <c r="B4" s="196">
        <v>45992</v>
      </c>
      <c r="C4" s="197" t="s">
        <v>298</v>
      </c>
      <c r="D4" s="198" t="s">
        <v>335</v>
      </c>
      <c r="E4" s="197" t="s">
        <v>294</v>
      </c>
      <c r="F4" s="197" t="s">
        <v>216</v>
      </c>
      <c r="G4" s="199">
        <v>0.46429999999999999</v>
      </c>
      <c r="H4" s="200">
        <v>168</v>
      </c>
      <c r="I4" s="200">
        <v>78</v>
      </c>
      <c r="J4" s="200">
        <v>0</v>
      </c>
      <c r="K4" s="197" t="s">
        <v>217</v>
      </c>
      <c r="L4" s="201">
        <v>45984</v>
      </c>
      <c r="M4" s="200">
        <v>2</v>
      </c>
      <c r="N4" s="200">
        <v>0</v>
      </c>
      <c r="O4" s="200">
        <v>23</v>
      </c>
      <c r="P4" s="197" t="s">
        <v>309</v>
      </c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200" t="s">
        <v>343</v>
      </c>
      <c r="AC4" s="200" t="s">
        <v>278</v>
      </c>
      <c r="AD4" s="200" t="s">
        <v>344</v>
      </c>
      <c r="AE4" s="200" t="s">
        <v>345</v>
      </c>
      <c r="AF4" s="200" t="s">
        <v>346</v>
      </c>
      <c r="AG4" s="193"/>
      <c r="AH4" s="193"/>
      <c r="AI4" s="193"/>
      <c r="AJ4" s="193"/>
    </row>
    <row r="5" spans="1:36" x14ac:dyDescent="0.3">
      <c r="A5" s="195" t="s">
        <v>231</v>
      </c>
      <c r="B5" s="196">
        <v>45996</v>
      </c>
      <c r="C5" s="197" t="s">
        <v>298</v>
      </c>
      <c r="D5" s="198" t="s">
        <v>340</v>
      </c>
      <c r="E5" s="197" t="s">
        <v>294</v>
      </c>
      <c r="F5" s="197" t="s">
        <v>216</v>
      </c>
      <c r="G5" s="199">
        <v>0.24399999999999999</v>
      </c>
      <c r="H5" s="200">
        <v>168</v>
      </c>
      <c r="I5" s="200">
        <v>41</v>
      </c>
      <c r="J5" s="200">
        <v>0</v>
      </c>
      <c r="K5" s="197" t="s">
        <v>217</v>
      </c>
      <c r="L5" s="201">
        <v>45984</v>
      </c>
      <c r="M5" s="200">
        <v>1</v>
      </c>
      <c r="N5" s="200">
        <v>2</v>
      </c>
      <c r="O5" s="200">
        <v>13</v>
      </c>
      <c r="P5" s="197" t="s">
        <v>243</v>
      </c>
      <c r="Q5" s="193"/>
      <c r="R5" s="193"/>
      <c r="S5" s="193"/>
      <c r="T5" s="193"/>
      <c r="U5" s="193"/>
      <c r="V5" s="193"/>
      <c r="W5" s="193"/>
      <c r="X5" s="193"/>
      <c r="Y5" s="193"/>
      <c r="Z5" s="200" t="s">
        <v>268</v>
      </c>
      <c r="AA5" s="193"/>
      <c r="AB5" s="193"/>
      <c r="AC5" s="200" t="s">
        <v>273</v>
      </c>
      <c r="AD5" s="200" t="s">
        <v>344</v>
      </c>
      <c r="AE5" s="200" t="s">
        <v>254</v>
      </c>
      <c r="AF5" s="193"/>
      <c r="AG5" s="193"/>
      <c r="AH5" s="193"/>
      <c r="AI5" s="193"/>
      <c r="AJ5" s="193"/>
    </row>
    <row r="6" spans="1:36" x14ac:dyDescent="0.3">
      <c r="A6" s="195" t="s">
        <v>334</v>
      </c>
      <c r="B6" s="196">
        <v>45999</v>
      </c>
      <c r="C6" s="197" t="s">
        <v>298</v>
      </c>
      <c r="D6" s="198" t="s">
        <v>335</v>
      </c>
      <c r="E6" s="197" t="s">
        <v>294</v>
      </c>
      <c r="F6" s="197" t="s">
        <v>216</v>
      </c>
      <c r="G6" s="199">
        <v>0.28570000000000001</v>
      </c>
      <c r="H6" s="200">
        <v>168</v>
      </c>
      <c r="I6" s="200">
        <v>48</v>
      </c>
      <c r="J6" s="200">
        <v>0</v>
      </c>
      <c r="K6" s="197" t="s">
        <v>217</v>
      </c>
      <c r="L6" s="201">
        <v>45984</v>
      </c>
      <c r="M6" s="200">
        <v>1</v>
      </c>
      <c r="N6" s="200">
        <v>3</v>
      </c>
      <c r="O6" s="200">
        <v>17</v>
      </c>
      <c r="P6" s="197" t="s">
        <v>274</v>
      </c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200" t="s">
        <v>262</v>
      </c>
      <c r="AE6" s="200" t="s">
        <v>347</v>
      </c>
      <c r="AF6" s="200" t="s">
        <v>346</v>
      </c>
      <c r="AG6" s="193"/>
      <c r="AH6" s="193"/>
      <c r="AI6" s="193"/>
      <c r="AJ6" s="193"/>
    </row>
    <row r="7" spans="1:36" x14ac:dyDescent="0.3">
      <c r="A7" s="195" t="s">
        <v>231</v>
      </c>
      <c r="B7" s="196">
        <v>46003</v>
      </c>
      <c r="C7" s="197" t="s">
        <v>298</v>
      </c>
      <c r="D7" s="198" t="s">
        <v>340</v>
      </c>
      <c r="E7" s="197" t="s">
        <v>294</v>
      </c>
      <c r="F7" s="197" t="s">
        <v>216</v>
      </c>
      <c r="G7" s="199">
        <v>0.13100000000000001</v>
      </c>
      <c r="H7" s="200">
        <v>168</v>
      </c>
      <c r="I7" s="200">
        <v>22</v>
      </c>
      <c r="J7" s="200">
        <v>0</v>
      </c>
      <c r="K7" s="197" t="s">
        <v>217</v>
      </c>
      <c r="L7" s="201">
        <v>45984</v>
      </c>
      <c r="M7" s="200">
        <v>2</v>
      </c>
      <c r="N7" s="200">
        <v>0</v>
      </c>
      <c r="O7" s="200">
        <v>7</v>
      </c>
      <c r="P7" s="197" t="s">
        <v>258</v>
      </c>
      <c r="Q7" s="193"/>
      <c r="R7" s="193"/>
      <c r="S7" s="193"/>
      <c r="T7" s="193"/>
      <c r="U7" s="193"/>
      <c r="V7" s="193"/>
      <c r="W7" s="193"/>
      <c r="X7" s="193"/>
      <c r="Y7" s="193"/>
      <c r="Z7" s="200" t="s">
        <v>256</v>
      </c>
      <c r="AA7" s="200" t="s">
        <v>226</v>
      </c>
      <c r="AB7" s="193"/>
      <c r="AC7" s="200" t="s">
        <v>227</v>
      </c>
      <c r="AD7" s="200" t="s">
        <v>259</v>
      </c>
      <c r="AE7" s="193"/>
      <c r="AF7" s="193"/>
      <c r="AG7" s="193"/>
      <c r="AH7" s="193"/>
      <c r="AI7" s="193"/>
      <c r="AJ7" s="193"/>
    </row>
    <row r="8" spans="1:36" x14ac:dyDescent="0.3">
      <c r="A8" s="195" t="s">
        <v>334</v>
      </c>
      <c r="B8" s="196">
        <v>46006</v>
      </c>
      <c r="C8" s="197" t="s">
        <v>298</v>
      </c>
      <c r="D8" s="198" t="s">
        <v>335</v>
      </c>
      <c r="E8" s="197" t="s">
        <v>294</v>
      </c>
      <c r="F8" s="197" t="s">
        <v>216</v>
      </c>
      <c r="G8" s="199">
        <v>0.13689999999999999</v>
      </c>
      <c r="H8" s="200">
        <v>168</v>
      </c>
      <c r="I8" s="200">
        <v>23</v>
      </c>
      <c r="J8" s="200">
        <v>0</v>
      </c>
      <c r="K8" s="197" t="s">
        <v>217</v>
      </c>
      <c r="L8" s="201">
        <v>45983</v>
      </c>
      <c r="M8" s="200">
        <v>0</v>
      </c>
      <c r="N8" s="200">
        <v>11</v>
      </c>
      <c r="O8" s="200">
        <v>14</v>
      </c>
      <c r="P8" s="197" t="s">
        <v>243</v>
      </c>
      <c r="Q8" s="193"/>
      <c r="R8" s="193"/>
      <c r="S8" s="193"/>
      <c r="T8" s="193"/>
      <c r="U8" s="193"/>
      <c r="V8" s="193"/>
      <c r="W8" s="193"/>
      <c r="X8" s="193"/>
      <c r="Y8" s="193"/>
      <c r="Z8" s="200" t="s">
        <v>268</v>
      </c>
      <c r="AA8" s="200" t="s">
        <v>235</v>
      </c>
      <c r="AB8" s="193"/>
      <c r="AC8" s="193"/>
      <c r="AD8" s="200" t="s">
        <v>348</v>
      </c>
      <c r="AE8" s="193"/>
      <c r="AF8" s="193"/>
      <c r="AG8" s="193"/>
      <c r="AH8" s="193"/>
      <c r="AI8" s="193"/>
      <c r="AJ8" s="193"/>
    </row>
    <row r="9" spans="1:36" x14ac:dyDescent="0.3">
      <c r="A9" s="195" t="s">
        <v>231</v>
      </c>
      <c r="B9" s="196">
        <v>46010</v>
      </c>
      <c r="C9" s="197" t="s">
        <v>298</v>
      </c>
      <c r="D9" s="198" t="s">
        <v>340</v>
      </c>
      <c r="E9" s="197" t="s">
        <v>294</v>
      </c>
      <c r="F9" s="197" t="s">
        <v>216</v>
      </c>
      <c r="G9" s="199">
        <v>8.3299999999999999E-2</v>
      </c>
      <c r="H9" s="200">
        <v>168</v>
      </c>
      <c r="I9" s="200">
        <v>14</v>
      </c>
      <c r="J9" s="200">
        <v>0</v>
      </c>
      <c r="K9" s="197" t="s">
        <v>217</v>
      </c>
      <c r="L9" s="201">
        <v>45984</v>
      </c>
      <c r="M9" s="200">
        <v>2</v>
      </c>
      <c r="N9" s="200">
        <v>0</v>
      </c>
      <c r="O9" s="200">
        <v>4</v>
      </c>
      <c r="P9" s="197" t="s">
        <v>269</v>
      </c>
      <c r="Q9" s="193"/>
      <c r="R9" s="193"/>
      <c r="S9" s="193"/>
      <c r="T9" s="193"/>
      <c r="U9" s="193"/>
      <c r="V9" s="193"/>
      <c r="W9" s="193"/>
      <c r="X9" s="193"/>
      <c r="Y9" s="193"/>
      <c r="Z9" s="200" t="s">
        <v>261</v>
      </c>
      <c r="AA9" s="193"/>
      <c r="AB9" s="193"/>
      <c r="AC9" s="200" t="s">
        <v>325</v>
      </c>
      <c r="AD9" s="200" t="s">
        <v>274</v>
      </c>
      <c r="AE9" s="200" t="s">
        <v>271</v>
      </c>
      <c r="AF9" s="193"/>
      <c r="AG9" s="193"/>
      <c r="AH9" s="193"/>
      <c r="AI9" s="193"/>
      <c r="AJ9" s="193"/>
    </row>
    <row r="10" spans="1:36" x14ac:dyDescent="0.3">
      <c r="A10" s="195" t="s">
        <v>334</v>
      </c>
      <c r="B10" s="196">
        <v>46013</v>
      </c>
      <c r="C10" s="197" t="s">
        <v>298</v>
      </c>
      <c r="D10" s="198" t="s">
        <v>335</v>
      </c>
      <c r="E10" s="197" t="s">
        <v>294</v>
      </c>
      <c r="F10" s="197" t="s">
        <v>216</v>
      </c>
      <c r="G10" s="199">
        <v>8.3299999999999999E-2</v>
      </c>
      <c r="H10" s="200">
        <v>168</v>
      </c>
      <c r="I10" s="200">
        <v>14</v>
      </c>
      <c r="J10" s="200">
        <v>0</v>
      </c>
      <c r="K10" s="197" t="s">
        <v>217</v>
      </c>
      <c r="L10" s="201">
        <v>45977</v>
      </c>
      <c r="M10" s="200">
        <v>0</v>
      </c>
      <c r="N10" s="200">
        <v>0</v>
      </c>
      <c r="O10" s="200">
        <v>1</v>
      </c>
      <c r="P10" s="197" t="s">
        <v>325</v>
      </c>
      <c r="Q10" s="193"/>
      <c r="R10" s="193"/>
      <c r="S10" s="193"/>
      <c r="T10" s="193"/>
      <c r="U10" s="193"/>
      <c r="V10" s="193"/>
      <c r="W10" s="193"/>
      <c r="X10" s="193"/>
      <c r="Y10" s="193"/>
      <c r="Z10" s="200" t="s">
        <v>250</v>
      </c>
      <c r="AA10" s="193"/>
      <c r="AB10" s="193"/>
      <c r="AC10" s="200" t="s">
        <v>227</v>
      </c>
      <c r="AD10" s="200" t="s">
        <v>279</v>
      </c>
      <c r="AE10" s="200" t="s">
        <v>254</v>
      </c>
      <c r="AF10" s="193"/>
      <c r="AG10" s="193"/>
      <c r="AH10" s="193"/>
      <c r="AI10" s="193"/>
      <c r="AJ10" s="193"/>
    </row>
    <row r="11" spans="1:36" x14ac:dyDescent="0.3">
      <c r="A11" s="195" t="s">
        <v>231</v>
      </c>
      <c r="B11" s="196">
        <v>46017</v>
      </c>
      <c r="C11" s="197" t="s">
        <v>298</v>
      </c>
      <c r="D11" s="198" t="s">
        <v>340</v>
      </c>
      <c r="E11" s="197" t="s">
        <v>294</v>
      </c>
      <c r="F11" s="197" t="s">
        <v>216</v>
      </c>
      <c r="G11" s="199">
        <v>0.13689999999999999</v>
      </c>
      <c r="H11" s="200">
        <v>168</v>
      </c>
      <c r="I11" s="200">
        <v>23</v>
      </c>
      <c r="J11" s="200">
        <v>0</v>
      </c>
      <c r="K11" s="197" t="s">
        <v>217</v>
      </c>
      <c r="L11" s="201">
        <v>45983</v>
      </c>
      <c r="M11" s="200">
        <v>0</v>
      </c>
      <c r="N11" s="200">
        <v>4</v>
      </c>
      <c r="O11" s="200">
        <v>7</v>
      </c>
      <c r="P11" s="197" t="s">
        <v>329</v>
      </c>
      <c r="Q11" s="193"/>
      <c r="R11" s="193"/>
      <c r="S11" s="193"/>
      <c r="T11" s="193"/>
      <c r="U11" s="193"/>
      <c r="V11" s="193"/>
      <c r="W11" s="193"/>
      <c r="X11" s="193"/>
      <c r="Y11" s="193"/>
      <c r="Z11" s="200" t="s">
        <v>250</v>
      </c>
      <c r="AA11" s="200" t="s">
        <v>242</v>
      </c>
      <c r="AB11" s="193"/>
      <c r="AC11" s="200" t="s">
        <v>247</v>
      </c>
      <c r="AD11" s="200" t="s">
        <v>81</v>
      </c>
      <c r="AE11" s="193"/>
      <c r="AF11" s="193"/>
      <c r="AG11" s="193"/>
      <c r="AH11" s="193"/>
      <c r="AI11" s="193"/>
      <c r="AJ11" s="193"/>
    </row>
    <row r="12" spans="1:36" x14ac:dyDescent="0.3">
      <c r="A12" s="195" t="s">
        <v>334</v>
      </c>
      <c r="B12" s="196">
        <v>46020</v>
      </c>
      <c r="C12" s="197" t="s">
        <v>298</v>
      </c>
      <c r="D12" s="198" t="s">
        <v>335</v>
      </c>
      <c r="E12" s="197" t="s">
        <v>294</v>
      </c>
      <c r="F12" s="197" t="s">
        <v>216</v>
      </c>
      <c r="G12" s="199">
        <v>0.11310000000000001</v>
      </c>
      <c r="H12" s="200">
        <v>168</v>
      </c>
      <c r="I12" s="200">
        <v>19</v>
      </c>
      <c r="J12" s="200">
        <v>0</v>
      </c>
      <c r="K12" s="197" t="s">
        <v>217</v>
      </c>
      <c r="L12" s="201">
        <v>45980</v>
      </c>
      <c r="M12" s="200">
        <v>0</v>
      </c>
      <c r="N12" s="200">
        <v>0</v>
      </c>
      <c r="O12" s="200">
        <v>6</v>
      </c>
      <c r="P12" s="197" t="s">
        <v>257</v>
      </c>
      <c r="Q12" s="193"/>
      <c r="R12" s="193"/>
      <c r="S12" s="193"/>
      <c r="T12" s="193"/>
      <c r="U12" s="193"/>
      <c r="V12" s="193"/>
      <c r="W12" s="193"/>
      <c r="X12" s="193"/>
      <c r="Y12" s="193"/>
      <c r="Z12" s="200" t="s">
        <v>349</v>
      </c>
      <c r="AA12" s="193"/>
      <c r="AB12" s="200" t="s">
        <v>350</v>
      </c>
      <c r="AC12" s="200" t="s">
        <v>351</v>
      </c>
      <c r="AD12" s="200" t="s">
        <v>270</v>
      </c>
      <c r="AE12" s="200" t="s">
        <v>254</v>
      </c>
      <c r="AF12" s="193"/>
      <c r="AG12" s="193"/>
      <c r="AH12" s="193"/>
      <c r="AI12" s="193"/>
      <c r="AJ12" s="193"/>
    </row>
    <row r="13" spans="1:36" ht="21" x14ac:dyDescent="0.3">
      <c r="A13" s="202" t="s">
        <v>659</v>
      </c>
      <c r="B13" s="203"/>
      <c r="C13" s="202">
        <f>SUBTOTAL(103,DMM_ATZ_LF_LEGACY[Flt])</f>
        <v>11</v>
      </c>
      <c r="D13" s="202"/>
      <c r="E13" s="202">
        <f>SUBTOTAL(103,DMM_ATZ_LF_LEGACY[Brd-Off])</f>
        <v>11</v>
      </c>
      <c r="F13" s="202"/>
      <c r="G13" s="204">
        <f>SUBTOTAL(101,DMM_ATZ_LF_LEGACY[LF%])</f>
        <v>0.24619999999999997</v>
      </c>
      <c r="H13" s="205">
        <f>SUBTOTAL(109,DMM_ATZ_LF_LEGACY[CAP])</f>
        <v>1848</v>
      </c>
      <c r="I13" s="205">
        <f>SUBTOTAL(109,DMM_ATZ_LF_LEGACY[BKG(Y)])</f>
        <v>455</v>
      </c>
      <c r="J13" s="205">
        <f>SUBTOTAL(109,DMM_ATZ_LF_LEGACY[GRP(Y)])</f>
        <v>0</v>
      </c>
      <c r="K13" s="202"/>
      <c r="L13" s="203"/>
      <c r="M13" s="205">
        <f>SUBTOTAL(109,DMM_ATZ_LF_LEGACY[TO-DAY])</f>
        <v>12</v>
      </c>
      <c r="N13" s="205">
        <f>SUBTOTAL(109,DMM_ATZ_LF_LEGACY[Y-DAY])</f>
        <v>38</v>
      </c>
      <c r="O13" s="205">
        <f>SUBTOTAL(109,DMM_ATZ_LF_LEGACY[WEEKLY])</f>
        <v>161</v>
      </c>
      <c r="P13" s="206"/>
      <c r="Q13" s="205">
        <f>SUBTOTAL(109,DMM_ATZ_LF_LEGACY[Y])</f>
        <v>0</v>
      </c>
      <c r="R13" s="205">
        <f>SUBTOTAL(109,DMM_ATZ_LF_LEGACY[B])</f>
        <v>0</v>
      </c>
      <c r="S13" s="205">
        <f>SUBTOTAL(109,DMM_ATZ_LF_LEGACY[M])</f>
        <v>0</v>
      </c>
      <c r="T13" s="205">
        <f>SUBTOTAL(109,DMM_ATZ_LF_LEGACY[H])</f>
        <v>0</v>
      </c>
      <c r="U13" s="205">
        <f>SUBTOTAL(109,DMM_ATZ_LF_LEGACY[Q])</f>
        <v>0</v>
      </c>
      <c r="V13" s="205">
        <f>SUBTOTAL(109,DMM_ATZ_LF_LEGACY[K])</f>
        <v>0</v>
      </c>
      <c r="W13" s="205">
        <f>SUBTOTAL(109,DMM_ATZ_LF_LEGACY[V])</f>
        <v>0</v>
      </c>
      <c r="X13" s="205">
        <f>SUBTOTAL(109,DMM_ATZ_LF_LEGACY[L])</f>
        <v>0</v>
      </c>
      <c r="Y13" s="205">
        <f>SUBTOTAL(109,DMM_ATZ_LF_LEGACY[G])</f>
        <v>0</v>
      </c>
      <c r="Z13" s="205">
        <f>SUBTOTAL(109,DMM_ATZ_LF_LEGACY[S])</f>
        <v>0</v>
      </c>
      <c r="AA13" s="205">
        <f>SUBTOTAL(109,DMM_ATZ_LF_LEGACY[W])</f>
        <v>0</v>
      </c>
      <c r="AB13" s="205">
        <f>SUBTOTAL(109,DMM_ATZ_LF_LEGACY[T])</f>
        <v>0</v>
      </c>
      <c r="AC13" s="205">
        <f>SUBTOTAL(109,DMM_ATZ_LF_LEGACY[X])</f>
        <v>0</v>
      </c>
      <c r="AD13" s="205">
        <f>SUBTOTAL(109,DMM_ATZ_LF_LEGACY[U])</f>
        <v>0</v>
      </c>
      <c r="AE13" s="205">
        <f>SUBTOTAL(109,DMM_ATZ_LF_LEGACY[O])</f>
        <v>0</v>
      </c>
      <c r="AF13" s="205">
        <f>SUBTOTAL(109,DMM_ATZ_LF_LEGACY[I])</f>
        <v>0</v>
      </c>
      <c r="AG13" s="205">
        <f>SUBTOTAL(109,DMM_ATZ_LF_LEGACY[E])</f>
        <v>0</v>
      </c>
      <c r="AH13" s="205">
        <f>SUBTOTAL(109,DMM_ATZ_LF_LEGACY[A])</f>
        <v>0</v>
      </c>
      <c r="AI13" s="205">
        <f>SUBTOTAL(109,DMM_ATZ_LF_LEGACY[P])</f>
        <v>0</v>
      </c>
      <c r="AJ13" s="205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6"/>
  <sheetViews>
    <sheetView workbookViewId="0">
      <selection activeCell="E11" sqref="E11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  <col min="9" max="9" width="183" hidden="1" customWidth="1"/>
  </cols>
  <sheetData>
    <row r="1" spans="1:8" ht="18" x14ac:dyDescent="0.3">
      <c r="A1" s="108" t="s">
        <v>282</v>
      </c>
      <c r="B1" s="109" t="s">
        <v>10</v>
      </c>
      <c r="C1" s="109" t="s">
        <v>11</v>
      </c>
      <c r="D1" s="109" t="s">
        <v>283</v>
      </c>
      <c r="E1" s="109" t="s">
        <v>12</v>
      </c>
      <c r="F1" s="109" t="s">
        <v>13</v>
      </c>
      <c r="G1" s="109" t="s">
        <v>14</v>
      </c>
      <c r="H1" s="110" t="s">
        <v>15</v>
      </c>
    </row>
    <row r="2" spans="1:8" ht="19.8" customHeight="1" x14ac:dyDescent="0.3">
      <c r="A2" s="146"/>
      <c r="B2" s="147"/>
      <c r="C2" s="147"/>
      <c r="D2" s="147"/>
      <c r="E2" s="147"/>
      <c r="F2" s="148" t="s">
        <v>352</v>
      </c>
      <c r="G2" s="147"/>
      <c r="H2" s="149"/>
    </row>
    <row r="3" spans="1:8" ht="19.8" customHeight="1" x14ac:dyDescent="0.3">
      <c r="A3" s="111" t="s">
        <v>3</v>
      </c>
      <c r="B3" s="112" t="s">
        <v>28</v>
      </c>
      <c r="C3" s="113" t="s">
        <v>29</v>
      </c>
      <c r="D3" s="112" t="s">
        <v>1</v>
      </c>
      <c r="E3" s="112" t="s">
        <v>284</v>
      </c>
      <c r="F3" s="112" t="s">
        <v>30</v>
      </c>
      <c r="G3" s="114">
        <v>9</v>
      </c>
      <c r="H3" s="115">
        <v>563</v>
      </c>
    </row>
    <row r="4" spans="1:8" ht="19.8" customHeight="1" x14ac:dyDescent="0.3">
      <c r="A4" s="111" t="s">
        <v>3</v>
      </c>
      <c r="B4" s="112" t="s">
        <v>33</v>
      </c>
      <c r="C4" s="113" t="s">
        <v>34</v>
      </c>
      <c r="D4" s="112" t="s">
        <v>1</v>
      </c>
      <c r="E4" s="112" t="s">
        <v>285</v>
      </c>
      <c r="F4" s="112" t="s">
        <v>35</v>
      </c>
      <c r="G4" s="114">
        <v>9</v>
      </c>
      <c r="H4" s="115">
        <v>709</v>
      </c>
    </row>
    <row r="5" spans="1:8" ht="19.8" customHeight="1" x14ac:dyDescent="0.3">
      <c r="A5" s="111" t="s">
        <v>3</v>
      </c>
      <c r="B5" s="112" t="s">
        <v>33</v>
      </c>
      <c r="C5" s="113" t="s">
        <v>34</v>
      </c>
      <c r="D5" s="112" t="s">
        <v>1</v>
      </c>
      <c r="E5" s="112" t="s">
        <v>285</v>
      </c>
      <c r="F5" s="112" t="s">
        <v>38</v>
      </c>
      <c r="G5" s="114">
        <v>9</v>
      </c>
      <c r="H5" s="115">
        <v>809</v>
      </c>
    </row>
    <row r="6" spans="1:8" ht="19.8" customHeight="1" x14ac:dyDescent="0.3">
      <c r="A6" s="111" t="s">
        <v>3</v>
      </c>
      <c r="B6" s="112" t="s">
        <v>33</v>
      </c>
      <c r="C6" s="113" t="s">
        <v>34</v>
      </c>
      <c r="D6" s="112" t="s">
        <v>1</v>
      </c>
      <c r="E6" s="112" t="s">
        <v>285</v>
      </c>
      <c r="F6" s="112" t="s">
        <v>41</v>
      </c>
      <c r="G6" s="114">
        <v>9</v>
      </c>
      <c r="H6" s="115">
        <v>899</v>
      </c>
    </row>
    <row r="7" spans="1:8" ht="19.8" customHeight="1" x14ac:dyDescent="0.3">
      <c r="A7" s="116" t="s">
        <v>3</v>
      </c>
      <c r="B7" s="117" t="s">
        <v>43</v>
      </c>
      <c r="C7" s="118" t="s">
        <v>44</v>
      </c>
      <c r="D7" s="117" t="s">
        <v>1</v>
      </c>
      <c r="E7" s="117" t="s">
        <v>286</v>
      </c>
      <c r="F7" s="117" t="s">
        <v>45</v>
      </c>
      <c r="G7" s="119">
        <v>9</v>
      </c>
      <c r="H7" s="120">
        <v>952</v>
      </c>
    </row>
    <row r="8" spans="1:8" ht="19.8" customHeight="1" x14ac:dyDescent="0.3">
      <c r="A8" s="123" t="s">
        <v>287</v>
      </c>
      <c r="B8" s="124" t="s">
        <v>76</v>
      </c>
      <c r="C8" s="125" t="s">
        <v>295</v>
      </c>
      <c r="D8" s="124" t="s">
        <v>294</v>
      </c>
      <c r="E8" s="124" t="s">
        <v>335</v>
      </c>
      <c r="F8" s="124"/>
      <c r="G8" s="124"/>
      <c r="H8" s="150" t="s">
        <v>297</v>
      </c>
    </row>
    <row r="9" spans="1:8" ht="19.8" customHeight="1" x14ac:dyDescent="0.3">
      <c r="A9" s="146"/>
      <c r="B9" s="147"/>
      <c r="C9" s="147"/>
      <c r="D9" s="147"/>
      <c r="E9" s="147"/>
      <c r="F9" s="148" t="s">
        <v>352</v>
      </c>
      <c r="G9" s="147"/>
      <c r="H9" s="149"/>
    </row>
    <row r="10" spans="1:8" ht="19.8" customHeight="1" x14ac:dyDescent="0.3">
      <c r="A10" s="128">
        <v>45985</v>
      </c>
      <c r="B10" s="112" t="s">
        <v>28</v>
      </c>
      <c r="C10" s="113" t="s">
        <v>47</v>
      </c>
      <c r="D10" s="112" t="s">
        <v>1</v>
      </c>
      <c r="E10" s="129">
        <v>1.958333333333333</v>
      </c>
      <c r="F10" s="112" t="s">
        <v>30</v>
      </c>
      <c r="G10" s="114">
        <v>9</v>
      </c>
      <c r="H10" s="115">
        <v>439</v>
      </c>
    </row>
    <row r="11" spans="1:8" ht="19.8" customHeight="1" x14ac:dyDescent="0.3">
      <c r="A11" s="128">
        <v>45985</v>
      </c>
      <c r="B11" s="112" t="s">
        <v>43</v>
      </c>
      <c r="C11" s="113" t="s">
        <v>44</v>
      </c>
      <c r="D11" s="112" t="s">
        <v>1</v>
      </c>
      <c r="E11" s="129">
        <v>1.881944444444444</v>
      </c>
      <c r="F11" s="112" t="s">
        <v>45</v>
      </c>
      <c r="G11" s="114">
        <v>9</v>
      </c>
      <c r="H11" s="115">
        <v>862</v>
      </c>
    </row>
    <row r="12" spans="1:8" ht="19.8" customHeight="1" x14ac:dyDescent="0.3">
      <c r="A12" s="128">
        <v>45985</v>
      </c>
      <c r="B12" s="112" t="s">
        <v>43</v>
      </c>
      <c r="C12" s="113" t="s">
        <v>50</v>
      </c>
      <c r="D12" s="112" t="s">
        <v>1</v>
      </c>
      <c r="E12" s="129">
        <v>1.5138888888888891</v>
      </c>
      <c r="F12" s="112" t="s">
        <v>45</v>
      </c>
      <c r="G12" s="114">
        <v>9</v>
      </c>
      <c r="H12" s="115">
        <v>952</v>
      </c>
    </row>
    <row r="13" spans="1:8" ht="19.8" customHeight="1" x14ac:dyDescent="0.3">
      <c r="A13" s="128">
        <v>45985</v>
      </c>
      <c r="B13" s="112" t="s">
        <v>43</v>
      </c>
      <c r="C13" s="113" t="s">
        <v>52</v>
      </c>
      <c r="D13" s="112" t="s">
        <v>1</v>
      </c>
      <c r="E13" s="129">
        <v>1.1701388888888891</v>
      </c>
      <c r="F13" s="112" t="s">
        <v>45</v>
      </c>
      <c r="G13" s="114">
        <v>9</v>
      </c>
      <c r="H13" s="121" t="s">
        <v>53</v>
      </c>
    </row>
    <row r="14" spans="1:8" ht="19.8" customHeight="1" x14ac:dyDescent="0.3">
      <c r="A14" s="130">
        <v>45985</v>
      </c>
      <c r="B14" s="117" t="s">
        <v>54</v>
      </c>
      <c r="C14" s="118" t="s">
        <v>55</v>
      </c>
      <c r="D14" s="117" t="s">
        <v>1</v>
      </c>
      <c r="E14" s="131">
        <v>1.305555555555556</v>
      </c>
      <c r="F14" s="117" t="s">
        <v>56</v>
      </c>
      <c r="G14" s="119">
        <v>4</v>
      </c>
      <c r="H14" s="122" t="s">
        <v>58</v>
      </c>
    </row>
    <row r="15" spans="1:8" ht="19.8" customHeight="1" x14ac:dyDescent="0.3">
      <c r="A15" s="146"/>
      <c r="B15" s="147"/>
      <c r="C15" s="147"/>
      <c r="D15" s="147"/>
      <c r="E15" s="147"/>
      <c r="F15" s="148" t="s">
        <v>352</v>
      </c>
      <c r="G15" s="147"/>
      <c r="H15" s="149"/>
    </row>
    <row r="16" spans="1:8" ht="19.8" customHeight="1" x14ac:dyDescent="0.3">
      <c r="A16" s="128">
        <v>45986</v>
      </c>
      <c r="B16" s="112" t="s">
        <v>59</v>
      </c>
      <c r="C16" s="113" t="s">
        <v>60</v>
      </c>
      <c r="D16" s="112" t="s">
        <v>1</v>
      </c>
      <c r="E16" s="129">
        <v>1.305555555555556</v>
      </c>
      <c r="F16" s="112" t="s">
        <v>61</v>
      </c>
      <c r="G16" s="114">
        <v>5</v>
      </c>
      <c r="H16" s="115">
        <v>369</v>
      </c>
    </row>
    <row r="17" spans="1:8" ht="19.8" customHeight="1" x14ac:dyDescent="0.3">
      <c r="A17" s="128">
        <v>45986</v>
      </c>
      <c r="B17" s="112" t="s">
        <v>33</v>
      </c>
      <c r="C17" s="113" t="s">
        <v>68</v>
      </c>
      <c r="D17" s="112" t="s">
        <v>1</v>
      </c>
      <c r="E17" s="129">
        <v>1.197916666666667</v>
      </c>
      <c r="F17" s="112" t="s">
        <v>35</v>
      </c>
      <c r="G17" s="114">
        <v>5</v>
      </c>
      <c r="H17" s="115">
        <v>379</v>
      </c>
    </row>
    <row r="18" spans="1:8" ht="19.8" customHeight="1" x14ac:dyDescent="0.3">
      <c r="A18" s="128">
        <v>45986</v>
      </c>
      <c r="B18" s="112" t="s">
        <v>28</v>
      </c>
      <c r="C18" s="113" t="s">
        <v>75</v>
      </c>
      <c r="D18" s="112" t="s">
        <v>1</v>
      </c>
      <c r="E18" s="129">
        <v>1.958333333333333</v>
      </c>
      <c r="F18" s="112" t="s">
        <v>30</v>
      </c>
      <c r="G18" s="114">
        <v>9</v>
      </c>
      <c r="H18" s="115">
        <v>439</v>
      </c>
    </row>
    <row r="19" spans="1:8" ht="19.8" customHeight="1" x14ac:dyDescent="0.3">
      <c r="A19" s="128">
        <v>45986</v>
      </c>
      <c r="B19" s="112" t="s">
        <v>33</v>
      </c>
      <c r="C19" s="113" t="s">
        <v>34</v>
      </c>
      <c r="D19" s="112" t="s">
        <v>1</v>
      </c>
      <c r="E19" s="129">
        <v>1.833333333333333</v>
      </c>
      <c r="F19" s="112" t="s">
        <v>35</v>
      </c>
      <c r="G19" s="114">
        <v>9</v>
      </c>
      <c r="H19" s="115">
        <v>439</v>
      </c>
    </row>
    <row r="20" spans="1:8" ht="19.8" customHeight="1" x14ac:dyDescent="0.3">
      <c r="A20" s="128">
        <v>45986</v>
      </c>
      <c r="B20" s="112" t="s">
        <v>33</v>
      </c>
      <c r="C20" s="113" t="s">
        <v>68</v>
      </c>
      <c r="D20" s="112" t="s">
        <v>1</v>
      </c>
      <c r="E20" s="129">
        <v>1.197916666666667</v>
      </c>
      <c r="F20" s="112" t="s">
        <v>38</v>
      </c>
      <c r="G20" s="114">
        <v>5</v>
      </c>
      <c r="H20" s="115">
        <v>479</v>
      </c>
    </row>
    <row r="21" spans="1:8" ht="19.8" customHeight="1" x14ac:dyDescent="0.3">
      <c r="A21" s="128">
        <v>45986</v>
      </c>
      <c r="B21" s="112" t="s">
        <v>76</v>
      </c>
      <c r="C21" s="113" t="s">
        <v>77</v>
      </c>
      <c r="D21" s="112" t="s">
        <v>1</v>
      </c>
      <c r="E21" s="129">
        <v>1.270833333333333</v>
      </c>
      <c r="F21" s="112" t="s">
        <v>30</v>
      </c>
      <c r="G21" s="114">
        <v>6</v>
      </c>
      <c r="H21" s="115">
        <v>485</v>
      </c>
    </row>
    <row r="22" spans="1:8" ht="19.8" customHeight="1" x14ac:dyDescent="0.3">
      <c r="A22" s="128">
        <v>45986</v>
      </c>
      <c r="B22" s="112" t="s">
        <v>59</v>
      </c>
      <c r="C22" s="113" t="s">
        <v>60</v>
      </c>
      <c r="D22" s="112" t="s">
        <v>1</v>
      </c>
      <c r="E22" s="129">
        <v>1.305555555555556</v>
      </c>
      <c r="F22" s="112" t="s">
        <v>64</v>
      </c>
      <c r="G22" s="114">
        <v>5</v>
      </c>
      <c r="H22" s="115">
        <v>519</v>
      </c>
    </row>
    <row r="23" spans="1:8" ht="19.8" customHeight="1" x14ac:dyDescent="0.3">
      <c r="A23" s="128">
        <v>45986</v>
      </c>
      <c r="B23" s="112" t="s">
        <v>33</v>
      </c>
      <c r="C23" s="113" t="s">
        <v>34</v>
      </c>
      <c r="D23" s="112" t="s">
        <v>1</v>
      </c>
      <c r="E23" s="129">
        <v>1.833333333333333</v>
      </c>
      <c r="F23" s="112" t="s">
        <v>38</v>
      </c>
      <c r="G23" s="114">
        <v>9</v>
      </c>
      <c r="H23" s="115">
        <v>539</v>
      </c>
    </row>
    <row r="24" spans="1:8" ht="19.8" customHeight="1" x14ac:dyDescent="0.3">
      <c r="A24" s="128">
        <v>45986</v>
      </c>
      <c r="B24" s="112" t="s">
        <v>43</v>
      </c>
      <c r="C24" s="113" t="s">
        <v>52</v>
      </c>
      <c r="D24" s="112" t="s">
        <v>1</v>
      </c>
      <c r="E24" s="129">
        <v>1.1701388888888891</v>
      </c>
      <c r="F24" s="112" t="s">
        <v>45</v>
      </c>
      <c r="G24" s="114">
        <v>9</v>
      </c>
      <c r="H24" s="115">
        <v>547</v>
      </c>
    </row>
    <row r="25" spans="1:8" ht="19.8" customHeight="1" x14ac:dyDescent="0.3">
      <c r="A25" s="130">
        <v>45986</v>
      </c>
      <c r="B25" s="117" t="s">
        <v>33</v>
      </c>
      <c r="C25" s="118" t="s">
        <v>68</v>
      </c>
      <c r="D25" s="117" t="s">
        <v>1</v>
      </c>
      <c r="E25" s="131">
        <v>1.197916666666667</v>
      </c>
      <c r="F25" s="117" t="s">
        <v>41</v>
      </c>
      <c r="G25" s="119">
        <v>5</v>
      </c>
      <c r="H25" s="120">
        <v>569</v>
      </c>
    </row>
    <row r="26" spans="1:8" ht="19.8" customHeight="1" x14ac:dyDescent="0.3">
      <c r="A26" s="146"/>
      <c r="B26" s="147"/>
      <c r="C26" s="147"/>
      <c r="D26" s="147"/>
      <c r="E26" s="147"/>
      <c r="F26" s="148" t="s">
        <v>352</v>
      </c>
      <c r="G26" s="147"/>
      <c r="H26" s="149"/>
    </row>
    <row r="27" spans="1:8" ht="19.8" customHeight="1" x14ac:dyDescent="0.3">
      <c r="A27" s="128">
        <v>45987</v>
      </c>
      <c r="B27" s="112" t="s">
        <v>59</v>
      </c>
      <c r="C27" s="113" t="s">
        <v>60</v>
      </c>
      <c r="D27" s="112" t="s">
        <v>1</v>
      </c>
      <c r="E27" s="129">
        <v>1.305555555555556</v>
      </c>
      <c r="F27" s="112" t="s">
        <v>86</v>
      </c>
      <c r="G27" s="114">
        <v>19</v>
      </c>
      <c r="H27" s="115">
        <v>369</v>
      </c>
    </row>
    <row r="28" spans="1:8" ht="19.8" customHeight="1" x14ac:dyDescent="0.3">
      <c r="A28" s="128">
        <v>45987</v>
      </c>
      <c r="B28" s="112" t="s">
        <v>33</v>
      </c>
      <c r="C28" s="113" t="s">
        <v>34</v>
      </c>
      <c r="D28" s="112" t="s">
        <v>1</v>
      </c>
      <c r="E28" s="129">
        <v>1.833333333333333</v>
      </c>
      <c r="F28" s="112" t="s">
        <v>88</v>
      </c>
      <c r="G28" s="114">
        <v>7</v>
      </c>
      <c r="H28" s="115">
        <v>409</v>
      </c>
    </row>
    <row r="29" spans="1:8" ht="19.8" customHeight="1" x14ac:dyDescent="0.3">
      <c r="A29" s="128">
        <v>45987</v>
      </c>
      <c r="B29" s="112" t="s">
        <v>28</v>
      </c>
      <c r="C29" s="113" t="s">
        <v>47</v>
      </c>
      <c r="D29" s="112" t="s">
        <v>1</v>
      </c>
      <c r="E29" s="129">
        <v>1.895833333333333</v>
      </c>
      <c r="F29" s="112" t="s">
        <v>30</v>
      </c>
      <c r="G29" s="114">
        <v>9</v>
      </c>
      <c r="H29" s="115">
        <v>439</v>
      </c>
    </row>
    <row r="30" spans="1:8" ht="19.8" customHeight="1" x14ac:dyDescent="0.3">
      <c r="A30" s="128">
        <v>45987</v>
      </c>
      <c r="B30" s="112" t="s">
        <v>43</v>
      </c>
      <c r="C30" s="113" t="s">
        <v>52</v>
      </c>
      <c r="D30" s="112" t="s">
        <v>1</v>
      </c>
      <c r="E30" s="129">
        <v>1.1701388888888891</v>
      </c>
      <c r="F30" s="112" t="s">
        <v>91</v>
      </c>
      <c r="G30" s="114">
        <v>9</v>
      </c>
      <c r="H30" s="115">
        <v>441</v>
      </c>
    </row>
    <row r="31" spans="1:8" ht="19.8" customHeight="1" x14ac:dyDescent="0.3">
      <c r="A31" s="128">
        <v>45987</v>
      </c>
      <c r="B31" s="112" t="s">
        <v>43</v>
      </c>
      <c r="C31" s="113" t="s">
        <v>44</v>
      </c>
      <c r="D31" s="112" t="s">
        <v>1</v>
      </c>
      <c r="E31" s="129">
        <v>1.864583333333333</v>
      </c>
      <c r="F31" s="112" t="s">
        <v>45</v>
      </c>
      <c r="G31" s="114">
        <v>9</v>
      </c>
      <c r="H31" s="115">
        <v>682</v>
      </c>
    </row>
    <row r="32" spans="1:8" ht="19.8" customHeight="1" x14ac:dyDescent="0.3">
      <c r="A32" s="128">
        <v>45987</v>
      </c>
      <c r="B32" s="112" t="s">
        <v>43</v>
      </c>
      <c r="C32" s="113" t="s">
        <v>50</v>
      </c>
      <c r="D32" s="112" t="s">
        <v>1</v>
      </c>
      <c r="E32" s="129">
        <v>1.5277777777777779</v>
      </c>
      <c r="F32" s="112" t="s">
        <v>45</v>
      </c>
      <c r="G32" s="114">
        <v>9</v>
      </c>
      <c r="H32" s="115">
        <v>749</v>
      </c>
    </row>
    <row r="33" spans="1:8" ht="19.8" customHeight="1" x14ac:dyDescent="0.3">
      <c r="A33" s="130">
        <v>45987</v>
      </c>
      <c r="B33" s="117" t="s">
        <v>54</v>
      </c>
      <c r="C33" s="118" t="s">
        <v>55</v>
      </c>
      <c r="D33" s="117" t="s">
        <v>1</v>
      </c>
      <c r="E33" s="131">
        <v>1.305555555555556</v>
      </c>
      <c r="F33" s="117" t="s">
        <v>56</v>
      </c>
      <c r="G33" s="119">
        <v>4</v>
      </c>
      <c r="H33" s="122" t="s">
        <v>85</v>
      </c>
    </row>
    <row r="34" spans="1:8" ht="19.8" customHeight="1" x14ac:dyDescent="0.3">
      <c r="A34" s="146"/>
      <c r="B34" s="147"/>
      <c r="C34" s="147"/>
      <c r="D34" s="147"/>
      <c r="E34" s="147"/>
      <c r="F34" s="148" t="s">
        <v>352</v>
      </c>
      <c r="G34" s="147"/>
      <c r="H34" s="149"/>
    </row>
    <row r="35" spans="1:8" ht="19.8" customHeight="1" x14ac:dyDescent="0.3">
      <c r="A35" s="128">
        <v>45988</v>
      </c>
      <c r="B35" s="112" t="s">
        <v>59</v>
      </c>
      <c r="C35" s="113" t="s">
        <v>60</v>
      </c>
      <c r="D35" s="112" t="s">
        <v>1</v>
      </c>
      <c r="E35" s="129">
        <v>1.305555555555556</v>
      </c>
      <c r="F35" s="112" t="s">
        <v>61</v>
      </c>
      <c r="G35" s="114">
        <v>1</v>
      </c>
      <c r="H35" s="115">
        <v>339</v>
      </c>
    </row>
    <row r="36" spans="1:8" ht="19.8" customHeight="1" x14ac:dyDescent="0.3">
      <c r="A36" s="128">
        <v>45988</v>
      </c>
      <c r="B36" s="112" t="s">
        <v>33</v>
      </c>
      <c r="C36" s="113" t="s">
        <v>68</v>
      </c>
      <c r="D36" s="112" t="s">
        <v>1</v>
      </c>
      <c r="E36" s="129">
        <v>1.197916666666667</v>
      </c>
      <c r="F36" s="112" t="s">
        <v>35</v>
      </c>
      <c r="G36" s="114">
        <v>9</v>
      </c>
      <c r="H36" s="115">
        <v>349</v>
      </c>
    </row>
    <row r="37" spans="1:8" ht="19.8" customHeight="1" x14ac:dyDescent="0.3">
      <c r="A37" s="128">
        <v>45988</v>
      </c>
      <c r="B37" s="112" t="s">
        <v>102</v>
      </c>
      <c r="C37" s="113" t="s">
        <v>103</v>
      </c>
      <c r="D37" s="112" t="s">
        <v>1</v>
      </c>
      <c r="E37" s="129">
        <v>1.8888888888888891</v>
      </c>
      <c r="F37" s="112" t="s">
        <v>30</v>
      </c>
      <c r="G37" s="114">
        <v>9</v>
      </c>
      <c r="H37" s="115">
        <v>371</v>
      </c>
    </row>
    <row r="38" spans="1:8" ht="19.8" customHeight="1" x14ac:dyDescent="0.3">
      <c r="A38" s="128">
        <v>45988</v>
      </c>
      <c r="B38" s="112" t="s">
        <v>102</v>
      </c>
      <c r="C38" s="113" t="s">
        <v>105</v>
      </c>
      <c r="D38" s="112" t="s">
        <v>1</v>
      </c>
      <c r="E38" s="129">
        <v>1.2847222222222221</v>
      </c>
      <c r="F38" s="112" t="s">
        <v>30</v>
      </c>
      <c r="G38" s="114">
        <v>9</v>
      </c>
      <c r="H38" s="115">
        <v>371</v>
      </c>
    </row>
    <row r="39" spans="1:8" ht="19.8" customHeight="1" x14ac:dyDescent="0.3">
      <c r="A39" s="128">
        <v>45988</v>
      </c>
      <c r="B39" s="112" t="s">
        <v>33</v>
      </c>
      <c r="C39" s="113" t="s">
        <v>34</v>
      </c>
      <c r="D39" s="112" t="s">
        <v>1</v>
      </c>
      <c r="E39" s="129">
        <v>1.833333333333333</v>
      </c>
      <c r="F39" s="112" t="s">
        <v>35</v>
      </c>
      <c r="G39" s="114">
        <v>9</v>
      </c>
      <c r="H39" s="115">
        <v>409</v>
      </c>
    </row>
    <row r="40" spans="1:8" ht="19.8" customHeight="1" x14ac:dyDescent="0.3">
      <c r="A40" s="128">
        <v>45988</v>
      </c>
      <c r="B40" s="112" t="s">
        <v>43</v>
      </c>
      <c r="C40" s="113" t="s">
        <v>52</v>
      </c>
      <c r="D40" s="112" t="s">
        <v>1</v>
      </c>
      <c r="E40" s="129">
        <v>1.1701388888888891</v>
      </c>
      <c r="F40" s="112" t="s">
        <v>106</v>
      </c>
      <c r="G40" s="114">
        <v>9</v>
      </c>
      <c r="H40" s="115">
        <v>415</v>
      </c>
    </row>
    <row r="41" spans="1:8" ht="19.8" customHeight="1" x14ac:dyDescent="0.3">
      <c r="A41" s="128">
        <v>45988</v>
      </c>
      <c r="B41" s="112" t="s">
        <v>43</v>
      </c>
      <c r="C41" s="113" t="s">
        <v>50</v>
      </c>
      <c r="D41" s="112" t="s">
        <v>1</v>
      </c>
      <c r="E41" s="129">
        <v>1.5277777777777779</v>
      </c>
      <c r="F41" s="112" t="s">
        <v>91</v>
      </c>
      <c r="G41" s="114">
        <v>9</v>
      </c>
      <c r="H41" s="115">
        <v>437</v>
      </c>
    </row>
    <row r="42" spans="1:8" ht="19.8" customHeight="1" x14ac:dyDescent="0.3">
      <c r="A42" s="128">
        <v>45988</v>
      </c>
      <c r="B42" s="112" t="s">
        <v>28</v>
      </c>
      <c r="C42" s="113" t="s">
        <v>29</v>
      </c>
      <c r="D42" s="112" t="s">
        <v>1</v>
      </c>
      <c r="E42" s="129">
        <v>1.5625</v>
      </c>
      <c r="F42" s="112" t="s">
        <v>30</v>
      </c>
      <c r="G42" s="114">
        <v>9</v>
      </c>
      <c r="H42" s="115">
        <v>439</v>
      </c>
    </row>
    <row r="43" spans="1:8" ht="19.8" customHeight="1" x14ac:dyDescent="0.3">
      <c r="A43" s="128">
        <v>45988</v>
      </c>
      <c r="B43" s="112" t="s">
        <v>28</v>
      </c>
      <c r="C43" s="113" t="s">
        <v>75</v>
      </c>
      <c r="D43" s="112" t="s">
        <v>1</v>
      </c>
      <c r="E43" s="129">
        <v>1.958333333333333</v>
      </c>
      <c r="F43" s="112" t="s">
        <v>30</v>
      </c>
      <c r="G43" s="114">
        <v>9</v>
      </c>
      <c r="H43" s="115">
        <v>439</v>
      </c>
    </row>
    <row r="44" spans="1:8" ht="19.8" customHeight="1" x14ac:dyDescent="0.3">
      <c r="A44" s="130">
        <v>45988</v>
      </c>
      <c r="B44" s="117" t="s">
        <v>76</v>
      </c>
      <c r="C44" s="118" t="s">
        <v>77</v>
      </c>
      <c r="D44" s="117" t="s">
        <v>1</v>
      </c>
      <c r="E44" s="131">
        <v>1.9236111111111109</v>
      </c>
      <c r="F44" s="117" t="s">
        <v>30</v>
      </c>
      <c r="G44" s="119">
        <v>6</v>
      </c>
      <c r="H44" s="120">
        <v>446</v>
      </c>
    </row>
    <row r="45" spans="1:8" ht="19.8" customHeight="1" x14ac:dyDescent="0.3">
      <c r="A45" s="132">
        <v>45989</v>
      </c>
      <c r="B45" s="124" t="s">
        <v>76</v>
      </c>
      <c r="C45" s="125" t="s">
        <v>295</v>
      </c>
      <c r="D45" s="124" t="s">
        <v>294</v>
      </c>
      <c r="E45" s="133">
        <v>1.291666666666667</v>
      </c>
      <c r="F45" s="124"/>
      <c r="G45" s="124"/>
      <c r="H45" s="150" t="s">
        <v>297</v>
      </c>
    </row>
    <row r="46" spans="1:8" ht="19.8" customHeight="1" x14ac:dyDescent="0.3">
      <c r="A46" s="146"/>
      <c r="B46" s="147"/>
      <c r="C46" s="147"/>
      <c r="D46" s="147"/>
      <c r="E46" s="147"/>
      <c r="F46" s="148" t="s">
        <v>352</v>
      </c>
      <c r="G46" s="147"/>
      <c r="H46" s="149"/>
    </row>
    <row r="47" spans="1:8" ht="19.8" customHeight="1" x14ac:dyDescent="0.3">
      <c r="A47" s="128">
        <v>45989</v>
      </c>
      <c r="B47" s="112" t="s">
        <v>59</v>
      </c>
      <c r="C47" s="113" t="s">
        <v>60</v>
      </c>
      <c r="D47" s="112" t="s">
        <v>1</v>
      </c>
      <c r="E47" s="129">
        <v>1.305555555555556</v>
      </c>
      <c r="F47" s="112" t="s">
        <v>61</v>
      </c>
      <c r="G47" s="114">
        <v>5</v>
      </c>
      <c r="H47" s="115">
        <v>339</v>
      </c>
    </row>
    <row r="48" spans="1:8" ht="19.8" customHeight="1" x14ac:dyDescent="0.3">
      <c r="A48" s="128">
        <v>45989</v>
      </c>
      <c r="B48" s="112" t="s">
        <v>33</v>
      </c>
      <c r="C48" s="113" t="s">
        <v>34</v>
      </c>
      <c r="D48" s="112" t="s">
        <v>1</v>
      </c>
      <c r="E48" s="129">
        <v>1.833333333333333</v>
      </c>
      <c r="F48" s="112" t="s">
        <v>35</v>
      </c>
      <c r="G48" s="114">
        <v>9</v>
      </c>
      <c r="H48" s="115">
        <v>349</v>
      </c>
    </row>
    <row r="49" spans="1:8" ht="19.8" customHeight="1" x14ac:dyDescent="0.3">
      <c r="A49" s="128">
        <v>45989</v>
      </c>
      <c r="B49" s="112" t="s">
        <v>102</v>
      </c>
      <c r="C49" s="113" t="s">
        <v>113</v>
      </c>
      <c r="D49" s="112" t="s">
        <v>1</v>
      </c>
      <c r="E49" s="129">
        <v>1.1736111111111109</v>
      </c>
      <c r="F49" s="112" t="s">
        <v>30</v>
      </c>
      <c r="G49" s="114">
        <v>9</v>
      </c>
      <c r="H49" s="115">
        <v>371</v>
      </c>
    </row>
    <row r="50" spans="1:8" ht="19.8" customHeight="1" x14ac:dyDescent="0.3">
      <c r="A50" s="128">
        <v>45989</v>
      </c>
      <c r="B50" s="112" t="s">
        <v>43</v>
      </c>
      <c r="C50" s="113" t="s">
        <v>44</v>
      </c>
      <c r="D50" s="112" t="s">
        <v>1</v>
      </c>
      <c r="E50" s="129">
        <v>1.864583333333333</v>
      </c>
      <c r="F50" s="112" t="s">
        <v>106</v>
      </c>
      <c r="G50" s="114">
        <v>9</v>
      </c>
      <c r="H50" s="115">
        <v>411</v>
      </c>
    </row>
    <row r="51" spans="1:8" ht="19.8" customHeight="1" x14ac:dyDescent="0.3">
      <c r="A51" s="128">
        <v>45989</v>
      </c>
      <c r="B51" s="112" t="s">
        <v>43</v>
      </c>
      <c r="C51" s="113" t="s">
        <v>52</v>
      </c>
      <c r="D51" s="112" t="s">
        <v>1</v>
      </c>
      <c r="E51" s="129">
        <v>1.1701388888888891</v>
      </c>
      <c r="F51" s="112" t="s">
        <v>106</v>
      </c>
      <c r="G51" s="114">
        <v>9</v>
      </c>
      <c r="H51" s="115">
        <v>411</v>
      </c>
    </row>
    <row r="52" spans="1:8" ht="19.8" customHeight="1" x14ac:dyDescent="0.3">
      <c r="A52" s="128">
        <v>45989</v>
      </c>
      <c r="B52" s="112" t="s">
        <v>28</v>
      </c>
      <c r="C52" s="113" t="s">
        <v>47</v>
      </c>
      <c r="D52" s="112" t="s">
        <v>1</v>
      </c>
      <c r="E52" s="129">
        <v>1.958333333333333</v>
      </c>
      <c r="F52" s="112" t="s">
        <v>30</v>
      </c>
      <c r="G52" s="114">
        <v>9</v>
      </c>
      <c r="H52" s="115">
        <v>439</v>
      </c>
    </row>
    <row r="53" spans="1:8" ht="19.8" customHeight="1" x14ac:dyDescent="0.3">
      <c r="A53" s="128">
        <v>45989</v>
      </c>
      <c r="B53" s="112" t="s">
        <v>76</v>
      </c>
      <c r="C53" s="113" t="s">
        <v>77</v>
      </c>
      <c r="D53" s="112" t="s">
        <v>1</v>
      </c>
      <c r="E53" s="129">
        <v>1.5798611111111109</v>
      </c>
      <c r="F53" s="112" t="s">
        <v>30</v>
      </c>
      <c r="G53" s="114">
        <v>9</v>
      </c>
      <c r="H53" s="115">
        <v>446</v>
      </c>
    </row>
    <row r="54" spans="1:8" ht="19.8" customHeight="1" x14ac:dyDescent="0.3">
      <c r="A54" s="128">
        <v>45989</v>
      </c>
      <c r="B54" s="112" t="s">
        <v>33</v>
      </c>
      <c r="C54" s="113" t="s">
        <v>34</v>
      </c>
      <c r="D54" s="112" t="s">
        <v>1</v>
      </c>
      <c r="E54" s="129">
        <v>1.833333333333333</v>
      </c>
      <c r="F54" s="112" t="s">
        <v>38</v>
      </c>
      <c r="G54" s="114">
        <v>9</v>
      </c>
      <c r="H54" s="115">
        <v>449</v>
      </c>
    </row>
    <row r="55" spans="1:8" ht="19.8" customHeight="1" x14ac:dyDescent="0.3">
      <c r="A55" s="128">
        <v>45989</v>
      </c>
      <c r="B55" s="112" t="s">
        <v>59</v>
      </c>
      <c r="C55" s="113" t="s">
        <v>60</v>
      </c>
      <c r="D55" s="112" t="s">
        <v>1</v>
      </c>
      <c r="E55" s="129">
        <v>1.305555555555556</v>
      </c>
      <c r="F55" s="112" t="s">
        <v>64</v>
      </c>
      <c r="G55" s="114">
        <v>5</v>
      </c>
      <c r="H55" s="115">
        <v>489</v>
      </c>
    </row>
    <row r="56" spans="1:8" ht="19.8" customHeight="1" x14ac:dyDescent="0.3">
      <c r="A56" s="130">
        <v>45989</v>
      </c>
      <c r="B56" s="117" t="s">
        <v>33</v>
      </c>
      <c r="C56" s="118" t="s">
        <v>34</v>
      </c>
      <c r="D56" s="117" t="s">
        <v>1</v>
      </c>
      <c r="E56" s="131">
        <v>1.833333333333333</v>
      </c>
      <c r="F56" s="117" t="s">
        <v>41</v>
      </c>
      <c r="G56" s="119">
        <v>9</v>
      </c>
      <c r="H56" s="120">
        <v>539</v>
      </c>
    </row>
    <row r="57" spans="1:8" ht="19.8" customHeight="1" x14ac:dyDescent="0.3">
      <c r="A57" s="146"/>
      <c r="B57" s="147"/>
      <c r="C57" s="147"/>
      <c r="D57" s="147"/>
      <c r="E57" s="147"/>
      <c r="F57" s="148" t="s">
        <v>352</v>
      </c>
      <c r="G57" s="147"/>
      <c r="H57" s="149"/>
    </row>
    <row r="58" spans="1:8" ht="19.8" customHeight="1" x14ac:dyDescent="0.3">
      <c r="A58" s="128">
        <v>45990</v>
      </c>
      <c r="B58" s="112" t="s">
        <v>59</v>
      </c>
      <c r="C58" s="113" t="s">
        <v>60</v>
      </c>
      <c r="D58" s="112" t="s">
        <v>1</v>
      </c>
      <c r="E58" s="129">
        <v>1.305555555555556</v>
      </c>
      <c r="F58" s="112" t="s">
        <v>61</v>
      </c>
      <c r="G58" s="114">
        <v>4</v>
      </c>
      <c r="H58" s="115">
        <v>339</v>
      </c>
    </row>
    <row r="59" spans="1:8" ht="19.8" customHeight="1" x14ac:dyDescent="0.3">
      <c r="A59" s="128">
        <v>45990</v>
      </c>
      <c r="B59" s="112" t="s">
        <v>33</v>
      </c>
      <c r="C59" s="113" t="s">
        <v>34</v>
      </c>
      <c r="D59" s="112" t="s">
        <v>1</v>
      </c>
      <c r="E59" s="129">
        <v>1.833333333333333</v>
      </c>
      <c r="F59" s="112" t="s">
        <v>35</v>
      </c>
      <c r="G59" s="114">
        <v>9</v>
      </c>
      <c r="H59" s="115">
        <v>349</v>
      </c>
    </row>
    <row r="60" spans="1:8" ht="19.8" customHeight="1" x14ac:dyDescent="0.3">
      <c r="A60" s="128">
        <v>45990</v>
      </c>
      <c r="B60" s="112" t="s">
        <v>33</v>
      </c>
      <c r="C60" s="113" t="s">
        <v>68</v>
      </c>
      <c r="D60" s="112" t="s">
        <v>1</v>
      </c>
      <c r="E60" s="129">
        <v>1.197916666666667</v>
      </c>
      <c r="F60" s="112" t="s">
        <v>35</v>
      </c>
      <c r="G60" s="114">
        <v>9</v>
      </c>
      <c r="H60" s="115">
        <v>349</v>
      </c>
    </row>
    <row r="61" spans="1:8" ht="19.8" customHeight="1" x14ac:dyDescent="0.3">
      <c r="A61" s="128">
        <v>45990</v>
      </c>
      <c r="B61" s="112" t="s">
        <v>120</v>
      </c>
      <c r="C61" s="113" t="s">
        <v>121</v>
      </c>
      <c r="D61" s="112" t="s">
        <v>1</v>
      </c>
      <c r="E61" s="129">
        <v>1.9340277777777779</v>
      </c>
      <c r="F61" s="112" t="s">
        <v>122</v>
      </c>
      <c r="G61" s="114">
        <v>9</v>
      </c>
      <c r="H61" s="115">
        <v>354</v>
      </c>
    </row>
    <row r="62" spans="1:8" ht="19.8" customHeight="1" x14ac:dyDescent="0.3">
      <c r="A62" s="128">
        <v>45990</v>
      </c>
      <c r="B62" s="112" t="s">
        <v>102</v>
      </c>
      <c r="C62" s="113" t="s">
        <v>103</v>
      </c>
      <c r="D62" s="112" t="s">
        <v>1</v>
      </c>
      <c r="E62" s="129">
        <v>1.1736111111111109</v>
      </c>
      <c r="F62" s="112" t="s">
        <v>30</v>
      </c>
      <c r="G62" s="114">
        <v>9</v>
      </c>
      <c r="H62" s="115">
        <v>371</v>
      </c>
    </row>
    <row r="63" spans="1:8" ht="19.8" customHeight="1" x14ac:dyDescent="0.3">
      <c r="A63" s="128">
        <v>45990</v>
      </c>
      <c r="B63" s="112" t="s">
        <v>43</v>
      </c>
      <c r="C63" s="113" t="s">
        <v>44</v>
      </c>
      <c r="D63" s="112" t="s">
        <v>1</v>
      </c>
      <c r="E63" s="129">
        <v>1.864583333333333</v>
      </c>
      <c r="F63" s="112" t="s">
        <v>106</v>
      </c>
      <c r="G63" s="114">
        <v>9</v>
      </c>
      <c r="H63" s="115">
        <v>411</v>
      </c>
    </row>
    <row r="64" spans="1:8" ht="19.8" customHeight="1" x14ac:dyDescent="0.3">
      <c r="A64" s="128">
        <v>45990</v>
      </c>
      <c r="B64" s="112" t="s">
        <v>43</v>
      </c>
      <c r="C64" s="113" t="s">
        <v>52</v>
      </c>
      <c r="D64" s="112" t="s">
        <v>1</v>
      </c>
      <c r="E64" s="129">
        <v>1.1701388888888891</v>
      </c>
      <c r="F64" s="112" t="s">
        <v>106</v>
      </c>
      <c r="G64" s="114">
        <v>9</v>
      </c>
      <c r="H64" s="115">
        <v>411</v>
      </c>
    </row>
    <row r="65" spans="1:8" ht="19.8" customHeight="1" x14ac:dyDescent="0.3">
      <c r="A65" s="128">
        <v>45990</v>
      </c>
      <c r="B65" s="112" t="s">
        <v>28</v>
      </c>
      <c r="C65" s="113" t="s">
        <v>75</v>
      </c>
      <c r="D65" s="112" t="s">
        <v>1</v>
      </c>
      <c r="E65" s="129">
        <v>1.895833333333333</v>
      </c>
      <c r="F65" s="112" t="s">
        <v>30</v>
      </c>
      <c r="G65" s="114">
        <v>9</v>
      </c>
      <c r="H65" s="115">
        <v>439</v>
      </c>
    </row>
    <row r="66" spans="1:8" ht="19.8" customHeight="1" x14ac:dyDescent="0.3">
      <c r="A66" s="128">
        <v>45990</v>
      </c>
      <c r="B66" s="112" t="s">
        <v>76</v>
      </c>
      <c r="C66" s="113" t="s">
        <v>77</v>
      </c>
      <c r="D66" s="112" t="s">
        <v>1</v>
      </c>
      <c r="E66" s="129">
        <v>1.9236111111111109</v>
      </c>
      <c r="F66" s="112" t="s">
        <v>30</v>
      </c>
      <c r="G66" s="114">
        <v>9</v>
      </c>
      <c r="H66" s="115">
        <v>446</v>
      </c>
    </row>
    <row r="67" spans="1:8" ht="19.8" customHeight="1" x14ac:dyDescent="0.3">
      <c r="A67" s="130">
        <v>45990</v>
      </c>
      <c r="B67" s="117" t="s">
        <v>33</v>
      </c>
      <c r="C67" s="118" t="s">
        <v>34</v>
      </c>
      <c r="D67" s="117" t="s">
        <v>1</v>
      </c>
      <c r="E67" s="131">
        <v>1.833333333333333</v>
      </c>
      <c r="F67" s="117" t="s">
        <v>38</v>
      </c>
      <c r="G67" s="119">
        <v>9</v>
      </c>
      <c r="H67" s="120">
        <v>449</v>
      </c>
    </row>
    <row r="68" spans="1:8" ht="19.8" customHeight="1" x14ac:dyDescent="0.3">
      <c r="A68" s="146"/>
      <c r="B68" s="147"/>
      <c r="C68" s="147"/>
      <c r="D68" s="147"/>
      <c r="E68" s="147"/>
      <c r="F68" s="148" t="s">
        <v>352</v>
      </c>
      <c r="G68" s="147"/>
      <c r="H68" s="149"/>
    </row>
    <row r="69" spans="1:8" ht="19.8" customHeight="1" x14ac:dyDescent="0.3">
      <c r="A69" s="128">
        <v>45991</v>
      </c>
      <c r="B69" s="112" t="s">
        <v>102</v>
      </c>
      <c r="C69" s="113" t="s">
        <v>113</v>
      </c>
      <c r="D69" s="112" t="s">
        <v>1</v>
      </c>
      <c r="E69" s="129">
        <v>1.2152777777777779</v>
      </c>
      <c r="F69" s="112" t="s">
        <v>30</v>
      </c>
      <c r="G69" s="114">
        <v>9</v>
      </c>
      <c r="H69" s="115">
        <v>371</v>
      </c>
    </row>
    <row r="70" spans="1:8" ht="19.8" customHeight="1" x14ac:dyDescent="0.3">
      <c r="A70" s="128">
        <v>45991</v>
      </c>
      <c r="B70" s="112" t="s">
        <v>43</v>
      </c>
      <c r="C70" s="113" t="s">
        <v>44</v>
      </c>
      <c r="D70" s="112" t="s">
        <v>1</v>
      </c>
      <c r="E70" s="129">
        <v>1.864583333333333</v>
      </c>
      <c r="F70" s="112" t="s">
        <v>106</v>
      </c>
      <c r="G70" s="114">
        <v>9</v>
      </c>
      <c r="H70" s="115">
        <v>411</v>
      </c>
    </row>
    <row r="71" spans="1:8" ht="19.8" customHeight="1" x14ac:dyDescent="0.3">
      <c r="A71" s="128">
        <v>45991</v>
      </c>
      <c r="B71" s="112" t="s">
        <v>43</v>
      </c>
      <c r="C71" s="113" t="s">
        <v>50</v>
      </c>
      <c r="D71" s="112" t="s">
        <v>1</v>
      </c>
      <c r="E71" s="129">
        <v>1.5034722222222221</v>
      </c>
      <c r="F71" s="112" t="s">
        <v>106</v>
      </c>
      <c r="G71" s="114">
        <v>9</v>
      </c>
      <c r="H71" s="115">
        <v>411</v>
      </c>
    </row>
    <row r="72" spans="1:8" ht="19.8" customHeight="1" x14ac:dyDescent="0.3">
      <c r="A72" s="128">
        <v>45991</v>
      </c>
      <c r="B72" s="112" t="s">
        <v>43</v>
      </c>
      <c r="C72" s="113" t="s">
        <v>52</v>
      </c>
      <c r="D72" s="112" t="s">
        <v>1</v>
      </c>
      <c r="E72" s="129">
        <v>1.1701388888888891</v>
      </c>
      <c r="F72" s="112" t="s">
        <v>106</v>
      </c>
      <c r="G72" s="114">
        <v>9</v>
      </c>
      <c r="H72" s="115">
        <v>411</v>
      </c>
    </row>
    <row r="73" spans="1:8" ht="19.8" customHeight="1" x14ac:dyDescent="0.3">
      <c r="A73" s="128">
        <v>45991</v>
      </c>
      <c r="B73" s="112" t="s">
        <v>28</v>
      </c>
      <c r="C73" s="113" t="s">
        <v>126</v>
      </c>
      <c r="D73" s="112" t="s">
        <v>1</v>
      </c>
      <c r="E73" s="129">
        <v>1.163194444444444</v>
      </c>
      <c r="F73" s="112" t="s">
        <v>30</v>
      </c>
      <c r="G73" s="114">
        <v>9</v>
      </c>
      <c r="H73" s="115">
        <v>439</v>
      </c>
    </row>
    <row r="74" spans="1:8" ht="19.8" customHeight="1" x14ac:dyDescent="0.3">
      <c r="A74" s="128">
        <v>45991</v>
      </c>
      <c r="B74" s="112" t="s">
        <v>28</v>
      </c>
      <c r="C74" s="113" t="s">
        <v>29</v>
      </c>
      <c r="D74" s="112" t="s">
        <v>1</v>
      </c>
      <c r="E74" s="129">
        <v>1.958333333333333</v>
      </c>
      <c r="F74" s="112" t="s">
        <v>30</v>
      </c>
      <c r="G74" s="114">
        <v>9</v>
      </c>
      <c r="H74" s="115">
        <v>439</v>
      </c>
    </row>
    <row r="75" spans="1:8" ht="19.8" customHeight="1" x14ac:dyDescent="0.3">
      <c r="A75" s="128">
        <v>45991</v>
      </c>
      <c r="B75" s="112" t="s">
        <v>28</v>
      </c>
      <c r="C75" s="113" t="s">
        <v>127</v>
      </c>
      <c r="D75" s="112" t="s">
        <v>1</v>
      </c>
      <c r="E75" s="129">
        <v>1.6840277777777779</v>
      </c>
      <c r="F75" s="112" t="s">
        <v>30</v>
      </c>
      <c r="G75" s="114">
        <v>9</v>
      </c>
      <c r="H75" s="115">
        <v>439</v>
      </c>
    </row>
    <row r="76" spans="1:8" ht="19.8" customHeight="1" x14ac:dyDescent="0.3">
      <c r="A76" s="130">
        <v>45991</v>
      </c>
      <c r="B76" s="117" t="s">
        <v>54</v>
      </c>
      <c r="C76" s="118" t="s">
        <v>55</v>
      </c>
      <c r="D76" s="117" t="s">
        <v>1</v>
      </c>
      <c r="E76" s="131">
        <v>1.305555555555556</v>
      </c>
      <c r="F76" s="117" t="s">
        <v>56</v>
      </c>
      <c r="G76" s="119">
        <v>4</v>
      </c>
      <c r="H76" s="122" t="s">
        <v>128</v>
      </c>
    </row>
    <row r="77" spans="1:8" ht="19.8" customHeight="1" x14ac:dyDescent="0.3">
      <c r="A77" s="132">
        <v>45992</v>
      </c>
      <c r="B77" s="124" t="s">
        <v>76</v>
      </c>
      <c r="C77" s="125" t="s">
        <v>295</v>
      </c>
      <c r="D77" s="124" t="s">
        <v>294</v>
      </c>
      <c r="E77" s="133">
        <v>1.510416666666667</v>
      </c>
      <c r="F77" s="124" t="s">
        <v>30</v>
      </c>
      <c r="G77" s="126">
        <v>9</v>
      </c>
      <c r="H77" s="127">
        <v>636</v>
      </c>
    </row>
    <row r="78" spans="1:8" ht="19.8" customHeight="1" x14ac:dyDescent="0.3">
      <c r="A78" s="146"/>
      <c r="B78" s="147"/>
      <c r="C78" s="147"/>
      <c r="D78" s="147"/>
      <c r="E78" s="147"/>
      <c r="F78" s="148" t="s">
        <v>352</v>
      </c>
      <c r="G78" s="147"/>
      <c r="H78" s="149"/>
    </row>
    <row r="79" spans="1:8" ht="19.8" customHeight="1" x14ac:dyDescent="0.3">
      <c r="A79" s="128">
        <v>45992</v>
      </c>
      <c r="B79" s="112" t="s">
        <v>33</v>
      </c>
      <c r="C79" s="113" t="s">
        <v>68</v>
      </c>
      <c r="D79" s="112" t="s">
        <v>1</v>
      </c>
      <c r="E79" s="129">
        <v>1.2013888888888891</v>
      </c>
      <c r="F79" s="112" t="s">
        <v>88</v>
      </c>
      <c r="G79" s="114">
        <v>9</v>
      </c>
      <c r="H79" s="115">
        <v>349</v>
      </c>
    </row>
    <row r="80" spans="1:8" ht="19.8" customHeight="1" x14ac:dyDescent="0.3">
      <c r="A80" s="128">
        <v>45992</v>
      </c>
      <c r="B80" s="112" t="s">
        <v>59</v>
      </c>
      <c r="C80" s="113" t="s">
        <v>60</v>
      </c>
      <c r="D80" s="112" t="s">
        <v>1</v>
      </c>
      <c r="E80" s="129">
        <v>1.305555555555556</v>
      </c>
      <c r="F80" s="112" t="s">
        <v>86</v>
      </c>
      <c r="G80" s="114">
        <v>9</v>
      </c>
      <c r="H80" s="115">
        <v>369</v>
      </c>
    </row>
    <row r="81" spans="1:8" ht="19.8" customHeight="1" x14ac:dyDescent="0.3">
      <c r="A81" s="128">
        <v>45992</v>
      </c>
      <c r="B81" s="112" t="s">
        <v>102</v>
      </c>
      <c r="C81" s="113" t="s">
        <v>105</v>
      </c>
      <c r="D81" s="112" t="s">
        <v>1</v>
      </c>
      <c r="E81" s="129">
        <v>1.1284722222222221</v>
      </c>
      <c r="F81" s="112" t="s">
        <v>30</v>
      </c>
      <c r="G81" s="114">
        <v>8</v>
      </c>
      <c r="H81" s="115">
        <v>371</v>
      </c>
    </row>
    <row r="82" spans="1:8" ht="19.8" customHeight="1" x14ac:dyDescent="0.3">
      <c r="A82" s="128">
        <v>45992</v>
      </c>
      <c r="B82" s="112" t="s">
        <v>33</v>
      </c>
      <c r="C82" s="113" t="s">
        <v>34</v>
      </c>
      <c r="D82" s="112" t="s">
        <v>1</v>
      </c>
      <c r="E82" s="129">
        <v>1.836805555555556</v>
      </c>
      <c r="F82" s="112" t="s">
        <v>88</v>
      </c>
      <c r="G82" s="114">
        <v>9</v>
      </c>
      <c r="H82" s="115">
        <v>409</v>
      </c>
    </row>
    <row r="83" spans="1:8" ht="19.8" customHeight="1" x14ac:dyDescent="0.3">
      <c r="A83" s="128">
        <v>45992</v>
      </c>
      <c r="B83" s="112" t="s">
        <v>43</v>
      </c>
      <c r="C83" s="113" t="s">
        <v>44</v>
      </c>
      <c r="D83" s="112" t="s">
        <v>1</v>
      </c>
      <c r="E83" s="129">
        <v>1.864583333333333</v>
      </c>
      <c r="F83" s="112" t="s">
        <v>106</v>
      </c>
      <c r="G83" s="114">
        <v>9</v>
      </c>
      <c r="H83" s="115">
        <v>411</v>
      </c>
    </row>
    <row r="84" spans="1:8" ht="19.8" customHeight="1" x14ac:dyDescent="0.3">
      <c r="A84" s="128">
        <v>45992</v>
      </c>
      <c r="B84" s="112" t="s">
        <v>43</v>
      </c>
      <c r="C84" s="113" t="s">
        <v>50</v>
      </c>
      <c r="D84" s="112" t="s">
        <v>1</v>
      </c>
      <c r="E84" s="129">
        <v>1.5277777777777779</v>
      </c>
      <c r="F84" s="112" t="s">
        <v>106</v>
      </c>
      <c r="G84" s="114">
        <v>9</v>
      </c>
      <c r="H84" s="115">
        <v>411</v>
      </c>
    </row>
    <row r="85" spans="1:8" ht="19.8" customHeight="1" x14ac:dyDescent="0.3">
      <c r="A85" s="128">
        <v>45992</v>
      </c>
      <c r="B85" s="112" t="s">
        <v>43</v>
      </c>
      <c r="C85" s="113" t="s">
        <v>52</v>
      </c>
      <c r="D85" s="112" t="s">
        <v>1</v>
      </c>
      <c r="E85" s="129">
        <v>1.1701388888888891</v>
      </c>
      <c r="F85" s="112" t="s">
        <v>106</v>
      </c>
      <c r="G85" s="114">
        <v>9</v>
      </c>
      <c r="H85" s="115">
        <v>411</v>
      </c>
    </row>
    <row r="86" spans="1:8" ht="19.8" customHeight="1" x14ac:dyDescent="0.3">
      <c r="A86" s="128">
        <v>45992</v>
      </c>
      <c r="B86" s="112" t="s">
        <v>28</v>
      </c>
      <c r="C86" s="113" t="s">
        <v>47</v>
      </c>
      <c r="D86" s="112" t="s">
        <v>1</v>
      </c>
      <c r="E86" s="129">
        <v>1.958333333333333</v>
      </c>
      <c r="F86" s="112" t="s">
        <v>30</v>
      </c>
      <c r="G86" s="114">
        <v>1</v>
      </c>
      <c r="H86" s="115">
        <v>439</v>
      </c>
    </row>
    <row r="87" spans="1:8" ht="19.8" customHeight="1" x14ac:dyDescent="0.3">
      <c r="A87" s="130">
        <v>45992</v>
      </c>
      <c r="B87" s="117" t="s">
        <v>54</v>
      </c>
      <c r="C87" s="118" t="s">
        <v>55</v>
      </c>
      <c r="D87" s="117" t="s">
        <v>1</v>
      </c>
      <c r="E87" s="131">
        <v>1.305555555555556</v>
      </c>
      <c r="F87" s="117" t="s">
        <v>56</v>
      </c>
      <c r="G87" s="119">
        <v>4</v>
      </c>
      <c r="H87" s="122" t="s">
        <v>85</v>
      </c>
    </row>
    <row r="88" spans="1:8" ht="19.8" customHeight="1" x14ac:dyDescent="0.3">
      <c r="A88" s="146"/>
      <c r="B88" s="147"/>
      <c r="C88" s="147"/>
      <c r="D88" s="147"/>
      <c r="E88" s="147"/>
      <c r="F88" s="148" t="s">
        <v>352</v>
      </c>
      <c r="G88" s="147"/>
      <c r="H88" s="149"/>
    </row>
    <row r="89" spans="1:8" ht="19.8" customHeight="1" x14ac:dyDescent="0.3">
      <c r="A89" s="128">
        <v>45993</v>
      </c>
      <c r="B89" s="112" t="s">
        <v>43</v>
      </c>
      <c r="C89" s="113" t="s">
        <v>44</v>
      </c>
      <c r="D89" s="112" t="s">
        <v>1</v>
      </c>
      <c r="E89" s="129">
        <v>1.864583333333333</v>
      </c>
      <c r="F89" s="112" t="s">
        <v>106</v>
      </c>
      <c r="G89" s="114">
        <v>9</v>
      </c>
      <c r="H89" s="115">
        <v>411</v>
      </c>
    </row>
    <row r="90" spans="1:8" ht="19.8" customHeight="1" x14ac:dyDescent="0.3">
      <c r="A90" s="128">
        <v>45993</v>
      </c>
      <c r="B90" s="112" t="s">
        <v>43</v>
      </c>
      <c r="C90" s="113" t="s">
        <v>50</v>
      </c>
      <c r="D90" s="112" t="s">
        <v>1</v>
      </c>
      <c r="E90" s="129">
        <v>1.5277777777777779</v>
      </c>
      <c r="F90" s="112" t="s">
        <v>106</v>
      </c>
      <c r="G90" s="114">
        <v>9</v>
      </c>
      <c r="H90" s="115">
        <v>411</v>
      </c>
    </row>
    <row r="91" spans="1:8" ht="19.8" customHeight="1" x14ac:dyDescent="0.3">
      <c r="A91" s="128">
        <v>45993</v>
      </c>
      <c r="B91" s="112" t="s">
        <v>43</v>
      </c>
      <c r="C91" s="113" t="s">
        <v>52</v>
      </c>
      <c r="D91" s="112" t="s">
        <v>1</v>
      </c>
      <c r="E91" s="129">
        <v>1.1701388888888891</v>
      </c>
      <c r="F91" s="112" t="s">
        <v>106</v>
      </c>
      <c r="G91" s="114">
        <v>9</v>
      </c>
      <c r="H91" s="115">
        <v>411</v>
      </c>
    </row>
    <row r="92" spans="1:8" ht="19.8" customHeight="1" x14ac:dyDescent="0.3">
      <c r="A92" s="128">
        <v>45993</v>
      </c>
      <c r="B92" s="112" t="s">
        <v>28</v>
      </c>
      <c r="C92" s="113" t="s">
        <v>75</v>
      </c>
      <c r="D92" s="112" t="s">
        <v>1</v>
      </c>
      <c r="E92" s="129">
        <v>1.958333333333333</v>
      </c>
      <c r="F92" s="112" t="s">
        <v>30</v>
      </c>
      <c r="G92" s="114">
        <v>9</v>
      </c>
      <c r="H92" s="115">
        <v>439</v>
      </c>
    </row>
    <row r="93" spans="1:8" ht="19.8" customHeight="1" x14ac:dyDescent="0.3">
      <c r="A93" s="128">
        <v>45993</v>
      </c>
      <c r="B93" s="112" t="s">
        <v>76</v>
      </c>
      <c r="C93" s="113" t="s">
        <v>77</v>
      </c>
      <c r="D93" s="112" t="s">
        <v>1</v>
      </c>
      <c r="E93" s="129">
        <v>1.270833333333333</v>
      </c>
      <c r="F93" s="112" t="s">
        <v>30</v>
      </c>
      <c r="G93" s="114">
        <v>6</v>
      </c>
      <c r="H93" s="115">
        <v>455</v>
      </c>
    </row>
    <row r="94" spans="1:8" ht="19.8" customHeight="1" x14ac:dyDescent="0.3">
      <c r="A94" s="130">
        <v>45993</v>
      </c>
      <c r="B94" s="117" t="s">
        <v>54</v>
      </c>
      <c r="C94" s="118" t="s">
        <v>55</v>
      </c>
      <c r="D94" s="117" t="s">
        <v>1</v>
      </c>
      <c r="E94" s="131">
        <v>1.305555555555556</v>
      </c>
      <c r="F94" s="117" t="s">
        <v>56</v>
      </c>
      <c r="G94" s="119">
        <v>4</v>
      </c>
      <c r="H94" s="122" t="s">
        <v>118</v>
      </c>
    </row>
    <row r="95" spans="1:8" ht="19.8" customHeight="1" x14ac:dyDescent="0.3">
      <c r="A95" s="146"/>
      <c r="B95" s="147"/>
      <c r="C95" s="147"/>
      <c r="D95" s="147"/>
      <c r="E95" s="147"/>
      <c r="F95" s="148" t="s">
        <v>352</v>
      </c>
      <c r="G95" s="147"/>
      <c r="H95" s="149"/>
    </row>
    <row r="96" spans="1:8" ht="19.8" customHeight="1" x14ac:dyDescent="0.3">
      <c r="A96" s="128">
        <v>45994</v>
      </c>
      <c r="B96" s="112" t="s">
        <v>59</v>
      </c>
      <c r="C96" s="113" t="s">
        <v>60</v>
      </c>
      <c r="D96" s="112" t="s">
        <v>1</v>
      </c>
      <c r="E96" s="129">
        <v>1.305555555555556</v>
      </c>
      <c r="F96" s="112" t="s">
        <v>61</v>
      </c>
      <c r="G96" s="114">
        <v>9</v>
      </c>
      <c r="H96" s="115">
        <v>369</v>
      </c>
    </row>
    <row r="97" spans="1:8" ht="19.8" customHeight="1" x14ac:dyDescent="0.3">
      <c r="A97" s="128">
        <v>45994</v>
      </c>
      <c r="B97" s="112" t="s">
        <v>102</v>
      </c>
      <c r="C97" s="113" t="s">
        <v>103</v>
      </c>
      <c r="D97" s="112" t="s">
        <v>1</v>
      </c>
      <c r="E97" s="129">
        <v>1.0902777777777779</v>
      </c>
      <c r="F97" s="112" t="s">
        <v>30</v>
      </c>
      <c r="G97" s="114">
        <v>8</v>
      </c>
      <c r="H97" s="115">
        <v>371</v>
      </c>
    </row>
    <row r="98" spans="1:8" ht="19.8" customHeight="1" x14ac:dyDescent="0.3">
      <c r="A98" s="128">
        <v>45994</v>
      </c>
      <c r="B98" s="112" t="s">
        <v>120</v>
      </c>
      <c r="C98" s="113" t="s">
        <v>121</v>
      </c>
      <c r="D98" s="112" t="s">
        <v>1</v>
      </c>
      <c r="E98" s="129">
        <v>1.9722222222222221</v>
      </c>
      <c r="F98" s="112" t="s">
        <v>122</v>
      </c>
      <c r="G98" s="114">
        <v>9</v>
      </c>
      <c r="H98" s="115">
        <v>393</v>
      </c>
    </row>
    <row r="99" spans="1:8" ht="19.8" customHeight="1" x14ac:dyDescent="0.3">
      <c r="A99" s="128">
        <v>45994</v>
      </c>
      <c r="B99" s="112" t="s">
        <v>43</v>
      </c>
      <c r="C99" s="113" t="s">
        <v>44</v>
      </c>
      <c r="D99" s="112" t="s">
        <v>1</v>
      </c>
      <c r="E99" s="129">
        <v>1.864583333333333</v>
      </c>
      <c r="F99" s="112" t="s">
        <v>106</v>
      </c>
      <c r="G99" s="114">
        <v>9</v>
      </c>
      <c r="H99" s="115">
        <v>411</v>
      </c>
    </row>
    <row r="100" spans="1:8" ht="19.8" customHeight="1" x14ac:dyDescent="0.3">
      <c r="A100" s="128">
        <v>45994</v>
      </c>
      <c r="B100" s="112" t="s">
        <v>43</v>
      </c>
      <c r="C100" s="113" t="s">
        <v>50</v>
      </c>
      <c r="D100" s="112" t="s">
        <v>1</v>
      </c>
      <c r="E100" s="129">
        <v>1.5277777777777779</v>
      </c>
      <c r="F100" s="112" t="s">
        <v>106</v>
      </c>
      <c r="G100" s="114">
        <v>9</v>
      </c>
      <c r="H100" s="115">
        <v>411</v>
      </c>
    </row>
    <row r="101" spans="1:8" ht="19.8" customHeight="1" x14ac:dyDescent="0.3">
      <c r="A101" s="128">
        <v>45994</v>
      </c>
      <c r="B101" s="112" t="s">
        <v>43</v>
      </c>
      <c r="C101" s="113" t="s">
        <v>52</v>
      </c>
      <c r="D101" s="112" t="s">
        <v>1</v>
      </c>
      <c r="E101" s="129">
        <v>1.1701388888888891</v>
      </c>
      <c r="F101" s="112" t="s">
        <v>106</v>
      </c>
      <c r="G101" s="114">
        <v>9</v>
      </c>
      <c r="H101" s="115">
        <v>411</v>
      </c>
    </row>
    <row r="102" spans="1:8" ht="19.8" customHeight="1" x14ac:dyDescent="0.3">
      <c r="A102" s="128">
        <v>45994</v>
      </c>
      <c r="B102" s="112" t="s">
        <v>33</v>
      </c>
      <c r="C102" s="113" t="s">
        <v>34</v>
      </c>
      <c r="D102" s="112" t="s">
        <v>1</v>
      </c>
      <c r="E102" s="129">
        <v>1.836805555555556</v>
      </c>
      <c r="F102" s="112" t="s">
        <v>35</v>
      </c>
      <c r="G102" s="114">
        <v>9</v>
      </c>
      <c r="H102" s="115">
        <v>439</v>
      </c>
    </row>
    <row r="103" spans="1:8" ht="19.8" customHeight="1" x14ac:dyDescent="0.3">
      <c r="A103" s="128">
        <v>45994</v>
      </c>
      <c r="B103" s="112" t="s">
        <v>28</v>
      </c>
      <c r="C103" s="113" t="s">
        <v>47</v>
      </c>
      <c r="D103" s="112" t="s">
        <v>1</v>
      </c>
      <c r="E103" s="129">
        <v>1.895833333333333</v>
      </c>
      <c r="F103" s="112" t="s">
        <v>30</v>
      </c>
      <c r="G103" s="114">
        <v>9</v>
      </c>
      <c r="H103" s="115">
        <v>439</v>
      </c>
    </row>
    <row r="104" spans="1:8" ht="19.8" customHeight="1" x14ac:dyDescent="0.3">
      <c r="A104" s="128">
        <v>45994</v>
      </c>
      <c r="B104" s="112" t="s">
        <v>120</v>
      </c>
      <c r="C104" s="113" t="s">
        <v>121</v>
      </c>
      <c r="D104" s="112" t="s">
        <v>1</v>
      </c>
      <c r="E104" s="129">
        <v>1.9722222222222221</v>
      </c>
      <c r="F104" s="112" t="s">
        <v>67</v>
      </c>
      <c r="G104" s="114">
        <v>9</v>
      </c>
      <c r="H104" s="115">
        <v>516</v>
      </c>
    </row>
    <row r="105" spans="1:8" ht="19.8" customHeight="1" x14ac:dyDescent="0.3">
      <c r="A105" s="130">
        <v>45994</v>
      </c>
      <c r="B105" s="117" t="s">
        <v>59</v>
      </c>
      <c r="C105" s="118" t="s">
        <v>60</v>
      </c>
      <c r="D105" s="117" t="s">
        <v>1</v>
      </c>
      <c r="E105" s="131">
        <v>1.305555555555556</v>
      </c>
      <c r="F105" s="117" t="s">
        <v>64</v>
      </c>
      <c r="G105" s="119">
        <v>9</v>
      </c>
      <c r="H105" s="120">
        <v>519</v>
      </c>
    </row>
    <row r="106" spans="1:8" ht="19.8" customHeight="1" x14ac:dyDescent="0.3">
      <c r="A106" s="146"/>
      <c r="B106" s="147"/>
      <c r="C106" s="147"/>
      <c r="D106" s="147"/>
      <c r="E106" s="147"/>
      <c r="F106" s="148" t="s">
        <v>352</v>
      </c>
      <c r="G106" s="147"/>
      <c r="H106" s="149"/>
    </row>
    <row r="107" spans="1:8" ht="19.8" customHeight="1" x14ac:dyDescent="0.3">
      <c r="A107" s="128">
        <v>45995</v>
      </c>
      <c r="B107" s="112" t="s">
        <v>102</v>
      </c>
      <c r="C107" s="113" t="s">
        <v>103</v>
      </c>
      <c r="D107" s="112" t="s">
        <v>1</v>
      </c>
      <c r="E107" s="129">
        <v>1.8888888888888891</v>
      </c>
      <c r="F107" s="112" t="s">
        <v>30</v>
      </c>
      <c r="G107" s="114">
        <v>9</v>
      </c>
      <c r="H107" s="115">
        <v>371</v>
      </c>
    </row>
    <row r="108" spans="1:8" ht="19.8" customHeight="1" x14ac:dyDescent="0.3">
      <c r="A108" s="128">
        <v>45995</v>
      </c>
      <c r="B108" s="112" t="s">
        <v>43</v>
      </c>
      <c r="C108" s="113" t="s">
        <v>50</v>
      </c>
      <c r="D108" s="112" t="s">
        <v>1</v>
      </c>
      <c r="E108" s="129">
        <v>1.5277777777777779</v>
      </c>
      <c r="F108" s="112" t="s">
        <v>106</v>
      </c>
      <c r="G108" s="114">
        <v>9</v>
      </c>
      <c r="H108" s="115">
        <v>411</v>
      </c>
    </row>
    <row r="109" spans="1:8" ht="19.8" customHeight="1" x14ac:dyDescent="0.3">
      <c r="A109" s="128">
        <v>45995</v>
      </c>
      <c r="B109" s="112" t="s">
        <v>43</v>
      </c>
      <c r="C109" s="113" t="s">
        <v>52</v>
      </c>
      <c r="D109" s="112" t="s">
        <v>1</v>
      </c>
      <c r="E109" s="129">
        <v>1.1701388888888891</v>
      </c>
      <c r="F109" s="112" t="s">
        <v>106</v>
      </c>
      <c r="G109" s="114">
        <v>9</v>
      </c>
      <c r="H109" s="115">
        <v>411</v>
      </c>
    </row>
    <row r="110" spans="1:8" ht="19.8" customHeight="1" x14ac:dyDescent="0.3">
      <c r="A110" s="128">
        <v>45995</v>
      </c>
      <c r="B110" s="112" t="s">
        <v>43</v>
      </c>
      <c r="C110" s="113" t="s">
        <v>44</v>
      </c>
      <c r="D110" s="112" t="s">
        <v>1</v>
      </c>
      <c r="E110" s="129">
        <v>1.864583333333333</v>
      </c>
      <c r="F110" s="112" t="s">
        <v>91</v>
      </c>
      <c r="G110" s="114">
        <v>9</v>
      </c>
      <c r="H110" s="115">
        <v>437</v>
      </c>
    </row>
    <row r="111" spans="1:8" ht="19.8" customHeight="1" x14ac:dyDescent="0.3">
      <c r="A111" s="128">
        <v>45995</v>
      </c>
      <c r="B111" s="112" t="s">
        <v>76</v>
      </c>
      <c r="C111" s="113" t="s">
        <v>77</v>
      </c>
      <c r="D111" s="112" t="s">
        <v>1</v>
      </c>
      <c r="E111" s="129">
        <v>1.9236111111111109</v>
      </c>
      <c r="F111" s="112" t="s">
        <v>30</v>
      </c>
      <c r="G111" s="114">
        <v>2</v>
      </c>
      <c r="H111" s="115">
        <v>446</v>
      </c>
    </row>
    <row r="112" spans="1:8" ht="19.8" customHeight="1" x14ac:dyDescent="0.3">
      <c r="A112" s="128">
        <v>45995</v>
      </c>
      <c r="B112" s="112" t="s">
        <v>28</v>
      </c>
      <c r="C112" s="113" t="s">
        <v>29</v>
      </c>
      <c r="D112" s="112" t="s">
        <v>1</v>
      </c>
      <c r="E112" s="129">
        <v>1.5625</v>
      </c>
      <c r="F112" s="112" t="s">
        <v>30</v>
      </c>
      <c r="G112" s="114">
        <v>9</v>
      </c>
      <c r="H112" s="115">
        <v>563</v>
      </c>
    </row>
    <row r="113" spans="1:8" ht="19.8" customHeight="1" x14ac:dyDescent="0.3">
      <c r="A113" s="128">
        <v>45995</v>
      </c>
      <c r="B113" s="112" t="s">
        <v>28</v>
      </c>
      <c r="C113" s="113" t="s">
        <v>75</v>
      </c>
      <c r="D113" s="112" t="s">
        <v>1</v>
      </c>
      <c r="E113" s="129">
        <v>1.958333333333333</v>
      </c>
      <c r="F113" s="112" t="s">
        <v>30</v>
      </c>
      <c r="G113" s="114">
        <v>9</v>
      </c>
      <c r="H113" s="115">
        <v>563</v>
      </c>
    </row>
    <row r="114" spans="1:8" ht="19.8" customHeight="1" x14ac:dyDescent="0.3">
      <c r="A114" s="130">
        <v>45995</v>
      </c>
      <c r="B114" s="117" t="s">
        <v>54</v>
      </c>
      <c r="C114" s="118" t="s">
        <v>55</v>
      </c>
      <c r="D114" s="117" t="s">
        <v>1</v>
      </c>
      <c r="E114" s="131">
        <v>1.305555555555556</v>
      </c>
      <c r="F114" s="117" t="s">
        <v>56</v>
      </c>
      <c r="G114" s="119">
        <v>4</v>
      </c>
      <c r="H114" s="122" t="s">
        <v>85</v>
      </c>
    </row>
    <row r="115" spans="1:8" ht="19.8" customHeight="1" x14ac:dyDescent="0.3">
      <c r="A115" s="132">
        <v>45996</v>
      </c>
      <c r="B115" s="124" t="s">
        <v>76</v>
      </c>
      <c r="C115" s="125" t="s">
        <v>295</v>
      </c>
      <c r="D115" s="124" t="s">
        <v>294</v>
      </c>
      <c r="E115" s="133">
        <v>1.291666666666667</v>
      </c>
      <c r="F115" s="124"/>
      <c r="G115" s="124"/>
      <c r="H115" s="150" t="s">
        <v>317</v>
      </c>
    </row>
    <row r="116" spans="1:8" ht="19.8" customHeight="1" x14ac:dyDescent="0.3">
      <c r="A116" s="146"/>
      <c r="B116" s="147"/>
      <c r="C116" s="147"/>
      <c r="D116" s="147"/>
      <c r="E116" s="147"/>
      <c r="F116" s="148" t="s">
        <v>352</v>
      </c>
      <c r="G116" s="147"/>
      <c r="H116" s="149"/>
    </row>
    <row r="117" spans="1:8" ht="19.8" customHeight="1" x14ac:dyDescent="0.3">
      <c r="A117" s="128">
        <v>45996</v>
      </c>
      <c r="B117" s="112" t="s">
        <v>43</v>
      </c>
      <c r="C117" s="113" t="s">
        <v>44</v>
      </c>
      <c r="D117" s="112" t="s">
        <v>1</v>
      </c>
      <c r="E117" s="129">
        <v>1.864583333333333</v>
      </c>
      <c r="F117" s="112" t="s">
        <v>106</v>
      </c>
      <c r="G117" s="114">
        <v>9</v>
      </c>
      <c r="H117" s="115">
        <v>411</v>
      </c>
    </row>
    <row r="118" spans="1:8" ht="19.8" customHeight="1" x14ac:dyDescent="0.3">
      <c r="A118" s="128">
        <v>45996</v>
      </c>
      <c r="B118" s="112" t="s">
        <v>43</v>
      </c>
      <c r="C118" s="113" t="s">
        <v>52</v>
      </c>
      <c r="D118" s="112" t="s">
        <v>1</v>
      </c>
      <c r="E118" s="129">
        <v>1.1701388888888891</v>
      </c>
      <c r="F118" s="112" t="s">
        <v>106</v>
      </c>
      <c r="G118" s="114">
        <v>9</v>
      </c>
      <c r="H118" s="115">
        <v>415</v>
      </c>
    </row>
    <row r="119" spans="1:8" ht="19.8" customHeight="1" x14ac:dyDescent="0.3">
      <c r="A119" s="128">
        <v>45996</v>
      </c>
      <c r="B119" s="112" t="s">
        <v>28</v>
      </c>
      <c r="C119" s="113" t="s">
        <v>47</v>
      </c>
      <c r="D119" s="112" t="s">
        <v>1</v>
      </c>
      <c r="E119" s="129">
        <v>1.958333333333333</v>
      </c>
      <c r="F119" s="112" t="s">
        <v>30</v>
      </c>
      <c r="G119" s="114">
        <v>9</v>
      </c>
      <c r="H119" s="115">
        <v>439</v>
      </c>
    </row>
    <row r="120" spans="1:8" ht="19.8" customHeight="1" x14ac:dyDescent="0.3">
      <c r="A120" s="128">
        <v>45996</v>
      </c>
      <c r="B120" s="112" t="s">
        <v>76</v>
      </c>
      <c r="C120" s="113" t="s">
        <v>77</v>
      </c>
      <c r="D120" s="112" t="s">
        <v>1</v>
      </c>
      <c r="E120" s="129">
        <v>1.5798611111111109</v>
      </c>
      <c r="F120" s="112" t="s">
        <v>30</v>
      </c>
      <c r="G120" s="114">
        <v>1</v>
      </c>
      <c r="H120" s="115">
        <v>446</v>
      </c>
    </row>
    <row r="121" spans="1:8" ht="19.8" customHeight="1" x14ac:dyDescent="0.3">
      <c r="A121" s="128">
        <v>45996</v>
      </c>
      <c r="B121" s="112" t="s">
        <v>43</v>
      </c>
      <c r="C121" s="113" t="s">
        <v>50</v>
      </c>
      <c r="D121" s="112" t="s">
        <v>1</v>
      </c>
      <c r="E121" s="129">
        <v>1.5277777777777779</v>
      </c>
      <c r="F121" s="112" t="s">
        <v>45</v>
      </c>
      <c r="G121" s="114">
        <v>9</v>
      </c>
      <c r="H121" s="115">
        <v>587</v>
      </c>
    </row>
    <row r="122" spans="1:8" ht="19.8" customHeight="1" x14ac:dyDescent="0.3">
      <c r="A122" s="130">
        <v>45996</v>
      </c>
      <c r="B122" s="117" t="s">
        <v>54</v>
      </c>
      <c r="C122" s="118" t="s">
        <v>55</v>
      </c>
      <c r="D122" s="117" t="s">
        <v>1</v>
      </c>
      <c r="E122" s="131">
        <v>1.305555555555556</v>
      </c>
      <c r="F122" s="117" t="s">
        <v>56</v>
      </c>
      <c r="G122" s="119">
        <v>4</v>
      </c>
      <c r="H122" s="122" t="s">
        <v>85</v>
      </c>
    </row>
    <row r="123" spans="1:8" ht="19.8" customHeight="1" x14ac:dyDescent="0.3">
      <c r="A123" s="146"/>
      <c r="B123" s="147"/>
      <c r="C123" s="147"/>
      <c r="D123" s="147"/>
      <c r="E123" s="147"/>
      <c r="F123" s="148" t="s">
        <v>352</v>
      </c>
      <c r="G123" s="147"/>
      <c r="H123" s="149"/>
    </row>
    <row r="124" spans="1:8" ht="19.8" customHeight="1" x14ac:dyDescent="0.3">
      <c r="A124" s="128">
        <v>45997</v>
      </c>
      <c r="B124" s="112" t="s">
        <v>59</v>
      </c>
      <c r="C124" s="113" t="s">
        <v>60</v>
      </c>
      <c r="D124" s="112" t="s">
        <v>1</v>
      </c>
      <c r="E124" s="129">
        <v>1.305555555555556</v>
      </c>
      <c r="F124" s="112" t="s">
        <v>61</v>
      </c>
      <c r="G124" s="114">
        <v>6</v>
      </c>
      <c r="H124" s="115">
        <v>339</v>
      </c>
    </row>
    <row r="125" spans="1:8" ht="19.8" customHeight="1" x14ac:dyDescent="0.3">
      <c r="A125" s="128">
        <v>45997</v>
      </c>
      <c r="B125" s="112" t="s">
        <v>33</v>
      </c>
      <c r="C125" s="113" t="s">
        <v>34</v>
      </c>
      <c r="D125" s="112" t="s">
        <v>1</v>
      </c>
      <c r="E125" s="129">
        <v>1.836805555555556</v>
      </c>
      <c r="F125" s="112" t="s">
        <v>35</v>
      </c>
      <c r="G125" s="114">
        <v>9</v>
      </c>
      <c r="H125" s="115">
        <v>349</v>
      </c>
    </row>
    <row r="126" spans="1:8" ht="19.8" customHeight="1" x14ac:dyDescent="0.3">
      <c r="A126" s="128">
        <v>45997</v>
      </c>
      <c r="B126" s="112" t="s">
        <v>33</v>
      </c>
      <c r="C126" s="113" t="s">
        <v>68</v>
      </c>
      <c r="D126" s="112" t="s">
        <v>1</v>
      </c>
      <c r="E126" s="129">
        <v>1.2013888888888891</v>
      </c>
      <c r="F126" s="112" t="s">
        <v>35</v>
      </c>
      <c r="G126" s="114">
        <v>9</v>
      </c>
      <c r="H126" s="115">
        <v>349</v>
      </c>
    </row>
    <row r="127" spans="1:8" ht="19.8" customHeight="1" x14ac:dyDescent="0.3">
      <c r="A127" s="128">
        <v>45997</v>
      </c>
      <c r="B127" s="112" t="s">
        <v>120</v>
      </c>
      <c r="C127" s="113" t="s">
        <v>121</v>
      </c>
      <c r="D127" s="112" t="s">
        <v>1</v>
      </c>
      <c r="E127" s="129">
        <v>1.9722222222222221</v>
      </c>
      <c r="F127" s="112" t="s">
        <v>122</v>
      </c>
      <c r="G127" s="114">
        <v>9</v>
      </c>
      <c r="H127" s="115">
        <v>399</v>
      </c>
    </row>
    <row r="128" spans="1:8" ht="19.8" customHeight="1" x14ac:dyDescent="0.3">
      <c r="A128" s="128">
        <v>45997</v>
      </c>
      <c r="B128" s="112" t="s">
        <v>43</v>
      </c>
      <c r="C128" s="113" t="s">
        <v>44</v>
      </c>
      <c r="D128" s="112" t="s">
        <v>1</v>
      </c>
      <c r="E128" s="129">
        <v>1.864583333333333</v>
      </c>
      <c r="F128" s="112" t="s">
        <v>106</v>
      </c>
      <c r="G128" s="114">
        <v>9</v>
      </c>
      <c r="H128" s="115">
        <v>411</v>
      </c>
    </row>
    <row r="129" spans="1:8" ht="19.8" customHeight="1" x14ac:dyDescent="0.3">
      <c r="A129" s="128">
        <v>45997</v>
      </c>
      <c r="B129" s="112" t="s">
        <v>43</v>
      </c>
      <c r="C129" s="113" t="s">
        <v>50</v>
      </c>
      <c r="D129" s="112" t="s">
        <v>1</v>
      </c>
      <c r="E129" s="129">
        <v>1.5277777777777779</v>
      </c>
      <c r="F129" s="112" t="s">
        <v>106</v>
      </c>
      <c r="G129" s="114">
        <v>9</v>
      </c>
      <c r="H129" s="115">
        <v>411</v>
      </c>
    </row>
    <row r="130" spans="1:8" ht="19.8" customHeight="1" x14ac:dyDescent="0.3">
      <c r="A130" s="128">
        <v>45997</v>
      </c>
      <c r="B130" s="112" t="s">
        <v>43</v>
      </c>
      <c r="C130" s="113" t="s">
        <v>52</v>
      </c>
      <c r="D130" s="112" t="s">
        <v>1</v>
      </c>
      <c r="E130" s="129">
        <v>1.1701388888888891</v>
      </c>
      <c r="F130" s="112" t="s">
        <v>106</v>
      </c>
      <c r="G130" s="114">
        <v>9</v>
      </c>
      <c r="H130" s="115">
        <v>411</v>
      </c>
    </row>
    <row r="131" spans="1:8" ht="19.8" customHeight="1" x14ac:dyDescent="0.3">
      <c r="A131" s="128">
        <v>45997</v>
      </c>
      <c r="B131" s="112" t="s">
        <v>28</v>
      </c>
      <c r="C131" s="113" t="s">
        <v>75</v>
      </c>
      <c r="D131" s="112" t="s">
        <v>1</v>
      </c>
      <c r="E131" s="129">
        <v>1.895833333333333</v>
      </c>
      <c r="F131" s="112" t="s">
        <v>30</v>
      </c>
      <c r="G131" s="114">
        <v>9</v>
      </c>
      <c r="H131" s="115">
        <v>439</v>
      </c>
    </row>
    <row r="132" spans="1:8" ht="19.8" customHeight="1" x14ac:dyDescent="0.3">
      <c r="A132" s="128">
        <v>45997</v>
      </c>
      <c r="B132" s="112" t="s">
        <v>76</v>
      </c>
      <c r="C132" s="113" t="s">
        <v>77</v>
      </c>
      <c r="D132" s="112" t="s">
        <v>1</v>
      </c>
      <c r="E132" s="129">
        <v>1.9236111111111109</v>
      </c>
      <c r="F132" s="112" t="s">
        <v>30</v>
      </c>
      <c r="G132" s="114">
        <v>9</v>
      </c>
      <c r="H132" s="115">
        <v>446</v>
      </c>
    </row>
    <row r="133" spans="1:8" ht="19.8" customHeight="1" x14ac:dyDescent="0.3">
      <c r="A133" s="130">
        <v>45997</v>
      </c>
      <c r="B133" s="117" t="s">
        <v>33</v>
      </c>
      <c r="C133" s="118" t="s">
        <v>34</v>
      </c>
      <c r="D133" s="117" t="s">
        <v>1</v>
      </c>
      <c r="E133" s="131">
        <v>1.836805555555556</v>
      </c>
      <c r="F133" s="117" t="s">
        <v>38</v>
      </c>
      <c r="G133" s="119">
        <v>9</v>
      </c>
      <c r="H133" s="120">
        <v>449</v>
      </c>
    </row>
    <row r="134" spans="1:8" ht="19.8" customHeight="1" x14ac:dyDescent="0.3">
      <c r="A134" s="146"/>
      <c r="B134" s="147"/>
      <c r="C134" s="147"/>
      <c r="D134" s="147"/>
      <c r="E134" s="147"/>
      <c r="F134" s="148" t="s">
        <v>352</v>
      </c>
      <c r="G134" s="147"/>
      <c r="H134" s="149"/>
    </row>
    <row r="135" spans="1:8" ht="19.8" customHeight="1" x14ac:dyDescent="0.3">
      <c r="A135" s="128">
        <v>45998</v>
      </c>
      <c r="B135" s="112" t="s">
        <v>102</v>
      </c>
      <c r="C135" s="113" t="s">
        <v>113</v>
      </c>
      <c r="D135" s="112" t="s">
        <v>1</v>
      </c>
      <c r="E135" s="129">
        <v>1.2222222222222221</v>
      </c>
      <c r="F135" s="112" t="s">
        <v>30</v>
      </c>
      <c r="G135" s="114">
        <v>9</v>
      </c>
      <c r="H135" s="115">
        <v>371</v>
      </c>
    </row>
    <row r="136" spans="1:8" ht="19.8" customHeight="1" x14ac:dyDescent="0.3">
      <c r="A136" s="128">
        <v>45998</v>
      </c>
      <c r="B136" s="112" t="s">
        <v>43</v>
      </c>
      <c r="C136" s="113" t="s">
        <v>44</v>
      </c>
      <c r="D136" s="112" t="s">
        <v>1</v>
      </c>
      <c r="E136" s="129">
        <v>1.864583333333333</v>
      </c>
      <c r="F136" s="112" t="s">
        <v>106</v>
      </c>
      <c r="G136" s="114">
        <v>9</v>
      </c>
      <c r="H136" s="115">
        <v>411</v>
      </c>
    </row>
    <row r="137" spans="1:8" ht="19.8" customHeight="1" x14ac:dyDescent="0.3">
      <c r="A137" s="128">
        <v>45998</v>
      </c>
      <c r="B137" s="112" t="s">
        <v>43</v>
      </c>
      <c r="C137" s="113" t="s">
        <v>50</v>
      </c>
      <c r="D137" s="112" t="s">
        <v>1</v>
      </c>
      <c r="E137" s="129">
        <v>1.5277777777777779</v>
      </c>
      <c r="F137" s="112" t="s">
        <v>106</v>
      </c>
      <c r="G137" s="114">
        <v>9</v>
      </c>
      <c r="H137" s="115">
        <v>411</v>
      </c>
    </row>
    <row r="138" spans="1:8" ht="19.8" customHeight="1" x14ac:dyDescent="0.3">
      <c r="A138" s="128">
        <v>45998</v>
      </c>
      <c r="B138" s="112" t="s">
        <v>43</v>
      </c>
      <c r="C138" s="113" t="s">
        <v>52</v>
      </c>
      <c r="D138" s="112" t="s">
        <v>1</v>
      </c>
      <c r="E138" s="129">
        <v>1.1701388888888891</v>
      </c>
      <c r="F138" s="112" t="s">
        <v>106</v>
      </c>
      <c r="G138" s="114">
        <v>9</v>
      </c>
      <c r="H138" s="115">
        <v>411</v>
      </c>
    </row>
    <row r="139" spans="1:8" ht="19.8" customHeight="1" x14ac:dyDescent="0.3">
      <c r="A139" s="128">
        <v>45998</v>
      </c>
      <c r="B139" s="112" t="s">
        <v>28</v>
      </c>
      <c r="C139" s="113" t="s">
        <v>29</v>
      </c>
      <c r="D139" s="112" t="s">
        <v>1</v>
      </c>
      <c r="E139" s="129">
        <v>1.958333333333333</v>
      </c>
      <c r="F139" s="112" t="s">
        <v>30</v>
      </c>
      <c r="G139" s="114">
        <v>9</v>
      </c>
      <c r="H139" s="115">
        <v>439</v>
      </c>
    </row>
    <row r="140" spans="1:8" ht="19.8" customHeight="1" x14ac:dyDescent="0.3">
      <c r="A140" s="130">
        <v>45998</v>
      </c>
      <c r="B140" s="117" t="s">
        <v>54</v>
      </c>
      <c r="C140" s="118" t="s">
        <v>55</v>
      </c>
      <c r="D140" s="117" t="s">
        <v>1</v>
      </c>
      <c r="E140" s="131">
        <v>1.305555555555556</v>
      </c>
      <c r="F140" s="117" t="s">
        <v>56</v>
      </c>
      <c r="G140" s="119">
        <v>4</v>
      </c>
      <c r="H140" s="122" t="s">
        <v>118</v>
      </c>
    </row>
    <row r="141" spans="1:8" ht="19.8" customHeight="1" x14ac:dyDescent="0.3">
      <c r="A141" s="132">
        <v>45999</v>
      </c>
      <c r="B141" s="124" t="s">
        <v>76</v>
      </c>
      <c r="C141" s="125" t="s">
        <v>295</v>
      </c>
      <c r="D141" s="124" t="s">
        <v>294</v>
      </c>
      <c r="E141" s="133">
        <v>1.510416666666667</v>
      </c>
      <c r="F141" s="124" t="s">
        <v>30</v>
      </c>
      <c r="G141" s="126">
        <v>7</v>
      </c>
      <c r="H141" s="127">
        <v>506</v>
      </c>
    </row>
    <row r="142" spans="1:8" ht="19.8" customHeight="1" x14ac:dyDescent="0.3">
      <c r="A142" s="146"/>
      <c r="B142" s="147"/>
      <c r="C142" s="147"/>
      <c r="D142" s="147"/>
      <c r="E142" s="147"/>
      <c r="F142" s="148" t="s">
        <v>352</v>
      </c>
      <c r="G142" s="147"/>
      <c r="H142" s="149"/>
    </row>
    <row r="143" spans="1:8" ht="19.8" customHeight="1" x14ac:dyDescent="0.3">
      <c r="A143" s="128">
        <v>45999</v>
      </c>
      <c r="B143" s="112" t="s">
        <v>43</v>
      </c>
      <c r="C143" s="113" t="s">
        <v>44</v>
      </c>
      <c r="D143" s="112" t="s">
        <v>1</v>
      </c>
      <c r="E143" s="129">
        <v>1.864583333333333</v>
      </c>
      <c r="F143" s="112" t="s">
        <v>106</v>
      </c>
      <c r="G143" s="114">
        <v>9</v>
      </c>
      <c r="H143" s="115">
        <v>411</v>
      </c>
    </row>
    <row r="144" spans="1:8" ht="19.8" customHeight="1" x14ac:dyDescent="0.3">
      <c r="A144" s="128">
        <v>45999</v>
      </c>
      <c r="B144" s="112" t="s">
        <v>43</v>
      </c>
      <c r="C144" s="113" t="s">
        <v>50</v>
      </c>
      <c r="D144" s="112" t="s">
        <v>1</v>
      </c>
      <c r="E144" s="129">
        <v>1.5277777777777779</v>
      </c>
      <c r="F144" s="112" t="s">
        <v>106</v>
      </c>
      <c r="G144" s="114">
        <v>9</v>
      </c>
      <c r="H144" s="115">
        <v>411</v>
      </c>
    </row>
    <row r="145" spans="1:8" ht="19.8" customHeight="1" x14ac:dyDescent="0.3">
      <c r="A145" s="128">
        <v>45999</v>
      </c>
      <c r="B145" s="112" t="s">
        <v>43</v>
      </c>
      <c r="C145" s="113" t="s">
        <v>52</v>
      </c>
      <c r="D145" s="112" t="s">
        <v>1</v>
      </c>
      <c r="E145" s="129">
        <v>1.1701388888888891</v>
      </c>
      <c r="F145" s="112" t="s">
        <v>106</v>
      </c>
      <c r="G145" s="114">
        <v>9</v>
      </c>
      <c r="H145" s="115">
        <v>411</v>
      </c>
    </row>
    <row r="146" spans="1:8" ht="19.8" customHeight="1" x14ac:dyDescent="0.3">
      <c r="A146" s="128">
        <v>45999</v>
      </c>
      <c r="B146" s="112" t="s">
        <v>28</v>
      </c>
      <c r="C146" s="113" t="s">
        <v>47</v>
      </c>
      <c r="D146" s="112" t="s">
        <v>1</v>
      </c>
      <c r="E146" s="129">
        <v>1.958333333333333</v>
      </c>
      <c r="F146" s="112" t="s">
        <v>30</v>
      </c>
      <c r="G146" s="114">
        <v>9</v>
      </c>
      <c r="H146" s="115">
        <v>439</v>
      </c>
    </row>
    <row r="147" spans="1:8" ht="19.8" customHeight="1" x14ac:dyDescent="0.3">
      <c r="A147" s="130">
        <v>45999</v>
      </c>
      <c r="B147" s="117" t="s">
        <v>54</v>
      </c>
      <c r="C147" s="118" t="s">
        <v>55</v>
      </c>
      <c r="D147" s="117" t="s">
        <v>1</v>
      </c>
      <c r="E147" s="131">
        <v>1.305555555555556</v>
      </c>
      <c r="F147" s="117" t="s">
        <v>56</v>
      </c>
      <c r="G147" s="119">
        <v>4</v>
      </c>
      <c r="H147" s="122" t="s">
        <v>85</v>
      </c>
    </row>
    <row r="148" spans="1:8" ht="19.8" customHeight="1" x14ac:dyDescent="0.3">
      <c r="A148" s="146"/>
      <c r="B148" s="147"/>
      <c r="C148" s="147"/>
      <c r="D148" s="147"/>
      <c r="E148" s="147"/>
      <c r="F148" s="148" t="s">
        <v>352</v>
      </c>
      <c r="G148" s="147"/>
      <c r="H148" s="149"/>
    </row>
    <row r="149" spans="1:8" ht="19.8" customHeight="1" x14ac:dyDescent="0.3">
      <c r="A149" s="128">
        <v>46000</v>
      </c>
      <c r="B149" s="112" t="s">
        <v>43</v>
      </c>
      <c r="C149" s="113" t="s">
        <v>44</v>
      </c>
      <c r="D149" s="112" t="s">
        <v>1</v>
      </c>
      <c r="E149" s="129">
        <v>1.864583333333333</v>
      </c>
      <c r="F149" s="112" t="s">
        <v>106</v>
      </c>
      <c r="G149" s="114">
        <v>9</v>
      </c>
      <c r="H149" s="115">
        <v>411</v>
      </c>
    </row>
    <row r="150" spans="1:8" ht="19.8" customHeight="1" x14ac:dyDescent="0.3">
      <c r="A150" s="128">
        <v>46000</v>
      </c>
      <c r="B150" s="112" t="s">
        <v>43</v>
      </c>
      <c r="C150" s="113" t="s">
        <v>50</v>
      </c>
      <c r="D150" s="112" t="s">
        <v>1</v>
      </c>
      <c r="E150" s="129">
        <v>1.5277777777777779</v>
      </c>
      <c r="F150" s="112" t="s">
        <v>106</v>
      </c>
      <c r="G150" s="114">
        <v>9</v>
      </c>
      <c r="H150" s="115">
        <v>411</v>
      </c>
    </row>
    <row r="151" spans="1:8" ht="19.8" customHeight="1" x14ac:dyDescent="0.3">
      <c r="A151" s="128">
        <v>46000</v>
      </c>
      <c r="B151" s="112" t="s">
        <v>43</v>
      </c>
      <c r="C151" s="113" t="s">
        <v>52</v>
      </c>
      <c r="D151" s="112" t="s">
        <v>1</v>
      </c>
      <c r="E151" s="129">
        <v>1.1701388888888891</v>
      </c>
      <c r="F151" s="112" t="s">
        <v>106</v>
      </c>
      <c r="G151" s="114">
        <v>9</v>
      </c>
      <c r="H151" s="115">
        <v>411</v>
      </c>
    </row>
    <row r="152" spans="1:8" ht="19.8" customHeight="1" x14ac:dyDescent="0.3">
      <c r="A152" s="128">
        <v>46000</v>
      </c>
      <c r="B152" s="112" t="s">
        <v>76</v>
      </c>
      <c r="C152" s="113" t="s">
        <v>77</v>
      </c>
      <c r="D152" s="112" t="s">
        <v>1</v>
      </c>
      <c r="E152" s="129">
        <v>1.270833333333333</v>
      </c>
      <c r="F152" s="112" t="s">
        <v>30</v>
      </c>
      <c r="G152" s="114">
        <v>9</v>
      </c>
      <c r="H152" s="115">
        <v>425</v>
      </c>
    </row>
    <row r="153" spans="1:8" ht="19.8" customHeight="1" x14ac:dyDescent="0.3">
      <c r="A153" s="128">
        <v>46000</v>
      </c>
      <c r="B153" s="112" t="s">
        <v>28</v>
      </c>
      <c r="C153" s="113" t="s">
        <v>75</v>
      </c>
      <c r="D153" s="112" t="s">
        <v>1</v>
      </c>
      <c r="E153" s="129">
        <v>1.958333333333333</v>
      </c>
      <c r="F153" s="112" t="s">
        <v>30</v>
      </c>
      <c r="G153" s="114">
        <v>9</v>
      </c>
      <c r="H153" s="115">
        <v>439</v>
      </c>
    </row>
    <row r="154" spans="1:8" ht="19.8" customHeight="1" x14ac:dyDescent="0.3">
      <c r="A154" s="130">
        <v>46000</v>
      </c>
      <c r="B154" s="117" t="s">
        <v>54</v>
      </c>
      <c r="C154" s="118" t="s">
        <v>55</v>
      </c>
      <c r="D154" s="117" t="s">
        <v>1</v>
      </c>
      <c r="E154" s="131">
        <v>1.305555555555556</v>
      </c>
      <c r="F154" s="117" t="s">
        <v>56</v>
      </c>
      <c r="G154" s="119">
        <v>4</v>
      </c>
      <c r="H154" s="122" t="s">
        <v>85</v>
      </c>
    </row>
    <row r="155" spans="1:8" ht="19.8" customHeight="1" x14ac:dyDescent="0.3">
      <c r="A155" s="146"/>
      <c r="B155" s="147"/>
      <c r="C155" s="147"/>
      <c r="D155" s="147"/>
      <c r="E155" s="147"/>
      <c r="F155" s="148" t="s">
        <v>352</v>
      </c>
      <c r="G155" s="147"/>
      <c r="H155" s="149"/>
    </row>
    <row r="156" spans="1:8" ht="19.8" customHeight="1" x14ac:dyDescent="0.3">
      <c r="A156" s="128">
        <v>46001</v>
      </c>
      <c r="B156" s="112" t="s">
        <v>102</v>
      </c>
      <c r="C156" s="113" t="s">
        <v>103</v>
      </c>
      <c r="D156" s="112" t="s">
        <v>1</v>
      </c>
      <c r="E156" s="129">
        <v>1.0902777777777779</v>
      </c>
      <c r="F156" s="112" t="s">
        <v>30</v>
      </c>
      <c r="G156" s="114">
        <v>9</v>
      </c>
      <c r="H156" s="115">
        <v>371</v>
      </c>
    </row>
    <row r="157" spans="1:8" ht="19.8" customHeight="1" x14ac:dyDescent="0.3">
      <c r="A157" s="128">
        <v>46001</v>
      </c>
      <c r="B157" s="112" t="s">
        <v>43</v>
      </c>
      <c r="C157" s="113" t="s">
        <v>44</v>
      </c>
      <c r="D157" s="112" t="s">
        <v>1</v>
      </c>
      <c r="E157" s="129">
        <v>1.864583333333333</v>
      </c>
      <c r="F157" s="112" t="s">
        <v>106</v>
      </c>
      <c r="G157" s="114">
        <v>9</v>
      </c>
      <c r="H157" s="115">
        <v>411</v>
      </c>
    </row>
    <row r="158" spans="1:8" ht="19.8" customHeight="1" x14ac:dyDescent="0.3">
      <c r="A158" s="128">
        <v>46001</v>
      </c>
      <c r="B158" s="112" t="s">
        <v>43</v>
      </c>
      <c r="C158" s="113" t="s">
        <v>50</v>
      </c>
      <c r="D158" s="112" t="s">
        <v>1</v>
      </c>
      <c r="E158" s="129">
        <v>1.5277777777777779</v>
      </c>
      <c r="F158" s="112" t="s">
        <v>106</v>
      </c>
      <c r="G158" s="114">
        <v>9</v>
      </c>
      <c r="H158" s="115">
        <v>411</v>
      </c>
    </row>
    <row r="159" spans="1:8" ht="19.8" customHeight="1" x14ac:dyDescent="0.3">
      <c r="A159" s="128">
        <v>46001</v>
      </c>
      <c r="B159" s="112" t="s">
        <v>43</v>
      </c>
      <c r="C159" s="113" t="s">
        <v>52</v>
      </c>
      <c r="D159" s="112" t="s">
        <v>1</v>
      </c>
      <c r="E159" s="129">
        <v>1.1701388888888891</v>
      </c>
      <c r="F159" s="112" t="s">
        <v>106</v>
      </c>
      <c r="G159" s="114">
        <v>9</v>
      </c>
      <c r="H159" s="115">
        <v>411</v>
      </c>
    </row>
    <row r="160" spans="1:8" ht="19.8" customHeight="1" x14ac:dyDescent="0.3">
      <c r="A160" s="128">
        <v>46001</v>
      </c>
      <c r="B160" s="112" t="s">
        <v>28</v>
      </c>
      <c r="C160" s="113" t="s">
        <v>47</v>
      </c>
      <c r="D160" s="112" t="s">
        <v>1</v>
      </c>
      <c r="E160" s="129">
        <v>1.895833333333333</v>
      </c>
      <c r="F160" s="112" t="s">
        <v>30</v>
      </c>
      <c r="G160" s="114">
        <v>7</v>
      </c>
      <c r="H160" s="115">
        <v>439</v>
      </c>
    </row>
    <row r="161" spans="1:8" ht="19.8" customHeight="1" x14ac:dyDescent="0.3">
      <c r="A161" s="130">
        <v>46001</v>
      </c>
      <c r="B161" s="117" t="s">
        <v>54</v>
      </c>
      <c r="C161" s="118" t="s">
        <v>55</v>
      </c>
      <c r="D161" s="117" t="s">
        <v>1</v>
      </c>
      <c r="E161" s="131">
        <v>1.305555555555556</v>
      </c>
      <c r="F161" s="117" t="s">
        <v>56</v>
      </c>
      <c r="G161" s="119">
        <v>4</v>
      </c>
      <c r="H161" s="122" t="s">
        <v>58</v>
      </c>
    </row>
    <row r="162" spans="1:8" ht="19.8" customHeight="1" x14ac:dyDescent="0.3">
      <c r="A162" s="146"/>
      <c r="B162" s="147"/>
      <c r="C162" s="147"/>
      <c r="D162" s="147"/>
      <c r="E162" s="147"/>
      <c r="F162" s="148" t="s">
        <v>352</v>
      </c>
      <c r="G162" s="147"/>
      <c r="H162" s="149"/>
    </row>
    <row r="163" spans="1:8" ht="19.8" customHeight="1" x14ac:dyDescent="0.3">
      <c r="A163" s="128">
        <v>46002</v>
      </c>
      <c r="B163" s="112" t="s">
        <v>102</v>
      </c>
      <c r="C163" s="113" t="s">
        <v>103</v>
      </c>
      <c r="D163" s="112" t="s">
        <v>1</v>
      </c>
      <c r="E163" s="129">
        <v>1.8888888888888891</v>
      </c>
      <c r="F163" s="112" t="s">
        <v>30</v>
      </c>
      <c r="G163" s="114">
        <v>9</v>
      </c>
      <c r="H163" s="115">
        <v>371</v>
      </c>
    </row>
    <row r="164" spans="1:8" ht="19.8" customHeight="1" x14ac:dyDescent="0.3">
      <c r="A164" s="128">
        <v>46002</v>
      </c>
      <c r="B164" s="112" t="s">
        <v>43</v>
      </c>
      <c r="C164" s="113" t="s">
        <v>44</v>
      </c>
      <c r="D164" s="112" t="s">
        <v>1</v>
      </c>
      <c r="E164" s="129">
        <v>1.864583333333333</v>
      </c>
      <c r="F164" s="112" t="s">
        <v>106</v>
      </c>
      <c r="G164" s="114">
        <v>9</v>
      </c>
      <c r="H164" s="115">
        <v>411</v>
      </c>
    </row>
    <row r="165" spans="1:8" ht="19.8" customHeight="1" x14ac:dyDescent="0.3">
      <c r="A165" s="128">
        <v>46002</v>
      </c>
      <c r="B165" s="112" t="s">
        <v>43</v>
      </c>
      <c r="C165" s="113" t="s">
        <v>50</v>
      </c>
      <c r="D165" s="112" t="s">
        <v>1</v>
      </c>
      <c r="E165" s="129">
        <v>1.5277777777777779</v>
      </c>
      <c r="F165" s="112" t="s">
        <v>106</v>
      </c>
      <c r="G165" s="114">
        <v>9</v>
      </c>
      <c r="H165" s="115">
        <v>411</v>
      </c>
    </row>
    <row r="166" spans="1:8" ht="19.8" customHeight="1" x14ac:dyDescent="0.3">
      <c r="A166" s="128">
        <v>46002</v>
      </c>
      <c r="B166" s="112" t="s">
        <v>43</v>
      </c>
      <c r="C166" s="113" t="s">
        <v>52</v>
      </c>
      <c r="D166" s="112" t="s">
        <v>1</v>
      </c>
      <c r="E166" s="129">
        <v>1.1701388888888891</v>
      </c>
      <c r="F166" s="112" t="s">
        <v>106</v>
      </c>
      <c r="G166" s="114">
        <v>9</v>
      </c>
      <c r="H166" s="115">
        <v>411</v>
      </c>
    </row>
    <row r="167" spans="1:8" ht="19.8" customHeight="1" x14ac:dyDescent="0.3">
      <c r="A167" s="128">
        <v>46002</v>
      </c>
      <c r="B167" s="112" t="s">
        <v>28</v>
      </c>
      <c r="C167" s="113" t="s">
        <v>29</v>
      </c>
      <c r="D167" s="112" t="s">
        <v>1</v>
      </c>
      <c r="E167" s="129">
        <v>1.5625</v>
      </c>
      <c r="F167" s="112" t="s">
        <v>30</v>
      </c>
      <c r="G167" s="114">
        <v>5</v>
      </c>
      <c r="H167" s="115">
        <v>439</v>
      </c>
    </row>
    <row r="168" spans="1:8" ht="19.8" customHeight="1" x14ac:dyDescent="0.3">
      <c r="A168" s="128">
        <v>46002</v>
      </c>
      <c r="B168" s="112" t="s">
        <v>76</v>
      </c>
      <c r="C168" s="113" t="s">
        <v>77</v>
      </c>
      <c r="D168" s="112" t="s">
        <v>1</v>
      </c>
      <c r="E168" s="129">
        <v>1.9236111111111109</v>
      </c>
      <c r="F168" s="112" t="s">
        <v>30</v>
      </c>
      <c r="G168" s="114">
        <v>6</v>
      </c>
      <c r="H168" s="115">
        <v>446</v>
      </c>
    </row>
    <row r="169" spans="1:8" ht="19.8" customHeight="1" x14ac:dyDescent="0.3">
      <c r="A169" s="128">
        <v>46002</v>
      </c>
      <c r="B169" s="112" t="s">
        <v>28</v>
      </c>
      <c r="C169" s="113" t="s">
        <v>75</v>
      </c>
      <c r="D169" s="112" t="s">
        <v>1</v>
      </c>
      <c r="E169" s="129">
        <v>1.958333333333333</v>
      </c>
      <c r="F169" s="112" t="s">
        <v>30</v>
      </c>
      <c r="G169" s="114">
        <v>6</v>
      </c>
      <c r="H169" s="115">
        <v>563</v>
      </c>
    </row>
    <row r="170" spans="1:8" ht="19.8" customHeight="1" x14ac:dyDescent="0.3">
      <c r="A170" s="130">
        <v>46002</v>
      </c>
      <c r="B170" s="117" t="s">
        <v>54</v>
      </c>
      <c r="C170" s="118" t="s">
        <v>55</v>
      </c>
      <c r="D170" s="117" t="s">
        <v>1</v>
      </c>
      <c r="E170" s="131">
        <v>1.305555555555556</v>
      </c>
      <c r="F170" s="117" t="s">
        <v>56</v>
      </c>
      <c r="G170" s="119">
        <v>4</v>
      </c>
      <c r="H170" s="122" t="s">
        <v>58</v>
      </c>
    </row>
    <row r="171" spans="1:8" ht="19.8" customHeight="1" x14ac:dyDescent="0.3">
      <c r="A171" s="132">
        <v>46003</v>
      </c>
      <c r="B171" s="124" t="s">
        <v>76</v>
      </c>
      <c r="C171" s="125" t="s">
        <v>295</v>
      </c>
      <c r="D171" s="124" t="s">
        <v>294</v>
      </c>
      <c r="E171" s="133">
        <v>1.291666666666667</v>
      </c>
      <c r="F171" s="124"/>
      <c r="G171" s="124"/>
      <c r="H171" s="150" t="s">
        <v>317</v>
      </c>
    </row>
    <row r="172" spans="1:8" ht="19.8" customHeight="1" x14ac:dyDescent="0.3">
      <c r="A172" s="146"/>
      <c r="B172" s="147"/>
      <c r="C172" s="147"/>
      <c r="D172" s="147"/>
      <c r="E172" s="147"/>
      <c r="F172" s="148" t="s">
        <v>352</v>
      </c>
      <c r="G172" s="147"/>
      <c r="H172" s="149"/>
    </row>
    <row r="173" spans="1:8" ht="19.8" customHeight="1" x14ac:dyDescent="0.3">
      <c r="A173" s="128">
        <v>46003</v>
      </c>
      <c r="B173" s="112" t="s">
        <v>43</v>
      </c>
      <c r="C173" s="113" t="s">
        <v>44</v>
      </c>
      <c r="D173" s="112" t="s">
        <v>1</v>
      </c>
      <c r="E173" s="129">
        <v>1.864583333333333</v>
      </c>
      <c r="F173" s="112" t="s">
        <v>106</v>
      </c>
      <c r="G173" s="114">
        <v>9</v>
      </c>
      <c r="H173" s="115">
        <v>411</v>
      </c>
    </row>
    <row r="174" spans="1:8" ht="19.8" customHeight="1" x14ac:dyDescent="0.3">
      <c r="A174" s="128">
        <v>46003</v>
      </c>
      <c r="B174" s="112" t="s">
        <v>43</v>
      </c>
      <c r="C174" s="113" t="s">
        <v>52</v>
      </c>
      <c r="D174" s="112" t="s">
        <v>1</v>
      </c>
      <c r="E174" s="129">
        <v>1.1701388888888891</v>
      </c>
      <c r="F174" s="112" t="s">
        <v>106</v>
      </c>
      <c r="G174" s="114">
        <v>9</v>
      </c>
      <c r="H174" s="115">
        <v>411</v>
      </c>
    </row>
    <row r="175" spans="1:8" ht="19.8" customHeight="1" x14ac:dyDescent="0.3">
      <c r="A175" s="128">
        <v>46003</v>
      </c>
      <c r="B175" s="112" t="s">
        <v>28</v>
      </c>
      <c r="C175" s="113" t="s">
        <v>47</v>
      </c>
      <c r="D175" s="112" t="s">
        <v>1</v>
      </c>
      <c r="E175" s="129">
        <v>1.958333333333333</v>
      </c>
      <c r="F175" s="112" t="s">
        <v>30</v>
      </c>
      <c r="G175" s="114">
        <v>8</v>
      </c>
      <c r="H175" s="115">
        <v>439</v>
      </c>
    </row>
    <row r="176" spans="1:8" ht="19.8" customHeight="1" x14ac:dyDescent="0.3">
      <c r="A176" s="128">
        <v>46003</v>
      </c>
      <c r="B176" s="112" t="s">
        <v>76</v>
      </c>
      <c r="C176" s="113" t="s">
        <v>77</v>
      </c>
      <c r="D176" s="112" t="s">
        <v>1</v>
      </c>
      <c r="E176" s="129">
        <v>1.5798611111111109</v>
      </c>
      <c r="F176" s="112" t="s">
        <v>30</v>
      </c>
      <c r="G176" s="114">
        <v>8</v>
      </c>
      <c r="H176" s="115">
        <v>476</v>
      </c>
    </row>
    <row r="177" spans="1:8" ht="19.8" customHeight="1" x14ac:dyDescent="0.3">
      <c r="A177" s="128">
        <v>46003</v>
      </c>
      <c r="B177" s="112" t="s">
        <v>43</v>
      </c>
      <c r="C177" s="113" t="s">
        <v>50</v>
      </c>
      <c r="D177" s="112" t="s">
        <v>1</v>
      </c>
      <c r="E177" s="129">
        <v>1.5277777777777779</v>
      </c>
      <c r="F177" s="112" t="s">
        <v>45</v>
      </c>
      <c r="G177" s="114">
        <v>9</v>
      </c>
      <c r="H177" s="121" t="s">
        <v>148</v>
      </c>
    </row>
    <row r="178" spans="1:8" ht="19.8" customHeight="1" x14ac:dyDescent="0.3">
      <c r="A178" s="130">
        <v>46003</v>
      </c>
      <c r="B178" s="117" t="s">
        <v>54</v>
      </c>
      <c r="C178" s="118" t="s">
        <v>55</v>
      </c>
      <c r="D178" s="117" t="s">
        <v>1</v>
      </c>
      <c r="E178" s="131">
        <v>1.305555555555556</v>
      </c>
      <c r="F178" s="117" t="s">
        <v>56</v>
      </c>
      <c r="G178" s="119">
        <v>4</v>
      </c>
      <c r="H178" s="122" t="s">
        <v>85</v>
      </c>
    </row>
    <row r="179" spans="1:8" ht="19.8" customHeight="1" x14ac:dyDescent="0.3">
      <c r="A179" s="146"/>
      <c r="B179" s="147"/>
      <c r="C179" s="147"/>
      <c r="D179" s="147"/>
      <c r="E179" s="147"/>
      <c r="F179" s="148" t="s">
        <v>352</v>
      </c>
      <c r="G179" s="147"/>
      <c r="H179" s="149"/>
    </row>
    <row r="180" spans="1:8" ht="19.8" customHeight="1" x14ac:dyDescent="0.3">
      <c r="A180" s="128">
        <v>46004</v>
      </c>
      <c r="B180" s="112" t="s">
        <v>33</v>
      </c>
      <c r="C180" s="113" t="s">
        <v>34</v>
      </c>
      <c r="D180" s="112" t="s">
        <v>1</v>
      </c>
      <c r="E180" s="129">
        <v>1.836805555555556</v>
      </c>
      <c r="F180" s="112" t="s">
        <v>35</v>
      </c>
      <c r="G180" s="114">
        <v>9</v>
      </c>
      <c r="H180" s="115">
        <v>349</v>
      </c>
    </row>
    <row r="181" spans="1:8" ht="19.8" customHeight="1" x14ac:dyDescent="0.3">
      <c r="A181" s="128">
        <v>46004</v>
      </c>
      <c r="B181" s="112" t="s">
        <v>33</v>
      </c>
      <c r="C181" s="113" t="s">
        <v>68</v>
      </c>
      <c r="D181" s="112" t="s">
        <v>1</v>
      </c>
      <c r="E181" s="129">
        <v>1.2013888888888891</v>
      </c>
      <c r="F181" s="112" t="s">
        <v>35</v>
      </c>
      <c r="G181" s="114">
        <v>4</v>
      </c>
      <c r="H181" s="115">
        <v>349</v>
      </c>
    </row>
    <row r="182" spans="1:8" ht="19.8" customHeight="1" x14ac:dyDescent="0.3">
      <c r="A182" s="128">
        <v>46004</v>
      </c>
      <c r="B182" s="112" t="s">
        <v>43</v>
      </c>
      <c r="C182" s="113" t="s">
        <v>44</v>
      </c>
      <c r="D182" s="112" t="s">
        <v>1</v>
      </c>
      <c r="E182" s="129">
        <v>1.864583333333333</v>
      </c>
      <c r="F182" s="112" t="s">
        <v>106</v>
      </c>
      <c r="G182" s="114">
        <v>9</v>
      </c>
      <c r="H182" s="115">
        <v>411</v>
      </c>
    </row>
    <row r="183" spans="1:8" ht="19.8" customHeight="1" x14ac:dyDescent="0.3">
      <c r="A183" s="128">
        <v>46004</v>
      </c>
      <c r="B183" s="112" t="s">
        <v>43</v>
      </c>
      <c r="C183" s="113" t="s">
        <v>52</v>
      </c>
      <c r="D183" s="112" t="s">
        <v>1</v>
      </c>
      <c r="E183" s="129">
        <v>1.1701388888888891</v>
      </c>
      <c r="F183" s="112" t="s">
        <v>106</v>
      </c>
      <c r="G183" s="114">
        <v>9</v>
      </c>
      <c r="H183" s="115">
        <v>411</v>
      </c>
    </row>
    <row r="184" spans="1:8" ht="19.8" customHeight="1" x14ac:dyDescent="0.3">
      <c r="A184" s="128">
        <v>46004</v>
      </c>
      <c r="B184" s="112" t="s">
        <v>43</v>
      </c>
      <c r="C184" s="113" t="s">
        <v>50</v>
      </c>
      <c r="D184" s="112" t="s">
        <v>1</v>
      </c>
      <c r="E184" s="129">
        <v>1.5277777777777779</v>
      </c>
      <c r="F184" s="112" t="s">
        <v>106</v>
      </c>
      <c r="G184" s="114">
        <v>9</v>
      </c>
      <c r="H184" s="115">
        <v>415</v>
      </c>
    </row>
    <row r="185" spans="1:8" ht="19.8" customHeight="1" x14ac:dyDescent="0.3">
      <c r="A185" s="128">
        <v>46004</v>
      </c>
      <c r="B185" s="112" t="s">
        <v>28</v>
      </c>
      <c r="C185" s="113" t="s">
        <v>75</v>
      </c>
      <c r="D185" s="112" t="s">
        <v>1</v>
      </c>
      <c r="E185" s="129">
        <v>1.895833333333333</v>
      </c>
      <c r="F185" s="112" t="s">
        <v>30</v>
      </c>
      <c r="G185" s="114">
        <v>9</v>
      </c>
      <c r="H185" s="115">
        <v>439</v>
      </c>
    </row>
    <row r="186" spans="1:8" ht="19.8" customHeight="1" x14ac:dyDescent="0.3">
      <c r="A186" s="128">
        <v>46004</v>
      </c>
      <c r="B186" s="112" t="s">
        <v>76</v>
      </c>
      <c r="C186" s="113" t="s">
        <v>77</v>
      </c>
      <c r="D186" s="112" t="s">
        <v>1</v>
      </c>
      <c r="E186" s="129">
        <v>1.9236111111111109</v>
      </c>
      <c r="F186" s="112" t="s">
        <v>30</v>
      </c>
      <c r="G186" s="114">
        <v>9</v>
      </c>
      <c r="H186" s="115">
        <v>446</v>
      </c>
    </row>
    <row r="187" spans="1:8" ht="19.8" customHeight="1" x14ac:dyDescent="0.3">
      <c r="A187" s="128">
        <v>46004</v>
      </c>
      <c r="B187" s="112" t="s">
        <v>33</v>
      </c>
      <c r="C187" s="113" t="s">
        <v>34</v>
      </c>
      <c r="D187" s="112" t="s">
        <v>1</v>
      </c>
      <c r="E187" s="129">
        <v>1.836805555555556</v>
      </c>
      <c r="F187" s="112" t="s">
        <v>38</v>
      </c>
      <c r="G187" s="114">
        <v>9</v>
      </c>
      <c r="H187" s="115">
        <v>449</v>
      </c>
    </row>
    <row r="188" spans="1:8" ht="19.8" customHeight="1" x14ac:dyDescent="0.3">
      <c r="A188" s="128">
        <v>46004</v>
      </c>
      <c r="B188" s="112" t="s">
        <v>33</v>
      </c>
      <c r="C188" s="113" t="s">
        <v>68</v>
      </c>
      <c r="D188" s="112" t="s">
        <v>1</v>
      </c>
      <c r="E188" s="129">
        <v>1.2013888888888891</v>
      </c>
      <c r="F188" s="112" t="s">
        <v>38</v>
      </c>
      <c r="G188" s="114">
        <v>4</v>
      </c>
      <c r="H188" s="115">
        <v>449</v>
      </c>
    </row>
    <row r="189" spans="1:8" ht="19.8" customHeight="1" x14ac:dyDescent="0.3">
      <c r="A189" s="130">
        <v>46004</v>
      </c>
      <c r="B189" s="117" t="s">
        <v>33</v>
      </c>
      <c r="C189" s="118" t="s">
        <v>34</v>
      </c>
      <c r="D189" s="117" t="s">
        <v>1</v>
      </c>
      <c r="E189" s="131">
        <v>1.836805555555556</v>
      </c>
      <c r="F189" s="117" t="s">
        <v>41</v>
      </c>
      <c r="G189" s="119">
        <v>9</v>
      </c>
      <c r="H189" s="120">
        <v>539</v>
      </c>
    </row>
    <row r="190" spans="1:8" ht="19.8" customHeight="1" x14ac:dyDescent="0.3">
      <c r="A190" s="146"/>
      <c r="B190" s="147"/>
      <c r="C190" s="147"/>
      <c r="D190" s="147"/>
      <c r="E190" s="147"/>
      <c r="F190" s="148" t="s">
        <v>352</v>
      </c>
      <c r="G190" s="147"/>
      <c r="H190" s="149"/>
    </row>
    <row r="191" spans="1:8" ht="19.8" customHeight="1" x14ac:dyDescent="0.3">
      <c r="A191" s="128">
        <v>46005</v>
      </c>
      <c r="B191" s="112" t="s">
        <v>102</v>
      </c>
      <c r="C191" s="113" t="s">
        <v>113</v>
      </c>
      <c r="D191" s="112" t="s">
        <v>1</v>
      </c>
      <c r="E191" s="129">
        <v>1.2222222222222221</v>
      </c>
      <c r="F191" s="112" t="s">
        <v>30</v>
      </c>
      <c r="G191" s="114">
        <v>5</v>
      </c>
      <c r="H191" s="115">
        <v>371</v>
      </c>
    </row>
    <row r="192" spans="1:8" ht="19.8" customHeight="1" x14ac:dyDescent="0.3">
      <c r="A192" s="128">
        <v>46005</v>
      </c>
      <c r="B192" s="112" t="s">
        <v>43</v>
      </c>
      <c r="C192" s="113" t="s">
        <v>44</v>
      </c>
      <c r="D192" s="112" t="s">
        <v>1</v>
      </c>
      <c r="E192" s="129">
        <v>1.864583333333333</v>
      </c>
      <c r="F192" s="112" t="s">
        <v>106</v>
      </c>
      <c r="G192" s="114">
        <v>9</v>
      </c>
      <c r="H192" s="115">
        <v>411</v>
      </c>
    </row>
    <row r="193" spans="1:8" ht="19.8" customHeight="1" x14ac:dyDescent="0.3">
      <c r="A193" s="128">
        <v>46005</v>
      </c>
      <c r="B193" s="112" t="s">
        <v>43</v>
      </c>
      <c r="C193" s="113" t="s">
        <v>52</v>
      </c>
      <c r="D193" s="112" t="s">
        <v>1</v>
      </c>
      <c r="E193" s="129">
        <v>1.1701388888888891</v>
      </c>
      <c r="F193" s="112" t="s">
        <v>106</v>
      </c>
      <c r="G193" s="114">
        <v>9</v>
      </c>
      <c r="H193" s="115">
        <v>411</v>
      </c>
    </row>
    <row r="194" spans="1:8" ht="19.8" customHeight="1" x14ac:dyDescent="0.3">
      <c r="A194" s="128">
        <v>46005</v>
      </c>
      <c r="B194" s="112" t="s">
        <v>28</v>
      </c>
      <c r="C194" s="113" t="s">
        <v>29</v>
      </c>
      <c r="D194" s="112" t="s">
        <v>1</v>
      </c>
      <c r="E194" s="129">
        <v>1.958333333333333</v>
      </c>
      <c r="F194" s="112" t="s">
        <v>30</v>
      </c>
      <c r="G194" s="114">
        <v>9</v>
      </c>
      <c r="H194" s="115">
        <v>439</v>
      </c>
    </row>
    <row r="195" spans="1:8" ht="19.8" customHeight="1" x14ac:dyDescent="0.3">
      <c r="A195" s="130">
        <v>46005</v>
      </c>
      <c r="B195" s="117" t="s">
        <v>54</v>
      </c>
      <c r="C195" s="118" t="s">
        <v>55</v>
      </c>
      <c r="D195" s="117" t="s">
        <v>1</v>
      </c>
      <c r="E195" s="131">
        <v>1.305555555555556</v>
      </c>
      <c r="F195" s="117" t="s">
        <v>56</v>
      </c>
      <c r="G195" s="119">
        <v>4</v>
      </c>
      <c r="H195" s="122" t="s">
        <v>85</v>
      </c>
    </row>
    <row r="196" spans="1:8" ht="19.8" customHeight="1" x14ac:dyDescent="0.3">
      <c r="A196" s="132">
        <v>46006</v>
      </c>
      <c r="B196" s="124" t="s">
        <v>76</v>
      </c>
      <c r="C196" s="125" t="s">
        <v>295</v>
      </c>
      <c r="D196" s="124" t="s">
        <v>294</v>
      </c>
      <c r="E196" s="133">
        <v>1.510416666666667</v>
      </c>
      <c r="F196" s="124" t="s">
        <v>30</v>
      </c>
      <c r="G196" s="126">
        <v>1</v>
      </c>
      <c r="H196" s="127">
        <v>506</v>
      </c>
    </row>
    <row r="197" spans="1:8" ht="19.8" customHeight="1" x14ac:dyDescent="0.3">
      <c r="A197" s="146"/>
      <c r="B197" s="147"/>
      <c r="C197" s="147"/>
      <c r="D197" s="147"/>
      <c r="E197" s="147"/>
      <c r="F197" s="148" t="s">
        <v>352</v>
      </c>
      <c r="G197" s="147"/>
      <c r="H197" s="149"/>
    </row>
    <row r="198" spans="1:8" ht="19.8" customHeight="1" x14ac:dyDescent="0.3">
      <c r="A198" s="128">
        <v>46006</v>
      </c>
      <c r="B198" s="112" t="s">
        <v>43</v>
      </c>
      <c r="C198" s="113" t="s">
        <v>44</v>
      </c>
      <c r="D198" s="112" t="s">
        <v>1</v>
      </c>
      <c r="E198" s="129">
        <v>1.864583333333333</v>
      </c>
      <c r="F198" s="112" t="s">
        <v>106</v>
      </c>
      <c r="G198" s="114">
        <v>9</v>
      </c>
      <c r="H198" s="115">
        <v>411</v>
      </c>
    </row>
    <row r="199" spans="1:8" ht="19.8" customHeight="1" x14ac:dyDescent="0.3">
      <c r="A199" s="128">
        <v>46006</v>
      </c>
      <c r="B199" s="112" t="s">
        <v>43</v>
      </c>
      <c r="C199" s="113" t="s">
        <v>50</v>
      </c>
      <c r="D199" s="112" t="s">
        <v>1</v>
      </c>
      <c r="E199" s="129">
        <v>1.5277777777777779</v>
      </c>
      <c r="F199" s="112" t="s">
        <v>106</v>
      </c>
      <c r="G199" s="114">
        <v>9</v>
      </c>
      <c r="H199" s="115">
        <v>411</v>
      </c>
    </row>
    <row r="200" spans="1:8" ht="19.8" customHeight="1" x14ac:dyDescent="0.3">
      <c r="A200" s="128">
        <v>46006</v>
      </c>
      <c r="B200" s="112" t="s">
        <v>43</v>
      </c>
      <c r="C200" s="113" t="s">
        <v>52</v>
      </c>
      <c r="D200" s="112" t="s">
        <v>1</v>
      </c>
      <c r="E200" s="129">
        <v>1.1701388888888891</v>
      </c>
      <c r="F200" s="112" t="s">
        <v>106</v>
      </c>
      <c r="G200" s="114">
        <v>9</v>
      </c>
      <c r="H200" s="115">
        <v>411</v>
      </c>
    </row>
    <row r="201" spans="1:8" ht="19.8" customHeight="1" x14ac:dyDescent="0.3">
      <c r="A201" s="128">
        <v>46006</v>
      </c>
      <c r="B201" s="112" t="s">
        <v>28</v>
      </c>
      <c r="C201" s="113" t="s">
        <v>47</v>
      </c>
      <c r="D201" s="112" t="s">
        <v>1</v>
      </c>
      <c r="E201" s="129">
        <v>1.958333333333333</v>
      </c>
      <c r="F201" s="112" t="s">
        <v>30</v>
      </c>
      <c r="G201" s="114">
        <v>4</v>
      </c>
      <c r="H201" s="115">
        <v>439</v>
      </c>
    </row>
    <row r="202" spans="1:8" ht="19.8" customHeight="1" x14ac:dyDescent="0.3">
      <c r="A202" s="130">
        <v>46006</v>
      </c>
      <c r="B202" s="117" t="s">
        <v>54</v>
      </c>
      <c r="C202" s="118" t="s">
        <v>55</v>
      </c>
      <c r="D202" s="117" t="s">
        <v>1</v>
      </c>
      <c r="E202" s="131">
        <v>1.305555555555556</v>
      </c>
      <c r="F202" s="117" t="s">
        <v>56</v>
      </c>
      <c r="G202" s="119">
        <v>4</v>
      </c>
      <c r="H202" s="122" t="s">
        <v>118</v>
      </c>
    </row>
    <row r="203" spans="1:8" ht="19.8" customHeight="1" x14ac:dyDescent="0.3">
      <c r="A203" s="146"/>
      <c r="B203" s="147"/>
      <c r="C203" s="147"/>
      <c r="D203" s="147"/>
      <c r="E203" s="147"/>
      <c r="F203" s="148" t="s">
        <v>352</v>
      </c>
      <c r="G203" s="147"/>
      <c r="H203" s="149"/>
    </row>
    <row r="204" spans="1:8" ht="19.8" customHeight="1" x14ac:dyDescent="0.3">
      <c r="A204" s="128">
        <v>46007</v>
      </c>
      <c r="B204" s="112" t="s">
        <v>33</v>
      </c>
      <c r="C204" s="113" t="s">
        <v>34</v>
      </c>
      <c r="D204" s="112" t="s">
        <v>1</v>
      </c>
      <c r="E204" s="129">
        <v>1.836805555555556</v>
      </c>
      <c r="F204" s="112" t="s">
        <v>35</v>
      </c>
      <c r="G204" s="114">
        <v>9</v>
      </c>
      <c r="H204" s="115">
        <v>349</v>
      </c>
    </row>
    <row r="205" spans="1:8" ht="19.8" customHeight="1" x14ac:dyDescent="0.3">
      <c r="A205" s="128">
        <v>46007</v>
      </c>
      <c r="B205" s="112" t="s">
        <v>33</v>
      </c>
      <c r="C205" s="113" t="s">
        <v>68</v>
      </c>
      <c r="D205" s="112" t="s">
        <v>1</v>
      </c>
      <c r="E205" s="129">
        <v>1.2013888888888891</v>
      </c>
      <c r="F205" s="112" t="s">
        <v>35</v>
      </c>
      <c r="G205" s="114">
        <v>9</v>
      </c>
      <c r="H205" s="115">
        <v>349</v>
      </c>
    </row>
    <row r="206" spans="1:8" ht="19.8" customHeight="1" x14ac:dyDescent="0.3">
      <c r="A206" s="128">
        <v>46007</v>
      </c>
      <c r="B206" s="112" t="s">
        <v>76</v>
      </c>
      <c r="C206" s="113" t="s">
        <v>77</v>
      </c>
      <c r="D206" s="112" t="s">
        <v>1</v>
      </c>
      <c r="E206" s="129">
        <v>1.270833333333333</v>
      </c>
      <c r="F206" s="112" t="s">
        <v>30</v>
      </c>
      <c r="G206" s="114">
        <v>9</v>
      </c>
      <c r="H206" s="115">
        <v>425</v>
      </c>
    </row>
    <row r="207" spans="1:8" ht="19.8" customHeight="1" x14ac:dyDescent="0.3">
      <c r="A207" s="128">
        <v>46007</v>
      </c>
      <c r="B207" s="112" t="s">
        <v>43</v>
      </c>
      <c r="C207" s="113" t="s">
        <v>44</v>
      </c>
      <c r="D207" s="112" t="s">
        <v>1</v>
      </c>
      <c r="E207" s="129">
        <v>1.864583333333333</v>
      </c>
      <c r="F207" s="112" t="s">
        <v>91</v>
      </c>
      <c r="G207" s="114">
        <v>9</v>
      </c>
      <c r="H207" s="115">
        <v>437</v>
      </c>
    </row>
    <row r="208" spans="1:8" ht="19.8" customHeight="1" x14ac:dyDescent="0.3">
      <c r="A208" s="128">
        <v>46007</v>
      </c>
      <c r="B208" s="112" t="s">
        <v>43</v>
      </c>
      <c r="C208" s="113" t="s">
        <v>52</v>
      </c>
      <c r="D208" s="112" t="s">
        <v>1</v>
      </c>
      <c r="E208" s="129">
        <v>1.1701388888888891</v>
      </c>
      <c r="F208" s="112" t="s">
        <v>91</v>
      </c>
      <c r="G208" s="114">
        <v>9</v>
      </c>
      <c r="H208" s="115">
        <v>437</v>
      </c>
    </row>
    <row r="209" spans="1:8" ht="19.8" customHeight="1" x14ac:dyDescent="0.3">
      <c r="A209" s="128">
        <v>46007</v>
      </c>
      <c r="B209" s="112" t="s">
        <v>28</v>
      </c>
      <c r="C209" s="113" t="s">
        <v>75</v>
      </c>
      <c r="D209" s="112" t="s">
        <v>1</v>
      </c>
      <c r="E209" s="129">
        <v>1.958333333333333</v>
      </c>
      <c r="F209" s="112" t="s">
        <v>30</v>
      </c>
      <c r="G209" s="114">
        <v>9</v>
      </c>
      <c r="H209" s="115">
        <v>439</v>
      </c>
    </row>
    <row r="210" spans="1:8" ht="19.8" customHeight="1" x14ac:dyDescent="0.3">
      <c r="A210" s="128">
        <v>46007</v>
      </c>
      <c r="B210" s="112" t="s">
        <v>33</v>
      </c>
      <c r="C210" s="113" t="s">
        <v>34</v>
      </c>
      <c r="D210" s="112" t="s">
        <v>1</v>
      </c>
      <c r="E210" s="129">
        <v>1.836805555555556</v>
      </c>
      <c r="F210" s="112" t="s">
        <v>38</v>
      </c>
      <c r="G210" s="114">
        <v>9</v>
      </c>
      <c r="H210" s="115">
        <v>449</v>
      </c>
    </row>
    <row r="211" spans="1:8" ht="19.8" customHeight="1" x14ac:dyDescent="0.3">
      <c r="A211" s="128">
        <v>46007</v>
      </c>
      <c r="B211" s="112" t="s">
        <v>33</v>
      </c>
      <c r="C211" s="113" t="s">
        <v>68</v>
      </c>
      <c r="D211" s="112" t="s">
        <v>1</v>
      </c>
      <c r="E211" s="129">
        <v>1.2013888888888891</v>
      </c>
      <c r="F211" s="112" t="s">
        <v>38</v>
      </c>
      <c r="G211" s="114">
        <v>9</v>
      </c>
      <c r="H211" s="115">
        <v>449</v>
      </c>
    </row>
    <row r="212" spans="1:8" ht="19.8" customHeight="1" x14ac:dyDescent="0.3">
      <c r="A212" s="128">
        <v>46007</v>
      </c>
      <c r="B212" s="112" t="s">
        <v>33</v>
      </c>
      <c r="C212" s="113" t="s">
        <v>34</v>
      </c>
      <c r="D212" s="112" t="s">
        <v>1</v>
      </c>
      <c r="E212" s="129">
        <v>1.836805555555556</v>
      </c>
      <c r="F212" s="112" t="s">
        <v>41</v>
      </c>
      <c r="G212" s="114">
        <v>9</v>
      </c>
      <c r="H212" s="115">
        <v>539</v>
      </c>
    </row>
    <row r="213" spans="1:8" ht="19.8" customHeight="1" x14ac:dyDescent="0.3">
      <c r="A213" s="130">
        <v>46007</v>
      </c>
      <c r="B213" s="117" t="s">
        <v>33</v>
      </c>
      <c r="C213" s="118" t="s">
        <v>68</v>
      </c>
      <c r="D213" s="117" t="s">
        <v>1</v>
      </c>
      <c r="E213" s="131">
        <v>1.2013888888888891</v>
      </c>
      <c r="F213" s="117" t="s">
        <v>41</v>
      </c>
      <c r="G213" s="119">
        <v>9</v>
      </c>
      <c r="H213" s="120">
        <v>539</v>
      </c>
    </row>
    <row r="214" spans="1:8" ht="19.8" customHeight="1" x14ac:dyDescent="0.3">
      <c r="A214" s="146"/>
      <c r="B214" s="147"/>
      <c r="C214" s="147"/>
      <c r="D214" s="147"/>
      <c r="E214" s="147"/>
      <c r="F214" s="148" t="s">
        <v>352</v>
      </c>
      <c r="G214" s="147"/>
      <c r="H214" s="149"/>
    </row>
    <row r="215" spans="1:8" ht="19.8" customHeight="1" x14ac:dyDescent="0.3">
      <c r="A215" s="128">
        <v>46008</v>
      </c>
      <c r="B215" s="112" t="s">
        <v>102</v>
      </c>
      <c r="C215" s="113" t="s">
        <v>103</v>
      </c>
      <c r="D215" s="112" t="s">
        <v>1</v>
      </c>
      <c r="E215" s="129">
        <v>1.0902777777777779</v>
      </c>
      <c r="F215" s="112" t="s">
        <v>30</v>
      </c>
      <c r="G215" s="114">
        <v>7</v>
      </c>
      <c r="H215" s="115">
        <v>371</v>
      </c>
    </row>
    <row r="216" spans="1:8" ht="19.8" customHeight="1" x14ac:dyDescent="0.3">
      <c r="A216" s="128">
        <v>46008</v>
      </c>
      <c r="B216" s="112" t="s">
        <v>43</v>
      </c>
      <c r="C216" s="113" t="s">
        <v>52</v>
      </c>
      <c r="D216" s="112" t="s">
        <v>1</v>
      </c>
      <c r="E216" s="129">
        <v>1.1701388888888891</v>
      </c>
      <c r="F216" s="112" t="s">
        <v>91</v>
      </c>
      <c r="G216" s="114">
        <v>9</v>
      </c>
      <c r="H216" s="115">
        <v>437</v>
      </c>
    </row>
    <row r="217" spans="1:8" ht="19.8" customHeight="1" x14ac:dyDescent="0.3">
      <c r="A217" s="128">
        <v>46008</v>
      </c>
      <c r="B217" s="112" t="s">
        <v>28</v>
      </c>
      <c r="C217" s="113" t="s">
        <v>47</v>
      </c>
      <c r="D217" s="112" t="s">
        <v>1</v>
      </c>
      <c r="E217" s="129">
        <v>1.895833333333333</v>
      </c>
      <c r="F217" s="112" t="s">
        <v>30</v>
      </c>
      <c r="G217" s="114">
        <v>9</v>
      </c>
      <c r="H217" s="115">
        <v>439</v>
      </c>
    </row>
    <row r="218" spans="1:8" ht="19.8" customHeight="1" x14ac:dyDescent="0.3">
      <c r="A218" s="128">
        <v>46008</v>
      </c>
      <c r="B218" s="112" t="s">
        <v>43</v>
      </c>
      <c r="C218" s="113" t="s">
        <v>50</v>
      </c>
      <c r="D218" s="112" t="s">
        <v>1</v>
      </c>
      <c r="E218" s="129">
        <v>1.5277777777777779</v>
      </c>
      <c r="F218" s="112" t="s">
        <v>45</v>
      </c>
      <c r="G218" s="114">
        <v>9</v>
      </c>
      <c r="H218" s="115">
        <v>727</v>
      </c>
    </row>
    <row r="219" spans="1:8" ht="19.8" customHeight="1" x14ac:dyDescent="0.3">
      <c r="A219" s="128">
        <v>46008</v>
      </c>
      <c r="B219" s="112" t="s">
        <v>43</v>
      </c>
      <c r="C219" s="113" t="s">
        <v>44</v>
      </c>
      <c r="D219" s="112" t="s">
        <v>1</v>
      </c>
      <c r="E219" s="129">
        <v>1.864583333333333</v>
      </c>
      <c r="F219" s="112" t="s">
        <v>45</v>
      </c>
      <c r="G219" s="114">
        <v>9</v>
      </c>
      <c r="H219" s="115">
        <v>907</v>
      </c>
    </row>
    <row r="220" spans="1:8" ht="19.8" customHeight="1" x14ac:dyDescent="0.3">
      <c r="A220" s="130">
        <v>46008</v>
      </c>
      <c r="B220" s="117" t="s">
        <v>54</v>
      </c>
      <c r="C220" s="118" t="s">
        <v>55</v>
      </c>
      <c r="D220" s="117" t="s">
        <v>1</v>
      </c>
      <c r="E220" s="131">
        <v>1.305555555555556</v>
      </c>
      <c r="F220" s="117" t="s">
        <v>56</v>
      </c>
      <c r="G220" s="119">
        <v>4</v>
      </c>
      <c r="H220" s="122" t="s">
        <v>118</v>
      </c>
    </row>
    <row r="221" spans="1:8" ht="19.8" customHeight="1" x14ac:dyDescent="0.3">
      <c r="A221" s="146"/>
      <c r="B221" s="147"/>
      <c r="C221" s="147"/>
      <c r="D221" s="147"/>
      <c r="E221" s="147"/>
      <c r="F221" s="148" t="s">
        <v>352</v>
      </c>
      <c r="G221" s="147"/>
      <c r="H221" s="149"/>
    </row>
    <row r="222" spans="1:8" ht="19.8" customHeight="1" x14ac:dyDescent="0.3">
      <c r="A222" s="128">
        <v>46009</v>
      </c>
      <c r="B222" s="112" t="s">
        <v>33</v>
      </c>
      <c r="C222" s="113" t="s">
        <v>68</v>
      </c>
      <c r="D222" s="112" t="s">
        <v>1</v>
      </c>
      <c r="E222" s="129">
        <v>1.2013888888888891</v>
      </c>
      <c r="F222" s="112" t="s">
        <v>35</v>
      </c>
      <c r="G222" s="114">
        <v>9</v>
      </c>
      <c r="H222" s="115">
        <v>349</v>
      </c>
    </row>
    <row r="223" spans="1:8" ht="19.8" customHeight="1" x14ac:dyDescent="0.3">
      <c r="A223" s="128">
        <v>46009</v>
      </c>
      <c r="B223" s="112" t="s">
        <v>102</v>
      </c>
      <c r="C223" s="113" t="s">
        <v>103</v>
      </c>
      <c r="D223" s="112" t="s">
        <v>1</v>
      </c>
      <c r="E223" s="129">
        <v>1.913194444444444</v>
      </c>
      <c r="F223" s="112" t="s">
        <v>30</v>
      </c>
      <c r="G223" s="114">
        <v>6</v>
      </c>
      <c r="H223" s="115">
        <v>371</v>
      </c>
    </row>
    <row r="224" spans="1:8" ht="19.8" customHeight="1" x14ac:dyDescent="0.3">
      <c r="A224" s="128">
        <v>46009</v>
      </c>
      <c r="B224" s="112" t="s">
        <v>43</v>
      </c>
      <c r="C224" s="113" t="s">
        <v>52</v>
      </c>
      <c r="D224" s="112" t="s">
        <v>1</v>
      </c>
      <c r="E224" s="129">
        <v>1.1701388888888891</v>
      </c>
      <c r="F224" s="112" t="s">
        <v>91</v>
      </c>
      <c r="G224" s="114">
        <v>9</v>
      </c>
      <c r="H224" s="115">
        <v>437</v>
      </c>
    </row>
    <row r="225" spans="1:8" ht="19.8" customHeight="1" x14ac:dyDescent="0.3">
      <c r="A225" s="128">
        <v>46009</v>
      </c>
      <c r="B225" s="112" t="s">
        <v>28</v>
      </c>
      <c r="C225" s="113" t="s">
        <v>29</v>
      </c>
      <c r="D225" s="112" t="s">
        <v>1</v>
      </c>
      <c r="E225" s="129">
        <v>1.5625</v>
      </c>
      <c r="F225" s="112" t="s">
        <v>30</v>
      </c>
      <c r="G225" s="114">
        <v>3</v>
      </c>
      <c r="H225" s="115">
        <v>439</v>
      </c>
    </row>
    <row r="226" spans="1:8" ht="19.8" customHeight="1" x14ac:dyDescent="0.3">
      <c r="A226" s="128">
        <v>46009</v>
      </c>
      <c r="B226" s="112" t="s">
        <v>76</v>
      </c>
      <c r="C226" s="113" t="s">
        <v>77</v>
      </c>
      <c r="D226" s="112" t="s">
        <v>1</v>
      </c>
      <c r="E226" s="129">
        <v>1.9236111111111109</v>
      </c>
      <c r="F226" s="112" t="s">
        <v>30</v>
      </c>
      <c r="G226" s="114">
        <v>2</v>
      </c>
      <c r="H226" s="115">
        <v>446</v>
      </c>
    </row>
    <row r="227" spans="1:8" ht="19.8" customHeight="1" x14ac:dyDescent="0.3">
      <c r="A227" s="128">
        <v>46009</v>
      </c>
      <c r="B227" s="112" t="s">
        <v>33</v>
      </c>
      <c r="C227" s="113" t="s">
        <v>68</v>
      </c>
      <c r="D227" s="112" t="s">
        <v>1</v>
      </c>
      <c r="E227" s="129">
        <v>1.2013888888888891</v>
      </c>
      <c r="F227" s="112" t="s">
        <v>38</v>
      </c>
      <c r="G227" s="114">
        <v>9</v>
      </c>
      <c r="H227" s="115">
        <v>449</v>
      </c>
    </row>
    <row r="228" spans="1:8" ht="19.8" customHeight="1" x14ac:dyDescent="0.3">
      <c r="A228" s="128">
        <v>46009</v>
      </c>
      <c r="B228" s="112" t="s">
        <v>59</v>
      </c>
      <c r="C228" s="113" t="s">
        <v>60</v>
      </c>
      <c r="D228" s="112" t="s">
        <v>1</v>
      </c>
      <c r="E228" s="129">
        <v>1.305555555555556</v>
      </c>
      <c r="F228" s="112" t="s">
        <v>61</v>
      </c>
      <c r="G228" s="114">
        <v>10</v>
      </c>
      <c r="H228" s="115">
        <v>509</v>
      </c>
    </row>
    <row r="229" spans="1:8" ht="19.8" customHeight="1" x14ac:dyDescent="0.3">
      <c r="A229" s="128">
        <v>46009</v>
      </c>
      <c r="B229" s="112" t="s">
        <v>33</v>
      </c>
      <c r="C229" s="113" t="s">
        <v>34</v>
      </c>
      <c r="D229" s="112" t="s">
        <v>1</v>
      </c>
      <c r="E229" s="129">
        <v>1.836805555555556</v>
      </c>
      <c r="F229" s="112" t="s">
        <v>35</v>
      </c>
      <c r="G229" s="114">
        <v>2</v>
      </c>
      <c r="H229" s="115">
        <v>519</v>
      </c>
    </row>
    <row r="230" spans="1:8" ht="19.8" customHeight="1" x14ac:dyDescent="0.3">
      <c r="A230" s="128">
        <v>46009</v>
      </c>
      <c r="B230" s="112" t="s">
        <v>33</v>
      </c>
      <c r="C230" s="113" t="s">
        <v>68</v>
      </c>
      <c r="D230" s="112" t="s">
        <v>1</v>
      </c>
      <c r="E230" s="129">
        <v>1.2013888888888891</v>
      </c>
      <c r="F230" s="112" t="s">
        <v>41</v>
      </c>
      <c r="G230" s="114">
        <v>9</v>
      </c>
      <c r="H230" s="115">
        <v>539</v>
      </c>
    </row>
    <row r="231" spans="1:8" ht="19.8" customHeight="1" x14ac:dyDescent="0.3">
      <c r="A231" s="130">
        <v>46009</v>
      </c>
      <c r="B231" s="117" t="s">
        <v>33</v>
      </c>
      <c r="C231" s="118" t="s">
        <v>34</v>
      </c>
      <c r="D231" s="117" t="s">
        <v>1</v>
      </c>
      <c r="E231" s="131">
        <v>1.836805555555556</v>
      </c>
      <c r="F231" s="117" t="s">
        <v>38</v>
      </c>
      <c r="G231" s="119">
        <v>2</v>
      </c>
      <c r="H231" s="120">
        <v>619</v>
      </c>
    </row>
    <row r="232" spans="1:8" ht="19.8" customHeight="1" x14ac:dyDescent="0.3">
      <c r="A232" s="132">
        <v>46010</v>
      </c>
      <c r="B232" s="124" t="s">
        <v>76</v>
      </c>
      <c r="C232" s="125" t="s">
        <v>295</v>
      </c>
      <c r="D232" s="124" t="s">
        <v>294</v>
      </c>
      <c r="E232" s="133">
        <v>1.291666666666667</v>
      </c>
      <c r="F232" s="124" t="s">
        <v>30</v>
      </c>
      <c r="G232" s="126">
        <v>6</v>
      </c>
      <c r="H232" s="127">
        <v>596</v>
      </c>
    </row>
    <row r="233" spans="1:8" ht="19.8" customHeight="1" x14ac:dyDescent="0.3">
      <c r="A233" s="146"/>
      <c r="B233" s="147"/>
      <c r="C233" s="147"/>
      <c r="D233" s="147"/>
      <c r="E233" s="147"/>
      <c r="F233" s="148" t="s">
        <v>352</v>
      </c>
      <c r="G233" s="147"/>
      <c r="H233" s="149"/>
    </row>
    <row r="234" spans="1:8" ht="19.8" customHeight="1" x14ac:dyDescent="0.3">
      <c r="A234" s="128">
        <v>46010</v>
      </c>
      <c r="B234" s="112" t="s">
        <v>43</v>
      </c>
      <c r="C234" s="113" t="s">
        <v>52</v>
      </c>
      <c r="D234" s="112" t="s">
        <v>1</v>
      </c>
      <c r="E234" s="129">
        <v>1.1701388888888891</v>
      </c>
      <c r="F234" s="112" t="s">
        <v>91</v>
      </c>
      <c r="G234" s="114">
        <v>9</v>
      </c>
      <c r="H234" s="115">
        <v>437</v>
      </c>
    </row>
    <row r="235" spans="1:8" ht="19.8" customHeight="1" x14ac:dyDescent="0.3">
      <c r="A235" s="128">
        <v>46010</v>
      </c>
      <c r="B235" s="112" t="s">
        <v>28</v>
      </c>
      <c r="C235" s="113" t="s">
        <v>47</v>
      </c>
      <c r="D235" s="112" t="s">
        <v>1</v>
      </c>
      <c r="E235" s="129">
        <v>1.958333333333333</v>
      </c>
      <c r="F235" s="112" t="s">
        <v>30</v>
      </c>
      <c r="G235" s="114">
        <v>8</v>
      </c>
      <c r="H235" s="115">
        <v>439</v>
      </c>
    </row>
    <row r="236" spans="1:8" ht="19.8" customHeight="1" x14ac:dyDescent="0.3">
      <c r="A236" s="128">
        <v>46010</v>
      </c>
      <c r="B236" s="112" t="s">
        <v>76</v>
      </c>
      <c r="C236" s="113" t="s">
        <v>77</v>
      </c>
      <c r="D236" s="112" t="s">
        <v>1</v>
      </c>
      <c r="E236" s="129">
        <v>1.5798611111111109</v>
      </c>
      <c r="F236" s="112" t="s">
        <v>30</v>
      </c>
      <c r="G236" s="114">
        <v>9</v>
      </c>
      <c r="H236" s="115">
        <v>446</v>
      </c>
    </row>
    <row r="237" spans="1:8" ht="19.8" customHeight="1" x14ac:dyDescent="0.3">
      <c r="A237" s="128">
        <v>46010</v>
      </c>
      <c r="B237" s="112" t="s">
        <v>43</v>
      </c>
      <c r="C237" s="113" t="s">
        <v>44</v>
      </c>
      <c r="D237" s="112" t="s">
        <v>1</v>
      </c>
      <c r="E237" s="129">
        <v>1.864583333333333</v>
      </c>
      <c r="F237" s="112" t="s">
        <v>45</v>
      </c>
      <c r="G237" s="114">
        <v>9</v>
      </c>
      <c r="H237" s="115">
        <v>727</v>
      </c>
    </row>
    <row r="238" spans="1:8" ht="19.8" customHeight="1" x14ac:dyDescent="0.3">
      <c r="A238" s="128">
        <v>46010</v>
      </c>
      <c r="B238" s="112" t="s">
        <v>43</v>
      </c>
      <c r="C238" s="113" t="s">
        <v>50</v>
      </c>
      <c r="D238" s="112" t="s">
        <v>1</v>
      </c>
      <c r="E238" s="129">
        <v>1.5277777777777779</v>
      </c>
      <c r="F238" s="112" t="s">
        <v>45</v>
      </c>
      <c r="G238" s="114">
        <v>9</v>
      </c>
      <c r="H238" s="115">
        <v>911</v>
      </c>
    </row>
    <row r="239" spans="1:8" ht="19.8" customHeight="1" x14ac:dyDescent="0.3">
      <c r="A239" s="130">
        <v>46010</v>
      </c>
      <c r="B239" s="117" t="s">
        <v>54</v>
      </c>
      <c r="C239" s="118" t="s">
        <v>55</v>
      </c>
      <c r="D239" s="117" t="s">
        <v>1</v>
      </c>
      <c r="E239" s="131">
        <v>1.305555555555556</v>
      </c>
      <c r="F239" s="117" t="s">
        <v>56</v>
      </c>
      <c r="G239" s="119">
        <v>4</v>
      </c>
      <c r="H239" s="122" t="s">
        <v>85</v>
      </c>
    </row>
    <row r="240" spans="1:8" ht="19.8" customHeight="1" x14ac:dyDescent="0.3">
      <c r="A240" s="146"/>
      <c r="B240" s="147"/>
      <c r="C240" s="147"/>
      <c r="D240" s="147"/>
      <c r="E240" s="147"/>
      <c r="F240" s="148" t="s">
        <v>352</v>
      </c>
      <c r="G240" s="147"/>
      <c r="H240" s="149"/>
    </row>
    <row r="241" spans="1:8" ht="19.8" customHeight="1" x14ac:dyDescent="0.3">
      <c r="A241" s="128">
        <v>46011</v>
      </c>
      <c r="B241" s="112" t="s">
        <v>43</v>
      </c>
      <c r="C241" s="113" t="s">
        <v>44</v>
      </c>
      <c r="D241" s="112" t="s">
        <v>1</v>
      </c>
      <c r="E241" s="129">
        <v>1.864583333333333</v>
      </c>
      <c r="F241" s="112" t="s">
        <v>91</v>
      </c>
      <c r="G241" s="114">
        <v>9</v>
      </c>
      <c r="H241" s="115">
        <v>437</v>
      </c>
    </row>
    <row r="242" spans="1:8" ht="19.8" customHeight="1" x14ac:dyDescent="0.3">
      <c r="A242" s="128">
        <v>46011</v>
      </c>
      <c r="B242" s="112" t="s">
        <v>43</v>
      </c>
      <c r="C242" s="113" t="s">
        <v>50</v>
      </c>
      <c r="D242" s="112" t="s">
        <v>1</v>
      </c>
      <c r="E242" s="129">
        <v>1.5277777777777779</v>
      </c>
      <c r="F242" s="112" t="s">
        <v>91</v>
      </c>
      <c r="G242" s="114">
        <v>9</v>
      </c>
      <c r="H242" s="115">
        <v>437</v>
      </c>
    </row>
    <row r="243" spans="1:8" ht="19.8" customHeight="1" x14ac:dyDescent="0.3">
      <c r="A243" s="128">
        <v>46011</v>
      </c>
      <c r="B243" s="112" t="s">
        <v>43</v>
      </c>
      <c r="C243" s="113" t="s">
        <v>52</v>
      </c>
      <c r="D243" s="112" t="s">
        <v>1</v>
      </c>
      <c r="E243" s="129">
        <v>1.1701388888888891</v>
      </c>
      <c r="F243" s="112" t="s">
        <v>91</v>
      </c>
      <c r="G243" s="114">
        <v>9</v>
      </c>
      <c r="H243" s="115">
        <v>437</v>
      </c>
    </row>
    <row r="244" spans="1:8" ht="19.8" customHeight="1" x14ac:dyDescent="0.3">
      <c r="A244" s="128">
        <v>46011</v>
      </c>
      <c r="B244" s="112" t="s">
        <v>28</v>
      </c>
      <c r="C244" s="113" t="s">
        <v>75</v>
      </c>
      <c r="D244" s="112" t="s">
        <v>1</v>
      </c>
      <c r="E244" s="129">
        <v>1.895833333333333</v>
      </c>
      <c r="F244" s="112" t="s">
        <v>30</v>
      </c>
      <c r="G244" s="114">
        <v>9</v>
      </c>
      <c r="H244" s="115">
        <v>439</v>
      </c>
    </row>
    <row r="245" spans="1:8" ht="19.8" customHeight="1" x14ac:dyDescent="0.3">
      <c r="A245" s="128">
        <v>46011</v>
      </c>
      <c r="B245" s="112" t="s">
        <v>76</v>
      </c>
      <c r="C245" s="113" t="s">
        <v>77</v>
      </c>
      <c r="D245" s="112" t="s">
        <v>1</v>
      </c>
      <c r="E245" s="129">
        <v>1.9236111111111109</v>
      </c>
      <c r="F245" s="112" t="s">
        <v>30</v>
      </c>
      <c r="G245" s="114">
        <v>9</v>
      </c>
      <c r="H245" s="115">
        <v>446</v>
      </c>
    </row>
    <row r="246" spans="1:8" ht="19.8" customHeight="1" x14ac:dyDescent="0.3">
      <c r="A246" s="130">
        <v>46011</v>
      </c>
      <c r="B246" s="117" t="s">
        <v>54</v>
      </c>
      <c r="C246" s="118" t="s">
        <v>55</v>
      </c>
      <c r="D246" s="117" t="s">
        <v>1</v>
      </c>
      <c r="E246" s="131">
        <v>1.305555555555556</v>
      </c>
      <c r="F246" s="117" t="s">
        <v>56</v>
      </c>
      <c r="G246" s="119">
        <v>4</v>
      </c>
      <c r="H246" s="122" t="s">
        <v>85</v>
      </c>
    </row>
    <row r="247" spans="1:8" ht="19.8" customHeight="1" x14ac:dyDescent="0.3">
      <c r="A247" s="146"/>
      <c r="B247" s="147"/>
      <c r="C247" s="147"/>
      <c r="D247" s="147"/>
      <c r="E247" s="147"/>
      <c r="F247" s="148" t="s">
        <v>352</v>
      </c>
      <c r="G247" s="147"/>
      <c r="H247" s="149"/>
    </row>
    <row r="248" spans="1:8" ht="19.8" customHeight="1" x14ac:dyDescent="0.3">
      <c r="A248" s="128">
        <v>46012</v>
      </c>
      <c r="B248" s="112" t="s">
        <v>43</v>
      </c>
      <c r="C248" s="113" t="s">
        <v>44</v>
      </c>
      <c r="D248" s="112" t="s">
        <v>1</v>
      </c>
      <c r="E248" s="129">
        <v>1.864583333333333</v>
      </c>
      <c r="F248" s="112" t="s">
        <v>91</v>
      </c>
      <c r="G248" s="114">
        <v>9</v>
      </c>
      <c r="H248" s="115">
        <v>437</v>
      </c>
    </row>
    <row r="249" spans="1:8" ht="19.8" customHeight="1" x14ac:dyDescent="0.3">
      <c r="A249" s="128">
        <v>46012</v>
      </c>
      <c r="B249" s="112" t="s">
        <v>43</v>
      </c>
      <c r="C249" s="113" t="s">
        <v>50</v>
      </c>
      <c r="D249" s="112" t="s">
        <v>1</v>
      </c>
      <c r="E249" s="129">
        <v>1.5277777777777779</v>
      </c>
      <c r="F249" s="112" t="s">
        <v>91</v>
      </c>
      <c r="G249" s="114">
        <v>9</v>
      </c>
      <c r="H249" s="115">
        <v>437</v>
      </c>
    </row>
    <row r="250" spans="1:8" ht="19.8" customHeight="1" x14ac:dyDescent="0.3">
      <c r="A250" s="128">
        <v>46012</v>
      </c>
      <c r="B250" s="112" t="s">
        <v>43</v>
      </c>
      <c r="C250" s="113" t="s">
        <v>52</v>
      </c>
      <c r="D250" s="112" t="s">
        <v>1</v>
      </c>
      <c r="E250" s="129">
        <v>1.1701388888888891</v>
      </c>
      <c r="F250" s="112" t="s">
        <v>91</v>
      </c>
      <c r="G250" s="114">
        <v>9</v>
      </c>
      <c r="H250" s="115">
        <v>437</v>
      </c>
    </row>
    <row r="251" spans="1:8" ht="19.8" customHeight="1" x14ac:dyDescent="0.3">
      <c r="A251" s="128">
        <v>46012</v>
      </c>
      <c r="B251" s="112" t="s">
        <v>28</v>
      </c>
      <c r="C251" s="113" t="s">
        <v>29</v>
      </c>
      <c r="D251" s="112" t="s">
        <v>1</v>
      </c>
      <c r="E251" s="129">
        <v>1.958333333333333</v>
      </c>
      <c r="F251" s="112" t="s">
        <v>30</v>
      </c>
      <c r="G251" s="114">
        <v>9</v>
      </c>
      <c r="H251" s="115">
        <v>439</v>
      </c>
    </row>
    <row r="252" spans="1:8" ht="19.8" customHeight="1" x14ac:dyDescent="0.3">
      <c r="A252" s="130">
        <v>46012</v>
      </c>
      <c r="B252" s="117" t="s">
        <v>54</v>
      </c>
      <c r="C252" s="118" t="s">
        <v>55</v>
      </c>
      <c r="D252" s="117" t="s">
        <v>1</v>
      </c>
      <c r="E252" s="131">
        <v>1.305555555555556</v>
      </c>
      <c r="F252" s="117" t="s">
        <v>56</v>
      </c>
      <c r="G252" s="119">
        <v>4</v>
      </c>
      <c r="H252" s="122" t="s">
        <v>118</v>
      </c>
    </row>
    <row r="253" spans="1:8" ht="19.8" customHeight="1" x14ac:dyDescent="0.3">
      <c r="A253" s="132">
        <v>46013</v>
      </c>
      <c r="B253" s="124" t="s">
        <v>76</v>
      </c>
      <c r="C253" s="125" t="s">
        <v>295</v>
      </c>
      <c r="D253" s="124" t="s">
        <v>294</v>
      </c>
      <c r="E253" s="133">
        <v>1.510416666666667</v>
      </c>
      <c r="F253" s="124"/>
      <c r="G253" s="124"/>
      <c r="H253" s="150" t="s">
        <v>317</v>
      </c>
    </row>
    <row r="254" spans="1:8" ht="19.8" customHeight="1" x14ac:dyDescent="0.3">
      <c r="A254" s="146"/>
      <c r="B254" s="147"/>
      <c r="C254" s="147"/>
      <c r="D254" s="147"/>
      <c r="E254" s="147"/>
      <c r="F254" s="148" t="s">
        <v>352</v>
      </c>
      <c r="G254" s="147"/>
      <c r="H254" s="149"/>
    </row>
    <row r="255" spans="1:8" ht="19.8" customHeight="1" x14ac:dyDescent="0.3">
      <c r="A255" s="128">
        <v>46013</v>
      </c>
      <c r="B255" s="112" t="s">
        <v>59</v>
      </c>
      <c r="C255" s="113" t="s">
        <v>60</v>
      </c>
      <c r="D255" s="112" t="s">
        <v>1</v>
      </c>
      <c r="E255" s="129">
        <v>1.305555555555556</v>
      </c>
      <c r="F255" s="112" t="s">
        <v>61</v>
      </c>
      <c r="G255" s="114">
        <v>9</v>
      </c>
      <c r="H255" s="115">
        <v>339</v>
      </c>
    </row>
    <row r="256" spans="1:8" ht="19.8" customHeight="1" x14ac:dyDescent="0.3">
      <c r="A256" s="128">
        <v>46013</v>
      </c>
      <c r="B256" s="112" t="s">
        <v>33</v>
      </c>
      <c r="C256" s="113" t="s">
        <v>34</v>
      </c>
      <c r="D256" s="112" t="s">
        <v>1</v>
      </c>
      <c r="E256" s="129">
        <v>1.836805555555556</v>
      </c>
      <c r="F256" s="112" t="s">
        <v>35</v>
      </c>
      <c r="G256" s="114">
        <v>9</v>
      </c>
      <c r="H256" s="115">
        <v>349</v>
      </c>
    </row>
    <row r="257" spans="1:8" ht="19.8" customHeight="1" x14ac:dyDescent="0.3">
      <c r="A257" s="128">
        <v>46013</v>
      </c>
      <c r="B257" s="112" t="s">
        <v>33</v>
      </c>
      <c r="C257" s="113" t="s">
        <v>68</v>
      </c>
      <c r="D257" s="112" t="s">
        <v>1</v>
      </c>
      <c r="E257" s="129">
        <v>1.2013888888888891</v>
      </c>
      <c r="F257" s="112" t="s">
        <v>35</v>
      </c>
      <c r="G257" s="114">
        <v>3</v>
      </c>
      <c r="H257" s="115">
        <v>349</v>
      </c>
    </row>
    <row r="258" spans="1:8" ht="19.8" customHeight="1" x14ac:dyDescent="0.3">
      <c r="A258" s="128">
        <v>46013</v>
      </c>
      <c r="B258" s="112" t="s">
        <v>102</v>
      </c>
      <c r="C258" s="113" t="s">
        <v>105</v>
      </c>
      <c r="D258" s="112" t="s">
        <v>1</v>
      </c>
      <c r="E258" s="129">
        <v>1.1284722222222221</v>
      </c>
      <c r="F258" s="112" t="s">
        <v>30</v>
      </c>
      <c r="G258" s="114">
        <v>6</v>
      </c>
      <c r="H258" s="115">
        <v>425</v>
      </c>
    </row>
    <row r="259" spans="1:8" ht="19.8" customHeight="1" x14ac:dyDescent="0.3">
      <c r="A259" s="128">
        <v>46013</v>
      </c>
      <c r="B259" s="112" t="s">
        <v>43</v>
      </c>
      <c r="C259" s="113" t="s">
        <v>44</v>
      </c>
      <c r="D259" s="112" t="s">
        <v>1</v>
      </c>
      <c r="E259" s="129">
        <v>1.864583333333333</v>
      </c>
      <c r="F259" s="112" t="s">
        <v>91</v>
      </c>
      <c r="G259" s="114">
        <v>9</v>
      </c>
      <c r="H259" s="115">
        <v>437</v>
      </c>
    </row>
    <row r="260" spans="1:8" ht="19.8" customHeight="1" x14ac:dyDescent="0.3">
      <c r="A260" s="128">
        <v>46013</v>
      </c>
      <c r="B260" s="112" t="s">
        <v>43</v>
      </c>
      <c r="C260" s="113" t="s">
        <v>50</v>
      </c>
      <c r="D260" s="112" t="s">
        <v>1</v>
      </c>
      <c r="E260" s="129">
        <v>1.5277777777777779</v>
      </c>
      <c r="F260" s="112" t="s">
        <v>91</v>
      </c>
      <c r="G260" s="114">
        <v>9</v>
      </c>
      <c r="H260" s="115">
        <v>437</v>
      </c>
    </row>
    <row r="261" spans="1:8" ht="19.8" customHeight="1" x14ac:dyDescent="0.3">
      <c r="A261" s="128">
        <v>46013</v>
      </c>
      <c r="B261" s="112" t="s">
        <v>43</v>
      </c>
      <c r="C261" s="113" t="s">
        <v>52</v>
      </c>
      <c r="D261" s="112" t="s">
        <v>1</v>
      </c>
      <c r="E261" s="129">
        <v>1.1701388888888891</v>
      </c>
      <c r="F261" s="112" t="s">
        <v>91</v>
      </c>
      <c r="G261" s="114">
        <v>9</v>
      </c>
      <c r="H261" s="115">
        <v>437</v>
      </c>
    </row>
    <row r="262" spans="1:8" ht="19.8" customHeight="1" x14ac:dyDescent="0.3">
      <c r="A262" s="128">
        <v>46013</v>
      </c>
      <c r="B262" s="112" t="s">
        <v>28</v>
      </c>
      <c r="C262" s="113" t="s">
        <v>47</v>
      </c>
      <c r="D262" s="112" t="s">
        <v>1</v>
      </c>
      <c r="E262" s="129">
        <v>1.958333333333333</v>
      </c>
      <c r="F262" s="112" t="s">
        <v>30</v>
      </c>
      <c r="G262" s="114">
        <v>9</v>
      </c>
      <c r="H262" s="115">
        <v>439</v>
      </c>
    </row>
    <row r="263" spans="1:8" ht="19.8" customHeight="1" x14ac:dyDescent="0.3">
      <c r="A263" s="128">
        <v>46013</v>
      </c>
      <c r="B263" s="112" t="s">
        <v>33</v>
      </c>
      <c r="C263" s="113" t="s">
        <v>34</v>
      </c>
      <c r="D263" s="112" t="s">
        <v>1</v>
      </c>
      <c r="E263" s="129">
        <v>1.836805555555556</v>
      </c>
      <c r="F263" s="112" t="s">
        <v>38</v>
      </c>
      <c r="G263" s="114">
        <v>9</v>
      </c>
      <c r="H263" s="115">
        <v>449</v>
      </c>
    </row>
    <row r="264" spans="1:8" ht="19.8" customHeight="1" x14ac:dyDescent="0.3">
      <c r="A264" s="130">
        <v>46013</v>
      </c>
      <c r="B264" s="117" t="s">
        <v>33</v>
      </c>
      <c r="C264" s="118" t="s">
        <v>68</v>
      </c>
      <c r="D264" s="117" t="s">
        <v>1</v>
      </c>
      <c r="E264" s="131">
        <v>1.2013888888888891</v>
      </c>
      <c r="F264" s="117" t="s">
        <v>38</v>
      </c>
      <c r="G264" s="119">
        <v>3</v>
      </c>
      <c r="H264" s="120">
        <v>449</v>
      </c>
    </row>
    <row r="265" spans="1:8" ht="19.8" customHeight="1" x14ac:dyDescent="0.3">
      <c r="A265" s="146"/>
      <c r="B265" s="147"/>
      <c r="C265" s="147"/>
      <c r="D265" s="147"/>
      <c r="E265" s="147"/>
      <c r="F265" s="148" t="s">
        <v>352</v>
      </c>
      <c r="G265" s="147"/>
      <c r="H265" s="149"/>
    </row>
    <row r="266" spans="1:8" ht="19.8" customHeight="1" x14ac:dyDescent="0.3">
      <c r="A266" s="128">
        <v>46014</v>
      </c>
      <c r="B266" s="112" t="s">
        <v>59</v>
      </c>
      <c r="C266" s="113" t="s">
        <v>60</v>
      </c>
      <c r="D266" s="112" t="s">
        <v>1</v>
      </c>
      <c r="E266" s="129">
        <v>1.305555555555556</v>
      </c>
      <c r="F266" s="112" t="s">
        <v>61</v>
      </c>
      <c r="G266" s="114">
        <v>6</v>
      </c>
      <c r="H266" s="115">
        <v>339</v>
      </c>
    </row>
    <row r="267" spans="1:8" ht="19.8" customHeight="1" x14ac:dyDescent="0.3">
      <c r="A267" s="128">
        <v>46014</v>
      </c>
      <c r="B267" s="112" t="s">
        <v>33</v>
      </c>
      <c r="C267" s="113" t="s">
        <v>34</v>
      </c>
      <c r="D267" s="112" t="s">
        <v>1</v>
      </c>
      <c r="E267" s="129">
        <v>1.836805555555556</v>
      </c>
      <c r="F267" s="112" t="s">
        <v>35</v>
      </c>
      <c r="G267" s="114">
        <v>9</v>
      </c>
      <c r="H267" s="115">
        <v>349</v>
      </c>
    </row>
    <row r="268" spans="1:8" ht="19.8" customHeight="1" x14ac:dyDescent="0.3">
      <c r="A268" s="128">
        <v>46014</v>
      </c>
      <c r="B268" s="112" t="s">
        <v>33</v>
      </c>
      <c r="C268" s="113" t="s">
        <v>68</v>
      </c>
      <c r="D268" s="112" t="s">
        <v>1</v>
      </c>
      <c r="E268" s="129">
        <v>1.2013888888888891</v>
      </c>
      <c r="F268" s="112" t="s">
        <v>35</v>
      </c>
      <c r="G268" s="114">
        <v>3</v>
      </c>
      <c r="H268" s="115">
        <v>349</v>
      </c>
    </row>
    <row r="269" spans="1:8" ht="19.8" customHeight="1" x14ac:dyDescent="0.3">
      <c r="A269" s="128">
        <v>46014</v>
      </c>
      <c r="B269" s="112" t="s">
        <v>76</v>
      </c>
      <c r="C269" s="113" t="s">
        <v>77</v>
      </c>
      <c r="D269" s="112" t="s">
        <v>1</v>
      </c>
      <c r="E269" s="129">
        <v>1.270833333333333</v>
      </c>
      <c r="F269" s="112" t="s">
        <v>30</v>
      </c>
      <c r="G269" s="114">
        <v>9</v>
      </c>
      <c r="H269" s="115">
        <v>425</v>
      </c>
    </row>
    <row r="270" spans="1:8" ht="19.8" customHeight="1" x14ac:dyDescent="0.3">
      <c r="A270" s="128">
        <v>46014</v>
      </c>
      <c r="B270" s="112" t="s">
        <v>43</v>
      </c>
      <c r="C270" s="113" t="s">
        <v>44</v>
      </c>
      <c r="D270" s="112" t="s">
        <v>1</v>
      </c>
      <c r="E270" s="129">
        <v>1.864583333333333</v>
      </c>
      <c r="F270" s="112" t="s">
        <v>91</v>
      </c>
      <c r="G270" s="114">
        <v>9</v>
      </c>
      <c r="H270" s="115">
        <v>437</v>
      </c>
    </row>
    <row r="271" spans="1:8" ht="19.8" customHeight="1" x14ac:dyDescent="0.3">
      <c r="A271" s="128">
        <v>46014</v>
      </c>
      <c r="B271" s="112" t="s">
        <v>43</v>
      </c>
      <c r="C271" s="113" t="s">
        <v>52</v>
      </c>
      <c r="D271" s="112" t="s">
        <v>1</v>
      </c>
      <c r="E271" s="129">
        <v>1.1701388888888891</v>
      </c>
      <c r="F271" s="112" t="s">
        <v>91</v>
      </c>
      <c r="G271" s="114">
        <v>9</v>
      </c>
      <c r="H271" s="115">
        <v>437</v>
      </c>
    </row>
    <row r="272" spans="1:8" ht="19.8" customHeight="1" x14ac:dyDescent="0.3">
      <c r="A272" s="128">
        <v>46014</v>
      </c>
      <c r="B272" s="112" t="s">
        <v>28</v>
      </c>
      <c r="C272" s="113" t="s">
        <v>75</v>
      </c>
      <c r="D272" s="112" t="s">
        <v>1</v>
      </c>
      <c r="E272" s="129">
        <v>1.958333333333333</v>
      </c>
      <c r="F272" s="112" t="s">
        <v>30</v>
      </c>
      <c r="G272" s="114">
        <v>9</v>
      </c>
      <c r="H272" s="115">
        <v>439</v>
      </c>
    </row>
    <row r="273" spans="1:8" ht="19.8" customHeight="1" x14ac:dyDescent="0.3">
      <c r="A273" s="128">
        <v>46014</v>
      </c>
      <c r="B273" s="112" t="s">
        <v>33</v>
      </c>
      <c r="C273" s="113" t="s">
        <v>34</v>
      </c>
      <c r="D273" s="112" t="s">
        <v>1</v>
      </c>
      <c r="E273" s="129">
        <v>1.836805555555556</v>
      </c>
      <c r="F273" s="112" t="s">
        <v>38</v>
      </c>
      <c r="G273" s="114">
        <v>9</v>
      </c>
      <c r="H273" s="115">
        <v>449</v>
      </c>
    </row>
    <row r="274" spans="1:8" ht="19.8" customHeight="1" x14ac:dyDescent="0.3">
      <c r="A274" s="128">
        <v>46014</v>
      </c>
      <c r="B274" s="112" t="s">
        <v>33</v>
      </c>
      <c r="C274" s="113" t="s">
        <v>68</v>
      </c>
      <c r="D274" s="112" t="s">
        <v>1</v>
      </c>
      <c r="E274" s="129">
        <v>1.2013888888888891</v>
      </c>
      <c r="F274" s="112" t="s">
        <v>38</v>
      </c>
      <c r="G274" s="114">
        <v>3</v>
      </c>
      <c r="H274" s="115">
        <v>449</v>
      </c>
    </row>
    <row r="275" spans="1:8" ht="19.8" customHeight="1" x14ac:dyDescent="0.3">
      <c r="A275" s="130">
        <v>46014</v>
      </c>
      <c r="B275" s="117" t="s">
        <v>59</v>
      </c>
      <c r="C275" s="118" t="s">
        <v>60</v>
      </c>
      <c r="D275" s="117" t="s">
        <v>1</v>
      </c>
      <c r="E275" s="131">
        <v>1.305555555555556</v>
      </c>
      <c r="F275" s="117" t="s">
        <v>64</v>
      </c>
      <c r="G275" s="119">
        <v>6</v>
      </c>
      <c r="H275" s="120">
        <v>489</v>
      </c>
    </row>
    <row r="276" spans="1:8" ht="19.8" customHeight="1" x14ac:dyDescent="0.3">
      <c r="A276" s="146"/>
      <c r="B276" s="147"/>
      <c r="C276" s="147"/>
      <c r="D276" s="147"/>
      <c r="E276" s="147"/>
      <c r="F276" s="148" t="s">
        <v>352</v>
      </c>
      <c r="G276" s="147"/>
      <c r="H276" s="149"/>
    </row>
    <row r="277" spans="1:8" ht="19.8" customHeight="1" x14ac:dyDescent="0.3">
      <c r="A277" s="128">
        <v>46015</v>
      </c>
      <c r="B277" s="112" t="s">
        <v>43</v>
      </c>
      <c r="C277" s="113" t="s">
        <v>52</v>
      </c>
      <c r="D277" s="112" t="s">
        <v>1</v>
      </c>
      <c r="E277" s="129">
        <v>1.1701388888888891</v>
      </c>
      <c r="F277" s="112" t="s">
        <v>91</v>
      </c>
      <c r="G277" s="114">
        <v>9</v>
      </c>
      <c r="H277" s="115">
        <v>437</v>
      </c>
    </row>
    <row r="278" spans="1:8" ht="19.8" customHeight="1" x14ac:dyDescent="0.3">
      <c r="A278" s="128">
        <v>46015</v>
      </c>
      <c r="B278" s="112" t="s">
        <v>102</v>
      </c>
      <c r="C278" s="113" t="s">
        <v>103</v>
      </c>
      <c r="D278" s="112" t="s">
        <v>1</v>
      </c>
      <c r="E278" s="129">
        <v>1.0902777777777779</v>
      </c>
      <c r="F278" s="112" t="s">
        <v>30</v>
      </c>
      <c r="G278" s="114">
        <v>9</v>
      </c>
      <c r="H278" s="115">
        <v>500</v>
      </c>
    </row>
    <row r="279" spans="1:8" ht="19.8" customHeight="1" x14ac:dyDescent="0.3">
      <c r="A279" s="128">
        <v>46015</v>
      </c>
      <c r="B279" s="112" t="s">
        <v>28</v>
      </c>
      <c r="C279" s="113" t="s">
        <v>47</v>
      </c>
      <c r="D279" s="112" t="s">
        <v>1</v>
      </c>
      <c r="E279" s="129">
        <v>1.895833333333333</v>
      </c>
      <c r="F279" s="112" t="s">
        <v>30</v>
      </c>
      <c r="G279" s="114">
        <v>9</v>
      </c>
      <c r="H279" s="115">
        <v>563</v>
      </c>
    </row>
    <row r="280" spans="1:8" ht="19.8" customHeight="1" x14ac:dyDescent="0.3">
      <c r="A280" s="128">
        <v>46015</v>
      </c>
      <c r="B280" s="112" t="s">
        <v>43</v>
      </c>
      <c r="C280" s="113" t="s">
        <v>44</v>
      </c>
      <c r="D280" s="112" t="s">
        <v>1</v>
      </c>
      <c r="E280" s="129">
        <v>1.864583333333333</v>
      </c>
      <c r="F280" s="112" t="s">
        <v>45</v>
      </c>
      <c r="G280" s="114">
        <v>9</v>
      </c>
      <c r="H280" s="115">
        <v>727</v>
      </c>
    </row>
    <row r="281" spans="1:8" ht="19.8" customHeight="1" x14ac:dyDescent="0.3">
      <c r="A281" s="128">
        <v>46015</v>
      </c>
      <c r="B281" s="112" t="s">
        <v>43</v>
      </c>
      <c r="C281" s="113" t="s">
        <v>50</v>
      </c>
      <c r="D281" s="112" t="s">
        <v>1</v>
      </c>
      <c r="E281" s="129">
        <v>1.5277777777777779</v>
      </c>
      <c r="F281" s="112" t="s">
        <v>45</v>
      </c>
      <c r="G281" s="114">
        <v>9</v>
      </c>
      <c r="H281" s="115">
        <v>727</v>
      </c>
    </row>
    <row r="282" spans="1:8" ht="19.8" customHeight="1" x14ac:dyDescent="0.3">
      <c r="A282" s="130">
        <v>46015</v>
      </c>
      <c r="B282" s="117" t="s">
        <v>54</v>
      </c>
      <c r="C282" s="118" t="s">
        <v>55</v>
      </c>
      <c r="D282" s="117" t="s">
        <v>1</v>
      </c>
      <c r="E282" s="131">
        <v>1.305555555555556</v>
      </c>
      <c r="F282" s="117" t="s">
        <v>56</v>
      </c>
      <c r="G282" s="119">
        <v>4</v>
      </c>
      <c r="H282" s="122" t="s">
        <v>85</v>
      </c>
    </row>
    <row r="283" spans="1:8" ht="19.8" customHeight="1" x14ac:dyDescent="0.3">
      <c r="A283" s="146"/>
      <c r="B283" s="147"/>
      <c r="C283" s="147"/>
      <c r="D283" s="147"/>
      <c r="E283" s="147"/>
      <c r="F283" s="148" t="s">
        <v>352</v>
      </c>
      <c r="G283" s="147"/>
      <c r="H283" s="149"/>
    </row>
    <row r="284" spans="1:8" ht="19.8" customHeight="1" x14ac:dyDescent="0.3">
      <c r="A284" s="128">
        <v>46016</v>
      </c>
      <c r="B284" s="112" t="s">
        <v>43</v>
      </c>
      <c r="C284" s="113" t="s">
        <v>52</v>
      </c>
      <c r="D284" s="112" t="s">
        <v>1</v>
      </c>
      <c r="E284" s="129">
        <v>1.1701388888888891</v>
      </c>
      <c r="F284" s="112" t="s">
        <v>91</v>
      </c>
      <c r="G284" s="114">
        <v>9</v>
      </c>
      <c r="H284" s="115">
        <v>437</v>
      </c>
    </row>
    <row r="285" spans="1:8" ht="19.8" customHeight="1" x14ac:dyDescent="0.3">
      <c r="A285" s="128">
        <v>46016</v>
      </c>
      <c r="B285" s="112" t="s">
        <v>76</v>
      </c>
      <c r="C285" s="113" t="s">
        <v>77</v>
      </c>
      <c r="D285" s="112" t="s">
        <v>1</v>
      </c>
      <c r="E285" s="129">
        <v>1.9236111111111109</v>
      </c>
      <c r="F285" s="112" t="s">
        <v>30</v>
      </c>
      <c r="G285" s="114">
        <v>1</v>
      </c>
      <c r="H285" s="115">
        <v>446</v>
      </c>
    </row>
    <row r="286" spans="1:8" ht="19.8" customHeight="1" x14ac:dyDescent="0.3">
      <c r="A286" s="128">
        <v>46016</v>
      </c>
      <c r="B286" s="112" t="s">
        <v>102</v>
      </c>
      <c r="C286" s="113" t="s">
        <v>103</v>
      </c>
      <c r="D286" s="112" t="s">
        <v>1</v>
      </c>
      <c r="E286" s="129">
        <v>1.8888888888888891</v>
      </c>
      <c r="F286" s="112" t="s">
        <v>178</v>
      </c>
      <c r="G286" s="114">
        <v>7</v>
      </c>
      <c r="H286" s="115">
        <v>500</v>
      </c>
    </row>
    <row r="287" spans="1:8" ht="19.8" customHeight="1" x14ac:dyDescent="0.3">
      <c r="A287" s="128">
        <v>46016</v>
      </c>
      <c r="B287" s="112" t="s">
        <v>28</v>
      </c>
      <c r="C287" s="113" t="s">
        <v>29</v>
      </c>
      <c r="D287" s="112" t="s">
        <v>1</v>
      </c>
      <c r="E287" s="129">
        <v>1.5625</v>
      </c>
      <c r="F287" s="112" t="s">
        <v>30</v>
      </c>
      <c r="G287" s="114">
        <v>3</v>
      </c>
      <c r="H287" s="115">
        <v>563</v>
      </c>
    </row>
    <row r="288" spans="1:8" ht="19.8" customHeight="1" x14ac:dyDescent="0.3">
      <c r="A288" s="128">
        <v>46016</v>
      </c>
      <c r="B288" s="112" t="s">
        <v>28</v>
      </c>
      <c r="C288" s="113" t="s">
        <v>75</v>
      </c>
      <c r="D288" s="112" t="s">
        <v>1</v>
      </c>
      <c r="E288" s="129">
        <v>1.958333333333333</v>
      </c>
      <c r="F288" s="112" t="s">
        <v>30</v>
      </c>
      <c r="G288" s="114">
        <v>9</v>
      </c>
      <c r="H288" s="115">
        <v>563</v>
      </c>
    </row>
    <row r="289" spans="1:8" ht="19.8" customHeight="1" x14ac:dyDescent="0.3">
      <c r="A289" s="128">
        <v>46016</v>
      </c>
      <c r="B289" s="112" t="s">
        <v>43</v>
      </c>
      <c r="C289" s="113" t="s">
        <v>44</v>
      </c>
      <c r="D289" s="112" t="s">
        <v>1</v>
      </c>
      <c r="E289" s="129">
        <v>1.864583333333333</v>
      </c>
      <c r="F289" s="112" t="s">
        <v>45</v>
      </c>
      <c r="G289" s="114">
        <v>9</v>
      </c>
      <c r="H289" s="115">
        <v>727</v>
      </c>
    </row>
    <row r="290" spans="1:8" ht="19.8" customHeight="1" x14ac:dyDescent="0.3">
      <c r="A290" s="128">
        <v>46016</v>
      </c>
      <c r="B290" s="112" t="s">
        <v>43</v>
      </c>
      <c r="C290" s="113" t="s">
        <v>50</v>
      </c>
      <c r="D290" s="112" t="s">
        <v>1</v>
      </c>
      <c r="E290" s="129">
        <v>1.5277777777777779</v>
      </c>
      <c r="F290" s="112" t="s">
        <v>45</v>
      </c>
      <c r="G290" s="114">
        <v>9</v>
      </c>
      <c r="H290" s="115">
        <v>821</v>
      </c>
    </row>
    <row r="291" spans="1:8" ht="19.8" customHeight="1" x14ac:dyDescent="0.3">
      <c r="A291" s="130">
        <v>46016</v>
      </c>
      <c r="B291" s="117" t="s">
        <v>54</v>
      </c>
      <c r="C291" s="118" t="s">
        <v>55</v>
      </c>
      <c r="D291" s="117" t="s">
        <v>1</v>
      </c>
      <c r="E291" s="131">
        <v>1.305555555555556</v>
      </c>
      <c r="F291" s="117" t="s">
        <v>56</v>
      </c>
      <c r="G291" s="119">
        <v>4</v>
      </c>
      <c r="H291" s="122" t="s">
        <v>58</v>
      </c>
    </row>
    <row r="292" spans="1:8" ht="19.8" customHeight="1" x14ac:dyDescent="0.3">
      <c r="A292" s="132">
        <v>46017</v>
      </c>
      <c r="B292" s="124" t="s">
        <v>76</v>
      </c>
      <c r="C292" s="125" t="s">
        <v>295</v>
      </c>
      <c r="D292" s="124" t="s">
        <v>294</v>
      </c>
      <c r="E292" s="133">
        <v>1.291666666666667</v>
      </c>
      <c r="F292" s="124" t="s">
        <v>30</v>
      </c>
      <c r="G292" s="126">
        <v>7</v>
      </c>
      <c r="H292" s="127">
        <v>636</v>
      </c>
    </row>
    <row r="293" spans="1:8" ht="19.8" customHeight="1" x14ac:dyDescent="0.3">
      <c r="A293" s="146"/>
      <c r="B293" s="147"/>
      <c r="C293" s="147"/>
      <c r="D293" s="147"/>
      <c r="E293" s="147"/>
      <c r="F293" s="148" t="s">
        <v>352</v>
      </c>
      <c r="G293" s="147"/>
      <c r="H293" s="149"/>
    </row>
    <row r="294" spans="1:8" ht="19.8" customHeight="1" x14ac:dyDescent="0.3">
      <c r="A294" s="128">
        <v>46017</v>
      </c>
      <c r="B294" s="112" t="s">
        <v>33</v>
      </c>
      <c r="C294" s="113" t="s">
        <v>34</v>
      </c>
      <c r="D294" s="112" t="s">
        <v>1</v>
      </c>
      <c r="E294" s="129">
        <v>1.836805555555556</v>
      </c>
      <c r="F294" s="112" t="s">
        <v>35</v>
      </c>
      <c r="G294" s="114">
        <v>9</v>
      </c>
      <c r="H294" s="115">
        <v>409</v>
      </c>
    </row>
    <row r="295" spans="1:8" ht="19.8" customHeight="1" x14ac:dyDescent="0.3">
      <c r="A295" s="128">
        <v>46017</v>
      </c>
      <c r="B295" s="112" t="s">
        <v>43</v>
      </c>
      <c r="C295" s="113" t="s">
        <v>44</v>
      </c>
      <c r="D295" s="112" t="s">
        <v>1</v>
      </c>
      <c r="E295" s="129">
        <v>1.864583333333333</v>
      </c>
      <c r="F295" s="112" t="s">
        <v>91</v>
      </c>
      <c r="G295" s="114">
        <v>9</v>
      </c>
      <c r="H295" s="115">
        <v>437</v>
      </c>
    </row>
    <row r="296" spans="1:8" ht="19.8" customHeight="1" x14ac:dyDescent="0.3">
      <c r="A296" s="128">
        <v>46017</v>
      </c>
      <c r="B296" s="112" t="s">
        <v>43</v>
      </c>
      <c r="C296" s="113" t="s">
        <v>52</v>
      </c>
      <c r="D296" s="112" t="s">
        <v>1</v>
      </c>
      <c r="E296" s="129">
        <v>1.1701388888888891</v>
      </c>
      <c r="F296" s="112" t="s">
        <v>91</v>
      </c>
      <c r="G296" s="114">
        <v>9</v>
      </c>
      <c r="H296" s="115">
        <v>437</v>
      </c>
    </row>
    <row r="297" spans="1:8" ht="19.8" customHeight="1" x14ac:dyDescent="0.3">
      <c r="A297" s="128">
        <v>46017</v>
      </c>
      <c r="B297" s="112" t="s">
        <v>28</v>
      </c>
      <c r="C297" s="113" t="s">
        <v>47</v>
      </c>
      <c r="D297" s="112" t="s">
        <v>1</v>
      </c>
      <c r="E297" s="129">
        <v>1.958333333333333</v>
      </c>
      <c r="F297" s="112" t="s">
        <v>178</v>
      </c>
      <c r="G297" s="114">
        <v>9</v>
      </c>
      <c r="H297" s="115">
        <v>439</v>
      </c>
    </row>
    <row r="298" spans="1:8" ht="19.8" customHeight="1" x14ac:dyDescent="0.3">
      <c r="A298" s="128">
        <v>46017</v>
      </c>
      <c r="B298" s="112" t="s">
        <v>76</v>
      </c>
      <c r="C298" s="113" t="s">
        <v>77</v>
      </c>
      <c r="D298" s="112" t="s">
        <v>1</v>
      </c>
      <c r="E298" s="129">
        <v>1.5798611111111109</v>
      </c>
      <c r="F298" s="112" t="s">
        <v>30</v>
      </c>
      <c r="G298" s="114">
        <v>9</v>
      </c>
      <c r="H298" s="115">
        <v>446</v>
      </c>
    </row>
    <row r="299" spans="1:8" ht="19.8" customHeight="1" x14ac:dyDescent="0.3">
      <c r="A299" s="128">
        <v>46017</v>
      </c>
      <c r="B299" s="112" t="s">
        <v>102</v>
      </c>
      <c r="C299" s="113" t="s">
        <v>113</v>
      </c>
      <c r="D299" s="112" t="s">
        <v>1</v>
      </c>
      <c r="E299" s="129">
        <v>1.2222222222222221</v>
      </c>
      <c r="F299" s="112" t="s">
        <v>178</v>
      </c>
      <c r="G299" s="114">
        <v>8</v>
      </c>
      <c r="H299" s="115">
        <v>500</v>
      </c>
    </row>
    <row r="300" spans="1:8" ht="19.8" customHeight="1" x14ac:dyDescent="0.3">
      <c r="A300" s="128">
        <v>46017</v>
      </c>
      <c r="B300" s="112" t="s">
        <v>33</v>
      </c>
      <c r="C300" s="113" t="s">
        <v>34</v>
      </c>
      <c r="D300" s="112" t="s">
        <v>1</v>
      </c>
      <c r="E300" s="129">
        <v>1.836805555555556</v>
      </c>
      <c r="F300" s="112" t="s">
        <v>38</v>
      </c>
      <c r="G300" s="114">
        <v>9</v>
      </c>
      <c r="H300" s="115">
        <v>509</v>
      </c>
    </row>
    <row r="301" spans="1:8" ht="19.8" customHeight="1" x14ac:dyDescent="0.3">
      <c r="A301" s="128">
        <v>46017</v>
      </c>
      <c r="B301" s="112" t="s">
        <v>33</v>
      </c>
      <c r="C301" s="113" t="s">
        <v>34</v>
      </c>
      <c r="D301" s="112" t="s">
        <v>1</v>
      </c>
      <c r="E301" s="129">
        <v>1.836805555555556</v>
      </c>
      <c r="F301" s="112" t="s">
        <v>41</v>
      </c>
      <c r="G301" s="114">
        <v>9</v>
      </c>
      <c r="H301" s="115">
        <v>599</v>
      </c>
    </row>
    <row r="302" spans="1:8" ht="19.8" customHeight="1" x14ac:dyDescent="0.3">
      <c r="A302" s="128">
        <v>46017</v>
      </c>
      <c r="B302" s="112" t="s">
        <v>43</v>
      </c>
      <c r="C302" s="113" t="s">
        <v>50</v>
      </c>
      <c r="D302" s="112" t="s">
        <v>1</v>
      </c>
      <c r="E302" s="129">
        <v>1.5277777777777779</v>
      </c>
      <c r="F302" s="112" t="s">
        <v>45</v>
      </c>
      <c r="G302" s="114">
        <v>9</v>
      </c>
      <c r="H302" s="115">
        <v>731</v>
      </c>
    </row>
    <row r="303" spans="1:8" ht="19.8" customHeight="1" x14ac:dyDescent="0.3">
      <c r="A303" s="130">
        <v>46017</v>
      </c>
      <c r="B303" s="117" t="s">
        <v>54</v>
      </c>
      <c r="C303" s="118" t="s">
        <v>55</v>
      </c>
      <c r="D303" s="117" t="s">
        <v>1</v>
      </c>
      <c r="E303" s="131">
        <v>1.305555555555556</v>
      </c>
      <c r="F303" s="117" t="s">
        <v>56</v>
      </c>
      <c r="G303" s="119">
        <v>4</v>
      </c>
      <c r="H303" s="122" t="s">
        <v>118</v>
      </c>
    </row>
    <row r="304" spans="1:8" ht="19.8" customHeight="1" x14ac:dyDescent="0.3">
      <c r="A304" s="146"/>
      <c r="B304" s="147"/>
      <c r="C304" s="147"/>
      <c r="D304" s="147"/>
      <c r="E304" s="147"/>
      <c r="F304" s="148" t="s">
        <v>352</v>
      </c>
      <c r="G304" s="147"/>
      <c r="H304" s="149"/>
    </row>
    <row r="305" spans="1:8" ht="19.8" customHeight="1" x14ac:dyDescent="0.3">
      <c r="A305" s="128">
        <v>46018</v>
      </c>
      <c r="B305" s="112" t="s">
        <v>59</v>
      </c>
      <c r="C305" s="113" t="s">
        <v>60</v>
      </c>
      <c r="D305" s="112" t="s">
        <v>1</v>
      </c>
      <c r="E305" s="129">
        <v>1.305555555555556</v>
      </c>
      <c r="F305" s="112" t="s">
        <v>61</v>
      </c>
      <c r="G305" s="114">
        <v>10</v>
      </c>
      <c r="H305" s="115">
        <v>339</v>
      </c>
    </row>
    <row r="306" spans="1:8" ht="19.8" customHeight="1" x14ac:dyDescent="0.3">
      <c r="A306" s="128">
        <v>46018</v>
      </c>
      <c r="B306" s="112" t="s">
        <v>33</v>
      </c>
      <c r="C306" s="113" t="s">
        <v>34</v>
      </c>
      <c r="D306" s="112" t="s">
        <v>1</v>
      </c>
      <c r="E306" s="129">
        <v>1.836805555555556</v>
      </c>
      <c r="F306" s="112" t="s">
        <v>35</v>
      </c>
      <c r="G306" s="114">
        <v>4</v>
      </c>
      <c r="H306" s="115">
        <v>349</v>
      </c>
    </row>
    <row r="307" spans="1:8" ht="19.8" customHeight="1" x14ac:dyDescent="0.3">
      <c r="A307" s="128">
        <v>46018</v>
      </c>
      <c r="B307" s="112" t="s">
        <v>33</v>
      </c>
      <c r="C307" s="113" t="s">
        <v>68</v>
      </c>
      <c r="D307" s="112" t="s">
        <v>1</v>
      </c>
      <c r="E307" s="129">
        <v>1.2013888888888891</v>
      </c>
      <c r="F307" s="112" t="s">
        <v>35</v>
      </c>
      <c r="G307" s="114">
        <v>6</v>
      </c>
      <c r="H307" s="115">
        <v>349</v>
      </c>
    </row>
    <row r="308" spans="1:8" ht="19.8" customHeight="1" x14ac:dyDescent="0.3">
      <c r="A308" s="128">
        <v>46018</v>
      </c>
      <c r="B308" s="112" t="s">
        <v>120</v>
      </c>
      <c r="C308" s="113" t="s">
        <v>121</v>
      </c>
      <c r="D308" s="112" t="s">
        <v>1</v>
      </c>
      <c r="E308" s="129">
        <v>1.9722222222222221</v>
      </c>
      <c r="F308" s="112" t="s">
        <v>122</v>
      </c>
      <c r="G308" s="114">
        <v>9</v>
      </c>
      <c r="H308" s="115">
        <v>399</v>
      </c>
    </row>
    <row r="309" spans="1:8" ht="19.8" customHeight="1" x14ac:dyDescent="0.3">
      <c r="A309" s="128">
        <v>46018</v>
      </c>
      <c r="B309" s="112" t="s">
        <v>43</v>
      </c>
      <c r="C309" s="113" t="s">
        <v>44</v>
      </c>
      <c r="D309" s="112" t="s">
        <v>1</v>
      </c>
      <c r="E309" s="129">
        <v>1.864583333333333</v>
      </c>
      <c r="F309" s="112" t="s">
        <v>91</v>
      </c>
      <c r="G309" s="114">
        <v>9</v>
      </c>
      <c r="H309" s="115">
        <v>437</v>
      </c>
    </row>
    <row r="310" spans="1:8" ht="19.8" customHeight="1" x14ac:dyDescent="0.3">
      <c r="A310" s="128">
        <v>46018</v>
      </c>
      <c r="B310" s="112" t="s">
        <v>43</v>
      </c>
      <c r="C310" s="113" t="s">
        <v>50</v>
      </c>
      <c r="D310" s="112" t="s">
        <v>1</v>
      </c>
      <c r="E310" s="129">
        <v>1.5277777777777779</v>
      </c>
      <c r="F310" s="112" t="s">
        <v>91</v>
      </c>
      <c r="G310" s="114">
        <v>9</v>
      </c>
      <c r="H310" s="115">
        <v>437</v>
      </c>
    </row>
    <row r="311" spans="1:8" ht="19.8" customHeight="1" x14ac:dyDescent="0.3">
      <c r="A311" s="128">
        <v>46018</v>
      </c>
      <c r="B311" s="112" t="s">
        <v>43</v>
      </c>
      <c r="C311" s="113" t="s">
        <v>52</v>
      </c>
      <c r="D311" s="112" t="s">
        <v>1</v>
      </c>
      <c r="E311" s="129">
        <v>1.1701388888888891</v>
      </c>
      <c r="F311" s="112" t="s">
        <v>91</v>
      </c>
      <c r="G311" s="114">
        <v>9</v>
      </c>
      <c r="H311" s="115">
        <v>437</v>
      </c>
    </row>
    <row r="312" spans="1:8" ht="19.8" customHeight="1" x14ac:dyDescent="0.3">
      <c r="A312" s="128">
        <v>46018</v>
      </c>
      <c r="B312" s="112" t="s">
        <v>28</v>
      </c>
      <c r="C312" s="113" t="s">
        <v>75</v>
      </c>
      <c r="D312" s="112" t="s">
        <v>1</v>
      </c>
      <c r="E312" s="129">
        <v>1.895833333333333</v>
      </c>
      <c r="F312" s="112" t="s">
        <v>178</v>
      </c>
      <c r="G312" s="114">
        <v>9</v>
      </c>
      <c r="H312" s="115">
        <v>439</v>
      </c>
    </row>
    <row r="313" spans="1:8" ht="19.8" customHeight="1" x14ac:dyDescent="0.3">
      <c r="A313" s="128">
        <v>46018</v>
      </c>
      <c r="B313" s="112" t="s">
        <v>76</v>
      </c>
      <c r="C313" s="113" t="s">
        <v>77</v>
      </c>
      <c r="D313" s="112" t="s">
        <v>1</v>
      </c>
      <c r="E313" s="129">
        <v>1.9236111111111109</v>
      </c>
      <c r="F313" s="112" t="s">
        <v>30</v>
      </c>
      <c r="G313" s="114">
        <v>9</v>
      </c>
      <c r="H313" s="115">
        <v>446</v>
      </c>
    </row>
    <row r="314" spans="1:8" ht="19.8" customHeight="1" x14ac:dyDescent="0.3">
      <c r="A314" s="130">
        <v>46018</v>
      </c>
      <c r="B314" s="117" t="s">
        <v>33</v>
      </c>
      <c r="C314" s="118" t="s">
        <v>34</v>
      </c>
      <c r="D314" s="117" t="s">
        <v>1</v>
      </c>
      <c r="E314" s="131">
        <v>1.836805555555556</v>
      </c>
      <c r="F314" s="117" t="s">
        <v>38</v>
      </c>
      <c r="G314" s="119">
        <v>4</v>
      </c>
      <c r="H314" s="120">
        <v>449</v>
      </c>
    </row>
    <row r="315" spans="1:8" ht="19.8" customHeight="1" x14ac:dyDescent="0.3">
      <c r="A315" s="146"/>
      <c r="B315" s="147"/>
      <c r="C315" s="147"/>
      <c r="D315" s="147"/>
      <c r="E315" s="147"/>
      <c r="F315" s="148" t="s">
        <v>352</v>
      </c>
      <c r="G315" s="147"/>
      <c r="H315" s="149"/>
    </row>
    <row r="316" spans="1:8" ht="19.8" customHeight="1" x14ac:dyDescent="0.3">
      <c r="A316" s="128">
        <v>46019</v>
      </c>
      <c r="B316" s="112" t="s">
        <v>43</v>
      </c>
      <c r="C316" s="113" t="s">
        <v>44</v>
      </c>
      <c r="D316" s="112" t="s">
        <v>1</v>
      </c>
      <c r="E316" s="129">
        <v>1.864583333333333</v>
      </c>
      <c r="F316" s="112" t="s">
        <v>91</v>
      </c>
      <c r="G316" s="114">
        <v>9</v>
      </c>
      <c r="H316" s="115">
        <v>437</v>
      </c>
    </row>
    <row r="317" spans="1:8" ht="19.8" customHeight="1" x14ac:dyDescent="0.3">
      <c r="A317" s="128">
        <v>46019</v>
      </c>
      <c r="B317" s="112" t="s">
        <v>43</v>
      </c>
      <c r="C317" s="113" t="s">
        <v>50</v>
      </c>
      <c r="D317" s="112" t="s">
        <v>1</v>
      </c>
      <c r="E317" s="129">
        <v>1.5277777777777779</v>
      </c>
      <c r="F317" s="112" t="s">
        <v>91</v>
      </c>
      <c r="G317" s="114">
        <v>9</v>
      </c>
      <c r="H317" s="115">
        <v>437</v>
      </c>
    </row>
    <row r="318" spans="1:8" ht="19.8" customHeight="1" x14ac:dyDescent="0.3">
      <c r="A318" s="128">
        <v>46019</v>
      </c>
      <c r="B318" s="112" t="s">
        <v>43</v>
      </c>
      <c r="C318" s="113" t="s">
        <v>52</v>
      </c>
      <c r="D318" s="112" t="s">
        <v>1</v>
      </c>
      <c r="E318" s="129">
        <v>1.1701388888888891</v>
      </c>
      <c r="F318" s="112" t="s">
        <v>91</v>
      </c>
      <c r="G318" s="114">
        <v>9</v>
      </c>
      <c r="H318" s="115">
        <v>437</v>
      </c>
    </row>
    <row r="319" spans="1:8" ht="19.8" customHeight="1" x14ac:dyDescent="0.3">
      <c r="A319" s="128">
        <v>46019</v>
      </c>
      <c r="B319" s="112" t="s">
        <v>28</v>
      </c>
      <c r="C319" s="113" t="s">
        <v>29</v>
      </c>
      <c r="D319" s="112" t="s">
        <v>1</v>
      </c>
      <c r="E319" s="129">
        <v>1.958333333333333</v>
      </c>
      <c r="F319" s="112" t="s">
        <v>178</v>
      </c>
      <c r="G319" s="114">
        <v>4</v>
      </c>
      <c r="H319" s="115">
        <v>439</v>
      </c>
    </row>
    <row r="320" spans="1:8" ht="19.8" customHeight="1" x14ac:dyDescent="0.3">
      <c r="A320" s="130">
        <v>46019</v>
      </c>
      <c r="B320" s="117" t="s">
        <v>54</v>
      </c>
      <c r="C320" s="118" t="s">
        <v>55</v>
      </c>
      <c r="D320" s="117" t="s">
        <v>1</v>
      </c>
      <c r="E320" s="131">
        <v>1.305555555555556</v>
      </c>
      <c r="F320" s="117" t="s">
        <v>56</v>
      </c>
      <c r="G320" s="119">
        <v>4</v>
      </c>
      <c r="H320" s="122" t="s">
        <v>118</v>
      </c>
    </row>
    <row r="321" spans="1:8" ht="19.8" customHeight="1" x14ac:dyDescent="0.3">
      <c r="A321" s="132">
        <v>46020</v>
      </c>
      <c r="B321" s="124" t="s">
        <v>76</v>
      </c>
      <c r="C321" s="125" t="s">
        <v>295</v>
      </c>
      <c r="D321" s="124" t="s">
        <v>294</v>
      </c>
      <c r="E321" s="133">
        <v>1.510416666666667</v>
      </c>
      <c r="F321" s="124"/>
      <c r="G321" s="124"/>
      <c r="H321" s="150" t="s">
        <v>317</v>
      </c>
    </row>
    <row r="322" spans="1:8" ht="19.8" customHeight="1" x14ac:dyDescent="0.3">
      <c r="A322" s="146"/>
      <c r="B322" s="147"/>
      <c r="C322" s="147"/>
      <c r="D322" s="147"/>
      <c r="E322" s="147"/>
      <c r="F322" s="148" t="s">
        <v>352</v>
      </c>
      <c r="G322" s="147"/>
      <c r="H322" s="149"/>
    </row>
    <row r="323" spans="1:8" ht="19.8" customHeight="1" x14ac:dyDescent="0.3">
      <c r="A323" s="128">
        <v>46020</v>
      </c>
      <c r="B323" s="112" t="s">
        <v>33</v>
      </c>
      <c r="C323" s="113" t="s">
        <v>34</v>
      </c>
      <c r="D323" s="112" t="s">
        <v>1</v>
      </c>
      <c r="E323" s="129">
        <v>1.836805555555556</v>
      </c>
      <c r="F323" s="112" t="s">
        <v>35</v>
      </c>
      <c r="G323" s="114">
        <v>2</v>
      </c>
      <c r="H323" s="115">
        <v>379</v>
      </c>
    </row>
    <row r="324" spans="1:8" ht="19.8" customHeight="1" x14ac:dyDescent="0.3">
      <c r="A324" s="128">
        <v>46020</v>
      </c>
      <c r="B324" s="112" t="s">
        <v>33</v>
      </c>
      <c r="C324" s="113" t="s">
        <v>68</v>
      </c>
      <c r="D324" s="112" t="s">
        <v>1</v>
      </c>
      <c r="E324" s="129">
        <v>1.2013888888888891</v>
      </c>
      <c r="F324" s="112" t="s">
        <v>35</v>
      </c>
      <c r="G324" s="114">
        <v>1</v>
      </c>
      <c r="H324" s="115">
        <v>379</v>
      </c>
    </row>
    <row r="325" spans="1:8" ht="19.8" customHeight="1" x14ac:dyDescent="0.3">
      <c r="A325" s="128">
        <v>46020</v>
      </c>
      <c r="B325" s="112" t="s">
        <v>102</v>
      </c>
      <c r="C325" s="113" t="s">
        <v>105</v>
      </c>
      <c r="D325" s="112" t="s">
        <v>1</v>
      </c>
      <c r="E325" s="129">
        <v>1.1284722222222221</v>
      </c>
      <c r="F325" s="112" t="s">
        <v>178</v>
      </c>
      <c r="G325" s="114">
        <v>5</v>
      </c>
      <c r="H325" s="115">
        <v>425</v>
      </c>
    </row>
    <row r="326" spans="1:8" ht="19.8" customHeight="1" x14ac:dyDescent="0.3">
      <c r="A326" s="128">
        <v>46020</v>
      </c>
      <c r="B326" s="112" t="s">
        <v>43</v>
      </c>
      <c r="C326" s="113" t="s">
        <v>44</v>
      </c>
      <c r="D326" s="112" t="s">
        <v>1</v>
      </c>
      <c r="E326" s="129">
        <v>1.864583333333333</v>
      </c>
      <c r="F326" s="112" t="s">
        <v>91</v>
      </c>
      <c r="G326" s="114">
        <v>9</v>
      </c>
      <c r="H326" s="115">
        <v>437</v>
      </c>
    </row>
    <row r="327" spans="1:8" ht="19.8" customHeight="1" x14ac:dyDescent="0.3">
      <c r="A327" s="128">
        <v>46020</v>
      </c>
      <c r="B327" s="112" t="s">
        <v>43</v>
      </c>
      <c r="C327" s="113" t="s">
        <v>50</v>
      </c>
      <c r="D327" s="112" t="s">
        <v>1</v>
      </c>
      <c r="E327" s="129">
        <v>1.5277777777777779</v>
      </c>
      <c r="F327" s="112" t="s">
        <v>91</v>
      </c>
      <c r="G327" s="114">
        <v>9</v>
      </c>
      <c r="H327" s="115">
        <v>437</v>
      </c>
    </row>
    <row r="328" spans="1:8" ht="19.8" customHeight="1" x14ac:dyDescent="0.3">
      <c r="A328" s="128">
        <v>46020</v>
      </c>
      <c r="B328" s="112" t="s">
        <v>43</v>
      </c>
      <c r="C328" s="113" t="s">
        <v>52</v>
      </c>
      <c r="D328" s="112" t="s">
        <v>1</v>
      </c>
      <c r="E328" s="129">
        <v>1.1701388888888891</v>
      </c>
      <c r="F328" s="112" t="s">
        <v>91</v>
      </c>
      <c r="G328" s="114">
        <v>9</v>
      </c>
      <c r="H328" s="115">
        <v>437</v>
      </c>
    </row>
    <row r="329" spans="1:8" ht="19.8" customHeight="1" x14ac:dyDescent="0.3">
      <c r="A329" s="128">
        <v>46020</v>
      </c>
      <c r="B329" s="112" t="s">
        <v>28</v>
      </c>
      <c r="C329" s="113" t="s">
        <v>47</v>
      </c>
      <c r="D329" s="112" t="s">
        <v>1</v>
      </c>
      <c r="E329" s="129">
        <v>1.958333333333333</v>
      </c>
      <c r="F329" s="112" t="s">
        <v>178</v>
      </c>
      <c r="G329" s="114">
        <v>9</v>
      </c>
      <c r="H329" s="115">
        <v>439</v>
      </c>
    </row>
    <row r="330" spans="1:8" ht="19.8" customHeight="1" x14ac:dyDescent="0.3">
      <c r="A330" s="128">
        <v>46020</v>
      </c>
      <c r="B330" s="112" t="s">
        <v>33</v>
      </c>
      <c r="C330" s="113" t="s">
        <v>34</v>
      </c>
      <c r="D330" s="112" t="s">
        <v>1</v>
      </c>
      <c r="E330" s="129">
        <v>1.836805555555556</v>
      </c>
      <c r="F330" s="112" t="s">
        <v>38</v>
      </c>
      <c r="G330" s="114">
        <v>2</v>
      </c>
      <c r="H330" s="115">
        <v>479</v>
      </c>
    </row>
    <row r="331" spans="1:8" ht="19.8" customHeight="1" x14ac:dyDescent="0.3">
      <c r="A331" s="128">
        <v>46020</v>
      </c>
      <c r="B331" s="112" t="s">
        <v>33</v>
      </c>
      <c r="C331" s="113" t="s">
        <v>68</v>
      </c>
      <c r="D331" s="112" t="s">
        <v>1</v>
      </c>
      <c r="E331" s="129">
        <v>1.2013888888888891</v>
      </c>
      <c r="F331" s="112" t="s">
        <v>38</v>
      </c>
      <c r="G331" s="114">
        <v>1</v>
      </c>
      <c r="H331" s="115">
        <v>479</v>
      </c>
    </row>
    <row r="332" spans="1:8" ht="19.8" customHeight="1" x14ac:dyDescent="0.3">
      <c r="A332" s="130">
        <v>46020</v>
      </c>
      <c r="B332" s="117" t="s">
        <v>33</v>
      </c>
      <c r="C332" s="118" t="s">
        <v>34</v>
      </c>
      <c r="D332" s="117" t="s">
        <v>1</v>
      </c>
      <c r="E332" s="131">
        <v>1.836805555555556</v>
      </c>
      <c r="F332" s="117" t="s">
        <v>41</v>
      </c>
      <c r="G332" s="119">
        <v>2</v>
      </c>
      <c r="H332" s="120">
        <v>569</v>
      </c>
    </row>
    <row r="333" spans="1:8" ht="19.8" customHeight="1" x14ac:dyDescent="0.3">
      <c r="A333" s="146"/>
      <c r="B333" s="147"/>
      <c r="C333" s="147"/>
      <c r="D333" s="147"/>
      <c r="E333" s="147"/>
      <c r="F333" s="148" t="s">
        <v>352</v>
      </c>
      <c r="G333" s="147"/>
      <c r="H333" s="149"/>
    </row>
    <row r="334" spans="1:8" ht="19.8" customHeight="1" x14ac:dyDescent="0.3">
      <c r="A334" s="128">
        <v>46021</v>
      </c>
      <c r="B334" s="112" t="s">
        <v>76</v>
      </c>
      <c r="C334" s="113" t="s">
        <v>77</v>
      </c>
      <c r="D334" s="112" t="s">
        <v>1</v>
      </c>
      <c r="E334" s="129">
        <v>1.270833333333333</v>
      </c>
      <c r="F334" s="112" t="s">
        <v>30</v>
      </c>
      <c r="G334" s="114">
        <v>1</v>
      </c>
      <c r="H334" s="115">
        <v>425</v>
      </c>
    </row>
    <row r="335" spans="1:8" ht="19.8" customHeight="1" x14ac:dyDescent="0.3">
      <c r="A335" s="128">
        <v>46021</v>
      </c>
      <c r="B335" s="112" t="s">
        <v>43</v>
      </c>
      <c r="C335" s="113" t="s">
        <v>44</v>
      </c>
      <c r="D335" s="112" t="s">
        <v>1</v>
      </c>
      <c r="E335" s="129">
        <v>1.864583333333333</v>
      </c>
      <c r="F335" s="112" t="s">
        <v>91</v>
      </c>
      <c r="G335" s="114">
        <v>9</v>
      </c>
      <c r="H335" s="115">
        <v>437</v>
      </c>
    </row>
    <row r="336" spans="1:8" ht="19.8" customHeight="1" x14ac:dyDescent="0.3">
      <c r="A336" s="128">
        <v>46021</v>
      </c>
      <c r="B336" s="112" t="s">
        <v>43</v>
      </c>
      <c r="C336" s="113" t="s">
        <v>52</v>
      </c>
      <c r="D336" s="112" t="s">
        <v>1</v>
      </c>
      <c r="E336" s="129">
        <v>1.1701388888888891</v>
      </c>
      <c r="F336" s="112" t="s">
        <v>91</v>
      </c>
      <c r="G336" s="114">
        <v>9</v>
      </c>
      <c r="H336" s="115">
        <v>437</v>
      </c>
    </row>
    <row r="337" spans="1:8" ht="19.8" customHeight="1" x14ac:dyDescent="0.3">
      <c r="A337" s="128">
        <v>46021</v>
      </c>
      <c r="B337" s="112" t="s">
        <v>28</v>
      </c>
      <c r="C337" s="113" t="s">
        <v>75</v>
      </c>
      <c r="D337" s="112" t="s">
        <v>1</v>
      </c>
      <c r="E337" s="129">
        <v>1.958333333333333</v>
      </c>
      <c r="F337" s="112" t="s">
        <v>178</v>
      </c>
      <c r="G337" s="114">
        <v>9</v>
      </c>
      <c r="H337" s="115">
        <v>629</v>
      </c>
    </row>
    <row r="338" spans="1:8" ht="19.8" customHeight="1" x14ac:dyDescent="0.3">
      <c r="A338" s="128">
        <v>46021</v>
      </c>
      <c r="B338" s="112" t="s">
        <v>43</v>
      </c>
      <c r="C338" s="113" t="s">
        <v>50</v>
      </c>
      <c r="D338" s="112" t="s">
        <v>1</v>
      </c>
      <c r="E338" s="129">
        <v>1.5277777777777779</v>
      </c>
      <c r="F338" s="112" t="s">
        <v>45</v>
      </c>
      <c r="G338" s="114">
        <v>9</v>
      </c>
      <c r="H338" s="115">
        <v>727</v>
      </c>
    </row>
    <row r="339" spans="1:8" ht="19.8" customHeight="1" x14ac:dyDescent="0.3">
      <c r="A339" s="130">
        <v>46021</v>
      </c>
      <c r="B339" s="117" t="s">
        <v>54</v>
      </c>
      <c r="C339" s="118" t="s">
        <v>55</v>
      </c>
      <c r="D339" s="117" t="s">
        <v>1</v>
      </c>
      <c r="E339" s="131">
        <v>1.305555555555556</v>
      </c>
      <c r="F339" s="117" t="s">
        <v>56</v>
      </c>
      <c r="G339" s="119">
        <v>4</v>
      </c>
      <c r="H339" s="122" t="s">
        <v>85</v>
      </c>
    </row>
    <row r="340" spans="1:8" ht="19.8" customHeight="1" x14ac:dyDescent="0.3">
      <c r="A340" s="146"/>
      <c r="B340" s="147"/>
      <c r="C340" s="147"/>
      <c r="D340" s="147"/>
      <c r="E340" s="147"/>
      <c r="F340" s="148" t="s">
        <v>352</v>
      </c>
      <c r="G340" s="147"/>
      <c r="H340" s="149"/>
    </row>
    <row r="341" spans="1:8" ht="19.8" customHeight="1" x14ac:dyDescent="0.3">
      <c r="A341" s="128">
        <v>46022</v>
      </c>
      <c r="B341" s="112" t="s">
        <v>43</v>
      </c>
      <c r="C341" s="113" t="s">
        <v>52</v>
      </c>
      <c r="D341" s="112" t="s">
        <v>1</v>
      </c>
      <c r="E341" s="129">
        <v>1.1701388888888891</v>
      </c>
      <c r="F341" s="112" t="s">
        <v>91</v>
      </c>
      <c r="G341" s="114">
        <v>9</v>
      </c>
      <c r="H341" s="115">
        <v>437</v>
      </c>
    </row>
    <row r="342" spans="1:8" ht="19.8" customHeight="1" x14ac:dyDescent="0.3">
      <c r="A342" s="128">
        <v>46022</v>
      </c>
      <c r="B342" s="112" t="s">
        <v>102</v>
      </c>
      <c r="C342" s="113" t="s">
        <v>103</v>
      </c>
      <c r="D342" s="112" t="s">
        <v>1</v>
      </c>
      <c r="E342" s="129">
        <v>1.0902777777777779</v>
      </c>
      <c r="F342" s="112" t="s">
        <v>178</v>
      </c>
      <c r="G342" s="114">
        <v>8</v>
      </c>
      <c r="H342" s="115">
        <v>500</v>
      </c>
    </row>
    <row r="343" spans="1:8" ht="19.8" customHeight="1" x14ac:dyDescent="0.3">
      <c r="A343" s="128">
        <v>46022</v>
      </c>
      <c r="B343" s="112" t="s">
        <v>28</v>
      </c>
      <c r="C343" s="113" t="s">
        <v>47</v>
      </c>
      <c r="D343" s="112" t="s">
        <v>1</v>
      </c>
      <c r="E343" s="129">
        <v>1.895833333333333</v>
      </c>
      <c r="F343" s="112" t="s">
        <v>178</v>
      </c>
      <c r="G343" s="114">
        <v>9</v>
      </c>
      <c r="H343" s="115">
        <v>629</v>
      </c>
    </row>
    <row r="344" spans="1:8" ht="19.8" customHeight="1" x14ac:dyDescent="0.3">
      <c r="A344" s="128">
        <v>46022</v>
      </c>
      <c r="B344" s="112" t="s">
        <v>43</v>
      </c>
      <c r="C344" s="113" t="s">
        <v>44</v>
      </c>
      <c r="D344" s="112" t="s">
        <v>1</v>
      </c>
      <c r="E344" s="129">
        <v>1.864583333333333</v>
      </c>
      <c r="F344" s="112" t="s">
        <v>45</v>
      </c>
      <c r="G344" s="114">
        <v>9</v>
      </c>
      <c r="H344" s="115">
        <v>727</v>
      </c>
    </row>
    <row r="345" spans="1:8" ht="19.8" customHeight="1" x14ac:dyDescent="0.3">
      <c r="A345" s="128">
        <v>46022</v>
      </c>
      <c r="B345" s="112" t="s">
        <v>43</v>
      </c>
      <c r="C345" s="113" t="s">
        <v>50</v>
      </c>
      <c r="D345" s="112" t="s">
        <v>1</v>
      </c>
      <c r="E345" s="129">
        <v>1.5277777777777779</v>
      </c>
      <c r="F345" s="112" t="s">
        <v>45</v>
      </c>
      <c r="G345" s="114">
        <v>9</v>
      </c>
      <c r="H345" s="115">
        <v>727</v>
      </c>
    </row>
    <row r="346" spans="1:8" ht="19.8" customHeight="1" x14ac:dyDescent="0.3">
      <c r="A346" s="130">
        <v>46022</v>
      </c>
      <c r="B346" s="117" t="s">
        <v>54</v>
      </c>
      <c r="C346" s="118" t="s">
        <v>55</v>
      </c>
      <c r="D346" s="117" t="s">
        <v>1</v>
      </c>
      <c r="E346" s="131">
        <v>1.305555555555556</v>
      </c>
      <c r="F346" s="117" t="s">
        <v>56</v>
      </c>
      <c r="G346" s="119">
        <v>4</v>
      </c>
      <c r="H346" s="122" t="s">
        <v>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497"/>
  <sheetViews>
    <sheetView zoomScale="85" workbookViewId="0">
      <selection activeCell="D22" sqref="D22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6.33203125" bestFit="1" customWidth="1"/>
  </cols>
  <sheetData>
    <row r="1" spans="1:92" ht="28.8" customHeight="1" x14ac:dyDescent="0.3">
      <c r="A1" s="218" t="s">
        <v>0</v>
      </c>
      <c r="B1" s="217"/>
      <c r="C1" s="217"/>
      <c r="D1" s="217"/>
      <c r="E1" s="217"/>
      <c r="F1" s="1" t="s">
        <v>353</v>
      </c>
      <c r="G1" s="2" t="s">
        <v>2</v>
      </c>
      <c r="H1" s="216" t="s">
        <v>3</v>
      </c>
      <c r="I1" s="217"/>
      <c r="J1" s="217"/>
      <c r="K1" s="217"/>
      <c r="L1" s="217"/>
      <c r="M1" s="1" t="s">
        <v>4</v>
      </c>
      <c r="N1" s="226" t="s">
        <v>5</v>
      </c>
      <c r="O1" s="217"/>
      <c r="P1" s="217"/>
      <c r="Q1" s="217"/>
      <c r="R1" s="21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24" t="s">
        <v>6</v>
      </c>
      <c r="B2" s="225"/>
      <c r="C2" s="225"/>
      <c r="D2" s="225"/>
      <c r="E2" s="225"/>
      <c r="F2" s="225"/>
      <c r="G2" s="234">
        <v>45984.555132223279</v>
      </c>
      <c r="H2" s="225"/>
      <c r="I2" s="225"/>
      <c r="J2" s="225"/>
      <c r="K2" s="235">
        <v>45984.555132223657</v>
      </c>
      <c r="L2" s="225"/>
      <c r="M2" s="225"/>
      <c r="N2" s="225"/>
      <c r="O2" s="225"/>
      <c r="P2" s="225"/>
      <c r="Q2" s="236"/>
      <c r="R2" s="23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38" t="s">
        <v>7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0" t="s">
        <v>8</v>
      </c>
      <c r="B4" s="241"/>
      <c r="C4" s="241"/>
      <c r="D4" s="241"/>
      <c r="E4" s="241"/>
      <c r="F4" s="241"/>
      <c r="G4" s="4">
        <v>45984</v>
      </c>
      <c r="H4" s="237" t="s">
        <v>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28</v>
      </c>
      <c r="B6" s="8" t="s">
        <v>354</v>
      </c>
      <c r="C6" s="9">
        <v>0.75694444444444453</v>
      </c>
      <c r="D6" s="8" t="s">
        <v>178</v>
      </c>
      <c r="E6" s="8" t="s">
        <v>31</v>
      </c>
      <c r="F6" s="8" t="s">
        <v>355</v>
      </c>
      <c r="G6" s="213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33</v>
      </c>
      <c r="B7" s="15" t="s">
        <v>356</v>
      </c>
      <c r="C7" s="16">
        <v>0.97222222222222221</v>
      </c>
      <c r="D7" s="15" t="s">
        <v>35</v>
      </c>
      <c r="E7" s="15" t="s">
        <v>135</v>
      </c>
      <c r="F7" s="15" t="s">
        <v>357</v>
      </c>
      <c r="G7" s="214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7" t="s">
        <v>33</v>
      </c>
      <c r="B8" s="17" t="s">
        <v>356</v>
      </c>
      <c r="C8" s="18">
        <v>0.97222222222222221</v>
      </c>
      <c r="D8" s="17" t="s">
        <v>38</v>
      </c>
      <c r="E8" s="17" t="s">
        <v>158</v>
      </c>
      <c r="F8" s="17" t="s">
        <v>358</v>
      </c>
      <c r="G8" s="214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33</v>
      </c>
      <c r="B9" s="17" t="s">
        <v>356</v>
      </c>
      <c r="C9" s="18">
        <v>0.97222222222222221</v>
      </c>
      <c r="D9" s="17" t="s">
        <v>41</v>
      </c>
      <c r="E9" s="17" t="s">
        <v>158</v>
      </c>
      <c r="F9" s="17" t="s">
        <v>359</v>
      </c>
      <c r="G9" s="214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43</v>
      </c>
      <c r="B10" s="15" t="s">
        <v>360</v>
      </c>
      <c r="C10" s="16">
        <v>0.97916666666666663</v>
      </c>
      <c r="D10" s="15" t="s">
        <v>45</v>
      </c>
      <c r="E10" s="15" t="s">
        <v>129</v>
      </c>
      <c r="F10" s="15" t="s">
        <v>361</v>
      </c>
      <c r="G10" s="214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thickBot="1" x14ac:dyDescent="0.35">
      <c r="A11" s="139" t="s">
        <v>43</v>
      </c>
      <c r="B11" s="139" t="s">
        <v>362</v>
      </c>
      <c r="C11" s="140">
        <v>0.67361111111111116</v>
      </c>
      <c r="D11" s="139" t="s">
        <v>45</v>
      </c>
      <c r="E11" s="139" t="s">
        <v>172</v>
      </c>
      <c r="F11" s="139" t="s">
        <v>363</v>
      </c>
      <c r="G11" s="215"/>
      <c r="H11" s="21"/>
      <c r="I11" s="22"/>
      <c r="J11" s="22"/>
      <c r="K11" s="22"/>
      <c r="L11" s="22"/>
      <c r="M11" s="22"/>
      <c r="N11" s="22"/>
      <c r="O11" s="23"/>
      <c r="P11" s="22"/>
      <c r="Q11" s="24"/>
      <c r="R11" s="25"/>
    </row>
    <row r="12" spans="1:92" ht="17.399999999999999" customHeight="1" thickBot="1" x14ac:dyDescent="0.35">
      <c r="A12" s="221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3"/>
    </row>
    <row r="13" spans="1:92" ht="22.05" customHeight="1" thickTop="1" thickBot="1" x14ac:dyDescent="0.55000000000000004">
      <c r="A13" s="211" t="s">
        <v>8</v>
      </c>
      <c r="B13" s="212"/>
      <c r="C13" s="212"/>
      <c r="D13" s="212"/>
      <c r="E13" s="212"/>
      <c r="F13" s="212"/>
      <c r="G13" s="26">
        <v>45985</v>
      </c>
      <c r="H13" s="219" t="s">
        <v>9</v>
      </c>
      <c r="I13" s="220"/>
      <c r="J13" s="220"/>
      <c r="K13" s="220"/>
      <c r="L13" s="220"/>
      <c r="M13" s="220"/>
      <c r="N13" s="220"/>
      <c r="O13" s="220"/>
      <c r="P13" s="220"/>
      <c r="Q13" s="220"/>
      <c r="R13" s="220"/>
    </row>
    <row r="14" spans="1:92" ht="24" customHeight="1" x14ac:dyDescent="0.3">
      <c r="A14" s="27" t="s">
        <v>10</v>
      </c>
      <c r="B14" s="27" t="s">
        <v>11</v>
      </c>
      <c r="C14" s="28" t="s">
        <v>12</v>
      </c>
      <c r="D14" s="27" t="s">
        <v>13</v>
      </c>
      <c r="E14" s="27" t="s">
        <v>14</v>
      </c>
      <c r="F14" s="29" t="s">
        <v>15</v>
      </c>
      <c r="G14" s="30" t="s">
        <v>16</v>
      </c>
      <c r="H14" s="27" t="s">
        <v>17</v>
      </c>
      <c r="I14" s="31" t="s">
        <v>18</v>
      </c>
      <c r="J14" s="32" t="s">
        <v>19</v>
      </c>
      <c r="K14" s="33" t="s">
        <v>20</v>
      </c>
      <c r="L14" s="32" t="s">
        <v>21</v>
      </c>
      <c r="M14" s="32" t="s">
        <v>22</v>
      </c>
      <c r="N14" s="32" t="s">
        <v>23</v>
      </c>
      <c r="O14" s="27" t="s">
        <v>24</v>
      </c>
      <c r="P14" s="28" t="s">
        <v>25</v>
      </c>
      <c r="Q14" s="32" t="s">
        <v>26</v>
      </c>
      <c r="R14" s="27" t="s">
        <v>27</v>
      </c>
    </row>
    <row r="15" spans="1:92" ht="15" customHeight="1" x14ac:dyDescent="0.3">
      <c r="A15" s="8" t="s">
        <v>33</v>
      </c>
      <c r="B15" s="8" t="s">
        <v>364</v>
      </c>
      <c r="C15" s="9">
        <v>0.33680555555555558</v>
      </c>
      <c r="D15" s="8" t="s">
        <v>35</v>
      </c>
      <c r="E15" s="8" t="s">
        <v>94</v>
      </c>
      <c r="F15" s="8" t="s">
        <v>365</v>
      </c>
      <c r="G15" s="213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7" t="s">
        <v>33</v>
      </c>
      <c r="B16" s="17" t="s">
        <v>364</v>
      </c>
      <c r="C16" s="18">
        <v>0.33680555555555558</v>
      </c>
      <c r="D16" s="17" t="s">
        <v>38</v>
      </c>
      <c r="E16" s="17" t="s">
        <v>96</v>
      </c>
      <c r="F16" s="17" t="s">
        <v>366</v>
      </c>
      <c r="G16" s="214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7" t="s">
        <v>33</v>
      </c>
      <c r="B17" s="17" t="s">
        <v>364</v>
      </c>
      <c r="C17" s="18">
        <v>0.33680555555555558</v>
      </c>
      <c r="D17" s="17" t="s">
        <v>41</v>
      </c>
      <c r="E17" s="17" t="s">
        <v>96</v>
      </c>
      <c r="F17" s="17" t="s">
        <v>367</v>
      </c>
      <c r="G17" s="214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34" t="s">
        <v>33</v>
      </c>
      <c r="B18" s="34" t="s">
        <v>356</v>
      </c>
      <c r="C18" s="35">
        <v>0.97222222222222221</v>
      </c>
      <c r="D18" s="34" t="s">
        <v>35</v>
      </c>
      <c r="E18" s="34" t="s">
        <v>172</v>
      </c>
      <c r="F18" s="34" t="s">
        <v>368</v>
      </c>
      <c r="G18" s="214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7" t="s">
        <v>33</v>
      </c>
      <c r="B19" s="17" t="s">
        <v>356</v>
      </c>
      <c r="C19" s="18">
        <v>0.97222222222222221</v>
      </c>
      <c r="D19" s="17" t="s">
        <v>38</v>
      </c>
      <c r="E19" s="17" t="s">
        <v>173</v>
      </c>
      <c r="F19" s="17" t="s">
        <v>369</v>
      </c>
      <c r="G19" s="214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7" t="s">
        <v>33</v>
      </c>
      <c r="B20" s="17" t="s">
        <v>356</v>
      </c>
      <c r="C20" s="18">
        <v>0.97222222222222221</v>
      </c>
      <c r="D20" s="17" t="s">
        <v>41</v>
      </c>
      <c r="E20" s="17" t="s">
        <v>173</v>
      </c>
      <c r="F20" s="17" t="s">
        <v>370</v>
      </c>
      <c r="G20" s="214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5" t="s">
        <v>59</v>
      </c>
      <c r="B21" s="15" t="s">
        <v>371</v>
      </c>
      <c r="C21" s="16">
        <v>0.44791666666666669</v>
      </c>
      <c r="D21" s="15" t="s">
        <v>61</v>
      </c>
      <c r="E21" s="15" t="s">
        <v>94</v>
      </c>
      <c r="F21" s="15" t="s">
        <v>372</v>
      </c>
      <c r="G21" s="214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7" t="s">
        <v>59</v>
      </c>
      <c r="B22" s="17" t="s">
        <v>371</v>
      </c>
      <c r="C22" s="18">
        <v>0.44791666666666669</v>
      </c>
      <c r="D22" s="17" t="s">
        <v>64</v>
      </c>
      <c r="E22" s="17" t="s">
        <v>96</v>
      </c>
      <c r="F22" s="17" t="s">
        <v>373</v>
      </c>
      <c r="G22" s="214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7" t="s">
        <v>59</v>
      </c>
      <c r="B23" s="17" t="s">
        <v>371</v>
      </c>
      <c r="C23" s="18">
        <v>0.44791666666666669</v>
      </c>
      <c r="D23" s="17" t="s">
        <v>67</v>
      </c>
      <c r="E23" s="17" t="s">
        <v>96</v>
      </c>
      <c r="F23" s="17" t="s">
        <v>374</v>
      </c>
      <c r="G23" s="214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5" t="s">
        <v>28</v>
      </c>
      <c r="B24" s="15" t="s">
        <v>375</v>
      </c>
      <c r="C24" s="16">
        <v>0.75694444444444453</v>
      </c>
      <c r="D24" s="15" t="s">
        <v>178</v>
      </c>
      <c r="E24" s="15" t="s">
        <v>31</v>
      </c>
      <c r="F24" s="15" t="s">
        <v>376</v>
      </c>
      <c r="G24" s="214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43</v>
      </c>
      <c r="B25" s="15" t="s">
        <v>360</v>
      </c>
      <c r="C25" s="16">
        <v>0.97916666666666663</v>
      </c>
      <c r="D25" s="15" t="s">
        <v>45</v>
      </c>
      <c r="E25" s="15" t="s">
        <v>31</v>
      </c>
      <c r="F25" s="15" t="s">
        <v>377</v>
      </c>
      <c r="G25" s="214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34" t="s">
        <v>43</v>
      </c>
      <c r="B26" s="34" t="s">
        <v>362</v>
      </c>
      <c r="C26" s="35">
        <v>0.69444444444444453</v>
      </c>
      <c r="D26" s="34" t="s">
        <v>45</v>
      </c>
      <c r="E26" s="34" t="s">
        <v>378</v>
      </c>
      <c r="F26" s="34" t="s">
        <v>379</v>
      </c>
      <c r="G26" s="214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34" t="s">
        <v>43</v>
      </c>
      <c r="B27" s="34" t="s">
        <v>380</v>
      </c>
      <c r="C27" s="35">
        <v>0.3263888888888889</v>
      </c>
      <c r="D27" s="34" t="s">
        <v>45</v>
      </c>
      <c r="E27" s="34" t="s">
        <v>381</v>
      </c>
      <c r="F27" s="34" t="s">
        <v>379</v>
      </c>
      <c r="G27" s="214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thickBot="1" x14ac:dyDescent="0.35">
      <c r="A28" s="19" t="s">
        <v>54</v>
      </c>
      <c r="B28" s="19" t="s">
        <v>382</v>
      </c>
      <c r="C28" s="20">
        <v>0.44791666666666669</v>
      </c>
      <c r="D28" s="19" t="s">
        <v>56</v>
      </c>
      <c r="E28" s="19" t="s">
        <v>57</v>
      </c>
      <c r="F28" s="19" t="s">
        <v>383</v>
      </c>
      <c r="G28" s="215"/>
      <c r="H28" s="21"/>
      <c r="I28" s="22"/>
      <c r="J28" s="22"/>
      <c r="K28" s="22"/>
      <c r="L28" s="22"/>
      <c r="M28" s="22"/>
      <c r="N28" s="22"/>
      <c r="O28" s="23"/>
      <c r="P28" s="22"/>
      <c r="Q28" s="24"/>
      <c r="R28" s="25"/>
    </row>
    <row r="29" spans="1:18" ht="17.399999999999999" customHeight="1" thickBot="1" x14ac:dyDescent="0.35">
      <c r="A29" s="221"/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3"/>
    </row>
    <row r="30" spans="1:18" ht="22.05" customHeight="1" thickTop="1" thickBot="1" x14ac:dyDescent="0.55000000000000004">
      <c r="A30" s="211" t="s">
        <v>8</v>
      </c>
      <c r="B30" s="212"/>
      <c r="C30" s="212"/>
      <c r="D30" s="212"/>
      <c r="E30" s="212"/>
      <c r="F30" s="212"/>
      <c r="G30" s="26">
        <v>45986</v>
      </c>
      <c r="H30" s="219" t="s">
        <v>9</v>
      </c>
      <c r="I30" s="220"/>
      <c r="J30" s="220"/>
      <c r="K30" s="220"/>
      <c r="L30" s="220"/>
      <c r="M30" s="220"/>
      <c r="N30" s="220"/>
      <c r="O30" s="220"/>
      <c r="P30" s="220"/>
      <c r="Q30" s="220"/>
      <c r="R30" s="220"/>
    </row>
    <row r="31" spans="1:18" ht="24" customHeight="1" x14ac:dyDescent="0.3">
      <c r="A31" s="27" t="s">
        <v>10</v>
      </c>
      <c r="B31" s="27" t="s">
        <v>11</v>
      </c>
      <c r="C31" s="28" t="s">
        <v>12</v>
      </c>
      <c r="D31" s="27" t="s">
        <v>13</v>
      </c>
      <c r="E31" s="27" t="s">
        <v>14</v>
      </c>
      <c r="F31" s="29" t="s">
        <v>15</v>
      </c>
      <c r="G31" s="30" t="s">
        <v>16</v>
      </c>
      <c r="H31" s="27" t="s">
        <v>17</v>
      </c>
      <c r="I31" s="31" t="s">
        <v>18</v>
      </c>
      <c r="J31" s="32" t="s">
        <v>19</v>
      </c>
      <c r="K31" s="33" t="s">
        <v>20</v>
      </c>
      <c r="L31" s="32" t="s">
        <v>21</v>
      </c>
      <c r="M31" s="32" t="s">
        <v>22</v>
      </c>
      <c r="N31" s="32" t="s">
        <v>23</v>
      </c>
      <c r="O31" s="27" t="s">
        <v>24</v>
      </c>
      <c r="P31" s="28" t="s">
        <v>25</v>
      </c>
      <c r="Q31" s="32" t="s">
        <v>26</v>
      </c>
      <c r="R31" s="27" t="s">
        <v>27</v>
      </c>
    </row>
    <row r="32" spans="1:18" ht="15" customHeight="1" x14ac:dyDescent="0.3">
      <c r="A32" s="8" t="s">
        <v>59</v>
      </c>
      <c r="B32" s="8" t="s">
        <v>371</v>
      </c>
      <c r="C32" s="9">
        <v>0.44791666666666669</v>
      </c>
      <c r="D32" s="8" t="s">
        <v>61</v>
      </c>
      <c r="E32" s="8" t="s">
        <v>135</v>
      </c>
      <c r="F32" s="8" t="s">
        <v>384</v>
      </c>
      <c r="G32" s="213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7" t="s">
        <v>59</v>
      </c>
      <c r="B33" s="17" t="s">
        <v>371</v>
      </c>
      <c r="C33" s="18">
        <v>0.44791666666666669</v>
      </c>
      <c r="D33" s="17" t="s">
        <v>64</v>
      </c>
      <c r="E33" s="17" t="s">
        <v>158</v>
      </c>
      <c r="F33" s="17" t="s">
        <v>369</v>
      </c>
      <c r="G33" s="214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7" t="s">
        <v>59</v>
      </c>
      <c r="B34" s="17" t="s">
        <v>371</v>
      </c>
      <c r="C34" s="18">
        <v>0.44791666666666669</v>
      </c>
      <c r="D34" s="17" t="s">
        <v>67</v>
      </c>
      <c r="E34" s="17" t="s">
        <v>158</v>
      </c>
      <c r="F34" s="17" t="s">
        <v>385</v>
      </c>
      <c r="G34" s="214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28</v>
      </c>
      <c r="B35" s="15" t="s">
        <v>386</v>
      </c>
      <c r="C35" s="16">
        <v>0.75694444444444453</v>
      </c>
      <c r="D35" s="15" t="s">
        <v>178</v>
      </c>
      <c r="E35" s="15" t="s">
        <v>78</v>
      </c>
      <c r="F35" s="15" t="s">
        <v>355</v>
      </c>
      <c r="G35" s="214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5" t="s">
        <v>102</v>
      </c>
      <c r="B36" s="15" t="s">
        <v>387</v>
      </c>
      <c r="C36" s="16">
        <v>0.88194444444444453</v>
      </c>
      <c r="D36" s="15" t="s">
        <v>178</v>
      </c>
      <c r="E36" s="15" t="s">
        <v>162</v>
      </c>
      <c r="F36" s="15" t="s">
        <v>388</v>
      </c>
      <c r="G36" s="214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63" t="s">
        <v>76</v>
      </c>
      <c r="B37" s="63" t="s">
        <v>389</v>
      </c>
      <c r="C37" s="64">
        <v>6.9444444444444434E-2</v>
      </c>
      <c r="D37" s="63" t="s">
        <v>178</v>
      </c>
      <c r="E37" s="63" t="s">
        <v>31</v>
      </c>
      <c r="F37" s="63" t="s">
        <v>390</v>
      </c>
      <c r="G37" s="214"/>
      <c r="H37" s="65" t="s">
        <v>391</v>
      </c>
      <c r="I37" s="151">
        <v>0.74439999999999995</v>
      </c>
      <c r="J37" s="67">
        <v>134</v>
      </c>
      <c r="K37" s="68">
        <v>45984</v>
      </c>
      <c r="L37" s="67">
        <v>89</v>
      </c>
      <c r="M37" s="67">
        <v>10</v>
      </c>
      <c r="N37" s="67">
        <v>13</v>
      </c>
      <c r="O37" s="69" t="s">
        <v>392</v>
      </c>
      <c r="P37" s="70">
        <v>6.9444444444444434E-2</v>
      </c>
      <c r="Q37" s="67">
        <v>180</v>
      </c>
      <c r="R37" s="71" t="s">
        <v>393</v>
      </c>
    </row>
    <row r="38" spans="1:18" ht="15" customHeight="1" x14ac:dyDescent="0.3">
      <c r="A38" s="15" t="s">
        <v>33</v>
      </c>
      <c r="B38" s="15" t="s">
        <v>356</v>
      </c>
      <c r="C38" s="16">
        <v>0.97222222222222221</v>
      </c>
      <c r="D38" s="15" t="s">
        <v>35</v>
      </c>
      <c r="E38" s="15" t="s">
        <v>135</v>
      </c>
      <c r="F38" s="15" t="s">
        <v>357</v>
      </c>
      <c r="G38" s="214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7" t="s">
        <v>33</v>
      </c>
      <c r="B39" s="17" t="s">
        <v>356</v>
      </c>
      <c r="C39" s="18">
        <v>0.97222222222222221</v>
      </c>
      <c r="D39" s="17" t="s">
        <v>38</v>
      </c>
      <c r="E39" s="17" t="s">
        <v>158</v>
      </c>
      <c r="F39" s="17" t="s">
        <v>358</v>
      </c>
      <c r="G39" s="214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7" t="s">
        <v>33</v>
      </c>
      <c r="B40" s="17" t="s">
        <v>356</v>
      </c>
      <c r="C40" s="18">
        <v>0.97222222222222221</v>
      </c>
      <c r="D40" s="17" t="s">
        <v>41</v>
      </c>
      <c r="E40" s="17" t="s">
        <v>158</v>
      </c>
      <c r="F40" s="17" t="s">
        <v>359</v>
      </c>
      <c r="G40" s="214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34" t="s">
        <v>33</v>
      </c>
      <c r="B41" s="34" t="s">
        <v>364</v>
      </c>
      <c r="C41" s="35">
        <v>0.33680555555555558</v>
      </c>
      <c r="D41" s="34" t="s">
        <v>35</v>
      </c>
      <c r="E41" s="34" t="s">
        <v>183</v>
      </c>
      <c r="F41" s="34" t="s">
        <v>394</v>
      </c>
      <c r="G41" s="214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7" t="s">
        <v>33</v>
      </c>
      <c r="B42" s="17" t="s">
        <v>364</v>
      </c>
      <c r="C42" s="18">
        <v>0.33680555555555558</v>
      </c>
      <c r="D42" s="17" t="s">
        <v>41</v>
      </c>
      <c r="E42" s="17" t="s">
        <v>96</v>
      </c>
      <c r="F42" s="17" t="s">
        <v>395</v>
      </c>
      <c r="G42" s="214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7" t="s">
        <v>33</v>
      </c>
      <c r="B43" s="17" t="s">
        <v>364</v>
      </c>
      <c r="C43" s="18">
        <v>0.33680555555555558</v>
      </c>
      <c r="D43" s="17" t="s">
        <v>38</v>
      </c>
      <c r="E43" s="17" t="s">
        <v>96</v>
      </c>
      <c r="F43" s="17" t="s">
        <v>385</v>
      </c>
      <c r="G43" s="214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5" t="s">
        <v>43</v>
      </c>
      <c r="B44" s="15" t="s">
        <v>380</v>
      </c>
      <c r="C44" s="16">
        <v>0.33680555555555558</v>
      </c>
      <c r="D44" s="15" t="s">
        <v>45</v>
      </c>
      <c r="E44" s="15" t="s">
        <v>89</v>
      </c>
      <c r="F44" s="15" t="s">
        <v>361</v>
      </c>
      <c r="G44" s="214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34" t="s">
        <v>43</v>
      </c>
      <c r="B45" s="34" t="s">
        <v>362</v>
      </c>
      <c r="C45" s="35">
        <v>0.67361111111111116</v>
      </c>
      <c r="D45" s="34" t="s">
        <v>45</v>
      </c>
      <c r="E45" s="34" t="s">
        <v>378</v>
      </c>
      <c r="F45" s="34" t="s">
        <v>379</v>
      </c>
      <c r="G45" s="214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34" t="s">
        <v>43</v>
      </c>
      <c r="B46" s="34" t="s">
        <v>360</v>
      </c>
      <c r="C46" s="35">
        <v>0.97916666666666663</v>
      </c>
      <c r="D46" s="34" t="s">
        <v>45</v>
      </c>
      <c r="E46" s="34" t="s">
        <v>146</v>
      </c>
      <c r="F46" s="34" t="s">
        <v>396</v>
      </c>
      <c r="G46" s="214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thickBot="1" x14ac:dyDescent="0.35">
      <c r="A47" s="19" t="s">
        <v>54</v>
      </c>
      <c r="B47" s="19" t="s">
        <v>382</v>
      </c>
      <c r="C47" s="20">
        <v>0.44791666666666669</v>
      </c>
      <c r="D47" s="19" t="s">
        <v>56</v>
      </c>
      <c r="E47" s="19" t="s">
        <v>57</v>
      </c>
      <c r="F47" s="19" t="s">
        <v>397</v>
      </c>
      <c r="G47" s="215"/>
      <c r="H47" s="21"/>
      <c r="I47" s="22"/>
      <c r="J47" s="22"/>
      <c r="K47" s="22"/>
      <c r="L47" s="22"/>
      <c r="M47" s="22"/>
      <c r="N47" s="22"/>
      <c r="O47" s="23"/>
      <c r="P47" s="22"/>
      <c r="Q47" s="24"/>
      <c r="R47" s="25"/>
    </row>
    <row r="48" spans="1:18" ht="17.399999999999999" customHeight="1" thickBot="1" x14ac:dyDescent="0.35">
      <c r="A48" s="221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3"/>
    </row>
    <row r="49" spans="1:18" ht="22.05" customHeight="1" thickTop="1" thickBot="1" x14ac:dyDescent="0.55000000000000004">
      <c r="A49" s="211" t="s">
        <v>8</v>
      </c>
      <c r="B49" s="212"/>
      <c r="C49" s="212"/>
      <c r="D49" s="212"/>
      <c r="E49" s="212"/>
      <c r="F49" s="212"/>
      <c r="G49" s="26">
        <v>45987</v>
      </c>
      <c r="H49" s="219" t="s">
        <v>9</v>
      </c>
      <c r="I49" s="220"/>
      <c r="J49" s="220"/>
      <c r="K49" s="220"/>
      <c r="L49" s="220"/>
      <c r="M49" s="220"/>
      <c r="N49" s="220"/>
      <c r="O49" s="220"/>
      <c r="P49" s="220"/>
      <c r="Q49" s="220"/>
      <c r="R49" s="220"/>
    </row>
    <row r="50" spans="1:18" ht="24" customHeight="1" x14ac:dyDescent="0.3">
      <c r="A50" s="27" t="s">
        <v>10</v>
      </c>
      <c r="B50" s="27" t="s">
        <v>11</v>
      </c>
      <c r="C50" s="28" t="s">
        <v>12</v>
      </c>
      <c r="D50" s="27" t="s">
        <v>13</v>
      </c>
      <c r="E50" s="27" t="s">
        <v>14</v>
      </c>
      <c r="F50" s="29" t="s">
        <v>15</v>
      </c>
      <c r="G50" s="30" t="s">
        <v>16</v>
      </c>
      <c r="H50" s="27" t="s">
        <v>17</v>
      </c>
      <c r="I50" s="31" t="s">
        <v>18</v>
      </c>
      <c r="J50" s="32" t="s">
        <v>19</v>
      </c>
      <c r="K50" s="33" t="s">
        <v>20</v>
      </c>
      <c r="L50" s="32" t="s">
        <v>21</v>
      </c>
      <c r="M50" s="32" t="s">
        <v>22</v>
      </c>
      <c r="N50" s="32" t="s">
        <v>23</v>
      </c>
      <c r="O50" s="27" t="s">
        <v>24</v>
      </c>
      <c r="P50" s="28" t="s">
        <v>25</v>
      </c>
      <c r="Q50" s="32" t="s">
        <v>26</v>
      </c>
      <c r="R50" s="27" t="s">
        <v>27</v>
      </c>
    </row>
    <row r="51" spans="1:18" ht="15" customHeight="1" x14ac:dyDescent="0.3">
      <c r="A51" s="8" t="s">
        <v>59</v>
      </c>
      <c r="B51" s="8" t="s">
        <v>371</v>
      </c>
      <c r="C51" s="9">
        <v>0.44791666666666669</v>
      </c>
      <c r="D51" s="8" t="s">
        <v>61</v>
      </c>
      <c r="E51" s="8" t="s">
        <v>162</v>
      </c>
      <c r="F51" s="8" t="s">
        <v>384</v>
      </c>
      <c r="G51" s="213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7" t="s">
        <v>59</v>
      </c>
      <c r="B52" s="17" t="s">
        <v>371</v>
      </c>
      <c r="C52" s="18">
        <v>0.44791666666666669</v>
      </c>
      <c r="D52" s="17" t="s">
        <v>64</v>
      </c>
      <c r="E52" s="17" t="s">
        <v>173</v>
      </c>
      <c r="F52" s="17" t="s">
        <v>369</v>
      </c>
      <c r="G52" s="214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7" t="s">
        <v>59</v>
      </c>
      <c r="B53" s="17" t="s">
        <v>371</v>
      </c>
      <c r="C53" s="18">
        <v>0.44791666666666669</v>
      </c>
      <c r="D53" s="17" t="s">
        <v>67</v>
      </c>
      <c r="E53" s="17" t="s">
        <v>173</v>
      </c>
      <c r="F53" s="17" t="s">
        <v>398</v>
      </c>
      <c r="G53" s="214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5" t="s">
        <v>33</v>
      </c>
      <c r="B54" s="15" t="s">
        <v>356</v>
      </c>
      <c r="C54" s="16">
        <v>0.97222222222222221</v>
      </c>
      <c r="D54" s="15" t="s">
        <v>35</v>
      </c>
      <c r="E54" s="15" t="s">
        <v>129</v>
      </c>
      <c r="F54" s="15" t="s">
        <v>368</v>
      </c>
      <c r="G54" s="214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7" t="s">
        <v>33</v>
      </c>
      <c r="B55" s="17" t="s">
        <v>356</v>
      </c>
      <c r="C55" s="18">
        <v>0.97222222222222221</v>
      </c>
      <c r="D55" s="17" t="s">
        <v>38</v>
      </c>
      <c r="E55" s="17" t="s">
        <v>399</v>
      </c>
      <c r="F55" s="17" t="s">
        <v>369</v>
      </c>
      <c r="G55" s="214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7" t="s">
        <v>33</v>
      </c>
      <c r="B56" s="17" t="s">
        <v>356</v>
      </c>
      <c r="C56" s="18">
        <v>0.97222222222222221</v>
      </c>
      <c r="D56" s="17" t="s">
        <v>41</v>
      </c>
      <c r="E56" s="17" t="s">
        <v>399</v>
      </c>
      <c r="F56" s="17" t="s">
        <v>370</v>
      </c>
      <c r="G56" s="214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5" t="s">
        <v>28</v>
      </c>
      <c r="B57" s="15" t="s">
        <v>375</v>
      </c>
      <c r="C57" s="16">
        <v>0.69791666666666663</v>
      </c>
      <c r="D57" s="15" t="s">
        <v>178</v>
      </c>
      <c r="E57" s="15" t="s">
        <v>62</v>
      </c>
      <c r="F57" s="15" t="s">
        <v>376</v>
      </c>
      <c r="G57" s="214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5" t="s">
        <v>43</v>
      </c>
      <c r="B58" s="15" t="s">
        <v>380</v>
      </c>
      <c r="C58" s="16">
        <v>0.33680555555555558</v>
      </c>
      <c r="D58" s="15" t="s">
        <v>45</v>
      </c>
      <c r="E58" s="15" t="s">
        <v>31</v>
      </c>
      <c r="F58" s="15" t="s">
        <v>400</v>
      </c>
      <c r="G58" s="214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34" t="s">
        <v>43</v>
      </c>
      <c r="B59" s="34" t="s">
        <v>362</v>
      </c>
      <c r="C59" s="35">
        <v>0.67708333333333337</v>
      </c>
      <c r="D59" s="34" t="s">
        <v>45</v>
      </c>
      <c r="E59" s="34" t="s">
        <v>172</v>
      </c>
      <c r="F59" s="34" t="s">
        <v>363</v>
      </c>
      <c r="G59" s="214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thickBot="1" x14ac:dyDescent="0.35">
      <c r="A60" s="19" t="s">
        <v>54</v>
      </c>
      <c r="B60" s="19" t="s">
        <v>382</v>
      </c>
      <c r="C60" s="20">
        <v>0.44791666666666669</v>
      </c>
      <c r="D60" s="19" t="s">
        <v>56</v>
      </c>
      <c r="E60" s="19" t="s">
        <v>57</v>
      </c>
      <c r="F60" s="19" t="s">
        <v>397</v>
      </c>
      <c r="G60" s="215"/>
      <c r="H60" s="21"/>
      <c r="I60" s="22"/>
      <c r="J60" s="22"/>
      <c r="K60" s="22"/>
      <c r="L60" s="22"/>
      <c r="M60" s="22"/>
      <c r="N60" s="22"/>
      <c r="O60" s="23"/>
      <c r="P60" s="22"/>
      <c r="Q60" s="24"/>
      <c r="R60" s="25"/>
    </row>
    <row r="61" spans="1:18" ht="17.399999999999999" customHeight="1" thickBot="1" x14ac:dyDescent="0.35">
      <c r="A61" s="221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3"/>
    </row>
    <row r="62" spans="1:18" ht="22.05" customHeight="1" thickTop="1" thickBot="1" x14ac:dyDescent="0.55000000000000004">
      <c r="A62" s="211" t="s">
        <v>8</v>
      </c>
      <c r="B62" s="212"/>
      <c r="C62" s="212"/>
      <c r="D62" s="212"/>
      <c r="E62" s="212"/>
      <c r="F62" s="212"/>
      <c r="G62" s="26">
        <v>45988</v>
      </c>
      <c r="H62" s="219" t="s">
        <v>9</v>
      </c>
      <c r="I62" s="220"/>
      <c r="J62" s="220"/>
      <c r="K62" s="220"/>
      <c r="L62" s="220"/>
      <c r="M62" s="220"/>
      <c r="N62" s="220"/>
      <c r="O62" s="220"/>
      <c r="P62" s="220"/>
      <c r="Q62" s="220"/>
      <c r="R62" s="220"/>
    </row>
    <row r="63" spans="1:18" ht="24" customHeight="1" x14ac:dyDescent="0.3">
      <c r="A63" s="27" t="s">
        <v>10</v>
      </c>
      <c r="B63" s="27" t="s">
        <v>11</v>
      </c>
      <c r="C63" s="28" t="s">
        <v>12</v>
      </c>
      <c r="D63" s="27" t="s">
        <v>13</v>
      </c>
      <c r="E63" s="27" t="s">
        <v>14</v>
      </c>
      <c r="F63" s="29" t="s">
        <v>15</v>
      </c>
      <c r="G63" s="30" t="s">
        <v>16</v>
      </c>
      <c r="H63" s="27" t="s">
        <v>17</v>
      </c>
      <c r="I63" s="31" t="s">
        <v>18</v>
      </c>
      <c r="J63" s="32" t="s">
        <v>19</v>
      </c>
      <c r="K63" s="33" t="s">
        <v>20</v>
      </c>
      <c r="L63" s="32" t="s">
        <v>21</v>
      </c>
      <c r="M63" s="32" t="s">
        <v>22</v>
      </c>
      <c r="N63" s="32" t="s">
        <v>23</v>
      </c>
      <c r="O63" s="27" t="s">
        <v>24</v>
      </c>
      <c r="P63" s="28" t="s">
        <v>25</v>
      </c>
      <c r="Q63" s="32" t="s">
        <v>26</v>
      </c>
      <c r="R63" s="27" t="s">
        <v>27</v>
      </c>
    </row>
    <row r="64" spans="1:18" ht="15" customHeight="1" x14ac:dyDescent="0.3">
      <c r="A64" s="8" t="s">
        <v>33</v>
      </c>
      <c r="B64" s="8" t="s">
        <v>364</v>
      </c>
      <c r="C64" s="9">
        <v>0.33680555555555558</v>
      </c>
      <c r="D64" s="8" t="s">
        <v>35</v>
      </c>
      <c r="E64" s="8" t="s">
        <v>36</v>
      </c>
      <c r="F64" s="8" t="s">
        <v>365</v>
      </c>
      <c r="G64" s="213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7" t="s">
        <v>33</v>
      </c>
      <c r="B65" s="17" t="s">
        <v>364</v>
      </c>
      <c r="C65" s="18">
        <v>0.33680555555555558</v>
      </c>
      <c r="D65" s="17" t="s">
        <v>38</v>
      </c>
      <c r="E65" s="17" t="s">
        <v>39</v>
      </c>
      <c r="F65" s="17" t="s">
        <v>366</v>
      </c>
      <c r="G65" s="214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7" t="s">
        <v>33</v>
      </c>
      <c r="B66" s="17" t="s">
        <v>364</v>
      </c>
      <c r="C66" s="18">
        <v>0.33680555555555558</v>
      </c>
      <c r="D66" s="17" t="s">
        <v>41</v>
      </c>
      <c r="E66" s="17" t="s">
        <v>39</v>
      </c>
      <c r="F66" s="17" t="s">
        <v>367</v>
      </c>
      <c r="G66" s="214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34" t="s">
        <v>33</v>
      </c>
      <c r="B67" s="34" t="s">
        <v>356</v>
      </c>
      <c r="C67" s="35">
        <v>0.97222222222222221</v>
      </c>
      <c r="D67" s="34" t="s">
        <v>35</v>
      </c>
      <c r="E67" s="34" t="s">
        <v>401</v>
      </c>
      <c r="F67" s="34" t="s">
        <v>368</v>
      </c>
      <c r="G67" s="214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7" t="s">
        <v>33</v>
      </c>
      <c r="B68" s="17" t="s">
        <v>356</v>
      </c>
      <c r="C68" s="18">
        <v>0.97222222222222221</v>
      </c>
      <c r="D68" s="17" t="s">
        <v>38</v>
      </c>
      <c r="E68" s="17" t="s">
        <v>399</v>
      </c>
      <c r="F68" s="17" t="s">
        <v>369</v>
      </c>
      <c r="G68" s="214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7" t="s">
        <v>33</v>
      </c>
      <c r="B69" s="17" t="s">
        <v>356</v>
      </c>
      <c r="C69" s="18">
        <v>0.97222222222222221</v>
      </c>
      <c r="D69" s="17" t="s">
        <v>41</v>
      </c>
      <c r="E69" s="17" t="s">
        <v>399</v>
      </c>
      <c r="F69" s="17" t="s">
        <v>370</v>
      </c>
      <c r="G69" s="214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5" t="s">
        <v>102</v>
      </c>
      <c r="B70" s="15" t="s">
        <v>402</v>
      </c>
      <c r="C70" s="16">
        <v>7.6388888888888895E-2</v>
      </c>
      <c r="D70" s="15" t="s">
        <v>178</v>
      </c>
      <c r="E70" s="15" t="s">
        <v>94</v>
      </c>
      <c r="F70" s="15" t="s">
        <v>403</v>
      </c>
      <c r="G70" s="214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34" t="s">
        <v>102</v>
      </c>
      <c r="B71" s="34" t="s">
        <v>387</v>
      </c>
      <c r="C71" s="35">
        <v>0.68055555555555547</v>
      </c>
      <c r="D71" s="34" t="s">
        <v>178</v>
      </c>
      <c r="E71" s="34" t="s">
        <v>146</v>
      </c>
      <c r="F71" s="34" t="s">
        <v>388</v>
      </c>
      <c r="G71" s="214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34" t="s">
        <v>102</v>
      </c>
      <c r="B72" s="34" t="s">
        <v>404</v>
      </c>
      <c r="C72" s="35">
        <v>0.96527777777777779</v>
      </c>
      <c r="D72" s="34" t="s">
        <v>178</v>
      </c>
      <c r="E72" s="34" t="s">
        <v>146</v>
      </c>
      <c r="F72" s="34" t="s">
        <v>388</v>
      </c>
      <c r="G72" s="214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5" t="s">
        <v>28</v>
      </c>
      <c r="B73" s="15" t="s">
        <v>354</v>
      </c>
      <c r="C73" s="16">
        <v>0.3611111111111111</v>
      </c>
      <c r="D73" s="15" t="s">
        <v>178</v>
      </c>
      <c r="E73" s="15" t="s">
        <v>129</v>
      </c>
      <c r="F73" s="15" t="s">
        <v>355</v>
      </c>
      <c r="G73" s="214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34" t="s">
        <v>28</v>
      </c>
      <c r="B74" s="34" t="s">
        <v>386</v>
      </c>
      <c r="C74" s="35">
        <v>0.75694444444444453</v>
      </c>
      <c r="D74" s="34" t="s">
        <v>178</v>
      </c>
      <c r="E74" s="34" t="s">
        <v>51</v>
      </c>
      <c r="F74" s="34" t="s">
        <v>376</v>
      </c>
      <c r="G74" s="214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5" t="s">
        <v>59</v>
      </c>
      <c r="B75" s="15" t="s">
        <v>371</v>
      </c>
      <c r="C75" s="16">
        <v>0.44791666666666669</v>
      </c>
      <c r="D75" s="15" t="s">
        <v>61</v>
      </c>
      <c r="E75" s="15" t="s">
        <v>162</v>
      </c>
      <c r="F75" s="15" t="s">
        <v>405</v>
      </c>
      <c r="G75" s="214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7" t="s">
        <v>59</v>
      </c>
      <c r="B76" s="17" t="s">
        <v>371</v>
      </c>
      <c r="C76" s="18">
        <v>0.44791666666666669</v>
      </c>
      <c r="D76" s="17" t="s">
        <v>67</v>
      </c>
      <c r="E76" s="17" t="s">
        <v>173</v>
      </c>
      <c r="F76" s="17" t="s">
        <v>374</v>
      </c>
      <c r="G76" s="214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7" t="s">
        <v>59</v>
      </c>
      <c r="B77" s="17" t="s">
        <v>371</v>
      </c>
      <c r="C77" s="18">
        <v>0.44791666666666669</v>
      </c>
      <c r="D77" s="17" t="s">
        <v>64</v>
      </c>
      <c r="E77" s="17" t="s">
        <v>173</v>
      </c>
      <c r="F77" s="17" t="s">
        <v>406</v>
      </c>
      <c r="G77" s="214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63" t="s">
        <v>76</v>
      </c>
      <c r="B78" s="63" t="s">
        <v>389</v>
      </c>
      <c r="C78" s="64">
        <v>0.72222222222222221</v>
      </c>
      <c r="D78" s="63" t="s">
        <v>178</v>
      </c>
      <c r="E78" s="63" t="s">
        <v>31</v>
      </c>
      <c r="F78" s="63" t="s">
        <v>390</v>
      </c>
      <c r="G78" s="214"/>
      <c r="H78" s="65" t="s">
        <v>391</v>
      </c>
      <c r="I78" s="151">
        <v>0.85</v>
      </c>
      <c r="J78" s="67">
        <v>153</v>
      </c>
      <c r="K78" s="68">
        <v>45984</v>
      </c>
      <c r="L78" s="67">
        <v>26</v>
      </c>
      <c r="M78" s="67">
        <v>8</v>
      </c>
      <c r="N78" s="67">
        <v>2</v>
      </c>
      <c r="O78" s="69" t="s">
        <v>392</v>
      </c>
      <c r="P78" s="70">
        <v>0.72222222222222221</v>
      </c>
      <c r="Q78" s="67">
        <v>180</v>
      </c>
      <c r="R78" s="71" t="s">
        <v>407</v>
      </c>
    </row>
    <row r="79" spans="1:18" ht="15" customHeight="1" x14ac:dyDescent="0.3">
      <c r="A79" s="15" t="s">
        <v>43</v>
      </c>
      <c r="B79" s="15" t="s">
        <v>360</v>
      </c>
      <c r="C79" s="16">
        <v>0.97916666666666663</v>
      </c>
      <c r="D79" s="15" t="s">
        <v>45</v>
      </c>
      <c r="E79" s="15" t="s">
        <v>31</v>
      </c>
      <c r="F79" s="15" t="s">
        <v>379</v>
      </c>
      <c r="G79" s="214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34" t="s">
        <v>43</v>
      </c>
      <c r="B80" s="34" t="s">
        <v>362</v>
      </c>
      <c r="C80" s="35">
        <v>0.69444444444444453</v>
      </c>
      <c r="D80" s="34" t="s">
        <v>45</v>
      </c>
      <c r="E80" s="34" t="s">
        <v>51</v>
      </c>
      <c r="F80" s="34" t="s">
        <v>363</v>
      </c>
      <c r="G80" s="214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34" t="s">
        <v>43</v>
      </c>
      <c r="B81" s="34" t="s">
        <v>380</v>
      </c>
      <c r="C81" s="35">
        <v>0.33680555555555558</v>
      </c>
      <c r="D81" s="34" t="s">
        <v>45</v>
      </c>
      <c r="E81" s="34" t="s">
        <v>51</v>
      </c>
      <c r="F81" s="34" t="s">
        <v>363</v>
      </c>
      <c r="G81" s="214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thickBot="1" x14ac:dyDescent="0.35">
      <c r="A82" s="19" t="s">
        <v>54</v>
      </c>
      <c r="B82" s="19" t="s">
        <v>382</v>
      </c>
      <c r="C82" s="20">
        <v>0.44791666666666669</v>
      </c>
      <c r="D82" s="19" t="s">
        <v>56</v>
      </c>
      <c r="E82" s="19" t="s">
        <v>57</v>
      </c>
      <c r="F82" s="19" t="s">
        <v>408</v>
      </c>
      <c r="G82" s="215"/>
      <c r="H82" s="21"/>
      <c r="I82" s="22"/>
      <c r="J82" s="22"/>
      <c r="K82" s="22"/>
      <c r="L82" s="22"/>
      <c r="M82" s="22"/>
      <c r="N82" s="22"/>
      <c r="O82" s="23"/>
      <c r="P82" s="22"/>
      <c r="Q82" s="24"/>
      <c r="R82" s="25"/>
    </row>
    <row r="83" spans="1:18" ht="17.399999999999999" customHeight="1" thickBot="1" x14ac:dyDescent="0.35">
      <c r="A83" s="221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3"/>
    </row>
    <row r="84" spans="1:18" ht="22.05" customHeight="1" thickTop="1" thickBot="1" x14ac:dyDescent="0.55000000000000004">
      <c r="A84" s="211" t="s">
        <v>8</v>
      </c>
      <c r="B84" s="212"/>
      <c r="C84" s="212"/>
      <c r="D84" s="212"/>
      <c r="E84" s="212"/>
      <c r="F84" s="212"/>
      <c r="G84" s="26">
        <v>45989</v>
      </c>
      <c r="H84" s="219" t="s">
        <v>9</v>
      </c>
      <c r="I84" s="220"/>
      <c r="J84" s="220"/>
      <c r="K84" s="220"/>
      <c r="L84" s="220"/>
      <c r="M84" s="220"/>
      <c r="N84" s="220"/>
      <c r="O84" s="220"/>
      <c r="P84" s="220"/>
      <c r="Q84" s="220"/>
      <c r="R84" s="220"/>
    </row>
    <row r="85" spans="1:18" ht="24" customHeight="1" x14ac:dyDescent="0.3">
      <c r="A85" s="27" t="s">
        <v>10</v>
      </c>
      <c r="B85" s="27" t="s">
        <v>11</v>
      </c>
      <c r="C85" s="28" t="s">
        <v>12</v>
      </c>
      <c r="D85" s="27" t="s">
        <v>13</v>
      </c>
      <c r="E85" s="27" t="s">
        <v>14</v>
      </c>
      <c r="F85" s="29" t="s">
        <v>15</v>
      </c>
      <c r="G85" s="30" t="s">
        <v>16</v>
      </c>
      <c r="H85" s="27" t="s">
        <v>17</v>
      </c>
      <c r="I85" s="31" t="s">
        <v>18</v>
      </c>
      <c r="J85" s="32" t="s">
        <v>19</v>
      </c>
      <c r="K85" s="33" t="s">
        <v>20</v>
      </c>
      <c r="L85" s="32" t="s">
        <v>21</v>
      </c>
      <c r="M85" s="32" t="s">
        <v>22</v>
      </c>
      <c r="N85" s="32" t="s">
        <v>23</v>
      </c>
      <c r="O85" s="27" t="s">
        <v>24</v>
      </c>
      <c r="P85" s="28" t="s">
        <v>25</v>
      </c>
      <c r="Q85" s="32" t="s">
        <v>26</v>
      </c>
      <c r="R85" s="27" t="s">
        <v>27</v>
      </c>
    </row>
    <row r="86" spans="1:18" ht="15" customHeight="1" x14ac:dyDescent="0.3">
      <c r="A86" s="8" t="s">
        <v>33</v>
      </c>
      <c r="B86" s="8" t="s">
        <v>356</v>
      </c>
      <c r="C86" s="9">
        <v>0.97222222222222221</v>
      </c>
      <c r="D86" s="8" t="s">
        <v>35</v>
      </c>
      <c r="E86" s="8" t="s">
        <v>62</v>
      </c>
      <c r="F86" s="8" t="s">
        <v>388</v>
      </c>
      <c r="G86" s="213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7" t="s">
        <v>33</v>
      </c>
      <c r="B87" s="17" t="s">
        <v>356</v>
      </c>
      <c r="C87" s="18">
        <v>0.97222222222222221</v>
      </c>
      <c r="D87" s="17" t="s">
        <v>38</v>
      </c>
      <c r="E87" s="17" t="s">
        <v>65</v>
      </c>
      <c r="F87" s="17" t="s">
        <v>409</v>
      </c>
      <c r="G87" s="214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7" t="s">
        <v>33</v>
      </c>
      <c r="B88" s="17" t="s">
        <v>356</v>
      </c>
      <c r="C88" s="18">
        <v>0.97222222222222221</v>
      </c>
      <c r="D88" s="17" t="s">
        <v>41</v>
      </c>
      <c r="E88" s="17" t="s">
        <v>65</v>
      </c>
      <c r="F88" s="17" t="s">
        <v>410</v>
      </c>
      <c r="G88" s="214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99" t="s">
        <v>76</v>
      </c>
      <c r="B89" s="99" t="s">
        <v>389</v>
      </c>
      <c r="C89" s="100">
        <v>0.38194444444444442</v>
      </c>
      <c r="D89" s="99" t="s">
        <v>178</v>
      </c>
      <c r="E89" s="99" t="s">
        <v>129</v>
      </c>
      <c r="F89" s="99" t="s">
        <v>376</v>
      </c>
      <c r="G89" s="214"/>
      <c r="H89" s="101" t="s">
        <v>391</v>
      </c>
      <c r="I89" s="152">
        <v>0.76670000000000005</v>
      </c>
      <c r="J89" s="103">
        <v>138</v>
      </c>
      <c r="K89" s="104">
        <v>45984</v>
      </c>
      <c r="L89" s="103">
        <v>21</v>
      </c>
      <c r="M89" s="103">
        <v>4</v>
      </c>
      <c r="N89" s="103">
        <v>5</v>
      </c>
      <c r="O89" s="105" t="s">
        <v>411</v>
      </c>
      <c r="P89" s="106">
        <v>0.38194444444444442</v>
      </c>
      <c r="Q89" s="103">
        <v>180</v>
      </c>
      <c r="R89" s="107" t="s">
        <v>412</v>
      </c>
    </row>
    <row r="90" spans="1:18" ht="15" customHeight="1" x14ac:dyDescent="0.3">
      <c r="A90" s="15" t="s">
        <v>59</v>
      </c>
      <c r="B90" s="15" t="s">
        <v>371</v>
      </c>
      <c r="C90" s="16">
        <v>0.44791666666666669</v>
      </c>
      <c r="D90" s="15" t="s">
        <v>61</v>
      </c>
      <c r="E90" s="15" t="s">
        <v>165</v>
      </c>
      <c r="F90" s="15" t="s">
        <v>413</v>
      </c>
      <c r="G90" s="214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7" t="s">
        <v>59</v>
      </c>
      <c r="B91" s="17" t="s">
        <v>371</v>
      </c>
      <c r="C91" s="18">
        <v>0.44791666666666669</v>
      </c>
      <c r="D91" s="17" t="s">
        <v>64</v>
      </c>
      <c r="E91" s="17" t="s">
        <v>166</v>
      </c>
      <c r="F91" s="17" t="s">
        <v>414</v>
      </c>
      <c r="G91" s="214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7" t="s">
        <v>59</v>
      </c>
      <c r="B92" s="17" t="s">
        <v>371</v>
      </c>
      <c r="C92" s="18">
        <v>0.44791666666666669</v>
      </c>
      <c r="D92" s="17" t="s">
        <v>67</v>
      </c>
      <c r="E92" s="17" t="s">
        <v>166</v>
      </c>
      <c r="F92" s="17" t="s">
        <v>398</v>
      </c>
      <c r="G92" s="214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5" t="s">
        <v>102</v>
      </c>
      <c r="B93" s="15" t="s">
        <v>387</v>
      </c>
      <c r="C93" s="16">
        <v>0.96527777777777779</v>
      </c>
      <c r="D93" s="15" t="s">
        <v>178</v>
      </c>
      <c r="E93" s="15" t="s">
        <v>31</v>
      </c>
      <c r="F93" s="15" t="s">
        <v>415</v>
      </c>
      <c r="G93" s="214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5" t="s">
        <v>28</v>
      </c>
      <c r="B94" s="15" t="s">
        <v>375</v>
      </c>
      <c r="C94" s="16">
        <v>0.75694444444444453</v>
      </c>
      <c r="D94" s="15" t="s">
        <v>178</v>
      </c>
      <c r="E94" s="15" t="s">
        <v>31</v>
      </c>
      <c r="F94" s="15" t="s">
        <v>416</v>
      </c>
      <c r="G94" s="214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5" t="s">
        <v>43</v>
      </c>
      <c r="B95" s="15" t="s">
        <v>360</v>
      </c>
      <c r="C95" s="16">
        <v>0.97916666666666663</v>
      </c>
      <c r="D95" s="15" t="s">
        <v>45</v>
      </c>
      <c r="E95" s="15" t="s">
        <v>31</v>
      </c>
      <c r="F95" s="15" t="s">
        <v>363</v>
      </c>
      <c r="G95" s="214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34" t="s">
        <v>43</v>
      </c>
      <c r="B96" s="34" t="s">
        <v>380</v>
      </c>
      <c r="C96" s="35">
        <v>0.3263888888888889</v>
      </c>
      <c r="D96" s="34" t="s">
        <v>45</v>
      </c>
      <c r="E96" s="34" t="s">
        <v>51</v>
      </c>
      <c r="F96" s="34" t="s">
        <v>417</v>
      </c>
      <c r="G96" s="214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thickBot="1" x14ac:dyDescent="0.35">
      <c r="A97" s="19" t="s">
        <v>54</v>
      </c>
      <c r="B97" s="19" t="s">
        <v>382</v>
      </c>
      <c r="C97" s="20">
        <v>0.44791666666666669</v>
      </c>
      <c r="D97" s="19" t="s">
        <v>56</v>
      </c>
      <c r="E97" s="19" t="s">
        <v>57</v>
      </c>
      <c r="F97" s="19" t="s">
        <v>408</v>
      </c>
      <c r="G97" s="215"/>
      <c r="H97" s="21"/>
      <c r="I97" s="22"/>
      <c r="J97" s="22"/>
      <c r="K97" s="22"/>
      <c r="L97" s="22"/>
      <c r="M97" s="22"/>
      <c r="N97" s="22"/>
      <c r="O97" s="23"/>
      <c r="P97" s="22"/>
      <c r="Q97" s="24"/>
      <c r="R97" s="25"/>
    </row>
    <row r="98" spans="1:18" ht="17.399999999999999" customHeight="1" thickBot="1" x14ac:dyDescent="0.35">
      <c r="A98" s="221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3"/>
    </row>
    <row r="99" spans="1:18" ht="22.05" customHeight="1" thickTop="1" thickBot="1" x14ac:dyDescent="0.55000000000000004">
      <c r="A99" s="211" t="s">
        <v>8</v>
      </c>
      <c r="B99" s="212"/>
      <c r="C99" s="212"/>
      <c r="D99" s="212"/>
      <c r="E99" s="212"/>
      <c r="F99" s="212"/>
      <c r="G99" s="26">
        <v>45990</v>
      </c>
      <c r="H99" s="219" t="s">
        <v>9</v>
      </c>
      <c r="I99" s="220"/>
      <c r="J99" s="220"/>
      <c r="K99" s="220"/>
      <c r="L99" s="220"/>
      <c r="M99" s="220"/>
      <c r="N99" s="220"/>
      <c r="O99" s="220"/>
      <c r="P99" s="220"/>
      <c r="Q99" s="220"/>
      <c r="R99" s="220"/>
    </row>
    <row r="100" spans="1:18" ht="24" customHeight="1" x14ac:dyDescent="0.3">
      <c r="A100" s="27" t="s">
        <v>10</v>
      </c>
      <c r="B100" s="27" t="s">
        <v>11</v>
      </c>
      <c r="C100" s="28" t="s">
        <v>12</v>
      </c>
      <c r="D100" s="27" t="s">
        <v>13</v>
      </c>
      <c r="E100" s="27" t="s">
        <v>14</v>
      </c>
      <c r="F100" s="29" t="s">
        <v>15</v>
      </c>
      <c r="G100" s="30" t="s">
        <v>16</v>
      </c>
      <c r="H100" s="27" t="s">
        <v>17</v>
      </c>
      <c r="I100" s="31" t="s">
        <v>18</v>
      </c>
      <c r="J100" s="32" t="s">
        <v>19</v>
      </c>
      <c r="K100" s="33" t="s">
        <v>20</v>
      </c>
      <c r="L100" s="32" t="s">
        <v>21</v>
      </c>
      <c r="M100" s="32" t="s">
        <v>22</v>
      </c>
      <c r="N100" s="32" t="s">
        <v>23</v>
      </c>
      <c r="O100" s="27" t="s">
        <v>24</v>
      </c>
      <c r="P100" s="28" t="s">
        <v>25</v>
      </c>
      <c r="Q100" s="32" t="s">
        <v>26</v>
      </c>
      <c r="R100" s="27" t="s">
        <v>27</v>
      </c>
    </row>
    <row r="101" spans="1:18" ht="15" customHeight="1" x14ac:dyDescent="0.3">
      <c r="A101" s="8" t="s">
        <v>33</v>
      </c>
      <c r="B101" s="8" t="s">
        <v>364</v>
      </c>
      <c r="C101" s="9">
        <v>0.33680555555555558</v>
      </c>
      <c r="D101" s="8" t="s">
        <v>35</v>
      </c>
      <c r="E101" s="8" t="s">
        <v>78</v>
      </c>
      <c r="F101" s="8" t="s">
        <v>388</v>
      </c>
      <c r="G101" s="213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7" t="s">
        <v>33</v>
      </c>
      <c r="B102" s="17" t="s">
        <v>364</v>
      </c>
      <c r="C102" s="18">
        <v>0.33680555555555558</v>
      </c>
      <c r="D102" s="17" t="s">
        <v>38</v>
      </c>
      <c r="E102" s="17" t="s">
        <v>140</v>
      </c>
      <c r="F102" s="17" t="s">
        <v>409</v>
      </c>
      <c r="G102" s="214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7" t="s">
        <v>33</v>
      </c>
      <c r="B103" s="17" t="s">
        <v>364</v>
      </c>
      <c r="C103" s="18">
        <v>0.33680555555555558</v>
      </c>
      <c r="D103" s="17" t="s">
        <v>41</v>
      </c>
      <c r="E103" s="17" t="s">
        <v>140</v>
      </c>
      <c r="F103" s="17" t="s">
        <v>410</v>
      </c>
      <c r="G103" s="214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34" t="s">
        <v>33</v>
      </c>
      <c r="B104" s="34" t="s">
        <v>356</v>
      </c>
      <c r="C104" s="35">
        <v>0.97222222222222221</v>
      </c>
      <c r="D104" s="34" t="s">
        <v>35</v>
      </c>
      <c r="E104" s="34" t="s">
        <v>401</v>
      </c>
      <c r="F104" s="34" t="s">
        <v>418</v>
      </c>
      <c r="G104" s="214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7" t="s">
        <v>33</v>
      </c>
      <c r="B105" s="17" t="s">
        <v>356</v>
      </c>
      <c r="C105" s="18">
        <v>0.97222222222222221</v>
      </c>
      <c r="D105" s="17" t="s">
        <v>38</v>
      </c>
      <c r="E105" s="17" t="s">
        <v>399</v>
      </c>
      <c r="F105" s="17" t="s">
        <v>419</v>
      </c>
      <c r="G105" s="214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7" t="s">
        <v>33</v>
      </c>
      <c r="B106" s="17" t="s">
        <v>356</v>
      </c>
      <c r="C106" s="18">
        <v>0.97222222222222221</v>
      </c>
      <c r="D106" s="17" t="s">
        <v>41</v>
      </c>
      <c r="E106" s="17" t="s">
        <v>399</v>
      </c>
      <c r="F106" s="17" t="s">
        <v>420</v>
      </c>
      <c r="G106" s="214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5" t="s">
        <v>28</v>
      </c>
      <c r="B107" s="15" t="s">
        <v>421</v>
      </c>
      <c r="C107" s="16">
        <v>0.96180555555555547</v>
      </c>
      <c r="D107" s="15" t="s">
        <v>178</v>
      </c>
      <c r="E107" s="15" t="s">
        <v>31</v>
      </c>
      <c r="F107" s="15" t="s">
        <v>376</v>
      </c>
      <c r="G107" s="214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34" t="s">
        <v>28</v>
      </c>
      <c r="B108" s="34" t="s">
        <v>386</v>
      </c>
      <c r="C108" s="35">
        <v>0.69444444444444453</v>
      </c>
      <c r="D108" s="34" t="s">
        <v>178</v>
      </c>
      <c r="E108" s="34" t="s">
        <v>157</v>
      </c>
      <c r="F108" s="34" t="s">
        <v>376</v>
      </c>
      <c r="G108" s="214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5" t="s">
        <v>59</v>
      </c>
      <c r="B109" s="15" t="s">
        <v>371</v>
      </c>
      <c r="C109" s="16">
        <v>0.44791666666666669</v>
      </c>
      <c r="D109" s="15" t="s">
        <v>61</v>
      </c>
      <c r="E109" s="15" t="s">
        <v>162</v>
      </c>
      <c r="F109" s="15" t="s">
        <v>413</v>
      </c>
      <c r="G109" s="214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17" t="s">
        <v>59</v>
      </c>
      <c r="B110" s="17" t="s">
        <v>371</v>
      </c>
      <c r="C110" s="18">
        <v>0.44791666666666669</v>
      </c>
      <c r="D110" s="17" t="s">
        <v>64</v>
      </c>
      <c r="E110" s="17" t="s">
        <v>173</v>
      </c>
      <c r="F110" s="17" t="s">
        <v>414</v>
      </c>
      <c r="G110" s="214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17" t="s">
        <v>59</v>
      </c>
      <c r="B111" s="17" t="s">
        <v>371</v>
      </c>
      <c r="C111" s="18">
        <v>0.44791666666666669</v>
      </c>
      <c r="D111" s="17" t="s">
        <v>67</v>
      </c>
      <c r="E111" s="17" t="s">
        <v>173</v>
      </c>
      <c r="F111" s="17" t="s">
        <v>398</v>
      </c>
      <c r="G111" s="214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90" t="s">
        <v>76</v>
      </c>
      <c r="B112" s="90" t="s">
        <v>389</v>
      </c>
      <c r="C112" s="91">
        <v>0.72222222222222221</v>
      </c>
      <c r="D112" s="90" t="s">
        <v>178</v>
      </c>
      <c r="E112" s="90" t="s">
        <v>31</v>
      </c>
      <c r="F112" s="90" t="s">
        <v>422</v>
      </c>
      <c r="G112" s="214"/>
      <c r="H112" s="92" t="s">
        <v>391</v>
      </c>
      <c r="I112" s="153">
        <v>0.69440000000000002</v>
      </c>
      <c r="J112" s="94">
        <v>125</v>
      </c>
      <c r="K112" s="95">
        <v>45981</v>
      </c>
      <c r="L112" s="94">
        <v>14</v>
      </c>
      <c r="M112" s="94">
        <v>0</v>
      </c>
      <c r="N112" s="94">
        <v>0</v>
      </c>
      <c r="O112" s="96" t="s">
        <v>423</v>
      </c>
      <c r="P112" s="97">
        <v>0.72222222222222221</v>
      </c>
      <c r="Q112" s="94">
        <v>180</v>
      </c>
      <c r="R112" s="98" t="s">
        <v>424</v>
      </c>
    </row>
    <row r="113" spans="1:18" ht="15" customHeight="1" x14ac:dyDescent="0.3">
      <c r="A113" s="15" t="s">
        <v>120</v>
      </c>
      <c r="B113" s="15" t="s">
        <v>425</v>
      </c>
      <c r="C113" s="16">
        <v>0.74652777777777779</v>
      </c>
      <c r="D113" s="15" t="s">
        <v>122</v>
      </c>
      <c r="E113" s="15" t="s">
        <v>36</v>
      </c>
      <c r="F113" s="15" t="s">
        <v>426</v>
      </c>
      <c r="G113" s="214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7" t="s">
        <v>120</v>
      </c>
      <c r="B114" s="17" t="s">
        <v>425</v>
      </c>
      <c r="C114" s="18">
        <v>0.74652777777777779</v>
      </c>
      <c r="D114" s="17" t="s">
        <v>67</v>
      </c>
      <c r="E114" s="17" t="s">
        <v>39</v>
      </c>
      <c r="F114" s="17" t="s">
        <v>427</v>
      </c>
      <c r="G114" s="214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thickBot="1" x14ac:dyDescent="0.35">
      <c r="A115" s="19" t="s">
        <v>54</v>
      </c>
      <c r="B115" s="19" t="s">
        <v>382</v>
      </c>
      <c r="C115" s="20">
        <v>0.44791666666666669</v>
      </c>
      <c r="D115" s="19" t="s">
        <v>56</v>
      </c>
      <c r="E115" s="19" t="s">
        <v>57</v>
      </c>
      <c r="F115" s="19" t="s">
        <v>428</v>
      </c>
      <c r="G115" s="215"/>
      <c r="H115" s="21"/>
      <c r="I115" s="22"/>
      <c r="J115" s="22"/>
      <c r="K115" s="22"/>
      <c r="L115" s="22"/>
      <c r="M115" s="22"/>
      <c r="N115" s="22"/>
      <c r="O115" s="23"/>
      <c r="P115" s="22"/>
      <c r="Q115" s="24"/>
      <c r="R115" s="25"/>
    </row>
    <row r="116" spans="1:18" ht="17.399999999999999" customHeight="1" thickBot="1" x14ac:dyDescent="0.35">
      <c r="A116" s="221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3"/>
    </row>
    <row r="117" spans="1:18" ht="22.05" customHeight="1" thickTop="1" thickBot="1" x14ac:dyDescent="0.55000000000000004">
      <c r="A117" s="211" t="s">
        <v>8</v>
      </c>
      <c r="B117" s="212"/>
      <c r="C117" s="212"/>
      <c r="D117" s="212"/>
      <c r="E117" s="212"/>
      <c r="F117" s="212"/>
      <c r="G117" s="26">
        <v>45991</v>
      </c>
      <c r="H117" s="219" t="s">
        <v>9</v>
      </c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</row>
    <row r="118" spans="1:18" ht="24" customHeight="1" x14ac:dyDescent="0.3">
      <c r="A118" s="27" t="s">
        <v>10</v>
      </c>
      <c r="B118" s="27" t="s">
        <v>11</v>
      </c>
      <c r="C118" s="28" t="s">
        <v>12</v>
      </c>
      <c r="D118" s="27" t="s">
        <v>13</v>
      </c>
      <c r="E118" s="27" t="s">
        <v>14</v>
      </c>
      <c r="F118" s="29" t="s">
        <v>15</v>
      </c>
      <c r="G118" s="30" t="s">
        <v>16</v>
      </c>
      <c r="H118" s="27" t="s">
        <v>17</v>
      </c>
      <c r="I118" s="31" t="s">
        <v>18</v>
      </c>
      <c r="J118" s="32" t="s">
        <v>19</v>
      </c>
      <c r="K118" s="33" t="s">
        <v>20</v>
      </c>
      <c r="L118" s="32" t="s">
        <v>21</v>
      </c>
      <c r="M118" s="32" t="s">
        <v>22</v>
      </c>
      <c r="N118" s="32" t="s">
        <v>23</v>
      </c>
      <c r="O118" s="27" t="s">
        <v>24</v>
      </c>
      <c r="P118" s="28" t="s">
        <v>25</v>
      </c>
      <c r="Q118" s="32" t="s">
        <v>26</v>
      </c>
      <c r="R118" s="27" t="s">
        <v>27</v>
      </c>
    </row>
    <row r="119" spans="1:18" ht="15" customHeight="1" x14ac:dyDescent="0.3">
      <c r="A119" s="8" t="s">
        <v>102</v>
      </c>
      <c r="B119" s="8" t="s">
        <v>402</v>
      </c>
      <c r="C119" s="9">
        <v>0.92013888888888884</v>
      </c>
      <c r="D119" s="8" t="s">
        <v>178</v>
      </c>
      <c r="E119" s="8" t="s">
        <v>94</v>
      </c>
      <c r="F119" s="8" t="s">
        <v>403</v>
      </c>
      <c r="G119" s="213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34" t="s">
        <v>102</v>
      </c>
      <c r="B120" s="34" t="s">
        <v>404</v>
      </c>
      <c r="C120" s="35">
        <v>6.9444444444444441E-3</v>
      </c>
      <c r="D120" s="34" t="s">
        <v>178</v>
      </c>
      <c r="E120" s="34" t="s">
        <v>378</v>
      </c>
      <c r="F120" s="34" t="s">
        <v>429</v>
      </c>
      <c r="G120" s="214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5" t="s">
        <v>28</v>
      </c>
      <c r="B121" s="15" t="s">
        <v>354</v>
      </c>
      <c r="C121" s="16">
        <v>0.75694444444444453</v>
      </c>
      <c r="D121" s="15" t="s">
        <v>178</v>
      </c>
      <c r="E121" s="15" t="s">
        <v>78</v>
      </c>
      <c r="F121" s="15" t="s">
        <v>355</v>
      </c>
      <c r="G121" s="214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x14ac:dyDescent="0.3">
      <c r="A122" s="34" t="s">
        <v>28</v>
      </c>
      <c r="B122" s="34" t="s">
        <v>430</v>
      </c>
      <c r="C122" s="35">
        <v>0.4826388888888889</v>
      </c>
      <c r="D122" s="34" t="s">
        <v>178</v>
      </c>
      <c r="E122" s="34" t="s">
        <v>51</v>
      </c>
      <c r="F122" s="34" t="s">
        <v>355</v>
      </c>
      <c r="G122" s="214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</row>
    <row r="123" spans="1:18" ht="15" customHeight="1" x14ac:dyDescent="0.3">
      <c r="A123" s="15" t="s">
        <v>33</v>
      </c>
      <c r="B123" s="15" t="s">
        <v>356</v>
      </c>
      <c r="C123" s="16">
        <v>0.97222222222222221</v>
      </c>
      <c r="D123" s="15" t="s">
        <v>35</v>
      </c>
      <c r="E123" s="15" t="s">
        <v>36</v>
      </c>
      <c r="F123" s="15" t="s">
        <v>388</v>
      </c>
      <c r="G123" s="214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</row>
    <row r="124" spans="1:18" ht="15" customHeight="1" x14ac:dyDescent="0.3">
      <c r="A124" s="17" t="s">
        <v>33</v>
      </c>
      <c r="B124" s="17" t="s">
        <v>356</v>
      </c>
      <c r="C124" s="18">
        <v>0.97222222222222221</v>
      </c>
      <c r="D124" s="17" t="s">
        <v>38</v>
      </c>
      <c r="E124" s="17" t="s">
        <v>39</v>
      </c>
      <c r="F124" s="17" t="s">
        <v>409</v>
      </c>
      <c r="G124" s="214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</row>
    <row r="125" spans="1:18" ht="15" customHeight="1" x14ac:dyDescent="0.3">
      <c r="A125" s="17" t="s">
        <v>33</v>
      </c>
      <c r="B125" s="17" t="s">
        <v>356</v>
      </c>
      <c r="C125" s="18">
        <v>0.97222222222222221</v>
      </c>
      <c r="D125" s="17" t="s">
        <v>41</v>
      </c>
      <c r="E125" s="17" t="s">
        <v>39</v>
      </c>
      <c r="F125" s="17" t="s">
        <v>410</v>
      </c>
      <c r="G125" s="214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</row>
    <row r="126" spans="1:18" ht="15" customHeight="1" x14ac:dyDescent="0.3">
      <c r="A126" s="15" t="s">
        <v>59</v>
      </c>
      <c r="B126" s="15" t="s">
        <v>371</v>
      </c>
      <c r="C126" s="16">
        <v>0.44791666666666669</v>
      </c>
      <c r="D126" s="15" t="s">
        <v>61</v>
      </c>
      <c r="E126" s="15" t="s">
        <v>89</v>
      </c>
      <c r="F126" s="15" t="s">
        <v>413</v>
      </c>
      <c r="G126" s="214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17" t="s">
        <v>59</v>
      </c>
      <c r="B127" s="17" t="s">
        <v>371</v>
      </c>
      <c r="C127" s="18">
        <v>0.44791666666666669</v>
      </c>
      <c r="D127" s="17" t="s">
        <v>64</v>
      </c>
      <c r="E127" s="17" t="s">
        <v>431</v>
      </c>
      <c r="F127" s="17" t="s">
        <v>414</v>
      </c>
      <c r="G127" s="214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7" t="s">
        <v>59</v>
      </c>
      <c r="B128" s="17" t="s">
        <v>371</v>
      </c>
      <c r="C128" s="18">
        <v>0.44791666666666669</v>
      </c>
      <c r="D128" s="17" t="s">
        <v>67</v>
      </c>
      <c r="E128" s="17" t="s">
        <v>431</v>
      </c>
      <c r="F128" s="17" t="s">
        <v>398</v>
      </c>
      <c r="G128" s="214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5" t="s">
        <v>54</v>
      </c>
      <c r="B129" s="15" t="s">
        <v>382</v>
      </c>
      <c r="C129" s="16">
        <v>0.44791666666666669</v>
      </c>
      <c r="D129" s="15" t="s">
        <v>56</v>
      </c>
      <c r="E129" s="15" t="s">
        <v>57</v>
      </c>
      <c r="F129" s="15" t="s">
        <v>408</v>
      </c>
      <c r="G129" s="214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5" t="s">
        <v>43</v>
      </c>
      <c r="B130" s="15" t="s">
        <v>362</v>
      </c>
      <c r="C130" s="16">
        <v>0.67361111111111116</v>
      </c>
      <c r="D130" s="15" t="s">
        <v>45</v>
      </c>
      <c r="E130" s="15" t="s">
        <v>129</v>
      </c>
      <c r="F130" s="15" t="s">
        <v>432</v>
      </c>
      <c r="G130" s="214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thickBot="1" x14ac:dyDescent="0.35">
      <c r="A131" s="139" t="s">
        <v>43</v>
      </c>
      <c r="B131" s="139" t="s">
        <v>360</v>
      </c>
      <c r="C131" s="140">
        <v>0.97916666666666663</v>
      </c>
      <c r="D131" s="139" t="s">
        <v>45</v>
      </c>
      <c r="E131" s="139" t="s">
        <v>401</v>
      </c>
      <c r="F131" s="139" t="s">
        <v>432</v>
      </c>
      <c r="G131" s="215"/>
      <c r="H131" s="21"/>
      <c r="I131" s="22"/>
      <c r="J131" s="22"/>
      <c r="K131" s="22"/>
      <c r="L131" s="22"/>
      <c r="M131" s="22"/>
      <c r="N131" s="22"/>
      <c r="O131" s="23"/>
      <c r="P131" s="22"/>
      <c r="Q131" s="24"/>
      <c r="R131" s="25"/>
    </row>
    <row r="132" spans="1:18" ht="17.399999999999999" customHeight="1" thickBot="1" x14ac:dyDescent="0.35">
      <c r="A132" s="221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3"/>
    </row>
    <row r="133" spans="1:18" ht="22.05" customHeight="1" thickTop="1" thickBot="1" x14ac:dyDescent="0.55000000000000004">
      <c r="A133" s="211" t="s">
        <v>8</v>
      </c>
      <c r="B133" s="212"/>
      <c r="C133" s="212"/>
      <c r="D133" s="212"/>
      <c r="E133" s="212"/>
      <c r="F133" s="212"/>
      <c r="G133" s="26">
        <v>45992</v>
      </c>
      <c r="H133" s="219" t="s">
        <v>9</v>
      </c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</row>
    <row r="134" spans="1:18" ht="24" customHeight="1" x14ac:dyDescent="0.3">
      <c r="A134" s="27" t="s">
        <v>10</v>
      </c>
      <c r="B134" s="27" t="s">
        <v>11</v>
      </c>
      <c r="C134" s="28" t="s">
        <v>12</v>
      </c>
      <c r="D134" s="27" t="s">
        <v>13</v>
      </c>
      <c r="E134" s="27" t="s">
        <v>14</v>
      </c>
      <c r="F134" s="29" t="s">
        <v>15</v>
      </c>
      <c r="G134" s="30" t="s">
        <v>16</v>
      </c>
      <c r="H134" s="27" t="s">
        <v>17</v>
      </c>
      <c r="I134" s="31" t="s">
        <v>18</v>
      </c>
      <c r="J134" s="32" t="s">
        <v>19</v>
      </c>
      <c r="K134" s="33" t="s">
        <v>20</v>
      </c>
      <c r="L134" s="32" t="s">
        <v>21</v>
      </c>
      <c r="M134" s="32" t="s">
        <v>22</v>
      </c>
      <c r="N134" s="32" t="s">
        <v>23</v>
      </c>
      <c r="O134" s="27" t="s">
        <v>24</v>
      </c>
      <c r="P134" s="28" t="s">
        <v>25</v>
      </c>
      <c r="Q134" s="32" t="s">
        <v>26</v>
      </c>
      <c r="R134" s="27" t="s">
        <v>27</v>
      </c>
    </row>
    <row r="135" spans="1:18" ht="15" customHeight="1" x14ac:dyDescent="0.3">
      <c r="A135" s="8" t="s">
        <v>59</v>
      </c>
      <c r="B135" s="8" t="s">
        <v>371</v>
      </c>
      <c r="C135" s="9">
        <v>0.44791666666666669</v>
      </c>
      <c r="D135" s="8" t="s">
        <v>61</v>
      </c>
      <c r="E135" s="8" t="s">
        <v>433</v>
      </c>
      <c r="F135" s="8" t="s">
        <v>384</v>
      </c>
      <c r="G135" s="233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17" t="s">
        <v>59</v>
      </c>
      <c r="B136" s="17" t="s">
        <v>371</v>
      </c>
      <c r="C136" s="18">
        <v>0.44791666666666669</v>
      </c>
      <c r="D136" s="17" t="s">
        <v>64</v>
      </c>
      <c r="E136" s="17" t="s">
        <v>434</v>
      </c>
      <c r="F136" s="17" t="s">
        <v>369</v>
      </c>
      <c r="G136" s="214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7" t="s">
        <v>59</v>
      </c>
      <c r="B137" s="17" t="s">
        <v>371</v>
      </c>
      <c r="C137" s="18">
        <v>0.44791666666666669</v>
      </c>
      <c r="D137" s="17" t="s">
        <v>67</v>
      </c>
      <c r="E137" s="17" t="s">
        <v>434</v>
      </c>
      <c r="F137" s="17" t="s">
        <v>385</v>
      </c>
      <c r="G137" s="214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5" t="s">
        <v>28</v>
      </c>
      <c r="B138" s="15" t="s">
        <v>375</v>
      </c>
      <c r="C138" s="16">
        <v>0.75694444444444453</v>
      </c>
      <c r="D138" s="15" t="s">
        <v>178</v>
      </c>
      <c r="E138" s="15" t="s">
        <v>31</v>
      </c>
      <c r="F138" s="15" t="s">
        <v>355</v>
      </c>
      <c r="G138" s="214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15" t="s">
        <v>33</v>
      </c>
      <c r="B139" s="15" t="s">
        <v>356</v>
      </c>
      <c r="C139" s="16">
        <v>0.97222222222222221</v>
      </c>
      <c r="D139" s="15" t="s">
        <v>35</v>
      </c>
      <c r="E139" s="15" t="s">
        <v>62</v>
      </c>
      <c r="F139" s="15" t="s">
        <v>388</v>
      </c>
      <c r="G139" s="214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7" t="s">
        <v>33</v>
      </c>
      <c r="B140" s="17" t="s">
        <v>356</v>
      </c>
      <c r="C140" s="18">
        <v>0.97222222222222221</v>
      </c>
      <c r="D140" s="17" t="s">
        <v>38</v>
      </c>
      <c r="E140" s="17" t="s">
        <v>65</v>
      </c>
      <c r="F140" s="17" t="s">
        <v>409</v>
      </c>
      <c r="G140" s="214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7" t="s">
        <v>33</v>
      </c>
      <c r="B141" s="17" t="s">
        <v>356</v>
      </c>
      <c r="C141" s="18">
        <v>0.97222222222222221</v>
      </c>
      <c r="D141" s="17" t="s">
        <v>41</v>
      </c>
      <c r="E141" s="17" t="s">
        <v>65</v>
      </c>
      <c r="F141" s="17" t="s">
        <v>410</v>
      </c>
      <c r="G141" s="214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34" t="s">
        <v>33</v>
      </c>
      <c r="B142" s="34" t="s">
        <v>364</v>
      </c>
      <c r="C142" s="35">
        <v>0.33680555555555558</v>
      </c>
      <c r="D142" s="34" t="s">
        <v>35</v>
      </c>
      <c r="E142" s="34" t="s">
        <v>381</v>
      </c>
      <c r="F142" s="34" t="s">
        <v>388</v>
      </c>
      <c r="G142" s="214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7" t="s">
        <v>33</v>
      </c>
      <c r="B143" s="17" t="s">
        <v>364</v>
      </c>
      <c r="C143" s="18">
        <v>0.33680555555555558</v>
      </c>
      <c r="D143" s="17" t="s">
        <v>38</v>
      </c>
      <c r="E143" s="17" t="s">
        <v>431</v>
      </c>
      <c r="F143" s="17" t="s">
        <v>409</v>
      </c>
      <c r="G143" s="214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7" t="s">
        <v>33</v>
      </c>
      <c r="B144" s="17" t="s">
        <v>364</v>
      </c>
      <c r="C144" s="18">
        <v>0.33680555555555558</v>
      </c>
      <c r="D144" s="17" t="s">
        <v>41</v>
      </c>
      <c r="E144" s="17" t="s">
        <v>431</v>
      </c>
      <c r="F144" s="17" t="s">
        <v>410</v>
      </c>
      <c r="G144" s="214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15" t="s">
        <v>54</v>
      </c>
      <c r="B145" s="15" t="s">
        <v>382</v>
      </c>
      <c r="C145" s="16">
        <v>0.44791666666666669</v>
      </c>
      <c r="D145" s="15" t="s">
        <v>56</v>
      </c>
      <c r="E145" s="15" t="s">
        <v>57</v>
      </c>
      <c r="F145" s="15" t="s">
        <v>383</v>
      </c>
      <c r="G145" s="214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43</v>
      </c>
      <c r="B146" s="15" t="s">
        <v>362</v>
      </c>
      <c r="C146" s="16">
        <v>0.67361111111111116</v>
      </c>
      <c r="D146" s="15" t="s">
        <v>45</v>
      </c>
      <c r="E146" s="15" t="s">
        <v>31</v>
      </c>
      <c r="F146" s="15" t="s">
        <v>379</v>
      </c>
      <c r="G146" s="214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34" t="s">
        <v>43</v>
      </c>
      <c r="B147" s="34" t="s">
        <v>360</v>
      </c>
      <c r="C147" s="35">
        <v>0.97916666666666663</v>
      </c>
      <c r="D147" s="34" t="s">
        <v>45</v>
      </c>
      <c r="E147" s="34" t="s">
        <v>51</v>
      </c>
      <c r="F147" s="34" t="s">
        <v>379</v>
      </c>
      <c r="G147" s="214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thickBot="1" x14ac:dyDescent="0.35">
      <c r="A148" s="139" t="s">
        <v>43</v>
      </c>
      <c r="B148" s="139" t="s">
        <v>380</v>
      </c>
      <c r="C148" s="140">
        <v>0.33680555555555558</v>
      </c>
      <c r="D148" s="139" t="s">
        <v>45</v>
      </c>
      <c r="E148" s="139" t="s">
        <v>51</v>
      </c>
      <c r="F148" s="139" t="s">
        <v>379</v>
      </c>
      <c r="G148" s="215"/>
      <c r="H148" s="21"/>
      <c r="I148" s="22"/>
      <c r="J148" s="22"/>
      <c r="K148" s="22"/>
      <c r="L148" s="22"/>
      <c r="M148" s="22"/>
      <c r="N148" s="22"/>
      <c r="O148" s="23"/>
      <c r="P148" s="22"/>
      <c r="Q148" s="24"/>
      <c r="R148" s="25"/>
    </row>
    <row r="149" spans="1:18" ht="17.399999999999999" customHeight="1" thickBot="1" x14ac:dyDescent="0.35">
      <c r="A149" s="221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3"/>
    </row>
    <row r="150" spans="1:18" ht="22.05" customHeight="1" thickTop="1" thickBot="1" x14ac:dyDescent="0.55000000000000004">
      <c r="A150" s="211" t="s">
        <v>8</v>
      </c>
      <c r="B150" s="212"/>
      <c r="C150" s="212"/>
      <c r="D150" s="212"/>
      <c r="E150" s="212"/>
      <c r="F150" s="212"/>
      <c r="G150" s="26">
        <v>45993</v>
      </c>
      <c r="H150" s="219" t="s">
        <v>9</v>
      </c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</row>
    <row r="151" spans="1:18" ht="24" customHeight="1" x14ac:dyDescent="0.3">
      <c r="A151" s="27" t="s">
        <v>10</v>
      </c>
      <c r="B151" s="27" t="s">
        <v>11</v>
      </c>
      <c r="C151" s="28" t="s">
        <v>12</v>
      </c>
      <c r="D151" s="27" t="s">
        <v>13</v>
      </c>
      <c r="E151" s="27" t="s">
        <v>14</v>
      </c>
      <c r="F151" s="29" t="s">
        <v>15</v>
      </c>
      <c r="G151" s="30" t="s">
        <v>16</v>
      </c>
      <c r="H151" s="27" t="s">
        <v>17</v>
      </c>
      <c r="I151" s="31" t="s">
        <v>18</v>
      </c>
      <c r="J151" s="32" t="s">
        <v>19</v>
      </c>
      <c r="K151" s="33" t="s">
        <v>20</v>
      </c>
      <c r="L151" s="32" t="s">
        <v>21</v>
      </c>
      <c r="M151" s="32" t="s">
        <v>22</v>
      </c>
      <c r="N151" s="32" t="s">
        <v>23</v>
      </c>
      <c r="O151" s="27" t="s">
        <v>24</v>
      </c>
      <c r="P151" s="28" t="s">
        <v>25</v>
      </c>
      <c r="Q151" s="32" t="s">
        <v>26</v>
      </c>
      <c r="R151" s="27" t="s">
        <v>27</v>
      </c>
    </row>
    <row r="152" spans="1:18" ht="15" customHeight="1" x14ac:dyDescent="0.3">
      <c r="A152" s="8" t="s">
        <v>33</v>
      </c>
      <c r="B152" s="8" t="s">
        <v>356</v>
      </c>
      <c r="C152" s="9">
        <v>0.97222222222222221</v>
      </c>
      <c r="D152" s="8" t="s">
        <v>35</v>
      </c>
      <c r="E152" s="8" t="s">
        <v>62</v>
      </c>
      <c r="F152" s="8" t="s">
        <v>435</v>
      </c>
      <c r="G152" s="213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17" t="s">
        <v>33</v>
      </c>
      <c r="B153" s="17" t="s">
        <v>356</v>
      </c>
      <c r="C153" s="18">
        <v>0.97222222222222221</v>
      </c>
      <c r="D153" s="17" t="s">
        <v>38</v>
      </c>
      <c r="E153" s="17" t="s">
        <v>65</v>
      </c>
      <c r="F153" s="17" t="s">
        <v>436</v>
      </c>
      <c r="G153" s="214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17" t="s">
        <v>33</v>
      </c>
      <c r="B154" s="17" t="s">
        <v>356</v>
      </c>
      <c r="C154" s="18">
        <v>0.97222222222222221</v>
      </c>
      <c r="D154" s="17" t="s">
        <v>41</v>
      </c>
      <c r="E154" s="17" t="s">
        <v>65</v>
      </c>
      <c r="F154" s="17" t="s">
        <v>437</v>
      </c>
      <c r="G154" s="214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34" t="s">
        <v>33</v>
      </c>
      <c r="B155" s="34" t="s">
        <v>364</v>
      </c>
      <c r="C155" s="35">
        <v>0.33680555555555558</v>
      </c>
      <c r="D155" s="34" t="s">
        <v>35</v>
      </c>
      <c r="E155" s="34" t="s">
        <v>152</v>
      </c>
      <c r="F155" s="34" t="s">
        <v>438</v>
      </c>
      <c r="G155" s="214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x14ac:dyDescent="0.3">
      <c r="A156" s="17" t="s">
        <v>33</v>
      </c>
      <c r="B156" s="17" t="s">
        <v>364</v>
      </c>
      <c r="C156" s="18">
        <v>0.33680555555555558</v>
      </c>
      <c r="D156" s="17" t="s">
        <v>38</v>
      </c>
      <c r="E156" s="17" t="s">
        <v>119</v>
      </c>
      <c r="F156" s="17" t="s">
        <v>365</v>
      </c>
      <c r="G156" s="214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17" t="s">
        <v>33</v>
      </c>
      <c r="B157" s="17" t="s">
        <v>364</v>
      </c>
      <c r="C157" s="18">
        <v>0.33680555555555558</v>
      </c>
      <c r="D157" s="17" t="s">
        <v>41</v>
      </c>
      <c r="E157" s="17" t="s">
        <v>119</v>
      </c>
      <c r="F157" s="17" t="s">
        <v>439</v>
      </c>
      <c r="G157" s="214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15" t="s">
        <v>59</v>
      </c>
      <c r="B158" s="15" t="s">
        <v>371</v>
      </c>
      <c r="C158" s="16">
        <v>0.44791666666666669</v>
      </c>
      <c r="D158" s="15" t="s">
        <v>61</v>
      </c>
      <c r="E158" s="15" t="s">
        <v>78</v>
      </c>
      <c r="F158" s="15" t="s">
        <v>440</v>
      </c>
      <c r="G158" s="214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17" t="s">
        <v>59</v>
      </c>
      <c r="B159" s="17" t="s">
        <v>371</v>
      </c>
      <c r="C159" s="18">
        <v>0.44791666666666669</v>
      </c>
      <c r="D159" s="17" t="s">
        <v>64</v>
      </c>
      <c r="E159" s="17" t="s">
        <v>140</v>
      </c>
      <c r="F159" s="17" t="s">
        <v>437</v>
      </c>
      <c r="G159" s="214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17" t="s">
        <v>59</v>
      </c>
      <c r="B160" s="17" t="s">
        <v>371</v>
      </c>
      <c r="C160" s="18">
        <v>0.44791666666666669</v>
      </c>
      <c r="D160" s="17" t="s">
        <v>67</v>
      </c>
      <c r="E160" s="17" t="s">
        <v>140</v>
      </c>
      <c r="F160" s="17" t="s">
        <v>374</v>
      </c>
      <c r="G160" s="214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72" t="s">
        <v>76</v>
      </c>
      <c r="B161" s="72" t="s">
        <v>389</v>
      </c>
      <c r="C161" s="73">
        <v>6.9444444444444434E-2</v>
      </c>
      <c r="D161" s="72" t="s">
        <v>178</v>
      </c>
      <c r="E161" s="72" t="s">
        <v>57</v>
      </c>
      <c r="F161" s="72" t="s">
        <v>441</v>
      </c>
      <c r="G161" s="214"/>
      <c r="H161" s="74" t="s">
        <v>391</v>
      </c>
      <c r="I161" s="154">
        <v>0.7</v>
      </c>
      <c r="J161" s="76">
        <v>126</v>
      </c>
      <c r="K161" s="77">
        <v>45983</v>
      </c>
      <c r="L161" s="76">
        <v>65</v>
      </c>
      <c r="M161" s="76">
        <v>0</v>
      </c>
      <c r="N161" s="76">
        <v>12</v>
      </c>
      <c r="O161" s="78" t="s">
        <v>442</v>
      </c>
      <c r="P161" s="79">
        <v>6.9444444444444434E-2</v>
      </c>
      <c r="Q161" s="76">
        <v>180</v>
      </c>
      <c r="R161" s="80" t="s">
        <v>443</v>
      </c>
    </row>
    <row r="162" spans="1:18" ht="15" customHeight="1" x14ac:dyDescent="0.3">
      <c r="A162" s="15" t="s">
        <v>28</v>
      </c>
      <c r="B162" s="15" t="s">
        <v>386</v>
      </c>
      <c r="C162" s="16">
        <v>0.75694444444444453</v>
      </c>
      <c r="D162" s="15" t="s">
        <v>178</v>
      </c>
      <c r="E162" s="15" t="s">
        <v>31</v>
      </c>
      <c r="F162" s="15" t="s">
        <v>355</v>
      </c>
      <c r="G162" s="214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15" t="s">
        <v>102</v>
      </c>
      <c r="B163" s="15" t="s">
        <v>387</v>
      </c>
      <c r="C163" s="16">
        <v>0.88194444444444453</v>
      </c>
      <c r="D163" s="15" t="s">
        <v>178</v>
      </c>
      <c r="E163" s="15" t="s">
        <v>62</v>
      </c>
      <c r="F163" s="15" t="s">
        <v>429</v>
      </c>
      <c r="G163" s="214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5" t="s">
        <v>43</v>
      </c>
      <c r="B164" s="15" t="s">
        <v>360</v>
      </c>
      <c r="C164" s="16">
        <v>0.97916666666666663</v>
      </c>
      <c r="D164" s="15" t="s">
        <v>45</v>
      </c>
      <c r="E164" s="15" t="s">
        <v>31</v>
      </c>
      <c r="F164" s="15" t="s">
        <v>377</v>
      </c>
      <c r="G164" s="214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34" t="s">
        <v>43</v>
      </c>
      <c r="B165" s="34" t="s">
        <v>380</v>
      </c>
      <c r="C165" s="35">
        <v>0.33680555555555558</v>
      </c>
      <c r="D165" s="34" t="s">
        <v>45</v>
      </c>
      <c r="E165" s="34" t="s">
        <v>51</v>
      </c>
      <c r="F165" s="34" t="s">
        <v>377</v>
      </c>
      <c r="G165" s="214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34" t="s">
        <v>43</v>
      </c>
      <c r="B166" s="34" t="s">
        <v>362</v>
      </c>
      <c r="C166" s="35">
        <v>0.67361111111111116</v>
      </c>
      <c r="D166" s="34" t="s">
        <v>45</v>
      </c>
      <c r="E166" s="34" t="s">
        <v>51</v>
      </c>
      <c r="F166" s="34" t="s">
        <v>361</v>
      </c>
      <c r="G166" s="214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</row>
    <row r="167" spans="1:18" ht="15" customHeight="1" thickBot="1" x14ac:dyDescent="0.35">
      <c r="A167" s="19" t="s">
        <v>54</v>
      </c>
      <c r="B167" s="19" t="s">
        <v>382</v>
      </c>
      <c r="C167" s="20">
        <v>0.44791666666666669</v>
      </c>
      <c r="D167" s="19" t="s">
        <v>56</v>
      </c>
      <c r="E167" s="19" t="s">
        <v>57</v>
      </c>
      <c r="F167" s="19" t="s">
        <v>444</v>
      </c>
      <c r="G167" s="215"/>
      <c r="H167" s="21"/>
      <c r="I167" s="22"/>
      <c r="J167" s="22"/>
      <c r="K167" s="22"/>
      <c r="L167" s="22"/>
      <c r="M167" s="22"/>
      <c r="N167" s="22"/>
      <c r="O167" s="23"/>
      <c r="P167" s="22"/>
      <c r="Q167" s="24"/>
      <c r="R167" s="25"/>
    </row>
    <row r="168" spans="1:18" ht="17.399999999999999" customHeight="1" thickBot="1" x14ac:dyDescent="0.35">
      <c r="A168" s="221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3"/>
    </row>
    <row r="169" spans="1:18" ht="22.05" customHeight="1" thickTop="1" thickBot="1" x14ac:dyDescent="0.55000000000000004">
      <c r="A169" s="211" t="s">
        <v>8</v>
      </c>
      <c r="B169" s="212"/>
      <c r="C169" s="212"/>
      <c r="D169" s="212"/>
      <c r="E169" s="212"/>
      <c r="F169" s="212"/>
      <c r="G169" s="26">
        <v>45994</v>
      </c>
      <c r="H169" s="219" t="s">
        <v>9</v>
      </c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</row>
    <row r="170" spans="1:18" ht="24" customHeight="1" x14ac:dyDescent="0.3">
      <c r="A170" s="27" t="s">
        <v>10</v>
      </c>
      <c r="B170" s="27" t="s">
        <v>11</v>
      </c>
      <c r="C170" s="28" t="s">
        <v>12</v>
      </c>
      <c r="D170" s="27" t="s">
        <v>13</v>
      </c>
      <c r="E170" s="27" t="s">
        <v>14</v>
      </c>
      <c r="F170" s="29" t="s">
        <v>15</v>
      </c>
      <c r="G170" s="30" t="s">
        <v>16</v>
      </c>
      <c r="H170" s="27" t="s">
        <v>17</v>
      </c>
      <c r="I170" s="31" t="s">
        <v>18</v>
      </c>
      <c r="J170" s="32" t="s">
        <v>19</v>
      </c>
      <c r="K170" s="33" t="s">
        <v>20</v>
      </c>
      <c r="L170" s="32" t="s">
        <v>21</v>
      </c>
      <c r="M170" s="32" t="s">
        <v>22</v>
      </c>
      <c r="N170" s="32" t="s">
        <v>23</v>
      </c>
      <c r="O170" s="27" t="s">
        <v>24</v>
      </c>
      <c r="P170" s="28" t="s">
        <v>25</v>
      </c>
      <c r="Q170" s="32" t="s">
        <v>26</v>
      </c>
      <c r="R170" s="27" t="s">
        <v>27</v>
      </c>
    </row>
    <row r="171" spans="1:18" ht="15" customHeight="1" x14ac:dyDescent="0.3">
      <c r="A171" s="8" t="s">
        <v>33</v>
      </c>
      <c r="B171" s="8" t="s">
        <v>356</v>
      </c>
      <c r="C171" s="9">
        <v>0.97222222222222221</v>
      </c>
      <c r="D171" s="8" t="s">
        <v>35</v>
      </c>
      <c r="E171" s="8" t="s">
        <v>36</v>
      </c>
      <c r="F171" s="8" t="s">
        <v>438</v>
      </c>
      <c r="G171" s="213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7" t="s">
        <v>33</v>
      </c>
      <c r="B172" s="17" t="s">
        <v>356</v>
      </c>
      <c r="C172" s="18">
        <v>0.97222222222222221</v>
      </c>
      <c r="D172" s="17" t="s">
        <v>38</v>
      </c>
      <c r="E172" s="17" t="s">
        <v>39</v>
      </c>
      <c r="F172" s="17" t="s">
        <v>365</v>
      </c>
      <c r="G172" s="214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7" t="s">
        <v>33</v>
      </c>
      <c r="B173" s="17" t="s">
        <v>356</v>
      </c>
      <c r="C173" s="18">
        <v>0.97222222222222221</v>
      </c>
      <c r="D173" s="17" t="s">
        <v>41</v>
      </c>
      <c r="E173" s="17" t="s">
        <v>39</v>
      </c>
      <c r="F173" s="17" t="s">
        <v>439</v>
      </c>
      <c r="G173" s="214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15" t="s">
        <v>28</v>
      </c>
      <c r="B174" s="15" t="s">
        <v>375</v>
      </c>
      <c r="C174" s="16">
        <v>0.69444444444444453</v>
      </c>
      <c r="D174" s="15" t="s">
        <v>178</v>
      </c>
      <c r="E174" s="15" t="s">
        <v>62</v>
      </c>
      <c r="F174" s="15" t="s">
        <v>445</v>
      </c>
      <c r="G174" s="214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</row>
    <row r="175" spans="1:18" ht="15" customHeight="1" x14ac:dyDescent="0.3">
      <c r="A175" s="15" t="s">
        <v>43</v>
      </c>
      <c r="B175" s="15" t="s">
        <v>362</v>
      </c>
      <c r="C175" s="16">
        <v>0.67361111111111116</v>
      </c>
      <c r="D175" s="15" t="s">
        <v>45</v>
      </c>
      <c r="E175" s="15" t="s">
        <v>31</v>
      </c>
      <c r="F175" s="15" t="s">
        <v>377</v>
      </c>
      <c r="G175" s="214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</row>
    <row r="176" spans="1:18" ht="15" customHeight="1" x14ac:dyDescent="0.3">
      <c r="A176" s="34" t="s">
        <v>43</v>
      </c>
      <c r="B176" s="34" t="s">
        <v>360</v>
      </c>
      <c r="C176" s="35">
        <v>0.97916666666666663</v>
      </c>
      <c r="D176" s="34" t="s">
        <v>45</v>
      </c>
      <c r="E176" s="34" t="s">
        <v>51</v>
      </c>
      <c r="F176" s="34" t="s">
        <v>377</v>
      </c>
      <c r="G176" s="214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</row>
    <row r="177" spans="1:18" ht="15" customHeight="1" x14ac:dyDescent="0.3">
      <c r="A177" s="34" t="s">
        <v>43</v>
      </c>
      <c r="B177" s="34" t="s">
        <v>380</v>
      </c>
      <c r="C177" s="35">
        <v>0.33680555555555558</v>
      </c>
      <c r="D177" s="34" t="s">
        <v>45</v>
      </c>
      <c r="E177" s="34" t="s">
        <v>51</v>
      </c>
      <c r="F177" s="34" t="s">
        <v>377</v>
      </c>
      <c r="G177" s="214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thickBot="1" x14ac:dyDescent="0.35">
      <c r="A178" s="19" t="s">
        <v>54</v>
      </c>
      <c r="B178" s="19" t="s">
        <v>382</v>
      </c>
      <c r="C178" s="20">
        <v>0.44791666666666669</v>
      </c>
      <c r="D178" s="19" t="s">
        <v>56</v>
      </c>
      <c r="E178" s="19" t="s">
        <v>57</v>
      </c>
      <c r="F178" s="19" t="s">
        <v>446</v>
      </c>
      <c r="G178" s="215"/>
      <c r="H178" s="21"/>
      <c r="I178" s="22"/>
      <c r="J178" s="22"/>
      <c r="K178" s="22"/>
      <c r="L178" s="22"/>
      <c r="M178" s="22"/>
      <c r="N178" s="22"/>
      <c r="O178" s="23"/>
      <c r="P178" s="22"/>
      <c r="Q178" s="24"/>
      <c r="R178" s="25"/>
    </row>
    <row r="179" spans="1:18" ht="17.399999999999999" customHeight="1" thickBot="1" x14ac:dyDescent="0.35">
      <c r="A179" s="221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3"/>
    </row>
    <row r="180" spans="1:18" ht="22.05" customHeight="1" thickTop="1" thickBot="1" x14ac:dyDescent="0.55000000000000004">
      <c r="A180" s="211" t="s">
        <v>8</v>
      </c>
      <c r="B180" s="212"/>
      <c r="C180" s="212"/>
      <c r="D180" s="212"/>
      <c r="E180" s="212"/>
      <c r="F180" s="212"/>
      <c r="G180" s="26">
        <v>45995</v>
      </c>
      <c r="H180" s="219" t="s">
        <v>9</v>
      </c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</row>
    <row r="181" spans="1:18" ht="24" customHeight="1" x14ac:dyDescent="0.3">
      <c r="A181" s="27" t="s">
        <v>10</v>
      </c>
      <c r="B181" s="27" t="s">
        <v>11</v>
      </c>
      <c r="C181" s="28" t="s">
        <v>12</v>
      </c>
      <c r="D181" s="27" t="s">
        <v>13</v>
      </c>
      <c r="E181" s="27" t="s">
        <v>14</v>
      </c>
      <c r="F181" s="29" t="s">
        <v>15</v>
      </c>
      <c r="G181" s="30" t="s">
        <v>16</v>
      </c>
      <c r="H181" s="27" t="s">
        <v>17</v>
      </c>
      <c r="I181" s="31" t="s">
        <v>18</v>
      </c>
      <c r="J181" s="32" t="s">
        <v>19</v>
      </c>
      <c r="K181" s="33" t="s">
        <v>20</v>
      </c>
      <c r="L181" s="32" t="s">
        <v>21</v>
      </c>
      <c r="M181" s="32" t="s">
        <v>22</v>
      </c>
      <c r="N181" s="32" t="s">
        <v>23</v>
      </c>
      <c r="O181" s="27" t="s">
        <v>24</v>
      </c>
      <c r="P181" s="28" t="s">
        <v>25</v>
      </c>
      <c r="Q181" s="32" t="s">
        <v>26</v>
      </c>
      <c r="R181" s="27" t="s">
        <v>27</v>
      </c>
    </row>
    <row r="182" spans="1:18" ht="15" customHeight="1" x14ac:dyDescent="0.3">
      <c r="A182" s="8" t="s">
        <v>28</v>
      </c>
      <c r="B182" s="8" t="s">
        <v>354</v>
      </c>
      <c r="C182" s="9">
        <v>0.3611111111111111</v>
      </c>
      <c r="D182" s="8" t="s">
        <v>178</v>
      </c>
      <c r="E182" s="8" t="s">
        <v>162</v>
      </c>
      <c r="F182" s="8" t="s">
        <v>447</v>
      </c>
      <c r="G182" s="213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34" t="s">
        <v>28</v>
      </c>
      <c r="B183" s="34" t="s">
        <v>386</v>
      </c>
      <c r="C183" s="35">
        <v>0.75694444444444453</v>
      </c>
      <c r="D183" s="34" t="s">
        <v>178</v>
      </c>
      <c r="E183" s="34" t="s">
        <v>183</v>
      </c>
      <c r="F183" s="34" t="s">
        <v>447</v>
      </c>
      <c r="G183" s="214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81" t="s">
        <v>76</v>
      </c>
      <c r="B184" s="81" t="s">
        <v>389</v>
      </c>
      <c r="C184" s="82">
        <v>0.72222222222222221</v>
      </c>
      <c r="D184" s="81" t="s">
        <v>178</v>
      </c>
      <c r="E184" s="81" t="s">
        <v>94</v>
      </c>
      <c r="F184" s="81" t="s">
        <v>448</v>
      </c>
      <c r="G184" s="214"/>
      <c r="H184" s="83" t="s">
        <v>391</v>
      </c>
      <c r="I184" s="84">
        <v>0.49440000000000001</v>
      </c>
      <c r="J184" s="85">
        <v>89</v>
      </c>
      <c r="K184" s="86">
        <v>45983</v>
      </c>
      <c r="L184" s="85">
        <v>46</v>
      </c>
      <c r="M184" s="85">
        <v>0</v>
      </c>
      <c r="N184" s="85">
        <v>19</v>
      </c>
      <c r="O184" s="87" t="s">
        <v>224</v>
      </c>
      <c r="P184" s="88">
        <v>0.72222222222222221</v>
      </c>
      <c r="Q184" s="85">
        <v>180</v>
      </c>
      <c r="R184" s="89" t="s">
        <v>449</v>
      </c>
    </row>
    <row r="185" spans="1:18" ht="15" customHeight="1" x14ac:dyDescent="0.3">
      <c r="A185" s="15" t="s">
        <v>102</v>
      </c>
      <c r="B185" s="15" t="s">
        <v>387</v>
      </c>
      <c r="C185" s="16">
        <v>0.68055555555555547</v>
      </c>
      <c r="D185" s="15" t="s">
        <v>178</v>
      </c>
      <c r="E185" s="15" t="s">
        <v>94</v>
      </c>
      <c r="F185" s="15" t="s">
        <v>450</v>
      </c>
      <c r="G185" s="214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5" t="s">
        <v>43</v>
      </c>
      <c r="B186" s="15" t="s">
        <v>380</v>
      </c>
      <c r="C186" s="16">
        <v>0.33680555555555558</v>
      </c>
      <c r="D186" s="15" t="s">
        <v>45</v>
      </c>
      <c r="E186" s="15" t="s">
        <v>31</v>
      </c>
      <c r="F186" s="15" t="s">
        <v>451</v>
      </c>
      <c r="G186" s="214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34" t="s">
        <v>43</v>
      </c>
      <c r="B187" s="34" t="s">
        <v>362</v>
      </c>
      <c r="C187" s="35">
        <v>0.67361111111111116</v>
      </c>
      <c r="D187" s="34" t="s">
        <v>45</v>
      </c>
      <c r="E187" s="34" t="s">
        <v>51</v>
      </c>
      <c r="F187" s="34" t="s">
        <v>377</v>
      </c>
      <c r="G187" s="214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34" t="s">
        <v>43</v>
      </c>
      <c r="B188" s="34" t="s">
        <v>360</v>
      </c>
      <c r="C188" s="35">
        <v>0.97916666666666663</v>
      </c>
      <c r="D188" s="34" t="s">
        <v>45</v>
      </c>
      <c r="E188" s="34" t="s">
        <v>51</v>
      </c>
      <c r="F188" s="34" t="s">
        <v>452</v>
      </c>
      <c r="G188" s="214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thickBot="1" x14ac:dyDescent="0.35">
      <c r="A189" s="19" t="s">
        <v>54</v>
      </c>
      <c r="B189" s="19" t="s">
        <v>382</v>
      </c>
      <c r="C189" s="20">
        <v>0.44791666666666669</v>
      </c>
      <c r="D189" s="19" t="s">
        <v>56</v>
      </c>
      <c r="E189" s="19" t="s">
        <v>57</v>
      </c>
      <c r="F189" s="19" t="s">
        <v>446</v>
      </c>
      <c r="G189" s="215"/>
      <c r="H189" s="21"/>
      <c r="I189" s="22"/>
      <c r="J189" s="22"/>
      <c r="K189" s="22"/>
      <c r="L189" s="22"/>
      <c r="M189" s="22"/>
      <c r="N189" s="22"/>
      <c r="O189" s="23"/>
      <c r="P189" s="22"/>
      <c r="Q189" s="24"/>
      <c r="R189" s="25"/>
    </row>
    <row r="190" spans="1:18" ht="17.399999999999999" customHeight="1" thickBot="1" x14ac:dyDescent="0.35">
      <c r="A190" s="221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3"/>
    </row>
    <row r="191" spans="1:18" ht="22.05" customHeight="1" thickTop="1" thickBot="1" x14ac:dyDescent="0.55000000000000004">
      <c r="A191" s="211" t="s">
        <v>8</v>
      </c>
      <c r="B191" s="212"/>
      <c r="C191" s="212"/>
      <c r="D191" s="212"/>
      <c r="E191" s="212"/>
      <c r="F191" s="212"/>
      <c r="G191" s="26">
        <v>45996</v>
      </c>
      <c r="H191" s="219" t="s">
        <v>9</v>
      </c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</row>
    <row r="192" spans="1:18" ht="24" customHeight="1" x14ac:dyDescent="0.3">
      <c r="A192" s="27" t="s">
        <v>10</v>
      </c>
      <c r="B192" s="27" t="s">
        <v>11</v>
      </c>
      <c r="C192" s="28" t="s">
        <v>12</v>
      </c>
      <c r="D192" s="27" t="s">
        <v>13</v>
      </c>
      <c r="E192" s="27" t="s">
        <v>14</v>
      </c>
      <c r="F192" s="29" t="s">
        <v>15</v>
      </c>
      <c r="G192" s="30" t="s">
        <v>16</v>
      </c>
      <c r="H192" s="27" t="s">
        <v>17</v>
      </c>
      <c r="I192" s="31" t="s">
        <v>18</v>
      </c>
      <c r="J192" s="32" t="s">
        <v>19</v>
      </c>
      <c r="K192" s="33" t="s">
        <v>20</v>
      </c>
      <c r="L192" s="32" t="s">
        <v>21</v>
      </c>
      <c r="M192" s="32" t="s">
        <v>22</v>
      </c>
      <c r="N192" s="32" t="s">
        <v>23</v>
      </c>
      <c r="O192" s="27" t="s">
        <v>24</v>
      </c>
      <c r="P192" s="28" t="s">
        <v>25</v>
      </c>
      <c r="Q192" s="32" t="s">
        <v>26</v>
      </c>
      <c r="R192" s="27" t="s">
        <v>27</v>
      </c>
    </row>
    <row r="193" spans="1:18" ht="15" customHeight="1" x14ac:dyDescent="0.3">
      <c r="A193" s="8" t="s">
        <v>59</v>
      </c>
      <c r="B193" s="8" t="s">
        <v>371</v>
      </c>
      <c r="C193" s="9">
        <v>0.44791666666666669</v>
      </c>
      <c r="D193" s="8" t="s">
        <v>61</v>
      </c>
      <c r="E193" s="8" t="s">
        <v>433</v>
      </c>
      <c r="F193" s="8" t="s">
        <v>453</v>
      </c>
      <c r="G193" s="213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17" t="s">
        <v>59</v>
      </c>
      <c r="B194" s="17" t="s">
        <v>371</v>
      </c>
      <c r="C194" s="18">
        <v>0.44791666666666669</v>
      </c>
      <c r="D194" s="17" t="s">
        <v>64</v>
      </c>
      <c r="E194" s="17" t="s">
        <v>434</v>
      </c>
      <c r="F194" s="17" t="s">
        <v>436</v>
      </c>
      <c r="G194" s="214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7" t="s">
        <v>59</v>
      </c>
      <c r="B195" s="17" t="s">
        <v>371</v>
      </c>
      <c r="C195" s="18">
        <v>0.44791666666666669</v>
      </c>
      <c r="D195" s="17" t="s">
        <v>67</v>
      </c>
      <c r="E195" s="17" t="s">
        <v>434</v>
      </c>
      <c r="F195" s="17" t="s">
        <v>374</v>
      </c>
      <c r="G195" s="214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54" t="s">
        <v>76</v>
      </c>
      <c r="B196" s="54" t="s">
        <v>389</v>
      </c>
      <c r="C196" s="55">
        <v>0.38194444444444442</v>
      </c>
      <c r="D196" s="54" t="s">
        <v>178</v>
      </c>
      <c r="E196" s="54" t="s">
        <v>94</v>
      </c>
      <c r="F196" s="54" t="s">
        <v>454</v>
      </c>
      <c r="G196" s="214"/>
      <c r="H196" s="56" t="s">
        <v>391</v>
      </c>
      <c r="I196" s="57">
        <v>0.4778</v>
      </c>
      <c r="J196" s="58">
        <v>86</v>
      </c>
      <c r="K196" s="59">
        <v>45984</v>
      </c>
      <c r="L196" s="58">
        <v>66</v>
      </c>
      <c r="M196" s="58">
        <v>6</v>
      </c>
      <c r="N196" s="58">
        <v>12</v>
      </c>
      <c r="O196" s="60" t="s">
        <v>240</v>
      </c>
      <c r="P196" s="61">
        <v>0.38194444444444442</v>
      </c>
      <c r="Q196" s="58">
        <v>180</v>
      </c>
      <c r="R196" s="62" t="s">
        <v>455</v>
      </c>
    </row>
    <row r="197" spans="1:18" ht="15" customHeight="1" x14ac:dyDescent="0.3">
      <c r="A197" s="15" t="s">
        <v>33</v>
      </c>
      <c r="B197" s="15" t="s">
        <v>356</v>
      </c>
      <c r="C197" s="16">
        <v>0.97222222222222221</v>
      </c>
      <c r="D197" s="15" t="s">
        <v>35</v>
      </c>
      <c r="E197" s="15" t="s">
        <v>78</v>
      </c>
      <c r="F197" s="15" t="s">
        <v>435</v>
      </c>
      <c r="G197" s="214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7" t="s">
        <v>33</v>
      </c>
      <c r="B198" s="17" t="s">
        <v>356</v>
      </c>
      <c r="C198" s="18">
        <v>0.97222222222222221</v>
      </c>
      <c r="D198" s="17" t="s">
        <v>38</v>
      </c>
      <c r="E198" s="17" t="s">
        <v>140</v>
      </c>
      <c r="F198" s="17" t="s">
        <v>436</v>
      </c>
      <c r="G198" s="214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17" t="s">
        <v>33</v>
      </c>
      <c r="B199" s="17" t="s">
        <v>356</v>
      </c>
      <c r="C199" s="18">
        <v>0.97222222222222221</v>
      </c>
      <c r="D199" s="17" t="s">
        <v>41</v>
      </c>
      <c r="E199" s="17" t="s">
        <v>140</v>
      </c>
      <c r="F199" s="17" t="s">
        <v>437</v>
      </c>
      <c r="G199" s="214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15" t="s">
        <v>28</v>
      </c>
      <c r="B200" s="15" t="s">
        <v>375</v>
      </c>
      <c r="C200" s="16">
        <v>0.75694444444444453</v>
      </c>
      <c r="D200" s="15" t="s">
        <v>178</v>
      </c>
      <c r="E200" s="15" t="s">
        <v>62</v>
      </c>
      <c r="F200" s="15" t="s">
        <v>447</v>
      </c>
      <c r="G200" s="214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5" t="s">
        <v>43</v>
      </c>
      <c r="B201" s="15" t="s">
        <v>380</v>
      </c>
      <c r="C201" s="16">
        <v>0.33680555555555558</v>
      </c>
      <c r="D201" s="15" t="s">
        <v>45</v>
      </c>
      <c r="E201" s="15" t="s">
        <v>31</v>
      </c>
      <c r="F201" s="15" t="s">
        <v>456</v>
      </c>
      <c r="G201" s="214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x14ac:dyDescent="0.3">
      <c r="A202" s="34" t="s">
        <v>43</v>
      </c>
      <c r="B202" s="34" t="s">
        <v>362</v>
      </c>
      <c r="C202" s="35">
        <v>0.67361111111111116</v>
      </c>
      <c r="D202" s="34" t="s">
        <v>45</v>
      </c>
      <c r="E202" s="34" t="s">
        <v>51</v>
      </c>
      <c r="F202" s="34" t="s">
        <v>377</v>
      </c>
      <c r="G202" s="214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</row>
    <row r="203" spans="1:18" ht="15" customHeight="1" x14ac:dyDescent="0.3">
      <c r="A203" s="34" t="s">
        <v>43</v>
      </c>
      <c r="B203" s="34" t="s">
        <v>360</v>
      </c>
      <c r="C203" s="35">
        <v>0.97916666666666663</v>
      </c>
      <c r="D203" s="34" t="s">
        <v>45</v>
      </c>
      <c r="E203" s="34" t="s">
        <v>51</v>
      </c>
      <c r="F203" s="34" t="s">
        <v>377</v>
      </c>
      <c r="G203" s="214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</row>
    <row r="204" spans="1:18" ht="15" customHeight="1" thickBot="1" x14ac:dyDescent="0.35">
      <c r="A204" s="19" t="s">
        <v>54</v>
      </c>
      <c r="B204" s="19" t="s">
        <v>382</v>
      </c>
      <c r="C204" s="20">
        <v>0.44791666666666669</v>
      </c>
      <c r="D204" s="19" t="s">
        <v>56</v>
      </c>
      <c r="E204" s="19" t="s">
        <v>57</v>
      </c>
      <c r="F204" s="19" t="s">
        <v>446</v>
      </c>
      <c r="G204" s="215"/>
      <c r="H204" s="21"/>
      <c r="I204" s="22"/>
      <c r="J204" s="22"/>
      <c r="K204" s="22"/>
      <c r="L204" s="22"/>
      <c r="M204" s="22"/>
      <c r="N204" s="22"/>
      <c r="O204" s="23"/>
      <c r="P204" s="22"/>
      <c r="Q204" s="24"/>
      <c r="R204" s="25"/>
    </row>
    <row r="205" spans="1:18" ht="17.399999999999999" customHeight="1" thickBot="1" x14ac:dyDescent="0.35">
      <c r="A205" s="221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3"/>
    </row>
    <row r="206" spans="1:18" ht="22.05" customHeight="1" thickTop="1" thickBot="1" x14ac:dyDescent="0.55000000000000004">
      <c r="A206" s="211" t="s">
        <v>8</v>
      </c>
      <c r="B206" s="212"/>
      <c r="C206" s="212"/>
      <c r="D206" s="212"/>
      <c r="E206" s="212"/>
      <c r="F206" s="212"/>
      <c r="G206" s="26">
        <v>45997</v>
      </c>
      <c r="H206" s="219" t="s">
        <v>9</v>
      </c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</row>
    <row r="207" spans="1:18" ht="24" customHeight="1" x14ac:dyDescent="0.3">
      <c r="A207" s="27" t="s">
        <v>10</v>
      </c>
      <c r="B207" s="27" t="s">
        <v>11</v>
      </c>
      <c r="C207" s="28" t="s">
        <v>12</v>
      </c>
      <c r="D207" s="27" t="s">
        <v>13</v>
      </c>
      <c r="E207" s="27" t="s">
        <v>14</v>
      </c>
      <c r="F207" s="29" t="s">
        <v>15</v>
      </c>
      <c r="G207" s="30" t="s">
        <v>16</v>
      </c>
      <c r="H207" s="27" t="s">
        <v>17</v>
      </c>
      <c r="I207" s="31" t="s">
        <v>18</v>
      </c>
      <c r="J207" s="32" t="s">
        <v>19</v>
      </c>
      <c r="K207" s="33" t="s">
        <v>20</v>
      </c>
      <c r="L207" s="32" t="s">
        <v>21</v>
      </c>
      <c r="M207" s="32" t="s">
        <v>22</v>
      </c>
      <c r="N207" s="32" t="s">
        <v>23</v>
      </c>
      <c r="O207" s="27" t="s">
        <v>24</v>
      </c>
      <c r="P207" s="28" t="s">
        <v>25</v>
      </c>
      <c r="Q207" s="32" t="s">
        <v>26</v>
      </c>
      <c r="R207" s="27" t="s">
        <v>27</v>
      </c>
    </row>
    <row r="208" spans="1:18" ht="15" customHeight="1" x14ac:dyDescent="0.3">
      <c r="A208" s="81" t="s">
        <v>76</v>
      </c>
      <c r="B208" s="81" t="s">
        <v>389</v>
      </c>
      <c r="C208" s="82">
        <v>0.72222222222222221</v>
      </c>
      <c r="D208" s="81" t="s">
        <v>178</v>
      </c>
      <c r="E208" s="81" t="s">
        <v>135</v>
      </c>
      <c r="F208" s="81" t="s">
        <v>457</v>
      </c>
      <c r="G208" s="233"/>
      <c r="H208" s="83" t="s">
        <v>391</v>
      </c>
      <c r="I208" s="84">
        <v>0.42780000000000001</v>
      </c>
      <c r="J208" s="85">
        <v>77</v>
      </c>
      <c r="K208" s="86">
        <v>45984</v>
      </c>
      <c r="L208" s="85">
        <v>45</v>
      </c>
      <c r="M208" s="85">
        <v>5</v>
      </c>
      <c r="N208" s="85">
        <v>3</v>
      </c>
      <c r="O208" s="87" t="s">
        <v>225</v>
      </c>
      <c r="P208" s="88">
        <v>0.72222222222222221</v>
      </c>
      <c r="Q208" s="85">
        <v>180</v>
      </c>
      <c r="R208" s="89" t="s">
        <v>458</v>
      </c>
    </row>
    <row r="209" spans="1:18" ht="15" customHeight="1" x14ac:dyDescent="0.3">
      <c r="A209" s="15" t="s">
        <v>28</v>
      </c>
      <c r="B209" s="15" t="s">
        <v>386</v>
      </c>
      <c r="C209" s="16">
        <v>0.69444444444444453</v>
      </c>
      <c r="D209" s="15" t="s">
        <v>178</v>
      </c>
      <c r="E209" s="15" t="s">
        <v>78</v>
      </c>
      <c r="F209" s="15" t="s">
        <v>447</v>
      </c>
      <c r="G209" s="214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15" t="s">
        <v>43</v>
      </c>
      <c r="B210" s="15" t="s">
        <v>360</v>
      </c>
      <c r="C210" s="16">
        <v>0.97916666666666663</v>
      </c>
      <c r="D210" s="15" t="s">
        <v>45</v>
      </c>
      <c r="E210" s="15" t="s">
        <v>31</v>
      </c>
      <c r="F210" s="15" t="s">
        <v>451</v>
      </c>
      <c r="G210" s="214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34" t="s">
        <v>43</v>
      </c>
      <c r="B211" s="34" t="s">
        <v>380</v>
      </c>
      <c r="C211" s="35">
        <v>0.33680555555555558</v>
      </c>
      <c r="D211" s="34" t="s">
        <v>45</v>
      </c>
      <c r="E211" s="34" t="s">
        <v>51</v>
      </c>
      <c r="F211" s="34" t="s">
        <v>451</v>
      </c>
      <c r="G211" s="214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34" t="s">
        <v>43</v>
      </c>
      <c r="B212" s="34" t="s">
        <v>362</v>
      </c>
      <c r="C212" s="35">
        <v>0.67361111111111116</v>
      </c>
      <c r="D212" s="34" t="s">
        <v>45</v>
      </c>
      <c r="E212" s="34" t="s">
        <v>51</v>
      </c>
      <c r="F212" s="34" t="s">
        <v>377</v>
      </c>
      <c r="G212" s="214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thickBot="1" x14ac:dyDescent="0.35">
      <c r="A213" s="19" t="s">
        <v>54</v>
      </c>
      <c r="B213" s="19" t="s">
        <v>382</v>
      </c>
      <c r="C213" s="20">
        <v>0.44791666666666669</v>
      </c>
      <c r="D213" s="19" t="s">
        <v>56</v>
      </c>
      <c r="E213" s="19" t="s">
        <v>57</v>
      </c>
      <c r="F213" s="19" t="s">
        <v>446</v>
      </c>
      <c r="G213" s="215"/>
      <c r="H213" s="21"/>
      <c r="I213" s="22"/>
      <c r="J213" s="22"/>
      <c r="K213" s="22"/>
      <c r="L213" s="22"/>
      <c r="M213" s="22"/>
      <c r="N213" s="22"/>
      <c r="O213" s="23"/>
      <c r="P213" s="22"/>
      <c r="Q213" s="24"/>
      <c r="R213" s="25"/>
    </row>
    <row r="214" spans="1:18" ht="17.399999999999999" customHeight="1" thickBot="1" x14ac:dyDescent="0.35">
      <c r="A214" s="221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3"/>
    </row>
    <row r="215" spans="1:18" ht="22.05" customHeight="1" thickTop="1" thickBot="1" x14ac:dyDescent="0.55000000000000004">
      <c r="A215" s="211" t="s">
        <v>8</v>
      </c>
      <c r="B215" s="212"/>
      <c r="C215" s="212"/>
      <c r="D215" s="212"/>
      <c r="E215" s="212"/>
      <c r="F215" s="212"/>
      <c r="G215" s="26">
        <v>45998</v>
      </c>
      <c r="H215" s="219" t="s">
        <v>9</v>
      </c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</row>
    <row r="216" spans="1:18" ht="24" customHeight="1" x14ac:dyDescent="0.3">
      <c r="A216" s="27" t="s">
        <v>10</v>
      </c>
      <c r="B216" s="27" t="s">
        <v>11</v>
      </c>
      <c r="C216" s="28" t="s">
        <v>12</v>
      </c>
      <c r="D216" s="27" t="s">
        <v>13</v>
      </c>
      <c r="E216" s="27" t="s">
        <v>14</v>
      </c>
      <c r="F216" s="29" t="s">
        <v>15</v>
      </c>
      <c r="G216" s="30" t="s">
        <v>16</v>
      </c>
      <c r="H216" s="27" t="s">
        <v>17</v>
      </c>
      <c r="I216" s="31" t="s">
        <v>18</v>
      </c>
      <c r="J216" s="32" t="s">
        <v>19</v>
      </c>
      <c r="K216" s="33" t="s">
        <v>20</v>
      </c>
      <c r="L216" s="32" t="s">
        <v>21</v>
      </c>
      <c r="M216" s="32" t="s">
        <v>22</v>
      </c>
      <c r="N216" s="32" t="s">
        <v>23</v>
      </c>
      <c r="O216" s="27" t="s">
        <v>24</v>
      </c>
      <c r="P216" s="28" t="s">
        <v>25</v>
      </c>
      <c r="Q216" s="32" t="s">
        <v>26</v>
      </c>
      <c r="R216" s="27" t="s">
        <v>27</v>
      </c>
    </row>
    <row r="217" spans="1:18" ht="15" customHeight="1" x14ac:dyDescent="0.3">
      <c r="A217" s="8" t="s">
        <v>102</v>
      </c>
      <c r="B217" s="8" t="s">
        <v>404</v>
      </c>
      <c r="C217" s="9">
        <v>1.388888888888889E-2</v>
      </c>
      <c r="D217" s="8" t="s">
        <v>178</v>
      </c>
      <c r="E217" s="8" t="s">
        <v>129</v>
      </c>
      <c r="F217" s="8" t="s">
        <v>459</v>
      </c>
      <c r="G217" s="213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5" t="s">
        <v>28</v>
      </c>
      <c r="B218" s="15" t="s">
        <v>354</v>
      </c>
      <c r="C218" s="16">
        <v>0.75694444444444453</v>
      </c>
      <c r="D218" s="15" t="s">
        <v>178</v>
      </c>
      <c r="E218" s="15" t="s">
        <v>162</v>
      </c>
      <c r="F218" s="15" t="s">
        <v>460</v>
      </c>
      <c r="G218" s="214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5" t="s">
        <v>43</v>
      </c>
      <c r="B219" s="15" t="s">
        <v>360</v>
      </c>
      <c r="C219" s="16">
        <v>0.97916666666666663</v>
      </c>
      <c r="D219" s="15" t="s">
        <v>45</v>
      </c>
      <c r="E219" s="15" t="s">
        <v>31</v>
      </c>
      <c r="F219" s="15" t="s">
        <v>461</v>
      </c>
      <c r="G219" s="214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34" t="s">
        <v>43</v>
      </c>
      <c r="B220" s="34" t="s">
        <v>380</v>
      </c>
      <c r="C220" s="35">
        <v>0.33680555555555558</v>
      </c>
      <c r="D220" s="34" t="s">
        <v>45</v>
      </c>
      <c r="E220" s="34" t="s">
        <v>51</v>
      </c>
      <c r="F220" s="34" t="s">
        <v>461</v>
      </c>
      <c r="G220" s="214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34" t="s">
        <v>43</v>
      </c>
      <c r="B221" s="34" t="s">
        <v>362</v>
      </c>
      <c r="C221" s="35">
        <v>0.67361111111111116</v>
      </c>
      <c r="D221" s="34" t="s">
        <v>45</v>
      </c>
      <c r="E221" s="34" t="s">
        <v>51</v>
      </c>
      <c r="F221" s="34" t="s">
        <v>462</v>
      </c>
      <c r="G221" s="214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thickBot="1" x14ac:dyDescent="0.35">
      <c r="A222" s="19" t="s">
        <v>54</v>
      </c>
      <c r="B222" s="19" t="s">
        <v>382</v>
      </c>
      <c r="C222" s="20">
        <v>0.44791666666666669</v>
      </c>
      <c r="D222" s="19" t="s">
        <v>56</v>
      </c>
      <c r="E222" s="19" t="s">
        <v>57</v>
      </c>
      <c r="F222" s="19" t="s">
        <v>463</v>
      </c>
      <c r="G222" s="215"/>
      <c r="H222" s="21"/>
      <c r="I222" s="22"/>
      <c r="J222" s="22"/>
      <c r="K222" s="22"/>
      <c r="L222" s="22"/>
      <c r="M222" s="22"/>
      <c r="N222" s="22"/>
      <c r="O222" s="23"/>
      <c r="P222" s="22"/>
      <c r="Q222" s="24"/>
      <c r="R222" s="25"/>
    </row>
    <row r="223" spans="1:18" ht="17.399999999999999" customHeight="1" thickBot="1" x14ac:dyDescent="0.35">
      <c r="A223" s="221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3"/>
    </row>
    <row r="224" spans="1:18" ht="22.05" customHeight="1" thickTop="1" thickBot="1" x14ac:dyDescent="0.55000000000000004">
      <c r="A224" s="211" t="s">
        <v>8</v>
      </c>
      <c r="B224" s="212"/>
      <c r="C224" s="212"/>
      <c r="D224" s="212"/>
      <c r="E224" s="212"/>
      <c r="F224" s="212"/>
      <c r="G224" s="26">
        <v>45999</v>
      </c>
      <c r="H224" s="219" t="s">
        <v>9</v>
      </c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</row>
    <row r="225" spans="1:18" ht="24" customHeight="1" x14ac:dyDescent="0.3">
      <c r="A225" s="27" t="s">
        <v>10</v>
      </c>
      <c r="B225" s="27" t="s">
        <v>11</v>
      </c>
      <c r="C225" s="28" t="s">
        <v>12</v>
      </c>
      <c r="D225" s="27" t="s">
        <v>13</v>
      </c>
      <c r="E225" s="27" t="s">
        <v>14</v>
      </c>
      <c r="F225" s="29" t="s">
        <v>15</v>
      </c>
      <c r="G225" s="30" t="s">
        <v>16</v>
      </c>
      <c r="H225" s="27" t="s">
        <v>17</v>
      </c>
      <c r="I225" s="31" t="s">
        <v>18</v>
      </c>
      <c r="J225" s="32" t="s">
        <v>19</v>
      </c>
      <c r="K225" s="33" t="s">
        <v>20</v>
      </c>
      <c r="L225" s="32" t="s">
        <v>21</v>
      </c>
      <c r="M225" s="32" t="s">
        <v>22</v>
      </c>
      <c r="N225" s="32" t="s">
        <v>23</v>
      </c>
      <c r="O225" s="27" t="s">
        <v>24</v>
      </c>
      <c r="P225" s="28" t="s">
        <v>25</v>
      </c>
      <c r="Q225" s="32" t="s">
        <v>26</v>
      </c>
      <c r="R225" s="27" t="s">
        <v>27</v>
      </c>
    </row>
    <row r="226" spans="1:18" ht="49.95" customHeight="1" x14ac:dyDescent="0.3">
      <c r="A226" s="8" t="s">
        <v>28</v>
      </c>
      <c r="B226" s="8" t="s">
        <v>375</v>
      </c>
      <c r="C226" s="9">
        <v>0.75694444444444453</v>
      </c>
      <c r="D226" s="8" t="s">
        <v>178</v>
      </c>
      <c r="E226" s="8" t="s">
        <v>62</v>
      </c>
      <c r="F226" s="8" t="s">
        <v>460</v>
      </c>
      <c r="G226" s="213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</row>
    <row r="227" spans="1:18" ht="49.95" customHeight="1" x14ac:dyDescent="0.3">
      <c r="A227" s="15" t="s">
        <v>43</v>
      </c>
      <c r="B227" s="15" t="s">
        <v>360</v>
      </c>
      <c r="C227" s="16">
        <v>0.97916666666666663</v>
      </c>
      <c r="D227" s="15" t="s">
        <v>45</v>
      </c>
      <c r="E227" s="15" t="s">
        <v>31</v>
      </c>
      <c r="F227" s="15" t="s">
        <v>464</v>
      </c>
      <c r="G227" s="214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49.95" customHeight="1" x14ac:dyDescent="0.3">
      <c r="A228" s="34" t="s">
        <v>43</v>
      </c>
      <c r="B228" s="34" t="s">
        <v>380</v>
      </c>
      <c r="C228" s="35">
        <v>0.33680555555555558</v>
      </c>
      <c r="D228" s="34" t="s">
        <v>45</v>
      </c>
      <c r="E228" s="34" t="s">
        <v>51</v>
      </c>
      <c r="F228" s="34" t="s">
        <v>461</v>
      </c>
      <c r="G228" s="214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</row>
    <row r="229" spans="1:18" ht="49.95" customHeight="1" x14ac:dyDescent="0.3">
      <c r="A229" s="34" t="s">
        <v>43</v>
      </c>
      <c r="B229" s="34" t="s">
        <v>362</v>
      </c>
      <c r="C229" s="35">
        <v>0.67361111111111116</v>
      </c>
      <c r="D229" s="34" t="s">
        <v>45</v>
      </c>
      <c r="E229" s="34" t="s">
        <v>51</v>
      </c>
      <c r="F229" s="34" t="s">
        <v>462</v>
      </c>
      <c r="G229" s="214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</row>
    <row r="230" spans="1:18" ht="49.95" customHeight="1" thickBot="1" x14ac:dyDescent="0.35">
      <c r="A230" s="19" t="s">
        <v>54</v>
      </c>
      <c r="B230" s="19" t="s">
        <v>382</v>
      </c>
      <c r="C230" s="20">
        <v>0.44791666666666669</v>
      </c>
      <c r="D230" s="19" t="s">
        <v>56</v>
      </c>
      <c r="E230" s="19" t="s">
        <v>57</v>
      </c>
      <c r="F230" s="19" t="s">
        <v>465</v>
      </c>
      <c r="G230" s="215"/>
      <c r="H230" s="21"/>
      <c r="I230" s="22"/>
      <c r="J230" s="22"/>
      <c r="K230" s="22"/>
      <c r="L230" s="22"/>
      <c r="M230" s="22"/>
      <c r="N230" s="22"/>
      <c r="O230" s="23"/>
      <c r="P230" s="22"/>
      <c r="Q230" s="24"/>
      <c r="R230" s="25"/>
    </row>
    <row r="231" spans="1:18" ht="17.399999999999999" customHeight="1" thickBot="1" x14ac:dyDescent="0.35">
      <c r="A231" s="221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3"/>
    </row>
    <row r="232" spans="1:18" ht="22.05" customHeight="1" thickTop="1" thickBot="1" x14ac:dyDescent="0.55000000000000004">
      <c r="A232" s="211" t="s">
        <v>8</v>
      </c>
      <c r="B232" s="212"/>
      <c r="C232" s="212"/>
      <c r="D232" s="212"/>
      <c r="E232" s="212"/>
      <c r="F232" s="212"/>
      <c r="G232" s="26">
        <v>46000</v>
      </c>
      <c r="H232" s="219" t="s">
        <v>9</v>
      </c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</row>
    <row r="233" spans="1:18" ht="24" customHeight="1" x14ac:dyDescent="0.3">
      <c r="A233" s="27" t="s">
        <v>10</v>
      </c>
      <c r="B233" s="27" t="s">
        <v>11</v>
      </c>
      <c r="C233" s="28" t="s">
        <v>12</v>
      </c>
      <c r="D233" s="27" t="s">
        <v>13</v>
      </c>
      <c r="E233" s="27" t="s">
        <v>14</v>
      </c>
      <c r="F233" s="29" t="s">
        <v>15</v>
      </c>
      <c r="G233" s="30" t="s">
        <v>16</v>
      </c>
      <c r="H233" s="27" t="s">
        <v>17</v>
      </c>
      <c r="I233" s="31" t="s">
        <v>18</v>
      </c>
      <c r="J233" s="32" t="s">
        <v>19</v>
      </c>
      <c r="K233" s="33" t="s">
        <v>20</v>
      </c>
      <c r="L233" s="32" t="s">
        <v>21</v>
      </c>
      <c r="M233" s="32" t="s">
        <v>22</v>
      </c>
      <c r="N233" s="32" t="s">
        <v>23</v>
      </c>
      <c r="O233" s="27" t="s">
        <v>24</v>
      </c>
      <c r="P233" s="28" t="s">
        <v>25</v>
      </c>
      <c r="Q233" s="32" t="s">
        <v>26</v>
      </c>
      <c r="R233" s="27" t="s">
        <v>27</v>
      </c>
    </row>
    <row r="234" spans="1:18" ht="15" customHeight="1" x14ac:dyDescent="0.3">
      <c r="A234" s="8" t="s">
        <v>59</v>
      </c>
      <c r="B234" s="8" t="s">
        <v>371</v>
      </c>
      <c r="C234" s="9">
        <v>0.44791666666666669</v>
      </c>
      <c r="D234" s="8" t="s">
        <v>61</v>
      </c>
      <c r="E234" s="8" t="s">
        <v>165</v>
      </c>
      <c r="F234" s="8" t="s">
        <v>466</v>
      </c>
      <c r="G234" s="213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x14ac:dyDescent="0.3">
      <c r="A235" s="17" t="s">
        <v>59</v>
      </c>
      <c r="B235" s="17" t="s">
        <v>371</v>
      </c>
      <c r="C235" s="18">
        <v>0.44791666666666669</v>
      </c>
      <c r="D235" s="17" t="s">
        <v>64</v>
      </c>
      <c r="E235" s="17" t="s">
        <v>166</v>
      </c>
      <c r="F235" s="17" t="s">
        <v>453</v>
      </c>
      <c r="G235" s="214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</row>
    <row r="236" spans="1:18" ht="15" customHeight="1" x14ac:dyDescent="0.3">
      <c r="A236" s="17" t="s">
        <v>59</v>
      </c>
      <c r="B236" s="17" t="s">
        <v>371</v>
      </c>
      <c r="C236" s="18">
        <v>0.44791666666666669</v>
      </c>
      <c r="D236" s="17" t="s">
        <v>67</v>
      </c>
      <c r="E236" s="17" t="s">
        <v>166</v>
      </c>
      <c r="F236" s="17" t="s">
        <v>374</v>
      </c>
      <c r="G236" s="214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</row>
    <row r="237" spans="1:18" ht="15" customHeight="1" x14ac:dyDescent="0.3">
      <c r="A237" s="15" t="s">
        <v>33</v>
      </c>
      <c r="B237" s="15" t="s">
        <v>356</v>
      </c>
      <c r="C237" s="16">
        <v>0.97222222222222221</v>
      </c>
      <c r="D237" s="15" t="s">
        <v>35</v>
      </c>
      <c r="E237" s="15" t="s">
        <v>78</v>
      </c>
      <c r="F237" s="15" t="s">
        <v>467</v>
      </c>
      <c r="G237" s="214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</row>
    <row r="238" spans="1:18" ht="15" customHeight="1" x14ac:dyDescent="0.3">
      <c r="A238" s="17" t="s">
        <v>33</v>
      </c>
      <c r="B238" s="17" t="s">
        <v>356</v>
      </c>
      <c r="C238" s="18">
        <v>0.97222222222222221</v>
      </c>
      <c r="D238" s="17" t="s">
        <v>38</v>
      </c>
      <c r="E238" s="17" t="s">
        <v>140</v>
      </c>
      <c r="F238" s="17" t="s">
        <v>468</v>
      </c>
      <c r="G238" s="214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</row>
    <row r="239" spans="1:18" ht="15" customHeight="1" x14ac:dyDescent="0.3">
      <c r="A239" s="17" t="s">
        <v>33</v>
      </c>
      <c r="B239" s="17" t="s">
        <v>356</v>
      </c>
      <c r="C239" s="18">
        <v>0.97222222222222221</v>
      </c>
      <c r="D239" s="17" t="s">
        <v>41</v>
      </c>
      <c r="E239" s="17" t="s">
        <v>140</v>
      </c>
      <c r="F239" s="17" t="s">
        <v>469</v>
      </c>
      <c r="G239" s="214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</row>
    <row r="240" spans="1:18" ht="15" customHeight="1" x14ac:dyDescent="0.3">
      <c r="A240" s="34" t="s">
        <v>33</v>
      </c>
      <c r="B240" s="34" t="s">
        <v>364</v>
      </c>
      <c r="C240" s="35">
        <v>0.33680555555555558</v>
      </c>
      <c r="D240" s="34" t="s">
        <v>35</v>
      </c>
      <c r="E240" s="34" t="s">
        <v>401</v>
      </c>
      <c r="F240" s="34" t="s">
        <v>467</v>
      </c>
      <c r="G240" s="214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</row>
    <row r="241" spans="1:18" ht="15" customHeight="1" x14ac:dyDescent="0.3">
      <c r="A241" s="17" t="s">
        <v>33</v>
      </c>
      <c r="B241" s="17" t="s">
        <v>364</v>
      </c>
      <c r="C241" s="18">
        <v>0.33680555555555558</v>
      </c>
      <c r="D241" s="17" t="s">
        <v>38</v>
      </c>
      <c r="E241" s="17" t="s">
        <v>399</v>
      </c>
      <c r="F241" s="17" t="s">
        <v>468</v>
      </c>
      <c r="G241" s="214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</row>
    <row r="242" spans="1:18" ht="15" customHeight="1" x14ac:dyDescent="0.3">
      <c r="A242" s="17" t="s">
        <v>33</v>
      </c>
      <c r="B242" s="17" t="s">
        <v>364</v>
      </c>
      <c r="C242" s="18">
        <v>0.33680555555555558</v>
      </c>
      <c r="D242" s="17" t="s">
        <v>41</v>
      </c>
      <c r="E242" s="17" t="s">
        <v>399</v>
      </c>
      <c r="F242" s="17" t="s">
        <v>469</v>
      </c>
      <c r="G242" s="214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</row>
    <row r="243" spans="1:18" ht="15" customHeight="1" x14ac:dyDescent="0.3">
      <c r="A243" s="72" t="s">
        <v>76</v>
      </c>
      <c r="B243" s="72" t="s">
        <v>389</v>
      </c>
      <c r="C243" s="73">
        <v>6.9444444444444434E-2</v>
      </c>
      <c r="D243" s="72" t="s">
        <v>178</v>
      </c>
      <c r="E243" s="72" t="s">
        <v>31</v>
      </c>
      <c r="F243" s="72" t="s">
        <v>470</v>
      </c>
      <c r="G243" s="214"/>
      <c r="H243" s="74" t="s">
        <v>391</v>
      </c>
      <c r="I243" s="75">
        <v>0.37780000000000002</v>
      </c>
      <c r="J243" s="76">
        <v>68</v>
      </c>
      <c r="K243" s="77">
        <v>45984</v>
      </c>
      <c r="L243" s="76">
        <v>38</v>
      </c>
      <c r="M243" s="76">
        <v>1</v>
      </c>
      <c r="N243" s="76">
        <v>7</v>
      </c>
      <c r="O243" s="78" t="s">
        <v>471</v>
      </c>
      <c r="P243" s="79">
        <v>6.9444444444444434E-2</v>
      </c>
      <c r="Q243" s="76">
        <v>180</v>
      </c>
      <c r="R243" s="80" t="s">
        <v>472</v>
      </c>
    </row>
    <row r="244" spans="1:18" ht="15" customHeight="1" x14ac:dyDescent="0.3">
      <c r="A244" s="15" t="s">
        <v>102</v>
      </c>
      <c r="B244" s="15" t="s">
        <v>387</v>
      </c>
      <c r="C244" s="16">
        <v>0.88194444444444453</v>
      </c>
      <c r="D244" s="15" t="s">
        <v>178</v>
      </c>
      <c r="E244" s="15" t="s">
        <v>162</v>
      </c>
      <c r="F244" s="15" t="s">
        <v>473</v>
      </c>
      <c r="G244" s="214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</row>
    <row r="245" spans="1:18" ht="15" customHeight="1" x14ac:dyDescent="0.3">
      <c r="A245" s="15" t="s">
        <v>28</v>
      </c>
      <c r="B245" s="15" t="s">
        <v>386</v>
      </c>
      <c r="C245" s="16">
        <v>0.75694444444444453</v>
      </c>
      <c r="D245" s="15" t="s">
        <v>178</v>
      </c>
      <c r="E245" s="15" t="s">
        <v>129</v>
      </c>
      <c r="F245" s="15" t="s">
        <v>474</v>
      </c>
      <c r="G245" s="214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</row>
    <row r="246" spans="1:18" ht="15" customHeight="1" x14ac:dyDescent="0.3">
      <c r="A246" s="15" t="s">
        <v>43</v>
      </c>
      <c r="B246" s="15" t="s">
        <v>360</v>
      </c>
      <c r="C246" s="16">
        <v>0.97916666666666663</v>
      </c>
      <c r="D246" s="15" t="s">
        <v>45</v>
      </c>
      <c r="E246" s="15" t="s">
        <v>31</v>
      </c>
      <c r="F246" s="15" t="s">
        <v>464</v>
      </c>
      <c r="G246" s="214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</row>
    <row r="247" spans="1:18" ht="15" customHeight="1" x14ac:dyDescent="0.3">
      <c r="A247" s="34" t="s">
        <v>43</v>
      </c>
      <c r="B247" s="34" t="s">
        <v>380</v>
      </c>
      <c r="C247" s="35">
        <v>0.33680555555555558</v>
      </c>
      <c r="D247" s="34" t="s">
        <v>45</v>
      </c>
      <c r="E247" s="34" t="s">
        <v>51</v>
      </c>
      <c r="F247" s="34" t="s">
        <v>464</v>
      </c>
      <c r="G247" s="214"/>
      <c r="H247" s="10"/>
      <c r="I247" s="11"/>
      <c r="J247" s="11"/>
      <c r="K247" s="11"/>
      <c r="L247" s="11"/>
      <c r="M247" s="11"/>
      <c r="N247" s="11"/>
      <c r="O247" s="12"/>
      <c r="P247" s="11"/>
      <c r="Q247" s="13"/>
      <c r="R247" s="14"/>
    </row>
    <row r="248" spans="1:18" ht="15" customHeight="1" x14ac:dyDescent="0.3">
      <c r="A248" s="34" t="s">
        <v>43</v>
      </c>
      <c r="B248" s="34" t="s">
        <v>362</v>
      </c>
      <c r="C248" s="35">
        <v>0.67361111111111116</v>
      </c>
      <c r="D248" s="34" t="s">
        <v>45</v>
      </c>
      <c r="E248" s="34" t="s">
        <v>51</v>
      </c>
      <c r="F248" s="34" t="s">
        <v>462</v>
      </c>
      <c r="G248" s="214"/>
      <c r="H248" s="10"/>
      <c r="I248" s="11"/>
      <c r="J248" s="11"/>
      <c r="K248" s="11"/>
      <c r="L248" s="11"/>
      <c r="M248" s="11"/>
      <c r="N248" s="11"/>
      <c r="O248" s="12"/>
      <c r="P248" s="11"/>
      <c r="Q248" s="13"/>
      <c r="R248" s="14"/>
    </row>
    <row r="249" spans="1:18" ht="15" customHeight="1" thickBot="1" x14ac:dyDescent="0.35">
      <c r="A249" s="19" t="s">
        <v>54</v>
      </c>
      <c r="B249" s="19" t="s">
        <v>382</v>
      </c>
      <c r="C249" s="20">
        <v>0.44791666666666669</v>
      </c>
      <c r="D249" s="19" t="s">
        <v>56</v>
      </c>
      <c r="E249" s="19" t="s">
        <v>57</v>
      </c>
      <c r="F249" s="19" t="s">
        <v>475</v>
      </c>
      <c r="G249" s="215"/>
      <c r="H249" s="21"/>
      <c r="I249" s="22"/>
      <c r="J249" s="22"/>
      <c r="K249" s="22"/>
      <c r="L249" s="22"/>
      <c r="M249" s="22"/>
      <c r="N249" s="22"/>
      <c r="O249" s="23"/>
      <c r="P249" s="22"/>
      <c r="Q249" s="24"/>
      <c r="R249" s="25"/>
    </row>
    <row r="250" spans="1:18" ht="17.399999999999999" customHeight="1" thickBot="1" x14ac:dyDescent="0.35">
      <c r="A250" s="221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3"/>
    </row>
    <row r="251" spans="1:18" ht="22.05" customHeight="1" thickTop="1" thickBot="1" x14ac:dyDescent="0.55000000000000004">
      <c r="A251" s="211" t="s">
        <v>8</v>
      </c>
      <c r="B251" s="212"/>
      <c r="C251" s="212"/>
      <c r="D251" s="212"/>
      <c r="E251" s="212"/>
      <c r="F251" s="212"/>
      <c r="G251" s="26">
        <v>46001</v>
      </c>
      <c r="H251" s="219" t="s">
        <v>9</v>
      </c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</row>
    <row r="252" spans="1:18" ht="24" customHeight="1" x14ac:dyDescent="0.3">
      <c r="A252" s="27" t="s">
        <v>10</v>
      </c>
      <c r="B252" s="27" t="s">
        <v>11</v>
      </c>
      <c r="C252" s="28" t="s">
        <v>12</v>
      </c>
      <c r="D252" s="27" t="s">
        <v>13</v>
      </c>
      <c r="E252" s="27" t="s">
        <v>14</v>
      </c>
      <c r="F252" s="29" t="s">
        <v>15</v>
      </c>
      <c r="G252" s="30" t="s">
        <v>16</v>
      </c>
      <c r="H252" s="27" t="s">
        <v>17</v>
      </c>
      <c r="I252" s="31" t="s">
        <v>18</v>
      </c>
      <c r="J252" s="32" t="s">
        <v>19</v>
      </c>
      <c r="K252" s="33" t="s">
        <v>20</v>
      </c>
      <c r="L252" s="32" t="s">
        <v>21</v>
      </c>
      <c r="M252" s="32" t="s">
        <v>22</v>
      </c>
      <c r="N252" s="32" t="s">
        <v>23</v>
      </c>
      <c r="O252" s="27" t="s">
        <v>24</v>
      </c>
      <c r="P252" s="28" t="s">
        <v>25</v>
      </c>
      <c r="Q252" s="32" t="s">
        <v>26</v>
      </c>
      <c r="R252" s="27" t="s">
        <v>27</v>
      </c>
    </row>
    <row r="253" spans="1:18" ht="15" customHeight="1" x14ac:dyDescent="0.3">
      <c r="A253" s="8" t="s">
        <v>59</v>
      </c>
      <c r="B253" s="8" t="s">
        <v>371</v>
      </c>
      <c r="C253" s="9">
        <v>0.44791666666666669</v>
      </c>
      <c r="D253" s="8" t="s">
        <v>61</v>
      </c>
      <c r="E253" s="8" t="s">
        <v>129</v>
      </c>
      <c r="F253" s="8" t="s">
        <v>466</v>
      </c>
      <c r="G253" s="213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</row>
    <row r="254" spans="1:18" ht="15" customHeight="1" x14ac:dyDescent="0.3">
      <c r="A254" s="17" t="s">
        <v>59</v>
      </c>
      <c r="B254" s="17" t="s">
        <v>371</v>
      </c>
      <c r="C254" s="18">
        <v>0.44791666666666669</v>
      </c>
      <c r="D254" s="17" t="s">
        <v>64</v>
      </c>
      <c r="E254" s="17" t="s">
        <v>399</v>
      </c>
      <c r="F254" s="17" t="s">
        <v>453</v>
      </c>
      <c r="G254" s="214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</row>
    <row r="255" spans="1:18" ht="15" customHeight="1" x14ac:dyDescent="0.3">
      <c r="A255" s="17" t="s">
        <v>59</v>
      </c>
      <c r="B255" s="17" t="s">
        <v>371</v>
      </c>
      <c r="C255" s="18">
        <v>0.44791666666666669</v>
      </c>
      <c r="D255" s="17" t="s">
        <v>67</v>
      </c>
      <c r="E255" s="17" t="s">
        <v>399</v>
      </c>
      <c r="F255" s="17" t="s">
        <v>374</v>
      </c>
      <c r="G255" s="214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</row>
    <row r="256" spans="1:18" ht="15" customHeight="1" x14ac:dyDescent="0.3">
      <c r="A256" s="15" t="s">
        <v>33</v>
      </c>
      <c r="B256" s="15" t="s">
        <v>356</v>
      </c>
      <c r="C256" s="16">
        <v>0.97222222222222221</v>
      </c>
      <c r="D256" s="15" t="s">
        <v>35</v>
      </c>
      <c r="E256" s="15" t="s">
        <v>94</v>
      </c>
      <c r="F256" s="15" t="s">
        <v>467</v>
      </c>
      <c r="G256" s="214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</row>
    <row r="257" spans="1:18" ht="15" customHeight="1" x14ac:dyDescent="0.3">
      <c r="A257" s="17" t="s">
        <v>33</v>
      </c>
      <c r="B257" s="17" t="s">
        <v>356</v>
      </c>
      <c r="C257" s="18">
        <v>0.97222222222222221</v>
      </c>
      <c r="D257" s="17" t="s">
        <v>38</v>
      </c>
      <c r="E257" s="17" t="s">
        <v>96</v>
      </c>
      <c r="F257" s="17" t="s">
        <v>468</v>
      </c>
      <c r="G257" s="214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17" t="s">
        <v>33</v>
      </c>
      <c r="B258" s="17" t="s">
        <v>356</v>
      </c>
      <c r="C258" s="18">
        <v>0.97222222222222221</v>
      </c>
      <c r="D258" s="17" t="s">
        <v>41</v>
      </c>
      <c r="E258" s="17" t="s">
        <v>96</v>
      </c>
      <c r="F258" s="17" t="s">
        <v>469</v>
      </c>
      <c r="G258" s="214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15" t="s">
        <v>120</v>
      </c>
      <c r="B259" s="15" t="s">
        <v>425</v>
      </c>
      <c r="C259" s="16">
        <v>0.78472222222222221</v>
      </c>
      <c r="D259" s="15" t="s">
        <v>122</v>
      </c>
      <c r="E259" s="15" t="s">
        <v>36</v>
      </c>
      <c r="F259" s="15" t="s">
        <v>476</v>
      </c>
      <c r="G259" s="214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17" t="s">
        <v>120</v>
      </c>
      <c r="B260" s="17" t="s">
        <v>425</v>
      </c>
      <c r="C260" s="18">
        <v>0.78472222222222221</v>
      </c>
      <c r="D260" s="17" t="s">
        <v>67</v>
      </c>
      <c r="E260" s="17" t="s">
        <v>39</v>
      </c>
      <c r="F260" s="17" t="s">
        <v>477</v>
      </c>
      <c r="G260" s="214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15" t="s">
        <v>28</v>
      </c>
      <c r="B261" s="15" t="s">
        <v>375</v>
      </c>
      <c r="C261" s="16">
        <v>0.69444444444444453</v>
      </c>
      <c r="D261" s="15" t="s">
        <v>178</v>
      </c>
      <c r="E261" s="15" t="s">
        <v>89</v>
      </c>
      <c r="F261" s="15" t="s">
        <v>474</v>
      </c>
      <c r="G261" s="214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15" t="s">
        <v>43</v>
      </c>
      <c r="B262" s="15" t="s">
        <v>380</v>
      </c>
      <c r="C262" s="16">
        <v>0.33680555555555558</v>
      </c>
      <c r="D262" s="15" t="s">
        <v>45</v>
      </c>
      <c r="E262" s="15" t="s">
        <v>31</v>
      </c>
      <c r="F262" s="15" t="s">
        <v>464</v>
      </c>
      <c r="G262" s="214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</row>
    <row r="263" spans="1:18" ht="15" customHeight="1" x14ac:dyDescent="0.3">
      <c r="A263" s="34" t="s">
        <v>43</v>
      </c>
      <c r="B263" s="34" t="s">
        <v>360</v>
      </c>
      <c r="C263" s="35">
        <v>0.97916666666666663</v>
      </c>
      <c r="D263" s="34" t="s">
        <v>45</v>
      </c>
      <c r="E263" s="34" t="s">
        <v>51</v>
      </c>
      <c r="F263" s="34" t="s">
        <v>461</v>
      </c>
      <c r="G263" s="214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</row>
    <row r="264" spans="1:18" ht="15" customHeight="1" x14ac:dyDescent="0.3">
      <c r="A264" s="34" t="s">
        <v>43</v>
      </c>
      <c r="B264" s="34" t="s">
        <v>362</v>
      </c>
      <c r="C264" s="35">
        <v>0.67361111111111116</v>
      </c>
      <c r="D264" s="34" t="s">
        <v>45</v>
      </c>
      <c r="E264" s="34" t="s">
        <v>51</v>
      </c>
      <c r="F264" s="34" t="s">
        <v>462</v>
      </c>
      <c r="G264" s="214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</row>
    <row r="265" spans="1:18" ht="15" customHeight="1" thickBot="1" x14ac:dyDescent="0.35">
      <c r="A265" s="19" t="s">
        <v>54</v>
      </c>
      <c r="B265" s="19" t="s">
        <v>382</v>
      </c>
      <c r="C265" s="20">
        <v>0.44791666666666669</v>
      </c>
      <c r="D265" s="19" t="s">
        <v>56</v>
      </c>
      <c r="E265" s="19" t="s">
        <v>57</v>
      </c>
      <c r="F265" s="19" t="s">
        <v>475</v>
      </c>
      <c r="G265" s="215"/>
      <c r="H265" s="21"/>
      <c r="I265" s="22"/>
      <c r="J265" s="22"/>
      <c r="K265" s="22"/>
      <c r="L265" s="22"/>
      <c r="M265" s="22"/>
      <c r="N265" s="22"/>
      <c r="O265" s="23"/>
      <c r="P265" s="22"/>
      <c r="Q265" s="24"/>
      <c r="R265" s="25"/>
    </row>
    <row r="266" spans="1:18" ht="17.399999999999999" customHeight="1" thickBot="1" x14ac:dyDescent="0.35">
      <c r="A266" s="221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3"/>
    </row>
    <row r="267" spans="1:18" ht="22.05" customHeight="1" thickTop="1" thickBot="1" x14ac:dyDescent="0.55000000000000004">
      <c r="A267" s="211" t="s">
        <v>8</v>
      </c>
      <c r="B267" s="212"/>
      <c r="C267" s="212"/>
      <c r="D267" s="212"/>
      <c r="E267" s="212"/>
      <c r="F267" s="212"/>
      <c r="G267" s="26">
        <v>46002</v>
      </c>
      <c r="H267" s="219" t="s">
        <v>9</v>
      </c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</row>
    <row r="268" spans="1:18" ht="24" customHeight="1" x14ac:dyDescent="0.3">
      <c r="A268" s="27" t="s">
        <v>10</v>
      </c>
      <c r="B268" s="27" t="s">
        <v>11</v>
      </c>
      <c r="C268" s="28" t="s">
        <v>12</v>
      </c>
      <c r="D268" s="27" t="s">
        <v>13</v>
      </c>
      <c r="E268" s="27" t="s">
        <v>14</v>
      </c>
      <c r="F268" s="29" t="s">
        <v>15</v>
      </c>
      <c r="G268" s="30" t="s">
        <v>16</v>
      </c>
      <c r="H268" s="27" t="s">
        <v>17</v>
      </c>
      <c r="I268" s="31" t="s">
        <v>18</v>
      </c>
      <c r="J268" s="32" t="s">
        <v>19</v>
      </c>
      <c r="K268" s="33" t="s">
        <v>20</v>
      </c>
      <c r="L268" s="32" t="s">
        <v>21</v>
      </c>
      <c r="M268" s="32" t="s">
        <v>22</v>
      </c>
      <c r="N268" s="32" t="s">
        <v>23</v>
      </c>
      <c r="O268" s="27" t="s">
        <v>24</v>
      </c>
      <c r="P268" s="28" t="s">
        <v>25</v>
      </c>
      <c r="Q268" s="32" t="s">
        <v>26</v>
      </c>
      <c r="R268" s="27" t="s">
        <v>27</v>
      </c>
    </row>
    <row r="269" spans="1:18" ht="49.95" customHeight="1" thickTop="1" thickBot="1" x14ac:dyDescent="0.35">
      <c r="A269" s="54" t="s">
        <v>76</v>
      </c>
      <c r="B269" s="54" t="s">
        <v>389</v>
      </c>
      <c r="C269" s="55">
        <v>0.72222222222222221</v>
      </c>
      <c r="D269" s="54" t="s">
        <v>296</v>
      </c>
      <c r="E269" s="155"/>
      <c r="F269" s="54" t="s">
        <v>297</v>
      </c>
      <c r="G269" s="244"/>
      <c r="H269" s="156" t="s">
        <v>391</v>
      </c>
      <c r="I269" s="157">
        <v>0.42220000000000002</v>
      </c>
      <c r="J269" s="158">
        <v>76</v>
      </c>
      <c r="K269" s="159">
        <v>45984</v>
      </c>
      <c r="L269" s="158">
        <v>57</v>
      </c>
      <c r="M269" s="158">
        <v>2</v>
      </c>
      <c r="N269" s="158">
        <v>21</v>
      </c>
      <c r="O269" s="160" t="s">
        <v>478</v>
      </c>
      <c r="P269" s="161">
        <v>0.72222222222222221</v>
      </c>
      <c r="Q269" s="158">
        <v>180</v>
      </c>
      <c r="R269" s="162" t="s">
        <v>479</v>
      </c>
    </row>
    <row r="270" spans="1:18" ht="17.399999999999999" customHeight="1" thickBot="1" x14ac:dyDescent="0.35">
      <c r="A270" s="221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3"/>
    </row>
    <row r="271" spans="1:18" ht="22.05" customHeight="1" thickTop="1" thickBot="1" x14ac:dyDescent="0.55000000000000004">
      <c r="A271" s="211" t="s">
        <v>8</v>
      </c>
      <c r="B271" s="212"/>
      <c r="C271" s="212"/>
      <c r="D271" s="212"/>
      <c r="E271" s="212"/>
      <c r="F271" s="212"/>
      <c r="G271" s="26">
        <v>46003</v>
      </c>
      <c r="H271" s="219" t="s">
        <v>9</v>
      </c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</row>
    <row r="272" spans="1:18" ht="24" customHeight="1" x14ac:dyDescent="0.3">
      <c r="A272" s="27" t="s">
        <v>10</v>
      </c>
      <c r="B272" s="27" t="s">
        <v>11</v>
      </c>
      <c r="C272" s="28" t="s">
        <v>12</v>
      </c>
      <c r="D272" s="27" t="s">
        <v>13</v>
      </c>
      <c r="E272" s="27" t="s">
        <v>14</v>
      </c>
      <c r="F272" s="29" t="s">
        <v>15</v>
      </c>
      <c r="G272" s="30" t="s">
        <v>16</v>
      </c>
      <c r="H272" s="27" t="s">
        <v>17</v>
      </c>
      <c r="I272" s="31" t="s">
        <v>18</v>
      </c>
      <c r="J272" s="32" t="s">
        <v>19</v>
      </c>
      <c r="K272" s="33" t="s">
        <v>20</v>
      </c>
      <c r="L272" s="32" t="s">
        <v>21</v>
      </c>
      <c r="M272" s="32" t="s">
        <v>22</v>
      </c>
      <c r="N272" s="32" t="s">
        <v>23</v>
      </c>
      <c r="O272" s="27" t="s">
        <v>24</v>
      </c>
      <c r="P272" s="28" t="s">
        <v>25</v>
      </c>
      <c r="Q272" s="32" t="s">
        <v>26</v>
      </c>
      <c r="R272" s="27" t="s">
        <v>27</v>
      </c>
    </row>
    <row r="273" spans="1:18" ht="15" customHeight="1" x14ac:dyDescent="0.3">
      <c r="A273" s="8" t="s">
        <v>59</v>
      </c>
      <c r="B273" s="8" t="s">
        <v>371</v>
      </c>
      <c r="C273" s="9">
        <v>0.44791666666666669</v>
      </c>
      <c r="D273" s="8" t="s">
        <v>61</v>
      </c>
      <c r="E273" s="8" t="s">
        <v>433</v>
      </c>
      <c r="F273" s="8" t="s">
        <v>466</v>
      </c>
      <c r="G273" s="233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</row>
    <row r="274" spans="1:18" ht="15" customHeight="1" x14ac:dyDescent="0.3">
      <c r="A274" s="17" t="s">
        <v>59</v>
      </c>
      <c r="B274" s="17" t="s">
        <v>371</v>
      </c>
      <c r="C274" s="18">
        <v>0.44791666666666669</v>
      </c>
      <c r="D274" s="17" t="s">
        <v>64</v>
      </c>
      <c r="E274" s="17" t="s">
        <v>434</v>
      </c>
      <c r="F274" s="17" t="s">
        <v>453</v>
      </c>
      <c r="G274" s="214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</row>
    <row r="275" spans="1:18" ht="15" customHeight="1" x14ac:dyDescent="0.3">
      <c r="A275" s="17" t="s">
        <v>59</v>
      </c>
      <c r="B275" s="17" t="s">
        <v>371</v>
      </c>
      <c r="C275" s="18">
        <v>0.44791666666666669</v>
      </c>
      <c r="D275" s="17" t="s">
        <v>67</v>
      </c>
      <c r="E275" s="17" t="s">
        <v>434</v>
      </c>
      <c r="F275" s="17" t="s">
        <v>374</v>
      </c>
      <c r="G275" s="214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15" customHeight="1" x14ac:dyDescent="0.3">
      <c r="A276" s="15" t="s">
        <v>33</v>
      </c>
      <c r="B276" s="15" t="s">
        <v>356</v>
      </c>
      <c r="C276" s="16">
        <v>0.97222222222222221</v>
      </c>
      <c r="D276" s="15" t="s">
        <v>35</v>
      </c>
      <c r="E276" s="15" t="s">
        <v>78</v>
      </c>
      <c r="F276" s="15" t="s">
        <v>480</v>
      </c>
      <c r="G276" s="214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15" customHeight="1" x14ac:dyDescent="0.3">
      <c r="A277" s="17" t="s">
        <v>33</v>
      </c>
      <c r="B277" s="17" t="s">
        <v>356</v>
      </c>
      <c r="C277" s="18">
        <v>0.97222222222222221</v>
      </c>
      <c r="D277" s="17" t="s">
        <v>38</v>
      </c>
      <c r="E277" s="17" t="s">
        <v>140</v>
      </c>
      <c r="F277" s="17" t="s">
        <v>481</v>
      </c>
      <c r="G277" s="214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</row>
    <row r="278" spans="1:18" ht="15" customHeight="1" x14ac:dyDescent="0.3">
      <c r="A278" s="17" t="s">
        <v>33</v>
      </c>
      <c r="B278" s="17" t="s">
        <v>356</v>
      </c>
      <c r="C278" s="18">
        <v>0.97222222222222221</v>
      </c>
      <c r="D278" s="17" t="s">
        <v>41</v>
      </c>
      <c r="E278" s="17" t="s">
        <v>140</v>
      </c>
      <c r="F278" s="17" t="s">
        <v>482</v>
      </c>
      <c r="G278" s="214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</row>
    <row r="279" spans="1:18" ht="15" customHeight="1" x14ac:dyDescent="0.3">
      <c r="A279" s="90" t="s">
        <v>76</v>
      </c>
      <c r="B279" s="90" t="s">
        <v>389</v>
      </c>
      <c r="C279" s="91">
        <v>0.38194444444444442</v>
      </c>
      <c r="D279" s="90" t="s">
        <v>178</v>
      </c>
      <c r="E279" s="90" t="s">
        <v>129</v>
      </c>
      <c r="F279" s="90" t="s">
        <v>483</v>
      </c>
      <c r="G279" s="214"/>
      <c r="H279" s="92" t="s">
        <v>391</v>
      </c>
      <c r="I279" s="93">
        <v>0.31109999999999999</v>
      </c>
      <c r="J279" s="94">
        <v>56</v>
      </c>
      <c r="K279" s="95">
        <v>45984</v>
      </c>
      <c r="L279" s="94">
        <v>25</v>
      </c>
      <c r="M279" s="94">
        <v>4</v>
      </c>
      <c r="N279" s="94">
        <v>6</v>
      </c>
      <c r="O279" s="96" t="s">
        <v>150</v>
      </c>
      <c r="P279" s="97">
        <v>0.38194444444444442</v>
      </c>
      <c r="Q279" s="94">
        <v>180</v>
      </c>
      <c r="R279" s="98" t="s">
        <v>484</v>
      </c>
    </row>
    <row r="280" spans="1:18" ht="15" customHeight="1" x14ac:dyDescent="0.3">
      <c r="A280" s="15" t="s">
        <v>28</v>
      </c>
      <c r="B280" s="15" t="s">
        <v>375</v>
      </c>
      <c r="C280" s="16">
        <v>0.75694444444444453</v>
      </c>
      <c r="D280" s="15" t="s">
        <v>178</v>
      </c>
      <c r="E280" s="15" t="s">
        <v>78</v>
      </c>
      <c r="F280" s="15" t="s">
        <v>460</v>
      </c>
      <c r="G280" s="214"/>
      <c r="H280" s="10"/>
      <c r="I280" s="11"/>
      <c r="J280" s="11"/>
      <c r="K280" s="11"/>
      <c r="L280" s="11"/>
      <c r="M280" s="11"/>
      <c r="N280" s="11"/>
      <c r="O280" s="12"/>
      <c r="P280" s="11"/>
      <c r="Q280" s="13"/>
      <c r="R280" s="14"/>
    </row>
    <row r="281" spans="1:18" ht="15" customHeight="1" x14ac:dyDescent="0.3">
      <c r="A281" s="15" t="s">
        <v>43</v>
      </c>
      <c r="B281" s="15" t="s">
        <v>380</v>
      </c>
      <c r="C281" s="16">
        <v>0.33680555555555558</v>
      </c>
      <c r="D281" s="15" t="s">
        <v>45</v>
      </c>
      <c r="E281" s="15" t="s">
        <v>31</v>
      </c>
      <c r="F281" s="15" t="s">
        <v>485</v>
      </c>
      <c r="G281" s="214"/>
      <c r="H281" s="10"/>
      <c r="I281" s="11"/>
      <c r="J281" s="11"/>
      <c r="K281" s="11"/>
      <c r="L281" s="11"/>
      <c r="M281" s="11"/>
      <c r="N281" s="11"/>
      <c r="O281" s="12"/>
      <c r="P281" s="11"/>
      <c r="Q281" s="13"/>
      <c r="R281" s="14"/>
    </row>
    <row r="282" spans="1:18" ht="15" customHeight="1" x14ac:dyDescent="0.3">
      <c r="A282" s="34" t="s">
        <v>43</v>
      </c>
      <c r="B282" s="34" t="s">
        <v>360</v>
      </c>
      <c r="C282" s="35">
        <v>0.97916666666666663</v>
      </c>
      <c r="D282" s="34" t="s">
        <v>45</v>
      </c>
      <c r="E282" s="34" t="s">
        <v>51</v>
      </c>
      <c r="F282" s="34" t="s">
        <v>461</v>
      </c>
      <c r="G282" s="214"/>
      <c r="H282" s="10"/>
      <c r="I282" s="11"/>
      <c r="J282" s="11"/>
      <c r="K282" s="11"/>
      <c r="L282" s="11"/>
      <c r="M282" s="11"/>
      <c r="N282" s="11"/>
      <c r="O282" s="12"/>
      <c r="P282" s="11"/>
      <c r="Q282" s="13"/>
      <c r="R282" s="14"/>
    </row>
    <row r="283" spans="1:18" ht="15" customHeight="1" x14ac:dyDescent="0.3">
      <c r="A283" s="34" t="s">
        <v>43</v>
      </c>
      <c r="B283" s="34" t="s">
        <v>362</v>
      </c>
      <c r="C283" s="35">
        <v>0.67361111111111116</v>
      </c>
      <c r="D283" s="34" t="s">
        <v>45</v>
      </c>
      <c r="E283" s="34" t="s">
        <v>51</v>
      </c>
      <c r="F283" s="34" t="s">
        <v>462</v>
      </c>
      <c r="G283" s="214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</row>
    <row r="284" spans="1:18" ht="15" customHeight="1" thickBot="1" x14ac:dyDescent="0.35">
      <c r="A284" s="19" t="s">
        <v>54</v>
      </c>
      <c r="B284" s="19" t="s">
        <v>382</v>
      </c>
      <c r="C284" s="20">
        <v>0.44791666666666669</v>
      </c>
      <c r="D284" s="19" t="s">
        <v>56</v>
      </c>
      <c r="E284" s="19" t="s">
        <v>57</v>
      </c>
      <c r="F284" s="19" t="s">
        <v>475</v>
      </c>
      <c r="G284" s="215"/>
      <c r="H284" s="21"/>
      <c r="I284" s="22"/>
      <c r="J284" s="22"/>
      <c r="K284" s="22"/>
      <c r="L284" s="22"/>
      <c r="M284" s="22"/>
      <c r="N284" s="22"/>
      <c r="O284" s="23"/>
      <c r="P284" s="22"/>
      <c r="Q284" s="24"/>
      <c r="R284" s="25"/>
    </row>
    <row r="285" spans="1:18" ht="17.399999999999999" customHeight="1" thickBot="1" x14ac:dyDescent="0.35">
      <c r="A285" s="221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3"/>
    </row>
    <row r="286" spans="1:18" ht="22.05" customHeight="1" thickTop="1" thickBot="1" x14ac:dyDescent="0.55000000000000004">
      <c r="A286" s="211" t="s">
        <v>8</v>
      </c>
      <c r="B286" s="212"/>
      <c r="C286" s="212"/>
      <c r="D286" s="212"/>
      <c r="E286" s="212"/>
      <c r="F286" s="212"/>
      <c r="G286" s="26">
        <v>46004</v>
      </c>
      <c r="H286" s="219" t="s">
        <v>9</v>
      </c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</row>
    <row r="287" spans="1:18" ht="24" customHeight="1" x14ac:dyDescent="0.3">
      <c r="A287" s="27" t="s">
        <v>10</v>
      </c>
      <c r="B287" s="27" t="s">
        <v>11</v>
      </c>
      <c r="C287" s="28" t="s">
        <v>12</v>
      </c>
      <c r="D287" s="27" t="s">
        <v>13</v>
      </c>
      <c r="E287" s="27" t="s">
        <v>14</v>
      </c>
      <c r="F287" s="29" t="s">
        <v>15</v>
      </c>
      <c r="G287" s="30" t="s">
        <v>16</v>
      </c>
      <c r="H287" s="27" t="s">
        <v>17</v>
      </c>
      <c r="I287" s="31" t="s">
        <v>18</v>
      </c>
      <c r="J287" s="32" t="s">
        <v>19</v>
      </c>
      <c r="K287" s="33" t="s">
        <v>20</v>
      </c>
      <c r="L287" s="32" t="s">
        <v>21</v>
      </c>
      <c r="M287" s="32" t="s">
        <v>22</v>
      </c>
      <c r="N287" s="32" t="s">
        <v>23</v>
      </c>
      <c r="O287" s="27" t="s">
        <v>24</v>
      </c>
      <c r="P287" s="28" t="s">
        <v>25</v>
      </c>
      <c r="Q287" s="32" t="s">
        <v>26</v>
      </c>
      <c r="R287" s="27" t="s">
        <v>27</v>
      </c>
    </row>
    <row r="288" spans="1:18" ht="15" customHeight="1" x14ac:dyDescent="0.3">
      <c r="A288" s="8" t="s">
        <v>33</v>
      </c>
      <c r="B288" s="8" t="s">
        <v>364</v>
      </c>
      <c r="C288" s="9">
        <v>0.33680555555555558</v>
      </c>
      <c r="D288" s="8" t="s">
        <v>35</v>
      </c>
      <c r="E288" s="8" t="s">
        <v>62</v>
      </c>
      <c r="F288" s="8" t="s">
        <v>486</v>
      </c>
      <c r="G288" s="213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</row>
    <row r="289" spans="1:18" ht="15" customHeight="1" x14ac:dyDescent="0.3">
      <c r="A289" s="17" t="s">
        <v>33</v>
      </c>
      <c r="B289" s="17" t="s">
        <v>364</v>
      </c>
      <c r="C289" s="18">
        <v>0.33680555555555558</v>
      </c>
      <c r="D289" s="17" t="s">
        <v>38</v>
      </c>
      <c r="E289" s="17" t="s">
        <v>65</v>
      </c>
      <c r="F289" s="17" t="s">
        <v>453</v>
      </c>
      <c r="G289" s="214"/>
      <c r="H289" s="10"/>
      <c r="I289" s="11"/>
      <c r="J289" s="11"/>
      <c r="K289" s="11"/>
      <c r="L289" s="11"/>
      <c r="M289" s="11"/>
      <c r="N289" s="11"/>
      <c r="O289" s="12"/>
      <c r="P289" s="11"/>
      <c r="Q289" s="13"/>
      <c r="R289" s="14"/>
    </row>
    <row r="290" spans="1:18" ht="15" customHeight="1" x14ac:dyDescent="0.3">
      <c r="A290" s="17" t="s">
        <v>33</v>
      </c>
      <c r="B290" s="17" t="s">
        <v>364</v>
      </c>
      <c r="C290" s="18">
        <v>0.33680555555555558</v>
      </c>
      <c r="D290" s="17" t="s">
        <v>41</v>
      </c>
      <c r="E290" s="17" t="s">
        <v>65</v>
      </c>
      <c r="F290" s="17" t="s">
        <v>440</v>
      </c>
      <c r="G290" s="214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</row>
    <row r="291" spans="1:18" ht="15" customHeight="1" x14ac:dyDescent="0.3">
      <c r="A291" s="34" t="s">
        <v>33</v>
      </c>
      <c r="B291" s="34" t="s">
        <v>356</v>
      </c>
      <c r="C291" s="35">
        <v>0.97222222222222221</v>
      </c>
      <c r="D291" s="34" t="s">
        <v>35</v>
      </c>
      <c r="E291" s="34" t="s">
        <v>152</v>
      </c>
      <c r="F291" s="34" t="s">
        <v>468</v>
      </c>
      <c r="G291" s="214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</row>
    <row r="292" spans="1:18" ht="15" customHeight="1" x14ac:dyDescent="0.3">
      <c r="A292" s="17" t="s">
        <v>33</v>
      </c>
      <c r="B292" s="17" t="s">
        <v>356</v>
      </c>
      <c r="C292" s="18">
        <v>0.97222222222222221</v>
      </c>
      <c r="D292" s="17" t="s">
        <v>38</v>
      </c>
      <c r="E292" s="17" t="s">
        <v>119</v>
      </c>
      <c r="F292" s="17" t="s">
        <v>487</v>
      </c>
      <c r="G292" s="214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</row>
    <row r="293" spans="1:18" ht="15" customHeight="1" x14ac:dyDescent="0.3">
      <c r="A293" s="17" t="s">
        <v>33</v>
      </c>
      <c r="B293" s="17" t="s">
        <v>356</v>
      </c>
      <c r="C293" s="18">
        <v>0.97222222222222221</v>
      </c>
      <c r="D293" s="17" t="s">
        <v>41</v>
      </c>
      <c r="E293" s="17" t="s">
        <v>119</v>
      </c>
      <c r="F293" s="17" t="s">
        <v>488</v>
      </c>
      <c r="G293" s="214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</row>
    <row r="294" spans="1:18" ht="15" customHeight="1" x14ac:dyDescent="0.3">
      <c r="A294" s="63" t="s">
        <v>76</v>
      </c>
      <c r="B294" s="63" t="s">
        <v>389</v>
      </c>
      <c r="C294" s="64">
        <v>0.72222222222222221</v>
      </c>
      <c r="D294" s="63" t="s">
        <v>178</v>
      </c>
      <c r="E294" s="63" t="s">
        <v>31</v>
      </c>
      <c r="F294" s="63" t="s">
        <v>489</v>
      </c>
      <c r="G294" s="214"/>
      <c r="H294" s="65" t="s">
        <v>391</v>
      </c>
      <c r="I294" s="66">
        <v>0.2722</v>
      </c>
      <c r="J294" s="67">
        <v>49</v>
      </c>
      <c r="K294" s="68">
        <v>45983</v>
      </c>
      <c r="L294" s="67">
        <v>9</v>
      </c>
      <c r="M294" s="67">
        <v>0</v>
      </c>
      <c r="N294" s="67">
        <v>3</v>
      </c>
      <c r="O294" s="69" t="s">
        <v>309</v>
      </c>
      <c r="P294" s="70">
        <v>0.72222222222222221</v>
      </c>
      <c r="Q294" s="67">
        <v>180</v>
      </c>
      <c r="R294" s="71" t="s">
        <v>490</v>
      </c>
    </row>
    <row r="295" spans="1:18" ht="15" customHeight="1" x14ac:dyDescent="0.3">
      <c r="A295" s="15" t="s">
        <v>28</v>
      </c>
      <c r="B295" s="15" t="s">
        <v>386</v>
      </c>
      <c r="C295" s="16">
        <v>0.69444444444444453</v>
      </c>
      <c r="D295" s="15" t="s">
        <v>178</v>
      </c>
      <c r="E295" s="15" t="s">
        <v>78</v>
      </c>
      <c r="F295" s="15" t="s">
        <v>460</v>
      </c>
      <c r="G295" s="214"/>
      <c r="H295" s="10"/>
      <c r="I295" s="11"/>
      <c r="J295" s="11"/>
      <c r="K295" s="11"/>
      <c r="L295" s="11"/>
      <c r="M295" s="11"/>
      <c r="N295" s="11"/>
      <c r="O295" s="12"/>
      <c r="P295" s="11"/>
      <c r="Q295" s="13"/>
      <c r="R295" s="14"/>
    </row>
    <row r="296" spans="1:18" ht="15" customHeight="1" x14ac:dyDescent="0.3">
      <c r="A296" s="15" t="s">
        <v>43</v>
      </c>
      <c r="B296" s="15" t="s">
        <v>360</v>
      </c>
      <c r="C296" s="16">
        <v>0.97916666666666663</v>
      </c>
      <c r="D296" s="15" t="s">
        <v>45</v>
      </c>
      <c r="E296" s="15" t="s">
        <v>31</v>
      </c>
      <c r="F296" s="15" t="s">
        <v>461</v>
      </c>
      <c r="G296" s="214"/>
      <c r="H296" s="10"/>
      <c r="I296" s="11"/>
      <c r="J296" s="11"/>
      <c r="K296" s="11"/>
      <c r="L296" s="11"/>
      <c r="M296" s="11"/>
      <c r="N296" s="11"/>
      <c r="O296" s="12"/>
      <c r="P296" s="11"/>
      <c r="Q296" s="13"/>
      <c r="R296" s="14"/>
    </row>
    <row r="297" spans="1:18" ht="15" customHeight="1" x14ac:dyDescent="0.3">
      <c r="A297" s="34" t="s">
        <v>43</v>
      </c>
      <c r="B297" s="34" t="s">
        <v>380</v>
      </c>
      <c r="C297" s="35">
        <v>0.33680555555555558</v>
      </c>
      <c r="D297" s="34" t="s">
        <v>45</v>
      </c>
      <c r="E297" s="34" t="s">
        <v>51</v>
      </c>
      <c r="F297" s="34" t="s">
        <v>491</v>
      </c>
      <c r="G297" s="214"/>
      <c r="H297" s="10"/>
      <c r="I297" s="11"/>
      <c r="J297" s="11"/>
      <c r="K297" s="11"/>
      <c r="L297" s="11"/>
      <c r="M297" s="11"/>
      <c r="N297" s="11"/>
      <c r="O297" s="12"/>
      <c r="P297" s="11"/>
      <c r="Q297" s="13"/>
      <c r="R297" s="14"/>
    </row>
    <row r="298" spans="1:18" ht="15" customHeight="1" x14ac:dyDescent="0.3">
      <c r="A298" s="34" t="s">
        <v>43</v>
      </c>
      <c r="B298" s="34" t="s">
        <v>362</v>
      </c>
      <c r="C298" s="35">
        <v>0.67361111111111116</v>
      </c>
      <c r="D298" s="34" t="s">
        <v>45</v>
      </c>
      <c r="E298" s="34" t="s">
        <v>51</v>
      </c>
      <c r="F298" s="34" t="s">
        <v>451</v>
      </c>
      <c r="G298" s="214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</row>
    <row r="299" spans="1:18" ht="15" customHeight="1" thickBot="1" x14ac:dyDescent="0.35">
      <c r="A299" s="19" t="s">
        <v>54</v>
      </c>
      <c r="B299" s="19" t="s">
        <v>382</v>
      </c>
      <c r="C299" s="20">
        <v>0.44791666666666669</v>
      </c>
      <c r="D299" s="19" t="s">
        <v>56</v>
      </c>
      <c r="E299" s="19" t="s">
        <v>57</v>
      </c>
      <c r="F299" s="19" t="s">
        <v>463</v>
      </c>
      <c r="G299" s="215"/>
      <c r="H299" s="21"/>
      <c r="I299" s="22"/>
      <c r="J299" s="22"/>
      <c r="K299" s="22"/>
      <c r="L299" s="22"/>
      <c r="M299" s="22"/>
      <c r="N299" s="22"/>
      <c r="O299" s="23"/>
      <c r="P299" s="22"/>
      <c r="Q299" s="24"/>
      <c r="R299" s="25"/>
    </row>
    <row r="300" spans="1:18" ht="17.399999999999999" customHeight="1" thickBot="1" x14ac:dyDescent="0.35">
      <c r="A300" s="221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3"/>
    </row>
    <row r="301" spans="1:18" ht="22.05" customHeight="1" thickTop="1" thickBot="1" x14ac:dyDescent="0.55000000000000004">
      <c r="A301" s="211" t="s">
        <v>8</v>
      </c>
      <c r="B301" s="212"/>
      <c r="C301" s="212"/>
      <c r="D301" s="212"/>
      <c r="E301" s="212"/>
      <c r="F301" s="212"/>
      <c r="G301" s="26">
        <v>46005</v>
      </c>
      <c r="H301" s="219" t="s">
        <v>9</v>
      </c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</row>
    <row r="302" spans="1:18" ht="24" customHeight="1" x14ac:dyDescent="0.3">
      <c r="A302" s="27" t="s">
        <v>10</v>
      </c>
      <c r="B302" s="27" t="s">
        <v>11</v>
      </c>
      <c r="C302" s="28" t="s">
        <v>12</v>
      </c>
      <c r="D302" s="27" t="s">
        <v>13</v>
      </c>
      <c r="E302" s="27" t="s">
        <v>14</v>
      </c>
      <c r="F302" s="29" t="s">
        <v>15</v>
      </c>
      <c r="G302" s="30" t="s">
        <v>16</v>
      </c>
      <c r="H302" s="27" t="s">
        <v>17</v>
      </c>
      <c r="I302" s="31" t="s">
        <v>18</v>
      </c>
      <c r="J302" s="32" t="s">
        <v>19</v>
      </c>
      <c r="K302" s="33" t="s">
        <v>20</v>
      </c>
      <c r="L302" s="32" t="s">
        <v>21</v>
      </c>
      <c r="M302" s="32" t="s">
        <v>22</v>
      </c>
      <c r="N302" s="32" t="s">
        <v>23</v>
      </c>
      <c r="O302" s="27" t="s">
        <v>24</v>
      </c>
      <c r="P302" s="28" t="s">
        <v>25</v>
      </c>
      <c r="Q302" s="32" t="s">
        <v>26</v>
      </c>
      <c r="R302" s="27" t="s">
        <v>27</v>
      </c>
    </row>
    <row r="303" spans="1:18" ht="49.95" customHeight="1" x14ac:dyDescent="0.3">
      <c r="A303" s="8" t="s">
        <v>102</v>
      </c>
      <c r="B303" s="8" t="s">
        <v>404</v>
      </c>
      <c r="C303" s="9">
        <v>1.388888888888889E-2</v>
      </c>
      <c r="D303" s="8" t="s">
        <v>178</v>
      </c>
      <c r="E303" s="8" t="s">
        <v>89</v>
      </c>
      <c r="F303" s="8" t="s">
        <v>492</v>
      </c>
      <c r="G303" s="213"/>
      <c r="H303" s="10"/>
      <c r="I303" s="11"/>
      <c r="J303" s="11"/>
      <c r="K303" s="11"/>
      <c r="L303" s="11"/>
      <c r="M303" s="11"/>
      <c r="N303" s="11"/>
      <c r="O303" s="12"/>
      <c r="P303" s="11"/>
      <c r="Q303" s="13"/>
      <c r="R303" s="14"/>
    </row>
    <row r="304" spans="1:18" ht="49.95" customHeight="1" x14ac:dyDescent="0.3">
      <c r="A304" s="15" t="s">
        <v>28</v>
      </c>
      <c r="B304" s="15" t="s">
        <v>354</v>
      </c>
      <c r="C304" s="16">
        <v>0.75694444444444453</v>
      </c>
      <c r="D304" s="15" t="s">
        <v>178</v>
      </c>
      <c r="E304" s="15" t="s">
        <v>129</v>
      </c>
      <c r="F304" s="15" t="s">
        <v>460</v>
      </c>
      <c r="G304" s="214"/>
      <c r="H304" s="10"/>
      <c r="I304" s="11"/>
      <c r="J304" s="11"/>
      <c r="K304" s="11"/>
      <c r="L304" s="11"/>
      <c r="M304" s="11"/>
      <c r="N304" s="11"/>
      <c r="O304" s="12"/>
      <c r="P304" s="11"/>
      <c r="Q304" s="13"/>
      <c r="R304" s="14"/>
    </row>
    <row r="305" spans="1:18" ht="49.95" customHeight="1" x14ac:dyDescent="0.3">
      <c r="A305" s="15" t="s">
        <v>43</v>
      </c>
      <c r="B305" s="15" t="s">
        <v>360</v>
      </c>
      <c r="C305" s="16">
        <v>0.97916666666666663</v>
      </c>
      <c r="D305" s="15" t="s">
        <v>45</v>
      </c>
      <c r="E305" s="15" t="s">
        <v>31</v>
      </c>
      <c r="F305" s="15" t="s">
        <v>461</v>
      </c>
      <c r="G305" s="214"/>
      <c r="H305" s="10"/>
      <c r="I305" s="11"/>
      <c r="J305" s="11"/>
      <c r="K305" s="11"/>
      <c r="L305" s="11"/>
      <c r="M305" s="11"/>
      <c r="N305" s="11"/>
      <c r="O305" s="12"/>
      <c r="P305" s="11"/>
      <c r="Q305" s="13"/>
      <c r="R305" s="14"/>
    </row>
    <row r="306" spans="1:18" ht="49.95" customHeight="1" x14ac:dyDescent="0.3">
      <c r="A306" s="34" t="s">
        <v>43</v>
      </c>
      <c r="B306" s="34" t="s">
        <v>362</v>
      </c>
      <c r="C306" s="35">
        <v>0.67361111111111116</v>
      </c>
      <c r="D306" s="34" t="s">
        <v>45</v>
      </c>
      <c r="E306" s="34" t="s">
        <v>51</v>
      </c>
      <c r="F306" s="34" t="s">
        <v>493</v>
      </c>
      <c r="G306" s="214"/>
      <c r="H306" s="10"/>
      <c r="I306" s="11"/>
      <c r="J306" s="11"/>
      <c r="K306" s="11"/>
      <c r="L306" s="11"/>
      <c r="M306" s="11"/>
      <c r="N306" s="11"/>
      <c r="O306" s="12"/>
      <c r="P306" s="11"/>
      <c r="Q306" s="13"/>
      <c r="R306" s="14"/>
    </row>
    <row r="307" spans="1:18" ht="49.95" customHeight="1" thickBot="1" x14ac:dyDescent="0.35">
      <c r="A307" s="19" t="s">
        <v>54</v>
      </c>
      <c r="B307" s="19" t="s">
        <v>382</v>
      </c>
      <c r="C307" s="20">
        <v>0.44791666666666669</v>
      </c>
      <c r="D307" s="19" t="s">
        <v>56</v>
      </c>
      <c r="E307" s="19" t="s">
        <v>57</v>
      </c>
      <c r="F307" s="19" t="s">
        <v>463</v>
      </c>
      <c r="G307" s="215"/>
      <c r="H307" s="21"/>
      <c r="I307" s="22"/>
      <c r="J307" s="22"/>
      <c r="K307" s="22"/>
      <c r="L307" s="22"/>
      <c r="M307" s="22"/>
      <c r="N307" s="22"/>
      <c r="O307" s="23"/>
      <c r="P307" s="22"/>
      <c r="Q307" s="24"/>
      <c r="R307" s="25"/>
    </row>
    <row r="308" spans="1:18" ht="17.399999999999999" customHeight="1" thickBot="1" x14ac:dyDescent="0.35">
      <c r="A308" s="221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3"/>
    </row>
    <row r="309" spans="1:18" ht="22.05" customHeight="1" thickTop="1" thickBot="1" x14ac:dyDescent="0.55000000000000004">
      <c r="A309" s="211" t="s">
        <v>8</v>
      </c>
      <c r="B309" s="212"/>
      <c r="C309" s="212"/>
      <c r="D309" s="212"/>
      <c r="E309" s="212"/>
      <c r="F309" s="212"/>
      <c r="G309" s="26">
        <v>46006</v>
      </c>
      <c r="H309" s="219" t="s">
        <v>9</v>
      </c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</row>
    <row r="310" spans="1:18" ht="24" customHeight="1" x14ac:dyDescent="0.3">
      <c r="A310" s="27" t="s">
        <v>10</v>
      </c>
      <c r="B310" s="27" t="s">
        <v>11</v>
      </c>
      <c r="C310" s="28" t="s">
        <v>12</v>
      </c>
      <c r="D310" s="27" t="s">
        <v>13</v>
      </c>
      <c r="E310" s="27" t="s">
        <v>14</v>
      </c>
      <c r="F310" s="29" t="s">
        <v>15</v>
      </c>
      <c r="G310" s="30" t="s">
        <v>16</v>
      </c>
      <c r="H310" s="27" t="s">
        <v>17</v>
      </c>
      <c r="I310" s="31" t="s">
        <v>18</v>
      </c>
      <c r="J310" s="32" t="s">
        <v>19</v>
      </c>
      <c r="K310" s="33" t="s">
        <v>20</v>
      </c>
      <c r="L310" s="32" t="s">
        <v>21</v>
      </c>
      <c r="M310" s="32" t="s">
        <v>22</v>
      </c>
      <c r="N310" s="32" t="s">
        <v>23</v>
      </c>
      <c r="O310" s="27" t="s">
        <v>24</v>
      </c>
      <c r="P310" s="28" t="s">
        <v>25</v>
      </c>
      <c r="Q310" s="32" t="s">
        <v>26</v>
      </c>
      <c r="R310" s="27" t="s">
        <v>27</v>
      </c>
    </row>
    <row r="311" spans="1:18" ht="49.95" customHeight="1" x14ac:dyDescent="0.3">
      <c r="A311" s="8" t="s">
        <v>43</v>
      </c>
      <c r="B311" s="8" t="s">
        <v>360</v>
      </c>
      <c r="C311" s="9">
        <v>0.97916666666666663</v>
      </c>
      <c r="D311" s="8" t="s">
        <v>45</v>
      </c>
      <c r="E311" s="8" t="s">
        <v>31</v>
      </c>
      <c r="F311" s="8" t="s">
        <v>464</v>
      </c>
      <c r="G311" s="213"/>
      <c r="H311" s="10"/>
      <c r="I311" s="11"/>
      <c r="J311" s="11"/>
      <c r="K311" s="11"/>
      <c r="L311" s="11"/>
      <c r="M311" s="11"/>
      <c r="N311" s="11"/>
      <c r="O311" s="12"/>
      <c r="P311" s="11"/>
      <c r="Q311" s="13"/>
      <c r="R311" s="14"/>
    </row>
    <row r="312" spans="1:18" ht="49.95" customHeight="1" x14ac:dyDescent="0.3">
      <c r="A312" s="34" t="s">
        <v>43</v>
      </c>
      <c r="B312" s="34" t="s">
        <v>380</v>
      </c>
      <c r="C312" s="35">
        <v>0.33680555555555558</v>
      </c>
      <c r="D312" s="34" t="s">
        <v>45</v>
      </c>
      <c r="E312" s="34" t="s">
        <v>51</v>
      </c>
      <c r="F312" s="34" t="s">
        <v>464</v>
      </c>
      <c r="G312" s="214"/>
      <c r="H312" s="10"/>
      <c r="I312" s="11"/>
      <c r="J312" s="11"/>
      <c r="K312" s="11"/>
      <c r="L312" s="11"/>
      <c r="M312" s="11"/>
      <c r="N312" s="11"/>
      <c r="O312" s="12"/>
      <c r="P312" s="11"/>
      <c r="Q312" s="13"/>
      <c r="R312" s="14"/>
    </row>
    <row r="313" spans="1:18" ht="49.95" customHeight="1" x14ac:dyDescent="0.3">
      <c r="A313" s="34" t="s">
        <v>43</v>
      </c>
      <c r="B313" s="34" t="s">
        <v>362</v>
      </c>
      <c r="C313" s="35">
        <v>0.67361111111111116</v>
      </c>
      <c r="D313" s="34" t="s">
        <v>45</v>
      </c>
      <c r="E313" s="34" t="s">
        <v>51</v>
      </c>
      <c r="F313" s="34" t="s">
        <v>462</v>
      </c>
      <c r="G313" s="214"/>
      <c r="H313" s="10"/>
      <c r="I313" s="11"/>
      <c r="J313" s="11"/>
      <c r="K313" s="11"/>
      <c r="L313" s="11"/>
      <c r="M313" s="11"/>
      <c r="N313" s="11"/>
      <c r="O313" s="12"/>
      <c r="P313" s="11"/>
      <c r="Q313" s="13"/>
      <c r="R313" s="14"/>
    </row>
    <row r="314" spans="1:18" ht="49.95" customHeight="1" x14ac:dyDescent="0.3">
      <c r="A314" s="15" t="s">
        <v>28</v>
      </c>
      <c r="B314" s="15" t="s">
        <v>375</v>
      </c>
      <c r="C314" s="16">
        <v>0.75694444444444453</v>
      </c>
      <c r="D314" s="15" t="s">
        <v>178</v>
      </c>
      <c r="E314" s="15" t="s">
        <v>31</v>
      </c>
      <c r="F314" s="15" t="s">
        <v>447</v>
      </c>
      <c r="G314" s="214"/>
      <c r="H314" s="10"/>
      <c r="I314" s="11"/>
      <c r="J314" s="11"/>
      <c r="K314" s="11"/>
      <c r="L314" s="11"/>
      <c r="M314" s="11"/>
      <c r="N314" s="11"/>
      <c r="O314" s="12"/>
      <c r="P314" s="11"/>
      <c r="Q314" s="13"/>
      <c r="R314" s="14"/>
    </row>
    <row r="315" spans="1:18" ht="49.95" customHeight="1" thickBot="1" x14ac:dyDescent="0.35">
      <c r="A315" s="19" t="s">
        <v>54</v>
      </c>
      <c r="B315" s="19" t="s">
        <v>382</v>
      </c>
      <c r="C315" s="20">
        <v>0.44791666666666669</v>
      </c>
      <c r="D315" s="19" t="s">
        <v>56</v>
      </c>
      <c r="E315" s="19" t="s">
        <v>57</v>
      </c>
      <c r="F315" s="19" t="s">
        <v>475</v>
      </c>
      <c r="G315" s="215"/>
      <c r="H315" s="21"/>
      <c r="I315" s="22"/>
      <c r="J315" s="22"/>
      <c r="K315" s="22"/>
      <c r="L315" s="22"/>
      <c r="M315" s="22"/>
      <c r="N315" s="22"/>
      <c r="O315" s="23"/>
      <c r="P315" s="22"/>
      <c r="Q315" s="24"/>
      <c r="R315" s="25"/>
    </row>
    <row r="316" spans="1:18" ht="17.399999999999999" customHeight="1" thickBot="1" x14ac:dyDescent="0.35">
      <c r="A316" s="221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3"/>
    </row>
    <row r="317" spans="1:18" ht="22.05" customHeight="1" thickTop="1" thickBot="1" x14ac:dyDescent="0.55000000000000004">
      <c r="A317" s="211" t="s">
        <v>8</v>
      </c>
      <c r="B317" s="212"/>
      <c r="C317" s="212"/>
      <c r="D317" s="212"/>
      <c r="E317" s="212"/>
      <c r="F317" s="212"/>
      <c r="G317" s="26">
        <v>46007</v>
      </c>
      <c r="H317" s="219" t="s">
        <v>9</v>
      </c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</row>
    <row r="318" spans="1:18" ht="24" customHeight="1" x14ac:dyDescent="0.3">
      <c r="A318" s="27" t="s">
        <v>10</v>
      </c>
      <c r="B318" s="27" t="s">
        <v>11</v>
      </c>
      <c r="C318" s="28" t="s">
        <v>12</v>
      </c>
      <c r="D318" s="27" t="s">
        <v>13</v>
      </c>
      <c r="E318" s="27" t="s">
        <v>14</v>
      </c>
      <c r="F318" s="29" t="s">
        <v>15</v>
      </c>
      <c r="G318" s="30" t="s">
        <v>16</v>
      </c>
      <c r="H318" s="27" t="s">
        <v>17</v>
      </c>
      <c r="I318" s="31" t="s">
        <v>18</v>
      </c>
      <c r="J318" s="32" t="s">
        <v>19</v>
      </c>
      <c r="K318" s="33" t="s">
        <v>20</v>
      </c>
      <c r="L318" s="32" t="s">
        <v>21</v>
      </c>
      <c r="M318" s="32" t="s">
        <v>22</v>
      </c>
      <c r="N318" s="32" t="s">
        <v>23</v>
      </c>
      <c r="O318" s="27" t="s">
        <v>24</v>
      </c>
      <c r="P318" s="28" t="s">
        <v>25</v>
      </c>
      <c r="Q318" s="32" t="s">
        <v>26</v>
      </c>
      <c r="R318" s="27" t="s">
        <v>27</v>
      </c>
    </row>
    <row r="319" spans="1:18" ht="15" customHeight="1" x14ac:dyDescent="0.3">
      <c r="A319" s="72" t="s">
        <v>76</v>
      </c>
      <c r="B319" s="72" t="s">
        <v>389</v>
      </c>
      <c r="C319" s="73">
        <v>6.9444444444444434E-2</v>
      </c>
      <c r="D319" s="72" t="s">
        <v>178</v>
      </c>
      <c r="E319" s="72" t="s">
        <v>78</v>
      </c>
      <c r="F319" s="72" t="s">
        <v>483</v>
      </c>
      <c r="G319" s="213"/>
      <c r="H319" s="74" t="s">
        <v>391</v>
      </c>
      <c r="I319" s="75">
        <v>0.1444</v>
      </c>
      <c r="J319" s="76">
        <v>26</v>
      </c>
      <c r="K319" s="77">
        <v>45983</v>
      </c>
      <c r="L319" s="76">
        <v>15</v>
      </c>
      <c r="M319" s="76">
        <v>0</v>
      </c>
      <c r="N319" s="76">
        <v>5</v>
      </c>
      <c r="O319" s="78" t="s">
        <v>131</v>
      </c>
      <c r="P319" s="79">
        <v>6.9444444444444434E-2</v>
      </c>
      <c r="Q319" s="76">
        <v>180</v>
      </c>
      <c r="R319" s="80" t="s">
        <v>494</v>
      </c>
    </row>
    <row r="320" spans="1:18" ht="15" customHeight="1" x14ac:dyDescent="0.3">
      <c r="A320" s="15" t="s">
        <v>102</v>
      </c>
      <c r="B320" s="15" t="s">
        <v>387</v>
      </c>
      <c r="C320" s="16">
        <v>0.88194444444444453</v>
      </c>
      <c r="D320" s="15" t="s">
        <v>178</v>
      </c>
      <c r="E320" s="15" t="s">
        <v>89</v>
      </c>
      <c r="F320" s="15" t="s">
        <v>473</v>
      </c>
      <c r="G320" s="214"/>
      <c r="H320" s="10"/>
      <c r="I320" s="11"/>
      <c r="J320" s="11"/>
      <c r="K320" s="11"/>
      <c r="L320" s="11"/>
      <c r="M320" s="11"/>
      <c r="N320" s="11"/>
      <c r="O320" s="12"/>
      <c r="P320" s="11"/>
      <c r="Q320" s="13"/>
      <c r="R320" s="14"/>
    </row>
    <row r="321" spans="1:18" ht="15" customHeight="1" x14ac:dyDescent="0.3">
      <c r="A321" s="15" t="s">
        <v>28</v>
      </c>
      <c r="B321" s="15" t="s">
        <v>386</v>
      </c>
      <c r="C321" s="16">
        <v>0.75694444444444453</v>
      </c>
      <c r="D321" s="15" t="s">
        <v>178</v>
      </c>
      <c r="E321" s="15" t="s">
        <v>89</v>
      </c>
      <c r="F321" s="15" t="s">
        <v>474</v>
      </c>
      <c r="G321" s="214"/>
      <c r="H321" s="10"/>
      <c r="I321" s="11"/>
      <c r="J321" s="11"/>
      <c r="K321" s="11"/>
      <c r="L321" s="11"/>
      <c r="M321" s="11"/>
      <c r="N321" s="11"/>
      <c r="O321" s="12"/>
      <c r="P321" s="11"/>
      <c r="Q321" s="13"/>
      <c r="R321" s="14"/>
    </row>
    <row r="322" spans="1:18" ht="15" customHeight="1" x14ac:dyDescent="0.3">
      <c r="A322" s="15" t="s">
        <v>43</v>
      </c>
      <c r="B322" s="15" t="s">
        <v>380</v>
      </c>
      <c r="C322" s="16">
        <v>0.33680555555555558</v>
      </c>
      <c r="D322" s="15" t="s">
        <v>91</v>
      </c>
      <c r="E322" s="15" t="s">
        <v>31</v>
      </c>
      <c r="F322" s="15" t="s">
        <v>495</v>
      </c>
      <c r="G322" s="214"/>
      <c r="H322" s="10"/>
      <c r="I322" s="11"/>
      <c r="J322" s="11"/>
      <c r="K322" s="11"/>
      <c r="L322" s="11"/>
      <c r="M322" s="11"/>
      <c r="N322" s="11"/>
      <c r="O322" s="12"/>
      <c r="P322" s="11"/>
      <c r="Q322" s="13"/>
      <c r="R322" s="14"/>
    </row>
    <row r="323" spans="1:18" ht="15" customHeight="1" x14ac:dyDescent="0.3">
      <c r="A323" s="34" t="s">
        <v>43</v>
      </c>
      <c r="B323" s="34" t="s">
        <v>360</v>
      </c>
      <c r="C323" s="35">
        <v>0.97916666666666663</v>
      </c>
      <c r="D323" s="34" t="s">
        <v>45</v>
      </c>
      <c r="E323" s="34" t="s">
        <v>51</v>
      </c>
      <c r="F323" s="34" t="s">
        <v>496</v>
      </c>
      <c r="G323" s="214"/>
      <c r="H323" s="10"/>
      <c r="I323" s="11"/>
      <c r="J323" s="11"/>
      <c r="K323" s="11"/>
      <c r="L323" s="11"/>
      <c r="M323" s="11"/>
      <c r="N323" s="11"/>
      <c r="O323" s="12"/>
      <c r="P323" s="11"/>
      <c r="Q323" s="13"/>
      <c r="R323" s="14"/>
    </row>
    <row r="324" spans="1:18" ht="15" customHeight="1" x14ac:dyDescent="0.3">
      <c r="A324" s="34" t="s">
        <v>43</v>
      </c>
      <c r="B324" s="34" t="s">
        <v>362</v>
      </c>
      <c r="C324" s="35">
        <v>0.67361111111111116</v>
      </c>
      <c r="D324" s="34" t="s">
        <v>45</v>
      </c>
      <c r="E324" s="34" t="s">
        <v>51</v>
      </c>
      <c r="F324" s="34" t="s">
        <v>497</v>
      </c>
      <c r="G324" s="214"/>
      <c r="H324" s="10"/>
      <c r="I324" s="11"/>
      <c r="J324" s="11"/>
      <c r="K324" s="11"/>
      <c r="L324" s="11"/>
      <c r="M324" s="11"/>
      <c r="N324" s="11"/>
      <c r="O324" s="12"/>
      <c r="P324" s="11"/>
      <c r="Q324" s="13"/>
      <c r="R324" s="14"/>
    </row>
    <row r="325" spans="1:18" ht="15" customHeight="1" thickBot="1" x14ac:dyDescent="0.35">
      <c r="A325" s="19" t="s">
        <v>54</v>
      </c>
      <c r="B325" s="19" t="s">
        <v>382</v>
      </c>
      <c r="C325" s="20">
        <v>0.44791666666666669</v>
      </c>
      <c r="D325" s="19" t="s">
        <v>56</v>
      </c>
      <c r="E325" s="19" t="s">
        <v>57</v>
      </c>
      <c r="F325" s="19" t="s">
        <v>475</v>
      </c>
      <c r="G325" s="215"/>
      <c r="H325" s="21"/>
      <c r="I325" s="22"/>
      <c r="J325" s="22"/>
      <c r="K325" s="22"/>
      <c r="L325" s="22"/>
      <c r="M325" s="22"/>
      <c r="N325" s="22"/>
      <c r="O325" s="23"/>
      <c r="P325" s="22"/>
      <c r="Q325" s="24"/>
      <c r="R325" s="25"/>
    </row>
    <row r="326" spans="1:18" ht="17.399999999999999" customHeight="1" thickBot="1" x14ac:dyDescent="0.35">
      <c r="A326" s="221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3"/>
    </row>
    <row r="327" spans="1:18" ht="22.05" customHeight="1" thickTop="1" thickBot="1" x14ac:dyDescent="0.55000000000000004">
      <c r="A327" s="211" t="s">
        <v>8</v>
      </c>
      <c r="B327" s="212"/>
      <c r="C327" s="212"/>
      <c r="D327" s="212"/>
      <c r="E327" s="212"/>
      <c r="F327" s="212"/>
      <c r="G327" s="26">
        <v>46008</v>
      </c>
      <c r="H327" s="219" t="s">
        <v>9</v>
      </c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</row>
    <row r="328" spans="1:18" ht="24" customHeight="1" x14ac:dyDescent="0.3">
      <c r="A328" s="27" t="s">
        <v>10</v>
      </c>
      <c r="B328" s="27" t="s">
        <v>11</v>
      </c>
      <c r="C328" s="28" t="s">
        <v>12</v>
      </c>
      <c r="D328" s="27" t="s">
        <v>13</v>
      </c>
      <c r="E328" s="27" t="s">
        <v>14</v>
      </c>
      <c r="F328" s="29" t="s">
        <v>15</v>
      </c>
      <c r="G328" s="30" t="s">
        <v>16</v>
      </c>
      <c r="H328" s="27" t="s">
        <v>17</v>
      </c>
      <c r="I328" s="31" t="s">
        <v>18</v>
      </c>
      <c r="J328" s="32" t="s">
        <v>19</v>
      </c>
      <c r="K328" s="33" t="s">
        <v>20</v>
      </c>
      <c r="L328" s="32" t="s">
        <v>21</v>
      </c>
      <c r="M328" s="32" t="s">
        <v>22</v>
      </c>
      <c r="N328" s="32" t="s">
        <v>23</v>
      </c>
      <c r="O328" s="27" t="s">
        <v>24</v>
      </c>
      <c r="P328" s="28" t="s">
        <v>25</v>
      </c>
      <c r="Q328" s="32" t="s">
        <v>26</v>
      </c>
      <c r="R328" s="27" t="s">
        <v>27</v>
      </c>
    </row>
    <row r="329" spans="1:18" ht="49.95" customHeight="1" x14ac:dyDescent="0.3">
      <c r="A329" s="8" t="s">
        <v>28</v>
      </c>
      <c r="B329" s="8" t="s">
        <v>375</v>
      </c>
      <c r="C329" s="9">
        <v>0.69444444444444453</v>
      </c>
      <c r="D329" s="8" t="s">
        <v>178</v>
      </c>
      <c r="E329" s="8" t="s">
        <v>31</v>
      </c>
      <c r="F329" s="8" t="s">
        <v>474</v>
      </c>
      <c r="G329" s="213"/>
      <c r="H329" s="10"/>
      <c r="I329" s="11"/>
      <c r="J329" s="11"/>
      <c r="K329" s="11"/>
      <c r="L329" s="11"/>
      <c r="M329" s="11"/>
      <c r="N329" s="11"/>
      <c r="O329" s="12"/>
      <c r="P329" s="11"/>
      <c r="Q329" s="13"/>
      <c r="R329" s="14"/>
    </row>
    <row r="330" spans="1:18" ht="49.95" customHeight="1" x14ac:dyDescent="0.3">
      <c r="A330" s="15" t="s">
        <v>43</v>
      </c>
      <c r="B330" s="15" t="s">
        <v>360</v>
      </c>
      <c r="C330" s="16">
        <v>0.97916666666666663</v>
      </c>
      <c r="D330" s="15" t="s">
        <v>45</v>
      </c>
      <c r="E330" s="15" t="s">
        <v>31</v>
      </c>
      <c r="F330" s="15" t="s">
        <v>498</v>
      </c>
      <c r="G330" s="214"/>
      <c r="H330" s="10"/>
      <c r="I330" s="11"/>
      <c r="J330" s="11"/>
      <c r="K330" s="11"/>
      <c r="L330" s="11"/>
      <c r="M330" s="11"/>
      <c r="N330" s="11"/>
      <c r="O330" s="12"/>
      <c r="P330" s="11"/>
      <c r="Q330" s="13"/>
      <c r="R330" s="14"/>
    </row>
    <row r="331" spans="1:18" ht="49.95" customHeight="1" x14ac:dyDescent="0.3">
      <c r="A331" s="34" t="s">
        <v>43</v>
      </c>
      <c r="B331" s="34" t="s">
        <v>380</v>
      </c>
      <c r="C331" s="35">
        <v>0.33680555555555558</v>
      </c>
      <c r="D331" s="34" t="s">
        <v>45</v>
      </c>
      <c r="E331" s="34" t="s">
        <v>51</v>
      </c>
      <c r="F331" s="34" t="s">
        <v>498</v>
      </c>
      <c r="G331" s="214"/>
      <c r="H331" s="10"/>
      <c r="I331" s="11"/>
      <c r="J331" s="11"/>
      <c r="K331" s="11"/>
      <c r="L331" s="11"/>
      <c r="M331" s="11"/>
      <c r="N331" s="11"/>
      <c r="O331" s="12"/>
      <c r="P331" s="11"/>
      <c r="Q331" s="13"/>
      <c r="R331" s="14"/>
    </row>
    <row r="332" spans="1:18" ht="49.95" customHeight="1" x14ac:dyDescent="0.3">
      <c r="A332" s="34" t="s">
        <v>43</v>
      </c>
      <c r="B332" s="34" t="s">
        <v>362</v>
      </c>
      <c r="C332" s="35">
        <v>0.67361111111111116</v>
      </c>
      <c r="D332" s="34" t="s">
        <v>45</v>
      </c>
      <c r="E332" s="34" t="s">
        <v>51</v>
      </c>
      <c r="F332" s="34" t="s">
        <v>496</v>
      </c>
      <c r="G332" s="214"/>
      <c r="H332" s="10"/>
      <c r="I332" s="11"/>
      <c r="J332" s="11"/>
      <c r="K332" s="11"/>
      <c r="L332" s="11"/>
      <c r="M332" s="11"/>
      <c r="N332" s="11"/>
      <c r="O332" s="12"/>
      <c r="P332" s="11"/>
      <c r="Q332" s="13"/>
      <c r="R332" s="14"/>
    </row>
    <row r="333" spans="1:18" ht="49.95" customHeight="1" thickBot="1" x14ac:dyDescent="0.35">
      <c r="A333" s="19" t="s">
        <v>54</v>
      </c>
      <c r="B333" s="19" t="s">
        <v>382</v>
      </c>
      <c r="C333" s="20">
        <v>0.44791666666666669</v>
      </c>
      <c r="D333" s="19" t="s">
        <v>56</v>
      </c>
      <c r="E333" s="19" t="s">
        <v>57</v>
      </c>
      <c r="F333" s="19" t="s">
        <v>475</v>
      </c>
      <c r="G333" s="215"/>
      <c r="H333" s="21"/>
      <c r="I333" s="22"/>
      <c r="J333" s="22"/>
      <c r="K333" s="22"/>
      <c r="L333" s="22"/>
      <c r="M333" s="22"/>
      <c r="N333" s="22"/>
      <c r="O333" s="23"/>
      <c r="P333" s="22"/>
      <c r="Q333" s="24"/>
      <c r="R333" s="25"/>
    </row>
    <row r="334" spans="1:18" ht="17.399999999999999" customHeight="1" thickBot="1" x14ac:dyDescent="0.35">
      <c r="A334" s="221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3"/>
    </row>
    <row r="335" spans="1:18" ht="22.05" customHeight="1" thickTop="1" thickBot="1" x14ac:dyDescent="0.55000000000000004">
      <c r="A335" s="211" t="s">
        <v>8</v>
      </c>
      <c r="B335" s="212"/>
      <c r="C335" s="212"/>
      <c r="D335" s="212"/>
      <c r="E335" s="212"/>
      <c r="F335" s="212"/>
      <c r="G335" s="26">
        <v>46009</v>
      </c>
      <c r="H335" s="219" t="s">
        <v>9</v>
      </c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</row>
    <row r="336" spans="1:18" ht="24" customHeight="1" x14ac:dyDescent="0.3">
      <c r="A336" s="27" t="s">
        <v>10</v>
      </c>
      <c r="B336" s="27" t="s">
        <v>11</v>
      </c>
      <c r="C336" s="28" t="s">
        <v>12</v>
      </c>
      <c r="D336" s="27" t="s">
        <v>13</v>
      </c>
      <c r="E336" s="27" t="s">
        <v>14</v>
      </c>
      <c r="F336" s="29" t="s">
        <v>15</v>
      </c>
      <c r="G336" s="30" t="s">
        <v>16</v>
      </c>
      <c r="H336" s="27" t="s">
        <v>17</v>
      </c>
      <c r="I336" s="31" t="s">
        <v>18</v>
      </c>
      <c r="J336" s="32" t="s">
        <v>19</v>
      </c>
      <c r="K336" s="33" t="s">
        <v>20</v>
      </c>
      <c r="L336" s="32" t="s">
        <v>21</v>
      </c>
      <c r="M336" s="32" t="s">
        <v>22</v>
      </c>
      <c r="N336" s="32" t="s">
        <v>23</v>
      </c>
      <c r="O336" s="27" t="s">
        <v>24</v>
      </c>
      <c r="P336" s="28" t="s">
        <v>25</v>
      </c>
      <c r="Q336" s="32" t="s">
        <v>26</v>
      </c>
      <c r="R336" s="27" t="s">
        <v>27</v>
      </c>
    </row>
    <row r="337" spans="1:18" ht="15" customHeight="1" x14ac:dyDescent="0.3">
      <c r="A337" s="8" t="s">
        <v>59</v>
      </c>
      <c r="B337" s="8" t="s">
        <v>371</v>
      </c>
      <c r="C337" s="9">
        <v>0.44791666666666669</v>
      </c>
      <c r="D337" s="8" t="s">
        <v>61</v>
      </c>
      <c r="E337" s="8" t="s">
        <v>499</v>
      </c>
      <c r="F337" s="8" t="s">
        <v>466</v>
      </c>
      <c r="G337" s="213"/>
      <c r="H337" s="10"/>
      <c r="I337" s="11"/>
      <c r="J337" s="11"/>
      <c r="K337" s="11"/>
      <c r="L337" s="11"/>
      <c r="M337" s="11"/>
      <c r="N337" s="11"/>
      <c r="O337" s="12"/>
      <c r="P337" s="11"/>
      <c r="Q337" s="13"/>
      <c r="R337" s="14"/>
    </row>
    <row r="338" spans="1:18" ht="15" customHeight="1" x14ac:dyDescent="0.3">
      <c r="A338" s="17" t="s">
        <v>59</v>
      </c>
      <c r="B338" s="17" t="s">
        <v>371</v>
      </c>
      <c r="C338" s="18">
        <v>0.44791666666666669</v>
      </c>
      <c r="D338" s="17" t="s">
        <v>64</v>
      </c>
      <c r="E338" s="17" t="s">
        <v>500</v>
      </c>
      <c r="F338" s="17" t="s">
        <v>453</v>
      </c>
      <c r="G338" s="214"/>
      <c r="H338" s="10"/>
      <c r="I338" s="11"/>
      <c r="J338" s="11"/>
      <c r="K338" s="11"/>
      <c r="L338" s="11"/>
      <c r="M338" s="11"/>
      <c r="N338" s="11"/>
      <c r="O338" s="12"/>
      <c r="P338" s="11"/>
      <c r="Q338" s="13"/>
      <c r="R338" s="14"/>
    </row>
    <row r="339" spans="1:18" ht="15" customHeight="1" x14ac:dyDescent="0.3">
      <c r="A339" s="17" t="s">
        <v>59</v>
      </c>
      <c r="B339" s="17" t="s">
        <v>371</v>
      </c>
      <c r="C339" s="18">
        <v>0.44791666666666669</v>
      </c>
      <c r="D339" s="17" t="s">
        <v>67</v>
      </c>
      <c r="E339" s="17" t="s">
        <v>500</v>
      </c>
      <c r="F339" s="17" t="s">
        <v>374</v>
      </c>
      <c r="G339" s="214"/>
      <c r="H339" s="10"/>
      <c r="I339" s="11"/>
      <c r="J339" s="11"/>
      <c r="K339" s="11"/>
      <c r="L339" s="11"/>
      <c r="M339" s="11"/>
      <c r="N339" s="11"/>
      <c r="O339" s="12"/>
      <c r="P339" s="11"/>
      <c r="Q339" s="13"/>
      <c r="R339" s="14"/>
    </row>
    <row r="340" spans="1:18" ht="15" customHeight="1" x14ac:dyDescent="0.3">
      <c r="A340" s="15" t="s">
        <v>33</v>
      </c>
      <c r="B340" s="15" t="s">
        <v>364</v>
      </c>
      <c r="C340" s="16">
        <v>0.33680555555555558</v>
      </c>
      <c r="D340" s="15" t="s">
        <v>35</v>
      </c>
      <c r="E340" s="15" t="s">
        <v>78</v>
      </c>
      <c r="F340" s="15" t="s">
        <v>466</v>
      </c>
      <c r="G340" s="214"/>
      <c r="H340" s="10"/>
      <c r="I340" s="11"/>
      <c r="J340" s="11"/>
      <c r="K340" s="11"/>
      <c r="L340" s="11"/>
      <c r="M340" s="11"/>
      <c r="N340" s="11"/>
      <c r="O340" s="12"/>
      <c r="P340" s="11"/>
      <c r="Q340" s="13"/>
      <c r="R340" s="14"/>
    </row>
    <row r="341" spans="1:18" ht="15" customHeight="1" x14ac:dyDescent="0.3">
      <c r="A341" s="17" t="s">
        <v>33</v>
      </c>
      <c r="B341" s="17" t="s">
        <v>364</v>
      </c>
      <c r="C341" s="18">
        <v>0.33680555555555558</v>
      </c>
      <c r="D341" s="17" t="s">
        <v>38</v>
      </c>
      <c r="E341" s="17" t="s">
        <v>140</v>
      </c>
      <c r="F341" s="17" t="s">
        <v>501</v>
      </c>
      <c r="G341" s="214"/>
      <c r="H341" s="10"/>
      <c r="I341" s="11"/>
      <c r="J341" s="11"/>
      <c r="K341" s="11"/>
      <c r="L341" s="11"/>
      <c r="M341" s="11"/>
      <c r="N341" s="11"/>
      <c r="O341" s="12"/>
      <c r="P341" s="11"/>
      <c r="Q341" s="13"/>
      <c r="R341" s="14"/>
    </row>
    <row r="342" spans="1:18" ht="15" customHeight="1" x14ac:dyDescent="0.3">
      <c r="A342" s="17" t="s">
        <v>33</v>
      </c>
      <c r="B342" s="17" t="s">
        <v>364</v>
      </c>
      <c r="C342" s="18">
        <v>0.33680555555555558</v>
      </c>
      <c r="D342" s="17" t="s">
        <v>41</v>
      </c>
      <c r="E342" s="17" t="s">
        <v>140</v>
      </c>
      <c r="F342" s="17" t="s">
        <v>485</v>
      </c>
      <c r="G342" s="214"/>
      <c r="H342" s="10"/>
      <c r="I342" s="11"/>
      <c r="J342" s="11"/>
      <c r="K342" s="11"/>
      <c r="L342" s="11"/>
      <c r="M342" s="11"/>
      <c r="N342" s="11"/>
      <c r="O342" s="12"/>
      <c r="P342" s="11"/>
      <c r="Q342" s="13"/>
      <c r="R342" s="14"/>
    </row>
    <row r="343" spans="1:18" ht="15" customHeight="1" x14ac:dyDescent="0.3">
      <c r="A343" s="34" t="s">
        <v>33</v>
      </c>
      <c r="B343" s="34" t="s">
        <v>356</v>
      </c>
      <c r="C343" s="35">
        <v>0.97222222222222221</v>
      </c>
      <c r="D343" s="34" t="s">
        <v>35</v>
      </c>
      <c r="E343" s="34" t="s">
        <v>146</v>
      </c>
      <c r="F343" s="34" t="s">
        <v>467</v>
      </c>
      <c r="G343" s="214"/>
      <c r="H343" s="10"/>
      <c r="I343" s="11"/>
      <c r="J343" s="11"/>
      <c r="K343" s="11"/>
      <c r="L343" s="11"/>
      <c r="M343" s="11"/>
      <c r="N343" s="11"/>
      <c r="O343" s="12"/>
      <c r="P343" s="11"/>
      <c r="Q343" s="13"/>
      <c r="R343" s="14"/>
    </row>
    <row r="344" spans="1:18" ht="15" customHeight="1" x14ac:dyDescent="0.3">
      <c r="A344" s="17" t="s">
        <v>33</v>
      </c>
      <c r="B344" s="17" t="s">
        <v>356</v>
      </c>
      <c r="C344" s="18">
        <v>0.97222222222222221</v>
      </c>
      <c r="D344" s="17" t="s">
        <v>38</v>
      </c>
      <c r="E344" s="17" t="s">
        <v>140</v>
      </c>
      <c r="F344" s="17" t="s">
        <v>468</v>
      </c>
      <c r="G344" s="214"/>
      <c r="H344" s="10"/>
      <c r="I344" s="11"/>
      <c r="J344" s="11"/>
      <c r="K344" s="11"/>
      <c r="L344" s="11"/>
      <c r="M344" s="11"/>
      <c r="N344" s="11"/>
      <c r="O344" s="12"/>
      <c r="P344" s="11"/>
      <c r="Q344" s="13"/>
      <c r="R344" s="14"/>
    </row>
    <row r="345" spans="1:18" ht="15" customHeight="1" x14ac:dyDescent="0.3">
      <c r="A345" s="17" t="s">
        <v>33</v>
      </c>
      <c r="B345" s="17" t="s">
        <v>356</v>
      </c>
      <c r="C345" s="18">
        <v>0.97222222222222221</v>
      </c>
      <c r="D345" s="17" t="s">
        <v>41</v>
      </c>
      <c r="E345" s="17" t="s">
        <v>140</v>
      </c>
      <c r="F345" s="17" t="s">
        <v>469</v>
      </c>
      <c r="G345" s="214"/>
      <c r="H345" s="10"/>
      <c r="I345" s="11"/>
      <c r="J345" s="11"/>
      <c r="K345" s="11"/>
      <c r="L345" s="11"/>
      <c r="M345" s="11"/>
      <c r="N345" s="11"/>
      <c r="O345" s="12"/>
      <c r="P345" s="11"/>
      <c r="Q345" s="13"/>
      <c r="R345" s="14"/>
    </row>
    <row r="346" spans="1:18" ht="15" customHeight="1" x14ac:dyDescent="0.3">
      <c r="A346" s="72" t="s">
        <v>76</v>
      </c>
      <c r="B346" s="72" t="s">
        <v>389</v>
      </c>
      <c r="C346" s="73">
        <v>0.72222222222222221</v>
      </c>
      <c r="D346" s="72" t="s">
        <v>178</v>
      </c>
      <c r="E346" s="72" t="s">
        <v>31</v>
      </c>
      <c r="F346" s="72" t="s">
        <v>502</v>
      </c>
      <c r="G346" s="214"/>
      <c r="H346" s="74" t="s">
        <v>391</v>
      </c>
      <c r="I346" s="75">
        <v>0.1444</v>
      </c>
      <c r="J346" s="76">
        <v>26</v>
      </c>
      <c r="K346" s="77">
        <v>45983</v>
      </c>
      <c r="L346" s="76">
        <v>12</v>
      </c>
      <c r="M346" s="76">
        <v>0</v>
      </c>
      <c r="N346" s="76">
        <v>10</v>
      </c>
      <c r="O346" s="78" t="s">
        <v>276</v>
      </c>
      <c r="P346" s="79">
        <v>0.72222222222222221</v>
      </c>
      <c r="Q346" s="76">
        <v>180</v>
      </c>
      <c r="R346" s="80" t="s">
        <v>503</v>
      </c>
    </row>
    <row r="347" spans="1:18" ht="15" customHeight="1" x14ac:dyDescent="0.3">
      <c r="A347" s="15" t="s">
        <v>102</v>
      </c>
      <c r="B347" s="15" t="s">
        <v>387</v>
      </c>
      <c r="C347" s="16">
        <v>0.70486111111111116</v>
      </c>
      <c r="D347" s="15" t="s">
        <v>178</v>
      </c>
      <c r="E347" s="15" t="s">
        <v>57</v>
      </c>
      <c r="F347" s="15" t="s">
        <v>473</v>
      </c>
      <c r="G347" s="214"/>
      <c r="H347" s="10"/>
      <c r="I347" s="11"/>
      <c r="J347" s="11"/>
      <c r="K347" s="11"/>
      <c r="L347" s="11"/>
      <c r="M347" s="11"/>
      <c r="N347" s="11"/>
      <c r="O347" s="12"/>
      <c r="P347" s="11"/>
      <c r="Q347" s="13"/>
      <c r="R347" s="14"/>
    </row>
    <row r="348" spans="1:18" ht="15" customHeight="1" x14ac:dyDescent="0.3">
      <c r="A348" s="15" t="s">
        <v>28</v>
      </c>
      <c r="B348" s="15" t="s">
        <v>354</v>
      </c>
      <c r="C348" s="16">
        <v>0.3611111111111111</v>
      </c>
      <c r="D348" s="15" t="s">
        <v>178</v>
      </c>
      <c r="E348" s="15" t="s">
        <v>129</v>
      </c>
      <c r="F348" s="15" t="s">
        <v>504</v>
      </c>
      <c r="G348" s="214"/>
      <c r="H348" s="10"/>
      <c r="I348" s="11"/>
      <c r="J348" s="11"/>
      <c r="K348" s="11"/>
      <c r="L348" s="11"/>
      <c r="M348" s="11"/>
      <c r="N348" s="11"/>
      <c r="O348" s="12"/>
      <c r="P348" s="11"/>
      <c r="Q348" s="13"/>
      <c r="R348" s="14"/>
    </row>
    <row r="349" spans="1:18" ht="15" customHeight="1" x14ac:dyDescent="0.3">
      <c r="A349" s="34" t="s">
        <v>28</v>
      </c>
      <c r="B349" s="34" t="s">
        <v>386</v>
      </c>
      <c r="C349" s="35">
        <v>0.75694444444444453</v>
      </c>
      <c r="D349" s="34" t="s">
        <v>178</v>
      </c>
      <c r="E349" s="34" t="s">
        <v>183</v>
      </c>
      <c r="F349" s="34" t="s">
        <v>504</v>
      </c>
      <c r="G349" s="214"/>
      <c r="H349" s="10"/>
      <c r="I349" s="11"/>
      <c r="J349" s="11"/>
      <c r="K349" s="11"/>
      <c r="L349" s="11"/>
      <c r="M349" s="11"/>
      <c r="N349" s="11"/>
      <c r="O349" s="12"/>
      <c r="P349" s="11"/>
      <c r="Q349" s="13"/>
      <c r="R349" s="14"/>
    </row>
    <row r="350" spans="1:18" ht="15" customHeight="1" x14ac:dyDescent="0.3">
      <c r="A350" s="15" t="s">
        <v>43</v>
      </c>
      <c r="B350" s="15" t="s">
        <v>380</v>
      </c>
      <c r="C350" s="16">
        <v>0.33680555555555558</v>
      </c>
      <c r="D350" s="15" t="s">
        <v>91</v>
      </c>
      <c r="E350" s="15" t="s">
        <v>31</v>
      </c>
      <c r="F350" s="15" t="s">
        <v>495</v>
      </c>
      <c r="G350" s="214"/>
      <c r="H350" s="10"/>
      <c r="I350" s="11"/>
      <c r="J350" s="11"/>
      <c r="K350" s="11"/>
      <c r="L350" s="11"/>
      <c r="M350" s="11"/>
      <c r="N350" s="11"/>
      <c r="O350" s="12"/>
      <c r="P350" s="11"/>
      <c r="Q350" s="13"/>
      <c r="R350" s="14"/>
    </row>
    <row r="351" spans="1:18" ht="15" customHeight="1" x14ac:dyDescent="0.3">
      <c r="A351" s="34" t="s">
        <v>43</v>
      </c>
      <c r="B351" s="34" t="s">
        <v>360</v>
      </c>
      <c r="C351" s="35">
        <v>0.97916666666666663</v>
      </c>
      <c r="D351" s="34" t="s">
        <v>45</v>
      </c>
      <c r="E351" s="34" t="s">
        <v>51</v>
      </c>
      <c r="F351" s="34" t="s">
        <v>498</v>
      </c>
      <c r="G351" s="214"/>
      <c r="H351" s="10"/>
      <c r="I351" s="11"/>
      <c r="J351" s="11"/>
      <c r="K351" s="11"/>
      <c r="L351" s="11"/>
      <c r="M351" s="11"/>
      <c r="N351" s="11"/>
      <c r="O351" s="12"/>
      <c r="P351" s="11"/>
      <c r="Q351" s="13"/>
      <c r="R351" s="14"/>
    </row>
    <row r="352" spans="1:18" ht="15" customHeight="1" x14ac:dyDescent="0.3">
      <c r="A352" s="34" t="s">
        <v>43</v>
      </c>
      <c r="B352" s="34" t="s">
        <v>362</v>
      </c>
      <c r="C352" s="35">
        <v>0.67361111111111116</v>
      </c>
      <c r="D352" s="34" t="s">
        <v>45</v>
      </c>
      <c r="E352" s="34" t="s">
        <v>51</v>
      </c>
      <c r="F352" s="34" t="s">
        <v>497</v>
      </c>
      <c r="G352" s="214"/>
      <c r="H352" s="10"/>
      <c r="I352" s="11"/>
      <c r="J352" s="11"/>
      <c r="K352" s="11"/>
      <c r="L352" s="11"/>
      <c r="M352" s="11"/>
      <c r="N352" s="11"/>
      <c r="O352" s="12"/>
      <c r="P352" s="11"/>
      <c r="Q352" s="13"/>
      <c r="R352" s="14"/>
    </row>
    <row r="353" spans="1:18" ht="15" customHeight="1" thickBot="1" x14ac:dyDescent="0.35">
      <c r="A353" s="19" t="s">
        <v>54</v>
      </c>
      <c r="B353" s="19" t="s">
        <v>382</v>
      </c>
      <c r="C353" s="20">
        <v>0.44791666666666669</v>
      </c>
      <c r="D353" s="19" t="s">
        <v>56</v>
      </c>
      <c r="E353" s="19" t="s">
        <v>57</v>
      </c>
      <c r="F353" s="19" t="s">
        <v>475</v>
      </c>
      <c r="G353" s="215"/>
      <c r="H353" s="21"/>
      <c r="I353" s="22"/>
      <c r="J353" s="22"/>
      <c r="K353" s="22"/>
      <c r="L353" s="22"/>
      <c r="M353" s="22"/>
      <c r="N353" s="22"/>
      <c r="O353" s="23"/>
      <c r="P353" s="22"/>
      <c r="Q353" s="24"/>
      <c r="R353" s="25"/>
    </row>
    <row r="354" spans="1:18" ht="17.399999999999999" customHeight="1" thickBot="1" x14ac:dyDescent="0.35">
      <c r="A354" s="221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3"/>
    </row>
    <row r="355" spans="1:18" ht="22.05" customHeight="1" thickTop="1" thickBot="1" x14ac:dyDescent="0.55000000000000004">
      <c r="A355" s="211" t="s">
        <v>8</v>
      </c>
      <c r="B355" s="212"/>
      <c r="C355" s="212"/>
      <c r="D355" s="212"/>
      <c r="E355" s="212"/>
      <c r="F355" s="212"/>
      <c r="G355" s="26">
        <v>46010</v>
      </c>
      <c r="H355" s="219" t="s">
        <v>9</v>
      </c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</row>
    <row r="356" spans="1:18" ht="24" customHeight="1" x14ac:dyDescent="0.3">
      <c r="A356" s="27" t="s">
        <v>10</v>
      </c>
      <c r="B356" s="27" t="s">
        <v>11</v>
      </c>
      <c r="C356" s="28" t="s">
        <v>12</v>
      </c>
      <c r="D356" s="27" t="s">
        <v>13</v>
      </c>
      <c r="E356" s="27" t="s">
        <v>14</v>
      </c>
      <c r="F356" s="29" t="s">
        <v>15</v>
      </c>
      <c r="G356" s="30" t="s">
        <v>16</v>
      </c>
      <c r="H356" s="27" t="s">
        <v>17</v>
      </c>
      <c r="I356" s="31" t="s">
        <v>18</v>
      </c>
      <c r="J356" s="32" t="s">
        <v>19</v>
      </c>
      <c r="K356" s="33" t="s">
        <v>20</v>
      </c>
      <c r="L356" s="32" t="s">
        <v>21</v>
      </c>
      <c r="M356" s="32" t="s">
        <v>22</v>
      </c>
      <c r="N356" s="32" t="s">
        <v>23</v>
      </c>
      <c r="O356" s="27" t="s">
        <v>24</v>
      </c>
      <c r="P356" s="28" t="s">
        <v>25</v>
      </c>
      <c r="Q356" s="32" t="s">
        <v>26</v>
      </c>
      <c r="R356" s="27" t="s">
        <v>27</v>
      </c>
    </row>
    <row r="357" spans="1:18" ht="15" customHeight="1" x14ac:dyDescent="0.3">
      <c r="A357" s="8" t="s">
        <v>59</v>
      </c>
      <c r="B357" s="8" t="s">
        <v>371</v>
      </c>
      <c r="C357" s="9">
        <v>0.44791666666666669</v>
      </c>
      <c r="D357" s="8" t="s">
        <v>61</v>
      </c>
      <c r="E357" s="8" t="s">
        <v>499</v>
      </c>
      <c r="F357" s="8" t="s">
        <v>466</v>
      </c>
      <c r="G357" s="213"/>
      <c r="H357" s="10"/>
      <c r="I357" s="11"/>
      <c r="J357" s="11"/>
      <c r="K357" s="11"/>
      <c r="L357" s="11"/>
      <c r="M357" s="11"/>
      <c r="N357" s="11"/>
      <c r="O357" s="12"/>
      <c r="P357" s="11"/>
      <c r="Q357" s="13"/>
      <c r="R357" s="14"/>
    </row>
    <row r="358" spans="1:18" ht="15" customHeight="1" x14ac:dyDescent="0.3">
      <c r="A358" s="17" t="s">
        <v>59</v>
      </c>
      <c r="B358" s="17" t="s">
        <v>371</v>
      </c>
      <c r="C358" s="18">
        <v>0.44791666666666669</v>
      </c>
      <c r="D358" s="17" t="s">
        <v>64</v>
      </c>
      <c r="E358" s="17" t="s">
        <v>500</v>
      </c>
      <c r="F358" s="17" t="s">
        <v>453</v>
      </c>
      <c r="G358" s="214"/>
      <c r="H358" s="10"/>
      <c r="I358" s="11"/>
      <c r="J358" s="11"/>
      <c r="K358" s="11"/>
      <c r="L358" s="11"/>
      <c r="M358" s="11"/>
      <c r="N358" s="11"/>
      <c r="O358" s="12"/>
      <c r="P358" s="11"/>
      <c r="Q358" s="13"/>
      <c r="R358" s="14"/>
    </row>
    <row r="359" spans="1:18" ht="15" customHeight="1" x14ac:dyDescent="0.3">
      <c r="A359" s="17" t="s">
        <v>59</v>
      </c>
      <c r="B359" s="17" t="s">
        <v>371</v>
      </c>
      <c r="C359" s="18">
        <v>0.44791666666666669</v>
      </c>
      <c r="D359" s="17" t="s">
        <v>67</v>
      </c>
      <c r="E359" s="17" t="s">
        <v>500</v>
      </c>
      <c r="F359" s="17" t="s">
        <v>374</v>
      </c>
      <c r="G359" s="214"/>
      <c r="H359" s="10"/>
      <c r="I359" s="11"/>
      <c r="J359" s="11"/>
      <c r="K359" s="11"/>
      <c r="L359" s="11"/>
      <c r="M359" s="11"/>
      <c r="N359" s="11"/>
      <c r="O359" s="12"/>
      <c r="P359" s="11"/>
      <c r="Q359" s="13"/>
      <c r="R359" s="14"/>
    </row>
    <row r="360" spans="1:18" ht="15" customHeight="1" x14ac:dyDescent="0.3">
      <c r="A360" s="63" t="s">
        <v>76</v>
      </c>
      <c r="B360" s="63" t="s">
        <v>389</v>
      </c>
      <c r="C360" s="64">
        <v>0.38194444444444442</v>
      </c>
      <c r="D360" s="63" t="s">
        <v>178</v>
      </c>
      <c r="E360" s="63" t="s">
        <v>31</v>
      </c>
      <c r="F360" s="63" t="s">
        <v>502</v>
      </c>
      <c r="G360" s="214"/>
      <c r="H360" s="65" t="s">
        <v>391</v>
      </c>
      <c r="I360" s="66">
        <v>9.4399999999999998E-2</v>
      </c>
      <c r="J360" s="67">
        <v>17</v>
      </c>
      <c r="K360" s="68">
        <v>45981</v>
      </c>
      <c r="L360" s="67">
        <v>2</v>
      </c>
      <c r="M360" s="67">
        <v>0</v>
      </c>
      <c r="N360" s="67">
        <v>0</v>
      </c>
      <c r="O360" s="69" t="s">
        <v>276</v>
      </c>
      <c r="P360" s="70">
        <v>0.38194444444444442</v>
      </c>
      <c r="Q360" s="67">
        <v>180</v>
      </c>
      <c r="R360" s="71" t="s">
        <v>505</v>
      </c>
    </row>
    <row r="361" spans="1:18" ht="15" customHeight="1" x14ac:dyDescent="0.3">
      <c r="A361" s="15" t="s">
        <v>33</v>
      </c>
      <c r="B361" s="15" t="s">
        <v>356</v>
      </c>
      <c r="C361" s="16">
        <v>0.97222222222222221</v>
      </c>
      <c r="D361" s="15" t="s">
        <v>35</v>
      </c>
      <c r="E361" s="15" t="s">
        <v>62</v>
      </c>
      <c r="F361" s="15" t="s">
        <v>506</v>
      </c>
      <c r="G361" s="214"/>
      <c r="H361" s="10"/>
      <c r="I361" s="11"/>
      <c r="J361" s="11"/>
      <c r="K361" s="11"/>
      <c r="L361" s="11"/>
      <c r="M361" s="11"/>
      <c r="N361" s="11"/>
      <c r="O361" s="12"/>
      <c r="P361" s="11"/>
      <c r="Q361" s="13"/>
      <c r="R361" s="14"/>
    </row>
    <row r="362" spans="1:18" ht="15" customHeight="1" x14ac:dyDescent="0.3">
      <c r="A362" s="17" t="s">
        <v>33</v>
      </c>
      <c r="B362" s="17" t="s">
        <v>356</v>
      </c>
      <c r="C362" s="18">
        <v>0.97222222222222221</v>
      </c>
      <c r="D362" s="17" t="s">
        <v>38</v>
      </c>
      <c r="E362" s="17" t="s">
        <v>65</v>
      </c>
      <c r="F362" s="17" t="s">
        <v>482</v>
      </c>
      <c r="G362" s="214"/>
      <c r="H362" s="10"/>
      <c r="I362" s="11"/>
      <c r="J362" s="11"/>
      <c r="K362" s="11"/>
      <c r="L362" s="11"/>
      <c r="M362" s="11"/>
      <c r="N362" s="11"/>
      <c r="O362" s="12"/>
      <c r="P362" s="11"/>
      <c r="Q362" s="13"/>
      <c r="R362" s="14"/>
    </row>
    <row r="363" spans="1:18" ht="15" customHeight="1" x14ac:dyDescent="0.3">
      <c r="A363" s="17" t="s">
        <v>33</v>
      </c>
      <c r="B363" s="17" t="s">
        <v>356</v>
      </c>
      <c r="C363" s="18">
        <v>0.97222222222222221</v>
      </c>
      <c r="D363" s="17" t="s">
        <v>41</v>
      </c>
      <c r="E363" s="17" t="s">
        <v>65</v>
      </c>
      <c r="F363" s="17" t="s">
        <v>436</v>
      </c>
      <c r="G363" s="214"/>
      <c r="H363" s="10"/>
      <c r="I363" s="11"/>
      <c r="J363" s="11"/>
      <c r="K363" s="11"/>
      <c r="L363" s="11"/>
      <c r="M363" s="11"/>
      <c r="N363" s="11"/>
      <c r="O363" s="12"/>
      <c r="P363" s="11"/>
      <c r="Q363" s="13"/>
      <c r="R363" s="14"/>
    </row>
    <row r="364" spans="1:18" ht="15" customHeight="1" x14ac:dyDescent="0.3">
      <c r="A364" s="15" t="s">
        <v>28</v>
      </c>
      <c r="B364" s="15" t="s">
        <v>375</v>
      </c>
      <c r="C364" s="16">
        <v>0.75694444444444453</v>
      </c>
      <c r="D364" s="15" t="s">
        <v>178</v>
      </c>
      <c r="E364" s="15" t="s">
        <v>62</v>
      </c>
      <c r="F364" s="15" t="s">
        <v>460</v>
      </c>
      <c r="G364" s="214"/>
      <c r="H364" s="10"/>
      <c r="I364" s="11"/>
      <c r="J364" s="11"/>
      <c r="K364" s="11"/>
      <c r="L364" s="11"/>
      <c r="M364" s="11"/>
      <c r="N364" s="11"/>
      <c r="O364" s="12"/>
      <c r="P364" s="11"/>
      <c r="Q364" s="13"/>
      <c r="R364" s="14"/>
    </row>
    <row r="365" spans="1:18" ht="15" customHeight="1" x14ac:dyDescent="0.3">
      <c r="A365" s="15" t="s">
        <v>43</v>
      </c>
      <c r="B365" s="15" t="s">
        <v>360</v>
      </c>
      <c r="C365" s="16">
        <v>0.97916666666666663</v>
      </c>
      <c r="D365" s="15" t="s">
        <v>45</v>
      </c>
      <c r="E365" s="15" t="s">
        <v>31</v>
      </c>
      <c r="F365" s="15" t="s">
        <v>496</v>
      </c>
      <c r="G365" s="214"/>
      <c r="H365" s="10"/>
      <c r="I365" s="11"/>
      <c r="J365" s="11"/>
      <c r="K365" s="11"/>
      <c r="L365" s="11"/>
      <c r="M365" s="11"/>
      <c r="N365" s="11"/>
      <c r="O365" s="12"/>
      <c r="P365" s="11"/>
      <c r="Q365" s="13"/>
      <c r="R365" s="14"/>
    </row>
    <row r="366" spans="1:18" ht="15" customHeight="1" x14ac:dyDescent="0.3">
      <c r="A366" s="34" t="s">
        <v>43</v>
      </c>
      <c r="B366" s="34" t="s">
        <v>380</v>
      </c>
      <c r="C366" s="35">
        <v>0.33680555555555558</v>
      </c>
      <c r="D366" s="34" t="s">
        <v>45</v>
      </c>
      <c r="E366" s="34" t="s">
        <v>51</v>
      </c>
      <c r="F366" s="34" t="s">
        <v>507</v>
      </c>
      <c r="G366" s="214"/>
      <c r="H366" s="10"/>
      <c r="I366" s="11"/>
      <c r="J366" s="11"/>
      <c r="K366" s="11"/>
      <c r="L366" s="11"/>
      <c r="M366" s="11"/>
      <c r="N366" s="11"/>
      <c r="O366" s="12"/>
      <c r="P366" s="11"/>
      <c r="Q366" s="13"/>
      <c r="R366" s="14"/>
    </row>
    <row r="367" spans="1:18" ht="15" customHeight="1" x14ac:dyDescent="0.3">
      <c r="A367" s="34" t="s">
        <v>43</v>
      </c>
      <c r="B367" s="34" t="s">
        <v>362</v>
      </c>
      <c r="C367" s="35">
        <v>0.67361111111111116</v>
      </c>
      <c r="D367" s="34" t="s">
        <v>45</v>
      </c>
      <c r="E367" s="34" t="s">
        <v>51</v>
      </c>
      <c r="F367" s="34" t="s">
        <v>497</v>
      </c>
      <c r="G367" s="214"/>
      <c r="H367" s="10"/>
      <c r="I367" s="11"/>
      <c r="J367" s="11"/>
      <c r="K367" s="11"/>
      <c r="L367" s="11"/>
      <c r="M367" s="11"/>
      <c r="N367" s="11"/>
      <c r="O367" s="12"/>
      <c r="P367" s="11"/>
      <c r="Q367" s="13"/>
      <c r="R367" s="14"/>
    </row>
    <row r="368" spans="1:18" ht="15" customHeight="1" thickBot="1" x14ac:dyDescent="0.35">
      <c r="A368" s="19" t="s">
        <v>54</v>
      </c>
      <c r="B368" s="19" t="s">
        <v>382</v>
      </c>
      <c r="C368" s="20">
        <v>0.44791666666666669</v>
      </c>
      <c r="D368" s="19" t="s">
        <v>56</v>
      </c>
      <c r="E368" s="19" t="s">
        <v>57</v>
      </c>
      <c r="F368" s="19" t="s">
        <v>475</v>
      </c>
      <c r="G368" s="215"/>
      <c r="H368" s="21"/>
      <c r="I368" s="22"/>
      <c r="J368" s="22"/>
      <c r="K368" s="22"/>
      <c r="L368" s="22"/>
      <c r="M368" s="22"/>
      <c r="N368" s="22"/>
      <c r="O368" s="23"/>
      <c r="P368" s="22"/>
      <c r="Q368" s="24"/>
      <c r="R368" s="25"/>
    </row>
    <row r="369" spans="1:18" ht="17.399999999999999" customHeight="1" thickBot="1" x14ac:dyDescent="0.35">
      <c r="A369" s="221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3"/>
    </row>
    <row r="370" spans="1:18" ht="22.05" customHeight="1" thickTop="1" thickBot="1" x14ac:dyDescent="0.55000000000000004">
      <c r="A370" s="211" t="s">
        <v>8</v>
      </c>
      <c r="B370" s="212"/>
      <c r="C370" s="212"/>
      <c r="D370" s="212"/>
      <c r="E370" s="212"/>
      <c r="F370" s="212"/>
      <c r="G370" s="26">
        <v>46011</v>
      </c>
      <c r="H370" s="219" t="s">
        <v>9</v>
      </c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</row>
    <row r="371" spans="1:18" ht="24" customHeight="1" x14ac:dyDescent="0.3">
      <c r="A371" s="27" t="s">
        <v>10</v>
      </c>
      <c r="B371" s="27" t="s">
        <v>11</v>
      </c>
      <c r="C371" s="28" t="s">
        <v>12</v>
      </c>
      <c r="D371" s="27" t="s">
        <v>13</v>
      </c>
      <c r="E371" s="27" t="s">
        <v>14</v>
      </c>
      <c r="F371" s="29" t="s">
        <v>15</v>
      </c>
      <c r="G371" s="30" t="s">
        <v>16</v>
      </c>
      <c r="H371" s="27" t="s">
        <v>17</v>
      </c>
      <c r="I371" s="31" t="s">
        <v>18</v>
      </c>
      <c r="J371" s="32" t="s">
        <v>19</v>
      </c>
      <c r="K371" s="33" t="s">
        <v>20</v>
      </c>
      <c r="L371" s="32" t="s">
        <v>21</v>
      </c>
      <c r="M371" s="32" t="s">
        <v>22</v>
      </c>
      <c r="N371" s="32" t="s">
        <v>23</v>
      </c>
      <c r="O371" s="27" t="s">
        <v>24</v>
      </c>
      <c r="P371" s="28" t="s">
        <v>25</v>
      </c>
      <c r="Q371" s="32" t="s">
        <v>26</v>
      </c>
      <c r="R371" s="27" t="s">
        <v>27</v>
      </c>
    </row>
    <row r="372" spans="1:18" ht="15" customHeight="1" x14ac:dyDescent="0.3">
      <c r="A372" s="90" t="s">
        <v>76</v>
      </c>
      <c r="B372" s="90" t="s">
        <v>389</v>
      </c>
      <c r="C372" s="91">
        <v>0.72222222222222221</v>
      </c>
      <c r="D372" s="90" t="s">
        <v>178</v>
      </c>
      <c r="E372" s="90" t="s">
        <v>78</v>
      </c>
      <c r="F372" s="90" t="s">
        <v>489</v>
      </c>
      <c r="G372" s="213"/>
      <c r="H372" s="92" t="s">
        <v>391</v>
      </c>
      <c r="I372" s="93">
        <v>0.32779999999999998</v>
      </c>
      <c r="J372" s="94">
        <v>59</v>
      </c>
      <c r="K372" s="95">
        <v>45984</v>
      </c>
      <c r="L372" s="94">
        <v>25</v>
      </c>
      <c r="M372" s="94">
        <v>1</v>
      </c>
      <c r="N372" s="94">
        <v>2</v>
      </c>
      <c r="O372" s="96" t="s">
        <v>508</v>
      </c>
      <c r="P372" s="97">
        <v>0.72222222222222221</v>
      </c>
      <c r="Q372" s="94">
        <v>180</v>
      </c>
      <c r="R372" s="98" t="s">
        <v>509</v>
      </c>
    </row>
    <row r="373" spans="1:18" ht="15" customHeight="1" x14ac:dyDescent="0.3">
      <c r="A373" s="15" t="s">
        <v>28</v>
      </c>
      <c r="B373" s="15" t="s">
        <v>386</v>
      </c>
      <c r="C373" s="16">
        <v>0.69444444444444453</v>
      </c>
      <c r="D373" s="15" t="s">
        <v>178</v>
      </c>
      <c r="E373" s="15" t="s">
        <v>57</v>
      </c>
      <c r="F373" s="15" t="s">
        <v>460</v>
      </c>
      <c r="G373" s="214"/>
      <c r="H373" s="10"/>
      <c r="I373" s="11"/>
      <c r="J373" s="11"/>
      <c r="K373" s="11"/>
      <c r="L373" s="11"/>
      <c r="M373" s="11"/>
      <c r="N373" s="11"/>
      <c r="O373" s="12"/>
      <c r="P373" s="11"/>
      <c r="Q373" s="13"/>
      <c r="R373" s="14"/>
    </row>
    <row r="374" spans="1:18" ht="15" customHeight="1" x14ac:dyDescent="0.3">
      <c r="A374" s="15" t="s">
        <v>43</v>
      </c>
      <c r="B374" s="15" t="s">
        <v>380</v>
      </c>
      <c r="C374" s="16">
        <v>0.33680555555555558</v>
      </c>
      <c r="D374" s="15" t="s">
        <v>91</v>
      </c>
      <c r="E374" s="15" t="s">
        <v>31</v>
      </c>
      <c r="F374" s="15" t="s">
        <v>495</v>
      </c>
      <c r="G374" s="214"/>
      <c r="H374" s="10"/>
      <c r="I374" s="11"/>
      <c r="J374" s="11"/>
      <c r="K374" s="11"/>
      <c r="L374" s="11"/>
      <c r="M374" s="11"/>
      <c r="N374" s="11"/>
      <c r="O374" s="12"/>
      <c r="P374" s="11"/>
      <c r="Q374" s="13"/>
      <c r="R374" s="14"/>
    </row>
    <row r="375" spans="1:18" ht="15" customHeight="1" x14ac:dyDescent="0.3">
      <c r="A375" s="34" t="s">
        <v>43</v>
      </c>
      <c r="B375" s="34" t="s">
        <v>360</v>
      </c>
      <c r="C375" s="35">
        <v>0.97916666666666663</v>
      </c>
      <c r="D375" s="34" t="s">
        <v>45</v>
      </c>
      <c r="E375" s="34" t="s">
        <v>51</v>
      </c>
      <c r="F375" s="34" t="s">
        <v>496</v>
      </c>
      <c r="G375" s="214"/>
      <c r="H375" s="10"/>
      <c r="I375" s="11"/>
      <c r="J375" s="11"/>
      <c r="K375" s="11"/>
      <c r="L375" s="11"/>
      <c r="M375" s="11"/>
      <c r="N375" s="11"/>
      <c r="O375" s="12"/>
      <c r="P375" s="11"/>
      <c r="Q375" s="13"/>
      <c r="R375" s="14"/>
    </row>
    <row r="376" spans="1:18" ht="15" customHeight="1" x14ac:dyDescent="0.3">
      <c r="A376" s="34" t="s">
        <v>43</v>
      </c>
      <c r="B376" s="34" t="s">
        <v>362</v>
      </c>
      <c r="C376" s="35">
        <v>0.67708333333333337</v>
      </c>
      <c r="D376" s="34" t="s">
        <v>45</v>
      </c>
      <c r="E376" s="34" t="s">
        <v>51</v>
      </c>
      <c r="F376" s="34" t="s">
        <v>497</v>
      </c>
      <c r="G376" s="214"/>
      <c r="H376" s="10"/>
      <c r="I376" s="11"/>
      <c r="J376" s="11"/>
      <c r="K376" s="11"/>
      <c r="L376" s="11"/>
      <c r="M376" s="11"/>
      <c r="N376" s="11"/>
      <c r="O376" s="12"/>
      <c r="P376" s="11"/>
      <c r="Q376" s="13"/>
      <c r="R376" s="14"/>
    </row>
    <row r="377" spans="1:18" ht="15" customHeight="1" thickBot="1" x14ac:dyDescent="0.35">
      <c r="A377" s="19" t="s">
        <v>54</v>
      </c>
      <c r="B377" s="19" t="s">
        <v>382</v>
      </c>
      <c r="C377" s="20">
        <v>0.44791666666666669</v>
      </c>
      <c r="D377" s="19" t="s">
        <v>56</v>
      </c>
      <c r="E377" s="19" t="s">
        <v>57</v>
      </c>
      <c r="F377" s="19" t="s">
        <v>510</v>
      </c>
      <c r="G377" s="215"/>
      <c r="H377" s="21"/>
      <c r="I377" s="22"/>
      <c r="J377" s="22"/>
      <c r="K377" s="22"/>
      <c r="L377" s="22"/>
      <c r="M377" s="22"/>
      <c r="N377" s="22"/>
      <c r="O377" s="23"/>
      <c r="P377" s="22"/>
      <c r="Q377" s="24"/>
      <c r="R377" s="25"/>
    </row>
    <row r="378" spans="1:18" ht="17.399999999999999" customHeight="1" thickBot="1" x14ac:dyDescent="0.35">
      <c r="A378" s="221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3"/>
    </row>
    <row r="379" spans="1:18" ht="22.05" customHeight="1" thickTop="1" thickBot="1" x14ac:dyDescent="0.55000000000000004">
      <c r="A379" s="211" t="s">
        <v>8</v>
      </c>
      <c r="B379" s="212"/>
      <c r="C379" s="212"/>
      <c r="D379" s="212"/>
      <c r="E379" s="212"/>
      <c r="F379" s="212"/>
      <c r="G379" s="26">
        <v>46012</v>
      </c>
      <c r="H379" s="219" t="s">
        <v>9</v>
      </c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</row>
    <row r="380" spans="1:18" ht="24" customHeight="1" x14ac:dyDescent="0.3">
      <c r="A380" s="27" t="s">
        <v>10</v>
      </c>
      <c r="B380" s="27" t="s">
        <v>11</v>
      </c>
      <c r="C380" s="28" t="s">
        <v>12</v>
      </c>
      <c r="D380" s="27" t="s">
        <v>13</v>
      </c>
      <c r="E380" s="27" t="s">
        <v>14</v>
      </c>
      <c r="F380" s="29" t="s">
        <v>15</v>
      </c>
      <c r="G380" s="30" t="s">
        <v>16</v>
      </c>
      <c r="H380" s="27" t="s">
        <v>17</v>
      </c>
      <c r="I380" s="31" t="s">
        <v>18</v>
      </c>
      <c r="J380" s="32" t="s">
        <v>19</v>
      </c>
      <c r="K380" s="33" t="s">
        <v>20</v>
      </c>
      <c r="L380" s="32" t="s">
        <v>21</v>
      </c>
      <c r="M380" s="32" t="s">
        <v>22</v>
      </c>
      <c r="N380" s="32" t="s">
        <v>23</v>
      </c>
      <c r="O380" s="27" t="s">
        <v>24</v>
      </c>
      <c r="P380" s="28" t="s">
        <v>25</v>
      </c>
      <c r="Q380" s="32" t="s">
        <v>26</v>
      </c>
      <c r="R380" s="27" t="s">
        <v>27</v>
      </c>
    </row>
    <row r="381" spans="1:18" ht="15" customHeight="1" x14ac:dyDescent="0.3">
      <c r="A381" s="8" t="s">
        <v>102</v>
      </c>
      <c r="B381" s="8" t="s">
        <v>402</v>
      </c>
      <c r="C381" s="9">
        <v>0.92013888888888884</v>
      </c>
      <c r="D381" s="8" t="s">
        <v>178</v>
      </c>
      <c r="E381" s="8" t="s">
        <v>78</v>
      </c>
      <c r="F381" s="8" t="s">
        <v>473</v>
      </c>
      <c r="G381" s="213"/>
      <c r="H381" s="10"/>
      <c r="I381" s="11"/>
      <c r="J381" s="11"/>
      <c r="K381" s="11"/>
      <c r="L381" s="11"/>
      <c r="M381" s="11"/>
      <c r="N381" s="11"/>
      <c r="O381" s="12"/>
      <c r="P381" s="11"/>
      <c r="Q381" s="13"/>
      <c r="R381" s="14"/>
    </row>
    <row r="382" spans="1:18" ht="15" customHeight="1" x14ac:dyDescent="0.3">
      <c r="A382" s="15" t="s">
        <v>28</v>
      </c>
      <c r="B382" s="15" t="s">
        <v>354</v>
      </c>
      <c r="C382" s="16">
        <v>0.75694444444444453</v>
      </c>
      <c r="D382" s="15" t="s">
        <v>178</v>
      </c>
      <c r="E382" s="15" t="s">
        <v>31</v>
      </c>
      <c r="F382" s="15" t="s">
        <v>474</v>
      </c>
      <c r="G382" s="214"/>
      <c r="H382" s="10"/>
      <c r="I382" s="11"/>
      <c r="J382" s="11"/>
      <c r="K382" s="11"/>
      <c r="L382" s="11"/>
      <c r="M382" s="11"/>
      <c r="N382" s="11"/>
      <c r="O382" s="12"/>
      <c r="P382" s="11"/>
      <c r="Q382" s="13"/>
      <c r="R382" s="14"/>
    </row>
    <row r="383" spans="1:18" ht="15" customHeight="1" x14ac:dyDescent="0.3">
      <c r="A383" s="15" t="s">
        <v>43</v>
      </c>
      <c r="B383" s="15" t="s">
        <v>360</v>
      </c>
      <c r="C383" s="16">
        <v>0.97916666666666663</v>
      </c>
      <c r="D383" s="15" t="s">
        <v>45</v>
      </c>
      <c r="E383" s="15" t="s">
        <v>31</v>
      </c>
      <c r="F383" s="15" t="s">
        <v>498</v>
      </c>
      <c r="G383" s="214"/>
      <c r="H383" s="10"/>
      <c r="I383" s="11"/>
      <c r="J383" s="11"/>
      <c r="K383" s="11"/>
      <c r="L383" s="11"/>
      <c r="M383" s="11"/>
      <c r="N383" s="11"/>
      <c r="O383" s="12"/>
      <c r="P383" s="11"/>
      <c r="Q383" s="13"/>
      <c r="R383" s="14"/>
    </row>
    <row r="384" spans="1:18" ht="15" customHeight="1" x14ac:dyDescent="0.3">
      <c r="A384" s="34" t="s">
        <v>43</v>
      </c>
      <c r="B384" s="34" t="s">
        <v>380</v>
      </c>
      <c r="C384" s="35">
        <v>0.33680555555555558</v>
      </c>
      <c r="D384" s="34" t="s">
        <v>45</v>
      </c>
      <c r="E384" s="34" t="s">
        <v>51</v>
      </c>
      <c r="F384" s="34" t="s">
        <v>498</v>
      </c>
      <c r="G384" s="214"/>
      <c r="H384" s="10"/>
      <c r="I384" s="11"/>
      <c r="J384" s="11"/>
      <c r="K384" s="11"/>
      <c r="L384" s="11"/>
      <c r="M384" s="11"/>
      <c r="N384" s="11"/>
      <c r="O384" s="12"/>
      <c r="P384" s="11"/>
      <c r="Q384" s="13"/>
      <c r="R384" s="14"/>
    </row>
    <row r="385" spans="1:18" ht="15" customHeight="1" x14ac:dyDescent="0.3">
      <c r="A385" s="34" t="s">
        <v>43</v>
      </c>
      <c r="B385" s="34" t="s">
        <v>362</v>
      </c>
      <c r="C385" s="35">
        <v>0.67361111111111116</v>
      </c>
      <c r="D385" s="34" t="s">
        <v>45</v>
      </c>
      <c r="E385" s="34" t="s">
        <v>51</v>
      </c>
      <c r="F385" s="34" t="s">
        <v>497</v>
      </c>
      <c r="G385" s="214"/>
      <c r="H385" s="10"/>
      <c r="I385" s="11"/>
      <c r="J385" s="11"/>
      <c r="K385" s="11"/>
      <c r="L385" s="11"/>
      <c r="M385" s="11"/>
      <c r="N385" s="11"/>
      <c r="O385" s="12"/>
      <c r="P385" s="11"/>
      <c r="Q385" s="13"/>
      <c r="R385" s="14"/>
    </row>
    <row r="386" spans="1:18" ht="15" customHeight="1" thickBot="1" x14ac:dyDescent="0.35">
      <c r="A386" s="19" t="s">
        <v>54</v>
      </c>
      <c r="B386" s="19" t="s">
        <v>382</v>
      </c>
      <c r="C386" s="20">
        <v>0.44791666666666669</v>
      </c>
      <c r="D386" s="19" t="s">
        <v>56</v>
      </c>
      <c r="E386" s="19" t="s">
        <v>57</v>
      </c>
      <c r="F386" s="19" t="s">
        <v>475</v>
      </c>
      <c r="G386" s="215"/>
      <c r="H386" s="21"/>
      <c r="I386" s="22"/>
      <c r="J386" s="22"/>
      <c r="K386" s="22"/>
      <c r="L386" s="22"/>
      <c r="M386" s="22"/>
      <c r="N386" s="22"/>
      <c r="O386" s="23"/>
      <c r="P386" s="22"/>
      <c r="Q386" s="24"/>
      <c r="R386" s="25"/>
    </row>
    <row r="387" spans="1:18" ht="17.399999999999999" customHeight="1" thickBot="1" x14ac:dyDescent="0.35">
      <c r="A387" s="221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3"/>
    </row>
    <row r="388" spans="1:18" ht="22.05" customHeight="1" thickTop="1" thickBot="1" x14ac:dyDescent="0.55000000000000004">
      <c r="A388" s="211" t="s">
        <v>8</v>
      </c>
      <c r="B388" s="212"/>
      <c r="C388" s="212"/>
      <c r="D388" s="212"/>
      <c r="E388" s="212"/>
      <c r="F388" s="212"/>
      <c r="G388" s="26">
        <v>46013</v>
      </c>
      <c r="H388" s="219" t="s">
        <v>9</v>
      </c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</row>
    <row r="389" spans="1:18" ht="24" customHeight="1" x14ac:dyDescent="0.3">
      <c r="A389" s="27" t="s">
        <v>10</v>
      </c>
      <c r="B389" s="27" t="s">
        <v>11</v>
      </c>
      <c r="C389" s="28" t="s">
        <v>12</v>
      </c>
      <c r="D389" s="27" t="s">
        <v>13</v>
      </c>
      <c r="E389" s="27" t="s">
        <v>14</v>
      </c>
      <c r="F389" s="29" t="s">
        <v>15</v>
      </c>
      <c r="G389" s="30" t="s">
        <v>16</v>
      </c>
      <c r="H389" s="27" t="s">
        <v>17</v>
      </c>
      <c r="I389" s="31" t="s">
        <v>18</v>
      </c>
      <c r="J389" s="32" t="s">
        <v>19</v>
      </c>
      <c r="K389" s="33" t="s">
        <v>20</v>
      </c>
      <c r="L389" s="32" t="s">
        <v>21</v>
      </c>
      <c r="M389" s="32" t="s">
        <v>22</v>
      </c>
      <c r="N389" s="32" t="s">
        <v>23</v>
      </c>
      <c r="O389" s="27" t="s">
        <v>24</v>
      </c>
      <c r="P389" s="28" t="s">
        <v>25</v>
      </c>
      <c r="Q389" s="32" t="s">
        <v>26</v>
      </c>
      <c r="R389" s="27" t="s">
        <v>27</v>
      </c>
    </row>
    <row r="390" spans="1:18" ht="15" customHeight="1" x14ac:dyDescent="0.3">
      <c r="A390" s="8" t="s">
        <v>59</v>
      </c>
      <c r="B390" s="8" t="s">
        <v>371</v>
      </c>
      <c r="C390" s="9">
        <v>0.44791666666666669</v>
      </c>
      <c r="D390" s="8" t="s">
        <v>61</v>
      </c>
      <c r="E390" s="8" t="s">
        <v>57</v>
      </c>
      <c r="F390" s="8" t="s">
        <v>511</v>
      </c>
      <c r="G390" s="213"/>
      <c r="H390" s="10"/>
      <c r="I390" s="11"/>
      <c r="J390" s="11"/>
      <c r="K390" s="11"/>
      <c r="L390" s="11"/>
      <c r="M390" s="11"/>
      <c r="N390" s="11"/>
      <c r="O390" s="12"/>
      <c r="P390" s="11"/>
      <c r="Q390" s="13"/>
      <c r="R390" s="14"/>
    </row>
    <row r="391" spans="1:18" ht="15" customHeight="1" x14ac:dyDescent="0.3">
      <c r="A391" s="17" t="s">
        <v>59</v>
      </c>
      <c r="B391" s="17" t="s">
        <v>371</v>
      </c>
      <c r="C391" s="18">
        <v>0.44791666666666669</v>
      </c>
      <c r="D391" s="17" t="s">
        <v>64</v>
      </c>
      <c r="E391" s="17" t="s">
        <v>119</v>
      </c>
      <c r="F391" s="17" t="s">
        <v>512</v>
      </c>
      <c r="G391" s="214"/>
      <c r="H391" s="10"/>
      <c r="I391" s="11"/>
      <c r="J391" s="11"/>
      <c r="K391" s="11"/>
      <c r="L391" s="11"/>
      <c r="M391" s="11"/>
      <c r="N391" s="11"/>
      <c r="O391" s="12"/>
      <c r="P391" s="11"/>
      <c r="Q391" s="13"/>
      <c r="R391" s="14"/>
    </row>
    <row r="392" spans="1:18" ht="15" customHeight="1" x14ac:dyDescent="0.3">
      <c r="A392" s="17" t="s">
        <v>59</v>
      </c>
      <c r="B392" s="17" t="s">
        <v>371</v>
      </c>
      <c r="C392" s="18">
        <v>0.44791666666666669</v>
      </c>
      <c r="D392" s="17" t="s">
        <v>67</v>
      </c>
      <c r="E392" s="17" t="s">
        <v>119</v>
      </c>
      <c r="F392" s="17" t="s">
        <v>374</v>
      </c>
      <c r="G392" s="214"/>
      <c r="H392" s="10"/>
      <c r="I392" s="11"/>
      <c r="J392" s="11"/>
      <c r="K392" s="11"/>
      <c r="L392" s="11"/>
      <c r="M392" s="11"/>
      <c r="N392" s="11"/>
      <c r="O392" s="12"/>
      <c r="P392" s="11"/>
      <c r="Q392" s="13"/>
      <c r="R392" s="14"/>
    </row>
    <row r="393" spans="1:18" ht="15" customHeight="1" x14ac:dyDescent="0.3">
      <c r="A393" s="15" t="s">
        <v>33</v>
      </c>
      <c r="B393" s="15" t="s">
        <v>364</v>
      </c>
      <c r="C393" s="16">
        <v>0.33680555555555558</v>
      </c>
      <c r="D393" s="15" t="s">
        <v>35</v>
      </c>
      <c r="E393" s="15" t="s">
        <v>78</v>
      </c>
      <c r="F393" s="15" t="s">
        <v>511</v>
      </c>
      <c r="G393" s="214"/>
      <c r="H393" s="10"/>
      <c r="I393" s="11"/>
      <c r="J393" s="11"/>
      <c r="K393" s="11"/>
      <c r="L393" s="11"/>
      <c r="M393" s="11"/>
      <c r="N393" s="11"/>
      <c r="O393" s="12"/>
      <c r="P393" s="11"/>
      <c r="Q393" s="13"/>
      <c r="R393" s="14"/>
    </row>
    <row r="394" spans="1:18" ht="15" customHeight="1" x14ac:dyDescent="0.3">
      <c r="A394" s="17" t="s">
        <v>33</v>
      </c>
      <c r="B394" s="17" t="s">
        <v>364</v>
      </c>
      <c r="C394" s="18">
        <v>0.33680555555555558</v>
      </c>
      <c r="D394" s="17" t="s">
        <v>38</v>
      </c>
      <c r="E394" s="17" t="s">
        <v>140</v>
      </c>
      <c r="F394" s="17" t="s">
        <v>513</v>
      </c>
      <c r="G394" s="214"/>
      <c r="H394" s="10"/>
      <c r="I394" s="11"/>
      <c r="J394" s="11"/>
      <c r="K394" s="11"/>
      <c r="L394" s="11"/>
      <c r="M394" s="11"/>
      <c r="N394" s="11"/>
      <c r="O394" s="12"/>
      <c r="P394" s="11"/>
      <c r="Q394" s="13"/>
      <c r="R394" s="14"/>
    </row>
    <row r="395" spans="1:18" ht="15" customHeight="1" x14ac:dyDescent="0.3">
      <c r="A395" s="17" t="s">
        <v>33</v>
      </c>
      <c r="B395" s="17" t="s">
        <v>364</v>
      </c>
      <c r="C395" s="18">
        <v>0.33680555555555558</v>
      </c>
      <c r="D395" s="17" t="s">
        <v>41</v>
      </c>
      <c r="E395" s="17" t="s">
        <v>140</v>
      </c>
      <c r="F395" s="17" t="s">
        <v>468</v>
      </c>
      <c r="G395" s="214"/>
      <c r="H395" s="10"/>
      <c r="I395" s="11"/>
      <c r="J395" s="11"/>
      <c r="K395" s="11"/>
      <c r="L395" s="11"/>
      <c r="M395" s="11"/>
      <c r="N395" s="11"/>
      <c r="O395" s="12"/>
      <c r="P395" s="11"/>
      <c r="Q395" s="13"/>
      <c r="R395" s="14"/>
    </row>
    <row r="396" spans="1:18" ht="15" customHeight="1" x14ac:dyDescent="0.3">
      <c r="A396" s="34" t="s">
        <v>33</v>
      </c>
      <c r="B396" s="34" t="s">
        <v>356</v>
      </c>
      <c r="C396" s="35">
        <v>0.97222222222222221</v>
      </c>
      <c r="D396" s="34" t="s">
        <v>35</v>
      </c>
      <c r="E396" s="34" t="s">
        <v>146</v>
      </c>
      <c r="F396" s="34" t="s">
        <v>473</v>
      </c>
      <c r="G396" s="214"/>
      <c r="H396" s="10"/>
      <c r="I396" s="11"/>
      <c r="J396" s="11"/>
      <c r="K396" s="11"/>
      <c r="L396" s="11"/>
      <c r="M396" s="11"/>
      <c r="N396" s="11"/>
      <c r="O396" s="12"/>
      <c r="P396" s="11"/>
      <c r="Q396" s="13"/>
      <c r="R396" s="14"/>
    </row>
    <row r="397" spans="1:18" ht="15" customHeight="1" x14ac:dyDescent="0.3">
      <c r="A397" s="17" t="s">
        <v>33</v>
      </c>
      <c r="B397" s="17" t="s">
        <v>356</v>
      </c>
      <c r="C397" s="18">
        <v>0.97222222222222221</v>
      </c>
      <c r="D397" s="17" t="s">
        <v>38</v>
      </c>
      <c r="E397" s="17" t="s">
        <v>140</v>
      </c>
      <c r="F397" s="17" t="s">
        <v>514</v>
      </c>
      <c r="G397" s="214"/>
      <c r="H397" s="10"/>
      <c r="I397" s="11"/>
      <c r="J397" s="11"/>
      <c r="K397" s="11"/>
      <c r="L397" s="11"/>
      <c r="M397" s="11"/>
      <c r="N397" s="11"/>
      <c r="O397" s="12"/>
      <c r="P397" s="11"/>
      <c r="Q397" s="13"/>
      <c r="R397" s="14"/>
    </row>
    <row r="398" spans="1:18" ht="15" customHeight="1" x14ac:dyDescent="0.3">
      <c r="A398" s="17" t="s">
        <v>33</v>
      </c>
      <c r="B398" s="17" t="s">
        <v>356</v>
      </c>
      <c r="C398" s="18">
        <v>0.97222222222222221</v>
      </c>
      <c r="D398" s="17" t="s">
        <v>41</v>
      </c>
      <c r="E398" s="17" t="s">
        <v>140</v>
      </c>
      <c r="F398" s="17" t="s">
        <v>515</v>
      </c>
      <c r="G398" s="214"/>
      <c r="H398" s="10"/>
      <c r="I398" s="11"/>
      <c r="J398" s="11"/>
      <c r="K398" s="11"/>
      <c r="L398" s="11"/>
      <c r="M398" s="11"/>
      <c r="N398" s="11"/>
      <c r="O398" s="12"/>
      <c r="P398" s="11"/>
      <c r="Q398" s="13"/>
      <c r="R398" s="14"/>
    </row>
    <row r="399" spans="1:18" ht="15" customHeight="1" x14ac:dyDescent="0.3">
      <c r="A399" s="15" t="s">
        <v>28</v>
      </c>
      <c r="B399" s="15" t="s">
        <v>375</v>
      </c>
      <c r="C399" s="16">
        <v>0.75694444444444453</v>
      </c>
      <c r="D399" s="15" t="s">
        <v>178</v>
      </c>
      <c r="E399" s="15" t="s">
        <v>129</v>
      </c>
      <c r="F399" s="15" t="s">
        <v>460</v>
      </c>
      <c r="G399" s="214"/>
      <c r="H399" s="10"/>
      <c r="I399" s="11"/>
      <c r="J399" s="11"/>
      <c r="K399" s="11"/>
      <c r="L399" s="11"/>
      <c r="M399" s="11"/>
      <c r="N399" s="11"/>
      <c r="O399" s="12"/>
      <c r="P399" s="11"/>
      <c r="Q399" s="13"/>
      <c r="R399" s="14"/>
    </row>
    <row r="400" spans="1:18" ht="15" customHeight="1" x14ac:dyDescent="0.3">
      <c r="A400" s="15" t="s">
        <v>43</v>
      </c>
      <c r="B400" s="15" t="s">
        <v>360</v>
      </c>
      <c r="C400" s="16">
        <v>0.97916666666666663</v>
      </c>
      <c r="D400" s="15" t="s">
        <v>45</v>
      </c>
      <c r="E400" s="15" t="s">
        <v>31</v>
      </c>
      <c r="F400" s="15" t="s">
        <v>498</v>
      </c>
      <c r="G400" s="214"/>
      <c r="H400" s="10"/>
      <c r="I400" s="11"/>
      <c r="J400" s="11"/>
      <c r="K400" s="11"/>
      <c r="L400" s="11"/>
      <c r="M400" s="11"/>
      <c r="N400" s="11"/>
      <c r="O400" s="12"/>
      <c r="P400" s="11"/>
      <c r="Q400" s="13"/>
      <c r="R400" s="14"/>
    </row>
    <row r="401" spans="1:18" ht="15" customHeight="1" x14ac:dyDescent="0.3">
      <c r="A401" s="34" t="s">
        <v>43</v>
      </c>
      <c r="B401" s="34" t="s">
        <v>380</v>
      </c>
      <c r="C401" s="35">
        <v>0.33680555555555558</v>
      </c>
      <c r="D401" s="34" t="s">
        <v>45</v>
      </c>
      <c r="E401" s="34" t="s">
        <v>51</v>
      </c>
      <c r="F401" s="34" t="s">
        <v>498</v>
      </c>
      <c r="G401" s="214"/>
      <c r="H401" s="10"/>
      <c r="I401" s="11"/>
      <c r="J401" s="11"/>
      <c r="K401" s="11"/>
      <c r="L401" s="11"/>
      <c r="M401" s="11"/>
      <c r="N401" s="11"/>
      <c r="O401" s="12"/>
      <c r="P401" s="11"/>
      <c r="Q401" s="13"/>
      <c r="R401" s="14"/>
    </row>
    <row r="402" spans="1:18" ht="15" customHeight="1" x14ac:dyDescent="0.3">
      <c r="A402" s="34" t="s">
        <v>43</v>
      </c>
      <c r="B402" s="34" t="s">
        <v>362</v>
      </c>
      <c r="C402" s="35">
        <v>0.67361111111111116</v>
      </c>
      <c r="D402" s="34" t="s">
        <v>45</v>
      </c>
      <c r="E402" s="34" t="s">
        <v>51</v>
      </c>
      <c r="F402" s="34" t="s">
        <v>496</v>
      </c>
      <c r="G402" s="214"/>
      <c r="H402" s="10"/>
      <c r="I402" s="11"/>
      <c r="J402" s="11"/>
      <c r="K402" s="11"/>
      <c r="L402" s="11"/>
      <c r="M402" s="11"/>
      <c r="N402" s="11"/>
      <c r="O402" s="12"/>
      <c r="P402" s="11"/>
      <c r="Q402" s="13"/>
      <c r="R402" s="14"/>
    </row>
    <row r="403" spans="1:18" ht="15" customHeight="1" thickBot="1" x14ac:dyDescent="0.35">
      <c r="A403" s="19" t="s">
        <v>54</v>
      </c>
      <c r="B403" s="19" t="s">
        <v>382</v>
      </c>
      <c r="C403" s="20">
        <v>0.44791666666666669</v>
      </c>
      <c r="D403" s="19" t="s">
        <v>56</v>
      </c>
      <c r="E403" s="19" t="s">
        <v>57</v>
      </c>
      <c r="F403" s="19" t="s">
        <v>475</v>
      </c>
      <c r="G403" s="215"/>
      <c r="H403" s="21"/>
      <c r="I403" s="22"/>
      <c r="J403" s="22"/>
      <c r="K403" s="22"/>
      <c r="L403" s="22"/>
      <c r="M403" s="22"/>
      <c r="N403" s="22"/>
      <c r="O403" s="23"/>
      <c r="P403" s="22"/>
      <c r="Q403" s="24"/>
      <c r="R403" s="25"/>
    </row>
    <row r="404" spans="1:18" ht="17.399999999999999" customHeight="1" thickBot="1" x14ac:dyDescent="0.35">
      <c r="A404" s="221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3"/>
    </row>
    <row r="405" spans="1:18" ht="22.05" customHeight="1" thickTop="1" thickBot="1" x14ac:dyDescent="0.55000000000000004">
      <c r="A405" s="211" t="s">
        <v>8</v>
      </c>
      <c r="B405" s="212"/>
      <c r="C405" s="212"/>
      <c r="D405" s="212"/>
      <c r="E405" s="212"/>
      <c r="F405" s="212"/>
      <c r="G405" s="26">
        <v>46014</v>
      </c>
      <c r="H405" s="219" t="s">
        <v>9</v>
      </c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</row>
    <row r="406" spans="1:18" ht="24" customHeight="1" x14ac:dyDescent="0.3">
      <c r="A406" s="27" t="s">
        <v>10</v>
      </c>
      <c r="B406" s="27" t="s">
        <v>11</v>
      </c>
      <c r="C406" s="28" t="s">
        <v>12</v>
      </c>
      <c r="D406" s="27" t="s">
        <v>13</v>
      </c>
      <c r="E406" s="27" t="s">
        <v>14</v>
      </c>
      <c r="F406" s="29" t="s">
        <v>15</v>
      </c>
      <c r="G406" s="30" t="s">
        <v>16</v>
      </c>
      <c r="H406" s="27" t="s">
        <v>17</v>
      </c>
      <c r="I406" s="31" t="s">
        <v>18</v>
      </c>
      <c r="J406" s="32" t="s">
        <v>19</v>
      </c>
      <c r="K406" s="33" t="s">
        <v>20</v>
      </c>
      <c r="L406" s="32" t="s">
        <v>21</v>
      </c>
      <c r="M406" s="32" t="s">
        <v>22</v>
      </c>
      <c r="N406" s="32" t="s">
        <v>23</v>
      </c>
      <c r="O406" s="27" t="s">
        <v>24</v>
      </c>
      <c r="P406" s="28" t="s">
        <v>25</v>
      </c>
      <c r="Q406" s="32" t="s">
        <v>26</v>
      </c>
      <c r="R406" s="27" t="s">
        <v>27</v>
      </c>
    </row>
    <row r="407" spans="1:18" ht="15" customHeight="1" x14ac:dyDescent="0.3">
      <c r="A407" s="90" t="s">
        <v>76</v>
      </c>
      <c r="B407" s="90" t="s">
        <v>389</v>
      </c>
      <c r="C407" s="91">
        <v>6.9444444444444434E-2</v>
      </c>
      <c r="D407" s="90" t="s">
        <v>178</v>
      </c>
      <c r="E407" s="90" t="s">
        <v>31</v>
      </c>
      <c r="F407" s="90" t="s">
        <v>502</v>
      </c>
      <c r="G407" s="213"/>
      <c r="H407" s="92" t="s">
        <v>391</v>
      </c>
      <c r="I407" s="93">
        <v>7.7799999999999994E-2</v>
      </c>
      <c r="J407" s="94">
        <v>14</v>
      </c>
      <c r="K407" s="95">
        <v>45978</v>
      </c>
      <c r="L407" s="94">
        <v>3</v>
      </c>
      <c r="M407" s="94">
        <v>0</v>
      </c>
      <c r="N407" s="94">
        <v>0</v>
      </c>
      <c r="O407" s="96" t="s">
        <v>276</v>
      </c>
      <c r="P407" s="97">
        <v>6.9444444444444434E-2</v>
      </c>
      <c r="Q407" s="94">
        <v>180</v>
      </c>
      <c r="R407" s="98" t="s">
        <v>516</v>
      </c>
    </row>
    <row r="408" spans="1:18" ht="15" customHeight="1" x14ac:dyDescent="0.3">
      <c r="A408" s="15" t="s">
        <v>102</v>
      </c>
      <c r="B408" s="15" t="s">
        <v>387</v>
      </c>
      <c r="C408" s="16">
        <v>0.88194444444444453</v>
      </c>
      <c r="D408" s="15" t="s">
        <v>178</v>
      </c>
      <c r="E408" s="15" t="s">
        <v>89</v>
      </c>
      <c r="F408" s="15" t="s">
        <v>473</v>
      </c>
      <c r="G408" s="214"/>
      <c r="H408" s="10"/>
      <c r="I408" s="11"/>
      <c r="J408" s="11"/>
      <c r="K408" s="11"/>
      <c r="L408" s="11"/>
      <c r="M408" s="11"/>
      <c r="N408" s="11"/>
      <c r="O408" s="12"/>
      <c r="P408" s="11"/>
      <c r="Q408" s="13"/>
      <c r="R408" s="14"/>
    </row>
    <row r="409" spans="1:18" ht="15" customHeight="1" x14ac:dyDescent="0.3">
      <c r="A409" s="15" t="s">
        <v>28</v>
      </c>
      <c r="B409" s="15" t="s">
        <v>386</v>
      </c>
      <c r="C409" s="16">
        <v>0.75694444444444453</v>
      </c>
      <c r="D409" s="15" t="s">
        <v>178</v>
      </c>
      <c r="E409" s="15" t="s">
        <v>129</v>
      </c>
      <c r="F409" s="15" t="s">
        <v>474</v>
      </c>
      <c r="G409" s="214"/>
      <c r="H409" s="10"/>
      <c r="I409" s="11"/>
      <c r="J409" s="11"/>
      <c r="K409" s="11"/>
      <c r="L409" s="11"/>
      <c r="M409" s="11"/>
      <c r="N409" s="11"/>
      <c r="O409" s="12"/>
      <c r="P409" s="11"/>
      <c r="Q409" s="13"/>
      <c r="R409" s="14"/>
    </row>
    <row r="410" spans="1:18" ht="15" customHeight="1" x14ac:dyDescent="0.3">
      <c r="A410" s="15" t="s">
        <v>43</v>
      </c>
      <c r="B410" s="15" t="s">
        <v>360</v>
      </c>
      <c r="C410" s="16">
        <v>0.97916666666666663</v>
      </c>
      <c r="D410" s="15" t="s">
        <v>91</v>
      </c>
      <c r="E410" s="15" t="s">
        <v>31</v>
      </c>
      <c r="F410" s="15" t="s">
        <v>495</v>
      </c>
      <c r="G410" s="214"/>
      <c r="H410" s="10"/>
      <c r="I410" s="11"/>
      <c r="J410" s="11"/>
      <c r="K410" s="11"/>
      <c r="L410" s="11"/>
      <c r="M410" s="11"/>
      <c r="N410" s="11"/>
      <c r="O410" s="12"/>
      <c r="P410" s="11"/>
      <c r="Q410" s="13"/>
      <c r="R410" s="14"/>
    </row>
    <row r="411" spans="1:18" ht="15" customHeight="1" x14ac:dyDescent="0.3">
      <c r="A411" s="34" t="s">
        <v>43</v>
      </c>
      <c r="B411" s="34" t="s">
        <v>362</v>
      </c>
      <c r="C411" s="35">
        <v>0.67361111111111116</v>
      </c>
      <c r="D411" s="34" t="s">
        <v>45</v>
      </c>
      <c r="E411" s="34" t="s">
        <v>51</v>
      </c>
      <c r="F411" s="34" t="s">
        <v>497</v>
      </c>
      <c r="G411" s="214"/>
      <c r="H411" s="10"/>
      <c r="I411" s="11"/>
      <c r="J411" s="11"/>
      <c r="K411" s="11"/>
      <c r="L411" s="11"/>
      <c r="M411" s="11"/>
      <c r="N411" s="11"/>
      <c r="O411" s="12"/>
      <c r="P411" s="11"/>
      <c r="Q411" s="13"/>
      <c r="R411" s="14"/>
    </row>
    <row r="412" spans="1:18" ht="15" customHeight="1" thickBot="1" x14ac:dyDescent="0.35">
      <c r="A412" s="19" t="s">
        <v>54</v>
      </c>
      <c r="B412" s="19" t="s">
        <v>382</v>
      </c>
      <c r="C412" s="20">
        <v>0.44791666666666669</v>
      </c>
      <c r="D412" s="19" t="s">
        <v>56</v>
      </c>
      <c r="E412" s="19" t="s">
        <v>57</v>
      </c>
      <c r="F412" s="19" t="s">
        <v>475</v>
      </c>
      <c r="G412" s="215"/>
      <c r="H412" s="21"/>
      <c r="I412" s="22"/>
      <c r="J412" s="22"/>
      <c r="K412" s="22"/>
      <c r="L412" s="22"/>
      <c r="M412" s="22"/>
      <c r="N412" s="22"/>
      <c r="O412" s="23"/>
      <c r="P412" s="22"/>
      <c r="Q412" s="24"/>
      <c r="R412" s="25"/>
    </row>
    <row r="413" spans="1:18" ht="17.399999999999999" customHeight="1" thickBot="1" x14ac:dyDescent="0.35">
      <c r="A413" s="221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3"/>
    </row>
    <row r="414" spans="1:18" ht="22.05" customHeight="1" thickTop="1" thickBot="1" x14ac:dyDescent="0.55000000000000004">
      <c r="A414" s="211" t="s">
        <v>8</v>
      </c>
      <c r="B414" s="212"/>
      <c r="C414" s="212"/>
      <c r="D414" s="212"/>
      <c r="E414" s="212"/>
      <c r="F414" s="212"/>
      <c r="G414" s="26">
        <v>46015</v>
      </c>
      <c r="H414" s="219" t="s">
        <v>9</v>
      </c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</row>
    <row r="415" spans="1:18" ht="24" customHeight="1" x14ac:dyDescent="0.3">
      <c r="A415" s="27" t="s">
        <v>10</v>
      </c>
      <c r="B415" s="27" t="s">
        <v>11</v>
      </c>
      <c r="C415" s="28" t="s">
        <v>12</v>
      </c>
      <c r="D415" s="27" t="s">
        <v>13</v>
      </c>
      <c r="E415" s="27" t="s">
        <v>14</v>
      </c>
      <c r="F415" s="29" t="s">
        <v>15</v>
      </c>
      <c r="G415" s="30" t="s">
        <v>16</v>
      </c>
      <c r="H415" s="27" t="s">
        <v>17</v>
      </c>
      <c r="I415" s="31" t="s">
        <v>18</v>
      </c>
      <c r="J415" s="32" t="s">
        <v>19</v>
      </c>
      <c r="K415" s="33" t="s">
        <v>20</v>
      </c>
      <c r="L415" s="32" t="s">
        <v>21</v>
      </c>
      <c r="M415" s="32" t="s">
        <v>22</v>
      </c>
      <c r="N415" s="32" t="s">
        <v>23</v>
      </c>
      <c r="O415" s="27" t="s">
        <v>24</v>
      </c>
      <c r="P415" s="28" t="s">
        <v>25</v>
      </c>
      <c r="Q415" s="32" t="s">
        <v>26</v>
      </c>
      <c r="R415" s="27" t="s">
        <v>27</v>
      </c>
    </row>
    <row r="416" spans="1:18" ht="49.95" customHeight="1" x14ac:dyDescent="0.3">
      <c r="A416" s="8" t="s">
        <v>28</v>
      </c>
      <c r="B416" s="8" t="s">
        <v>375</v>
      </c>
      <c r="C416" s="9">
        <v>0.69444444444444453</v>
      </c>
      <c r="D416" s="8" t="s">
        <v>178</v>
      </c>
      <c r="E416" s="8" t="s">
        <v>31</v>
      </c>
      <c r="F416" s="8" t="s">
        <v>474</v>
      </c>
      <c r="G416" s="213"/>
      <c r="H416" s="10"/>
      <c r="I416" s="11"/>
      <c r="J416" s="11"/>
      <c r="K416" s="11"/>
      <c r="L416" s="11"/>
      <c r="M416" s="11"/>
      <c r="N416" s="11"/>
      <c r="O416" s="12"/>
      <c r="P416" s="11"/>
      <c r="Q416" s="13"/>
      <c r="R416" s="14"/>
    </row>
    <row r="417" spans="1:18" ht="49.95" customHeight="1" x14ac:dyDescent="0.3">
      <c r="A417" s="15" t="s">
        <v>43</v>
      </c>
      <c r="B417" s="15" t="s">
        <v>380</v>
      </c>
      <c r="C417" s="16">
        <v>0.33680555555555558</v>
      </c>
      <c r="D417" s="15" t="s">
        <v>91</v>
      </c>
      <c r="E417" s="15" t="s">
        <v>31</v>
      </c>
      <c r="F417" s="15" t="s">
        <v>495</v>
      </c>
      <c r="G417" s="214"/>
      <c r="H417" s="10"/>
      <c r="I417" s="11"/>
      <c r="J417" s="11"/>
      <c r="K417" s="11"/>
      <c r="L417" s="11"/>
      <c r="M417" s="11"/>
      <c r="N417" s="11"/>
      <c r="O417" s="12"/>
      <c r="P417" s="11"/>
      <c r="Q417" s="13"/>
      <c r="R417" s="14"/>
    </row>
    <row r="418" spans="1:18" ht="49.95" customHeight="1" x14ac:dyDescent="0.3">
      <c r="A418" s="34" t="s">
        <v>43</v>
      </c>
      <c r="B418" s="34" t="s">
        <v>362</v>
      </c>
      <c r="C418" s="35">
        <v>0.67361111111111116</v>
      </c>
      <c r="D418" s="34" t="s">
        <v>45</v>
      </c>
      <c r="E418" s="34" t="s">
        <v>51</v>
      </c>
      <c r="F418" s="34" t="s">
        <v>496</v>
      </c>
      <c r="G418" s="214"/>
      <c r="H418" s="10"/>
      <c r="I418" s="11"/>
      <c r="J418" s="11"/>
      <c r="K418" s="11"/>
      <c r="L418" s="11"/>
      <c r="M418" s="11"/>
      <c r="N418" s="11"/>
      <c r="O418" s="12"/>
      <c r="P418" s="11"/>
      <c r="Q418" s="13"/>
      <c r="R418" s="14"/>
    </row>
    <row r="419" spans="1:18" ht="49.95" customHeight="1" x14ac:dyDescent="0.3">
      <c r="A419" s="34" t="s">
        <v>43</v>
      </c>
      <c r="B419" s="34" t="s">
        <v>360</v>
      </c>
      <c r="C419" s="35">
        <v>0.97916666666666663</v>
      </c>
      <c r="D419" s="34" t="s">
        <v>45</v>
      </c>
      <c r="E419" s="34" t="s">
        <v>51</v>
      </c>
      <c r="F419" s="34" t="s">
        <v>496</v>
      </c>
      <c r="G419" s="214"/>
      <c r="H419" s="10"/>
      <c r="I419" s="11"/>
      <c r="J419" s="11"/>
      <c r="K419" s="11"/>
      <c r="L419" s="11"/>
      <c r="M419" s="11"/>
      <c r="N419" s="11"/>
      <c r="O419" s="12"/>
      <c r="P419" s="11"/>
      <c r="Q419" s="13"/>
      <c r="R419" s="14"/>
    </row>
    <row r="420" spans="1:18" ht="49.95" customHeight="1" thickBot="1" x14ac:dyDescent="0.35">
      <c r="A420" s="19" t="s">
        <v>54</v>
      </c>
      <c r="B420" s="19" t="s">
        <v>382</v>
      </c>
      <c r="C420" s="20">
        <v>0.44791666666666669</v>
      </c>
      <c r="D420" s="19" t="s">
        <v>56</v>
      </c>
      <c r="E420" s="19" t="s">
        <v>57</v>
      </c>
      <c r="F420" s="19" t="s">
        <v>475</v>
      </c>
      <c r="G420" s="215"/>
      <c r="H420" s="21"/>
      <c r="I420" s="22"/>
      <c r="J420" s="22"/>
      <c r="K420" s="22"/>
      <c r="L420" s="22"/>
      <c r="M420" s="22"/>
      <c r="N420" s="22"/>
      <c r="O420" s="23"/>
      <c r="P420" s="22"/>
      <c r="Q420" s="24"/>
      <c r="R420" s="25"/>
    </row>
    <row r="421" spans="1:18" ht="17.399999999999999" customHeight="1" thickBot="1" x14ac:dyDescent="0.35">
      <c r="A421" s="221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3"/>
    </row>
    <row r="422" spans="1:18" ht="22.05" customHeight="1" thickTop="1" thickBot="1" x14ac:dyDescent="0.55000000000000004">
      <c r="A422" s="211" t="s">
        <v>8</v>
      </c>
      <c r="B422" s="212"/>
      <c r="C422" s="212"/>
      <c r="D422" s="212"/>
      <c r="E422" s="212"/>
      <c r="F422" s="212"/>
      <c r="G422" s="26">
        <v>46016</v>
      </c>
      <c r="H422" s="219" t="s">
        <v>9</v>
      </c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</row>
    <row r="423" spans="1:18" ht="24" customHeight="1" x14ac:dyDescent="0.3">
      <c r="A423" s="27" t="s">
        <v>10</v>
      </c>
      <c r="B423" s="27" t="s">
        <v>11</v>
      </c>
      <c r="C423" s="28" t="s">
        <v>12</v>
      </c>
      <c r="D423" s="27" t="s">
        <v>13</v>
      </c>
      <c r="E423" s="27" t="s">
        <v>14</v>
      </c>
      <c r="F423" s="29" t="s">
        <v>15</v>
      </c>
      <c r="G423" s="30" t="s">
        <v>16</v>
      </c>
      <c r="H423" s="27" t="s">
        <v>17</v>
      </c>
      <c r="I423" s="31" t="s">
        <v>18</v>
      </c>
      <c r="J423" s="32" t="s">
        <v>19</v>
      </c>
      <c r="K423" s="33" t="s">
        <v>20</v>
      </c>
      <c r="L423" s="32" t="s">
        <v>21</v>
      </c>
      <c r="M423" s="32" t="s">
        <v>22</v>
      </c>
      <c r="N423" s="32" t="s">
        <v>23</v>
      </c>
      <c r="O423" s="27" t="s">
        <v>24</v>
      </c>
      <c r="P423" s="28" t="s">
        <v>25</v>
      </c>
      <c r="Q423" s="32" t="s">
        <v>26</v>
      </c>
      <c r="R423" s="27" t="s">
        <v>27</v>
      </c>
    </row>
    <row r="424" spans="1:18" ht="15" customHeight="1" x14ac:dyDescent="0.3">
      <c r="A424" s="8" t="s">
        <v>33</v>
      </c>
      <c r="B424" s="8" t="s">
        <v>364</v>
      </c>
      <c r="C424" s="9">
        <v>0.33680555555555558</v>
      </c>
      <c r="D424" s="8" t="s">
        <v>35</v>
      </c>
      <c r="E424" s="8" t="s">
        <v>94</v>
      </c>
      <c r="F424" s="8" t="s">
        <v>511</v>
      </c>
      <c r="G424" s="213"/>
      <c r="H424" s="10"/>
      <c r="I424" s="11"/>
      <c r="J424" s="11"/>
      <c r="K424" s="11"/>
      <c r="L424" s="11"/>
      <c r="M424" s="11"/>
      <c r="N424" s="11"/>
      <c r="O424" s="12"/>
      <c r="P424" s="11"/>
      <c r="Q424" s="13"/>
      <c r="R424" s="14"/>
    </row>
    <row r="425" spans="1:18" ht="15" customHeight="1" x14ac:dyDescent="0.3">
      <c r="A425" s="17" t="s">
        <v>33</v>
      </c>
      <c r="B425" s="17" t="s">
        <v>364</v>
      </c>
      <c r="C425" s="18">
        <v>0.33680555555555558</v>
      </c>
      <c r="D425" s="17" t="s">
        <v>38</v>
      </c>
      <c r="E425" s="17" t="s">
        <v>96</v>
      </c>
      <c r="F425" s="17" t="s">
        <v>513</v>
      </c>
      <c r="G425" s="214"/>
      <c r="H425" s="10"/>
      <c r="I425" s="11"/>
      <c r="J425" s="11"/>
      <c r="K425" s="11"/>
      <c r="L425" s="11"/>
      <c r="M425" s="11"/>
      <c r="N425" s="11"/>
      <c r="O425" s="12"/>
      <c r="P425" s="11"/>
      <c r="Q425" s="13"/>
      <c r="R425" s="14"/>
    </row>
    <row r="426" spans="1:18" ht="15" customHeight="1" x14ac:dyDescent="0.3">
      <c r="A426" s="17" t="s">
        <v>33</v>
      </c>
      <c r="B426" s="17" t="s">
        <v>364</v>
      </c>
      <c r="C426" s="18">
        <v>0.33680555555555558</v>
      </c>
      <c r="D426" s="17" t="s">
        <v>41</v>
      </c>
      <c r="E426" s="17" t="s">
        <v>96</v>
      </c>
      <c r="F426" s="17" t="s">
        <v>468</v>
      </c>
      <c r="G426" s="214"/>
      <c r="H426" s="10"/>
      <c r="I426" s="11"/>
      <c r="J426" s="11"/>
      <c r="K426" s="11"/>
      <c r="L426" s="11"/>
      <c r="M426" s="11"/>
      <c r="N426" s="11"/>
      <c r="O426" s="12"/>
      <c r="P426" s="11"/>
      <c r="Q426" s="13"/>
      <c r="R426" s="14"/>
    </row>
    <row r="427" spans="1:18" ht="15" customHeight="1" x14ac:dyDescent="0.3">
      <c r="A427" s="34" t="s">
        <v>33</v>
      </c>
      <c r="B427" s="34" t="s">
        <v>356</v>
      </c>
      <c r="C427" s="35">
        <v>0.97222222222222221</v>
      </c>
      <c r="D427" s="34" t="s">
        <v>35</v>
      </c>
      <c r="E427" s="34" t="s">
        <v>146</v>
      </c>
      <c r="F427" s="34" t="s">
        <v>517</v>
      </c>
      <c r="G427" s="214"/>
      <c r="H427" s="10"/>
      <c r="I427" s="11"/>
      <c r="J427" s="11"/>
      <c r="K427" s="11"/>
      <c r="L427" s="11"/>
      <c r="M427" s="11"/>
      <c r="N427" s="11"/>
      <c r="O427" s="12"/>
      <c r="P427" s="11"/>
      <c r="Q427" s="13"/>
      <c r="R427" s="14"/>
    </row>
    <row r="428" spans="1:18" ht="15" customHeight="1" x14ac:dyDescent="0.3">
      <c r="A428" s="17" t="s">
        <v>33</v>
      </c>
      <c r="B428" s="17" t="s">
        <v>356</v>
      </c>
      <c r="C428" s="18">
        <v>0.97222222222222221</v>
      </c>
      <c r="D428" s="17" t="s">
        <v>38</v>
      </c>
      <c r="E428" s="17" t="s">
        <v>140</v>
      </c>
      <c r="F428" s="17" t="s">
        <v>473</v>
      </c>
      <c r="G428" s="214"/>
      <c r="H428" s="10"/>
      <c r="I428" s="11"/>
      <c r="J428" s="11"/>
      <c r="K428" s="11"/>
      <c r="L428" s="11"/>
      <c r="M428" s="11"/>
      <c r="N428" s="11"/>
      <c r="O428" s="12"/>
      <c r="P428" s="11"/>
      <c r="Q428" s="13"/>
      <c r="R428" s="14"/>
    </row>
    <row r="429" spans="1:18" ht="15" customHeight="1" x14ac:dyDescent="0.3">
      <c r="A429" s="17" t="s">
        <v>33</v>
      </c>
      <c r="B429" s="17" t="s">
        <v>356</v>
      </c>
      <c r="C429" s="18">
        <v>0.97222222222222221</v>
      </c>
      <c r="D429" s="17" t="s">
        <v>41</v>
      </c>
      <c r="E429" s="17" t="s">
        <v>140</v>
      </c>
      <c r="F429" s="17" t="s">
        <v>518</v>
      </c>
      <c r="G429" s="214"/>
      <c r="H429" s="10"/>
      <c r="I429" s="11"/>
      <c r="J429" s="11"/>
      <c r="K429" s="11"/>
      <c r="L429" s="11"/>
      <c r="M429" s="11"/>
      <c r="N429" s="11"/>
      <c r="O429" s="12"/>
      <c r="P429" s="11"/>
      <c r="Q429" s="13"/>
      <c r="R429" s="14"/>
    </row>
    <row r="430" spans="1:18" ht="15" customHeight="1" x14ac:dyDescent="0.3">
      <c r="A430" s="15" t="s">
        <v>59</v>
      </c>
      <c r="B430" s="15" t="s">
        <v>371</v>
      </c>
      <c r="C430" s="16">
        <v>0.44791666666666669</v>
      </c>
      <c r="D430" s="15" t="s">
        <v>61</v>
      </c>
      <c r="E430" s="15" t="s">
        <v>165</v>
      </c>
      <c r="F430" s="15" t="s">
        <v>517</v>
      </c>
      <c r="G430" s="214"/>
      <c r="H430" s="10"/>
      <c r="I430" s="11"/>
      <c r="J430" s="11"/>
      <c r="K430" s="11"/>
      <c r="L430" s="11"/>
      <c r="M430" s="11"/>
      <c r="N430" s="11"/>
      <c r="O430" s="12"/>
      <c r="P430" s="11"/>
      <c r="Q430" s="13"/>
      <c r="R430" s="14"/>
    </row>
    <row r="431" spans="1:18" ht="15" customHeight="1" x14ac:dyDescent="0.3">
      <c r="A431" s="17" t="s">
        <v>59</v>
      </c>
      <c r="B431" s="17" t="s">
        <v>371</v>
      </c>
      <c r="C431" s="18">
        <v>0.44791666666666669</v>
      </c>
      <c r="D431" s="17" t="s">
        <v>64</v>
      </c>
      <c r="E431" s="17" t="s">
        <v>166</v>
      </c>
      <c r="F431" s="17" t="s">
        <v>481</v>
      </c>
      <c r="G431" s="214"/>
      <c r="H431" s="10"/>
      <c r="I431" s="11"/>
      <c r="J431" s="11"/>
      <c r="K431" s="11"/>
      <c r="L431" s="11"/>
      <c r="M431" s="11"/>
      <c r="N431" s="11"/>
      <c r="O431" s="12"/>
      <c r="P431" s="11"/>
      <c r="Q431" s="13"/>
      <c r="R431" s="14"/>
    </row>
    <row r="432" spans="1:18" ht="15" customHeight="1" x14ac:dyDescent="0.3">
      <c r="A432" s="17" t="s">
        <v>59</v>
      </c>
      <c r="B432" s="17" t="s">
        <v>371</v>
      </c>
      <c r="C432" s="18">
        <v>0.44791666666666669</v>
      </c>
      <c r="D432" s="17" t="s">
        <v>67</v>
      </c>
      <c r="E432" s="17" t="s">
        <v>166</v>
      </c>
      <c r="F432" s="17" t="s">
        <v>374</v>
      </c>
      <c r="G432" s="214"/>
      <c r="H432" s="10"/>
      <c r="I432" s="11"/>
      <c r="J432" s="11"/>
      <c r="K432" s="11"/>
      <c r="L432" s="11"/>
      <c r="M432" s="11"/>
      <c r="N432" s="11"/>
      <c r="O432" s="12"/>
      <c r="P432" s="11"/>
      <c r="Q432" s="13"/>
      <c r="R432" s="14"/>
    </row>
    <row r="433" spans="1:18" ht="15" customHeight="1" x14ac:dyDescent="0.3">
      <c r="A433" s="63" t="s">
        <v>76</v>
      </c>
      <c r="B433" s="63" t="s">
        <v>389</v>
      </c>
      <c r="C433" s="64">
        <v>0.72222222222222221</v>
      </c>
      <c r="D433" s="63" t="s">
        <v>178</v>
      </c>
      <c r="E433" s="63" t="s">
        <v>31</v>
      </c>
      <c r="F433" s="63" t="s">
        <v>470</v>
      </c>
      <c r="G433" s="214"/>
      <c r="H433" s="65" t="s">
        <v>391</v>
      </c>
      <c r="I433" s="66">
        <v>0.15</v>
      </c>
      <c r="J433" s="67">
        <v>27</v>
      </c>
      <c r="K433" s="68">
        <v>45982</v>
      </c>
      <c r="L433" s="67">
        <v>8</v>
      </c>
      <c r="M433" s="67">
        <v>0</v>
      </c>
      <c r="N433" s="67">
        <v>0</v>
      </c>
      <c r="O433" s="69" t="s">
        <v>471</v>
      </c>
      <c r="P433" s="70">
        <v>0.72222222222222221</v>
      </c>
      <c r="Q433" s="67">
        <v>180</v>
      </c>
      <c r="R433" s="71" t="s">
        <v>519</v>
      </c>
    </row>
    <row r="434" spans="1:18" ht="15" customHeight="1" x14ac:dyDescent="0.3">
      <c r="A434" s="15" t="s">
        <v>102</v>
      </c>
      <c r="B434" s="15" t="s">
        <v>387</v>
      </c>
      <c r="C434" s="16">
        <v>0.68055555555555547</v>
      </c>
      <c r="D434" s="15" t="s">
        <v>178</v>
      </c>
      <c r="E434" s="15" t="s">
        <v>78</v>
      </c>
      <c r="F434" s="15" t="s">
        <v>473</v>
      </c>
      <c r="G434" s="214"/>
      <c r="H434" s="10"/>
      <c r="I434" s="11"/>
      <c r="J434" s="11"/>
      <c r="K434" s="11"/>
      <c r="L434" s="11"/>
      <c r="M434" s="11"/>
      <c r="N434" s="11"/>
      <c r="O434" s="12"/>
      <c r="P434" s="11"/>
      <c r="Q434" s="13"/>
      <c r="R434" s="14"/>
    </row>
    <row r="435" spans="1:18" ht="15" customHeight="1" x14ac:dyDescent="0.3">
      <c r="A435" s="15" t="s">
        <v>28</v>
      </c>
      <c r="B435" s="15" t="s">
        <v>354</v>
      </c>
      <c r="C435" s="16">
        <v>0.3611111111111111</v>
      </c>
      <c r="D435" s="15" t="s">
        <v>178</v>
      </c>
      <c r="E435" s="15" t="s">
        <v>31</v>
      </c>
      <c r="F435" s="15" t="s">
        <v>474</v>
      </c>
      <c r="G435" s="214"/>
      <c r="H435" s="10"/>
      <c r="I435" s="11"/>
      <c r="J435" s="11"/>
      <c r="K435" s="11"/>
      <c r="L435" s="11"/>
      <c r="M435" s="11"/>
      <c r="N435" s="11"/>
      <c r="O435" s="12"/>
      <c r="P435" s="11"/>
      <c r="Q435" s="13"/>
      <c r="R435" s="14"/>
    </row>
    <row r="436" spans="1:18" ht="15" customHeight="1" x14ac:dyDescent="0.3">
      <c r="A436" s="34" t="s">
        <v>28</v>
      </c>
      <c r="B436" s="34" t="s">
        <v>386</v>
      </c>
      <c r="C436" s="35">
        <v>0.75694444444444453</v>
      </c>
      <c r="D436" s="34" t="s">
        <v>178</v>
      </c>
      <c r="E436" s="34" t="s">
        <v>401</v>
      </c>
      <c r="F436" s="34" t="s">
        <v>474</v>
      </c>
      <c r="G436" s="214"/>
      <c r="H436" s="10"/>
      <c r="I436" s="11"/>
      <c r="J436" s="11"/>
      <c r="K436" s="11"/>
      <c r="L436" s="11"/>
      <c r="M436" s="11"/>
      <c r="N436" s="11"/>
      <c r="O436" s="12"/>
      <c r="P436" s="11"/>
      <c r="Q436" s="13"/>
      <c r="R436" s="14"/>
    </row>
    <row r="437" spans="1:18" ht="15" customHeight="1" x14ac:dyDescent="0.3">
      <c r="A437" s="15" t="s">
        <v>43</v>
      </c>
      <c r="B437" s="15" t="s">
        <v>360</v>
      </c>
      <c r="C437" s="16">
        <v>0.97916666666666663</v>
      </c>
      <c r="D437" s="15" t="s">
        <v>45</v>
      </c>
      <c r="E437" s="15" t="s">
        <v>31</v>
      </c>
      <c r="F437" s="15" t="s">
        <v>498</v>
      </c>
      <c r="G437" s="214"/>
      <c r="H437" s="10"/>
      <c r="I437" s="11"/>
      <c r="J437" s="11"/>
      <c r="K437" s="11"/>
      <c r="L437" s="11"/>
      <c r="M437" s="11"/>
      <c r="N437" s="11"/>
      <c r="O437" s="12"/>
      <c r="P437" s="11"/>
      <c r="Q437" s="13"/>
      <c r="R437" s="14"/>
    </row>
    <row r="438" spans="1:18" ht="15" customHeight="1" x14ac:dyDescent="0.3">
      <c r="A438" s="34" t="s">
        <v>43</v>
      </c>
      <c r="B438" s="34" t="s">
        <v>380</v>
      </c>
      <c r="C438" s="35">
        <v>0.33680555555555558</v>
      </c>
      <c r="D438" s="34" t="s">
        <v>45</v>
      </c>
      <c r="E438" s="34" t="s">
        <v>51</v>
      </c>
      <c r="F438" s="34" t="s">
        <v>520</v>
      </c>
      <c r="G438" s="214"/>
      <c r="H438" s="10"/>
      <c r="I438" s="11"/>
      <c r="J438" s="11"/>
      <c r="K438" s="11"/>
      <c r="L438" s="11"/>
      <c r="M438" s="11"/>
      <c r="N438" s="11"/>
      <c r="O438" s="12"/>
      <c r="P438" s="11"/>
      <c r="Q438" s="13"/>
      <c r="R438" s="14"/>
    </row>
    <row r="439" spans="1:18" ht="15" customHeight="1" x14ac:dyDescent="0.3">
      <c r="A439" s="34" t="s">
        <v>43</v>
      </c>
      <c r="B439" s="34" t="s">
        <v>362</v>
      </c>
      <c r="C439" s="35">
        <v>0.67361111111111116</v>
      </c>
      <c r="D439" s="34" t="s">
        <v>45</v>
      </c>
      <c r="E439" s="34" t="s">
        <v>51</v>
      </c>
      <c r="F439" s="34" t="s">
        <v>497</v>
      </c>
      <c r="G439" s="214"/>
      <c r="H439" s="10"/>
      <c r="I439" s="11"/>
      <c r="J439" s="11"/>
      <c r="K439" s="11"/>
      <c r="L439" s="11"/>
      <c r="M439" s="11"/>
      <c r="N439" s="11"/>
      <c r="O439" s="12"/>
      <c r="P439" s="11"/>
      <c r="Q439" s="13"/>
      <c r="R439" s="14"/>
    </row>
    <row r="440" spans="1:18" ht="15" customHeight="1" thickBot="1" x14ac:dyDescent="0.35">
      <c r="A440" s="19" t="s">
        <v>54</v>
      </c>
      <c r="B440" s="19" t="s">
        <v>382</v>
      </c>
      <c r="C440" s="20">
        <v>0.44791666666666669</v>
      </c>
      <c r="D440" s="19" t="s">
        <v>56</v>
      </c>
      <c r="E440" s="19" t="s">
        <v>57</v>
      </c>
      <c r="F440" s="19" t="s">
        <v>475</v>
      </c>
      <c r="G440" s="215"/>
      <c r="H440" s="21"/>
      <c r="I440" s="22"/>
      <c r="J440" s="22"/>
      <c r="K440" s="22"/>
      <c r="L440" s="22"/>
      <c r="M440" s="22"/>
      <c r="N440" s="22"/>
      <c r="O440" s="23"/>
      <c r="P440" s="22"/>
      <c r="Q440" s="24"/>
      <c r="R440" s="25"/>
    </row>
    <row r="441" spans="1:18" ht="17.399999999999999" customHeight="1" thickBot="1" x14ac:dyDescent="0.35">
      <c r="A441" s="221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3"/>
    </row>
    <row r="442" spans="1:18" ht="22.05" customHeight="1" thickTop="1" thickBot="1" x14ac:dyDescent="0.55000000000000004">
      <c r="A442" s="211" t="s">
        <v>8</v>
      </c>
      <c r="B442" s="212"/>
      <c r="C442" s="212"/>
      <c r="D442" s="212"/>
      <c r="E442" s="212"/>
      <c r="F442" s="212"/>
      <c r="G442" s="26">
        <v>46017</v>
      </c>
      <c r="H442" s="219" t="s">
        <v>9</v>
      </c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</row>
    <row r="443" spans="1:18" ht="24" customHeight="1" x14ac:dyDescent="0.3">
      <c r="A443" s="27" t="s">
        <v>10</v>
      </c>
      <c r="B443" s="27" t="s">
        <v>11</v>
      </c>
      <c r="C443" s="28" t="s">
        <v>12</v>
      </c>
      <c r="D443" s="27" t="s">
        <v>13</v>
      </c>
      <c r="E443" s="27" t="s">
        <v>14</v>
      </c>
      <c r="F443" s="29" t="s">
        <v>15</v>
      </c>
      <c r="G443" s="30" t="s">
        <v>16</v>
      </c>
      <c r="H443" s="27" t="s">
        <v>17</v>
      </c>
      <c r="I443" s="31" t="s">
        <v>18</v>
      </c>
      <c r="J443" s="32" t="s">
        <v>19</v>
      </c>
      <c r="K443" s="33" t="s">
        <v>20</v>
      </c>
      <c r="L443" s="32" t="s">
        <v>21</v>
      </c>
      <c r="M443" s="32" t="s">
        <v>22</v>
      </c>
      <c r="N443" s="32" t="s">
        <v>23</v>
      </c>
      <c r="O443" s="27" t="s">
        <v>24</v>
      </c>
      <c r="P443" s="28" t="s">
        <v>25</v>
      </c>
      <c r="Q443" s="32" t="s">
        <v>26</v>
      </c>
      <c r="R443" s="27" t="s">
        <v>27</v>
      </c>
    </row>
    <row r="444" spans="1:18" ht="15" customHeight="1" x14ac:dyDescent="0.3">
      <c r="A444" s="45" t="s">
        <v>76</v>
      </c>
      <c r="B444" s="45" t="s">
        <v>389</v>
      </c>
      <c r="C444" s="46">
        <v>0.38194444444444442</v>
      </c>
      <c r="D444" s="45" t="s">
        <v>178</v>
      </c>
      <c r="E444" s="45" t="s">
        <v>129</v>
      </c>
      <c r="F444" s="45" t="s">
        <v>521</v>
      </c>
      <c r="G444" s="213"/>
      <c r="H444" s="47" t="s">
        <v>391</v>
      </c>
      <c r="I444" s="48">
        <v>3.8899999999999997E-2</v>
      </c>
      <c r="J444" s="49">
        <v>7</v>
      </c>
      <c r="K444" s="50">
        <v>45983</v>
      </c>
      <c r="L444" s="49">
        <v>3</v>
      </c>
      <c r="M444" s="49">
        <v>0</v>
      </c>
      <c r="N444" s="49">
        <v>1</v>
      </c>
      <c r="O444" s="51" t="s">
        <v>522</v>
      </c>
      <c r="P444" s="52">
        <v>0.38194444444444442</v>
      </c>
      <c r="Q444" s="49">
        <v>180</v>
      </c>
      <c r="R444" s="53" t="s">
        <v>523</v>
      </c>
    </row>
    <row r="445" spans="1:18" ht="15" customHeight="1" x14ac:dyDescent="0.3">
      <c r="A445" s="15" t="s">
        <v>102</v>
      </c>
      <c r="B445" s="15" t="s">
        <v>404</v>
      </c>
      <c r="C445" s="16">
        <v>1.388888888888889E-2</v>
      </c>
      <c r="D445" s="15" t="s">
        <v>178</v>
      </c>
      <c r="E445" s="15" t="s">
        <v>62</v>
      </c>
      <c r="F445" s="15" t="s">
        <v>473</v>
      </c>
      <c r="G445" s="214"/>
      <c r="H445" s="10"/>
      <c r="I445" s="11"/>
      <c r="J445" s="11"/>
      <c r="K445" s="11"/>
      <c r="L445" s="11"/>
      <c r="M445" s="11"/>
      <c r="N445" s="11"/>
      <c r="O445" s="12"/>
      <c r="P445" s="11"/>
      <c r="Q445" s="13"/>
      <c r="R445" s="14"/>
    </row>
    <row r="446" spans="1:18" ht="15" customHeight="1" x14ac:dyDescent="0.3">
      <c r="A446" s="15" t="s">
        <v>28</v>
      </c>
      <c r="B446" s="15" t="s">
        <v>375</v>
      </c>
      <c r="C446" s="16">
        <v>0.75694444444444453</v>
      </c>
      <c r="D446" s="15" t="s">
        <v>178</v>
      </c>
      <c r="E446" s="15" t="s">
        <v>89</v>
      </c>
      <c r="F446" s="15" t="s">
        <v>474</v>
      </c>
      <c r="G446" s="214"/>
      <c r="H446" s="10"/>
      <c r="I446" s="11"/>
      <c r="J446" s="11"/>
      <c r="K446" s="11"/>
      <c r="L446" s="11"/>
      <c r="M446" s="11"/>
      <c r="N446" s="11"/>
      <c r="O446" s="12"/>
      <c r="P446" s="11"/>
      <c r="Q446" s="13"/>
      <c r="R446" s="14"/>
    </row>
    <row r="447" spans="1:18" ht="15" customHeight="1" x14ac:dyDescent="0.3">
      <c r="A447" s="15" t="s">
        <v>43</v>
      </c>
      <c r="B447" s="15" t="s">
        <v>380</v>
      </c>
      <c r="C447" s="16">
        <v>0.33680555555555558</v>
      </c>
      <c r="D447" s="15" t="s">
        <v>91</v>
      </c>
      <c r="E447" s="15" t="s">
        <v>31</v>
      </c>
      <c r="F447" s="15" t="s">
        <v>524</v>
      </c>
      <c r="G447" s="214"/>
      <c r="H447" s="10"/>
      <c r="I447" s="11"/>
      <c r="J447" s="11"/>
      <c r="K447" s="11"/>
      <c r="L447" s="11"/>
      <c r="M447" s="11"/>
      <c r="N447" s="11"/>
      <c r="O447" s="12"/>
      <c r="P447" s="11"/>
      <c r="Q447" s="13"/>
      <c r="R447" s="14"/>
    </row>
    <row r="448" spans="1:18" ht="15" customHeight="1" x14ac:dyDescent="0.3">
      <c r="A448" s="34" t="s">
        <v>43</v>
      </c>
      <c r="B448" s="34" t="s">
        <v>360</v>
      </c>
      <c r="C448" s="35">
        <v>0.97916666666666663</v>
      </c>
      <c r="D448" s="34" t="s">
        <v>45</v>
      </c>
      <c r="E448" s="34" t="s">
        <v>51</v>
      </c>
      <c r="F448" s="34" t="s">
        <v>498</v>
      </c>
      <c r="G448" s="214"/>
      <c r="H448" s="10"/>
      <c r="I448" s="11"/>
      <c r="J448" s="11"/>
      <c r="K448" s="11"/>
      <c r="L448" s="11"/>
      <c r="M448" s="11"/>
      <c r="N448" s="11"/>
      <c r="O448" s="12"/>
      <c r="P448" s="11"/>
      <c r="Q448" s="13"/>
      <c r="R448" s="14"/>
    </row>
    <row r="449" spans="1:18" ht="15" customHeight="1" x14ac:dyDescent="0.3">
      <c r="A449" s="34" t="s">
        <v>43</v>
      </c>
      <c r="B449" s="34" t="s">
        <v>362</v>
      </c>
      <c r="C449" s="35">
        <v>0.67361111111111116</v>
      </c>
      <c r="D449" s="34" t="s">
        <v>45</v>
      </c>
      <c r="E449" s="34" t="s">
        <v>51</v>
      </c>
      <c r="F449" s="34" t="s">
        <v>497</v>
      </c>
      <c r="G449" s="214"/>
      <c r="H449" s="10"/>
      <c r="I449" s="11"/>
      <c r="J449" s="11"/>
      <c r="K449" s="11"/>
      <c r="L449" s="11"/>
      <c r="M449" s="11"/>
      <c r="N449" s="11"/>
      <c r="O449" s="12"/>
      <c r="P449" s="11"/>
      <c r="Q449" s="13"/>
      <c r="R449" s="14"/>
    </row>
    <row r="450" spans="1:18" ht="15" customHeight="1" thickBot="1" x14ac:dyDescent="0.35">
      <c r="A450" s="19" t="s">
        <v>54</v>
      </c>
      <c r="B450" s="19" t="s">
        <v>382</v>
      </c>
      <c r="C450" s="20">
        <v>0.44791666666666669</v>
      </c>
      <c r="D450" s="19" t="s">
        <v>56</v>
      </c>
      <c r="E450" s="19" t="s">
        <v>57</v>
      </c>
      <c r="F450" s="19" t="s">
        <v>446</v>
      </c>
      <c r="G450" s="215"/>
      <c r="H450" s="21"/>
      <c r="I450" s="22"/>
      <c r="J450" s="22"/>
      <c r="K450" s="22"/>
      <c r="L450" s="22"/>
      <c r="M450" s="22"/>
      <c r="N450" s="22"/>
      <c r="O450" s="23"/>
      <c r="P450" s="22"/>
      <c r="Q450" s="24"/>
      <c r="R450" s="25"/>
    </row>
    <row r="451" spans="1:18" ht="17.399999999999999" customHeight="1" thickBot="1" x14ac:dyDescent="0.35">
      <c r="A451" s="221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3"/>
    </row>
    <row r="452" spans="1:18" ht="22.05" customHeight="1" thickTop="1" thickBot="1" x14ac:dyDescent="0.55000000000000004">
      <c r="A452" s="211" t="s">
        <v>8</v>
      </c>
      <c r="B452" s="212"/>
      <c r="C452" s="212"/>
      <c r="D452" s="212"/>
      <c r="E452" s="212"/>
      <c r="F452" s="212"/>
      <c r="G452" s="26">
        <v>46018</v>
      </c>
      <c r="H452" s="219" t="s">
        <v>9</v>
      </c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</row>
    <row r="453" spans="1:18" ht="24" customHeight="1" x14ac:dyDescent="0.3">
      <c r="A453" s="27" t="s">
        <v>10</v>
      </c>
      <c r="B453" s="27" t="s">
        <v>11</v>
      </c>
      <c r="C453" s="28" t="s">
        <v>12</v>
      </c>
      <c r="D453" s="27" t="s">
        <v>13</v>
      </c>
      <c r="E453" s="27" t="s">
        <v>14</v>
      </c>
      <c r="F453" s="29" t="s">
        <v>15</v>
      </c>
      <c r="G453" s="30" t="s">
        <v>16</v>
      </c>
      <c r="H453" s="27" t="s">
        <v>17</v>
      </c>
      <c r="I453" s="31" t="s">
        <v>18</v>
      </c>
      <c r="J453" s="32" t="s">
        <v>19</v>
      </c>
      <c r="K453" s="33" t="s">
        <v>20</v>
      </c>
      <c r="L453" s="32" t="s">
        <v>21</v>
      </c>
      <c r="M453" s="32" t="s">
        <v>22</v>
      </c>
      <c r="N453" s="32" t="s">
        <v>23</v>
      </c>
      <c r="O453" s="27" t="s">
        <v>24</v>
      </c>
      <c r="P453" s="28" t="s">
        <v>25</v>
      </c>
      <c r="Q453" s="32" t="s">
        <v>26</v>
      </c>
      <c r="R453" s="27" t="s">
        <v>27</v>
      </c>
    </row>
    <row r="454" spans="1:18" ht="15" customHeight="1" x14ac:dyDescent="0.3">
      <c r="A454" s="8" t="s">
        <v>33</v>
      </c>
      <c r="B454" s="8" t="s">
        <v>364</v>
      </c>
      <c r="C454" s="9">
        <v>0.33680555555555558</v>
      </c>
      <c r="D454" s="8" t="s">
        <v>35</v>
      </c>
      <c r="E454" s="8" t="s">
        <v>78</v>
      </c>
      <c r="F454" s="8" t="s">
        <v>517</v>
      </c>
      <c r="G454" s="213"/>
      <c r="H454" s="10"/>
      <c r="I454" s="11"/>
      <c r="J454" s="11"/>
      <c r="K454" s="11"/>
      <c r="L454" s="11"/>
      <c r="M454" s="11"/>
      <c r="N454" s="11"/>
      <c r="O454" s="12"/>
      <c r="P454" s="11"/>
      <c r="Q454" s="13"/>
      <c r="R454" s="14"/>
    </row>
    <row r="455" spans="1:18" ht="15" customHeight="1" x14ac:dyDescent="0.3">
      <c r="A455" s="17" t="s">
        <v>33</v>
      </c>
      <c r="B455" s="17" t="s">
        <v>364</v>
      </c>
      <c r="C455" s="18">
        <v>0.33680555555555558</v>
      </c>
      <c r="D455" s="17" t="s">
        <v>38</v>
      </c>
      <c r="E455" s="17" t="s">
        <v>140</v>
      </c>
      <c r="F455" s="17" t="s">
        <v>473</v>
      </c>
      <c r="G455" s="214"/>
      <c r="H455" s="10"/>
      <c r="I455" s="11"/>
      <c r="J455" s="11"/>
      <c r="K455" s="11"/>
      <c r="L455" s="11"/>
      <c r="M455" s="11"/>
      <c r="N455" s="11"/>
      <c r="O455" s="12"/>
      <c r="P455" s="11"/>
      <c r="Q455" s="13"/>
      <c r="R455" s="14"/>
    </row>
    <row r="456" spans="1:18" ht="15" customHeight="1" x14ac:dyDescent="0.3">
      <c r="A456" s="17" t="s">
        <v>33</v>
      </c>
      <c r="B456" s="17" t="s">
        <v>364</v>
      </c>
      <c r="C456" s="18">
        <v>0.33680555555555558</v>
      </c>
      <c r="D456" s="17" t="s">
        <v>41</v>
      </c>
      <c r="E456" s="17" t="s">
        <v>140</v>
      </c>
      <c r="F456" s="17" t="s">
        <v>518</v>
      </c>
      <c r="G456" s="214"/>
      <c r="H456" s="10"/>
      <c r="I456" s="11"/>
      <c r="J456" s="11"/>
      <c r="K456" s="11"/>
      <c r="L456" s="11"/>
      <c r="M456" s="11"/>
      <c r="N456" s="11"/>
      <c r="O456" s="12"/>
      <c r="P456" s="11"/>
      <c r="Q456" s="13"/>
      <c r="R456" s="14"/>
    </row>
    <row r="457" spans="1:18" ht="15" customHeight="1" x14ac:dyDescent="0.3">
      <c r="A457" s="34" t="s">
        <v>33</v>
      </c>
      <c r="B457" s="34" t="s">
        <v>356</v>
      </c>
      <c r="C457" s="35">
        <v>0.97222222222222221</v>
      </c>
      <c r="D457" s="34" t="s">
        <v>35</v>
      </c>
      <c r="E457" s="34" t="s">
        <v>152</v>
      </c>
      <c r="F457" s="34" t="s">
        <v>467</v>
      </c>
      <c r="G457" s="214"/>
      <c r="H457" s="10"/>
      <c r="I457" s="11"/>
      <c r="J457" s="11"/>
      <c r="K457" s="11"/>
      <c r="L457" s="11"/>
      <c r="M457" s="11"/>
      <c r="N457" s="11"/>
      <c r="O457" s="12"/>
      <c r="P457" s="11"/>
      <c r="Q457" s="13"/>
      <c r="R457" s="14"/>
    </row>
    <row r="458" spans="1:18" ht="15" customHeight="1" x14ac:dyDescent="0.3">
      <c r="A458" s="17" t="s">
        <v>33</v>
      </c>
      <c r="B458" s="17" t="s">
        <v>356</v>
      </c>
      <c r="C458" s="18">
        <v>0.97222222222222221</v>
      </c>
      <c r="D458" s="17" t="s">
        <v>38</v>
      </c>
      <c r="E458" s="17" t="s">
        <v>119</v>
      </c>
      <c r="F458" s="17" t="s">
        <v>468</v>
      </c>
      <c r="G458" s="214"/>
      <c r="H458" s="10"/>
      <c r="I458" s="11"/>
      <c r="J458" s="11"/>
      <c r="K458" s="11"/>
      <c r="L458" s="11"/>
      <c r="M458" s="11"/>
      <c r="N458" s="11"/>
      <c r="O458" s="12"/>
      <c r="P458" s="11"/>
      <c r="Q458" s="13"/>
      <c r="R458" s="14"/>
    </row>
    <row r="459" spans="1:18" ht="15" customHeight="1" x14ac:dyDescent="0.3">
      <c r="A459" s="17" t="s">
        <v>33</v>
      </c>
      <c r="B459" s="17" t="s">
        <v>356</v>
      </c>
      <c r="C459" s="18">
        <v>0.97222222222222221</v>
      </c>
      <c r="D459" s="17" t="s">
        <v>41</v>
      </c>
      <c r="E459" s="17" t="s">
        <v>119</v>
      </c>
      <c r="F459" s="17" t="s">
        <v>469</v>
      </c>
      <c r="G459" s="214"/>
      <c r="H459" s="10"/>
      <c r="I459" s="11"/>
      <c r="J459" s="11"/>
      <c r="K459" s="11"/>
      <c r="L459" s="11"/>
      <c r="M459" s="11"/>
      <c r="N459" s="11"/>
      <c r="O459" s="12"/>
      <c r="P459" s="11"/>
      <c r="Q459" s="13"/>
      <c r="R459" s="14"/>
    </row>
    <row r="460" spans="1:18" ht="15" customHeight="1" x14ac:dyDescent="0.3">
      <c r="A460" s="99" t="s">
        <v>76</v>
      </c>
      <c r="B460" s="99" t="s">
        <v>389</v>
      </c>
      <c r="C460" s="100">
        <v>0.72222222222222221</v>
      </c>
      <c r="D460" s="99" t="s">
        <v>178</v>
      </c>
      <c r="E460" s="99" t="s">
        <v>31</v>
      </c>
      <c r="F460" s="99" t="s">
        <v>483</v>
      </c>
      <c r="G460" s="214"/>
      <c r="H460" s="101" t="s">
        <v>391</v>
      </c>
      <c r="I460" s="102">
        <v>0.1278</v>
      </c>
      <c r="J460" s="103">
        <v>23</v>
      </c>
      <c r="K460" s="104">
        <v>45983</v>
      </c>
      <c r="L460" s="103">
        <v>6</v>
      </c>
      <c r="M460" s="103">
        <v>0</v>
      </c>
      <c r="N460" s="103">
        <v>1</v>
      </c>
      <c r="O460" s="105" t="s">
        <v>525</v>
      </c>
      <c r="P460" s="106">
        <v>0.72222222222222221</v>
      </c>
      <c r="Q460" s="103">
        <v>180</v>
      </c>
      <c r="R460" s="107" t="s">
        <v>526</v>
      </c>
    </row>
    <row r="461" spans="1:18" ht="15" customHeight="1" x14ac:dyDescent="0.3">
      <c r="A461" s="15" t="s">
        <v>59</v>
      </c>
      <c r="B461" s="15" t="s">
        <v>371</v>
      </c>
      <c r="C461" s="16">
        <v>0.44791666666666669</v>
      </c>
      <c r="D461" s="15" t="s">
        <v>61</v>
      </c>
      <c r="E461" s="15" t="s">
        <v>527</v>
      </c>
      <c r="F461" s="15" t="s">
        <v>528</v>
      </c>
      <c r="G461" s="214"/>
      <c r="H461" s="10"/>
      <c r="I461" s="11"/>
      <c r="J461" s="11"/>
      <c r="K461" s="11"/>
      <c r="L461" s="11"/>
      <c r="M461" s="11"/>
      <c r="N461" s="11"/>
      <c r="O461" s="12"/>
      <c r="P461" s="11"/>
      <c r="Q461" s="13"/>
      <c r="R461" s="14"/>
    </row>
    <row r="462" spans="1:18" ht="15" customHeight="1" x14ac:dyDescent="0.3">
      <c r="A462" s="17" t="s">
        <v>59</v>
      </c>
      <c r="B462" s="17" t="s">
        <v>371</v>
      </c>
      <c r="C462" s="18">
        <v>0.44791666666666669</v>
      </c>
      <c r="D462" s="17" t="s">
        <v>64</v>
      </c>
      <c r="E462" s="17" t="s">
        <v>529</v>
      </c>
      <c r="F462" s="17" t="s">
        <v>482</v>
      </c>
      <c r="G462" s="214"/>
      <c r="H462" s="10"/>
      <c r="I462" s="11"/>
      <c r="J462" s="11"/>
      <c r="K462" s="11"/>
      <c r="L462" s="11"/>
      <c r="M462" s="11"/>
      <c r="N462" s="11"/>
      <c r="O462" s="12"/>
      <c r="P462" s="11"/>
      <c r="Q462" s="13"/>
      <c r="R462" s="14"/>
    </row>
    <row r="463" spans="1:18" ht="15" customHeight="1" x14ac:dyDescent="0.3">
      <c r="A463" s="17" t="s">
        <v>59</v>
      </c>
      <c r="B463" s="17" t="s">
        <v>371</v>
      </c>
      <c r="C463" s="18">
        <v>0.44791666666666669</v>
      </c>
      <c r="D463" s="17" t="s">
        <v>67</v>
      </c>
      <c r="E463" s="17" t="s">
        <v>529</v>
      </c>
      <c r="F463" s="17" t="s">
        <v>374</v>
      </c>
      <c r="G463" s="214"/>
      <c r="H463" s="10"/>
      <c r="I463" s="11"/>
      <c r="J463" s="11"/>
      <c r="K463" s="11"/>
      <c r="L463" s="11"/>
      <c r="M463" s="11"/>
      <c r="N463" s="11"/>
      <c r="O463" s="12"/>
      <c r="P463" s="11"/>
      <c r="Q463" s="13"/>
      <c r="R463" s="14"/>
    </row>
    <row r="464" spans="1:18" ht="15" customHeight="1" x14ac:dyDescent="0.3">
      <c r="A464" s="15" t="s">
        <v>120</v>
      </c>
      <c r="B464" s="15" t="s">
        <v>425</v>
      </c>
      <c r="C464" s="16">
        <v>0.78472222222222221</v>
      </c>
      <c r="D464" s="15" t="s">
        <v>122</v>
      </c>
      <c r="E464" s="15" t="s">
        <v>36</v>
      </c>
      <c r="F464" s="15" t="s">
        <v>530</v>
      </c>
      <c r="G464" s="214"/>
      <c r="H464" s="10"/>
      <c r="I464" s="11"/>
      <c r="J464" s="11"/>
      <c r="K464" s="11"/>
      <c r="L464" s="11"/>
      <c r="M464" s="11"/>
      <c r="N464" s="11"/>
      <c r="O464" s="12"/>
      <c r="P464" s="11"/>
      <c r="Q464" s="13"/>
      <c r="R464" s="14"/>
    </row>
    <row r="465" spans="1:18" ht="15" customHeight="1" x14ac:dyDescent="0.3">
      <c r="A465" s="17" t="s">
        <v>120</v>
      </c>
      <c r="B465" s="17" t="s">
        <v>425</v>
      </c>
      <c r="C465" s="18">
        <v>0.78472222222222221</v>
      </c>
      <c r="D465" s="17" t="s">
        <v>67</v>
      </c>
      <c r="E465" s="17" t="s">
        <v>39</v>
      </c>
      <c r="F465" s="17" t="s">
        <v>531</v>
      </c>
      <c r="G465" s="214"/>
      <c r="H465" s="10"/>
      <c r="I465" s="11"/>
      <c r="J465" s="11"/>
      <c r="K465" s="11"/>
      <c r="L465" s="11"/>
      <c r="M465" s="11"/>
      <c r="N465" s="11"/>
      <c r="O465" s="12"/>
      <c r="P465" s="11"/>
      <c r="Q465" s="13"/>
      <c r="R465" s="14"/>
    </row>
    <row r="466" spans="1:18" ht="15" customHeight="1" x14ac:dyDescent="0.3">
      <c r="A466" s="15" t="s">
        <v>28</v>
      </c>
      <c r="B466" s="15" t="s">
        <v>386</v>
      </c>
      <c r="C466" s="16">
        <v>0.69444444444444453</v>
      </c>
      <c r="D466" s="15" t="s">
        <v>178</v>
      </c>
      <c r="E466" s="15" t="s">
        <v>89</v>
      </c>
      <c r="F466" s="15" t="s">
        <v>474</v>
      </c>
      <c r="G466" s="214"/>
      <c r="H466" s="10"/>
      <c r="I466" s="11"/>
      <c r="J466" s="11"/>
      <c r="K466" s="11"/>
      <c r="L466" s="11"/>
      <c r="M466" s="11"/>
      <c r="N466" s="11"/>
      <c r="O466" s="12"/>
      <c r="P466" s="11"/>
      <c r="Q466" s="13"/>
      <c r="R466" s="14"/>
    </row>
    <row r="467" spans="1:18" ht="15" customHeight="1" x14ac:dyDescent="0.3">
      <c r="A467" s="15" t="s">
        <v>43</v>
      </c>
      <c r="B467" s="15" t="s">
        <v>380</v>
      </c>
      <c r="C467" s="16">
        <v>0.33680555555555558</v>
      </c>
      <c r="D467" s="15" t="s">
        <v>91</v>
      </c>
      <c r="E467" s="15" t="s">
        <v>31</v>
      </c>
      <c r="F467" s="15" t="s">
        <v>495</v>
      </c>
      <c r="G467" s="214"/>
      <c r="H467" s="10"/>
      <c r="I467" s="11"/>
      <c r="J467" s="11"/>
      <c r="K467" s="11"/>
      <c r="L467" s="11"/>
      <c r="M467" s="11"/>
      <c r="N467" s="11"/>
      <c r="O467" s="12"/>
      <c r="P467" s="11"/>
      <c r="Q467" s="13"/>
      <c r="R467" s="14"/>
    </row>
    <row r="468" spans="1:18" ht="15" customHeight="1" x14ac:dyDescent="0.3">
      <c r="A468" s="34" t="s">
        <v>43</v>
      </c>
      <c r="B468" s="34" t="s">
        <v>360</v>
      </c>
      <c r="C468" s="35">
        <v>0.97916666666666663</v>
      </c>
      <c r="D468" s="34" t="s">
        <v>45</v>
      </c>
      <c r="E468" s="34" t="s">
        <v>51</v>
      </c>
      <c r="F468" s="34" t="s">
        <v>496</v>
      </c>
      <c r="G468" s="214"/>
      <c r="H468" s="10"/>
      <c r="I468" s="11"/>
      <c r="J468" s="11"/>
      <c r="K468" s="11"/>
      <c r="L468" s="11"/>
      <c r="M468" s="11"/>
      <c r="N468" s="11"/>
      <c r="O468" s="12"/>
      <c r="P468" s="11"/>
      <c r="Q468" s="13"/>
      <c r="R468" s="14"/>
    </row>
    <row r="469" spans="1:18" ht="15" customHeight="1" x14ac:dyDescent="0.3">
      <c r="A469" s="34" t="s">
        <v>43</v>
      </c>
      <c r="B469" s="34" t="s">
        <v>362</v>
      </c>
      <c r="C469" s="35">
        <v>0.67361111111111116</v>
      </c>
      <c r="D469" s="34" t="s">
        <v>45</v>
      </c>
      <c r="E469" s="34" t="s">
        <v>51</v>
      </c>
      <c r="F469" s="34" t="s">
        <v>532</v>
      </c>
      <c r="G469" s="214"/>
      <c r="H469" s="10"/>
      <c r="I469" s="11"/>
      <c r="J469" s="11"/>
      <c r="K469" s="11"/>
      <c r="L469" s="11"/>
      <c r="M469" s="11"/>
      <c r="N469" s="11"/>
      <c r="O469" s="12"/>
      <c r="P469" s="11"/>
      <c r="Q469" s="13"/>
      <c r="R469" s="14"/>
    </row>
    <row r="470" spans="1:18" ht="15" customHeight="1" thickBot="1" x14ac:dyDescent="0.35">
      <c r="A470" s="19" t="s">
        <v>54</v>
      </c>
      <c r="B470" s="19" t="s">
        <v>382</v>
      </c>
      <c r="C470" s="20">
        <v>0.44791666666666669</v>
      </c>
      <c r="D470" s="19" t="s">
        <v>56</v>
      </c>
      <c r="E470" s="19" t="s">
        <v>57</v>
      </c>
      <c r="F470" s="19" t="s">
        <v>463</v>
      </c>
      <c r="G470" s="215"/>
      <c r="H470" s="21"/>
      <c r="I470" s="22"/>
      <c r="J470" s="22"/>
      <c r="K470" s="22"/>
      <c r="L470" s="22"/>
      <c r="M470" s="22"/>
      <c r="N470" s="22"/>
      <c r="O470" s="23"/>
      <c r="P470" s="22"/>
      <c r="Q470" s="24"/>
      <c r="R470" s="25"/>
    </row>
    <row r="471" spans="1:18" ht="17.399999999999999" customHeight="1" thickBot="1" x14ac:dyDescent="0.35">
      <c r="A471" s="221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3"/>
    </row>
    <row r="472" spans="1:18" ht="22.05" customHeight="1" thickTop="1" thickBot="1" x14ac:dyDescent="0.55000000000000004">
      <c r="A472" s="211" t="s">
        <v>8</v>
      </c>
      <c r="B472" s="212"/>
      <c r="C472" s="212"/>
      <c r="D472" s="212"/>
      <c r="E472" s="212"/>
      <c r="F472" s="212"/>
      <c r="G472" s="26">
        <v>46019</v>
      </c>
      <c r="H472" s="219" t="s">
        <v>9</v>
      </c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</row>
    <row r="473" spans="1:18" ht="24" customHeight="1" x14ac:dyDescent="0.3">
      <c r="A473" s="27" t="s">
        <v>10</v>
      </c>
      <c r="B473" s="27" t="s">
        <v>11</v>
      </c>
      <c r="C473" s="28" t="s">
        <v>12</v>
      </c>
      <c r="D473" s="27" t="s">
        <v>13</v>
      </c>
      <c r="E473" s="27" t="s">
        <v>14</v>
      </c>
      <c r="F473" s="29" t="s">
        <v>15</v>
      </c>
      <c r="G473" s="30" t="s">
        <v>16</v>
      </c>
      <c r="H473" s="27" t="s">
        <v>17</v>
      </c>
      <c r="I473" s="31" t="s">
        <v>18</v>
      </c>
      <c r="J473" s="32" t="s">
        <v>19</v>
      </c>
      <c r="K473" s="33" t="s">
        <v>20</v>
      </c>
      <c r="L473" s="32" t="s">
        <v>21</v>
      </c>
      <c r="M473" s="32" t="s">
        <v>22</v>
      </c>
      <c r="N473" s="32" t="s">
        <v>23</v>
      </c>
      <c r="O473" s="27" t="s">
        <v>24</v>
      </c>
      <c r="P473" s="28" t="s">
        <v>25</v>
      </c>
      <c r="Q473" s="32" t="s">
        <v>26</v>
      </c>
      <c r="R473" s="27" t="s">
        <v>27</v>
      </c>
    </row>
    <row r="474" spans="1:18" ht="15" customHeight="1" x14ac:dyDescent="0.3">
      <c r="A474" s="8" t="s">
        <v>102</v>
      </c>
      <c r="B474" s="8" t="s">
        <v>402</v>
      </c>
      <c r="C474" s="9">
        <v>0.92013888888888884</v>
      </c>
      <c r="D474" s="8" t="s">
        <v>178</v>
      </c>
      <c r="E474" s="8" t="s">
        <v>57</v>
      </c>
      <c r="F474" s="8" t="s">
        <v>533</v>
      </c>
      <c r="G474" s="213"/>
      <c r="H474" s="10"/>
      <c r="I474" s="11"/>
      <c r="J474" s="11"/>
      <c r="K474" s="11"/>
      <c r="L474" s="11"/>
      <c r="M474" s="11"/>
      <c r="N474" s="11"/>
      <c r="O474" s="12"/>
      <c r="P474" s="11"/>
      <c r="Q474" s="13"/>
      <c r="R474" s="14"/>
    </row>
    <row r="475" spans="1:18" ht="15" customHeight="1" x14ac:dyDescent="0.3">
      <c r="A475" s="15" t="s">
        <v>28</v>
      </c>
      <c r="B475" s="15" t="s">
        <v>354</v>
      </c>
      <c r="C475" s="16">
        <v>0.75694444444444453</v>
      </c>
      <c r="D475" s="15" t="s">
        <v>178</v>
      </c>
      <c r="E475" s="15" t="s">
        <v>129</v>
      </c>
      <c r="F475" s="15" t="s">
        <v>474</v>
      </c>
      <c r="G475" s="214"/>
      <c r="H475" s="10"/>
      <c r="I475" s="11"/>
      <c r="J475" s="11"/>
      <c r="K475" s="11"/>
      <c r="L475" s="11"/>
      <c r="M475" s="11"/>
      <c r="N475" s="11"/>
      <c r="O475" s="12"/>
      <c r="P475" s="11"/>
      <c r="Q475" s="13"/>
      <c r="R475" s="14"/>
    </row>
    <row r="476" spans="1:18" ht="15" customHeight="1" x14ac:dyDescent="0.3">
      <c r="A476" s="15" t="s">
        <v>43</v>
      </c>
      <c r="B476" s="15" t="s">
        <v>360</v>
      </c>
      <c r="C476" s="16">
        <v>0.97916666666666663</v>
      </c>
      <c r="D476" s="15" t="s">
        <v>91</v>
      </c>
      <c r="E476" s="15" t="s">
        <v>31</v>
      </c>
      <c r="F476" s="15" t="s">
        <v>495</v>
      </c>
      <c r="G476" s="214"/>
      <c r="H476" s="10"/>
      <c r="I476" s="11"/>
      <c r="J476" s="11"/>
      <c r="K476" s="11"/>
      <c r="L476" s="11"/>
      <c r="M476" s="11"/>
      <c r="N476" s="11"/>
      <c r="O476" s="12"/>
      <c r="P476" s="11"/>
      <c r="Q476" s="13"/>
      <c r="R476" s="14"/>
    </row>
    <row r="477" spans="1:18" ht="15" customHeight="1" x14ac:dyDescent="0.3">
      <c r="A477" s="34" t="s">
        <v>43</v>
      </c>
      <c r="B477" s="34" t="s">
        <v>380</v>
      </c>
      <c r="C477" s="35">
        <v>0.33680555555555558</v>
      </c>
      <c r="D477" s="34" t="s">
        <v>91</v>
      </c>
      <c r="E477" s="34" t="s">
        <v>51</v>
      </c>
      <c r="F477" s="34" t="s">
        <v>495</v>
      </c>
      <c r="G477" s="214"/>
      <c r="H477" s="10"/>
      <c r="I477" s="11"/>
      <c r="J477" s="11"/>
      <c r="K477" s="11"/>
      <c r="L477" s="11"/>
      <c r="M477" s="11"/>
      <c r="N477" s="11"/>
      <c r="O477" s="12"/>
      <c r="P477" s="11"/>
      <c r="Q477" s="13"/>
      <c r="R477" s="14"/>
    </row>
    <row r="478" spans="1:18" ht="15" customHeight="1" x14ac:dyDescent="0.3">
      <c r="A478" s="34" t="s">
        <v>43</v>
      </c>
      <c r="B478" s="34" t="s">
        <v>362</v>
      </c>
      <c r="C478" s="35">
        <v>0.67361111111111116</v>
      </c>
      <c r="D478" s="34" t="s">
        <v>45</v>
      </c>
      <c r="E478" s="34" t="s">
        <v>51</v>
      </c>
      <c r="F478" s="34" t="s">
        <v>496</v>
      </c>
      <c r="G478" s="214"/>
      <c r="H478" s="10"/>
      <c r="I478" s="11"/>
      <c r="J478" s="11"/>
      <c r="K478" s="11"/>
      <c r="L478" s="11"/>
      <c r="M478" s="11"/>
      <c r="N478" s="11"/>
      <c r="O478" s="12"/>
      <c r="P478" s="11"/>
      <c r="Q478" s="13"/>
      <c r="R478" s="14"/>
    </row>
    <row r="479" spans="1:18" ht="15" customHeight="1" thickBot="1" x14ac:dyDescent="0.35">
      <c r="A479" s="19" t="s">
        <v>54</v>
      </c>
      <c r="B479" s="19" t="s">
        <v>382</v>
      </c>
      <c r="C479" s="20">
        <v>0.44791666666666669</v>
      </c>
      <c r="D479" s="19" t="s">
        <v>56</v>
      </c>
      <c r="E479" s="19" t="s">
        <v>57</v>
      </c>
      <c r="F479" s="19" t="s">
        <v>475</v>
      </c>
      <c r="G479" s="215"/>
      <c r="H479" s="21"/>
      <c r="I479" s="22"/>
      <c r="J479" s="22"/>
      <c r="K479" s="22"/>
      <c r="L479" s="22"/>
      <c r="M479" s="22"/>
      <c r="N479" s="22"/>
      <c r="O479" s="23"/>
      <c r="P479" s="22"/>
      <c r="Q479" s="24"/>
      <c r="R479" s="25"/>
    </row>
    <row r="480" spans="1:18" ht="17.399999999999999" customHeight="1" thickBot="1" x14ac:dyDescent="0.35">
      <c r="A480" s="221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3"/>
    </row>
    <row r="481" spans="1:18" ht="22.05" customHeight="1" thickTop="1" thickBot="1" x14ac:dyDescent="0.55000000000000004">
      <c r="A481" s="211" t="s">
        <v>8</v>
      </c>
      <c r="B481" s="212"/>
      <c r="C481" s="212"/>
      <c r="D481" s="212"/>
      <c r="E481" s="212"/>
      <c r="F481" s="212"/>
      <c r="G481" s="26">
        <v>46021</v>
      </c>
      <c r="H481" s="219" t="s">
        <v>9</v>
      </c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</row>
    <row r="482" spans="1:18" ht="24" customHeight="1" x14ac:dyDescent="0.3">
      <c r="A482" s="27" t="s">
        <v>10</v>
      </c>
      <c r="B482" s="27" t="s">
        <v>11</v>
      </c>
      <c r="C482" s="28" t="s">
        <v>12</v>
      </c>
      <c r="D482" s="27" t="s">
        <v>13</v>
      </c>
      <c r="E482" s="27" t="s">
        <v>14</v>
      </c>
      <c r="F482" s="29" t="s">
        <v>15</v>
      </c>
      <c r="G482" s="30" t="s">
        <v>16</v>
      </c>
      <c r="H482" s="27" t="s">
        <v>17</v>
      </c>
      <c r="I482" s="31" t="s">
        <v>18</v>
      </c>
      <c r="J482" s="32" t="s">
        <v>19</v>
      </c>
      <c r="K482" s="33" t="s">
        <v>20</v>
      </c>
      <c r="L482" s="32" t="s">
        <v>21</v>
      </c>
      <c r="M482" s="32" t="s">
        <v>22</v>
      </c>
      <c r="N482" s="32" t="s">
        <v>23</v>
      </c>
      <c r="O482" s="27" t="s">
        <v>24</v>
      </c>
      <c r="P482" s="28" t="s">
        <v>25</v>
      </c>
      <c r="Q482" s="32" t="s">
        <v>26</v>
      </c>
      <c r="R482" s="27" t="s">
        <v>27</v>
      </c>
    </row>
    <row r="483" spans="1:18" ht="15" customHeight="1" x14ac:dyDescent="0.3">
      <c r="A483" s="8" t="s">
        <v>102</v>
      </c>
      <c r="B483" s="8" t="s">
        <v>387</v>
      </c>
      <c r="C483" s="9">
        <v>0.88194444444444453</v>
      </c>
      <c r="D483" s="8" t="s">
        <v>178</v>
      </c>
      <c r="E483" s="8" t="s">
        <v>94</v>
      </c>
      <c r="F483" s="8" t="s">
        <v>533</v>
      </c>
      <c r="G483" s="233"/>
      <c r="H483" s="10"/>
      <c r="I483" s="11"/>
      <c r="J483" s="11"/>
      <c r="K483" s="11"/>
      <c r="L483" s="11"/>
      <c r="M483" s="11"/>
      <c r="N483" s="11"/>
      <c r="O483" s="12"/>
      <c r="P483" s="11"/>
      <c r="Q483" s="13"/>
      <c r="R483" s="14"/>
    </row>
    <row r="484" spans="1:18" ht="15" customHeight="1" x14ac:dyDescent="0.3">
      <c r="A484" s="63" t="s">
        <v>76</v>
      </c>
      <c r="B484" s="63" t="s">
        <v>389</v>
      </c>
      <c r="C484" s="64">
        <v>6.9444444444444434E-2</v>
      </c>
      <c r="D484" s="63" t="s">
        <v>178</v>
      </c>
      <c r="E484" s="63" t="s">
        <v>129</v>
      </c>
      <c r="F484" s="63" t="s">
        <v>521</v>
      </c>
      <c r="G484" s="214"/>
      <c r="H484" s="65" t="s">
        <v>391</v>
      </c>
      <c r="I484" s="66">
        <v>7.7799999999999994E-2</v>
      </c>
      <c r="J484" s="67">
        <v>14</v>
      </c>
      <c r="K484" s="68">
        <v>45982</v>
      </c>
      <c r="L484" s="67">
        <v>4</v>
      </c>
      <c r="M484" s="67">
        <v>0</v>
      </c>
      <c r="N484" s="67">
        <v>0</v>
      </c>
      <c r="O484" s="69" t="s">
        <v>522</v>
      </c>
      <c r="P484" s="70">
        <v>6.9444444444444434E-2</v>
      </c>
      <c r="Q484" s="67">
        <v>180</v>
      </c>
      <c r="R484" s="71" t="s">
        <v>534</v>
      </c>
    </row>
    <row r="485" spans="1:18" ht="15" customHeight="1" x14ac:dyDescent="0.3">
      <c r="A485" s="15" t="s">
        <v>28</v>
      </c>
      <c r="B485" s="15" t="s">
        <v>386</v>
      </c>
      <c r="C485" s="16">
        <v>0.75694444444444453</v>
      </c>
      <c r="D485" s="15" t="s">
        <v>178</v>
      </c>
      <c r="E485" s="15" t="s">
        <v>89</v>
      </c>
      <c r="F485" s="15" t="s">
        <v>474</v>
      </c>
      <c r="G485" s="214"/>
      <c r="H485" s="10"/>
      <c r="I485" s="11"/>
      <c r="J485" s="11"/>
      <c r="K485" s="11"/>
      <c r="L485" s="11"/>
      <c r="M485" s="11"/>
      <c r="N485" s="11"/>
      <c r="O485" s="12"/>
      <c r="P485" s="11"/>
      <c r="Q485" s="13"/>
      <c r="R485" s="14"/>
    </row>
    <row r="486" spans="1:18" ht="15" customHeight="1" x14ac:dyDescent="0.3">
      <c r="A486" s="15" t="s">
        <v>43</v>
      </c>
      <c r="B486" s="15" t="s">
        <v>380</v>
      </c>
      <c r="C486" s="16">
        <v>0.33680555555555558</v>
      </c>
      <c r="D486" s="15" t="s">
        <v>91</v>
      </c>
      <c r="E486" s="15" t="s">
        <v>31</v>
      </c>
      <c r="F486" s="15" t="s">
        <v>495</v>
      </c>
      <c r="G486" s="214"/>
      <c r="H486" s="10"/>
      <c r="I486" s="11"/>
      <c r="J486" s="11"/>
      <c r="K486" s="11"/>
      <c r="L486" s="11"/>
      <c r="M486" s="11"/>
      <c r="N486" s="11"/>
      <c r="O486" s="12"/>
      <c r="P486" s="11"/>
      <c r="Q486" s="13"/>
      <c r="R486" s="14"/>
    </row>
    <row r="487" spans="1:18" ht="15" customHeight="1" x14ac:dyDescent="0.3">
      <c r="A487" s="34" t="s">
        <v>43</v>
      </c>
      <c r="B487" s="34" t="s">
        <v>360</v>
      </c>
      <c r="C487" s="35">
        <v>0.97916666666666663</v>
      </c>
      <c r="D487" s="34" t="s">
        <v>45</v>
      </c>
      <c r="E487" s="34" t="s">
        <v>51</v>
      </c>
      <c r="F487" s="34" t="s">
        <v>496</v>
      </c>
      <c r="G487" s="214"/>
      <c r="H487" s="10"/>
      <c r="I487" s="11"/>
      <c r="J487" s="11"/>
      <c r="K487" s="11"/>
      <c r="L487" s="11"/>
      <c r="M487" s="11"/>
      <c r="N487" s="11"/>
      <c r="O487" s="12"/>
      <c r="P487" s="11"/>
      <c r="Q487" s="13"/>
      <c r="R487" s="14"/>
    </row>
    <row r="488" spans="1:18" ht="15" customHeight="1" x14ac:dyDescent="0.3">
      <c r="A488" s="34" t="s">
        <v>43</v>
      </c>
      <c r="B488" s="34" t="s">
        <v>362</v>
      </c>
      <c r="C488" s="35">
        <v>0.67361111111111116</v>
      </c>
      <c r="D488" s="34" t="s">
        <v>45</v>
      </c>
      <c r="E488" s="34" t="s">
        <v>51</v>
      </c>
      <c r="F488" s="34" t="s">
        <v>497</v>
      </c>
      <c r="G488" s="214"/>
      <c r="H488" s="10"/>
      <c r="I488" s="11"/>
      <c r="J488" s="11"/>
      <c r="K488" s="11"/>
      <c r="L488" s="11"/>
      <c r="M488" s="11"/>
      <c r="N488" s="11"/>
      <c r="O488" s="12"/>
      <c r="P488" s="11"/>
      <c r="Q488" s="13"/>
      <c r="R488" s="14"/>
    </row>
    <row r="489" spans="1:18" ht="15" customHeight="1" thickBot="1" x14ac:dyDescent="0.35">
      <c r="A489" s="19" t="s">
        <v>54</v>
      </c>
      <c r="B489" s="19" t="s">
        <v>382</v>
      </c>
      <c r="C489" s="20">
        <v>0.44791666666666669</v>
      </c>
      <c r="D489" s="19" t="s">
        <v>56</v>
      </c>
      <c r="E489" s="19" t="s">
        <v>57</v>
      </c>
      <c r="F489" s="19" t="s">
        <v>475</v>
      </c>
      <c r="G489" s="215"/>
      <c r="H489" s="21"/>
      <c r="I489" s="22"/>
      <c r="J489" s="22"/>
      <c r="K489" s="22"/>
      <c r="L489" s="22"/>
      <c r="M489" s="22"/>
      <c r="N489" s="22"/>
      <c r="O489" s="23"/>
      <c r="P489" s="22"/>
      <c r="Q489" s="24"/>
      <c r="R489" s="25"/>
    </row>
    <row r="490" spans="1:18" ht="17.399999999999999" customHeight="1" thickBot="1" x14ac:dyDescent="0.35">
      <c r="A490" s="221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3"/>
    </row>
    <row r="491" spans="1:18" ht="22.05" customHeight="1" thickTop="1" thickBot="1" x14ac:dyDescent="0.55000000000000004">
      <c r="A491" s="211" t="s">
        <v>8</v>
      </c>
      <c r="B491" s="212"/>
      <c r="C491" s="212"/>
      <c r="D491" s="212"/>
      <c r="E491" s="212"/>
      <c r="F491" s="212"/>
      <c r="G491" s="26">
        <v>46022</v>
      </c>
      <c r="H491" s="219" t="s">
        <v>9</v>
      </c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</row>
    <row r="492" spans="1:18" ht="24" customHeight="1" x14ac:dyDescent="0.3">
      <c r="A492" s="27" t="s">
        <v>10</v>
      </c>
      <c r="B492" s="27" t="s">
        <v>11</v>
      </c>
      <c r="C492" s="28" t="s">
        <v>12</v>
      </c>
      <c r="D492" s="27" t="s">
        <v>13</v>
      </c>
      <c r="E492" s="27" t="s">
        <v>14</v>
      </c>
      <c r="F492" s="29" t="s">
        <v>15</v>
      </c>
      <c r="G492" s="30" t="s">
        <v>16</v>
      </c>
      <c r="H492" s="27" t="s">
        <v>17</v>
      </c>
      <c r="I492" s="31" t="s">
        <v>18</v>
      </c>
      <c r="J492" s="32" t="s">
        <v>19</v>
      </c>
      <c r="K492" s="33" t="s">
        <v>20</v>
      </c>
      <c r="L492" s="32" t="s">
        <v>21</v>
      </c>
      <c r="M492" s="32" t="s">
        <v>22</v>
      </c>
      <c r="N492" s="32" t="s">
        <v>23</v>
      </c>
      <c r="O492" s="27" t="s">
        <v>24</v>
      </c>
      <c r="P492" s="28" t="s">
        <v>25</v>
      </c>
      <c r="Q492" s="32" t="s">
        <v>26</v>
      </c>
      <c r="R492" s="27" t="s">
        <v>27</v>
      </c>
    </row>
    <row r="493" spans="1:18" ht="49.95" customHeight="1" x14ac:dyDescent="0.3">
      <c r="A493" s="8" t="s">
        <v>28</v>
      </c>
      <c r="B493" s="8" t="s">
        <v>375</v>
      </c>
      <c r="C493" s="9">
        <v>0.69444444444444453</v>
      </c>
      <c r="D493" s="8" t="s">
        <v>178</v>
      </c>
      <c r="E493" s="8" t="s">
        <v>129</v>
      </c>
      <c r="F493" s="8" t="s">
        <v>474</v>
      </c>
      <c r="G493" s="233"/>
      <c r="H493" s="10"/>
      <c r="I493" s="11"/>
      <c r="J493" s="11"/>
      <c r="K493" s="11"/>
      <c r="L493" s="11"/>
      <c r="M493" s="11"/>
      <c r="N493" s="11"/>
      <c r="O493" s="12"/>
      <c r="P493" s="11"/>
      <c r="Q493" s="13"/>
      <c r="R493" s="14"/>
    </row>
    <row r="494" spans="1:18" ht="49.95" customHeight="1" x14ac:dyDescent="0.3">
      <c r="A494" s="15" t="s">
        <v>43</v>
      </c>
      <c r="B494" s="15" t="s">
        <v>380</v>
      </c>
      <c r="C494" s="16">
        <v>0.33680555555555558</v>
      </c>
      <c r="D494" s="15" t="s">
        <v>91</v>
      </c>
      <c r="E494" s="15" t="s">
        <v>31</v>
      </c>
      <c r="F494" s="15" t="s">
        <v>495</v>
      </c>
      <c r="G494" s="214"/>
      <c r="H494" s="10"/>
      <c r="I494" s="11"/>
      <c r="J494" s="11"/>
      <c r="K494" s="11"/>
      <c r="L494" s="11"/>
      <c r="M494" s="11"/>
      <c r="N494" s="11"/>
      <c r="O494" s="12"/>
      <c r="P494" s="11"/>
      <c r="Q494" s="13"/>
      <c r="R494" s="14"/>
    </row>
    <row r="495" spans="1:18" ht="49.95" customHeight="1" x14ac:dyDescent="0.3">
      <c r="A495" s="34" t="s">
        <v>43</v>
      </c>
      <c r="B495" s="34" t="s">
        <v>360</v>
      </c>
      <c r="C495" s="35">
        <v>0.97916666666666663</v>
      </c>
      <c r="D495" s="34" t="s">
        <v>45</v>
      </c>
      <c r="E495" s="34" t="s">
        <v>51</v>
      </c>
      <c r="F495" s="34" t="s">
        <v>498</v>
      </c>
      <c r="G495" s="214"/>
      <c r="H495" s="10"/>
      <c r="I495" s="11"/>
      <c r="J495" s="11"/>
      <c r="K495" s="11"/>
      <c r="L495" s="11"/>
      <c r="M495" s="11"/>
      <c r="N495" s="11"/>
      <c r="O495" s="12"/>
      <c r="P495" s="11"/>
      <c r="Q495" s="13"/>
      <c r="R495" s="14"/>
    </row>
    <row r="496" spans="1:18" ht="49.95" customHeight="1" x14ac:dyDescent="0.3">
      <c r="A496" s="34" t="s">
        <v>43</v>
      </c>
      <c r="B496" s="34" t="s">
        <v>362</v>
      </c>
      <c r="C496" s="35">
        <v>0.67361111111111116</v>
      </c>
      <c r="D496" s="34" t="s">
        <v>45</v>
      </c>
      <c r="E496" s="34" t="s">
        <v>51</v>
      </c>
      <c r="F496" s="34" t="s">
        <v>497</v>
      </c>
      <c r="G496" s="214"/>
      <c r="H496" s="10"/>
      <c r="I496" s="11"/>
      <c r="J496" s="11"/>
      <c r="K496" s="11"/>
      <c r="L496" s="11"/>
      <c r="M496" s="11"/>
      <c r="N496" s="11"/>
      <c r="O496" s="12"/>
      <c r="P496" s="11"/>
      <c r="Q496" s="13"/>
      <c r="R496" s="14"/>
    </row>
    <row r="497" spans="1:18" ht="49.95" customHeight="1" x14ac:dyDescent="0.3">
      <c r="A497" s="19" t="s">
        <v>54</v>
      </c>
      <c r="B497" s="19" t="s">
        <v>382</v>
      </c>
      <c r="C497" s="20">
        <v>0.44791666666666669</v>
      </c>
      <c r="D497" s="19" t="s">
        <v>56</v>
      </c>
      <c r="E497" s="19" t="s">
        <v>57</v>
      </c>
      <c r="F497" s="19" t="s">
        <v>475</v>
      </c>
      <c r="G497" s="215"/>
      <c r="H497" s="21"/>
      <c r="I497" s="22"/>
      <c r="J497" s="22"/>
      <c r="K497" s="22"/>
      <c r="L497" s="22"/>
      <c r="M497" s="22"/>
      <c r="N497" s="22"/>
      <c r="O497" s="23"/>
      <c r="P497" s="22"/>
      <c r="Q497" s="24"/>
      <c r="R497" s="25"/>
    </row>
  </sheetData>
  <mergeCells count="158">
    <mergeCell ref="G493:G497"/>
    <mergeCell ref="H150:R150"/>
    <mergeCell ref="H491:R491"/>
    <mergeCell ref="H388:R388"/>
    <mergeCell ref="A452:F452"/>
    <mergeCell ref="A442:F442"/>
    <mergeCell ref="G474:G479"/>
    <mergeCell ref="G217:G222"/>
    <mergeCell ref="G319:G325"/>
    <mergeCell ref="A267:F267"/>
    <mergeCell ref="A413:R413"/>
    <mergeCell ref="H286:R286"/>
    <mergeCell ref="A354:R354"/>
    <mergeCell ref="A379:F379"/>
    <mergeCell ref="A388:F388"/>
    <mergeCell ref="H442:R442"/>
    <mergeCell ref="A334:R334"/>
    <mergeCell ref="G208:G213"/>
    <mergeCell ref="H481:R481"/>
    <mergeCell ref="G51:G60"/>
    <mergeCell ref="A250:R250"/>
    <mergeCell ref="G483:G489"/>
    <mergeCell ref="A370:F370"/>
    <mergeCell ref="A132:R132"/>
    <mergeCell ref="G269"/>
    <mergeCell ref="A271:F271"/>
    <mergeCell ref="G2:J2"/>
    <mergeCell ref="A404:R404"/>
    <mergeCell ref="A180:F180"/>
    <mergeCell ref="N1:R1"/>
    <mergeCell ref="A481:F481"/>
    <mergeCell ref="G171:G178"/>
    <mergeCell ref="A451:R451"/>
    <mergeCell ref="G303:G307"/>
    <mergeCell ref="A117:F117"/>
    <mergeCell ref="K2:R2"/>
    <mergeCell ref="G6:G11"/>
    <mergeCell ref="H84:R84"/>
    <mergeCell ref="H355:R355"/>
    <mergeCell ref="G357:G368"/>
    <mergeCell ref="A49:F49"/>
    <mergeCell ref="H4:R4"/>
    <mergeCell ref="A3:R3"/>
    <mergeCell ref="A4:F4"/>
    <mergeCell ref="A29:R29"/>
    <mergeCell ref="H99:R99"/>
    <mergeCell ref="G119:G131"/>
    <mergeCell ref="A421:R421"/>
    <mergeCell ref="H267:R267"/>
    <mergeCell ref="A266:R266"/>
    <mergeCell ref="A491:F491"/>
    <mergeCell ref="G444:G450"/>
    <mergeCell ref="A231:R231"/>
    <mergeCell ref="H370:R370"/>
    <mergeCell ref="A308:R308"/>
    <mergeCell ref="G64:G82"/>
    <mergeCell ref="A30:F30"/>
    <mergeCell ref="A232:F232"/>
    <mergeCell ref="H317:R317"/>
    <mergeCell ref="G390:G403"/>
    <mergeCell ref="A83:R83"/>
    <mergeCell ref="A471:R471"/>
    <mergeCell ref="A480:R480"/>
    <mergeCell ref="A270:R270"/>
    <mergeCell ref="A441:R441"/>
    <mergeCell ref="A191:F191"/>
    <mergeCell ref="H30:R30"/>
    <mergeCell ref="G152:G167"/>
    <mergeCell ref="H215:R215"/>
    <mergeCell ref="G329:G333"/>
    <mergeCell ref="H224:R224"/>
    <mergeCell ref="G253:G265"/>
    <mergeCell ref="G193:G204"/>
    <mergeCell ref="A369:R369"/>
    <mergeCell ref="A317:F317"/>
    <mergeCell ref="H309:R309"/>
    <mergeCell ref="A12:R12"/>
    <mergeCell ref="H422:R422"/>
    <mergeCell ref="A251:F251"/>
    <mergeCell ref="A405:F405"/>
    <mergeCell ref="A309:F309"/>
    <mergeCell ref="H335:R335"/>
    <mergeCell ref="A414:F414"/>
    <mergeCell ref="G407:G412"/>
    <mergeCell ref="G381:G386"/>
    <mergeCell ref="G311:G315"/>
    <mergeCell ref="H191:R191"/>
    <mergeCell ref="G273:G284"/>
    <mergeCell ref="A327:F327"/>
    <mergeCell ref="G86:G97"/>
    <mergeCell ref="G372:G377"/>
    <mergeCell ref="G135:G148"/>
    <mergeCell ref="A326:R326"/>
    <mergeCell ref="A378:R378"/>
    <mergeCell ref="H301:R301"/>
    <mergeCell ref="A169:F169"/>
    <mergeCell ref="G182:G189"/>
    <mergeCell ref="A300:R300"/>
    <mergeCell ref="H251:R251"/>
    <mergeCell ref="H49:R49"/>
    <mergeCell ref="A62:F62"/>
    <mergeCell ref="H133:R133"/>
    <mergeCell ref="A206:F206"/>
    <mergeCell ref="A215:F215"/>
    <mergeCell ref="A168:R168"/>
    <mergeCell ref="A205:R205"/>
    <mergeCell ref="G101:G115"/>
    <mergeCell ref="A190:R190"/>
    <mergeCell ref="H206:R206"/>
    <mergeCell ref="A133:F133"/>
    <mergeCell ref="A490:R490"/>
    <mergeCell ref="G424:G440"/>
    <mergeCell ref="A387:R387"/>
    <mergeCell ref="A98:R98"/>
    <mergeCell ref="H62:R62"/>
    <mergeCell ref="G288:G299"/>
    <mergeCell ref="A355:F355"/>
    <mergeCell ref="G15:G28"/>
    <mergeCell ref="A61:R61"/>
    <mergeCell ref="A422:F422"/>
    <mergeCell ref="G454:G470"/>
    <mergeCell ref="H405:R405"/>
    <mergeCell ref="H414:R414"/>
    <mergeCell ref="A99:F99"/>
    <mergeCell ref="A335:F335"/>
    <mergeCell ref="A316:R316"/>
    <mergeCell ref="G416:G420"/>
    <mergeCell ref="A286:F286"/>
    <mergeCell ref="H327:R327"/>
    <mergeCell ref="A472:F472"/>
    <mergeCell ref="A84:F84"/>
    <mergeCell ref="G32:G47"/>
    <mergeCell ref="A179:R179"/>
    <mergeCell ref="G337:G353"/>
    <mergeCell ref="H1:L1"/>
    <mergeCell ref="A1:E1"/>
    <mergeCell ref="H472:R472"/>
    <mergeCell ref="A301:F301"/>
    <mergeCell ref="A149:R149"/>
    <mergeCell ref="A214:R214"/>
    <mergeCell ref="G234:G249"/>
    <mergeCell ref="A285:R285"/>
    <mergeCell ref="H180:R180"/>
    <mergeCell ref="A223:R223"/>
    <mergeCell ref="H271:R271"/>
    <mergeCell ref="H232:R232"/>
    <mergeCell ref="A150:F150"/>
    <mergeCell ref="A224:F224"/>
    <mergeCell ref="H169:R169"/>
    <mergeCell ref="G226:G230"/>
    <mergeCell ref="H452:R452"/>
    <mergeCell ref="A13:F13"/>
    <mergeCell ref="H379:R379"/>
    <mergeCell ref="H13:R13"/>
    <mergeCell ref="A48:R48"/>
    <mergeCell ref="A2:F2"/>
    <mergeCell ref="H117:R117"/>
    <mergeCell ref="A116:R1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3"/>
  <sheetViews>
    <sheetView workbookViewId="0">
      <selection sqref="A1:XFD1048576"/>
    </sheetView>
  </sheetViews>
  <sheetFormatPr defaultRowHeight="15.6" outlineLevelCol="1" x14ac:dyDescent="0.3"/>
  <cols>
    <col min="1" max="1" width="11.77734375" style="194" bestFit="1" customWidth="1"/>
    <col min="2" max="2" width="11.109375" style="194" bestFit="1" customWidth="1"/>
    <col min="3" max="3" width="7.88671875" style="194" bestFit="1" customWidth="1"/>
    <col min="4" max="4" width="6.77734375" style="194" bestFit="1" customWidth="1"/>
    <col min="5" max="5" width="10.5546875" style="194" bestFit="1" customWidth="1"/>
    <col min="6" max="6" width="5.21875" style="194" bestFit="1" customWidth="1"/>
    <col min="7" max="7" width="10" style="194" bestFit="1" customWidth="1"/>
    <col min="8" max="9" width="8.5546875" style="194" bestFit="1" customWidth="1"/>
    <col min="10" max="10" width="8" style="194" bestFit="1" customWidth="1"/>
    <col min="11" max="11" width="12.21875" style="194" bestFit="1" customWidth="1"/>
    <col min="12" max="12" width="10.109375" style="194" bestFit="1" customWidth="1"/>
    <col min="13" max="13" width="8.77734375" style="194" bestFit="1" customWidth="1" outlineLevel="1"/>
    <col min="14" max="14" width="7.33203125" style="194" bestFit="1" customWidth="1" outlineLevel="1"/>
    <col min="15" max="15" width="9.109375" style="194" bestFit="1" customWidth="1" outlineLevel="1"/>
    <col min="16" max="16" width="15.33203125" style="194" bestFit="1" customWidth="1"/>
    <col min="17" max="17" width="3.88671875" style="194" bestFit="1" customWidth="1"/>
    <col min="18" max="18" width="4" style="194" bestFit="1" customWidth="1"/>
    <col min="19" max="19" width="5.77734375" style="194" bestFit="1" customWidth="1"/>
    <col min="20" max="20" width="5.33203125" style="194" bestFit="1" customWidth="1"/>
    <col min="21" max="21" width="5.44140625" style="194" bestFit="1" customWidth="1"/>
    <col min="22" max="22" width="5.109375" style="194" bestFit="1" customWidth="1"/>
    <col min="23" max="23" width="5.21875" style="194" bestFit="1" customWidth="1"/>
    <col min="24" max="24" width="4.77734375" style="194" bestFit="1" customWidth="1"/>
    <col min="25" max="25" width="5.33203125" style="194" bestFit="1" customWidth="1"/>
    <col min="26" max="26" width="4.88671875" style="194" bestFit="1" customWidth="1"/>
    <col min="27" max="27" width="5.88671875" style="194" bestFit="1" customWidth="1"/>
    <col min="28" max="28" width="5" style="194" bestFit="1" customWidth="1"/>
    <col min="29" max="29" width="5.109375" style="194" bestFit="1" customWidth="1"/>
    <col min="30" max="31" width="5.33203125" style="194" bestFit="1" customWidth="1"/>
    <col min="32" max="32" width="4.44140625" style="194" bestFit="1" customWidth="1"/>
    <col min="33" max="36" width="3.88671875" style="194" bestFit="1" customWidth="1"/>
    <col min="37" max="16384" width="8.88671875" style="194"/>
  </cols>
  <sheetData>
    <row r="1" spans="1:36" x14ac:dyDescent="0.3">
      <c r="A1" s="193" t="s">
        <v>185</v>
      </c>
      <c r="B1" s="193" t="s">
        <v>186</v>
      </c>
      <c r="C1" s="193" t="s">
        <v>187</v>
      </c>
      <c r="D1" s="193" t="s">
        <v>25</v>
      </c>
      <c r="E1" s="193" t="s">
        <v>188</v>
      </c>
      <c r="F1" s="193" t="s">
        <v>189</v>
      </c>
      <c r="G1" s="193" t="s">
        <v>18</v>
      </c>
      <c r="H1" s="193" t="s">
        <v>190</v>
      </c>
      <c r="I1" s="193" t="s">
        <v>191</v>
      </c>
      <c r="J1" s="193" t="s">
        <v>192</v>
      </c>
      <c r="K1" s="193" t="s">
        <v>193</v>
      </c>
      <c r="L1" s="193" t="s">
        <v>20</v>
      </c>
      <c r="M1" s="193" t="s">
        <v>22</v>
      </c>
      <c r="N1" s="193" t="s">
        <v>23</v>
      </c>
      <c r="O1" s="193" t="s">
        <v>21</v>
      </c>
      <c r="P1" s="193" t="s">
        <v>24</v>
      </c>
      <c r="Q1" s="193" t="s">
        <v>194</v>
      </c>
      <c r="R1" s="193" t="s">
        <v>195</v>
      </c>
      <c r="S1" s="193" t="s">
        <v>196</v>
      </c>
      <c r="T1" s="193" t="s">
        <v>197</v>
      </c>
      <c r="U1" s="193" t="s">
        <v>198</v>
      </c>
      <c r="V1" s="193" t="s">
        <v>199</v>
      </c>
      <c r="W1" s="193" t="s">
        <v>200</v>
      </c>
      <c r="X1" s="193" t="s">
        <v>201</v>
      </c>
      <c r="Y1" s="193" t="s">
        <v>202</v>
      </c>
      <c r="Z1" s="193" t="s">
        <v>203</v>
      </c>
      <c r="AA1" s="193" t="s">
        <v>204</v>
      </c>
      <c r="AB1" s="193" t="s">
        <v>205</v>
      </c>
      <c r="AC1" s="193" t="s">
        <v>206</v>
      </c>
      <c r="AD1" s="193" t="s">
        <v>207</v>
      </c>
      <c r="AE1" s="193" t="s">
        <v>208</v>
      </c>
      <c r="AF1" s="193" t="s">
        <v>209</v>
      </c>
      <c r="AG1" s="193" t="s">
        <v>210</v>
      </c>
      <c r="AH1" s="193" t="s">
        <v>211</v>
      </c>
      <c r="AI1" s="193" t="s">
        <v>212</v>
      </c>
      <c r="AJ1" s="193" t="s">
        <v>213</v>
      </c>
    </row>
    <row r="2" spans="1:36" x14ac:dyDescent="0.3">
      <c r="A2" s="195" t="s">
        <v>214</v>
      </c>
      <c r="B2" s="196">
        <v>45986</v>
      </c>
      <c r="C2" s="197" t="s">
        <v>391</v>
      </c>
      <c r="D2" s="198" t="s">
        <v>535</v>
      </c>
      <c r="E2" s="197" t="s">
        <v>353</v>
      </c>
      <c r="F2" s="197" t="s">
        <v>216</v>
      </c>
      <c r="G2" s="199">
        <v>0.74439999999999995</v>
      </c>
      <c r="H2" s="200">
        <v>180</v>
      </c>
      <c r="I2" s="200">
        <v>134</v>
      </c>
      <c r="J2" s="200">
        <v>0</v>
      </c>
      <c r="K2" s="197" t="s">
        <v>217</v>
      </c>
      <c r="L2" s="201">
        <v>45984</v>
      </c>
      <c r="M2" s="200">
        <v>10</v>
      </c>
      <c r="N2" s="200">
        <v>13</v>
      </c>
      <c r="O2" s="200">
        <v>89</v>
      </c>
      <c r="P2" s="197" t="s">
        <v>392</v>
      </c>
      <c r="Q2" s="193"/>
      <c r="R2" s="193"/>
      <c r="S2" s="193"/>
      <c r="T2" s="193"/>
      <c r="U2" s="200" t="s">
        <v>536</v>
      </c>
      <c r="V2" s="200" t="s">
        <v>537</v>
      </c>
      <c r="W2" s="200" t="s">
        <v>538</v>
      </c>
      <c r="X2" s="200" t="s">
        <v>539</v>
      </c>
      <c r="Y2" s="200" t="s">
        <v>540</v>
      </c>
      <c r="Z2" s="200" t="s">
        <v>241</v>
      </c>
      <c r="AA2" s="193"/>
      <c r="AB2" s="200" t="s">
        <v>257</v>
      </c>
      <c r="AC2" s="200" t="s">
        <v>325</v>
      </c>
      <c r="AD2" s="200" t="s">
        <v>274</v>
      </c>
      <c r="AE2" s="200" t="s">
        <v>541</v>
      </c>
      <c r="AF2" s="200" t="s">
        <v>280</v>
      </c>
      <c r="AG2" s="193"/>
      <c r="AH2" s="193"/>
      <c r="AI2" s="193"/>
      <c r="AJ2" s="193"/>
    </row>
    <row r="3" spans="1:36" x14ac:dyDescent="0.3">
      <c r="A3" s="195" t="s">
        <v>222</v>
      </c>
      <c r="B3" s="196">
        <v>45988</v>
      </c>
      <c r="C3" s="197" t="s">
        <v>391</v>
      </c>
      <c r="D3" s="198" t="s">
        <v>542</v>
      </c>
      <c r="E3" s="197" t="s">
        <v>353</v>
      </c>
      <c r="F3" s="197" t="s">
        <v>216</v>
      </c>
      <c r="G3" s="199">
        <v>0.85</v>
      </c>
      <c r="H3" s="200">
        <v>180</v>
      </c>
      <c r="I3" s="200">
        <v>153</v>
      </c>
      <c r="J3" s="200">
        <v>0</v>
      </c>
      <c r="K3" s="197" t="s">
        <v>217</v>
      </c>
      <c r="L3" s="201">
        <v>45984</v>
      </c>
      <c r="M3" s="200">
        <v>8</v>
      </c>
      <c r="N3" s="200">
        <v>2</v>
      </c>
      <c r="O3" s="200">
        <v>26</v>
      </c>
      <c r="P3" s="197" t="s">
        <v>392</v>
      </c>
      <c r="Q3" s="193"/>
      <c r="R3" s="193"/>
      <c r="S3" s="193"/>
      <c r="T3" s="200" t="s">
        <v>543</v>
      </c>
      <c r="U3" s="200" t="s">
        <v>544</v>
      </c>
      <c r="V3" s="200" t="s">
        <v>545</v>
      </c>
      <c r="W3" s="200" t="s">
        <v>546</v>
      </c>
      <c r="X3" s="200" t="s">
        <v>547</v>
      </c>
      <c r="Y3" s="200" t="s">
        <v>548</v>
      </c>
      <c r="Z3" s="200" t="s">
        <v>218</v>
      </c>
      <c r="AA3" s="200" t="s">
        <v>549</v>
      </c>
      <c r="AB3" s="200" t="s">
        <v>309</v>
      </c>
      <c r="AC3" s="200" t="s">
        <v>247</v>
      </c>
      <c r="AD3" s="200" t="s">
        <v>276</v>
      </c>
      <c r="AE3" s="200" t="s">
        <v>236</v>
      </c>
      <c r="AF3" s="200" t="s">
        <v>550</v>
      </c>
      <c r="AG3" s="193"/>
      <c r="AH3" s="193"/>
      <c r="AI3" s="193"/>
      <c r="AJ3" s="193"/>
    </row>
    <row r="4" spans="1:36" x14ac:dyDescent="0.3">
      <c r="A4" s="195" t="s">
        <v>231</v>
      </c>
      <c r="B4" s="196">
        <v>45989</v>
      </c>
      <c r="C4" s="197" t="s">
        <v>391</v>
      </c>
      <c r="D4" s="198" t="s">
        <v>551</v>
      </c>
      <c r="E4" s="197" t="s">
        <v>353</v>
      </c>
      <c r="F4" s="197" t="s">
        <v>216</v>
      </c>
      <c r="G4" s="199">
        <v>0.76670000000000005</v>
      </c>
      <c r="H4" s="200">
        <v>180</v>
      </c>
      <c r="I4" s="200">
        <v>138</v>
      </c>
      <c r="J4" s="200">
        <v>0</v>
      </c>
      <c r="K4" s="197" t="s">
        <v>217</v>
      </c>
      <c r="L4" s="201">
        <v>45984</v>
      </c>
      <c r="M4" s="200">
        <v>4</v>
      </c>
      <c r="N4" s="200">
        <v>5</v>
      </c>
      <c r="O4" s="200">
        <v>21</v>
      </c>
      <c r="P4" s="197" t="s">
        <v>411</v>
      </c>
      <c r="Q4" s="193"/>
      <c r="R4" s="193"/>
      <c r="S4" s="200" t="s">
        <v>552</v>
      </c>
      <c r="T4" s="200" t="s">
        <v>553</v>
      </c>
      <c r="U4" s="200" t="s">
        <v>554</v>
      </c>
      <c r="V4" s="200" t="s">
        <v>555</v>
      </c>
      <c r="W4" s="200" t="s">
        <v>546</v>
      </c>
      <c r="X4" s="200" t="s">
        <v>556</v>
      </c>
      <c r="Y4" s="200" t="s">
        <v>557</v>
      </c>
      <c r="Z4" s="200" t="s">
        <v>558</v>
      </c>
      <c r="AA4" s="200" t="s">
        <v>559</v>
      </c>
      <c r="AB4" s="200" t="s">
        <v>478</v>
      </c>
      <c r="AC4" s="200" t="s">
        <v>273</v>
      </c>
      <c r="AD4" s="200" t="s">
        <v>270</v>
      </c>
      <c r="AE4" s="200" t="s">
        <v>271</v>
      </c>
      <c r="AF4" s="200" t="s">
        <v>280</v>
      </c>
      <c r="AG4" s="193"/>
      <c r="AH4" s="193"/>
      <c r="AI4" s="193"/>
      <c r="AJ4" s="193"/>
    </row>
    <row r="5" spans="1:36" x14ac:dyDescent="0.3">
      <c r="A5" s="195" t="s">
        <v>238</v>
      </c>
      <c r="B5" s="196">
        <v>45990</v>
      </c>
      <c r="C5" s="197" t="s">
        <v>391</v>
      </c>
      <c r="D5" s="198" t="s">
        <v>542</v>
      </c>
      <c r="E5" s="197" t="s">
        <v>353</v>
      </c>
      <c r="F5" s="197" t="s">
        <v>216</v>
      </c>
      <c r="G5" s="199">
        <v>0.69440000000000002</v>
      </c>
      <c r="H5" s="200">
        <v>180</v>
      </c>
      <c r="I5" s="200">
        <v>125</v>
      </c>
      <c r="J5" s="200">
        <v>0</v>
      </c>
      <c r="K5" s="197" t="s">
        <v>217</v>
      </c>
      <c r="L5" s="201">
        <v>45981</v>
      </c>
      <c r="M5" s="200">
        <v>0</v>
      </c>
      <c r="N5" s="200">
        <v>0</v>
      </c>
      <c r="O5" s="200">
        <v>14</v>
      </c>
      <c r="P5" s="197" t="s">
        <v>423</v>
      </c>
      <c r="Q5" s="193"/>
      <c r="R5" s="200" t="s">
        <v>560</v>
      </c>
      <c r="S5" s="200" t="s">
        <v>561</v>
      </c>
      <c r="T5" s="200" t="s">
        <v>562</v>
      </c>
      <c r="U5" s="200" t="s">
        <v>392</v>
      </c>
      <c r="V5" s="193"/>
      <c r="W5" s="200" t="s">
        <v>563</v>
      </c>
      <c r="X5" s="200" t="s">
        <v>564</v>
      </c>
      <c r="Y5" s="200" t="s">
        <v>548</v>
      </c>
      <c r="Z5" s="200" t="s">
        <v>256</v>
      </c>
      <c r="AA5" s="200" t="s">
        <v>299</v>
      </c>
      <c r="AB5" s="200" t="s">
        <v>252</v>
      </c>
      <c r="AC5" s="200" t="s">
        <v>227</v>
      </c>
      <c r="AD5" s="200" t="s">
        <v>228</v>
      </c>
      <c r="AE5" s="200" t="s">
        <v>236</v>
      </c>
      <c r="AF5" s="200" t="s">
        <v>163</v>
      </c>
      <c r="AG5" s="193"/>
      <c r="AH5" s="193"/>
      <c r="AI5" s="193"/>
      <c r="AJ5" s="193"/>
    </row>
    <row r="6" spans="1:36" x14ac:dyDescent="0.3">
      <c r="A6" s="195" t="s">
        <v>214</v>
      </c>
      <c r="B6" s="196">
        <v>45993</v>
      </c>
      <c r="C6" s="197" t="s">
        <v>391</v>
      </c>
      <c r="D6" s="198" t="s">
        <v>535</v>
      </c>
      <c r="E6" s="197" t="s">
        <v>353</v>
      </c>
      <c r="F6" s="197" t="s">
        <v>216</v>
      </c>
      <c r="G6" s="199">
        <v>0.7</v>
      </c>
      <c r="H6" s="200">
        <v>180</v>
      </c>
      <c r="I6" s="200">
        <v>126</v>
      </c>
      <c r="J6" s="200">
        <v>0</v>
      </c>
      <c r="K6" s="197" t="s">
        <v>217</v>
      </c>
      <c r="L6" s="201">
        <v>45983</v>
      </c>
      <c r="M6" s="200">
        <v>0</v>
      </c>
      <c r="N6" s="200">
        <v>12</v>
      </c>
      <c r="O6" s="200">
        <v>65</v>
      </c>
      <c r="P6" s="197" t="s">
        <v>442</v>
      </c>
      <c r="Q6" s="193"/>
      <c r="R6" s="193"/>
      <c r="S6" s="193"/>
      <c r="T6" s="193"/>
      <c r="U6" s="193"/>
      <c r="V6" s="193"/>
      <c r="W6" s="200" t="s">
        <v>565</v>
      </c>
      <c r="X6" s="200" t="s">
        <v>547</v>
      </c>
      <c r="Y6" s="200" t="s">
        <v>566</v>
      </c>
      <c r="Z6" s="200" t="s">
        <v>567</v>
      </c>
      <c r="AA6" s="200" t="s">
        <v>226</v>
      </c>
      <c r="AB6" s="200" t="s">
        <v>329</v>
      </c>
      <c r="AC6" s="200" t="s">
        <v>338</v>
      </c>
      <c r="AD6" s="200" t="s">
        <v>259</v>
      </c>
      <c r="AE6" s="200" t="s">
        <v>248</v>
      </c>
      <c r="AF6" s="193"/>
      <c r="AG6" s="193"/>
      <c r="AH6" s="193"/>
      <c r="AI6" s="193"/>
      <c r="AJ6" s="193"/>
    </row>
    <row r="7" spans="1:36" x14ac:dyDescent="0.3">
      <c r="A7" s="195" t="s">
        <v>222</v>
      </c>
      <c r="B7" s="196">
        <v>45995</v>
      </c>
      <c r="C7" s="197" t="s">
        <v>391</v>
      </c>
      <c r="D7" s="198" t="s">
        <v>542</v>
      </c>
      <c r="E7" s="197" t="s">
        <v>353</v>
      </c>
      <c r="F7" s="197" t="s">
        <v>216</v>
      </c>
      <c r="G7" s="199">
        <v>0.49440000000000001</v>
      </c>
      <c r="H7" s="200">
        <v>180</v>
      </c>
      <c r="I7" s="200">
        <v>89</v>
      </c>
      <c r="J7" s="200">
        <v>0</v>
      </c>
      <c r="K7" s="197" t="s">
        <v>217</v>
      </c>
      <c r="L7" s="201">
        <v>45983</v>
      </c>
      <c r="M7" s="200">
        <v>0</v>
      </c>
      <c r="N7" s="200">
        <v>19</v>
      </c>
      <c r="O7" s="200">
        <v>46</v>
      </c>
      <c r="P7" s="197" t="s">
        <v>224</v>
      </c>
      <c r="Q7" s="193"/>
      <c r="R7" s="193"/>
      <c r="S7" s="193"/>
      <c r="T7" s="193"/>
      <c r="U7" s="193"/>
      <c r="V7" s="193"/>
      <c r="W7" s="193"/>
      <c r="X7" s="200" t="s">
        <v>568</v>
      </c>
      <c r="Y7" s="200" t="s">
        <v>569</v>
      </c>
      <c r="Z7" s="200" t="s">
        <v>570</v>
      </c>
      <c r="AA7" s="200" t="s">
        <v>235</v>
      </c>
      <c r="AB7" s="200" t="s">
        <v>329</v>
      </c>
      <c r="AC7" s="200" t="s">
        <v>471</v>
      </c>
      <c r="AD7" s="200" t="s">
        <v>81</v>
      </c>
      <c r="AE7" s="200" t="s">
        <v>131</v>
      </c>
      <c r="AF7" s="193"/>
      <c r="AG7" s="193"/>
      <c r="AH7" s="193"/>
      <c r="AI7" s="193"/>
      <c r="AJ7" s="193"/>
    </row>
    <row r="8" spans="1:36" x14ac:dyDescent="0.3">
      <c r="A8" s="195" t="s">
        <v>231</v>
      </c>
      <c r="B8" s="196">
        <v>45996</v>
      </c>
      <c r="C8" s="197" t="s">
        <v>391</v>
      </c>
      <c r="D8" s="198" t="s">
        <v>551</v>
      </c>
      <c r="E8" s="197" t="s">
        <v>353</v>
      </c>
      <c r="F8" s="197" t="s">
        <v>216</v>
      </c>
      <c r="G8" s="199">
        <v>0.4778</v>
      </c>
      <c r="H8" s="200">
        <v>180</v>
      </c>
      <c r="I8" s="200">
        <v>86</v>
      </c>
      <c r="J8" s="200">
        <v>0</v>
      </c>
      <c r="K8" s="197" t="s">
        <v>217</v>
      </c>
      <c r="L8" s="201">
        <v>45984</v>
      </c>
      <c r="M8" s="200">
        <v>6</v>
      </c>
      <c r="N8" s="200">
        <v>12</v>
      </c>
      <c r="O8" s="200">
        <v>66</v>
      </c>
      <c r="P8" s="197" t="s">
        <v>240</v>
      </c>
      <c r="Q8" s="193"/>
      <c r="R8" s="193"/>
      <c r="S8" s="193"/>
      <c r="T8" s="193"/>
      <c r="U8" s="193"/>
      <c r="V8" s="193"/>
      <c r="W8" s="193"/>
      <c r="X8" s="193"/>
      <c r="Y8" s="200" t="s">
        <v>571</v>
      </c>
      <c r="Z8" s="200" t="s">
        <v>572</v>
      </c>
      <c r="AA8" s="200" t="s">
        <v>573</v>
      </c>
      <c r="AB8" s="200" t="s">
        <v>252</v>
      </c>
      <c r="AC8" s="200" t="s">
        <v>338</v>
      </c>
      <c r="AD8" s="200" t="s">
        <v>574</v>
      </c>
      <c r="AE8" s="200" t="s">
        <v>271</v>
      </c>
      <c r="AF8" s="193"/>
      <c r="AG8" s="193"/>
      <c r="AH8" s="193"/>
      <c r="AI8" s="193"/>
      <c r="AJ8" s="193"/>
    </row>
    <row r="9" spans="1:36" x14ac:dyDescent="0.3">
      <c r="A9" s="195" t="s">
        <v>238</v>
      </c>
      <c r="B9" s="196">
        <v>45997</v>
      </c>
      <c r="C9" s="197" t="s">
        <v>391</v>
      </c>
      <c r="D9" s="198" t="s">
        <v>542</v>
      </c>
      <c r="E9" s="197" t="s">
        <v>353</v>
      </c>
      <c r="F9" s="197" t="s">
        <v>216</v>
      </c>
      <c r="G9" s="199">
        <v>0.42780000000000001</v>
      </c>
      <c r="H9" s="200">
        <v>180</v>
      </c>
      <c r="I9" s="200">
        <v>77</v>
      </c>
      <c r="J9" s="200">
        <v>0</v>
      </c>
      <c r="K9" s="197" t="s">
        <v>217</v>
      </c>
      <c r="L9" s="201">
        <v>45984</v>
      </c>
      <c r="M9" s="200">
        <v>5</v>
      </c>
      <c r="N9" s="200">
        <v>3</v>
      </c>
      <c r="O9" s="200">
        <v>45</v>
      </c>
      <c r="P9" s="197" t="s">
        <v>225</v>
      </c>
      <c r="Q9" s="193"/>
      <c r="R9" s="193"/>
      <c r="S9" s="193"/>
      <c r="T9" s="193"/>
      <c r="U9" s="193"/>
      <c r="V9" s="193"/>
      <c r="W9" s="200" t="s">
        <v>575</v>
      </c>
      <c r="X9" s="193"/>
      <c r="Y9" s="200" t="s">
        <v>576</v>
      </c>
      <c r="Z9" s="200" t="s">
        <v>577</v>
      </c>
      <c r="AA9" s="200" t="s">
        <v>573</v>
      </c>
      <c r="AB9" s="200" t="s">
        <v>252</v>
      </c>
      <c r="AC9" s="200" t="s">
        <v>338</v>
      </c>
      <c r="AD9" s="200" t="s">
        <v>578</v>
      </c>
      <c r="AE9" s="200" t="s">
        <v>263</v>
      </c>
      <c r="AF9" s="193"/>
      <c r="AG9" s="193"/>
      <c r="AH9" s="193"/>
      <c r="AI9" s="193"/>
      <c r="AJ9" s="193"/>
    </row>
    <row r="10" spans="1:36" x14ac:dyDescent="0.3">
      <c r="A10" s="195" t="s">
        <v>214</v>
      </c>
      <c r="B10" s="196">
        <v>46000</v>
      </c>
      <c r="C10" s="197" t="s">
        <v>391</v>
      </c>
      <c r="D10" s="198" t="s">
        <v>535</v>
      </c>
      <c r="E10" s="197" t="s">
        <v>353</v>
      </c>
      <c r="F10" s="197" t="s">
        <v>216</v>
      </c>
      <c r="G10" s="199">
        <v>0.37780000000000002</v>
      </c>
      <c r="H10" s="200">
        <v>180</v>
      </c>
      <c r="I10" s="200">
        <v>68</v>
      </c>
      <c r="J10" s="200">
        <v>0</v>
      </c>
      <c r="K10" s="197" t="s">
        <v>217</v>
      </c>
      <c r="L10" s="201">
        <v>45984</v>
      </c>
      <c r="M10" s="200">
        <v>1</v>
      </c>
      <c r="N10" s="200">
        <v>7</v>
      </c>
      <c r="O10" s="200">
        <v>38</v>
      </c>
      <c r="P10" s="197" t="s">
        <v>471</v>
      </c>
      <c r="Q10" s="193"/>
      <c r="R10" s="193"/>
      <c r="S10" s="193"/>
      <c r="T10" s="193"/>
      <c r="U10" s="193"/>
      <c r="V10" s="193"/>
      <c r="W10" s="193"/>
      <c r="X10" s="193"/>
      <c r="Y10" s="193"/>
      <c r="Z10" s="200" t="s">
        <v>261</v>
      </c>
      <c r="AA10" s="200" t="s">
        <v>235</v>
      </c>
      <c r="AB10" s="193"/>
      <c r="AC10" s="200" t="s">
        <v>273</v>
      </c>
      <c r="AD10" s="200" t="s">
        <v>259</v>
      </c>
      <c r="AE10" s="200" t="s">
        <v>579</v>
      </c>
      <c r="AF10" s="200" t="s">
        <v>275</v>
      </c>
      <c r="AG10" s="193"/>
      <c r="AH10" s="193"/>
      <c r="AI10" s="193"/>
      <c r="AJ10" s="193"/>
    </row>
    <row r="11" spans="1:36" x14ac:dyDescent="0.3">
      <c r="A11" s="195" t="s">
        <v>222</v>
      </c>
      <c r="B11" s="196">
        <v>46002</v>
      </c>
      <c r="C11" s="197" t="s">
        <v>391</v>
      </c>
      <c r="D11" s="198" t="s">
        <v>542</v>
      </c>
      <c r="E11" s="197" t="s">
        <v>353</v>
      </c>
      <c r="F11" s="197" t="s">
        <v>216</v>
      </c>
      <c r="G11" s="199">
        <v>0.42220000000000002</v>
      </c>
      <c r="H11" s="200">
        <v>180</v>
      </c>
      <c r="I11" s="200">
        <v>76</v>
      </c>
      <c r="J11" s="200">
        <v>0</v>
      </c>
      <c r="K11" s="197" t="s">
        <v>217</v>
      </c>
      <c r="L11" s="201">
        <v>45984</v>
      </c>
      <c r="M11" s="200">
        <v>2</v>
      </c>
      <c r="N11" s="200">
        <v>21</v>
      </c>
      <c r="O11" s="200">
        <v>57</v>
      </c>
      <c r="P11" s="197" t="s">
        <v>478</v>
      </c>
      <c r="Q11" s="193"/>
      <c r="R11" s="193"/>
      <c r="S11" s="193"/>
      <c r="T11" s="193"/>
      <c r="U11" s="193"/>
      <c r="V11" s="193"/>
      <c r="W11" s="193"/>
      <c r="X11" s="193"/>
      <c r="Y11" s="200" t="s">
        <v>240</v>
      </c>
      <c r="Z11" s="193"/>
      <c r="AA11" s="200" t="s">
        <v>580</v>
      </c>
      <c r="AB11" s="200" t="s">
        <v>246</v>
      </c>
      <c r="AC11" s="200" t="s">
        <v>338</v>
      </c>
      <c r="AD11" s="200" t="s">
        <v>259</v>
      </c>
      <c r="AE11" s="200" t="s">
        <v>581</v>
      </c>
      <c r="AF11" s="200" t="s">
        <v>266</v>
      </c>
      <c r="AG11" s="193"/>
      <c r="AH11" s="193"/>
      <c r="AI11" s="193"/>
      <c r="AJ11" s="193"/>
    </row>
    <row r="12" spans="1:36" x14ac:dyDescent="0.3">
      <c r="A12" s="195" t="s">
        <v>231</v>
      </c>
      <c r="B12" s="196">
        <v>46003</v>
      </c>
      <c r="C12" s="197" t="s">
        <v>391</v>
      </c>
      <c r="D12" s="198" t="s">
        <v>551</v>
      </c>
      <c r="E12" s="197" t="s">
        <v>353</v>
      </c>
      <c r="F12" s="197" t="s">
        <v>216</v>
      </c>
      <c r="G12" s="199">
        <v>0.31109999999999999</v>
      </c>
      <c r="H12" s="200">
        <v>180</v>
      </c>
      <c r="I12" s="200">
        <v>56</v>
      </c>
      <c r="J12" s="200">
        <v>0</v>
      </c>
      <c r="K12" s="197" t="s">
        <v>217</v>
      </c>
      <c r="L12" s="201">
        <v>45984</v>
      </c>
      <c r="M12" s="200">
        <v>4</v>
      </c>
      <c r="N12" s="200">
        <v>6</v>
      </c>
      <c r="O12" s="200">
        <v>25</v>
      </c>
      <c r="P12" s="197" t="s">
        <v>150</v>
      </c>
      <c r="Q12" s="193"/>
      <c r="R12" s="193"/>
      <c r="S12" s="193"/>
      <c r="T12" s="193"/>
      <c r="U12" s="193"/>
      <c r="V12" s="193"/>
      <c r="W12" s="193"/>
      <c r="X12" s="193"/>
      <c r="Y12" s="193"/>
      <c r="Z12" s="200" t="s">
        <v>225</v>
      </c>
      <c r="AA12" s="200" t="s">
        <v>580</v>
      </c>
      <c r="AB12" s="193"/>
      <c r="AC12" s="200" t="s">
        <v>227</v>
      </c>
      <c r="AD12" s="200" t="s">
        <v>274</v>
      </c>
      <c r="AE12" s="200" t="s">
        <v>582</v>
      </c>
      <c r="AF12" s="200" t="s">
        <v>266</v>
      </c>
      <c r="AG12" s="193"/>
      <c r="AH12" s="193"/>
      <c r="AI12" s="193"/>
      <c r="AJ12" s="193"/>
    </row>
    <row r="13" spans="1:36" x14ac:dyDescent="0.3">
      <c r="A13" s="195" t="s">
        <v>238</v>
      </c>
      <c r="B13" s="196">
        <v>46004</v>
      </c>
      <c r="C13" s="197" t="s">
        <v>391</v>
      </c>
      <c r="D13" s="198" t="s">
        <v>542</v>
      </c>
      <c r="E13" s="197" t="s">
        <v>353</v>
      </c>
      <c r="F13" s="197" t="s">
        <v>216</v>
      </c>
      <c r="G13" s="199">
        <v>0.2722</v>
      </c>
      <c r="H13" s="200">
        <v>180</v>
      </c>
      <c r="I13" s="200">
        <v>49</v>
      </c>
      <c r="J13" s="200">
        <v>0</v>
      </c>
      <c r="K13" s="197" t="s">
        <v>217</v>
      </c>
      <c r="L13" s="201">
        <v>45983</v>
      </c>
      <c r="M13" s="200">
        <v>0</v>
      </c>
      <c r="N13" s="200">
        <v>3</v>
      </c>
      <c r="O13" s="200">
        <v>9</v>
      </c>
      <c r="P13" s="197" t="s">
        <v>309</v>
      </c>
      <c r="Q13" s="193"/>
      <c r="R13" s="193"/>
      <c r="S13" s="193"/>
      <c r="T13" s="193"/>
      <c r="U13" s="193"/>
      <c r="V13" s="193"/>
      <c r="W13" s="193"/>
      <c r="X13" s="193"/>
      <c r="Y13" s="200" t="s">
        <v>583</v>
      </c>
      <c r="Z13" s="200" t="s">
        <v>225</v>
      </c>
      <c r="AA13" s="193"/>
      <c r="AB13" s="200" t="s">
        <v>584</v>
      </c>
      <c r="AC13" s="200" t="s">
        <v>585</v>
      </c>
      <c r="AD13" s="200" t="s">
        <v>262</v>
      </c>
      <c r="AE13" s="200" t="s">
        <v>271</v>
      </c>
      <c r="AF13" s="193"/>
      <c r="AG13" s="193"/>
      <c r="AH13" s="193"/>
      <c r="AI13" s="193"/>
      <c r="AJ13" s="193"/>
    </row>
    <row r="14" spans="1:36" x14ac:dyDescent="0.3">
      <c r="A14" s="195" t="s">
        <v>214</v>
      </c>
      <c r="B14" s="196">
        <v>46007</v>
      </c>
      <c r="C14" s="197" t="s">
        <v>391</v>
      </c>
      <c r="D14" s="198" t="s">
        <v>535</v>
      </c>
      <c r="E14" s="197" t="s">
        <v>353</v>
      </c>
      <c r="F14" s="197" t="s">
        <v>216</v>
      </c>
      <c r="G14" s="199">
        <v>0.1444</v>
      </c>
      <c r="H14" s="200">
        <v>180</v>
      </c>
      <c r="I14" s="200">
        <v>26</v>
      </c>
      <c r="J14" s="200">
        <v>0</v>
      </c>
      <c r="K14" s="197" t="s">
        <v>217</v>
      </c>
      <c r="L14" s="201">
        <v>45983</v>
      </c>
      <c r="M14" s="200">
        <v>0</v>
      </c>
      <c r="N14" s="200">
        <v>5</v>
      </c>
      <c r="O14" s="200">
        <v>15</v>
      </c>
      <c r="P14" s="197" t="s">
        <v>131</v>
      </c>
      <c r="Q14" s="193"/>
      <c r="R14" s="193"/>
      <c r="S14" s="193"/>
      <c r="T14" s="193"/>
      <c r="U14" s="193"/>
      <c r="V14" s="193"/>
      <c r="W14" s="193"/>
      <c r="X14" s="193"/>
      <c r="Y14" s="193"/>
      <c r="Z14" s="200" t="s">
        <v>261</v>
      </c>
      <c r="AA14" s="193"/>
      <c r="AB14" s="193"/>
      <c r="AC14" s="193"/>
      <c r="AD14" s="200" t="s">
        <v>243</v>
      </c>
      <c r="AE14" s="200" t="s">
        <v>586</v>
      </c>
      <c r="AF14" s="200" t="s">
        <v>264</v>
      </c>
      <c r="AG14" s="193"/>
      <c r="AH14" s="193"/>
      <c r="AI14" s="193"/>
      <c r="AJ14" s="193"/>
    </row>
    <row r="15" spans="1:36" x14ac:dyDescent="0.3">
      <c r="A15" s="195" t="s">
        <v>222</v>
      </c>
      <c r="B15" s="196">
        <v>46009</v>
      </c>
      <c r="C15" s="197" t="s">
        <v>391</v>
      </c>
      <c r="D15" s="198" t="s">
        <v>542</v>
      </c>
      <c r="E15" s="197" t="s">
        <v>353</v>
      </c>
      <c r="F15" s="197" t="s">
        <v>216</v>
      </c>
      <c r="G15" s="199">
        <v>0.1444</v>
      </c>
      <c r="H15" s="200">
        <v>180</v>
      </c>
      <c r="I15" s="200">
        <v>26</v>
      </c>
      <c r="J15" s="200">
        <v>0</v>
      </c>
      <c r="K15" s="197" t="s">
        <v>217</v>
      </c>
      <c r="L15" s="201">
        <v>45983</v>
      </c>
      <c r="M15" s="200">
        <v>0</v>
      </c>
      <c r="N15" s="200">
        <v>10</v>
      </c>
      <c r="O15" s="200">
        <v>12</v>
      </c>
      <c r="P15" s="197" t="s">
        <v>276</v>
      </c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200" t="s">
        <v>587</v>
      </c>
      <c r="AE15" s="200" t="s">
        <v>588</v>
      </c>
      <c r="AF15" s="200" t="s">
        <v>281</v>
      </c>
      <c r="AG15" s="193"/>
      <c r="AH15" s="193"/>
      <c r="AI15" s="193"/>
      <c r="AJ15" s="193"/>
    </row>
    <row r="16" spans="1:36" x14ac:dyDescent="0.3">
      <c r="A16" s="195" t="s">
        <v>231</v>
      </c>
      <c r="B16" s="196">
        <v>46010</v>
      </c>
      <c r="C16" s="197" t="s">
        <v>391</v>
      </c>
      <c r="D16" s="198" t="s">
        <v>551</v>
      </c>
      <c r="E16" s="197" t="s">
        <v>353</v>
      </c>
      <c r="F16" s="197" t="s">
        <v>216</v>
      </c>
      <c r="G16" s="199">
        <v>9.4399999999999998E-2</v>
      </c>
      <c r="H16" s="200">
        <v>180</v>
      </c>
      <c r="I16" s="200">
        <v>17</v>
      </c>
      <c r="J16" s="200">
        <v>0</v>
      </c>
      <c r="K16" s="197" t="s">
        <v>217</v>
      </c>
      <c r="L16" s="201">
        <v>45981</v>
      </c>
      <c r="M16" s="200">
        <v>0</v>
      </c>
      <c r="N16" s="200">
        <v>0</v>
      </c>
      <c r="O16" s="200">
        <v>2</v>
      </c>
      <c r="P16" s="197" t="s">
        <v>276</v>
      </c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200" t="s">
        <v>259</v>
      </c>
      <c r="AE16" s="200" t="s">
        <v>236</v>
      </c>
      <c r="AF16" s="193"/>
      <c r="AG16" s="193"/>
      <c r="AH16" s="193"/>
      <c r="AI16" s="193"/>
      <c r="AJ16" s="193"/>
    </row>
    <row r="17" spans="1:36" x14ac:dyDescent="0.3">
      <c r="A17" s="195" t="s">
        <v>238</v>
      </c>
      <c r="B17" s="196">
        <v>46011</v>
      </c>
      <c r="C17" s="197" t="s">
        <v>391</v>
      </c>
      <c r="D17" s="198" t="s">
        <v>542</v>
      </c>
      <c r="E17" s="197" t="s">
        <v>353</v>
      </c>
      <c r="F17" s="197" t="s">
        <v>216</v>
      </c>
      <c r="G17" s="199">
        <v>0.32779999999999998</v>
      </c>
      <c r="H17" s="200">
        <v>180</v>
      </c>
      <c r="I17" s="200">
        <v>59</v>
      </c>
      <c r="J17" s="200">
        <v>0</v>
      </c>
      <c r="K17" s="197" t="s">
        <v>217</v>
      </c>
      <c r="L17" s="201">
        <v>45984</v>
      </c>
      <c r="M17" s="200">
        <v>1</v>
      </c>
      <c r="N17" s="200">
        <v>2</v>
      </c>
      <c r="O17" s="200">
        <v>25</v>
      </c>
      <c r="P17" s="197" t="s">
        <v>508</v>
      </c>
      <c r="Q17" s="193"/>
      <c r="R17" s="193"/>
      <c r="S17" s="193"/>
      <c r="T17" s="193"/>
      <c r="U17" s="193"/>
      <c r="V17" s="193"/>
      <c r="W17" s="193"/>
      <c r="X17" s="193"/>
      <c r="Y17" s="200" t="s">
        <v>240</v>
      </c>
      <c r="Z17" s="200" t="s">
        <v>225</v>
      </c>
      <c r="AA17" s="200" t="s">
        <v>251</v>
      </c>
      <c r="AB17" s="200" t="s">
        <v>589</v>
      </c>
      <c r="AC17" s="200" t="s">
        <v>590</v>
      </c>
      <c r="AD17" s="200" t="s">
        <v>81</v>
      </c>
      <c r="AE17" s="200" t="s">
        <v>248</v>
      </c>
      <c r="AF17" s="193"/>
      <c r="AG17" s="193"/>
      <c r="AH17" s="193"/>
      <c r="AI17" s="193"/>
      <c r="AJ17" s="193"/>
    </row>
    <row r="18" spans="1:36" x14ac:dyDescent="0.3">
      <c r="A18" s="195" t="s">
        <v>214</v>
      </c>
      <c r="B18" s="196">
        <v>46014</v>
      </c>
      <c r="C18" s="197" t="s">
        <v>391</v>
      </c>
      <c r="D18" s="198" t="s">
        <v>535</v>
      </c>
      <c r="E18" s="197" t="s">
        <v>353</v>
      </c>
      <c r="F18" s="197" t="s">
        <v>216</v>
      </c>
      <c r="G18" s="199">
        <v>7.7799999999999994E-2</v>
      </c>
      <c r="H18" s="200">
        <v>180</v>
      </c>
      <c r="I18" s="200">
        <v>14</v>
      </c>
      <c r="J18" s="200">
        <v>0</v>
      </c>
      <c r="K18" s="197" t="s">
        <v>217</v>
      </c>
      <c r="L18" s="201">
        <v>45978</v>
      </c>
      <c r="M18" s="200">
        <v>0</v>
      </c>
      <c r="N18" s="200">
        <v>0</v>
      </c>
      <c r="O18" s="200">
        <v>3</v>
      </c>
      <c r="P18" s="197" t="s">
        <v>276</v>
      </c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200" t="s">
        <v>351</v>
      </c>
      <c r="AD18" s="200" t="s">
        <v>262</v>
      </c>
      <c r="AE18" s="200" t="s">
        <v>263</v>
      </c>
      <c r="AF18" s="193"/>
      <c r="AG18" s="193"/>
      <c r="AH18" s="193"/>
      <c r="AI18" s="193"/>
      <c r="AJ18" s="193"/>
    </row>
    <row r="19" spans="1:36" x14ac:dyDescent="0.3">
      <c r="A19" s="195" t="s">
        <v>222</v>
      </c>
      <c r="B19" s="196">
        <v>46016</v>
      </c>
      <c r="C19" s="197" t="s">
        <v>391</v>
      </c>
      <c r="D19" s="198" t="s">
        <v>542</v>
      </c>
      <c r="E19" s="197" t="s">
        <v>353</v>
      </c>
      <c r="F19" s="197" t="s">
        <v>216</v>
      </c>
      <c r="G19" s="199">
        <v>0.15</v>
      </c>
      <c r="H19" s="200">
        <v>180</v>
      </c>
      <c r="I19" s="200">
        <v>27</v>
      </c>
      <c r="J19" s="200">
        <v>0</v>
      </c>
      <c r="K19" s="197" t="s">
        <v>217</v>
      </c>
      <c r="L19" s="201">
        <v>45982</v>
      </c>
      <c r="M19" s="200">
        <v>0</v>
      </c>
      <c r="N19" s="200">
        <v>0</v>
      </c>
      <c r="O19" s="200">
        <v>8</v>
      </c>
      <c r="P19" s="197" t="s">
        <v>471</v>
      </c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200" t="s">
        <v>591</v>
      </c>
      <c r="AD19" s="200" t="s">
        <v>262</v>
      </c>
      <c r="AE19" s="200" t="s">
        <v>254</v>
      </c>
      <c r="AF19" s="193"/>
      <c r="AG19" s="193"/>
      <c r="AH19" s="193"/>
      <c r="AI19" s="193"/>
      <c r="AJ19" s="193"/>
    </row>
    <row r="20" spans="1:36" x14ac:dyDescent="0.3">
      <c r="A20" s="195" t="s">
        <v>231</v>
      </c>
      <c r="B20" s="196">
        <v>46017</v>
      </c>
      <c r="C20" s="197" t="s">
        <v>391</v>
      </c>
      <c r="D20" s="198" t="s">
        <v>551</v>
      </c>
      <c r="E20" s="197" t="s">
        <v>353</v>
      </c>
      <c r="F20" s="197" t="s">
        <v>216</v>
      </c>
      <c r="G20" s="199">
        <v>3.8899999999999997E-2</v>
      </c>
      <c r="H20" s="200">
        <v>180</v>
      </c>
      <c r="I20" s="200">
        <v>7</v>
      </c>
      <c r="J20" s="200">
        <v>0</v>
      </c>
      <c r="K20" s="197" t="s">
        <v>217</v>
      </c>
      <c r="L20" s="201">
        <v>45983</v>
      </c>
      <c r="M20" s="200">
        <v>0</v>
      </c>
      <c r="N20" s="200">
        <v>1</v>
      </c>
      <c r="O20" s="200">
        <v>3</v>
      </c>
      <c r="P20" s="197" t="s">
        <v>522</v>
      </c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200" t="s">
        <v>271</v>
      </c>
      <c r="AF20" s="200" t="s">
        <v>136</v>
      </c>
      <c r="AG20" s="193"/>
      <c r="AH20" s="193"/>
      <c r="AI20" s="193"/>
      <c r="AJ20" s="193"/>
    </row>
    <row r="21" spans="1:36" x14ac:dyDescent="0.3">
      <c r="A21" s="195" t="s">
        <v>238</v>
      </c>
      <c r="B21" s="196">
        <v>46018</v>
      </c>
      <c r="C21" s="197" t="s">
        <v>391</v>
      </c>
      <c r="D21" s="198" t="s">
        <v>542</v>
      </c>
      <c r="E21" s="197" t="s">
        <v>353</v>
      </c>
      <c r="F21" s="197" t="s">
        <v>216</v>
      </c>
      <c r="G21" s="199">
        <v>0.1278</v>
      </c>
      <c r="H21" s="200">
        <v>180</v>
      </c>
      <c r="I21" s="200">
        <v>23</v>
      </c>
      <c r="J21" s="200">
        <v>0</v>
      </c>
      <c r="K21" s="197" t="s">
        <v>217</v>
      </c>
      <c r="L21" s="201">
        <v>45983</v>
      </c>
      <c r="M21" s="200">
        <v>0</v>
      </c>
      <c r="N21" s="200">
        <v>1</v>
      </c>
      <c r="O21" s="200">
        <v>6</v>
      </c>
      <c r="P21" s="197" t="s">
        <v>525</v>
      </c>
      <c r="Q21" s="193"/>
      <c r="R21" s="193"/>
      <c r="S21" s="193"/>
      <c r="T21" s="193"/>
      <c r="U21" s="193"/>
      <c r="V21" s="193"/>
      <c r="W21" s="193"/>
      <c r="X21" s="193"/>
      <c r="Y21" s="193"/>
      <c r="Z21" s="200" t="s">
        <v>261</v>
      </c>
      <c r="AA21" s="193"/>
      <c r="AB21" s="193"/>
      <c r="AC21" s="193"/>
      <c r="AD21" s="200" t="s">
        <v>228</v>
      </c>
      <c r="AE21" s="200" t="s">
        <v>342</v>
      </c>
      <c r="AF21" s="193"/>
      <c r="AG21" s="193"/>
      <c r="AH21" s="193"/>
      <c r="AI21" s="193"/>
      <c r="AJ21" s="193"/>
    </row>
    <row r="22" spans="1:36" x14ac:dyDescent="0.3">
      <c r="A22" s="195" t="s">
        <v>214</v>
      </c>
      <c r="B22" s="196">
        <v>46021</v>
      </c>
      <c r="C22" s="197" t="s">
        <v>391</v>
      </c>
      <c r="D22" s="198" t="s">
        <v>535</v>
      </c>
      <c r="E22" s="197" t="s">
        <v>353</v>
      </c>
      <c r="F22" s="197" t="s">
        <v>216</v>
      </c>
      <c r="G22" s="199">
        <v>7.7799999999999994E-2</v>
      </c>
      <c r="H22" s="200">
        <v>180</v>
      </c>
      <c r="I22" s="200">
        <v>14</v>
      </c>
      <c r="J22" s="200">
        <v>0</v>
      </c>
      <c r="K22" s="197" t="s">
        <v>217</v>
      </c>
      <c r="L22" s="201">
        <v>45982</v>
      </c>
      <c r="M22" s="200">
        <v>0</v>
      </c>
      <c r="N22" s="200">
        <v>0</v>
      </c>
      <c r="O22" s="200">
        <v>4</v>
      </c>
      <c r="P22" s="197" t="s">
        <v>522</v>
      </c>
      <c r="Q22" s="193"/>
      <c r="R22" s="193"/>
      <c r="S22" s="193"/>
      <c r="T22" s="193"/>
      <c r="U22" s="193"/>
      <c r="V22" s="193"/>
      <c r="W22" s="193"/>
      <c r="X22" s="193"/>
      <c r="Y22" s="193"/>
      <c r="Z22" s="200" t="s">
        <v>225</v>
      </c>
      <c r="AA22" s="193"/>
      <c r="AB22" s="193"/>
      <c r="AC22" s="193"/>
      <c r="AD22" s="200" t="s">
        <v>270</v>
      </c>
      <c r="AE22" s="200" t="s">
        <v>236</v>
      </c>
      <c r="AF22" s="200" t="s">
        <v>136</v>
      </c>
      <c r="AG22" s="193"/>
      <c r="AH22" s="193"/>
      <c r="AI22" s="193"/>
      <c r="AJ22" s="193"/>
    </row>
    <row r="23" spans="1:36" ht="21" x14ac:dyDescent="0.3">
      <c r="A23" s="202" t="s">
        <v>659</v>
      </c>
      <c r="B23" s="203"/>
      <c r="C23" s="202">
        <f>SUBTOTAL(103,CAI_DMM_LF_LEGACY[Flt])</f>
        <v>21</v>
      </c>
      <c r="D23" s="202"/>
      <c r="E23" s="202">
        <f>SUBTOTAL(103,CAI_DMM_LF_LEGACY[Brd-Off])</f>
        <v>21</v>
      </c>
      <c r="F23" s="202"/>
      <c r="G23" s="204">
        <f>SUBTOTAL(101,CAI_DMM_LF_LEGACY[LF%])</f>
        <v>0.36771904761904761</v>
      </c>
      <c r="H23" s="205">
        <f>SUBTOTAL(109,CAI_DMM_LF_LEGACY[CAP])</f>
        <v>3780</v>
      </c>
      <c r="I23" s="205">
        <f>SUBTOTAL(109,CAI_DMM_LF_LEGACY[BKG(Y)])</f>
        <v>1390</v>
      </c>
      <c r="J23" s="205">
        <f>SUBTOTAL(109,CAI_DMM_LF_LEGACY[GRP(Y)])</f>
        <v>0</v>
      </c>
      <c r="K23" s="202"/>
      <c r="L23" s="203"/>
      <c r="M23" s="205">
        <f>SUBTOTAL(109,CAI_DMM_LF_LEGACY[TO-DAY])</f>
        <v>41</v>
      </c>
      <c r="N23" s="205">
        <f>SUBTOTAL(109,CAI_DMM_LF_LEGACY[Y-DAY])</f>
        <v>122</v>
      </c>
      <c r="O23" s="205">
        <f>SUBTOTAL(109,CAI_DMM_LF_LEGACY[WEEKLY])</f>
        <v>579</v>
      </c>
      <c r="P23" s="206"/>
      <c r="Q23" s="205">
        <f>SUBTOTAL(109,CAI_DMM_LF_LEGACY[Y])</f>
        <v>0</v>
      </c>
      <c r="R23" s="205">
        <f>SUBTOTAL(109,CAI_DMM_LF_LEGACY[B])</f>
        <v>0</v>
      </c>
      <c r="S23" s="205">
        <f>SUBTOTAL(109,CAI_DMM_LF_LEGACY[M])</f>
        <v>0</v>
      </c>
      <c r="T23" s="205">
        <f>SUBTOTAL(109,CAI_DMM_LF_LEGACY[H])</f>
        <v>0</v>
      </c>
      <c r="U23" s="205">
        <f>SUBTOTAL(109,CAI_DMM_LF_LEGACY[Q])</f>
        <v>0</v>
      </c>
      <c r="V23" s="205">
        <f>SUBTOTAL(109,CAI_DMM_LF_LEGACY[K])</f>
        <v>0</v>
      </c>
      <c r="W23" s="205">
        <f>SUBTOTAL(109,CAI_DMM_LF_LEGACY[V])</f>
        <v>0</v>
      </c>
      <c r="X23" s="205">
        <f>SUBTOTAL(109,CAI_DMM_LF_LEGACY[L])</f>
        <v>0</v>
      </c>
      <c r="Y23" s="205">
        <f>SUBTOTAL(109,CAI_DMM_LF_LEGACY[G])</f>
        <v>0</v>
      </c>
      <c r="Z23" s="205">
        <f>SUBTOTAL(109,CAI_DMM_LF_LEGACY[S])</f>
        <v>0</v>
      </c>
      <c r="AA23" s="205">
        <f>SUBTOTAL(109,CAI_DMM_LF_LEGACY[W])</f>
        <v>0</v>
      </c>
      <c r="AB23" s="205">
        <f>SUBTOTAL(109,CAI_DMM_LF_LEGACY[T])</f>
        <v>0</v>
      </c>
      <c r="AC23" s="205">
        <f>SUBTOTAL(109,CAI_DMM_LF_LEGACY[X])</f>
        <v>0</v>
      </c>
      <c r="AD23" s="205">
        <f>SUBTOTAL(109,CAI_DMM_LF_LEGACY[U])</f>
        <v>0</v>
      </c>
      <c r="AE23" s="205">
        <f>SUBTOTAL(109,CAI_DMM_LF_LEGACY[O])</f>
        <v>0</v>
      </c>
      <c r="AF23" s="205">
        <f>SUBTOTAL(109,CAI_DMM_LF_LEGACY[I])</f>
        <v>0</v>
      </c>
      <c r="AG23" s="205">
        <f>SUBTOTAL(109,CAI_DMM_LF_LEGACY[E])</f>
        <v>0</v>
      </c>
      <c r="AH23" s="205">
        <f>SUBTOTAL(109,CAI_DMM_LF_LEGACY[A])</f>
        <v>0</v>
      </c>
      <c r="AI23" s="205">
        <f>SUBTOTAL(109,CAI_DMM_LF_LEGACY[P])</f>
        <v>0</v>
      </c>
      <c r="AJ23" s="205">
        <f>SUBTOTAL(103,CAI_DMM_LF_LEGACY[N])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82"/>
  <sheetViews>
    <sheetView topLeftCell="A52" workbookViewId="0">
      <selection activeCell="C70" sqref="C70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16.33203125" hidden="1" customWidth="1"/>
  </cols>
  <sheetData>
    <row r="1" spans="1:8" ht="18" x14ac:dyDescent="0.3">
      <c r="A1" s="108" t="s">
        <v>282</v>
      </c>
      <c r="B1" s="109" t="s">
        <v>10</v>
      </c>
      <c r="C1" s="109" t="s">
        <v>11</v>
      </c>
      <c r="D1" s="109" t="s">
        <v>283</v>
      </c>
      <c r="E1" s="109" t="s">
        <v>12</v>
      </c>
      <c r="F1" s="109" t="s">
        <v>13</v>
      </c>
      <c r="G1" s="109" t="s">
        <v>14</v>
      </c>
      <c r="H1" s="110" t="s">
        <v>15</v>
      </c>
    </row>
    <row r="2" spans="1:8" ht="19.8" customHeight="1" x14ac:dyDescent="0.3">
      <c r="A2" s="111" t="s">
        <v>3</v>
      </c>
      <c r="B2" s="112" t="s">
        <v>28</v>
      </c>
      <c r="C2" s="113" t="s">
        <v>354</v>
      </c>
      <c r="D2" s="112" t="s">
        <v>353</v>
      </c>
      <c r="E2" s="112" t="s">
        <v>592</v>
      </c>
      <c r="F2" s="112" t="s">
        <v>178</v>
      </c>
      <c r="G2" s="114">
        <v>9</v>
      </c>
      <c r="H2" s="121" t="s">
        <v>355</v>
      </c>
    </row>
    <row r="3" spans="1:8" ht="19.8" customHeight="1" x14ac:dyDescent="0.3">
      <c r="A3" s="111" t="s">
        <v>3</v>
      </c>
      <c r="B3" s="112" t="s">
        <v>33</v>
      </c>
      <c r="C3" s="113" t="s">
        <v>356</v>
      </c>
      <c r="D3" s="112" t="s">
        <v>353</v>
      </c>
      <c r="E3" s="112" t="s">
        <v>593</v>
      </c>
      <c r="F3" s="112" t="s">
        <v>35</v>
      </c>
      <c r="G3" s="114">
        <v>2</v>
      </c>
      <c r="H3" s="121" t="s">
        <v>357</v>
      </c>
    </row>
    <row r="4" spans="1:8" ht="19.8" customHeight="1" x14ac:dyDescent="0.3">
      <c r="A4" s="111" t="s">
        <v>3</v>
      </c>
      <c r="B4" s="112" t="s">
        <v>33</v>
      </c>
      <c r="C4" s="113" t="s">
        <v>356</v>
      </c>
      <c r="D4" s="112" t="s">
        <v>353</v>
      </c>
      <c r="E4" s="112" t="s">
        <v>593</v>
      </c>
      <c r="F4" s="112" t="s">
        <v>38</v>
      </c>
      <c r="G4" s="114">
        <v>2</v>
      </c>
      <c r="H4" s="121" t="s">
        <v>358</v>
      </c>
    </row>
    <row r="5" spans="1:8" ht="19.8" customHeight="1" x14ac:dyDescent="0.3">
      <c r="A5" s="111" t="s">
        <v>3</v>
      </c>
      <c r="B5" s="112" t="s">
        <v>33</v>
      </c>
      <c r="C5" s="113" t="s">
        <v>356</v>
      </c>
      <c r="D5" s="112" t="s">
        <v>353</v>
      </c>
      <c r="E5" s="112" t="s">
        <v>593</v>
      </c>
      <c r="F5" s="112" t="s">
        <v>41</v>
      </c>
      <c r="G5" s="114">
        <v>2</v>
      </c>
      <c r="H5" s="121" t="s">
        <v>359</v>
      </c>
    </row>
    <row r="6" spans="1:8" ht="19.8" customHeight="1" x14ac:dyDescent="0.3">
      <c r="A6" s="111" t="s">
        <v>3</v>
      </c>
      <c r="B6" s="112" t="s">
        <v>43</v>
      </c>
      <c r="C6" s="113" t="s">
        <v>360</v>
      </c>
      <c r="D6" s="112" t="s">
        <v>353</v>
      </c>
      <c r="E6" s="112" t="s">
        <v>594</v>
      </c>
      <c r="F6" s="112" t="s">
        <v>45</v>
      </c>
      <c r="G6" s="114">
        <v>8</v>
      </c>
      <c r="H6" s="121" t="s">
        <v>361</v>
      </c>
    </row>
    <row r="7" spans="1:8" ht="19.8" customHeight="1" x14ac:dyDescent="0.3">
      <c r="A7" s="116" t="s">
        <v>3</v>
      </c>
      <c r="B7" s="117" t="s">
        <v>43</v>
      </c>
      <c r="C7" s="118" t="s">
        <v>362</v>
      </c>
      <c r="D7" s="117" t="s">
        <v>353</v>
      </c>
      <c r="E7" s="117" t="s">
        <v>595</v>
      </c>
      <c r="F7" s="117" t="s">
        <v>45</v>
      </c>
      <c r="G7" s="119">
        <v>3</v>
      </c>
      <c r="H7" s="122" t="s">
        <v>363</v>
      </c>
    </row>
    <row r="8" spans="1:8" ht="19.8" customHeight="1" x14ac:dyDescent="0.3">
      <c r="A8" s="111" t="s">
        <v>287</v>
      </c>
      <c r="B8" s="112" t="s">
        <v>33</v>
      </c>
      <c r="C8" s="113" t="s">
        <v>364</v>
      </c>
      <c r="D8" s="112" t="s">
        <v>353</v>
      </c>
      <c r="E8" s="112" t="s">
        <v>596</v>
      </c>
      <c r="F8" s="112" t="s">
        <v>35</v>
      </c>
      <c r="G8" s="114">
        <v>1</v>
      </c>
      <c r="H8" s="121" t="s">
        <v>365</v>
      </c>
    </row>
    <row r="9" spans="1:8" ht="19.8" customHeight="1" x14ac:dyDescent="0.3">
      <c r="A9" s="111" t="s">
        <v>287</v>
      </c>
      <c r="B9" s="112" t="s">
        <v>59</v>
      </c>
      <c r="C9" s="113" t="s">
        <v>371</v>
      </c>
      <c r="D9" s="112" t="s">
        <v>353</v>
      </c>
      <c r="E9" s="112" t="s">
        <v>597</v>
      </c>
      <c r="F9" s="112" t="s">
        <v>61</v>
      </c>
      <c r="G9" s="114">
        <v>1</v>
      </c>
      <c r="H9" s="121" t="s">
        <v>372</v>
      </c>
    </row>
    <row r="10" spans="1:8" ht="19.8" customHeight="1" x14ac:dyDescent="0.3">
      <c r="A10" s="111" t="s">
        <v>287</v>
      </c>
      <c r="B10" s="112" t="s">
        <v>33</v>
      </c>
      <c r="C10" s="113" t="s">
        <v>364</v>
      </c>
      <c r="D10" s="112" t="s">
        <v>353</v>
      </c>
      <c r="E10" s="112" t="s">
        <v>596</v>
      </c>
      <c r="F10" s="112" t="s">
        <v>38</v>
      </c>
      <c r="G10" s="114">
        <v>1</v>
      </c>
      <c r="H10" s="121" t="s">
        <v>366</v>
      </c>
    </row>
    <row r="11" spans="1:8" ht="19.8" customHeight="1" x14ac:dyDescent="0.3">
      <c r="A11" s="111" t="s">
        <v>287</v>
      </c>
      <c r="B11" s="112" t="s">
        <v>33</v>
      </c>
      <c r="C11" s="113" t="s">
        <v>356</v>
      </c>
      <c r="D11" s="112" t="s">
        <v>353</v>
      </c>
      <c r="E11" s="112" t="s">
        <v>593</v>
      </c>
      <c r="F11" s="112" t="s">
        <v>35</v>
      </c>
      <c r="G11" s="114">
        <v>3</v>
      </c>
      <c r="H11" s="121" t="s">
        <v>368</v>
      </c>
    </row>
    <row r="12" spans="1:8" ht="19.8" customHeight="1" x14ac:dyDescent="0.3">
      <c r="A12" s="111" t="s">
        <v>287</v>
      </c>
      <c r="B12" s="112" t="s">
        <v>59</v>
      </c>
      <c r="C12" s="113" t="s">
        <v>371</v>
      </c>
      <c r="D12" s="112" t="s">
        <v>353</v>
      </c>
      <c r="E12" s="112" t="s">
        <v>597</v>
      </c>
      <c r="F12" s="112" t="s">
        <v>64</v>
      </c>
      <c r="G12" s="114">
        <v>1</v>
      </c>
      <c r="H12" s="121" t="s">
        <v>373</v>
      </c>
    </row>
    <row r="13" spans="1:8" ht="19.8" customHeight="1" x14ac:dyDescent="0.3">
      <c r="A13" s="111" t="s">
        <v>287</v>
      </c>
      <c r="B13" s="112" t="s">
        <v>33</v>
      </c>
      <c r="C13" s="113" t="s">
        <v>364</v>
      </c>
      <c r="D13" s="112" t="s">
        <v>353</v>
      </c>
      <c r="E13" s="112" t="s">
        <v>596</v>
      </c>
      <c r="F13" s="112" t="s">
        <v>41</v>
      </c>
      <c r="G13" s="114">
        <v>1</v>
      </c>
      <c r="H13" s="121" t="s">
        <v>367</v>
      </c>
    </row>
    <row r="14" spans="1:8" ht="19.8" customHeight="1" x14ac:dyDescent="0.3">
      <c r="A14" s="111" t="s">
        <v>287</v>
      </c>
      <c r="B14" s="112" t="s">
        <v>33</v>
      </c>
      <c r="C14" s="113" t="s">
        <v>356</v>
      </c>
      <c r="D14" s="112" t="s">
        <v>353</v>
      </c>
      <c r="E14" s="112" t="s">
        <v>593</v>
      </c>
      <c r="F14" s="112" t="s">
        <v>38</v>
      </c>
      <c r="G14" s="114">
        <v>3</v>
      </c>
      <c r="H14" s="121" t="s">
        <v>369</v>
      </c>
    </row>
    <row r="15" spans="1:8" ht="19.8" customHeight="1" x14ac:dyDescent="0.3">
      <c r="A15" s="111" t="s">
        <v>287</v>
      </c>
      <c r="B15" s="112" t="s">
        <v>59</v>
      </c>
      <c r="C15" s="113" t="s">
        <v>371</v>
      </c>
      <c r="D15" s="112" t="s">
        <v>353</v>
      </c>
      <c r="E15" s="112" t="s">
        <v>597</v>
      </c>
      <c r="F15" s="112" t="s">
        <v>67</v>
      </c>
      <c r="G15" s="114">
        <v>1</v>
      </c>
      <c r="H15" s="121" t="s">
        <v>374</v>
      </c>
    </row>
    <row r="16" spans="1:8" ht="19.8" customHeight="1" x14ac:dyDescent="0.3">
      <c r="A16" s="111" t="s">
        <v>287</v>
      </c>
      <c r="B16" s="112" t="s">
        <v>33</v>
      </c>
      <c r="C16" s="113" t="s">
        <v>356</v>
      </c>
      <c r="D16" s="112" t="s">
        <v>353</v>
      </c>
      <c r="E16" s="112" t="s">
        <v>593</v>
      </c>
      <c r="F16" s="112" t="s">
        <v>41</v>
      </c>
      <c r="G16" s="114">
        <v>3</v>
      </c>
      <c r="H16" s="121" t="s">
        <v>370</v>
      </c>
    </row>
    <row r="17" spans="1:8" ht="19.8" customHeight="1" x14ac:dyDescent="0.3">
      <c r="A17" s="111" t="s">
        <v>287</v>
      </c>
      <c r="B17" s="112" t="s">
        <v>28</v>
      </c>
      <c r="C17" s="113" t="s">
        <v>375</v>
      </c>
      <c r="D17" s="112" t="s">
        <v>353</v>
      </c>
      <c r="E17" s="112" t="s">
        <v>592</v>
      </c>
      <c r="F17" s="112" t="s">
        <v>178</v>
      </c>
      <c r="G17" s="114">
        <v>9</v>
      </c>
      <c r="H17" s="121" t="s">
        <v>376</v>
      </c>
    </row>
    <row r="18" spans="1:8" ht="19.8" customHeight="1" x14ac:dyDescent="0.3">
      <c r="A18" s="111" t="s">
        <v>287</v>
      </c>
      <c r="B18" s="112" t="s">
        <v>43</v>
      </c>
      <c r="C18" s="113" t="s">
        <v>360</v>
      </c>
      <c r="D18" s="112" t="s">
        <v>353</v>
      </c>
      <c r="E18" s="112" t="s">
        <v>594</v>
      </c>
      <c r="F18" s="112" t="s">
        <v>45</v>
      </c>
      <c r="G18" s="114">
        <v>9</v>
      </c>
      <c r="H18" s="121" t="s">
        <v>377</v>
      </c>
    </row>
    <row r="19" spans="1:8" ht="19.8" customHeight="1" x14ac:dyDescent="0.3">
      <c r="A19" s="111" t="s">
        <v>287</v>
      </c>
      <c r="B19" s="112" t="s">
        <v>54</v>
      </c>
      <c r="C19" s="113" t="s">
        <v>382</v>
      </c>
      <c r="D19" s="112" t="s">
        <v>353</v>
      </c>
      <c r="E19" s="112" t="s">
        <v>597</v>
      </c>
      <c r="F19" s="112" t="s">
        <v>56</v>
      </c>
      <c r="G19" s="114">
        <v>4</v>
      </c>
      <c r="H19" s="121" t="s">
        <v>383</v>
      </c>
    </row>
    <row r="20" spans="1:8" ht="19.8" customHeight="1" x14ac:dyDescent="0.3">
      <c r="A20" s="111" t="s">
        <v>287</v>
      </c>
      <c r="B20" s="112" t="s">
        <v>43</v>
      </c>
      <c r="C20" s="113" t="s">
        <v>362</v>
      </c>
      <c r="D20" s="112" t="s">
        <v>353</v>
      </c>
      <c r="E20" s="112" t="s">
        <v>598</v>
      </c>
      <c r="F20" s="112" t="s">
        <v>45</v>
      </c>
      <c r="G20" s="114">
        <v>5</v>
      </c>
      <c r="H20" s="121" t="s">
        <v>379</v>
      </c>
    </row>
    <row r="21" spans="1:8" ht="19.8" customHeight="1" x14ac:dyDescent="0.3">
      <c r="A21" s="116" t="s">
        <v>287</v>
      </c>
      <c r="B21" s="117" t="s">
        <v>43</v>
      </c>
      <c r="C21" s="118" t="s">
        <v>380</v>
      </c>
      <c r="D21" s="117" t="s">
        <v>353</v>
      </c>
      <c r="E21" s="117" t="s">
        <v>599</v>
      </c>
      <c r="F21" s="117" t="s">
        <v>45</v>
      </c>
      <c r="G21" s="119">
        <v>7</v>
      </c>
      <c r="H21" s="122" t="s">
        <v>379</v>
      </c>
    </row>
    <row r="22" spans="1:8" ht="19.8" customHeight="1" x14ac:dyDescent="0.3">
      <c r="A22" s="111" t="s">
        <v>292</v>
      </c>
      <c r="B22" s="112" t="s">
        <v>59</v>
      </c>
      <c r="C22" s="113" t="s">
        <v>371</v>
      </c>
      <c r="D22" s="112" t="s">
        <v>353</v>
      </c>
      <c r="E22" s="112" t="s">
        <v>597</v>
      </c>
      <c r="F22" s="112" t="s">
        <v>61</v>
      </c>
      <c r="G22" s="114">
        <v>2</v>
      </c>
      <c r="H22" s="121" t="s">
        <v>384</v>
      </c>
    </row>
    <row r="23" spans="1:8" ht="19.8" customHeight="1" x14ac:dyDescent="0.3">
      <c r="A23" s="111" t="s">
        <v>292</v>
      </c>
      <c r="B23" s="112" t="s">
        <v>28</v>
      </c>
      <c r="C23" s="113" t="s">
        <v>386</v>
      </c>
      <c r="D23" s="112" t="s">
        <v>353</v>
      </c>
      <c r="E23" s="112" t="s">
        <v>592</v>
      </c>
      <c r="F23" s="112" t="s">
        <v>178</v>
      </c>
      <c r="G23" s="114">
        <v>6</v>
      </c>
      <c r="H23" s="121" t="s">
        <v>355</v>
      </c>
    </row>
    <row r="24" spans="1:8" ht="19.8" customHeight="1" x14ac:dyDescent="0.3">
      <c r="A24" s="111" t="s">
        <v>292</v>
      </c>
      <c r="B24" s="112" t="s">
        <v>102</v>
      </c>
      <c r="C24" s="113" t="s">
        <v>387</v>
      </c>
      <c r="D24" s="112" t="s">
        <v>353</v>
      </c>
      <c r="E24" s="112" t="s">
        <v>288</v>
      </c>
      <c r="F24" s="112" t="s">
        <v>178</v>
      </c>
      <c r="G24" s="114">
        <v>3</v>
      </c>
      <c r="H24" s="121" t="s">
        <v>388</v>
      </c>
    </row>
    <row r="25" spans="1:8" ht="19.8" customHeight="1" x14ac:dyDescent="0.3">
      <c r="A25" s="123" t="s">
        <v>292</v>
      </c>
      <c r="B25" s="124" t="s">
        <v>76</v>
      </c>
      <c r="C25" s="125" t="s">
        <v>389</v>
      </c>
      <c r="D25" s="124" t="s">
        <v>353</v>
      </c>
      <c r="E25" s="124" t="s">
        <v>535</v>
      </c>
      <c r="F25" s="124" t="s">
        <v>178</v>
      </c>
      <c r="G25" s="126">
        <v>9</v>
      </c>
      <c r="H25" s="150" t="s">
        <v>390</v>
      </c>
    </row>
    <row r="26" spans="1:8" ht="19.8" customHeight="1" x14ac:dyDescent="0.3">
      <c r="A26" s="128">
        <v>45986</v>
      </c>
      <c r="B26" s="112" t="s">
        <v>59</v>
      </c>
      <c r="C26" s="113" t="s">
        <v>371</v>
      </c>
      <c r="D26" s="112" t="s">
        <v>353</v>
      </c>
      <c r="E26" s="129">
        <v>1.447916666666667</v>
      </c>
      <c r="F26" s="112" t="s">
        <v>64</v>
      </c>
      <c r="G26" s="114">
        <v>2</v>
      </c>
      <c r="H26" s="121" t="s">
        <v>369</v>
      </c>
    </row>
    <row r="27" spans="1:8" ht="19.8" customHeight="1" x14ac:dyDescent="0.3">
      <c r="A27" s="128">
        <v>45986</v>
      </c>
      <c r="B27" s="112" t="s">
        <v>33</v>
      </c>
      <c r="C27" s="113" t="s">
        <v>356</v>
      </c>
      <c r="D27" s="112" t="s">
        <v>353</v>
      </c>
      <c r="E27" s="129">
        <v>1.9722222222222221</v>
      </c>
      <c r="F27" s="112" t="s">
        <v>35</v>
      </c>
      <c r="G27" s="114">
        <v>2</v>
      </c>
      <c r="H27" s="121" t="s">
        <v>357</v>
      </c>
    </row>
    <row r="28" spans="1:8" ht="19.8" customHeight="1" x14ac:dyDescent="0.3">
      <c r="A28" s="128">
        <v>45986</v>
      </c>
      <c r="B28" s="112" t="s">
        <v>33</v>
      </c>
      <c r="C28" s="113" t="s">
        <v>356</v>
      </c>
      <c r="D28" s="112" t="s">
        <v>353</v>
      </c>
      <c r="E28" s="129">
        <v>1.9722222222222221</v>
      </c>
      <c r="F28" s="112" t="s">
        <v>38</v>
      </c>
      <c r="G28" s="114">
        <v>2</v>
      </c>
      <c r="H28" s="121" t="s">
        <v>358</v>
      </c>
    </row>
    <row r="29" spans="1:8" ht="19.8" customHeight="1" x14ac:dyDescent="0.3">
      <c r="A29" s="128">
        <v>45986</v>
      </c>
      <c r="B29" s="112" t="s">
        <v>33</v>
      </c>
      <c r="C29" s="113" t="s">
        <v>356</v>
      </c>
      <c r="D29" s="112" t="s">
        <v>353</v>
      </c>
      <c r="E29" s="129">
        <v>1.9722222222222221</v>
      </c>
      <c r="F29" s="112" t="s">
        <v>41</v>
      </c>
      <c r="G29" s="114">
        <v>2</v>
      </c>
      <c r="H29" s="121" t="s">
        <v>359</v>
      </c>
    </row>
    <row r="30" spans="1:8" ht="19.8" customHeight="1" x14ac:dyDescent="0.3">
      <c r="A30" s="128">
        <v>45986</v>
      </c>
      <c r="B30" s="112" t="s">
        <v>33</v>
      </c>
      <c r="C30" s="113" t="s">
        <v>364</v>
      </c>
      <c r="D30" s="112" t="s">
        <v>353</v>
      </c>
      <c r="E30" s="129">
        <v>1.336805555555556</v>
      </c>
      <c r="F30" s="112" t="s">
        <v>35</v>
      </c>
      <c r="G30" s="114">
        <v>1</v>
      </c>
      <c r="H30" s="121" t="s">
        <v>394</v>
      </c>
    </row>
    <row r="31" spans="1:8" ht="19.8" customHeight="1" x14ac:dyDescent="0.3">
      <c r="A31" s="128">
        <v>45986</v>
      </c>
      <c r="B31" s="112" t="s">
        <v>33</v>
      </c>
      <c r="C31" s="113" t="s">
        <v>364</v>
      </c>
      <c r="D31" s="112" t="s">
        <v>353</v>
      </c>
      <c r="E31" s="129">
        <v>1.336805555555556</v>
      </c>
      <c r="F31" s="112" t="s">
        <v>41</v>
      </c>
      <c r="G31" s="114">
        <v>1</v>
      </c>
      <c r="H31" s="121" t="s">
        <v>395</v>
      </c>
    </row>
    <row r="32" spans="1:8" ht="19.8" customHeight="1" x14ac:dyDescent="0.3">
      <c r="A32" s="128">
        <v>45986</v>
      </c>
      <c r="B32" s="112" t="s">
        <v>59</v>
      </c>
      <c r="C32" s="113" t="s">
        <v>371</v>
      </c>
      <c r="D32" s="112" t="s">
        <v>353</v>
      </c>
      <c r="E32" s="129">
        <v>1.447916666666667</v>
      </c>
      <c r="F32" s="112" t="s">
        <v>67</v>
      </c>
      <c r="G32" s="114">
        <v>2</v>
      </c>
      <c r="H32" s="121" t="s">
        <v>385</v>
      </c>
    </row>
    <row r="33" spans="1:8" ht="19.8" customHeight="1" x14ac:dyDescent="0.3">
      <c r="A33" s="128">
        <v>45986</v>
      </c>
      <c r="B33" s="112" t="s">
        <v>33</v>
      </c>
      <c r="C33" s="113" t="s">
        <v>364</v>
      </c>
      <c r="D33" s="112" t="s">
        <v>353</v>
      </c>
      <c r="E33" s="129">
        <v>1.336805555555556</v>
      </c>
      <c r="F33" s="112" t="s">
        <v>38</v>
      </c>
      <c r="G33" s="114">
        <v>1</v>
      </c>
      <c r="H33" s="121" t="s">
        <v>385</v>
      </c>
    </row>
    <row r="34" spans="1:8" ht="19.8" customHeight="1" x14ac:dyDescent="0.3">
      <c r="A34" s="128">
        <v>45986</v>
      </c>
      <c r="B34" s="112" t="s">
        <v>43</v>
      </c>
      <c r="C34" s="113" t="s">
        <v>380</v>
      </c>
      <c r="D34" s="112" t="s">
        <v>353</v>
      </c>
      <c r="E34" s="129">
        <v>1.336805555555556</v>
      </c>
      <c r="F34" s="112" t="s">
        <v>45</v>
      </c>
      <c r="G34" s="114">
        <v>7</v>
      </c>
      <c r="H34" s="121" t="s">
        <v>361</v>
      </c>
    </row>
    <row r="35" spans="1:8" ht="19.8" customHeight="1" x14ac:dyDescent="0.3">
      <c r="A35" s="128">
        <v>45986</v>
      </c>
      <c r="B35" s="112" t="s">
        <v>43</v>
      </c>
      <c r="C35" s="113" t="s">
        <v>362</v>
      </c>
      <c r="D35" s="112" t="s">
        <v>353</v>
      </c>
      <c r="E35" s="129">
        <v>1.6736111111111109</v>
      </c>
      <c r="F35" s="112" t="s">
        <v>45</v>
      </c>
      <c r="G35" s="114">
        <v>5</v>
      </c>
      <c r="H35" s="121" t="s">
        <v>379</v>
      </c>
    </row>
    <row r="36" spans="1:8" ht="19.8" customHeight="1" x14ac:dyDescent="0.3">
      <c r="A36" s="128">
        <v>45986</v>
      </c>
      <c r="B36" s="112" t="s">
        <v>43</v>
      </c>
      <c r="C36" s="113" t="s">
        <v>360</v>
      </c>
      <c r="D36" s="112" t="s">
        <v>353</v>
      </c>
      <c r="E36" s="129">
        <v>1.979166666666667</v>
      </c>
      <c r="F36" s="112" t="s">
        <v>45</v>
      </c>
      <c r="G36" s="114">
        <v>6</v>
      </c>
      <c r="H36" s="121" t="s">
        <v>396</v>
      </c>
    </row>
    <row r="37" spans="1:8" ht="19.8" customHeight="1" x14ac:dyDescent="0.3">
      <c r="A37" s="130">
        <v>45986</v>
      </c>
      <c r="B37" s="117" t="s">
        <v>54</v>
      </c>
      <c r="C37" s="118" t="s">
        <v>382</v>
      </c>
      <c r="D37" s="117" t="s">
        <v>353</v>
      </c>
      <c r="E37" s="131">
        <v>1.447916666666667</v>
      </c>
      <c r="F37" s="117" t="s">
        <v>56</v>
      </c>
      <c r="G37" s="119">
        <v>4</v>
      </c>
      <c r="H37" s="122" t="s">
        <v>397</v>
      </c>
    </row>
    <row r="38" spans="1:8" ht="19.8" customHeight="1" x14ac:dyDescent="0.3">
      <c r="A38" s="128">
        <v>45987</v>
      </c>
      <c r="B38" s="112" t="s">
        <v>59</v>
      </c>
      <c r="C38" s="113" t="s">
        <v>371</v>
      </c>
      <c r="D38" s="112" t="s">
        <v>353</v>
      </c>
      <c r="E38" s="129">
        <v>1.447916666666667</v>
      </c>
      <c r="F38" s="112" t="s">
        <v>61</v>
      </c>
      <c r="G38" s="114">
        <v>3</v>
      </c>
      <c r="H38" s="121" t="s">
        <v>384</v>
      </c>
    </row>
    <row r="39" spans="1:8" ht="19.8" customHeight="1" x14ac:dyDescent="0.3">
      <c r="A39" s="128">
        <v>45987</v>
      </c>
      <c r="B39" s="112" t="s">
        <v>33</v>
      </c>
      <c r="C39" s="113" t="s">
        <v>356</v>
      </c>
      <c r="D39" s="112" t="s">
        <v>353</v>
      </c>
      <c r="E39" s="129">
        <v>1.9722222222222221</v>
      </c>
      <c r="F39" s="112" t="s">
        <v>35</v>
      </c>
      <c r="G39" s="114">
        <v>8</v>
      </c>
      <c r="H39" s="121" t="s">
        <v>368</v>
      </c>
    </row>
    <row r="40" spans="1:8" ht="19.8" customHeight="1" x14ac:dyDescent="0.3">
      <c r="A40" s="128">
        <v>45987</v>
      </c>
      <c r="B40" s="112" t="s">
        <v>59</v>
      </c>
      <c r="C40" s="113" t="s">
        <v>371</v>
      </c>
      <c r="D40" s="112" t="s">
        <v>353</v>
      </c>
      <c r="E40" s="129">
        <v>1.447916666666667</v>
      </c>
      <c r="F40" s="112" t="s">
        <v>64</v>
      </c>
      <c r="G40" s="114">
        <v>3</v>
      </c>
      <c r="H40" s="121" t="s">
        <v>369</v>
      </c>
    </row>
    <row r="41" spans="1:8" ht="19.8" customHeight="1" x14ac:dyDescent="0.3">
      <c r="A41" s="128">
        <v>45987</v>
      </c>
      <c r="B41" s="112" t="s">
        <v>33</v>
      </c>
      <c r="C41" s="113" t="s">
        <v>356</v>
      </c>
      <c r="D41" s="112" t="s">
        <v>353</v>
      </c>
      <c r="E41" s="129">
        <v>1.9722222222222221</v>
      </c>
      <c r="F41" s="112" t="s">
        <v>38</v>
      </c>
      <c r="G41" s="114">
        <v>8</v>
      </c>
      <c r="H41" s="121" t="s">
        <v>369</v>
      </c>
    </row>
    <row r="42" spans="1:8" ht="19.8" customHeight="1" x14ac:dyDescent="0.3">
      <c r="A42" s="128">
        <v>45987</v>
      </c>
      <c r="B42" s="112" t="s">
        <v>33</v>
      </c>
      <c r="C42" s="113" t="s">
        <v>356</v>
      </c>
      <c r="D42" s="112" t="s">
        <v>353</v>
      </c>
      <c r="E42" s="129">
        <v>1.9722222222222221</v>
      </c>
      <c r="F42" s="112" t="s">
        <v>41</v>
      </c>
      <c r="G42" s="114">
        <v>8</v>
      </c>
      <c r="H42" s="121" t="s">
        <v>370</v>
      </c>
    </row>
    <row r="43" spans="1:8" ht="19.8" customHeight="1" x14ac:dyDescent="0.3">
      <c r="A43" s="128">
        <v>45987</v>
      </c>
      <c r="B43" s="112" t="s">
        <v>28</v>
      </c>
      <c r="C43" s="113" t="s">
        <v>375</v>
      </c>
      <c r="D43" s="112" t="s">
        <v>353</v>
      </c>
      <c r="E43" s="129">
        <v>1.697916666666667</v>
      </c>
      <c r="F43" s="112" t="s">
        <v>178</v>
      </c>
      <c r="G43" s="114">
        <v>5</v>
      </c>
      <c r="H43" s="121" t="s">
        <v>376</v>
      </c>
    </row>
    <row r="44" spans="1:8" ht="19.8" customHeight="1" x14ac:dyDescent="0.3">
      <c r="A44" s="128">
        <v>45987</v>
      </c>
      <c r="B44" s="112" t="s">
        <v>43</v>
      </c>
      <c r="C44" s="113" t="s">
        <v>380</v>
      </c>
      <c r="D44" s="112" t="s">
        <v>353</v>
      </c>
      <c r="E44" s="129">
        <v>1.336805555555556</v>
      </c>
      <c r="F44" s="112" t="s">
        <v>45</v>
      </c>
      <c r="G44" s="114">
        <v>9</v>
      </c>
      <c r="H44" s="121" t="s">
        <v>400</v>
      </c>
    </row>
    <row r="45" spans="1:8" ht="19.8" customHeight="1" x14ac:dyDescent="0.3">
      <c r="A45" s="128">
        <v>45987</v>
      </c>
      <c r="B45" s="112" t="s">
        <v>54</v>
      </c>
      <c r="C45" s="113" t="s">
        <v>382</v>
      </c>
      <c r="D45" s="112" t="s">
        <v>353</v>
      </c>
      <c r="E45" s="129">
        <v>1.447916666666667</v>
      </c>
      <c r="F45" s="112" t="s">
        <v>56</v>
      </c>
      <c r="G45" s="114">
        <v>4</v>
      </c>
      <c r="H45" s="121" t="s">
        <v>397</v>
      </c>
    </row>
    <row r="46" spans="1:8" ht="19.8" customHeight="1" x14ac:dyDescent="0.3">
      <c r="A46" s="128">
        <v>45987</v>
      </c>
      <c r="B46" s="112" t="s">
        <v>43</v>
      </c>
      <c r="C46" s="113" t="s">
        <v>362</v>
      </c>
      <c r="D46" s="112" t="s">
        <v>353</v>
      </c>
      <c r="E46" s="129">
        <v>1.677083333333333</v>
      </c>
      <c r="F46" s="112" t="s">
        <v>45</v>
      </c>
      <c r="G46" s="114">
        <v>3</v>
      </c>
      <c r="H46" s="121" t="s">
        <v>363</v>
      </c>
    </row>
    <row r="47" spans="1:8" ht="19.8" customHeight="1" x14ac:dyDescent="0.3">
      <c r="A47" s="130">
        <v>45987</v>
      </c>
      <c r="B47" s="117" t="s">
        <v>59</v>
      </c>
      <c r="C47" s="118" t="s">
        <v>371</v>
      </c>
      <c r="D47" s="117" t="s">
        <v>353</v>
      </c>
      <c r="E47" s="131">
        <v>1.447916666666667</v>
      </c>
      <c r="F47" s="117" t="s">
        <v>67</v>
      </c>
      <c r="G47" s="119">
        <v>3</v>
      </c>
      <c r="H47" s="122" t="s">
        <v>398</v>
      </c>
    </row>
    <row r="48" spans="1:8" ht="19.8" customHeight="1" x14ac:dyDescent="0.3">
      <c r="A48" s="128">
        <v>45988</v>
      </c>
      <c r="B48" s="112" t="s">
        <v>33</v>
      </c>
      <c r="C48" s="113" t="s">
        <v>364</v>
      </c>
      <c r="D48" s="112" t="s">
        <v>353</v>
      </c>
      <c r="E48" s="129">
        <v>1.336805555555556</v>
      </c>
      <c r="F48" s="112" t="s">
        <v>35</v>
      </c>
      <c r="G48" s="114">
        <v>9</v>
      </c>
      <c r="H48" s="121" t="s">
        <v>365</v>
      </c>
    </row>
    <row r="49" spans="1:8" ht="19.8" customHeight="1" x14ac:dyDescent="0.3">
      <c r="A49" s="128">
        <v>45988</v>
      </c>
      <c r="B49" s="112" t="s">
        <v>102</v>
      </c>
      <c r="C49" s="113" t="s">
        <v>402</v>
      </c>
      <c r="D49" s="112" t="s">
        <v>353</v>
      </c>
      <c r="E49" s="129">
        <v>1.0763888888888891</v>
      </c>
      <c r="F49" s="112" t="s">
        <v>178</v>
      </c>
      <c r="G49" s="114">
        <v>1</v>
      </c>
      <c r="H49" s="121" t="s">
        <v>403</v>
      </c>
    </row>
    <row r="50" spans="1:8" ht="19.8" customHeight="1" x14ac:dyDescent="0.3">
      <c r="A50" s="128">
        <v>45988</v>
      </c>
      <c r="B50" s="112" t="s">
        <v>33</v>
      </c>
      <c r="C50" s="113" t="s">
        <v>364</v>
      </c>
      <c r="D50" s="112" t="s">
        <v>353</v>
      </c>
      <c r="E50" s="129">
        <v>1.336805555555556</v>
      </c>
      <c r="F50" s="112" t="s">
        <v>38</v>
      </c>
      <c r="G50" s="114">
        <v>9</v>
      </c>
      <c r="H50" s="121" t="s">
        <v>366</v>
      </c>
    </row>
    <row r="51" spans="1:8" ht="19.8" customHeight="1" x14ac:dyDescent="0.3">
      <c r="A51" s="128">
        <v>45988</v>
      </c>
      <c r="B51" s="112" t="s">
        <v>33</v>
      </c>
      <c r="C51" s="113" t="s">
        <v>356</v>
      </c>
      <c r="D51" s="112" t="s">
        <v>353</v>
      </c>
      <c r="E51" s="129">
        <v>1.9722222222222221</v>
      </c>
      <c r="F51" s="112" t="s">
        <v>35</v>
      </c>
      <c r="G51" s="114">
        <v>8</v>
      </c>
      <c r="H51" s="121" t="s">
        <v>368</v>
      </c>
    </row>
    <row r="52" spans="1:8" ht="19.8" customHeight="1" x14ac:dyDescent="0.3">
      <c r="A52" s="128">
        <v>45988</v>
      </c>
      <c r="B52" s="112" t="s">
        <v>28</v>
      </c>
      <c r="C52" s="113" t="s">
        <v>354</v>
      </c>
      <c r="D52" s="112" t="s">
        <v>353</v>
      </c>
      <c r="E52" s="129">
        <v>1.3611111111111109</v>
      </c>
      <c r="F52" s="112" t="s">
        <v>178</v>
      </c>
      <c r="G52" s="114">
        <v>8</v>
      </c>
      <c r="H52" s="121" t="s">
        <v>355</v>
      </c>
    </row>
    <row r="53" spans="1:8" ht="19.8" customHeight="1" x14ac:dyDescent="0.3">
      <c r="A53" s="128">
        <v>45988</v>
      </c>
      <c r="B53" s="112" t="s">
        <v>59</v>
      </c>
      <c r="C53" s="113" t="s">
        <v>371</v>
      </c>
      <c r="D53" s="112" t="s">
        <v>353</v>
      </c>
      <c r="E53" s="129">
        <v>1.447916666666667</v>
      </c>
      <c r="F53" s="112" t="s">
        <v>61</v>
      </c>
      <c r="G53" s="114">
        <v>3</v>
      </c>
      <c r="H53" s="121" t="s">
        <v>405</v>
      </c>
    </row>
    <row r="54" spans="1:8" ht="19.8" customHeight="1" x14ac:dyDescent="0.3">
      <c r="A54" s="128">
        <v>45988</v>
      </c>
      <c r="B54" s="112" t="s">
        <v>102</v>
      </c>
      <c r="C54" s="113" t="s">
        <v>387</v>
      </c>
      <c r="D54" s="112" t="s">
        <v>353</v>
      </c>
      <c r="E54" s="129">
        <v>1.680555555555556</v>
      </c>
      <c r="F54" s="112" t="s">
        <v>178</v>
      </c>
      <c r="G54" s="114">
        <v>6</v>
      </c>
      <c r="H54" s="121" t="s">
        <v>388</v>
      </c>
    </row>
    <row r="55" spans="1:8" ht="19.8" customHeight="1" x14ac:dyDescent="0.3">
      <c r="A55" s="128">
        <v>45988</v>
      </c>
      <c r="B55" s="112" t="s">
        <v>102</v>
      </c>
      <c r="C55" s="113" t="s">
        <v>404</v>
      </c>
      <c r="D55" s="112" t="s">
        <v>353</v>
      </c>
      <c r="E55" s="129">
        <v>1.9652777777777779</v>
      </c>
      <c r="F55" s="112" t="s">
        <v>178</v>
      </c>
      <c r="G55" s="114">
        <v>6</v>
      </c>
      <c r="H55" s="121" t="s">
        <v>388</v>
      </c>
    </row>
    <row r="56" spans="1:8" ht="19.8" customHeight="1" x14ac:dyDescent="0.3">
      <c r="A56" s="128">
        <v>45988</v>
      </c>
      <c r="B56" s="112" t="s">
        <v>33</v>
      </c>
      <c r="C56" s="113" t="s">
        <v>364</v>
      </c>
      <c r="D56" s="112" t="s">
        <v>353</v>
      </c>
      <c r="E56" s="129">
        <v>1.336805555555556</v>
      </c>
      <c r="F56" s="112" t="s">
        <v>41</v>
      </c>
      <c r="G56" s="114">
        <v>9</v>
      </c>
      <c r="H56" s="121" t="s">
        <v>367</v>
      </c>
    </row>
    <row r="57" spans="1:8" ht="19.8" customHeight="1" x14ac:dyDescent="0.3">
      <c r="A57" s="132">
        <v>45988</v>
      </c>
      <c r="B57" s="124" t="s">
        <v>76</v>
      </c>
      <c r="C57" s="125" t="s">
        <v>389</v>
      </c>
      <c r="D57" s="124" t="s">
        <v>353</v>
      </c>
      <c r="E57" s="133">
        <v>1.7222222222222221</v>
      </c>
      <c r="F57" s="124" t="s">
        <v>178</v>
      </c>
      <c r="G57" s="126">
        <v>9</v>
      </c>
      <c r="H57" s="150" t="s">
        <v>390</v>
      </c>
    </row>
    <row r="58" spans="1:8" ht="19.8" customHeight="1" x14ac:dyDescent="0.3">
      <c r="A58" s="128">
        <v>45988</v>
      </c>
      <c r="B58" s="112" t="s">
        <v>33</v>
      </c>
      <c r="C58" s="113" t="s">
        <v>356</v>
      </c>
      <c r="D58" s="112" t="s">
        <v>353</v>
      </c>
      <c r="E58" s="129">
        <v>1.9722222222222221</v>
      </c>
      <c r="F58" s="112" t="s">
        <v>38</v>
      </c>
      <c r="G58" s="114">
        <v>8</v>
      </c>
      <c r="H58" s="121" t="s">
        <v>369</v>
      </c>
    </row>
    <row r="59" spans="1:8" ht="19.8" customHeight="1" x14ac:dyDescent="0.3">
      <c r="A59" s="128">
        <v>45988</v>
      </c>
      <c r="B59" s="112" t="s">
        <v>59</v>
      </c>
      <c r="C59" s="113" t="s">
        <v>371</v>
      </c>
      <c r="D59" s="112" t="s">
        <v>353</v>
      </c>
      <c r="E59" s="129">
        <v>1.447916666666667</v>
      </c>
      <c r="F59" s="112" t="s">
        <v>67</v>
      </c>
      <c r="G59" s="114">
        <v>3</v>
      </c>
      <c r="H59" s="121" t="s">
        <v>374</v>
      </c>
    </row>
    <row r="60" spans="1:8" ht="19.8" customHeight="1" x14ac:dyDescent="0.3">
      <c r="A60" s="128">
        <v>45988</v>
      </c>
      <c r="B60" s="112" t="s">
        <v>59</v>
      </c>
      <c r="C60" s="113" t="s">
        <v>371</v>
      </c>
      <c r="D60" s="112" t="s">
        <v>353</v>
      </c>
      <c r="E60" s="129">
        <v>1.447916666666667</v>
      </c>
      <c r="F60" s="112" t="s">
        <v>64</v>
      </c>
      <c r="G60" s="114">
        <v>3</v>
      </c>
      <c r="H60" s="121" t="s">
        <v>406</v>
      </c>
    </row>
    <row r="61" spans="1:8" ht="19.8" customHeight="1" x14ac:dyDescent="0.3">
      <c r="A61" s="128">
        <v>45988</v>
      </c>
      <c r="B61" s="112" t="s">
        <v>33</v>
      </c>
      <c r="C61" s="113" t="s">
        <v>356</v>
      </c>
      <c r="D61" s="112" t="s">
        <v>353</v>
      </c>
      <c r="E61" s="129">
        <v>1.9722222222222221</v>
      </c>
      <c r="F61" s="112" t="s">
        <v>41</v>
      </c>
      <c r="G61" s="114">
        <v>8</v>
      </c>
      <c r="H61" s="121" t="s">
        <v>370</v>
      </c>
    </row>
    <row r="62" spans="1:8" ht="19.8" customHeight="1" x14ac:dyDescent="0.3">
      <c r="A62" s="128">
        <v>45988</v>
      </c>
      <c r="B62" s="112" t="s">
        <v>28</v>
      </c>
      <c r="C62" s="113" t="s">
        <v>386</v>
      </c>
      <c r="D62" s="112" t="s">
        <v>353</v>
      </c>
      <c r="E62" s="129">
        <v>1.756944444444444</v>
      </c>
      <c r="F62" s="112" t="s">
        <v>178</v>
      </c>
      <c r="G62" s="114">
        <v>9</v>
      </c>
      <c r="H62" s="121" t="s">
        <v>376</v>
      </c>
    </row>
    <row r="63" spans="1:8" ht="19.8" customHeight="1" x14ac:dyDescent="0.3">
      <c r="A63" s="128">
        <v>45988</v>
      </c>
      <c r="B63" s="112" t="s">
        <v>43</v>
      </c>
      <c r="C63" s="113" t="s">
        <v>360</v>
      </c>
      <c r="D63" s="112" t="s">
        <v>353</v>
      </c>
      <c r="E63" s="129">
        <v>1.979166666666667</v>
      </c>
      <c r="F63" s="112" t="s">
        <v>45</v>
      </c>
      <c r="G63" s="114">
        <v>9</v>
      </c>
      <c r="H63" s="121" t="s">
        <v>379</v>
      </c>
    </row>
    <row r="64" spans="1:8" ht="19.8" customHeight="1" x14ac:dyDescent="0.3">
      <c r="A64" s="128">
        <v>45988</v>
      </c>
      <c r="B64" s="112" t="s">
        <v>43</v>
      </c>
      <c r="C64" s="113" t="s">
        <v>362</v>
      </c>
      <c r="D64" s="112" t="s">
        <v>353</v>
      </c>
      <c r="E64" s="129">
        <v>1.694444444444444</v>
      </c>
      <c r="F64" s="112" t="s">
        <v>45</v>
      </c>
      <c r="G64" s="114">
        <v>9</v>
      </c>
      <c r="H64" s="121" t="s">
        <v>363</v>
      </c>
    </row>
    <row r="65" spans="1:8" ht="19.8" customHeight="1" x14ac:dyDescent="0.3">
      <c r="A65" s="128">
        <v>45988</v>
      </c>
      <c r="B65" s="112" t="s">
        <v>43</v>
      </c>
      <c r="C65" s="113" t="s">
        <v>380</v>
      </c>
      <c r="D65" s="112" t="s">
        <v>353</v>
      </c>
      <c r="E65" s="129">
        <v>1.336805555555556</v>
      </c>
      <c r="F65" s="112" t="s">
        <v>45</v>
      </c>
      <c r="G65" s="114">
        <v>9</v>
      </c>
      <c r="H65" s="121" t="s">
        <v>363</v>
      </c>
    </row>
    <row r="66" spans="1:8" ht="19.8" customHeight="1" x14ac:dyDescent="0.3">
      <c r="A66" s="130">
        <v>45988</v>
      </c>
      <c r="B66" s="117" t="s">
        <v>54</v>
      </c>
      <c r="C66" s="118" t="s">
        <v>382</v>
      </c>
      <c r="D66" s="117" t="s">
        <v>353</v>
      </c>
      <c r="E66" s="131">
        <v>1.447916666666667</v>
      </c>
      <c r="F66" s="117" t="s">
        <v>56</v>
      </c>
      <c r="G66" s="119">
        <v>4</v>
      </c>
      <c r="H66" s="122" t="s">
        <v>408</v>
      </c>
    </row>
    <row r="67" spans="1:8" ht="19.8" customHeight="1" x14ac:dyDescent="0.3">
      <c r="A67" s="128">
        <v>45989</v>
      </c>
      <c r="B67" s="112" t="s">
        <v>33</v>
      </c>
      <c r="C67" s="113" t="s">
        <v>356</v>
      </c>
      <c r="D67" s="112" t="s">
        <v>353</v>
      </c>
      <c r="E67" s="129">
        <v>1.9722222222222221</v>
      </c>
      <c r="F67" s="112" t="s">
        <v>35</v>
      </c>
      <c r="G67" s="114">
        <v>5</v>
      </c>
      <c r="H67" s="121" t="s">
        <v>388</v>
      </c>
    </row>
    <row r="68" spans="1:8" ht="19.8" customHeight="1" x14ac:dyDescent="0.3">
      <c r="A68" s="128">
        <v>45989</v>
      </c>
      <c r="B68" s="112" t="s">
        <v>33</v>
      </c>
      <c r="C68" s="113" t="s">
        <v>356</v>
      </c>
      <c r="D68" s="112" t="s">
        <v>353</v>
      </c>
      <c r="E68" s="129">
        <v>1.9722222222222221</v>
      </c>
      <c r="F68" s="112" t="s">
        <v>38</v>
      </c>
      <c r="G68" s="114">
        <v>5</v>
      </c>
      <c r="H68" s="121" t="s">
        <v>409</v>
      </c>
    </row>
    <row r="69" spans="1:8" ht="19.8" customHeight="1" x14ac:dyDescent="0.3">
      <c r="A69" s="132">
        <v>45989</v>
      </c>
      <c r="B69" s="124" t="s">
        <v>76</v>
      </c>
      <c r="C69" s="125" t="s">
        <v>389</v>
      </c>
      <c r="D69" s="124" t="s">
        <v>353</v>
      </c>
      <c r="E69" s="133">
        <v>1.381944444444444</v>
      </c>
      <c r="F69" s="124" t="s">
        <v>178</v>
      </c>
      <c r="G69" s="126">
        <v>8</v>
      </c>
      <c r="H69" s="150" t="s">
        <v>376</v>
      </c>
    </row>
    <row r="70" spans="1:8" ht="19.8" customHeight="1" x14ac:dyDescent="0.3">
      <c r="A70" s="128">
        <v>45989</v>
      </c>
      <c r="B70" s="112" t="s">
        <v>33</v>
      </c>
      <c r="C70" s="113" t="s">
        <v>356</v>
      </c>
      <c r="D70" s="112" t="s">
        <v>353</v>
      </c>
      <c r="E70" s="129">
        <v>1.9722222222222221</v>
      </c>
      <c r="F70" s="112" t="s">
        <v>41</v>
      </c>
      <c r="G70" s="114">
        <v>5</v>
      </c>
      <c r="H70" s="121" t="s">
        <v>410</v>
      </c>
    </row>
    <row r="71" spans="1:8" ht="19.8" customHeight="1" x14ac:dyDescent="0.3">
      <c r="A71" s="128">
        <v>45989</v>
      </c>
      <c r="B71" s="112" t="s">
        <v>59</v>
      </c>
      <c r="C71" s="113" t="s">
        <v>371</v>
      </c>
      <c r="D71" s="112" t="s">
        <v>353</v>
      </c>
      <c r="E71" s="129">
        <v>1.447916666666667</v>
      </c>
      <c r="F71" s="112" t="s">
        <v>61</v>
      </c>
      <c r="G71" s="114">
        <v>10</v>
      </c>
      <c r="H71" s="121" t="s">
        <v>413</v>
      </c>
    </row>
    <row r="72" spans="1:8" ht="19.8" customHeight="1" x14ac:dyDescent="0.3">
      <c r="A72" s="128">
        <v>45989</v>
      </c>
      <c r="B72" s="112" t="s">
        <v>102</v>
      </c>
      <c r="C72" s="113" t="s">
        <v>387</v>
      </c>
      <c r="D72" s="112" t="s">
        <v>353</v>
      </c>
      <c r="E72" s="129">
        <v>1.9652777777777779</v>
      </c>
      <c r="F72" s="112" t="s">
        <v>178</v>
      </c>
      <c r="G72" s="114">
        <v>9</v>
      </c>
      <c r="H72" s="121" t="s">
        <v>415</v>
      </c>
    </row>
    <row r="73" spans="1:8" ht="19.8" customHeight="1" x14ac:dyDescent="0.3">
      <c r="A73" s="128">
        <v>45989</v>
      </c>
      <c r="B73" s="112" t="s">
        <v>59</v>
      </c>
      <c r="C73" s="113" t="s">
        <v>371</v>
      </c>
      <c r="D73" s="112" t="s">
        <v>353</v>
      </c>
      <c r="E73" s="129">
        <v>1.447916666666667</v>
      </c>
      <c r="F73" s="112" t="s">
        <v>64</v>
      </c>
      <c r="G73" s="114">
        <v>10</v>
      </c>
      <c r="H73" s="121" t="s">
        <v>414</v>
      </c>
    </row>
    <row r="74" spans="1:8" ht="19.8" customHeight="1" x14ac:dyDescent="0.3">
      <c r="A74" s="128">
        <v>45989</v>
      </c>
      <c r="B74" s="112" t="s">
        <v>28</v>
      </c>
      <c r="C74" s="113" t="s">
        <v>375</v>
      </c>
      <c r="D74" s="112" t="s">
        <v>353</v>
      </c>
      <c r="E74" s="129">
        <v>1.756944444444444</v>
      </c>
      <c r="F74" s="112" t="s">
        <v>178</v>
      </c>
      <c r="G74" s="114">
        <v>9</v>
      </c>
      <c r="H74" s="121" t="s">
        <v>416</v>
      </c>
    </row>
    <row r="75" spans="1:8" ht="19.8" customHeight="1" x14ac:dyDescent="0.3">
      <c r="A75" s="128">
        <v>45989</v>
      </c>
      <c r="B75" s="112" t="s">
        <v>43</v>
      </c>
      <c r="C75" s="113" t="s">
        <v>360</v>
      </c>
      <c r="D75" s="112" t="s">
        <v>353</v>
      </c>
      <c r="E75" s="129">
        <v>1.979166666666667</v>
      </c>
      <c r="F75" s="112" t="s">
        <v>45</v>
      </c>
      <c r="G75" s="114">
        <v>9</v>
      </c>
      <c r="H75" s="121" t="s">
        <v>363</v>
      </c>
    </row>
    <row r="76" spans="1:8" ht="19.8" customHeight="1" x14ac:dyDescent="0.3">
      <c r="A76" s="128">
        <v>45989</v>
      </c>
      <c r="B76" s="112" t="s">
        <v>59</v>
      </c>
      <c r="C76" s="113" t="s">
        <v>371</v>
      </c>
      <c r="D76" s="112" t="s">
        <v>353</v>
      </c>
      <c r="E76" s="129">
        <v>1.447916666666667</v>
      </c>
      <c r="F76" s="112" t="s">
        <v>67</v>
      </c>
      <c r="G76" s="114">
        <v>10</v>
      </c>
      <c r="H76" s="121" t="s">
        <v>398</v>
      </c>
    </row>
    <row r="77" spans="1:8" ht="19.8" customHeight="1" x14ac:dyDescent="0.3">
      <c r="A77" s="128">
        <v>45989</v>
      </c>
      <c r="B77" s="112" t="s">
        <v>54</v>
      </c>
      <c r="C77" s="113" t="s">
        <v>382</v>
      </c>
      <c r="D77" s="112" t="s">
        <v>353</v>
      </c>
      <c r="E77" s="129">
        <v>1.447916666666667</v>
      </c>
      <c r="F77" s="112" t="s">
        <v>56</v>
      </c>
      <c r="G77" s="114">
        <v>4</v>
      </c>
      <c r="H77" s="121" t="s">
        <v>408</v>
      </c>
    </row>
    <row r="78" spans="1:8" ht="19.8" customHeight="1" x14ac:dyDescent="0.3">
      <c r="A78" s="130">
        <v>45989</v>
      </c>
      <c r="B78" s="117" t="s">
        <v>43</v>
      </c>
      <c r="C78" s="118" t="s">
        <v>380</v>
      </c>
      <c r="D78" s="117" t="s">
        <v>353</v>
      </c>
      <c r="E78" s="131">
        <v>1.3263888888888891</v>
      </c>
      <c r="F78" s="117" t="s">
        <v>45</v>
      </c>
      <c r="G78" s="119">
        <v>9</v>
      </c>
      <c r="H78" s="122" t="s">
        <v>417</v>
      </c>
    </row>
    <row r="79" spans="1:8" ht="19.8" customHeight="1" x14ac:dyDescent="0.3">
      <c r="A79" s="128">
        <v>45990</v>
      </c>
      <c r="B79" s="112" t="s">
        <v>33</v>
      </c>
      <c r="C79" s="113" t="s">
        <v>364</v>
      </c>
      <c r="D79" s="112" t="s">
        <v>353</v>
      </c>
      <c r="E79" s="129">
        <v>1.336805555555556</v>
      </c>
      <c r="F79" s="112" t="s">
        <v>35</v>
      </c>
      <c r="G79" s="114">
        <v>6</v>
      </c>
      <c r="H79" s="121" t="s">
        <v>388</v>
      </c>
    </row>
    <row r="80" spans="1:8" ht="19.8" customHeight="1" x14ac:dyDescent="0.3">
      <c r="A80" s="128">
        <v>45990</v>
      </c>
      <c r="B80" s="112" t="s">
        <v>33</v>
      </c>
      <c r="C80" s="113" t="s">
        <v>364</v>
      </c>
      <c r="D80" s="112" t="s">
        <v>353</v>
      </c>
      <c r="E80" s="129">
        <v>1.336805555555556</v>
      </c>
      <c r="F80" s="112" t="s">
        <v>38</v>
      </c>
      <c r="G80" s="114">
        <v>6</v>
      </c>
      <c r="H80" s="121" t="s">
        <v>409</v>
      </c>
    </row>
    <row r="81" spans="1:8" ht="19.8" customHeight="1" x14ac:dyDescent="0.3">
      <c r="A81" s="128">
        <v>45990</v>
      </c>
      <c r="B81" s="112" t="s">
        <v>28</v>
      </c>
      <c r="C81" s="113" t="s">
        <v>421</v>
      </c>
      <c r="D81" s="112" t="s">
        <v>353</v>
      </c>
      <c r="E81" s="129">
        <v>1.961805555555556</v>
      </c>
      <c r="F81" s="112" t="s">
        <v>178</v>
      </c>
      <c r="G81" s="114">
        <v>9</v>
      </c>
      <c r="H81" s="121" t="s">
        <v>376</v>
      </c>
    </row>
    <row r="82" spans="1:8" ht="19.8" customHeight="1" x14ac:dyDescent="0.3">
      <c r="A82" s="128">
        <v>45990</v>
      </c>
      <c r="B82" s="112" t="s">
        <v>28</v>
      </c>
      <c r="C82" s="113" t="s">
        <v>386</v>
      </c>
      <c r="D82" s="112" t="s">
        <v>353</v>
      </c>
      <c r="E82" s="129">
        <v>1.694444444444444</v>
      </c>
      <c r="F82" s="112" t="s">
        <v>178</v>
      </c>
      <c r="G82" s="114">
        <v>2</v>
      </c>
      <c r="H82" s="121" t="s">
        <v>376</v>
      </c>
    </row>
    <row r="83" spans="1:8" ht="19.8" customHeight="1" x14ac:dyDescent="0.3">
      <c r="A83" s="128">
        <v>45990</v>
      </c>
      <c r="B83" s="112" t="s">
        <v>33</v>
      </c>
      <c r="C83" s="113" t="s">
        <v>364</v>
      </c>
      <c r="D83" s="112" t="s">
        <v>353</v>
      </c>
      <c r="E83" s="129">
        <v>1.336805555555556</v>
      </c>
      <c r="F83" s="112" t="s">
        <v>41</v>
      </c>
      <c r="G83" s="114">
        <v>6</v>
      </c>
      <c r="H83" s="121" t="s">
        <v>410</v>
      </c>
    </row>
    <row r="84" spans="1:8" ht="19.8" customHeight="1" x14ac:dyDescent="0.3">
      <c r="A84" s="128">
        <v>45990</v>
      </c>
      <c r="B84" s="112" t="s">
        <v>33</v>
      </c>
      <c r="C84" s="113" t="s">
        <v>356</v>
      </c>
      <c r="D84" s="112" t="s">
        <v>353</v>
      </c>
      <c r="E84" s="129">
        <v>1.9722222222222221</v>
      </c>
      <c r="F84" s="112" t="s">
        <v>35</v>
      </c>
      <c r="G84" s="114">
        <v>8</v>
      </c>
      <c r="H84" s="121" t="s">
        <v>418</v>
      </c>
    </row>
    <row r="85" spans="1:8" ht="19.8" customHeight="1" x14ac:dyDescent="0.3">
      <c r="A85" s="128">
        <v>45990</v>
      </c>
      <c r="B85" s="112" t="s">
        <v>59</v>
      </c>
      <c r="C85" s="113" t="s">
        <v>371</v>
      </c>
      <c r="D85" s="112" t="s">
        <v>353</v>
      </c>
      <c r="E85" s="129">
        <v>1.447916666666667</v>
      </c>
      <c r="F85" s="112" t="s">
        <v>61</v>
      </c>
      <c r="G85" s="114">
        <v>3</v>
      </c>
      <c r="H85" s="121" t="s">
        <v>413</v>
      </c>
    </row>
    <row r="86" spans="1:8" ht="19.8" customHeight="1" x14ac:dyDescent="0.3">
      <c r="A86" s="128">
        <v>45990</v>
      </c>
      <c r="B86" s="112" t="s">
        <v>33</v>
      </c>
      <c r="C86" s="113" t="s">
        <v>356</v>
      </c>
      <c r="D86" s="112" t="s">
        <v>353</v>
      </c>
      <c r="E86" s="129">
        <v>1.9722222222222221</v>
      </c>
      <c r="F86" s="112" t="s">
        <v>38</v>
      </c>
      <c r="G86" s="114">
        <v>8</v>
      </c>
      <c r="H86" s="121" t="s">
        <v>419</v>
      </c>
    </row>
    <row r="87" spans="1:8" ht="19.8" customHeight="1" x14ac:dyDescent="0.3">
      <c r="A87" s="132">
        <v>45990</v>
      </c>
      <c r="B87" s="124" t="s">
        <v>76</v>
      </c>
      <c r="C87" s="125" t="s">
        <v>389</v>
      </c>
      <c r="D87" s="124" t="s">
        <v>353</v>
      </c>
      <c r="E87" s="133">
        <v>1.7222222222222221</v>
      </c>
      <c r="F87" s="124" t="s">
        <v>178</v>
      </c>
      <c r="G87" s="126">
        <v>9</v>
      </c>
      <c r="H87" s="150" t="s">
        <v>422</v>
      </c>
    </row>
    <row r="88" spans="1:8" ht="19.8" customHeight="1" x14ac:dyDescent="0.3">
      <c r="A88" s="128">
        <v>45990</v>
      </c>
      <c r="B88" s="112" t="s">
        <v>120</v>
      </c>
      <c r="C88" s="113" t="s">
        <v>425</v>
      </c>
      <c r="D88" s="112" t="s">
        <v>353</v>
      </c>
      <c r="E88" s="129">
        <v>1.7465277777777779</v>
      </c>
      <c r="F88" s="112" t="s">
        <v>122</v>
      </c>
      <c r="G88" s="114">
        <v>9</v>
      </c>
      <c r="H88" s="121" t="s">
        <v>426</v>
      </c>
    </row>
    <row r="89" spans="1:8" ht="19.8" customHeight="1" x14ac:dyDescent="0.3">
      <c r="A89" s="128">
        <v>45990</v>
      </c>
      <c r="B89" s="112" t="s">
        <v>59</v>
      </c>
      <c r="C89" s="113" t="s">
        <v>371</v>
      </c>
      <c r="D89" s="112" t="s">
        <v>353</v>
      </c>
      <c r="E89" s="129">
        <v>1.447916666666667</v>
      </c>
      <c r="F89" s="112" t="s">
        <v>64</v>
      </c>
      <c r="G89" s="114">
        <v>3</v>
      </c>
      <c r="H89" s="121" t="s">
        <v>414</v>
      </c>
    </row>
    <row r="90" spans="1:8" ht="19.8" customHeight="1" x14ac:dyDescent="0.3">
      <c r="A90" s="128">
        <v>45990</v>
      </c>
      <c r="B90" s="112" t="s">
        <v>33</v>
      </c>
      <c r="C90" s="113" t="s">
        <v>356</v>
      </c>
      <c r="D90" s="112" t="s">
        <v>353</v>
      </c>
      <c r="E90" s="129">
        <v>1.9722222222222221</v>
      </c>
      <c r="F90" s="112" t="s">
        <v>41</v>
      </c>
      <c r="G90" s="114">
        <v>8</v>
      </c>
      <c r="H90" s="121" t="s">
        <v>420</v>
      </c>
    </row>
    <row r="91" spans="1:8" ht="19.8" customHeight="1" x14ac:dyDescent="0.3">
      <c r="A91" s="128">
        <v>45990</v>
      </c>
      <c r="B91" s="112" t="s">
        <v>120</v>
      </c>
      <c r="C91" s="113" t="s">
        <v>425</v>
      </c>
      <c r="D91" s="112" t="s">
        <v>353</v>
      </c>
      <c r="E91" s="129">
        <v>1.7465277777777779</v>
      </c>
      <c r="F91" s="112" t="s">
        <v>67</v>
      </c>
      <c r="G91" s="114">
        <v>9</v>
      </c>
      <c r="H91" s="121" t="s">
        <v>427</v>
      </c>
    </row>
    <row r="92" spans="1:8" ht="19.8" customHeight="1" x14ac:dyDescent="0.3">
      <c r="A92" s="128">
        <v>45990</v>
      </c>
      <c r="B92" s="112" t="s">
        <v>59</v>
      </c>
      <c r="C92" s="113" t="s">
        <v>371</v>
      </c>
      <c r="D92" s="112" t="s">
        <v>353</v>
      </c>
      <c r="E92" s="129">
        <v>1.447916666666667</v>
      </c>
      <c r="F92" s="112" t="s">
        <v>67</v>
      </c>
      <c r="G92" s="114">
        <v>3</v>
      </c>
      <c r="H92" s="121" t="s">
        <v>398</v>
      </c>
    </row>
    <row r="93" spans="1:8" ht="19.8" customHeight="1" x14ac:dyDescent="0.3">
      <c r="A93" s="130">
        <v>45990</v>
      </c>
      <c r="B93" s="117" t="s">
        <v>54</v>
      </c>
      <c r="C93" s="118" t="s">
        <v>382</v>
      </c>
      <c r="D93" s="117" t="s">
        <v>353</v>
      </c>
      <c r="E93" s="131">
        <v>1.447916666666667</v>
      </c>
      <c r="F93" s="117" t="s">
        <v>56</v>
      </c>
      <c r="G93" s="119">
        <v>4</v>
      </c>
      <c r="H93" s="122" t="s">
        <v>428</v>
      </c>
    </row>
    <row r="94" spans="1:8" ht="19.8" customHeight="1" x14ac:dyDescent="0.3">
      <c r="A94" s="128">
        <v>45991</v>
      </c>
      <c r="B94" s="112" t="s">
        <v>102</v>
      </c>
      <c r="C94" s="113" t="s">
        <v>402</v>
      </c>
      <c r="D94" s="112" t="s">
        <v>353</v>
      </c>
      <c r="E94" s="129">
        <v>1.9201388888888891</v>
      </c>
      <c r="F94" s="112" t="s">
        <v>178</v>
      </c>
      <c r="G94" s="114">
        <v>1</v>
      </c>
      <c r="H94" s="121" t="s">
        <v>403</v>
      </c>
    </row>
    <row r="95" spans="1:8" ht="19.8" customHeight="1" x14ac:dyDescent="0.3">
      <c r="A95" s="128">
        <v>45991</v>
      </c>
      <c r="B95" s="112" t="s">
        <v>28</v>
      </c>
      <c r="C95" s="113" t="s">
        <v>354</v>
      </c>
      <c r="D95" s="112" t="s">
        <v>353</v>
      </c>
      <c r="E95" s="129">
        <v>1.756944444444444</v>
      </c>
      <c r="F95" s="112" t="s">
        <v>178</v>
      </c>
      <c r="G95" s="114">
        <v>6</v>
      </c>
      <c r="H95" s="121" t="s">
        <v>355</v>
      </c>
    </row>
    <row r="96" spans="1:8" ht="19.8" customHeight="1" x14ac:dyDescent="0.3">
      <c r="A96" s="128">
        <v>45991</v>
      </c>
      <c r="B96" s="112" t="s">
        <v>28</v>
      </c>
      <c r="C96" s="113" t="s">
        <v>430</v>
      </c>
      <c r="D96" s="112" t="s">
        <v>353</v>
      </c>
      <c r="E96" s="129">
        <v>1.4826388888888891</v>
      </c>
      <c r="F96" s="112" t="s">
        <v>178</v>
      </c>
      <c r="G96" s="114">
        <v>9</v>
      </c>
      <c r="H96" s="121" t="s">
        <v>355</v>
      </c>
    </row>
    <row r="97" spans="1:8" ht="19.8" customHeight="1" x14ac:dyDescent="0.3">
      <c r="A97" s="128">
        <v>45991</v>
      </c>
      <c r="B97" s="112" t="s">
        <v>33</v>
      </c>
      <c r="C97" s="113" t="s">
        <v>356</v>
      </c>
      <c r="D97" s="112" t="s">
        <v>353</v>
      </c>
      <c r="E97" s="129">
        <v>1.9722222222222221</v>
      </c>
      <c r="F97" s="112" t="s">
        <v>35</v>
      </c>
      <c r="G97" s="114">
        <v>9</v>
      </c>
      <c r="H97" s="121" t="s">
        <v>388</v>
      </c>
    </row>
    <row r="98" spans="1:8" ht="19.8" customHeight="1" x14ac:dyDescent="0.3">
      <c r="A98" s="128">
        <v>45991</v>
      </c>
      <c r="B98" s="112" t="s">
        <v>33</v>
      </c>
      <c r="C98" s="113" t="s">
        <v>356</v>
      </c>
      <c r="D98" s="112" t="s">
        <v>353</v>
      </c>
      <c r="E98" s="129">
        <v>1.9722222222222221</v>
      </c>
      <c r="F98" s="112" t="s">
        <v>38</v>
      </c>
      <c r="G98" s="114">
        <v>9</v>
      </c>
      <c r="H98" s="121" t="s">
        <v>409</v>
      </c>
    </row>
    <row r="99" spans="1:8" ht="19.8" customHeight="1" x14ac:dyDescent="0.3">
      <c r="A99" s="128">
        <v>45991</v>
      </c>
      <c r="B99" s="112" t="s">
        <v>102</v>
      </c>
      <c r="C99" s="113" t="s">
        <v>404</v>
      </c>
      <c r="D99" s="112" t="s">
        <v>353</v>
      </c>
      <c r="E99" s="129">
        <v>1.006944444444444</v>
      </c>
      <c r="F99" s="112" t="s">
        <v>178</v>
      </c>
      <c r="G99" s="114">
        <v>5</v>
      </c>
      <c r="H99" s="121" t="s">
        <v>429</v>
      </c>
    </row>
    <row r="100" spans="1:8" ht="19.8" customHeight="1" x14ac:dyDescent="0.3">
      <c r="A100" s="128">
        <v>45991</v>
      </c>
      <c r="B100" s="112" t="s">
        <v>33</v>
      </c>
      <c r="C100" s="113" t="s">
        <v>356</v>
      </c>
      <c r="D100" s="112" t="s">
        <v>353</v>
      </c>
      <c r="E100" s="129">
        <v>1.9722222222222221</v>
      </c>
      <c r="F100" s="112" t="s">
        <v>41</v>
      </c>
      <c r="G100" s="114">
        <v>9</v>
      </c>
      <c r="H100" s="121" t="s">
        <v>410</v>
      </c>
    </row>
    <row r="101" spans="1:8" ht="19.8" customHeight="1" x14ac:dyDescent="0.3">
      <c r="A101" s="128">
        <v>45991</v>
      </c>
      <c r="B101" s="112" t="s">
        <v>59</v>
      </c>
      <c r="C101" s="113" t="s">
        <v>371</v>
      </c>
      <c r="D101" s="112" t="s">
        <v>353</v>
      </c>
      <c r="E101" s="129">
        <v>1.447916666666667</v>
      </c>
      <c r="F101" s="112" t="s">
        <v>61</v>
      </c>
      <c r="G101" s="114">
        <v>7</v>
      </c>
      <c r="H101" s="121" t="s">
        <v>413</v>
      </c>
    </row>
    <row r="102" spans="1:8" ht="19.8" customHeight="1" x14ac:dyDescent="0.3">
      <c r="A102" s="128">
        <v>45991</v>
      </c>
      <c r="B102" s="112" t="s">
        <v>59</v>
      </c>
      <c r="C102" s="113" t="s">
        <v>371</v>
      </c>
      <c r="D102" s="112" t="s">
        <v>353</v>
      </c>
      <c r="E102" s="129">
        <v>1.447916666666667</v>
      </c>
      <c r="F102" s="112" t="s">
        <v>64</v>
      </c>
      <c r="G102" s="114">
        <v>7</v>
      </c>
      <c r="H102" s="121" t="s">
        <v>414</v>
      </c>
    </row>
    <row r="103" spans="1:8" ht="19.8" customHeight="1" x14ac:dyDescent="0.3">
      <c r="A103" s="128">
        <v>45991</v>
      </c>
      <c r="B103" s="112" t="s">
        <v>59</v>
      </c>
      <c r="C103" s="113" t="s">
        <v>371</v>
      </c>
      <c r="D103" s="112" t="s">
        <v>353</v>
      </c>
      <c r="E103" s="129">
        <v>1.447916666666667</v>
      </c>
      <c r="F103" s="112" t="s">
        <v>67</v>
      </c>
      <c r="G103" s="114">
        <v>7</v>
      </c>
      <c r="H103" s="121" t="s">
        <v>398</v>
      </c>
    </row>
    <row r="104" spans="1:8" ht="19.8" customHeight="1" x14ac:dyDescent="0.3">
      <c r="A104" s="128">
        <v>45991</v>
      </c>
      <c r="B104" s="112" t="s">
        <v>54</v>
      </c>
      <c r="C104" s="113" t="s">
        <v>382</v>
      </c>
      <c r="D104" s="112" t="s">
        <v>353</v>
      </c>
      <c r="E104" s="129">
        <v>1.447916666666667</v>
      </c>
      <c r="F104" s="112" t="s">
        <v>56</v>
      </c>
      <c r="G104" s="114">
        <v>4</v>
      </c>
      <c r="H104" s="121" t="s">
        <v>408</v>
      </c>
    </row>
    <row r="105" spans="1:8" ht="19.8" customHeight="1" x14ac:dyDescent="0.3">
      <c r="A105" s="128">
        <v>45991</v>
      </c>
      <c r="B105" s="112" t="s">
        <v>43</v>
      </c>
      <c r="C105" s="113" t="s">
        <v>362</v>
      </c>
      <c r="D105" s="112" t="s">
        <v>353</v>
      </c>
      <c r="E105" s="129">
        <v>1.6736111111111109</v>
      </c>
      <c r="F105" s="112" t="s">
        <v>45</v>
      </c>
      <c r="G105" s="114">
        <v>8</v>
      </c>
      <c r="H105" s="121" t="s">
        <v>432</v>
      </c>
    </row>
    <row r="106" spans="1:8" ht="19.8" customHeight="1" x14ac:dyDescent="0.3">
      <c r="A106" s="130">
        <v>45991</v>
      </c>
      <c r="B106" s="117" t="s">
        <v>43</v>
      </c>
      <c r="C106" s="118" t="s">
        <v>360</v>
      </c>
      <c r="D106" s="117" t="s">
        <v>353</v>
      </c>
      <c r="E106" s="131">
        <v>1.979166666666667</v>
      </c>
      <c r="F106" s="117" t="s">
        <v>45</v>
      </c>
      <c r="G106" s="119">
        <v>8</v>
      </c>
      <c r="H106" s="122" t="s">
        <v>432</v>
      </c>
    </row>
    <row r="107" spans="1:8" ht="19.8" customHeight="1" x14ac:dyDescent="0.3">
      <c r="A107" s="128">
        <v>45992</v>
      </c>
      <c r="B107" s="112" t="s">
        <v>59</v>
      </c>
      <c r="C107" s="113" t="s">
        <v>371</v>
      </c>
      <c r="D107" s="112" t="s">
        <v>353</v>
      </c>
      <c r="E107" s="129">
        <v>1.447916666666667</v>
      </c>
      <c r="F107" s="112" t="s">
        <v>61</v>
      </c>
      <c r="G107" s="114">
        <v>11</v>
      </c>
      <c r="H107" s="121" t="s">
        <v>384</v>
      </c>
    </row>
    <row r="108" spans="1:8" ht="19.8" customHeight="1" x14ac:dyDescent="0.3">
      <c r="A108" s="128">
        <v>45992</v>
      </c>
      <c r="B108" s="112" t="s">
        <v>28</v>
      </c>
      <c r="C108" s="113" t="s">
        <v>375</v>
      </c>
      <c r="D108" s="112" t="s">
        <v>353</v>
      </c>
      <c r="E108" s="129">
        <v>1.756944444444444</v>
      </c>
      <c r="F108" s="112" t="s">
        <v>178</v>
      </c>
      <c r="G108" s="114">
        <v>9</v>
      </c>
      <c r="H108" s="121" t="s">
        <v>355</v>
      </c>
    </row>
    <row r="109" spans="1:8" ht="19.8" customHeight="1" x14ac:dyDescent="0.3">
      <c r="A109" s="128">
        <v>45992</v>
      </c>
      <c r="B109" s="112" t="s">
        <v>33</v>
      </c>
      <c r="C109" s="113" t="s">
        <v>356</v>
      </c>
      <c r="D109" s="112" t="s">
        <v>353</v>
      </c>
      <c r="E109" s="129">
        <v>1.9722222222222221</v>
      </c>
      <c r="F109" s="112" t="s">
        <v>35</v>
      </c>
      <c r="G109" s="114">
        <v>5</v>
      </c>
      <c r="H109" s="121" t="s">
        <v>388</v>
      </c>
    </row>
    <row r="110" spans="1:8" ht="19.8" customHeight="1" x14ac:dyDescent="0.3">
      <c r="A110" s="128">
        <v>45992</v>
      </c>
      <c r="B110" s="112" t="s">
        <v>33</v>
      </c>
      <c r="C110" s="113" t="s">
        <v>364</v>
      </c>
      <c r="D110" s="112" t="s">
        <v>353</v>
      </c>
      <c r="E110" s="129">
        <v>1.336805555555556</v>
      </c>
      <c r="F110" s="112" t="s">
        <v>35</v>
      </c>
      <c r="G110" s="114">
        <v>7</v>
      </c>
      <c r="H110" s="121" t="s">
        <v>388</v>
      </c>
    </row>
    <row r="111" spans="1:8" ht="19.8" customHeight="1" x14ac:dyDescent="0.3">
      <c r="A111" s="128">
        <v>45992</v>
      </c>
      <c r="B111" s="112" t="s">
        <v>59</v>
      </c>
      <c r="C111" s="113" t="s">
        <v>371</v>
      </c>
      <c r="D111" s="112" t="s">
        <v>353</v>
      </c>
      <c r="E111" s="129">
        <v>1.447916666666667</v>
      </c>
      <c r="F111" s="112" t="s">
        <v>64</v>
      </c>
      <c r="G111" s="114">
        <v>11</v>
      </c>
      <c r="H111" s="121" t="s">
        <v>369</v>
      </c>
    </row>
    <row r="112" spans="1:8" ht="19.8" customHeight="1" x14ac:dyDescent="0.3">
      <c r="A112" s="128">
        <v>45992</v>
      </c>
      <c r="B112" s="112" t="s">
        <v>33</v>
      </c>
      <c r="C112" s="113" t="s">
        <v>356</v>
      </c>
      <c r="D112" s="112" t="s">
        <v>353</v>
      </c>
      <c r="E112" s="129">
        <v>1.9722222222222221</v>
      </c>
      <c r="F112" s="112" t="s">
        <v>38</v>
      </c>
      <c r="G112" s="114">
        <v>5</v>
      </c>
      <c r="H112" s="121" t="s">
        <v>409</v>
      </c>
    </row>
    <row r="113" spans="1:8" ht="19.8" customHeight="1" x14ac:dyDescent="0.3">
      <c r="A113" s="128">
        <v>45992</v>
      </c>
      <c r="B113" s="112" t="s">
        <v>33</v>
      </c>
      <c r="C113" s="113" t="s">
        <v>364</v>
      </c>
      <c r="D113" s="112" t="s">
        <v>353</v>
      </c>
      <c r="E113" s="129">
        <v>1.336805555555556</v>
      </c>
      <c r="F113" s="112" t="s">
        <v>38</v>
      </c>
      <c r="G113" s="114">
        <v>7</v>
      </c>
      <c r="H113" s="121" t="s">
        <v>409</v>
      </c>
    </row>
    <row r="114" spans="1:8" ht="19.8" customHeight="1" x14ac:dyDescent="0.3">
      <c r="A114" s="128">
        <v>45992</v>
      </c>
      <c r="B114" s="112" t="s">
        <v>33</v>
      </c>
      <c r="C114" s="113" t="s">
        <v>356</v>
      </c>
      <c r="D114" s="112" t="s">
        <v>353</v>
      </c>
      <c r="E114" s="129">
        <v>1.9722222222222221</v>
      </c>
      <c r="F114" s="112" t="s">
        <v>41</v>
      </c>
      <c r="G114" s="114">
        <v>5</v>
      </c>
      <c r="H114" s="121" t="s">
        <v>410</v>
      </c>
    </row>
    <row r="115" spans="1:8" ht="19.8" customHeight="1" x14ac:dyDescent="0.3">
      <c r="A115" s="128">
        <v>45992</v>
      </c>
      <c r="B115" s="112" t="s">
        <v>33</v>
      </c>
      <c r="C115" s="113" t="s">
        <v>364</v>
      </c>
      <c r="D115" s="112" t="s">
        <v>353</v>
      </c>
      <c r="E115" s="129">
        <v>1.336805555555556</v>
      </c>
      <c r="F115" s="112" t="s">
        <v>41</v>
      </c>
      <c r="G115" s="114">
        <v>7</v>
      </c>
      <c r="H115" s="121" t="s">
        <v>410</v>
      </c>
    </row>
    <row r="116" spans="1:8" ht="19.8" customHeight="1" x14ac:dyDescent="0.3">
      <c r="A116" s="128">
        <v>45992</v>
      </c>
      <c r="B116" s="112" t="s">
        <v>59</v>
      </c>
      <c r="C116" s="113" t="s">
        <v>371</v>
      </c>
      <c r="D116" s="112" t="s">
        <v>353</v>
      </c>
      <c r="E116" s="129">
        <v>1.447916666666667</v>
      </c>
      <c r="F116" s="112" t="s">
        <v>67</v>
      </c>
      <c r="G116" s="114">
        <v>11</v>
      </c>
      <c r="H116" s="121" t="s">
        <v>385</v>
      </c>
    </row>
    <row r="117" spans="1:8" ht="19.8" customHeight="1" x14ac:dyDescent="0.3">
      <c r="A117" s="128">
        <v>45992</v>
      </c>
      <c r="B117" s="112" t="s">
        <v>54</v>
      </c>
      <c r="C117" s="113" t="s">
        <v>382</v>
      </c>
      <c r="D117" s="112" t="s">
        <v>353</v>
      </c>
      <c r="E117" s="129">
        <v>1.447916666666667</v>
      </c>
      <c r="F117" s="112" t="s">
        <v>56</v>
      </c>
      <c r="G117" s="114">
        <v>4</v>
      </c>
      <c r="H117" s="121" t="s">
        <v>383</v>
      </c>
    </row>
    <row r="118" spans="1:8" ht="19.8" customHeight="1" x14ac:dyDescent="0.3">
      <c r="A118" s="128">
        <v>45992</v>
      </c>
      <c r="B118" s="112" t="s">
        <v>43</v>
      </c>
      <c r="C118" s="113" t="s">
        <v>362</v>
      </c>
      <c r="D118" s="112" t="s">
        <v>353</v>
      </c>
      <c r="E118" s="129">
        <v>1.6736111111111109</v>
      </c>
      <c r="F118" s="112" t="s">
        <v>45</v>
      </c>
      <c r="G118" s="114">
        <v>9</v>
      </c>
      <c r="H118" s="121" t="s">
        <v>379</v>
      </c>
    </row>
    <row r="119" spans="1:8" ht="19.8" customHeight="1" x14ac:dyDescent="0.3">
      <c r="A119" s="128">
        <v>45992</v>
      </c>
      <c r="B119" s="112" t="s">
        <v>43</v>
      </c>
      <c r="C119" s="113" t="s">
        <v>360</v>
      </c>
      <c r="D119" s="112" t="s">
        <v>353</v>
      </c>
      <c r="E119" s="129">
        <v>1.979166666666667</v>
      </c>
      <c r="F119" s="112" t="s">
        <v>45</v>
      </c>
      <c r="G119" s="114">
        <v>9</v>
      </c>
      <c r="H119" s="121" t="s">
        <v>379</v>
      </c>
    </row>
    <row r="120" spans="1:8" ht="19.8" customHeight="1" x14ac:dyDescent="0.3">
      <c r="A120" s="130">
        <v>45992</v>
      </c>
      <c r="B120" s="117" t="s">
        <v>43</v>
      </c>
      <c r="C120" s="118" t="s">
        <v>380</v>
      </c>
      <c r="D120" s="117" t="s">
        <v>353</v>
      </c>
      <c r="E120" s="131">
        <v>1.336805555555556</v>
      </c>
      <c r="F120" s="117" t="s">
        <v>45</v>
      </c>
      <c r="G120" s="119">
        <v>9</v>
      </c>
      <c r="H120" s="122" t="s">
        <v>379</v>
      </c>
    </row>
    <row r="121" spans="1:8" ht="19.8" customHeight="1" x14ac:dyDescent="0.3">
      <c r="A121" s="128">
        <v>45993</v>
      </c>
      <c r="B121" s="112" t="s">
        <v>33</v>
      </c>
      <c r="C121" s="113" t="s">
        <v>356</v>
      </c>
      <c r="D121" s="112" t="s">
        <v>353</v>
      </c>
      <c r="E121" s="129">
        <v>1.9722222222222221</v>
      </c>
      <c r="F121" s="112" t="s">
        <v>35</v>
      </c>
      <c r="G121" s="114">
        <v>5</v>
      </c>
      <c r="H121" s="121" t="s">
        <v>435</v>
      </c>
    </row>
    <row r="122" spans="1:8" ht="19.8" customHeight="1" x14ac:dyDescent="0.3">
      <c r="A122" s="128">
        <v>45993</v>
      </c>
      <c r="B122" s="112" t="s">
        <v>59</v>
      </c>
      <c r="C122" s="113" t="s">
        <v>371</v>
      </c>
      <c r="D122" s="112" t="s">
        <v>353</v>
      </c>
      <c r="E122" s="129">
        <v>1.447916666666667</v>
      </c>
      <c r="F122" s="112" t="s">
        <v>61</v>
      </c>
      <c r="G122" s="114">
        <v>6</v>
      </c>
      <c r="H122" s="121" t="s">
        <v>440</v>
      </c>
    </row>
    <row r="123" spans="1:8" ht="19.8" customHeight="1" x14ac:dyDescent="0.3">
      <c r="A123" s="128">
        <v>45993</v>
      </c>
      <c r="B123" s="112" t="s">
        <v>33</v>
      </c>
      <c r="C123" s="113" t="s">
        <v>364</v>
      </c>
      <c r="D123" s="112" t="s">
        <v>353</v>
      </c>
      <c r="E123" s="129">
        <v>1.336805555555556</v>
      </c>
      <c r="F123" s="112" t="s">
        <v>35</v>
      </c>
      <c r="G123" s="114">
        <v>4</v>
      </c>
      <c r="H123" s="121" t="s">
        <v>438</v>
      </c>
    </row>
    <row r="124" spans="1:8" ht="19.8" customHeight="1" x14ac:dyDescent="0.3">
      <c r="A124" s="128">
        <v>45993</v>
      </c>
      <c r="B124" s="112" t="s">
        <v>33</v>
      </c>
      <c r="C124" s="113" t="s">
        <v>356</v>
      </c>
      <c r="D124" s="112" t="s">
        <v>353</v>
      </c>
      <c r="E124" s="129">
        <v>1.9722222222222221</v>
      </c>
      <c r="F124" s="112" t="s">
        <v>38</v>
      </c>
      <c r="G124" s="114">
        <v>5</v>
      </c>
      <c r="H124" s="121" t="s">
        <v>436</v>
      </c>
    </row>
    <row r="125" spans="1:8" ht="19.8" customHeight="1" x14ac:dyDescent="0.3">
      <c r="A125" s="132">
        <v>45993</v>
      </c>
      <c r="B125" s="124" t="s">
        <v>76</v>
      </c>
      <c r="C125" s="125" t="s">
        <v>389</v>
      </c>
      <c r="D125" s="124" t="s">
        <v>353</v>
      </c>
      <c r="E125" s="133">
        <v>1.069444444444444</v>
      </c>
      <c r="F125" s="124" t="s">
        <v>178</v>
      </c>
      <c r="G125" s="126">
        <v>4</v>
      </c>
      <c r="H125" s="150" t="s">
        <v>441</v>
      </c>
    </row>
    <row r="126" spans="1:8" ht="19.8" customHeight="1" x14ac:dyDescent="0.3">
      <c r="A126" s="128">
        <v>45993</v>
      </c>
      <c r="B126" s="112" t="s">
        <v>33</v>
      </c>
      <c r="C126" s="113" t="s">
        <v>364</v>
      </c>
      <c r="D126" s="112" t="s">
        <v>353</v>
      </c>
      <c r="E126" s="129">
        <v>1.336805555555556</v>
      </c>
      <c r="F126" s="112" t="s">
        <v>38</v>
      </c>
      <c r="G126" s="114">
        <v>4</v>
      </c>
      <c r="H126" s="121" t="s">
        <v>365</v>
      </c>
    </row>
    <row r="127" spans="1:8" ht="19.8" customHeight="1" x14ac:dyDescent="0.3">
      <c r="A127" s="128">
        <v>45993</v>
      </c>
      <c r="B127" s="112" t="s">
        <v>59</v>
      </c>
      <c r="C127" s="113" t="s">
        <v>371</v>
      </c>
      <c r="D127" s="112" t="s">
        <v>353</v>
      </c>
      <c r="E127" s="129">
        <v>1.447916666666667</v>
      </c>
      <c r="F127" s="112" t="s">
        <v>64</v>
      </c>
      <c r="G127" s="114">
        <v>6</v>
      </c>
      <c r="H127" s="121" t="s">
        <v>437</v>
      </c>
    </row>
    <row r="128" spans="1:8" ht="19.8" customHeight="1" x14ac:dyDescent="0.3">
      <c r="A128" s="128">
        <v>45993</v>
      </c>
      <c r="B128" s="112" t="s">
        <v>33</v>
      </c>
      <c r="C128" s="113" t="s">
        <v>356</v>
      </c>
      <c r="D128" s="112" t="s">
        <v>353</v>
      </c>
      <c r="E128" s="129">
        <v>1.9722222222222221</v>
      </c>
      <c r="F128" s="112" t="s">
        <v>41</v>
      </c>
      <c r="G128" s="114">
        <v>5</v>
      </c>
      <c r="H128" s="121" t="s">
        <v>437</v>
      </c>
    </row>
    <row r="129" spans="1:8" ht="19.8" customHeight="1" x14ac:dyDescent="0.3">
      <c r="A129" s="128">
        <v>45993</v>
      </c>
      <c r="B129" s="112" t="s">
        <v>33</v>
      </c>
      <c r="C129" s="113" t="s">
        <v>364</v>
      </c>
      <c r="D129" s="112" t="s">
        <v>353</v>
      </c>
      <c r="E129" s="129">
        <v>1.336805555555556</v>
      </c>
      <c r="F129" s="112" t="s">
        <v>41</v>
      </c>
      <c r="G129" s="114">
        <v>4</v>
      </c>
      <c r="H129" s="121" t="s">
        <v>439</v>
      </c>
    </row>
    <row r="130" spans="1:8" ht="19.8" customHeight="1" x14ac:dyDescent="0.3">
      <c r="A130" s="128">
        <v>45993</v>
      </c>
      <c r="B130" s="112" t="s">
        <v>28</v>
      </c>
      <c r="C130" s="113" t="s">
        <v>386</v>
      </c>
      <c r="D130" s="112" t="s">
        <v>353</v>
      </c>
      <c r="E130" s="129">
        <v>1.756944444444444</v>
      </c>
      <c r="F130" s="112" t="s">
        <v>178</v>
      </c>
      <c r="G130" s="114">
        <v>9</v>
      </c>
      <c r="H130" s="121" t="s">
        <v>355</v>
      </c>
    </row>
    <row r="131" spans="1:8" ht="19.8" customHeight="1" x14ac:dyDescent="0.3">
      <c r="A131" s="128">
        <v>45993</v>
      </c>
      <c r="B131" s="112" t="s">
        <v>59</v>
      </c>
      <c r="C131" s="113" t="s">
        <v>371</v>
      </c>
      <c r="D131" s="112" t="s">
        <v>353</v>
      </c>
      <c r="E131" s="129">
        <v>1.447916666666667</v>
      </c>
      <c r="F131" s="112" t="s">
        <v>67</v>
      </c>
      <c r="G131" s="114">
        <v>6</v>
      </c>
      <c r="H131" s="121" t="s">
        <v>374</v>
      </c>
    </row>
    <row r="132" spans="1:8" ht="19.8" customHeight="1" x14ac:dyDescent="0.3">
      <c r="A132" s="128">
        <v>45993</v>
      </c>
      <c r="B132" s="112" t="s">
        <v>102</v>
      </c>
      <c r="C132" s="113" t="s">
        <v>387</v>
      </c>
      <c r="D132" s="112" t="s">
        <v>353</v>
      </c>
      <c r="E132" s="129">
        <v>1.881944444444444</v>
      </c>
      <c r="F132" s="112" t="s">
        <v>178</v>
      </c>
      <c r="G132" s="114">
        <v>5</v>
      </c>
      <c r="H132" s="121" t="s">
        <v>429</v>
      </c>
    </row>
    <row r="133" spans="1:8" ht="19.8" customHeight="1" x14ac:dyDescent="0.3">
      <c r="A133" s="128">
        <v>45993</v>
      </c>
      <c r="B133" s="112" t="s">
        <v>43</v>
      </c>
      <c r="C133" s="113" t="s">
        <v>360</v>
      </c>
      <c r="D133" s="112" t="s">
        <v>353</v>
      </c>
      <c r="E133" s="129">
        <v>1.979166666666667</v>
      </c>
      <c r="F133" s="112" t="s">
        <v>45</v>
      </c>
      <c r="G133" s="114">
        <v>9</v>
      </c>
      <c r="H133" s="121" t="s">
        <v>377</v>
      </c>
    </row>
    <row r="134" spans="1:8" ht="19.8" customHeight="1" x14ac:dyDescent="0.3">
      <c r="A134" s="128">
        <v>45993</v>
      </c>
      <c r="B134" s="112" t="s">
        <v>43</v>
      </c>
      <c r="C134" s="113" t="s">
        <v>380</v>
      </c>
      <c r="D134" s="112" t="s">
        <v>353</v>
      </c>
      <c r="E134" s="129">
        <v>1.336805555555556</v>
      </c>
      <c r="F134" s="112" t="s">
        <v>45</v>
      </c>
      <c r="G134" s="114">
        <v>9</v>
      </c>
      <c r="H134" s="121" t="s">
        <v>377</v>
      </c>
    </row>
    <row r="135" spans="1:8" ht="19.8" customHeight="1" x14ac:dyDescent="0.3">
      <c r="A135" s="128">
        <v>45993</v>
      </c>
      <c r="B135" s="112" t="s">
        <v>43</v>
      </c>
      <c r="C135" s="113" t="s">
        <v>362</v>
      </c>
      <c r="D135" s="112" t="s">
        <v>353</v>
      </c>
      <c r="E135" s="129">
        <v>1.6736111111111109</v>
      </c>
      <c r="F135" s="112" t="s">
        <v>45</v>
      </c>
      <c r="G135" s="114">
        <v>9</v>
      </c>
      <c r="H135" s="121" t="s">
        <v>361</v>
      </c>
    </row>
    <row r="136" spans="1:8" ht="19.8" customHeight="1" x14ac:dyDescent="0.3">
      <c r="A136" s="130">
        <v>45993</v>
      </c>
      <c r="B136" s="117" t="s">
        <v>54</v>
      </c>
      <c r="C136" s="118" t="s">
        <v>382</v>
      </c>
      <c r="D136" s="117" t="s">
        <v>353</v>
      </c>
      <c r="E136" s="131">
        <v>1.447916666666667</v>
      </c>
      <c r="F136" s="117" t="s">
        <v>56</v>
      </c>
      <c r="G136" s="119">
        <v>4</v>
      </c>
      <c r="H136" s="122" t="s">
        <v>444</v>
      </c>
    </row>
    <row r="137" spans="1:8" ht="19.8" customHeight="1" x14ac:dyDescent="0.3">
      <c r="A137" s="128">
        <v>45994</v>
      </c>
      <c r="B137" s="112" t="s">
        <v>33</v>
      </c>
      <c r="C137" s="113" t="s">
        <v>356</v>
      </c>
      <c r="D137" s="112" t="s">
        <v>353</v>
      </c>
      <c r="E137" s="129">
        <v>1.9722222222222221</v>
      </c>
      <c r="F137" s="112" t="s">
        <v>35</v>
      </c>
      <c r="G137" s="114">
        <v>9</v>
      </c>
      <c r="H137" s="121" t="s">
        <v>438</v>
      </c>
    </row>
    <row r="138" spans="1:8" ht="19.8" customHeight="1" x14ac:dyDescent="0.3">
      <c r="A138" s="128">
        <v>45994</v>
      </c>
      <c r="B138" s="112" t="s">
        <v>33</v>
      </c>
      <c r="C138" s="113" t="s">
        <v>356</v>
      </c>
      <c r="D138" s="112" t="s">
        <v>353</v>
      </c>
      <c r="E138" s="129">
        <v>1.9722222222222221</v>
      </c>
      <c r="F138" s="112" t="s">
        <v>38</v>
      </c>
      <c r="G138" s="114">
        <v>9</v>
      </c>
      <c r="H138" s="121" t="s">
        <v>365</v>
      </c>
    </row>
    <row r="139" spans="1:8" ht="19.8" customHeight="1" x14ac:dyDescent="0.3">
      <c r="A139" s="128">
        <v>45994</v>
      </c>
      <c r="B139" s="112" t="s">
        <v>28</v>
      </c>
      <c r="C139" s="113" t="s">
        <v>375</v>
      </c>
      <c r="D139" s="112" t="s">
        <v>353</v>
      </c>
      <c r="E139" s="129">
        <v>1.694444444444444</v>
      </c>
      <c r="F139" s="112" t="s">
        <v>178</v>
      </c>
      <c r="G139" s="114">
        <v>5</v>
      </c>
      <c r="H139" s="121" t="s">
        <v>445</v>
      </c>
    </row>
    <row r="140" spans="1:8" ht="19.8" customHeight="1" x14ac:dyDescent="0.3">
      <c r="A140" s="128">
        <v>45994</v>
      </c>
      <c r="B140" s="112" t="s">
        <v>33</v>
      </c>
      <c r="C140" s="113" t="s">
        <v>356</v>
      </c>
      <c r="D140" s="112" t="s">
        <v>353</v>
      </c>
      <c r="E140" s="129">
        <v>1.9722222222222221</v>
      </c>
      <c r="F140" s="112" t="s">
        <v>41</v>
      </c>
      <c r="G140" s="114">
        <v>9</v>
      </c>
      <c r="H140" s="121" t="s">
        <v>439</v>
      </c>
    </row>
    <row r="141" spans="1:8" ht="19.8" customHeight="1" x14ac:dyDescent="0.3">
      <c r="A141" s="128">
        <v>45994</v>
      </c>
      <c r="B141" s="112" t="s">
        <v>43</v>
      </c>
      <c r="C141" s="113" t="s">
        <v>362</v>
      </c>
      <c r="D141" s="112" t="s">
        <v>353</v>
      </c>
      <c r="E141" s="129">
        <v>1.6736111111111109</v>
      </c>
      <c r="F141" s="112" t="s">
        <v>45</v>
      </c>
      <c r="G141" s="114">
        <v>9</v>
      </c>
      <c r="H141" s="121" t="s">
        <v>377</v>
      </c>
    </row>
    <row r="142" spans="1:8" ht="19.8" customHeight="1" x14ac:dyDescent="0.3">
      <c r="A142" s="128">
        <v>45994</v>
      </c>
      <c r="B142" s="112" t="s">
        <v>43</v>
      </c>
      <c r="C142" s="113" t="s">
        <v>360</v>
      </c>
      <c r="D142" s="112" t="s">
        <v>353</v>
      </c>
      <c r="E142" s="129">
        <v>1.979166666666667</v>
      </c>
      <c r="F142" s="112" t="s">
        <v>45</v>
      </c>
      <c r="G142" s="114">
        <v>9</v>
      </c>
      <c r="H142" s="121" t="s">
        <v>377</v>
      </c>
    </row>
    <row r="143" spans="1:8" ht="19.8" customHeight="1" x14ac:dyDescent="0.3">
      <c r="A143" s="128">
        <v>45994</v>
      </c>
      <c r="B143" s="112" t="s">
        <v>43</v>
      </c>
      <c r="C143" s="113" t="s">
        <v>380</v>
      </c>
      <c r="D143" s="112" t="s">
        <v>353</v>
      </c>
      <c r="E143" s="129">
        <v>1.336805555555556</v>
      </c>
      <c r="F143" s="112" t="s">
        <v>45</v>
      </c>
      <c r="G143" s="114">
        <v>9</v>
      </c>
      <c r="H143" s="121" t="s">
        <v>377</v>
      </c>
    </row>
    <row r="144" spans="1:8" ht="19.8" customHeight="1" x14ac:dyDescent="0.3">
      <c r="A144" s="130">
        <v>45994</v>
      </c>
      <c r="B144" s="117" t="s">
        <v>54</v>
      </c>
      <c r="C144" s="118" t="s">
        <v>382</v>
      </c>
      <c r="D144" s="117" t="s">
        <v>353</v>
      </c>
      <c r="E144" s="131">
        <v>1.447916666666667</v>
      </c>
      <c r="F144" s="117" t="s">
        <v>56</v>
      </c>
      <c r="G144" s="119">
        <v>4</v>
      </c>
      <c r="H144" s="122" t="s">
        <v>446</v>
      </c>
    </row>
    <row r="145" spans="1:8" ht="19.8" customHeight="1" x14ac:dyDescent="0.3">
      <c r="A145" s="128">
        <v>45995</v>
      </c>
      <c r="B145" s="112" t="s">
        <v>28</v>
      </c>
      <c r="C145" s="113" t="s">
        <v>354</v>
      </c>
      <c r="D145" s="112" t="s">
        <v>353</v>
      </c>
      <c r="E145" s="129">
        <v>1.3611111111111109</v>
      </c>
      <c r="F145" s="112" t="s">
        <v>178</v>
      </c>
      <c r="G145" s="114">
        <v>3</v>
      </c>
      <c r="H145" s="121" t="s">
        <v>447</v>
      </c>
    </row>
    <row r="146" spans="1:8" ht="19.8" customHeight="1" x14ac:dyDescent="0.3">
      <c r="A146" s="128">
        <v>45995</v>
      </c>
      <c r="B146" s="112" t="s">
        <v>28</v>
      </c>
      <c r="C146" s="113" t="s">
        <v>386</v>
      </c>
      <c r="D146" s="112" t="s">
        <v>353</v>
      </c>
      <c r="E146" s="129">
        <v>1.756944444444444</v>
      </c>
      <c r="F146" s="112" t="s">
        <v>178</v>
      </c>
      <c r="G146" s="114">
        <v>1</v>
      </c>
      <c r="H146" s="121" t="s">
        <v>447</v>
      </c>
    </row>
    <row r="147" spans="1:8" ht="19.8" customHeight="1" x14ac:dyDescent="0.3">
      <c r="A147" s="132">
        <v>45995</v>
      </c>
      <c r="B147" s="124" t="s">
        <v>76</v>
      </c>
      <c r="C147" s="125" t="s">
        <v>389</v>
      </c>
      <c r="D147" s="124" t="s">
        <v>353</v>
      </c>
      <c r="E147" s="133">
        <v>1.7222222222222221</v>
      </c>
      <c r="F147" s="124" t="s">
        <v>178</v>
      </c>
      <c r="G147" s="126">
        <v>1</v>
      </c>
      <c r="H147" s="150" t="s">
        <v>448</v>
      </c>
    </row>
    <row r="148" spans="1:8" ht="19.8" customHeight="1" x14ac:dyDescent="0.3">
      <c r="A148" s="128">
        <v>45995</v>
      </c>
      <c r="B148" s="112" t="s">
        <v>102</v>
      </c>
      <c r="C148" s="113" t="s">
        <v>387</v>
      </c>
      <c r="D148" s="112" t="s">
        <v>353</v>
      </c>
      <c r="E148" s="129">
        <v>1.680555555555556</v>
      </c>
      <c r="F148" s="112" t="s">
        <v>178</v>
      </c>
      <c r="G148" s="114">
        <v>1</v>
      </c>
      <c r="H148" s="121" t="s">
        <v>450</v>
      </c>
    </row>
    <row r="149" spans="1:8" ht="19.8" customHeight="1" x14ac:dyDescent="0.3">
      <c r="A149" s="128">
        <v>45995</v>
      </c>
      <c r="B149" s="112" t="s">
        <v>43</v>
      </c>
      <c r="C149" s="113" t="s">
        <v>380</v>
      </c>
      <c r="D149" s="112" t="s">
        <v>353</v>
      </c>
      <c r="E149" s="129">
        <v>1.336805555555556</v>
      </c>
      <c r="F149" s="112" t="s">
        <v>45</v>
      </c>
      <c r="G149" s="114">
        <v>9</v>
      </c>
      <c r="H149" s="121" t="s">
        <v>451</v>
      </c>
    </row>
    <row r="150" spans="1:8" ht="19.8" customHeight="1" x14ac:dyDescent="0.3">
      <c r="A150" s="128">
        <v>45995</v>
      </c>
      <c r="B150" s="112" t="s">
        <v>43</v>
      </c>
      <c r="C150" s="113" t="s">
        <v>362</v>
      </c>
      <c r="D150" s="112" t="s">
        <v>353</v>
      </c>
      <c r="E150" s="129">
        <v>1.6736111111111109</v>
      </c>
      <c r="F150" s="112" t="s">
        <v>45</v>
      </c>
      <c r="G150" s="114">
        <v>9</v>
      </c>
      <c r="H150" s="121" t="s">
        <v>377</v>
      </c>
    </row>
    <row r="151" spans="1:8" ht="19.8" customHeight="1" x14ac:dyDescent="0.3">
      <c r="A151" s="128">
        <v>45995</v>
      </c>
      <c r="B151" s="112" t="s">
        <v>43</v>
      </c>
      <c r="C151" s="113" t="s">
        <v>360</v>
      </c>
      <c r="D151" s="112" t="s">
        <v>353</v>
      </c>
      <c r="E151" s="129">
        <v>1.979166666666667</v>
      </c>
      <c r="F151" s="112" t="s">
        <v>45</v>
      </c>
      <c r="G151" s="114">
        <v>9</v>
      </c>
      <c r="H151" s="121" t="s">
        <v>452</v>
      </c>
    </row>
    <row r="152" spans="1:8" ht="19.8" customHeight="1" x14ac:dyDescent="0.3">
      <c r="A152" s="130">
        <v>45995</v>
      </c>
      <c r="B152" s="117" t="s">
        <v>54</v>
      </c>
      <c r="C152" s="118" t="s">
        <v>382</v>
      </c>
      <c r="D152" s="117" t="s">
        <v>353</v>
      </c>
      <c r="E152" s="131">
        <v>1.447916666666667</v>
      </c>
      <c r="F152" s="117" t="s">
        <v>56</v>
      </c>
      <c r="G152" s="119">
        <v>4</v>
      </c>
      <c r="H152" s="122" t="s">
        <v>446</v>
      </c>
    </row>
    <row r="153" spans="1:8" ht="19.8" customHeight="1" x14ac:dyDescent="0.3">
      <c r="A153" s="128">
        <v>45996</v>
      </c>
      <c r="B153" s="112" t="s">
        <v>59</v>
      </c>
      <c r="C153" s="113" t="s">
        <v>371</v>
      </c>
      <c r="D153" s="112" t="s">
        <v>353</v>
      </c>
      <c r="E153" s="129">
        <v>1.447916666666667</v>
      </c>
      <c r="F153" s="112" t="s">
        <v>61</v>
      </c>
      <c r="G153" s="114">
        <v>11</v>
      </c>
      <c r="H153" s="121" t="s">
        <v>453</v>
      </c>
    </row>
    <row r="154" spans="1:8" ht="19.8" customHeight="1" x14ac:dyDescent="0.3">
      <c r="A154" s="132">
        <v>45996</v>
      </c>
      <c r="B154" s="124" t="s">
        <v>76</v>
      </c>
      <c r="C154" s="125" t="s">
        <v>389</v>
      </c>
      <c r="D154" s="124" t="s">
        <v>353</v>
      </c>
      <c r="E154" s="133">
        <v>1.381944444444444</v>
      </c>
      <c r="F154" s="124" t="s">
        <v>178</v>
      </c>
      <c r="G154" s="126">
        <v>1</v>
      </c>
      <c r="H154" s="150" t="s">
        <v>454</v>
      </c>
    </row>
    <row r="155" spans="1:8" ht="19.8" customHeight="1" x14ac:dyDescent="0.3">
      <c r="A155" s="128">
        <v>45996</v>
      </c>
      <c r="B155" s="112" t="s">
        <v>33</v>
      </c>
      <c r="C155" s="113" t="s">
        <v>356</v>
      </c>
      <c r="D155" s="112" t="s">
        <v>353</v>
      </c>
      <c r="E155" s="129">
        <v>1.9722222222222221</v>
      </c>
      <c r="F155" s="112" t="s">
        <v>35</v>
      </c>
      <c r="G155" s="114">
        <v>6</v>
      </c>
      <c r="H155" s="121" t="s">
        <v>435</v>
      </c>
    </row>
    <row r="156" spans="1:8" ht="19.8" customHeight="1" x14ac:dyDescent="0.3">
      <c r="A156" s="128">
        <v>45996</v>
      </c>
      <c r="B156" s="112" t="s">
        <v>28</v>
      </c>
      <c r="C156" s="113" t="s">
        <v>375</v>
      </c>
      <c r="D156" s="112" t="s">
        <v>353</v>
      </c>
      <c r="E156" s="129">
        <v>1.756944444444444</v>
      </c>
      <c r="F156" s="112" t="s">
        <v>178</v>
      </c>
      <c r="G156" s="114">
        <v>5</v>
      </c>
      <c r="H156" s="121" t="s">
        <v>447</v>
      </c>
    </row>
    <row r="157" spans="1:8" ht="19.8" customHeight="1" x14ac:dyDescent="0.3">
      <c r="A157" s="128">
        <v>45996</v>
      </c>
      <c r="B157" s="112" t="s">
        <v>59</v>
      </c>
      <c r="C157" s="113" t="s">
        <v>371</v>
      </c>
      <c r="D157" s="112" t="s">
        <v>353</v>
      </c>
      <c r="E157" s="129">
        <v>1.447916666666667</v>
      </c>
      <c r="F157" s="112" t="s">
        <v>64</v>
      </c>
      <c r="G157" s="114">
        <v>11</v>
      </c>
      <c r="H157" s="121" t="s">
        <v>436</v>
      </c>
    </row>
    <row r="158" spans="1:8" ht="19.8" customHeight="1" x14ac:dyDescent="0.3">
      <c r="A158" s="128">
        <v>45996</v>
      </c>
      <c r="B158" s="112" t="s">
        <v>33</v>
      </c>
      <c r="C158" s="113" t="s">
        <v>356</v>
      </c>
      <c r="D158" s="112" t="s">
        <v>353</v>
      </c>
      <c r="E158" s="129">
        <v>1.9722222222222221</v>
      </c>
      <c r="F158" s="112" t="s">
        <v>38</v>
      </c>
      <c r="G158" s="114">
        <v>6</v>
      </c>
      <c r="H158" s="121" t="s">
        <v>436</v>
      </c>
    </row>
    <row r="159" spans="1:8" ht="19.8" customHeight="1" x14ac:dyDescent="0.3">
      <c r="A159" s="128">
        <v>45996</v>
      </c>
      <c r="B159" s="112" t="s">
        <v>33</v>
      </c>
      <c r="C159" s="113" t="s">
        <v>356</v>
      </c>
      <c r="D159" s="112" t="s">
        <v>353</v>
      </c>
      <c r="E159" s="129">
        <v>1.9722222222222221</v>
      </c>
      <c r="F159" s="112" t="s">
        <v>41</v>
      </c>
      <c r="G159" s="114">
        <v>6</v>
      </c>
      <c r="H159" s="121" t="s">
        <v>437</v>
      </c>
    </row>
    <row r="160" spans="1:8" ht="19.8" customHeight="1" x14ac:dyDescent="0.3">
      <c r="A160" s="128">
        <v>45996</v>
      </c>
      <c r="B160" s="112" t="s">
        <v>43</v>
      </c>
      <c r="C160" s="113" t="s">
        <v>380</v>
      </c>
      <c r="D160" s="112" t="s">
        <v>353</v>
      </c>
      <c r="E160" s="129">
        <v>1.336805555555556</v>
      </c>
      <c r="F160" s="112" t="s">
        <v>45</v>
      </c>
      <c r="G160" s="114">
        <v>9</v>
      </c>
      <c r="H160" s="121" t="s">
        <v>456</v>
      </c>
    </row>
    <row r="161" spans="1:8" ht="19.8" customHeight="1" x14ac:dyDescent="0.3">
      <c r="A161" s="128">
        <v>45996</v>
      </c>
      <c r="B161" s="112" t="s">
        <v>59</v>
      </c>
      <c r="C161" s="113" t="s">
        <v>371</v>
      </c>
      <c r="D161" s="112" t="s">
        <v>353</v>
      </c>
      <c r="E161" s="129">
        <v>1.447916666666667</v>
      </c>
      <c r="F161" s="112" t="s">
        <v>67</v>
      </c>
      <c r="G161" s="114">
        <v>11</v>
      </c>
      <c r="H161" s="121" t="s">
        <v>374</v>
      </c>
    </row>
    <row r="162" spans="1:8" ht="19.8" customHeight="1" x14ac:dyDescent="0.3">
      <c r="A162" s="128">
        <v>45996</v>
      </c>
      <c r="B162" s="112" t="s">
        <v>43</v>
      </c>
      <c r="C162" s="113" t="s">
        <v>362</v>
      </c>
      <c r="D162" s="112" t="s">
        <v>353</v>
      </c>
      <c r="E162" s="129">
        <v>1.6736111111111109</v>
      </c>
      <c r="F162" s="112" t="s">
        <v>45</v>
      </c>
      <c r="G162" s="114">
        <v>9</v>
      </c>
      <c r="H162" s="121" t="s">
        <v>377</v>
      </c>
    </row>
    <row r="163" spans="1:8" ht="19.8" customHeight="1" x14ac:dyDescent="0.3">
      <c r="A163" s="128">
        <v>45996</v>
      </c>
      <c r="B163" s="112" t="s">
        <v>43</v>
      </c>
      <c r="C163" s="113" t="s">
        <v>360</v>
      </c>
      <c r="D163" s="112" t="s">
        <v>353</v>
      </c>
      <c r="E163" s="129">
        <v>1.979166666666667</v>
      </c>
      <c r="F163" s="112" t="s">
        <v>45</v>
      </c>
      <c r="G163" s="114">
        <v>9</v>
      </c>
      <c r="H163" s="121" t="s">
        <v>377</v>
      </c>
    </row>
    <row r="164" spans="1:8" ht="19.8" customHeight="1" x14ac:dyDescent="0.3">
      <c r="A164" s="130">
        <v>45996</v>
      </c>
      <c r="B164" s="117" t="s">
        <v>54</v>
      </c>
      <c r="C164" s="118" t="s">
        <v>382</v>
      </c>
      <c r="D164" s="117" t="s">
        <v>353</v>
      </c>
      <c r="E164" s="131">
        <v>1.447916666666667</v>
      </c>
      <c r="F164" s="117" t="s">
        <v>56</v>
      </c>
      <c r="G164" s="119">
        <v>4</v>
      </c>
      <c r="H164" s="122" t="s">
        <v>446</v>
      </c>
    </row>
    <row r="165" spans="1:8" ht="19.8" customHeight="1" x14ac:dyDescent="0.3">
      <c r="A165" s="132">
        <v>45997</v>
      </c>
      <c r="B165" s="124" t="s">
        <v>76</v>
      </c>
      <c r="C165" s="125" t="s">
        <v>389</v>
      </c>
      <c r="D165" s="124" t="s">
        <v>353</v>
      </c>
      <c r="E165" s="133">
        <v>1.7222222222222221</v>
      </c>
      <c r="F165" s="124" t="s">
        <v>178</v>
      </c>
      <c r="G165" s="126">
        <v>2</v>
      </c>
      <c r="H165" s="150" t="s">
        <v>457</v>
      </c>
    </row>
    <row r="166" spans="1:8" ht="19.8" customHeight="1" x14ac:dyDescent="0.3">
      <c r="A166" s="128">
        <v>45997</v>
      </c>
      <c r="B166" s="112" t="s">
        <v>28</v>
      </c>
      <c r="C166" s="113" t="s">
        <v>386</v>
      </c>
      <c r="D166" s="112" t="s">
        <v>353</v>
      </c>
      <c r="E166" s="129">
        <v>1.694444444444444</v>
      </c>
      <c r="F166" s="112" t="s">
        <v>178</v>
      </c>
      <c r="G166" s="114">
        <v>6</v>
      </c>
      <c r="H166" s="121" t="s">
        <v>447</v>
      </c>
    </row>
    <row r="167" spans="1:8" ht="19.8" customHeight="1" x14ac:dyDescent="0.3">
      <c r="A167" s="128">
        <v>45997</v>
      </c>
      <c r="B167" s="112" t="s">
        <v>43</v>
      </c>
      <c r="C167" s="113" t="s">
        <v>360</v>
      </c>
      <c r="D167" s="112" t="s">
        <v>353</v>
      </c>
      <c r="E167" s="129">
        <v>1.979166666666667</v>
      </c>
      <c r="F167" s="112" t="s">
        <v>45</v>
      </c>
      <c r="G167" s="114">
        <v>9</v>
      </c>
      <c r="H167" s="121" t="s">
        <v>451</v>
      </c>
    </row>
    <row r="168" spans="1:8" ht="19.8" customHeight="1" x14ac:dyDescent="0.3">
      <c r="A168" s="128">
        <v>45997</v>
      </c>
      <c r="B168" s="112" t="s">
        <v>43</v>
      </c>
      <c r="C168" s="113" t="s">
        <v>380</v>
      </c>
      <c r="D168" s="112" t="s">
        <v>353</v>
      </c>
      <c r="E168" s="129">
        <v>1.336805555555556</v>
      </c>
      <c r="F168" s="112" t="s">
        <v>45</v>
      </c>
      <c r="G168" s="114">
        <v>9</v>
      </c>
      <c r="H168" s="121" t="s">
        <v>451</v>
      </c>
    </row>
    <row r="169" spans="1:8" ht="19.8" customHeight="1" x14ac:dyDescent="0.3">
      <c r="A169" s="128">
        <v>45997</v>
      </c>
      <c r="B169" s="112" t="s">
        <v>43</v>
      </c>
      <c r="C169" s="113" t="s">
        <v>362</v>
      </c>
      <c r="D169" s="112" t="s">
        <v>353</v>
      </c>
      <c r="E169" s="129">
        <v>1.6736111111111109</v>
      </c>
      <c r="F169" s="112" t="s">
        <v>45</v>
      </c>
      <c r="G169" s="114">
        <v>9</v>
      </c>
      <c r="H169" s="121" t="s">
        <v>377</v>
      </c>
    </row>
    <row r="170" spans="1:8" ht="19.8" customHeight="1" x14ac:dyDescent="0.3">
      <c r="A170" s="130">
        <v>45997</v>
      </c>
      <c r="B170" s="117" t="s">
        <v>54</v>
      </c>
      <c r="C170" s="118" t="s">
        <v>382</v>
      </c>
      <c r="D170" s="117" t="s">
        <v>353</v>
      </c>
      <c r="E170" s="131">
        <v>1.447916666666667</v>
      </c>
      <c r="F170" s="117" t="s">
        <v>56</v>
      </c>
      <c r="G170" s="119">
        <v>4</v>
      </c>
      <c r="H170" s="122" t="s">
        <v>446</v>
      </c>
    </row>
    <row r="171" spans="1:8" ht="19.8" customHeight="1" x14ac:dyDescent="0.3">
      <c r="A171" s="128">
        <v>45998</v>
      </c>
      <c r="B171" s="112" t="s">
        <v>102</v>
      </c>
      <c r="C171" s="113" t="s">
        <v>404</v>
      </c>
      <c r="D171" s="112" t="s">
        <v>353</v>
      </c>
      <c r="E171" s="129">
        <v>1.0138888888888891</v>
      </c>
      <c r="F171" s="112" t="s">
        <v>178</v>
      </c>
      <c r="G171" s="114">
        <v>8</v>
      </c>
      <c r="H171" s="121" t="s">
        <v>459</v>
      </c>
    </row>
    <row r="172" spans="1:8" ht="19.8" customHeight="1" x14ac:dyDescent="0.3">
      <c r="A172" s="128">
        <v>45998</v>
      </c>
      <c r="B172" s="112" t="s">
        <v>28</v>
      </c>
      <c r="C172" s="113" t="s">
        <v>354</v>
      </c>
      <c r="D172" s="112" t="s">
        <v>353</v>
      </c>
      <c r="E172" s="129">
        <v>1.756944444444444</v>
      </c>
      <c r="F172" s="112" t="s">
        <v>178</v>
      </c>
      <c r="G172" s="114">
        <v>3</v>
      </c>
      <c r="H172" s="121" t="s">
        <v>460</v>
      </c>
    </row>
    <row r="173" spans="1:8" ht="19.8" customHeight="1" x14ac:dyDescent="0.3">
      <c r="A173" s="128">
        <v>45998</v>
      </c>
      <c r="B173" s="112" t="s">
        <v>43</v>
      </c>
      <c r="C173" s="113" t="s">
        <v>360</v>
      </c>
      <c r="D173" s="112" t="s">
        <v>353</v>
      </c>
      <c r="E173" s="129">
        <v>1.979166666666667</v>
      </c>
      <c r="F173" s="112" t="s">
        <v>45</v>
      </c>
      <c r="G173" s="114">
        <v>9</v>
      </c>
      <c r="H173" s="121" t="s">
        <v>461</v>
      </c>
    </row>
    <row r="174" spans="1:8" ht="19.8" customHeight="1" x14ac:dyDescent="0.3">
      <c r="A174" s="128">
        <v>45998</v>
      </c>
      <c r="B174" s="112" t="s">
        <v>43</v>
      </c>
      <c r="C174" s="113" t="s">
        <v>380</v>
      </c>
      <c r="D174" s="112" t="s">
        <v>353</v>
      </c>
      <c r="E174" s="129">
        <v>1.336805555555556</v>
      </c>
      <c r="F174" s="112" t="s">
        <v>45</v>
      </c>
      <c r="G174" s="114">
        <v>9</v>
      </c>
      <c r="H174" s="121" t="s">
        <v>461</v>
      </c>
    </row>
    <row r="175" spans="1:8" ht="19.8" customHeight="1" x14ac:dyDescent="0.3">
      <c r="A175" s="128">
        <v>45998</v>
      </c>
      <c r="B175" s="112" t="s">
        <v>43</v>
      </c>
      <c r="C175" s="113" t="s">
        <v>362</v>
      </c>
      <c r="D175" s="112" t="s">
        <v>353</v>
      </c>
      <c r="E175" s="129">
        <v>1.6736111111111109</v>
      </c>
      <c r="F175" s="112" t="s">
        <v>45</v>
      </c>
      <c r="G175" s="114">
        <v>9</v>
      </c>
      <c r="H175" s="121" t="s">
        <v>462</v>
      </c>
    </row>
    <row r="176" spans="1:8" ht="19.8" customHeight="1" x14ac:dyDescent="0.3">
      <c r="A176" s="130">
        <v>45998</v>
      </c>
      <c r="B176" s="117" t="s">
        <v>54</v>
      </c>
      <c r="C176" s="118" t="s">
        <v>382</v>
      </c>
      <c r="D176" s="117" t="s">
        <v>353</v>
      </c>
      <c r="E176" s="131">
        <v>1.447916666666667</v>
      </c>
      <c r="F176" s="117" t="s">
        <v>56</v>
      </c>
      <c r="G176" s="119">
        <v>4</v>
      </c>
      <c r="H176" s="122" t="s">
        <v>463</v>
      </c>
    </row>
    <row r="177" spans="1:8" ht="19.8" customHeight="1" x14ac:dyDescent="0.3">
      <c r="A177" s="128">
        <v>45999</v>
      </c>
      <c r="B177" s="112" t="s">
        <v>28</v>
      </c>
      <c r="C177" s="113" t="s">
        <v>375</v>
      </c>
      <c r="D177" s="112" t="s">
        <v>353</v>
      </c>
      <c r="E177" s="129">
        <v>1.756944444444444</v>
      </c>
      <c r="F177" s="112" t="s">
        <v>178</v>
      </c>
      <c r="G177" s="114">
        <v>5</v>
      </c>
      <c r="H177" s="121" t="s">
        <v>460</v>
      </c>
    </row>
    <row r="178" spans="1:8" ht="19.8" customHeight="1" x14ac:dyDescent="0.3">
      <c r="A178" s="128">
        <v>45999</v>
      </c>
      <c r="B178" s="112" t="s">
        <v>43</v>
      </c>
      <c r="C178" s="113" t="s">
        <v>360</v>
      </c>
      <c r="D178" s="112" t="s">
        <v>353</v>
      </c>
      <c r="E178" s="129">
        <v>1.979166666666667</v>
      </c>
      <c r="F178" s="112" t="s">
        <v>45</v>
      </c>
      <c r="G178" s="114">
        <v>9</v>
      </c>
      <c r="H178" s="121" t="s">
        <v>464</v>
      </c>
    </row>
    <row r="179" spans="1:8" ht="19.8" customHeight="1" x14ac:dyDescent="0.3">
      <c r="A179" s="128">
        <v>45999</v>
      </c>
      <c r="B179" s="112" t="s">
        <v>43</v>
      </c>
      <c r="C179" s="113" t="s">
        <v>380</v>
      </c>
      <c r="D179" s="112" t="s">
        <v>353</v>
      </c>
      <c r="E179" s="129">
        <v>1.336805555555556</v>
      </c>
      <c r="F179" s="112" t="s">
        <v>45</v>
      </c>
      <c r="G179" s="114">
        <v>9</v>
      </c>
      <c r="H179" s="121" t="s">
        <v>461</v>
      </c>
    </row>
    <row r="180" spans="1:8" ht="19.8" customHeight="1" x14ac:dyDescent="0.3">
      <c r="A180" s="128">
        <v>45999</v>
      </c>
      <c r="B180" s="112" t="s">
        <v>43</v>
      </c>
      <c r="C180" s="113" t="s">
        <v>362</v>
      </c>
      <c r="D180" s="112" t="s">
        <v>353</v>
      </c>
      <c r="E180" s="129">
        <v>1.6736111111111109</v>
      </c>
      <c r="F180" s="112" t="s">
        <v>45</v>
      </c>
      <c r="G180" s="114">
        <v>9</v>
      </c>
      <c r="H180" s="121" t="s">
        <v>462</v>
      </c>
    </row>
    <row r="181" spans="1:8" ht="19.8" customHeight="1" x14ac:dyDescent="0.3">
      <c r="A181" s="130">
        <v>45999</v>
      </c>
      <c r="B181" s="117" t="s">
        <v>54</v>
      </c>
      <c r="C181" s="118" t="s">
        <v>382</v>
      </c>
      <c r="D181" s="117" t="s">
        <v>353</v>
      </c>
      <c r="E181" s="131">
        <v>1.447916666666667</v>
      </c>
      <c r="F181" s="117" t="s">
        <v>56</v>
      </c>
      <c r="G181" s="119">
        <v>4</v>
      </c>
      <c r="H181" s="122" t="s">
        <v>465</v>
      </c>
    </row>
    <row r="182" spans="1:8" ht="19.8" customHeight="1" x14ac:dyDescent="0.3">
      <c r="A182" s="128">
        <v>46000</v>
      </c>
      <c r="B182" s="112" t="s">
        <v>59</v>
      </c>
      <c r="C182" s="113" t="s">
        <v>371</v>
      </c>
      <c r="D182" s="112" t="s">
        <v>353</v>
      </c>
      <c r="E182" s="129">
        <v>1.447916666666667</v>
      </c>
      <c r="F182" s="112" t="s">
        <v>61</v>
      </c>
      <c r="G182" s="114">
        <v>10</v>
      </c>
      <c r="H182" s="121" t="s">
        <v>466</v>
      </c>
    </row>
    <row r="183" spans="1:8" ht="19.8" customHeight="1" x14ac:dyDescent="0.3">
      <c r="A183" s="128">
        <v>46000</v>
      </c>
      <c r="B183" s="112" t="s">
        <v>33</v>
      </c>
      <c r="C183" s="113" t="s">
        <v>356</v>
      </c>
      <c r="D183" s="112" t="s">
        <v>353</v>
      </c>
      <c r="E183" s="129">
        <v>1.9722222222222221</v>
      </c>
      <c r="F183" s="112" t="s">
        <v>35</v>
      </c>
      <c r="G183" s="114">
        <v>6</v>
      </c>
      <c r="H183" s="121" t="s">
        <v>467</v>
      </c>
    </row>
    <row r="184" spans="1:8" ht="19.8" customHeight="1" x14ac:dyDescent="0.3">
      <c r="A184" s="128">
        <v>46000</v>
      </c>
      <c r="B184" s="112" t="s">
        <v>33</v>
      </c>
      <c r="C184" s="113" t="s">
        <v>364</v>
      </c>
      <c r="D184" s="112" t="s">
        <v>353</v>
      </c>
      <c r="E184" s="129">
        <v>1.336805555555556</v>
      </c>
      <c r="F184" s="112" t="s">
        <v>35</v>
      </c>
      <c r="G184" s="114">
        <v>8</v>
      </c>
      <c r="H184" s="121" t="s">
        <v>467</v>
      </c>
    </row>
    <row r="185" spans="1:8" ht="19.8" customHeight="1" x14ac:dyDescent="0.3">
      <c r="A185" s="132">
        <v>46000</v>
      </c>
      <c r="B185" s="124" t="s">
        <v>76</v>
      </c>
      <c r="C185" s="125" t="s">
        <v>389</v>
      </c>
      <c r="D185" s="124" t="s">
        <v>353</v>
      </c>
      <c r="E185" s="133">
        <v>1.069444444444444</v>
      </c>
      <c r="F185" s="124" t="s">
        <v>178</v>
      </c>
      <c r="G185" s="126">
        <v>9</v>
      </c>
      <c r="H185" s="150" t="s">
        <v>470</v>
      </c>
    </row>
    <row r="186" spans="1:8" ht="19.8" customHeight="1" x14ac:dyDescent="0.3">
      <c r="A186" s="128">
        <v>46000</v>
      </c>
      <c r="B186" s="112" t="s">
        <v>102</v>
      </c>
      <c r="C186" s="113" t="s">
        <v>387</v>
      </c>
      <c r="D186" s="112" t="s">
        <v>353</v>
      </c>
      <c r="E186" s="129">
        <v>1.881944444444444</v>
      </c>
      <c r="F186" s="112" t="s">
        <v>178</v>
      </c>
      <c r="G186" s="114">
        <v>3</v>
      </c>
      <c r="H186" s="121" t="s">
        <v>473</v>
      </c>
    </row>
    <row r="187" spans="1:8" ht="19.8" customHeight="1" x14ac:dyDescent="0.3">
      <c r="A187" s="128">
        <v>46000</v>
      </c>
      <c r="B187" s="112" t="s">
        <v>28</v>
      </c>
      <c r="C187" s="113" t="s">
        <v>386</v>
      </c>
      <c r="D187" s="112" t="s">
        <v>353</v>
      </c>
      <c r="E187" s="129">
        <v>1.756944444444444</v>
      </c>
      <c r="F187" s="112" t="s">
        <v>178</v>
      </c>
      <c r="G187" s="114">
        <v>8</v>
      </c>
      <c r="H187" s="121" t="s">
        <v>474</v>
      </c>
    </row>
    <row r="188" spans="1:8" ht="19.8" customHeight="1" x14ac:dyDescent="0.3">
      <c r="A188" s="128">
        <v>46000</v>
      </c>
      <c r="B188" s="112" t="s">
        <v>33</v>
      </c>
      <c r="C188" s="113" t="s">
        <v>356</v>
      </c>
      <c r="D188" s="112" t="s">
        <v>353</v>
      </c>
      <c r="E188" s="129">
        <v>1.9722222222222221</v>
      </c>
      <c r="F188" s="112" t="s">
        <v>38</v>
      </c>
      <c r="G188" s="114">
        <v>6</v>
      </c>
      <c r="H188" s="121" t="s">
        <v>468</v>
      </c>
    </row>
    <row r="189" spans="1:8" ht="19.8" customHeight="1" x14ac:dyDescent="0.3">
      <c r="A189" s="128">
        <v>46000</v>
      </c>
      <c r="B189" s="112" t="s">
        <v>33</v>
      </c>
      <c r="C189" s="113" t="s">
        <v>364</v>
      </c>
      <c r="D189" s="112" t="s">
        <v>353</v>
      </c>
      <c r="E189" s="129">
        <v>1.336805555555556</v>
      </c>
      <c r="F189" s="112" t="s">
        <v>38</v>
      </c>
      <c r="G189" s="114">
        <v>8</v>
      </c>
      <c r="H189" s="121" t="s">
        <v>468</v>
      </c>
    </row>
    <row r="190" spans="1:8" ht="19.8" customHeight="1" x14ac:dyDescent="0.3">
      <c r="A190" s="128">
        <v>46000</v>
      </c>
      <c r="B190" s="112" t="s">
        <v>59</v>
      </c>
      <c r="C190" s="113" t="s">
        <v>371</v>
      </c>
      <c r="D190" s="112" t="s">
        <v>353</v>
      </c>
      <c r="E190" s="129">
        <v>1.447916666666667</v>
      </c>
      <c r="F190" s="112" t="s">
        <v>64</v>
      </c>
      <c r="G190" s="114">
        <v>10</v>
      </c>
      <c r="H190" s="121" t="s">
        <v>453</v>
      </c>
    </row>
    <row r="191" spans="1:8" ht="19.8" customHeight="1" x14ac:dyDescent="0.3">
      <c r="A191" s="128">
        <v>46000</v>
      </c>
      <c r="B191" s="112" t="s">
        <v>43</v>
      </c>
      <c r="C191" s="113" t="s">
        <v>360</v>
      </c>
      <c r="D191" s="112" t="s">
        <v>353</v>
      </c>
      <c r="E191" s="129">
        <v>1.979166666666667</v>
      </c>
      <c r="F191" s="112" t="s">
        <v>45</v>
      </c>
      <c r="G191" s="114">
        <v>9</v>
      </c>
      <c r="H191" s="121" t="s">
        <v>464</v>
      </c>
    </row>
    <row r="192" spans="1:8" ht="19.8" customHeight="1" x14ac:dyDescent="0.3">
      <c r="A192" s="128">
        <v>46000</v>
      </c>
      <c r="B192" s="112" t="s">
        <v>43</v>
      </c>
      <c r="C192" s="113" t="s">
        <v>380</v>
      </c>
      <c r="D192" s="112" t="s">
        <v>353</v>
      </c>
      <c r="E192" s="129">
        <v>1.336805555555556</v>
      </c>
      <c r="F192" s="112" t="s">
        <v>45</v>
      </c>
      <c r="G192" s="114">
        <v>9</v>
      </c>
      <c r="H192" s="121" t="s">
        <v>464</v>
      </c>
    </row>
    <row r="193" spans="1:8" ht="19.8" customHeight="1" x14ac:dyDescent="0.3">
      <c r="A193" s="128">
        <v>46000</v>
      </c>
      <c r="B193" s="112" t="s">
        <v>33</v>
      </c>
      <c r="C193" s="113" t="s">
        <v>356</v>
      </c>
      <c r="D193" s="112" t="s">
        <v>353</v>
      </c>
      <c r="E193" s="129">
        <v>1.9722222222222221</v>
      </c>
      <c r="F193" s="112" t="s">
        <v>41</v>
      </c>
      <c r="G193" s="114">
        <v>6</v>
      </c>
      <c r="H193" s="121" t="s">
        <v>469</v>
      </c>
    </row>
    <row r="194" spans="1:8" ht="19.8" customHeight="1" x14ac:dyDescent="0.3">
      <c r="A194" s="128">
        <v>46000</v>
      </c>
      <c r="B194" s="112" t="s">
        <v>33</v>
      </c>
      <c r="C194" s="113" t="s">
        <v>364</v>
      </c>
      <c r="D194" s="112" t="s">
        <v>353</v>
      </c>
      <c r="E194" s="129">
        <v>1.336805555555556</v>
      </c>
      <c r="F194" s="112" t="s">
        <v>41</v>
      </c>
      <c r="G194" s="114">
        <v>8</v>
      </c>
      <c r="H194" s="121" t="s">
        <v>469</v>
      </c>
    </row>
    <row r="195" spans="1:8" ht="19.8" customHeight="1" x14ac:dyDescent="0.3">
      <c r="A195" s="128">
        <v>46000</v>
      </c>
      <c r="B195" s="112" t="s">
        <v>43</v>
      </c>
      <c r="C195" s="113" t="s">
        <v>362</v>
      </c>
      <c r="D195" s="112" t="s">
        <v>353</v>
      </c>
      <c r="E195" s="129">
        <v>1.6736111111111109</v>
      </c>
      <c r="F195" s="112" t="s">
        <v>45</v>
      </c>
      <c r="G195" s="114">
        <v>9</v>
      </c>
      <c r="H195" s="121" t="s">
        <v>462</v>
      </c>
    </row>
    <row r="196" spans="1:8" ht="19.8" customHeight="1" x14ac:dyDescent="0.3">
      <c r="A196" s="128">
        <v>46000</v>
      </c>
      <c r="B196" s="112" t="s">
        <v>59</v>
      </c>
      <c r="C196" s="113" t="s">
        <v>371</v>
      </c>
      <c r="D196" s="112" t="s">
        <v>353</v>
      </c>
      <c r="E196" s="129">
        <v>1.447916666666667</v>
      </c>
      <c r="F196" s="112" t="s">
        <v>67</v>
      </c>
      <c r="G196" s="114">
        <v>10</v>
      </c>
      <c r="H196" s="121" t="s">
        <v>374</v>
      </c>
    </row>
    <row r="197" spans="1:8" ht="19.8" customHeight="1" x14ac:dyDescent="0.3">
      <c r="A197" s="130">
        <v>46000</v>
      </c>
      <c r="B197" s="117" t="s">
        <v>54</v>
      </c>
      <c r="C197" s="118" t="s">
        <v>382</v>
      </c>
      <c r="D197" s="117" t="s">
        <v>353</v>
      </c>
      <c r="E197" s="131">
        <v>1.447916666666667</v>
      </c>
      <c r="F197" s="117" t="s">
        <v>56</v>
      </c>
      <c r="G197" s="119">
        <v>4</v>
      </c>
      <c r="H197" s="122" t="s">
        <v>475</v>
      </c>
    </row>
    <row r="198" spans="1:8" ht="19.8" customHeight="1" x14ac:dyDescent="0.3">
      <c r="A198" s="128">
        <v>46001</v>
      </c>
      <c r="B198" s="112" t="s">
        <v>59</v>
      </c>
      <c r="C198" s="113" t="s">
        <v>371</v>
      </c>
      <c r="D198" s="112" t="s">
        <v>353</v>
      </c>
      <c r="E198" s="129">
        <v>1.447916666666667</v>
      </c>
      <c r="F198" s="112" t="s">
        <v>61</v>
      </c>
      <c r="G198" s="114">
        <v>8</v>
      </c>
      <c r="H198" s="121" t="s">
        <v>466</v>
      </c>
    </row>
    <row r="199" spans="1:8" ht="19.8" customHeight="1" x14ac:dyDescent="0.3">
      <c r="A199" s="128">
        <v>46001</v>
      </c>
      <c r="B199" s="112" t="s">
        <v>33</v>
      </c>
      <c r="C199" s="113" t="s">
        <v>356</v>
      </c>
      <c r="D199" s="112" t="s">
        <v>353</v>
      </c>
      <c r="E199" s="129">
        <v>1.9722222222222221</v>
      </c>
      <c r="F199" s="112" t="s">
        <v>35</v>
      </c>
      <c r="G199" s="114">
        <v>1</v>
      </c>
      <c r="H199" s="121" t="s">
        <v>467</v>
      </c>
    </row>
    <row r="200" spans="1:8" ht="19.8" customHeight="1" x14ac:dyDescent="0.3">
      <c r="A200" s="128">
        <v>46001</v>
      </c>
      <c r="B200" s="112" t="s">
        <v>120</v>
      </c>
      <c r="C200" s="113" t="s">
        <v>425</v>
      </c>
      <c r="D200" s="112" t="s">
        <v>353</v>
      </c>
      <c r="E200" s="129">
        <v>1.7847222222222221</v>
      </c>
      <c r="F200" s="112" t="s">
        <v>122</v>
      </c>
      <c r="G200" s="114">
        <v>9</v>
      </c>
      <c r="H200" s="121" t="s">
        <v>476</v>
      </c>
    </row>
    <row r="201" spans="1:8" ht="19.8" customHeight="1" x14ac:dyDescent="0.3">
      <c r="A201" s="128">
        <v>46001</v>
      </c>
      <c r="B201" s="112" t="s">
        <v>28</v>
      </c>
      <c r="C201" s="113" t="s">
        <v>375</v>
      </c>
      <c r="D201" s="112" t="s">
        <v>353</v>
      </c>
      <c r="E201" s="129">
        <v>1.694444444444444</v>
      </c>
      <c r="F201" s="112" t="s">
        <v>178</v>
      </c>
      <c r="G201" s="114">
        <v>7</v>
      </c>
      <c r="H201" s="121" t="s">
        <v>474</v>
      </c>
    </row>
    <row r="202" spans="1:8" ht="19.8" customHeight="1" x14ac:dyDescent="0.3">
      <c r="A202" s="128">
        <v>46001</v>
      </c>
      <c r="B202" s="112" t="s">
        <v>33</v>
      </c>
      <c r="C202" s="113" t="s">
        <v>356</v>
      </c>
      <c r="D202" s="112" t="s">
        <v>353</v>
      </c>
      <c r="E202" s="129">
        <v>1.9722222222222221</v>
      </c>
      <c r="F202" s="112" t="s">
        <v>38</v>
      </c>
      <c r="G202" s="114">
        <v>1</v>
      </c>
      <c r="H202" s="121" t="s">
        <v>468</v>
      </c>
    </row>
    <row r="203" spans="1:8" ht="19.8" customHeight="1" x14ac:dyDescent="0.3">
      <c r="A203" s="128">
        <v>46001</v>
      </c>
      <c r="B203" s="112" t="s">
        <v>59</v>
      </c>
      <c r="C203" s="113" t="s">
        <v>371</v>
      </c>
      <c r="D203" s="112" t="s">
        <v>353</v>
      </c>
      <c r="E203" s="129">
        <v>1.447916666666667</v>
      </c>
      <c r="F203" s="112" t="s">
        <v>64</v>
      </c>
      <c r="G203" s="114">
        <v>8</v>
      </c>
      <c r="H203" s="121" t="s">
        <v>453</v>
      </c>
    </row>
    <row r="204" spans="1:8" ht="19.8" customHeight="1" x14ac:dyDescent="0.3">
      <c r="A204" s="128">
        <v>46001</v>
      </c>
      <c r="B204" s="112" t="s">
        <v>43</v>
      </c>
      <c r="C204" s="113" t="s">
        <v>380</v>
      </c>
      <c r="D204" s="112" t="s">
        <v>353</v>
      </c>
      <c r="E204" s="129">
        <v>1.336805555555556</v>
      </c>
      <c r="F204" s="112" t="s">
        <v>45</v>
      </c>
      <c r="G204" s="114">
        <v>9</v>
      </c>
      <c r="H204" s="121" t="s">
        <v>464</v>
      </c>
    </row>
    <row r="205" spans="1:8" ht="19.8" customHeight="1" x14ac:dyDescent="0.3">
      <c r="A205" s="128">
        <v>46001</v>
      </c>
      <c r="B205" s="112" t="s">
        <v>120</v>
      </c>
      <c r="C205" s="113" t="s">
        <v>425</v>
      </c>
      <c r="D205" s="112" t="s">
        <v>353</v>
      </c>
      <c r="E205" s="129">
        <v>1.7847222222222221</v>
      </c>
      <c r="F205" s="112" t="s">
        <v>67</v>
      </c>
      <c r="G205" s="114">
        <v>9</v>
      </c>
      <c r="H205" s="121" t="s">
        <v>477</v>
      </c>
    </row>
    <row r="206" spans="1:8" ht="19.8" customHeight="1" x14ac:dyDescent="0.3">
      <c r="A206" s="128">
        <v>46001</v>
      </c>
      <c r="B206" s="112" t="s">
        <v>43</v>
      </c>
      <c r="C206" s="113" t="s">
        <v>360</v>
      </c>
      <c r="D206" s="112" t="s">
        <v>353</v>
      </c>
      <c r="E206" s="129">
        <v>1.979166666666667</v>
      </c>
      <c r="F206" s="112" t="s">
        <v>45</v>
      </c>
      <c r="G206" s="114">
        <v>9</v>
      </c>
      <c r="H206" s="121" t="s">
        <v>461</v>
      </c>
    </row>
    <row r="207" spans="1:8" ht="19.8" customHeight="1" x14ac:dyDescent="0.3">
      <c r="A207" s="128">
        <v>46001</v>
      </c>
      <c r="B207" s="112" t="s">
        <v>33</v>
      </c>
      <c r="C207" s="113" t="s">
        <v>356</v>
      </c>
      <c r="D207" s="112" t="s">
        <v>353</v>
      </c>
      <c r="E207" s="129">
        <v>1.9722222222222221</v>
      </c>
      <c r="F207" s="112" t="s">
        <v>41</v>
      </c>
      <c r="G207" s="114">
        <v>1</v>
      </c>
      <c r="H207" s="121" t="s">
        <v>469</v>
      </c>
    </row>
    <row r="208" spans="1:8" ht="19.8" customHeight="1" x14ac:dyDescent="0.3">
      <c r="A208" s="128">
        <v>46001</v>
      </c>
      <c r="B208" s="112" t="s">
        <v>43</v>
      </c>
      <c r="C208" s="113" t="s">
        <v>362</v>
      </c>
      <c r="D208" s="112" t="s">
        <v>353</v>
      </c>
      <c r="E208" s="129">
        <v>1.6736111111111109</v>
      </c>
      <c r="F208" s="112" t="s">
        <v>45</v>
      </c>
      <c r="G208" s="114">
        <v>9</v>
      </c>
      <c r="H208" s="121" t="s">
        <v>462</v>
      </c>
    </row>
    <row r="209" spans="1:8" ht="19.8" customHeight="1" x14ac:dyDescent="0.3">
      <c r="A209" s="128">
        <v>46001</v>
      </c>
      <c r="B209" s="112" t="s">
        <v>59</v>
      </c>
      <c r="C209" s="113" t="s">
        <v>371</v>
      </c>
      <c r="D209" s="112" t="s">
        <v>353</v>
      </c>
      <c r="E209" s="129">
        <v>1.447916666666667</v>
      </c>
      <c r="F209" s="112" t="s">
        <v>67</v>
      </c>
      <c r="G209" s="114">
        <v>8</v>
      </c>
      <c r="H209" s="121" t="s">
        <v>374</v>
      </c>
    </row>
    <row r="210" spans="1:8" ht="19.8" customHeight="1" x14ac:dyDescent="0.3">
      <c r="A210" s="130">
        <v>46001</v>
      </c>
      <c r="B210" s="117" t="s">
        <v>54</v>
      </c>
      <c r="C210" s="118" t="s">
        <v>382</v>
      </c>
      <c r="D210" s="117" t="s">
        <v>353</v>
      </c>
      <c r="E210" s="131">
        <v>1.447916666666667</v>
      </c>
      <c r="F210" s="117" t="s">
        <v>56</v>
      </c>
      <c r="G210" s="119">
        <v>4</v>
      </c>
      <c r="H210" s="122" t="s">
        <v>475</v>
      </c>
    </row>
    <row r="211" spans="1:8" ht="19.8" customHeight="1" x14ac:dyDescent="0.3">
      <c r="A211" s="163">
        <v>46002</v>
      </c>
      <c r="B211" s="164" t="s">
        <v>76</v>
      </c>
      <c r="C211" s="165" t="s">
        <v>389</v>
      </c>
      <c r="D211" s="164" t="s">
        <v>353</v>
      </c>
      <c r="E211" s="166">
        <v>1.7222222222222221</v>
      </c>
      <c r="F211" s="164"/>
      <c r="G211" s="164"/>
      <c r="H211" s="167" t="s">
        <v>297</v>
      </c>
    </row>
    <row r="212" spans="1:8" ht="19.8" customHeight="1" x14ac:dyDescent="0.3">
      <c r="A212" s="128">
        <v>46003</v>
      </c>
      <c r="B212" s="112" t="s">
        <v>59</v>
      </c>
      <c r="C212" s="113" t="s">
        <v>371</v>
      </c>
      <c r="D212" s="112" t="s">
        <v>353</v>
      </c>
      <c r="E212" s="129">
        <v>1.447916666666667</v>
      </c>
      <c r="F212" s="112" t="s">
        <v>61</v>
      </c>
      <c r="G212" s="114">
        <v>11</v>
      </c>
      <c r="H212" s="121" t="s">
        <v>466</v>
      </c>
    </row>
    <row r="213" spans="1:8" ht="19.8" customHeight="1" x14ac:dyDescent="0.3">
      <c r="A213" s="128">
        <v>46003</v>
      </c>
      <c r="B213" s="112" t="s">
        <v>33</v>
      </c>
      <c r="C213" s="113" t="s">
        <v>356</v>
      </c>
      <c r="D213" s="112" t="s">
        <v>353</v>
      </c>
      <c r="E213" s="129">
        <v>1.9722222222222221</v>
      </c>
      <c r="F213" s="112" t="s">
        <v>35</v>
      </c>
      <c r="G213" s="114">
        <v>6</v>
      </c>
      <c r="H213" s="121" t="s">
        <v>480</v>
      </c>
    </row>
    <row r="214" spans="1:8" ht="19.8" customHeight="1" x14ac:dyDescent="0.3">
      <c r="A214" s="132">
        <v>46003</v>
      </c>
      <c r="B214" s="124" t="s">
        <v>76</v>
      </c>
      <c r="C214" s="125" t="s">
        <v>389</v>
      </c>
      <c r="D214" s="124" t="s">
        <v>353</v>
      </c>
      <c r="E214" s="133">
        <v>1.381944444444444</v>
      </c>
      <c r="F214" s="124" t="s">
        <v>178</v>
      </c>
      <c r="G214" s="126">
        <v>8</v>
      </c>
      <c r="H214" s="150" t="s">
        <v>483</v>
      </c>
    </row>
    <row r="215" spans="1:8" ht="19.8" customHeight="1" x14ac:dyDescent="0.3">
      <c r="A215" s="128">
        <v>46003</v>
      </c>
      <c r="B215" s="112" t="s">
        <v>33</v>
      </c>
      <c r="C215" s="113" t="s">
        <v>356</v>
      </c>
      <c r="D215" s="112" t="s">
        <v>353</v>
      </c>
      <c r="E215" s="129">
        <v>1.9722222222222221</v>
      </c>
      <c r="F215" s="112" t="s">
        <v>38</v>
      </c>
      <c r="G215" s="114">
        <v>6</v>
      </c>
      <c r="H215" s="121" t="s">
        <v>481</v>
      </c>
    </row>
    <row r="216" spans="1:8" ht="19.8" customHeight="1" x14ac:dyDescent="0.3">
      <c r="A216" s="128">
        <v>46003</v>
      </c>
      <c r="B216" s="112" t="s">
        <v>59</v>
      </c>
      <c r="C216" s="113" t="s">
        <v>371</v>
      </c>
      <c r="D216" s="112" t="s">
        <v>353</v>
      </c>
      <c r="E216" s="129">
        <v>1.447916666666667</v>
      </c>
      <c r="F216" s="112" t="s">
        <v>64</v>
      </c>
      <c r="G216" s="114">
        <v>11</v>
      </c>
      <c r="H216" s="121" t="s">
        <v>453</v>
      </c>
    </row>
    <row r="217" spans="1:8" ht="19.8" customHeight="1" x14ac:dyDescent="0.3">
      <c r="A217" s="128">
        <v>46003</v>
      </c>
      <c r="B217" s="112" t="s">
        <v>28</v>
      </c>
      <c r="C217" s="113" t="s">
        <v>375</v>
      </c>
      <c r="D217" s="112" t="s">
        <v>353</v>
      </c>
      <c r="E217" s="129">
        <v>1.756944444444444</v>
      </c>
      <c r="F217" s="112" t="s">
        <v>178</v>
      </c>
      <c r="G217" s="114">
        <v>6</v>
      </c>
      <c r="H217" s="121" t="s">
        <v>460</v>
      </c>
    </row>
    <row r="218" spans="1:8" ht="19.8" customHeight="1" x14ac:dyDescent="0.3">
      <c r="A218" s="128">
        <v>46003</v>
      </c>
      <c r="B218" s="112" t="s">
        <v>43</v>
      </c>
      <c r="C218" s="113" t="s">
        <v>380</v>
      </c>
      <c r="D218" s="112" t="s">
        <v>353</v>
      </c>
      <c r="E218" s="129">
        <v>1.336805555555556</v>
      </c>
      <c r="F218" s="112" t="s">
        <v>45</v>
      </c>
      <c r="G218" s="114">
        <v>9</v>
      </c>
      <c r="H218" s="121" t="s">
        <v>485</v>
      </c>
    </row>
    <row r="219" spans="1:8" ht="19.8" customHeight="1" x14ac:dyDescent="0.3">
      <c r="A219" s="128">
        <v>46003</v>
      </c>
      <c r="B219" s="112" t="s">
        <v>33</v>
      </c>
      <c r="C219" s="113" t="s">
        <v>356</v>
      </c>
      <c r="D219" s="112" t="s">
        <v>353</v>
      </c>
      <c r="E219" s="129">
        <v>1.9722222222222221</v>
      </c>
      <c r="F219" s="112" t="s">
        <v>41</v>
      </c>
      <c r="G219" s="114">
        <v>6</v>
      </c>
      <c r="H219" s="121" t="s">
        <v>482</v>
      </c>
    </row>
    <row r="220" spans="1:8" ht="19.8" customHeight="1" x14ac:dyDescent="0.3">
      <c r="A220" s="128">
        <v>46003</v>
      </c>
      <c r="B220" s="112" t="s">
        <v>43</v>
      </c>
      <c r="C220" s="113" t="s">
        <v>360</v>
      </c>
      <c r="D220" s="112" t="s">
        <v>353</v>
      </c>
      <c r="E220" s="129">
        <v>1.979166666666667</v>
      </c>
      <c r="F220" s="112" t="s">
        <v>45</v>
      </c>
      <c r="G220" s="114">
        <v>9</v>
      </c>
      <c r="H220" s="121" t="s">
        <v>461</v>
      </c>
    </row>
    <row r="221" spans="1:8" ht="19.8" customHeight="1" x14ac:dyDescent="0.3">
      <c r="A221" s="128">
        <v>46003</v>
      </c>
      <c r="B221" s="112" t="s">
        <v>43</v>
      </c>
      <c r="C221" s="113" t="s">
        <v>362</v>
      </c>
      <c r="D221" s="112" t="s">
        <v>353</v>
      </c>
      <c r="E221" s="129">
        <v>1.6736111111111109</v>
      </c>
      <c r="F221" s="112" t="s">
        <v>45</v>
      </c>
      <c r="G221" s="114">
        <v>9</v>
      </c>
      <c r="H221" s="121" t="s">
        <v>462</v>
      </c>
    </row>
    <row r="222" spans="1:8" ht="19.8" customHeight="1" x14ac:dyDescent="0.3">
      <c r="A222" s="128">
        <v>46003</v>
      </c>
      <c r="B222" s="112" t="s">
        <v>59</v>
      </c>
      <c r="C222" s="113" t="s">
        <v>371</v>
      </c>
      <c r="D222" s="112" t="s">
        <v>353</v>
      </c>
      <c r="E222" s="129">
        <v>1.447916666666667</v>
      </c>
      <c r="F222" s="112" t="s">
        <v>67</v>
      </c>
      <c r="G222" s="114">
        <v>11</v>
      </c>
      <c r="H222" s="121" t="s">
        <v>374</v>
      </c>
    </row>
    <row r="223" spans="1:8" ht="19.8" customHeight="1" x14ac:dyDescent="0.3">
      <c r="A223" s="130">
        <v>46003</v>
      </c>
      <c r="B223" s="117" t="s">
        <v>54</v>
      </c>
      <c r="C223" s="118" t="s">
        <v>382</v>
      </c>
      <c r="D223" s="117" t="s">
        <v>353</v>
      </c>
      <c r="E223" s="131">
        <v>1.447916666666667</v>
      </c>
      <c r="F223" s="117" t="s">
        <v>56</v>
      </c>
      <c r="G223" s="119">
        <v>4</v>
      </c>
      <c r="H223" s="122" t="s">
        <v>475</v>
      </c>
    </row>
    <row r="224" spans="1:8" ht="19.8" customHeight="1" x14ac:dyDescent="0.3">
      <c r="A224" s="128">
        <v>46004</v>
      </c>
      <c r="B224" s="112" t="s">
        <v>33</v>
      </c>
      <c r="C224" s="113" t="s">
        <v>364</v>
      </c>
      <c r="D224" s="112" t="s">
        <v>353</v>
      </c>
      <c r="E224" s="129">
        <v>1.336805555555556</v>
      </c>
      <c r="F224" s="112" t="s">
        <v>35</v>
      </c>
      <c r="G224" s="114">
        <v>5</v>
      </c>
      <c r="H224" s="121" t="s">
        <v>486</v>
      </c>
    </row>
    <row r="225" spans="1:8" ht="19.8" customHeight="1" x14ac:dyDescent="0.3">
      <c r="A225" s="132">
        <v>46004</v>
      </c>
      <c r="B225" s="124" t="s">
        <v>76</v>
      </c>
      <c r="C225" s="125" t="s">
        <v>389</v>
      </c>
      <c r="D225" s="124" t="s">
        <v>353</v>
      </c>
      <c r="E225" s="133">
        <v>1.7222222222222221</v>
      </c>
      <c r="F225" s="124" t="s">
        <v>178</v>
      </c>
      <c r="G225" s="126">
        <v>9</v>
      </c>
      <c r="H225" s="150" t="s">
        <v>489</v>
      </c>
    </row>
    <row r="226" spans="1:8" ht="19.8" customHeight="1" x14ac:dyDescent="0.3">
      <c r="A226" s="128">
        <v>46004</v>
      </c>
      <c r="B226" s="112" t="s">
        <v>33</v>
      </c>
      <c r="C226" s="113" t="s">
        <v>356</v>
      </c>
      <c r="D226" s="112" t="s">
        <v>353</v>
      </c>
      <c r="E226" s="129">
        <v>1.9722222222222221</v>
      </c>
      <c r="F226" s="112" t="s">
        <v>35</v>
      </c>
      <c r="G226" s="114">
        <v>4</v>
      </c>
      <c r="H226" s="121" t="s">
        <v>468</v>
      </c>
    </row>
    <row r="227" spans="1:8" ht="19.8" customHeight="1" x14ac:dyDescent="0.3">
      <c r="A227" s="128">
        <v>46004</v>
      </c>
      <c r="B227" s="112" t="s">
        <v>33</v>
      </c>
      <c r="C227" s="113" t="s">
        <v>364</v>
      </c>
      <c r="D227" s="112" t="s">
        <v>353</v>
      </c>
      <c r="E227" s="129">
        <v>1.336805555555556</v>
      </c>
      <c r="F227" s="112" t="s">
        <v>38</v>
      </c>
      <c r="G227" s="114">
        <v>5</v>
      </c>
      <c r="H227" s="121" t="s">
        <v>453</v>
      </c>
    </row>
    <row r="228" spans="1:8" ht="19.8" customHeight="1" x14ac:dyDescent="0.3">
      <c r="A228" s="128">
        <v>46004</v>
      </c>
      <c r="B228" s="112" t="s">
        <v>28</v>
      </c>
      <c r="C228" s="113" t="s">
        <v>386</v>
      </c>
      <c r="D228" s="112" t="s">
        <v>353</v>
      </c>
      <c r="E228" s="129">
        <v>1.694444444444444</v>
      </c>
      <c r="F228" s="112" t="s">
        <v>178</v>
      </c>
      <c r="G228" s="114">
        <v>6</v>
      </c>
      <c r="H228" s="121" t="s">
        <v>460</v>
      </c>
    </row>
    <row r="229" spans="1:8" ht="19.8" customHeight="1" x14ac:dyDescent="0.3">
      <c r="A229" s="128">
        <v>46004</v>
      </c>
      <c r="B229" s="112" t="s">
        <v>43</v>
      </c>
      <c r="C229" s="113" t="s">
        <v>360</v>
      </c>
      <c r="D229" s="112" t="s">
        <v>353</v>
      </c>
      <c r="E229" s="129">
        <v>1.979166666666667</v>
      </c>
      <c r="F229" s="112" t="s">
        <v>45</v>
      </c>
      <c r="G229" s="114">
        <v>9</v>
      </c>
      <c r="H229" s="121" t="s">
        <v>461</v>
      </c>
    </row>
    <row r="230" spans="1:8" ht="19.8" customHeight="1" x14ac:dyDescent="0.3">
      <c r="A230" s="128">
        <v>46004</v>
      </c>
      <c r="B230" s="112" t="s">
        <v>43</v>
      </c>
      <c r="C230" s="113" t="s">
        <v>380</v>
      </c>
      <c r="D230" s="112" t="s">
        <v>353</v>
      </c>
      <c r="E230" s="129">
        <v>1.336805555555556</v>
      </c>
      <c r="F230" s="112" t="s">
        <v>45</v>
      </c>
      <c r="G230" s="114">
        <v>9</v>
      </c>
      <c r="H230" s="121" t="s">
        <v>491</v>
      </c>
    </row>
    <row r="231" spans="1:8" ht="19.8" customHeight="1" x14ac:dyDescent="0.3">
      <c r="A231" s="128">
        <v>46004</v>
      </c>
      <c r="B231" s="112" t="s">
        <v>33</v>
      </c>
      <c r="C231" s="113" t="s">
        <v>356</v>
      </c>
      <c r="D231" s="112" t="s">
        <v>353</v>
      </c>
      <c r="E231" s="129">
        <v>1.9722222222222221</v>
      </c>
      <c r="F231" s="112" t="s">
        <v>38</v>
      </c>
      <c r="G231" s="114">
        <v>4</v>
      </c>
      <c r="H231" s="121" t="s">
        <v>487</v>
      </c>
    </row>
    <row r="232" spans="1:8" ht="19.8" customHeight="1" x14ac:dyDescent="0.3">
      <c r="A232" s="128">
        <v>46004</v>
      </c>
      <c r="B232" s="112" t="s">
        <v>33</v>
      </c>
      <c r="C232" s="113" t="s">
        <v>364</v>
      </c>
      <c r="D232" s="112" t="s">
        <v>353</v>
      </c>
      <c r="E232" s="129">
        <v>1.336805555555556</v>
      </c>
      <c r="F232" s="112" t="s">
        <v>41</v>
      </c>
      <c r="G232" s="114">
        <v>5</v>
      </c>
      <c r="H232" s="121" t="s">
        <v>440</v>
      </c>
    </row>
    <row r="233" spans="1:8" ht="19.8" customHeight="1" x14ac:dyDescent="0.3">
      <c r="A233" s="128">
        <v>46004</v>
      </c>
      <c r="B233" s="112" t="s">
        <v>33</v>
      </c>
      <c r="C233" s="113" t="s">
        <v>356</v>
      </c>
      <c r="D233" s="112" t="s">
        <v>353</v>
      </c>
      <c r="E233" s="129">
        <v>1.9722222222222221</v>
      </c>
      <c r="F233" s="112" t="s">
        <v>41</v>
      </c>
      <c r="G233" s="114">
        <v>4</v>
      </c>
      <c r="H233" s="121" t="s">
        <v>488</v>
      </c>
    </row>
    <row r="234" spans="1:8" ht="19.8" customHeight="1" x14ac:dyDescent="0.3">
      <c r="A234" s="128">
        <v>46004</v>
      </c>
      <c r="B234" s="112" t="s">
        <v>43</v>
      </c>
      <c r="C234" s="113" t="s">
        <v>362</v>
      </c>
      <c r="D234" s="112" t="s">
        <v>353</v>
      </c>
      <c r="E234" s="129">
        <v>1.6736111111111109</v>
      </c>
      <c r="F234" s="112" t="s">
        <v>45</v>
      </c>
      <c r="G234" s="114">
        <v>9</v>
      </c>
      <c r="H234" s="121" t="s">
        <v>451</v>
      </c>
    </row>
    <row r="235" spans="1:8" ht="19.8" customHeight="1" x14ac:dyDescent="0.3">
      <c r="A235" s="130">
        <v>46004</v>
      </c>
      <c r="B235" s="117" t="s">
        <v>54</v>
      </c>
      <c r="C235" s="118" t="s">
        <v>382</v>
      </c>
      <c r="D235" s="117" t="s">
        <v>353</v>
      </c>
      <c r="E235" s="131">
        <v>1.447916666666667</v>
      </c>
      <c r="F235" s="117" t="s">
        <v>56</v>
      </c>
      <c r="G235" s="119">
        <v>4</v>
      </c>
      <c r="H235" s="122" t="s">
        <v>463</v>
      </c>
    </row>
    <row r="236" spans="1:8" ht="19.8" customHeight="1" x14ac:dyDescent="0.3">
      <c r="A236" s="128">
        <v>46005</v>
      </c>
      <c r="B236" s="112" t="s">
        <v>102</v>
      </c>
      <c r="C236" s="113" t="s">
        <v>404</v>
      </c>
      <c r="D236" s="112" t="s">
        <v>353</v>
      </c>
      <c r="E236" s="129">
        <v>1.0138888888888891</v>
      </c>
      <c r="F236" s="112" t="s">
        <v>178</v>
      </c>
      <c r="G236" s="114">
        <v>7</v>
      </c>
      <c r="H236" s="121" t="s">
        <v>492</v>
      </c>
    </row>
    <row r="237" spans="1:8" ht="19.8" customHeight="1" x14ac:dyDescent="0.3">
      <c r="A237" s="128">
        <v>46005</v>
      </c>
      <c r="B237" s="112" t="s">
        <v>28</v>
      </c>
      <c r="C237" s="113" t="s">
        <v>354</v>
      </c>
      <c r="D237" s="112" t="s">
        <v>353</v>
      </c>
      <c r="E237" s="129">
        <v>1.756944444444444</v>
      </c>
      <c r="F237" s="112" t="s">
        <v>178</v>
      </c>
      <c r="G237" s="114">
        <v>8</v>
      </c>
      <c r="H237" s="121" t="s">
        <v>460</v>
      </c>
    </row>
    <row r="238" spans="1:8" ht="19.8" customHeight="1" x14ac:dyDescent="0.3">
      <c r="A238" s="128">
        <v>46005</v>
      </c>
      <c r="B238" s="112" t="s">
        <v>43</v>
      </c>
      <c r="C238" s="113" t="s">
        <v>360</v>
      </c>
      <c r="D238" s="112" t="s">
        <v>353</v>
      </c>
      <c r="E238" s="129">
        <v>1.979166666666667</v>
      </c>
      <c r="F238" s="112" t="s">
        <v>45</v>
      </c>
      <c r="G238" s="114">
        <v>9</v>
      </c>
      <c r="H238" s="121" t="s">
        <v>461</v>
      </c>
    </row>
    <row r="239" spans="1:8" ht="19.8" customHeight="1" x14ac:dyDescent="0.3">
      <c r="A239" s="128">
        <v>46005</v>
      </c>
      <c r="B239" s="112" t="s">
        <v>54</v>
      </c>
      <c r="C239" s="113" t="s">
        <v>382</v>
      </c>
      <c r="D239" s="112" t="s">
        <v>353</v>
      </c>
      <c r="E239" s="129">
        <v>1.447916666666667</v>
      </c>
      <c r="F239" s="112" t="s">
        <v>56</v>
      </c>
      <c r="G239" s="114">
        <v>4</v>
      </c>
      <c r="H239" s="121" t="s">
        <v>463</v>
      </c>
    </row>
    <row r="240" spans="1:8" ht="19.8" customHeight="1" x14ac:dyDescent="0.3">
      <c r="A240" s="130">
        <v>46005</v>
      </c>
      <c r="B240" s="117" t="s">
        <v>43</v>
      </c>
      <c r="C240" s="118" t="s">
        <v>362</v>
      </c>
      <c r="D240" s="117" t="s">
        <v>353</v>
      </c>
      <c r="E240" s="131">
        <v>1.6736111111111109</v>
      </c>
      <c r="F240" s="117" t="s">
        <v>45</v>
      </c>
      <c r="G240" s="119">
        <v>9</v>
      </c>
      <c r="H240" s="122" t="s">
        <v>493</v>
      </c>
    </row>
    <row r="241" spans="1:8" ht="19.8" customHeight="1" x14ac:dyDescent="0.3">
      <c r="A241" s="128">
        <v>46006</v>
      </c>
      <c r="B241" s="112" t="s">
        <v>43</v>
      </c>
      <c r="C241" s="113" t="s">
        <v>360</v>
      </c>
      <c r="D241" s="112" t="s">
        <v>353</v>
      </c>
      <c r="E241" s="129">
        <v>1.979166666666667</v>
      </c>
      <c r="F241" s="112" t="s">
        <v>45</v>
      </c>
      <c r="G241" s="114">
        <v>9</v>
      </c>
      <c r="H241" s="121" t="s">
        <v>464</v>
      </c>
    </row>
    <row r="242" spans="1:8" ht="19.8" customHeight="1" x14ac:dyDescent="0.3">
      <c r="A242" s="128">
        <v>46006</v>
      </c>
      <c r="B242" s="112" t="s">
        <v>43</v>
      </c>
      <c r="C242" s="113" t="s">
        <v>380</v>
      </c>
      <c r="D242" s="112" t="s">
        <v>353</v>
      </c>
      <c r="E242" s="129">
        <v>1.336805555555556</v>
      </c>
      <c r="F242" s="112" t="s">
        <v>45</v>
      </c>
      <c r="G242" s="114">
        <v>9</v>
      </c>
      <c r="H242" s="121" t="s">
        <v>464</v>
      </c>
    </row>
    <row r="243" spans="1:8" ht="19.8" customHeight="1" x14ac:dyDescent="0.3">
      <c r="A243" s="128">
        <v>46006</v>
      </c>
      <c r="B243" s="112" t="s">
        <v>28</v>
      </c>
      <c r="C243" s="113" t="s">
        <v>375</v>
      </c>
      <c r="D243" s="112" t="s">
        <v>353</v>
      </c>
      <c r="E243" s="129">
        <v>1.756944444444444</v>
      </c>
      <c r="F243" s="112" t="s">
        <v>178</v>
      </c>
      <c r="G243" s="114">
        <v>9</v>
      </c>
      <c r="H243" s="121" t="s">
        <v>447</v>
      </c>
    </row>
    <row r="244" spans="1:8" ht="19.8" customHeight="1" x14ac:dyDescent="0.3">
      <c r="A244" s="128">
        <v>46006</v>
      </c>
      <c r="B244" s="112" t="s">
        <v>43</v>
      </c>
      <c r="C244" s="113" t="s">
        <v>362</v>
      </c>
      <c r="D244" s="112" t="s">
        <v>353</v>
      </c>
      <c r="E244" s="129">
        <v>1.6736111111111109</v>
      </c>
      <c r="F244" s="112" t="s">
        <v>45</v>
      </c>
      <c r="G244" s="114">
        <v>9</v>
      </c>
      <c r="H244" s="121" t="s">
        <v>462</v>
      </c>
    </row>
    <row r="245" spans="1:8" ht="19.8" customHeight="1" x14ac:dyDescent="0.3">
      <c r="A245" s="130">
        <v>46006</v>
      </c>
      <c r="B245" s="117" t="s">
        <v>54</v>
      </c>
      <c r="C245" s="118" t="s">
        <v>382</v>
      </c>
      <c r="D245" s="117" t="s">
        <v>353</v>
      </c>
      <c r="E245" s="131">
        <v>1.447916666666667</v>
      </c>
      <c r="F245" s="117" t="s">
        <v>56</v>
      </c>
      <c r="G245" s="119">
        <v>4</v>
      </c>
      <c r="H245" s="122" t="s">
        <v>475</v>
      </c>
    </row>
    <row r="246" spans="1:8" ht="19.8" customHeight="1" x14ac:dyDescent="0.3">
      <c r="A246" s="132">
        <v>46007</v>
      </c>
      <c r="B246" s="124" t="s">
        <v>76</v>
      </c>
      <c r="C246" s="125" t="s">
        <v>389</v>
      </c>
      <c r="D246" s="124" t="s">
        <v>353</v>
      </c>
      <c r="E246" s="133">
        <v>1.069444444444444</v>
      </c>
      <c r="F246" s="124" t="s">
        <v>178</v>
      </c>
      <c r="G246" s="126">
        <v>6</v>
      </c>
      <c r="H246" s="150" t="s">
        <v>483</v>
      </c>
    </row>
    <row r="247" spans="1:8" ht="19.8" customHeight="1" x14ac:dyDescent="0.3">
      <c r="A247" s="128">
        <v>46007</v>
      </c>
      <c r="B247" s="112" t="s">
        <v>102</v>
      </c>
      <c r="C247" s="113" t="s">
        <v>387</v>
      </c>
      <c r="D247" s="112" t="s">
        <v>353</v>
      </c>
      <c r="E247" s="129">
        <v>1.881944444444444</v>
      </c>
      <c r="F247" s="112" t="s">
        <v>178</v>
      </c>
      <c r="G247" s="114">
        <v>7</v>
      </c>
      <c r="H247" s="121" t="s">
        <v>473</v>
      </c>
    </row>
    <row r="248" spans="1:8" ht="19.8" customHeight="1" x14ac:dyDescent="0.3">
      <c r="A248" s="128">
        <v>46007</v>
      </c>
      <c r="B248" s="112" t="s">
        <v>28</v>
      </c>
      <c r="C248" s="113" t="s">
        <v>386</v>
      </c>
      <c r="D248" s="112" t="s">
        <v>353</v>
      </c>
      <c r="E248" s="129">
        <v>1.756944444444444</v>
      </c>
      <c r="F248" s="112" t="s">
        <v>178</v>
      </c>
      <c r="G248" s="114">
        <v>7</v>
      </c>
      <c r="H248" s="121" t="s">
        <v>474</v>
      </c>
    </row>
    <row r="249" spans="1:8" ht="19.8" customHeight="1" x14ac:dyDescent="0.3">
      <c r="A249" s="128">
        <v>46007</v>
      </c>
      <c r="B249" s="112" t="s">
        <v>43</v>
      </c>
      <c r="C249" s="113" t="s">
        <v>380</v>
      </c>
      <c r="D249" s="112" t="s">
        <v>353</v>
      </c>
      <c r="E249" s="129">
        <v>1.336805555555556</v>
      </c>
      <c r="F249" s="112" t="s">
        <v>91</v>
      </c>
      <c r="G249" s="114">
        <v>9</v>
      </c>
      <c r="H249" s="121" t="s">
        <v>495</v>
      </c>
    </row>
    <row r="250" spans="1:8" ht="19.8" customHeight="1" x14ac:dyDescent="0.3">
      <c r="A250" s="128">
        <v>46007</v>
      </c>
      <c r="B250" s="112" t="s">
        <v>43</v>
      </c>
      <c r="C250" s="113" t="s">
        <v>360</v>
      </c>
      <c r="D250" s="112" t="s">
        <v>353</v>
      </c>
      <c r="E250" s="129">
        <v>1.979166666666667</v>
      </c>
      <c r="F250" s="112" t="s">
        <v>45</v>
      </c>
      <c r="G250" s="114">
        <v>9</v>
      </c>
      <c r="H250" s="121" t="s">
        <v>496</v>
      </c>
    </row>
    <row r="251" spans="1:8" ht="19.8" customHeight="1" x14ac:dyDescent="0.3">
      <c r="A251" s="128">
        <v>46007</v>
      </c>
      <c r="B251" s="112" t="s">
        <v>43</v>
      </c>
      <c r="C251" s="113" t="s">
        <v>362</v>
      </c>
      <c r="D251" s="112" t="s">
        <v>353</v>
      </c>
      <c r="E251" s="129">
        <v>1.6736111111111109</v>
      </c>
      <c r="F251" s="112" t="s">
        <v>45</v>
      </c>
      <c r="G251" s="114">
        <v>9</v>
      </c>
      <c r="H251" s="121" t="s">
        <v>497</v>
      </c>
    </row>
    <row r="252" spans="1:8" ht="19.8" customHeight="1" x14ac:dyDescent="0.3">
      <c r="A252" s="130">
        <v>46007</v>
      </c>
      <c r="B252" s="117" t="s">
        <v>54</v>
      </c>
      <c r="C252" s="118" t="s">
        <v>382</v>
      </c>
      <c r="D252" s="117" t="s">
        <v>353</v>
      </c>
      <c r="E252" s="131">
        <v>1.447916666666667</v>
      </c>
      <c r="F252" s="117" t="s">
        <v>56</v>
      </c>
      <c r="G252" s="119">
        <v>4</v>
      </c>
      <c r="H252" s="122" t="s">
        <v>475</v>
      </c>
    </row>
    <row r="253" spans="1:8" ht="19.8" customHeight="1" x14ac:dyDescent="0.3">
      <c r="A253" s="128">
        <v>46008</v>
      </c>
      <c r="B253" s="112" t="s">
        <v>28</v>
      </c>
      <c r="C253" s="113" t="s">
        <v>375</v>
      </c>
      <c r="D253" s="112" t="s">
        <v>353</v>
      </c>
      <c r="E253" s="129">
        <v>1.694444444444444</v>
      </c>
      <c r="F253" s="112" t="s">
        <v>178</v>
      </c>
      <c r="G253" s="114">
        <v>9</v>
      </c>
      <c r="H253" s="121" t="s">
        <v>474</v>
      </c>
    </row>
    <row r="254" spans="1:8" ht="19.8" customHeight="1" x14ac:dyDescent="0.3">
      <c r="A254" s="128">
        <v>46008</v>
      </c>
      <c r="B254" s="112" t="s">
        <v>43</v>
      </c>
      <c r="C254" s="113" t="s">
        <v>360</v>
      </c>
      <c r="D254" s="112" t="s">
        <v>353</v>
      </c>
      <c r="E254" s="129">
        <v>1.979166666666667</v>
      </c>
      <c r="F254" s="112" t="s">
        <v>45</v>
      </c>
      <c r="G254" s="114">
        <v>9</v>
      </c>
      <c r="H254" s="121" t="s">
        <v>498</v>
      </c>
    </row>
    <row r="255" spans="1:8" ht="19.8" customHeight="1" x14ac:dyDescent="0.3">
      <c r="A255" s="128">
        <v>46008</v>
      </c>
      <c r="B255" s="112" t="s">
        <v>43</v>
      </c>
      <c r="C255" s="113" t="s">
        <v>380</v>
      </c>
      <c r="D255" s="112" t="s">
        <v>353</v>
      </c>
      <c r="E255" s="129">
        <v>1.336805555555556</v>
      </c>
      <c r="F255" s="112" t="s">
        <v>45</v>
      </c>
      <c r="G255" s="114">
        <v>9</v>
      </c>
      <c r="H255" s="121" t="s">
        <v>498</v>
      </c>
    </row>
    <row r="256" spans="1:8" ht="19.8" customHeight="1" x14ac:dyDescent="0.3">
      <c r="A256" s="128">
        <v>46008</v>
      </c>
      <c r="B256" s="112" t="s">
        <v>43</v>
      </c>
      <c r="C256" s="113" t="s">
        <v>362</v>
      </c>
      <c r="D256" s="112" t="s">
        <v>353</v>
      </c>
      <c r="E256" s="129">
        <v>1.6736111111111109</v>
      </c>
      <c r="F256" s="112" t="s">
        <v>45</v>
      </c>
      <c r="G256" s="114">
        <v>9</v>
      </c>
      <c r="H256" s="121" t="s">
        <v>496</v>
      </c>
    </row>
    <row r="257" spans="1:8" ht="19.8" customHeight="1" x14ac:dyDescent="0.3">
      <c r="A257" s="130">
        <v>46008</v>
      </c>
      <c r="B257" s="117" t="s">
        <v>54</v>
      </c>
      <c r="C257" s="118" t="s">
        <v>382</v>
      </c>
      <c r="D257" s="117" t="s">
        <v>353</v>
      </c>
      <c r="E257" s="131">
        <v>1.447916666666667</v>
      </c>
      <c r="F257" s="117" t="s">
        <v>56</v>
      </c>
      <c r="G257" s="119">
        <v>4</v>
      </c>
      <c r="H257" s="122" t="s">
        <v>475</v>
      </c>
    </row>
    <row r="258" spans="1:8" ht="19.8" customHeight="1" x14ac:dyDescent="0.3">
      <c r="A258" s="128">
        <v>46009</v>
      </c>
      <c r="B258" s="112" t="s">
        <v>59</v>
      </c>
      <c r="C258" s="113" t="s">
        <v>371</v>
      </c>
      <c r="D258" s="112" t="s">
        <v>353</v>
      </c>
      <c r="E258" s="129">
        <v>1.447916666666667</v>
      </c>
      <c r="F258" s="112" t="s">
        <v>61</v>
      </c>
      <c r="G258" s="114">
        <v>12</v>
      </c>
      <c r="H258" s="121" t="s">
        <v>466</v>
      </c>
    </row>
    <row r="259" spans="1:8" ht="19.8" customHeight="1" x14ac:dyDescent="0.3">
      <c r="A259" s="128">
        <v>46009</v>
      </c>
      <c r="B259" s="112" t="s">
        <v>33</v>
      </c>
      <c r="C259" s="113" t="s">
        <v>364</v>
      </c>
      <c r="D259" s="112" t="s">
        <v>353</v>
      </c>
      <c r="E259" s="129">
        <v>1.336805555555556</v>
      </c>
      <c r="F259" s="112" t="s">
        <v>35</v>
      </c>
      <c r="G259" s="114">
        <v>6</v>
      </c>
      <c r="H259" s="121" t="s">
        <v>466</v>
      </c>
    </row>
    <row r="260" spans="1:8" ht="19.8" customHeight="1" x14ac:dyDescent="0.3">
      <c r="A260" s="128">
        <v>46009</v>
      </c>
      <c r="B260" s="112" t="s">
        <v>33</v>
      </c>
      <c r="C260" s="113" t="s">
        <v>356</v>
      </c>
      <c r="D260" s="112" t="s">
        <v>353</v>
      </c>
      <c r="E260" s="129">
        <v>1.9722222222222221</v>
      </c>
      <c r="F260" s="112" t="s">
        <v>35</v>
      </c>
      <c r="G260" s="114">
        <v>6</v>
      </c>
      <c r="H260" s="121" t="s">
        <v>467</v>
      </c>
    </row>
    <row r="261" spans="1:8" ht="19.8" customHeight="1" x14ac:dyDescent="0.3">
      <c r="A261" s="132">
        <v>46009</v>
      </c>
      <c r="B261" s="124" t="s">
        <v>76</v>
      </c>
      <c r="C261" s="125" t="s">
        <v>389</v>
      </c>
      <c r="D261" s="124" t="s">
        <v>353</v>
      </c>
      <c r="E261" s="133">
        <v>1.7222222222222221</v>
      </c>
      <c r="F261" s="124" t="s">
        <v>178</v>
      </c>
      <c r="G261" s="126">
        <v>9</v>
      </c>
      <c r="H261" s="150" t="s">
        <v>502</v>
      </c>
    </row>
    <row r="262" spans="1:8" ht="19.8" customHeight="1" x14ac:dyDescent="0.3">
      <c r="A262" s="128">
        <v>46009</v>
      </c>
      <c r="B262" s="112" t="s">
        <v>102</v>
      </c>
      <c r="C262" s="113" t="s">
        <v>387</v>
      </c>
      <c r="D262" s="112" t="s">
        <v>353</v>
      </c>
      <c r="E262" s="129">
        <v>1.7048611111111109</v>
      </c>
      <c r="F262" s="112" t="s">
        <v>178</v>
      </c>
      <c r="G262" s="114">
        <v>4</v>
      </c>
      <c r="H262" s="121" t="s">
        <v>473</v>
      </c>
    </row>
    <row r="263" spans="1:8" ht="19.8" customHeight="1" x14ac:dyDescent="0.3">
      <c r="A263" s="128">
        <v>46009</v>
      </c>
      <c r="B263" s="112" t="s">
        <v>28</v>
      </c>
      <c r="C263" s="113" t="s">
        <v>354</v>
      </c>
      <c r="D263" s="112" t="s">
        <v>353</v>
      </c>
      <c r="E263" s="129">
        <v>1.3611111111111109</v>
      </c>
      <c r="F263" s="112" t="s">
        <v>178</v>
      </c>
      <c r="G263" s="114">
        <v>8</v>
      </c>
      <c r="H263" s="121" t="s">
        <v>504</v>
      </c>
    </row>
    <row r="264" spans="1:8" ht="19.8" customHeight="1" x14ac:dyDescent="0.3">
      <c r="A264" s="128">
        <v>46009</v>
      </c>
      <c r="B264" s="112" t="s">
        <v>28</v>
      </c>
      <c r="C264" s="113" t="s">
        <v>386</v>
      </c>
      <c r="D264" s="112" t="s">
        <v>353</v>
      </c>
      <c r="E264" s="129">
        <v>1.756944444444444</v>
      </c>
      <c r="F264" s="112" t="s">
        <v>178</v>
      </c>
      <c r="G264" s="114">
        <v>1</v>
      </c>
      <c r="H264" s="121" t="s">
        <v>504</v>
      </c>
    </row>
    <row r="265" spans="1:8" ht="19.8" customHeight="1" x14ac:dyDescent="0.3">
      <c r="A265" s="128">
        <v>46009</v>
      </c>
      <c r="B265" s="112" t="s">
        <v>33</v>
      </c>
      <c r="C265" s="113" t="s">
        <v>364</v>
      </c>
      <c r="D265" s="112" t="s">
        <v>353</v>
      </c>
      <c r="E265" s="129">
        <v>1.336805555555556</v>
      </c>
      <c r="F265" s="112" t="s">
        <v>38</v>
      </c>
      <c r="G265" s="114">
        <v>6</v>
      </c>
      <c r="H265" s="121" t="s">
        <v>501</v>
      </c>
    </row>
    <row r="266" spans="1:8" ht="19.8" customHeight="1" x14ac:dyDescent="0.3">
      <c r="A266" s="128">
        <v>46009</v>
      </c>
      <c r="B266" s="112" t="s">
        <v>33</v>
      </c>
      <c r="C266" s="113" t="s">
        <v>356</v>
      </c>
      <c r="D266" s="112" t="s">
        <v>353</v>
      </c>
      <c r="E266" s="129">
        <v>1.9722222222222221</v>
      </c>
      <c r="F266" s="112" t="s">
        <v>38</v>
      </c>
      <c r="G266" s="114">
        <v>6</v>
      </c>
      <c r="H266" s="121" t="s">
        <v>468</v>
      </c>
    </row>
    <row r="267" spans="1:8" ht="19.8" customHeight="1" x14ac:dyDescent="0.3">
      <c r="A267" s="128">
        <v>46009</v>
      </c>
      <c r="B267" s="112" t="s">
        <v>59</v>
      </c>
      <c r="C267" s="113" t="s">
        <v>371</v>
      </c>
      <c r="D267" s="112" t="s">
        <v>353</v>
      </c>
      <c r="E267" s="129">
        <v>1.447916666666667</v>
      </c>
      <c r="F267" s="112" t="s">
        <v>64</v>
      </c>
      <c r="G267" s="114">
        <v>12</v>
      </c>
      <c r="H267" s="121" t="s">
        <v>453</v>
      </c>
    </row>
    <row r="268" spans="1:8" ht="19.8" customHeight="1" x14ac:dyDescent="0.3">
      <c r="A268" s="128">
        <v>46009</v>
      </c>
      <c r="B268" s="112" t="s">
        <v>43</v>
      </c>
      <c r="C268" s="113" t="s">
        <v>380</v>
      </c>
      <c r="D268" s="112" t="s">
        <v>353</v>
      </c>
      <c r="E268" s="129">
        <v>1.336805555555556</v>
      </c>
      <c r="F268" s="112" t="s">
        <v>91</v>
      </c>
      <c r="G268" s="114">
        <v>9</v>
      </c>
      <c r="H268" s="121" t="s">
        <v>495</v>
      </c>
    </row>
    <row r="269" spans="1:8" ht="19.8" customHeight="1" x14ac:dyDescent="0.3">
      <c r="A269" s="128">
        <v>46009</v>
      </c>
      <c r="B269" s="112" t="s">
        <v>33</v>
      </c>
      <c r="C269" s="113" t="s">
        <v>364</v>
      </c>
      <c r="D269" s="112" t="s">
        <v>353</v>
      </c>
      <c r="E269" s="129">
        <v>1.336805555555556</v>
      </c>
      <c r="F269" s="112" t="s">
        <v>41</v>
      </c>
      <c r="G269" s="114">
        <v>6</v>
      </c>
      <c r="H269" s="121" t="s">
        <v>485</v>
      </c>
    </row>
    <row r="270" spans="1:8" ht="19.8" customHeight="1" x14ac:dyDescent="0.3">
      <c r="A270" s="128">
        <v>46009</v>
      </c>
      <c r="B270" s="112" t="s">
        <v>43</v>
      </c>
      <c r="C270" s="113" t="s">
        <v>360</v>
      </c>
      <c r="D270" s="112" t="s">
        <v>353</v>
      </c>
      <c r="E270" s="129">
        <v>1.979166666666667</v>
      </c>
      <c r="F270" s="112" t="s">
        <v>45</v>
      </c>
      <c r="G270" s="114">
        <v>9</v>
      </c>
      <c r="H270" s="121" t="s">
        <v>498</v>
      </c>
    </row>
    <row r="271" spans="1:8" ht="19.8" customHeight="1" x14ac:dyDescent="0.3">
      <c r="A271" s="128">
        <v>46009</v>
      </c>
      <c r="B271" s="112" t="s">
        <v>33</v>
      </c>
      <c r="C271" s="113" t="s">
        <v>356</v>
      </c>
      <c r="D271" s="112" t="s">
        <v>353</v>
      </c>
      <c r="E271" s="129">
        <v>1.9722222222222221</v>
      </c>
      <c r="F271" s="112" t="s">
        <v>41</v>
      </c>
      <c r="G271" s="114">
        <v>6</v>
      </c>
      <c r="H271" s="121" t="s">
        <v>469</v>
      </c>
    </row>
    <row r="272" spans="1:8" ht="19.8" customHeight="1" x14ac:dyDescent="0.3">
      <c r="A272" s="128">
        <v>46009</v>
      </c>
      <c r="B272" s="112" t="s">
        <v>43</v>
      </c>
      <c r="C272" s="113" t="s">
        <v>362</v>
      </c>
      <c r="D272" s="112" t="s">
        <v>353</v>
      </c>
      <c r="E272" s="129">
        <v>1.6736111111111109</v>
      </c>
      <c r="F272" s="112" t="s">
        <v>45</v>
      </c>
      <c r="G272" s="114">
        <v>9</v>
      </c>
      <c r="H272" s="121" t="s">
        <v>497</v>
      </c>
    </row>
    <row r="273" spans="1:8" ht="19.8" customHeight="1" x14ac:dyDescent="0.3">
      <c r="A273" s="128">
        <v>46009</v>
      </c>
      <c r="B273" s="112" t="s">
        <v>59</v>
      </c>
      <c r="C273" s="113" t="s">
        <v>371</v>
      </c>
      <c r="D273" s="112" t="s">
        <v>353</v>
      </c>
      <c r="E273" s="129">
        <v>1.447916666666667</v>
      </c>
      <c r="F273" s="112" t="s">
        <v>67</v>
      </c>
      <c r="G273" s="114">
        <v>12</v>
      </c>
      <c r="H273" s="121" t="s">
        <v>374</v>
      </c>
    </row>
    <row r="274" spans="1:8" ht="19.8" customHeight="1" x14ac:dyDescent="0.3">
      <c r="A274" s="130">
        <v>46009</v>
      </c>
      <c r="B274" s="117" t="s">
        <v>54</v>
      </c>
      <c r="C274" s="118" t="s">
        <v>382</v>
      </c>
      <c r="D274" s="117" t="s">
        <v>353</v>
      </c>
      <c r="E274" s="131">
        <v>1.447916666666667</v>
      </c>
      <c r="F274" s="117" t="s">
        <v>56</v>
      </c>
      <c r="G274" s="119">
        <v>4</v>
      </c>
      <c r="H274" s="122" t="s">
        <v>475</v>
      </c>
    </row>
    <row r="275" spans="1:8" ht="19.8" customHeight="1" x14ac:dyDescent="0.3">
      <c r="A275" s="128">
        <v>46010</v>
      </c>
      <c r="B275" s="112" t="s">
        <v>59</v>
      </c>
      <c r="C275" s="113" t="s">
        <v>371</v>
      </c>
      <c r="D275" s="112" t="s">
        <v>353</v>
      </c>
      <c r="E275" s="129">
        <v>1.447916666666667</v>
      </c>
      <c r="F275" s="112" t="s">
        <v>61</v>
      </c>
      <c r="G275" s="114">
        <v>12</v>
      </c>
      <c r="H275" s="121" t="s">
        <v>466</v>
      </c>
    </row>
    <row r="276" spans="1:8" ht="19.8" customHeight="1" x14ac:dyDescent="0.3">
      <c r="A276" s="132">
        <v>46010</v>
      </c>
      <c r="B276" s="124" t="s">
        <v>76</v>
      </c>
      <c r="C276" s="125" t="s">
        <v>389</v>
      </c>
      <c r="D276" s="124" t="s">
        <v>353</v>
      </c>
      <c r="E276" s="133">
        <v>1.381944444444444</v>
      </c>
      <c r="F276" s="124" t="s">
        <v>178</v>
      </c>
      <c r="G276" s="126">
        <v>9</v>
      </c>
      <c r="H276" s="150" t="s">
        <v>502</v>
      </c>
    </row>
    <row r="277" spans="1:8" ht="19.8" customHeight="1" x14ac:dyDescent="0.3">
      <c r="A277" s="128">
        <v>46010</v>
      </c>
      <c r="B277" s="112" t="s">
        <v>33</v>
      </c>
      <c r="C277" s="113" t="s">
        <v>356</v>
      </c>
      <c r="D277" s="112" t="s">
        <v>353</v>
      </c>
      <c r="E277" s="129">
        <v>1.9722222222222221</v>
      </c>
      <c r="F277" s="112" t="s">
        <v>35</v>
      </c>
      <c r="G277" s="114">
        <v>5</v>
      </c>
      <c r="H277" s="121" t="s">
        <v>506</v>
      </c>
    </row>
    <row r="278" spans="1:8" ht="19.8" customHeight="1" x14ac:dyDescent="0.3">
      <c r="A278" s="128">
        <v>46010</v>
      </c>
      <c r="B278" s="112" t="s">
        <v>59</v>
      </c>
      <c r="C278" s="113" t="s">
        <v>371</v>
      </c>
      <c r="D278" s="112" t="s">
        <v>353</v>
      </c>
      <c r="E278" s="129">
        <v>1.447916666666667</v>
      </c>
      <c r="F278" s="112" t="s">
        <v>64</v>
      </c>
      <c r="G278" s="114">
        <v>12</v>
      </c>
      <c r="H278" s="121" t="s">
        <v>453</v>
      </c>
    </row>
    <row r="279" spans="1:8" ht="19.8" customHeight="1" x14ac:dyDescent="0.3">
      <c r="A279" s="128">
        <v>46010</v>
      </c>
      <c r="B279" s="112" t="s">
        <v>28</v>
      </c>
      <c r="C279" s="113" t="s">
        <v>375</v>
      </c>
      <c r="D279" s="112" t="s">
        <v>353</v>
      </c>
      <c r="E279" s="129">
        <v>1.756944444444444</v>
      </c>
      <c r="F279" s="112" t="s">
        <v>178</v>
      </c>
      <c r="G279" s="114">
        <v>5</v>
      </c>
      <c r="H279" s="121" t="s">
        <v>460</v>
      </c>
    </row>
    <row r="280" spans="1:8" ht="19.8" customHeight="1" x14ac:dyDescent="0.3">
      <c r="A280" s="128">
        <v>46010</v>
      </c>
      <c r="B280" s="112" t="s">
        <v>33</v>
      </c>
      <c r="C280" s="113" t="s">
        <v>356</v>
      </c>
      <c r="D280" s="112" t="s">
        <v>353</v>
      </c>
      <c r="E280" s="129">
        <v>1.9722222222222221</v>
      </c>
      <c r="F280" s="112" t="s">
        <v>38</v>
      </c>
      <c r="G280" s="114">
        <v>5</v>
      </c>
      <c r="H280" s="121" t="s">
        <v>482</v>
      </c>
    </row>
    <row r="281" spans="1:8" ht="19.8" customHeight="1" x14ac:dyDescent="0.3">
      <c r="A281" s="128">
        <v>46010</v>
      </c>
      <c r="B281" s="112" t="s">
        <v>43</v>
      </c>
      <c r="C281" s="113" t="s">
        <v>360</v>
      </c>
      <c r="D281" s="112" t="s">
        <v>353</v>
      </c>
      <c r="E281" s="129">
        <v>1.979166666666667</v>
      </c>
      <c r="F281" s="112" t="s">
        <v>45</v>
      </c>
      <c r="G281" s="114">
        <v>9</v>
      </c>
      <c r="H281" s="121" t="s">
        <v>496</v>
      </c>
    </row>
    <row r="282" spans="1:8" ht="19.8" customHeight="1" x14ac:dyDescent="0.3">
      <c r="A282" s="128">
        <v>46010</v>
      </c>
      <c r="B282" s="112" t="s">
        <v>43</v>
      </c>
      <c r="C282" s="113" t="s">
        <v>380</v>
      </c>
      <c r="D282" s="112" t="s">
        <v>353</v>
      </c>
      <c r="E282" s="129">
        <v>1.336805555555556</v>
      </c>
      <c r="F282" s="112" t="s">
        <v>45</v>
      </c>
      <c r="G282" s="114">
        <v>9</v>
      </c>
      <c r="H282" s="121" t="s">
        <v>507</v>
      </c>
    </row>
    <row r="283" spans="1:8" ht="19.8" customHeight="1" x14ac:dyDescent="0.3">
      <c r="A283" s="128">
        <v>46010</v>
      </c>
      <c r="B283" s="112" t="s">
        <v>43</v>
      </c>
      <c r="C283" s="113" t="s">
        <v>362</v>
      </c>
      <c r="D283" s="112" t="s">
        <v>353</v>
      </c>
      <c r="E283" s="129">
        <v>1.6736111111111109</v>
      </c>
      <c r="F283" s="112" t="s">
        <v>45</v>
      </c>
      <c r="G283" s="114">
        <v>9</v>
      </c>
      <c r="H283" s="121" t="s">
        <v>497</v>
      </c>
    </row>
    <row r="284" spans="1:8" ht="19.8" customHeight="1" x14ac:dyDescent="0.3">
      <c r="A284" s="128">
        <v>46010</v>
      </c>
      <c r="B284" s="112" t="s">
        <v>33</v>
      </c>
      <c r="C284" s="113" t="s">
        <v>356</v>
      </c>
      <c r="D284" s="112" t="s">
        <v>353</v>
      </c>
      <c r="E284" s="129">
        <v>1.9722222222222221</v>
      </c>
      <c r="F284" s="112" t="s">
        <v>41</v>
      </c>
      <c r="G284" s="114">
        <v>5</v>
      </c>
      <c r="H284" s="121" t="s">
        <v>436</v>
      </c>
    </row>
    <row r="285" spans="1:8" ht="19.8" customHeight="1" x14ac:dyDescent="0.3">
      <c r="A285" s="128">
        <v>46010</v>
      </c>
      <c r="B285" s="112" t="s">
        <v>59</v>
      </c>
      <c r="C285" s="113" t="s">
        <v>371</v>
      </c>
      <c r="D285" s="112" t="s">
        <v>353</v>
      </c>
      <c r="E285" s="129">
        <v>1.447916666666667</v>
      </c>
      <c r="F285" s="112" t="s">
        <v>67</v>
      </c>
      <c r="G285" s="114">
        <v>12</v>
      </c>
      <c r="H285" s="121" t="s">
        <v>374</v>
      </c>
    </row>
    <row r="286" spans="1:8" ht="19.8" customHeight="1" x14ac:dyDescent="0.3">
      <c r="A286" s="130">
        <v>46010</v>
      </c>
      <c r="B286" s="117" t="s">
        <v>54</v>
      </c>
      <c r="C286" s="118" t="s">
        <v>382</v>
      </c>
      <c r="D286" s="117" t="s">
        <v>353</v>
      </c>
      <c r="E286" s="131">
        <v>1.447916666666667</v>
      </c>
      <c r="F286" s="117" t="s">
        <v>56</v>
      </c>
      <c r="G286" s="119">
        <v>4</v>
      </c>
      <c r="H286" s="122" t="s">
        <v>475</v>
      </c>
    </row>
    <row r="287" spans="1:8" ht="19.8" customHeight="1" x14ac:dyDescent="0.3">
      <c r="A287" s="132">
        <v>46011</v>
      </c>
      <c r="B287" s="124" t="s">
        <v>76</v>
      </c>
      <c r="C287" s="125" t="s">
        <v>389</v>
      </c>
      <c r="D287" s="124" t="s">
        <v>353</v>
      </c>
      <c r="E287" s="133">
        <v>1.7222222222222221</v>
      </c>
      <c r="F287" s="124" t="s">
        <v>178</v>
      </c>
      <c r="G287" s="126">
        <v>6</v>
      </c>
      <c r="H287" s="150" t="s">
        <v>489</v>
      </c>
    </row>
    <row r="288" spans="1:8" ht="19.8" customHeight="1" x14ac:dyDescent="0.3">
      <c r="A288" s="128">
        <v>46011</v>
      </c>
      <c r="B288" s="112" t="s">
        <v>28</v>
      </c>
      <c r="C288" s="113" t="s">
        <v>386</v>
      </c>
      <c r="D288" s="112" t="s">
        <v>353</v>
      </c>
      <c r="E288" s="129">
        <v>1.694444444444444</v>
      </c>
      <c r="F288" s="112" t="s">
        <v>178</v>
      </c>
      <c r="G288" s="114">
        <v>4</v>
      </c>
      <c r="H288" s="121" t="s">
        <v>460</v>
      </c>
    </row>
    <row r="289" spans="1:8" ht="19.8" customHeight="1" x14ac:dyDescent="0.3">
      <c r="A289" s="128">
        <v>46011</v>
      </c>
      <c r="B289" s="112" t="s">
        <v>43</v>
      </c>
      <c r="C289" s="113" t="s">
        <v>380</v>
      </c>
      <c r="D289" s="112" t="s">
        <v>353</v>
      </c>
      <c r="E289" s="129">
        <v>1.336805555555556</v>
      </c>
      <c r="F289" s="112" t="s">
        <v>91</v>
      </c>
      <c r="G289" s="114">
        <v>9</v>
      </c>
      <c r="H289" s="121" t="s">
        <v>495</v>
      </c>
    </row>
    <row r="290" spans="1:8" ht="19.8" customHeight="1" x14ac:dyDescent="0.3">
      <c r="A290" s="128">
        <v>46011</v>
      </c>
      <c r="B290" s="112" t="s">
        <v>43</v>
      </c>
      <c r="C290" s="113" t="s">
        <v>360</v>
      </c>
      <c r="D290" s="112" t="s">
        <v>353</v>
      </c>
      <c r="E290" s="129">
        <v>1.979166666666667</v>
      </c>
      <c r="F290" s="112" t="s">
        <v>45</v>
      </c>
      <c r="G290" s="114">
        <v>9</v>
      </c>
      <c r="H290" s="121" t="s">
        <v>496</v>
      </c>
    </row>
    <row r="291" spans="1:8" ht="19.8" customHeight="1" x14ac:dyDescent="0.3">
      <c r="A291" s="128">
        <v>46011</v>
      </c>
      <c r="B291" s="112" t="s">
        <v>43</v>
      </c>
      <c r="C291" s="113" t="s">
        <v>362</v>
      </c>
      <c r="D291" s="112" t="s">
        <v>353</v>
      </c>
      <c r="E291" s="129">
        <v>1.677083333333333</v>
      </c>
      <c r="F291" s="112" t="s">
        <v>45</v>
      </c>
      <c r="G291" s="114">
        <v>9</v>
      </c>
      <c r="H291" s="121" t="s">
        <v>497</v>
      </c>
    </row>
    <row r="292" spans="1:8" ht="19.8" customHeight="1" x14ac:dyDescent="0.3">
      <c r="A292" s="130">
        <v>46011</v>
      </c>
      <c r="B292" s="117" t="s">
        <v>54</v>
      </c>
      <c r="C292" s="118" t="s">
        <v>382</v>
      </c>
      <c r="D292" s="117" t="s">
        <v>353</v>
      </c>
      <c r="E292" s="131">
        <v>1.447916666666667</v>
      </c>
      <c r="F292" s="117" t="s">
        <v>56</v>
      </c>
      <c r="G292" s="119">
        <v>4</v>
      </c>
      <c r="H292" s="122" t="s">
        <v>510</v>
      </c>
    </row>
    <row r="293" spans="1:8" ht="19.8" customHeight="1" x14ac:dyDescent="0.3">
      <c r="A293" s="128">
        <v>46012</v>
      </c>
      <c r="B293" s="112" t="s">
        <v>102</v>
      </c>
      <c r="C293" s="113" t="s">
        <v>402</v>
      </c>
      <c r="D293" s="112" t="s">
        <v>353</v>
      </c>
      <c r="E293" s="129">
        <v>1.9201388888888891</v>
      </c>
      <c r="F293" s="112" t="s">
        <v>178</v>
      </c>
      <c r="G293" s="114">
        <v>6</v>
      </c>
      <c r="H293" s="121" t="s">
        <v>473</v>
      </c>
    </row>
    <row r="294" spans="1:8" ht="19.8" customHeight="1" x14ac:dyDescent="0.3">
      <c r="A294" s="128">
        <v>46012</v>
      </c>
      <c r="B294" s="112" t="s">
        <v>28</v>
      </c>
      <c r="C294" s="113" t="s">
        <v>354</v>
      </c>
      <c r="D294" s="112" t="s">
        <v>353</v>
      </c>
      <c r="E294" s="129">
        <v>1.756944444444444</v>
      </c>
      <c r="F294" s="112" t="s">
        <v>178</v>
      </c>
      <c r="G294" s="114">
        <v>9</v>
      </c>
      <c r="H294" s="121" t="s">
        <v>474</v>
      </c>
    </row>
    <row r="295" spans="1:8" ht="19.8" customHeight="1" x14ac:dyDescent="0.3">
      <c r="A295" s="128">
        <v>46012</v>
      </c>
      <c r="B295" s="112" t="s">
        <v>43</v>
      </c>
      <c r="C295" s="113" t="s">
        <v>360</v>
      </c>
      <c r="D295" s="112" t="s">
        <v>353</v>
      </c>
      <c r="E295" s="129">
        <v>1.979166666666667</v>
      </c>
      <c r="F295" s="112" t="s">
        <v>45</v>
      </c>
      <c r="G295" s="114">
        <v>9</v>
      </c>
      <c r="H295" s="121" t="s">
        <v>498</v>
      </c>
    </row>
    <row r="296" spans="1:8" ht="19.8" customHeight="1" x14ac:dyDescent="0.3">
      <c r="A296" s="128">
        <v>46012</v>
      </c>
      <c r="B296" s="112" t="s">
        <v>43</v>
      </c>
      <c r="C296" s="113" t="s">
        <v>380</v>
      </c>
      <c r="D296" s="112" t="s">
        <v>353</v>
      </c>
      <c r="E296" s="129">
        <v>1.336805555555556</v>
      </c>
      <c r="F296" s="112" t="s">
        <v>45</v>
      </c>
      <c r="G296" s="114">
        <v>9</v>
      </c>
      <c r="H296" s="121" t="s">
        <v>498</v>
      </c>
    </row>
    <row r="297" spans="1:8" ht="19.8" customHeight="1" x14ac:dyDescent="0.3">
      <c r="A297" s="128">
        <v>46012</v>
      </c>
      <c r="B297" s="112" t="s">
        <v>43</v>
      </c>
      <c r="C297" s="113" t="s">
        <v>362</v>
      </c>
      <c r="D297" s="112" t="s">
        <v>353</v>
      </c>
      <c r="E297" s="129">
        <v>1.6736111111111109</v>
      </c>
      <c r="F297" s="112" t="s">
        <v>45</v>
      </c>
      <c r="G297" s="114">
        <v>9</v>
      </c>
      <c r="H297" s="121" t="s">
        <v>497</v>
      </c>
    </row>
    <row r="298" spans="1:8" ht="19.8" customHeight="1" x14ac:dyDescent="0.3">
      <c r="A298" s="130">
        <v>46012</v>
      </c>
      <c r="B298" s="117" t="s">
        <v>54</v>
      </c>
      <c r="C298" s="118" t="s">
        <v>382</v>
      </c>
      <c r="D298" s="117" t="s">
        <v>353</v>
      </c>
      <c r="E298" s="131">
        <v>1.447916666666667</v>
      </c>
      <c r="F298" s="117" t="s">
        <v>56</v>
      </c>
      <c r="G298" s="119">
        <v>4</v>
      </c>
      <c r="H298" s="122" t="s">
        <v>475</v>
      </c>
    </row>
    <row r="299" spans="1:8" ht="19.8" customHeight="1" x14ac:dyDescent="0.3">
      <c r="A299" s="128">
        <v>46013</v>
      </c>
      <c r="B299" s="112" t="s">
        <v>59</v>
      </c>
      <c r="C299" s="113" t="s">
        <v>371</v>
      </c>
      <c r="D299" s="112" t="s">
        <v>353</v>
      </c>
      <c r="E299" s="129">
        <v>1.447916666666667</v>
      </c>
      <c r="F299" s="112" t="s">
        <v>61</v>
      </c>
      <c r="G299" s="114">
        <v>4</v>
      </c>
      <c r="H299" s="121" t="s">
        <v>511</v>
      </c>
    </row>
    <row r="300" spans="1:8" ht="19.8" customHeight="1" x14ac:dyDescent="0.3">
      <c r="A300" s="128">
        <v>46013</v>
      </c>
      <c r="B300" s="112" t="s">
        <v>33</v>
      </c>
      <c r="C300" s="113" t="s">
        <v>364</v>
      </c>
      <c r="D300" s="112" t="s">
        <v>353</v>
      </c>
      <c r="E300" s="129">
        <v>1.336805555555556</v>
      </c>
      <c r="F300" s="112" t="s">
        <v>35</v>
      </c>
      <c r="G300" s="114">
        <v>6</v>
      </c>
      <c r="H300" s="121" t="s">
        <v>511</v>
      </c>
    </row>
    <row r="301" spans="1:8" ht="19.8" customHeight="1" x14ac:dyDescent="0.3">
      <c r="A301" s="128">
        <v>46013</v>
      </c>
      <c r="B301" s="112" t="s">
        <v>33</v>
      </c>
      <c r="C301" s="113" t="s">
        <v>364</v>
      </c>
      <c r="D301" s="112" t="s">
        <v>353</v>
      </c>
      <c r="E301" s="129">
        <v>1.336805555555556</v>
      </c>
      <c r="F301" s="112" t="s">
        <v>38</v>
      </c>
      <c r="G301" s="114">
        <v>6</v>
      </c>
      <c r="H301" s="121" t="s">
        <v>513</v>
      </c>
    </row>
    <row r="302" spans="1:8" ht="19.8" customHeight="1" x14ac:dyDescent="0.3">
      <c r="A302" s="128">
        <v>46013</v>
      </c>
      <c r="B302" s="112" t="s">
        <v>33</v>
      </c>
      <c r="C302" s="113" t="s">
        <v>356</v>
      </c>
      <c r="D302" s="112" t="s">
        <v>353</v>
      </c>
      <c r="E302" s="129">
        <v>1.9722222222222221</v>
      </c>
      <c r="F302" s="112" t="s">
        <v>35</v>
      </c>
      <c r="G302" s="114">
        <v>6</v>
      </c>
      <c r="H302" s="121" t="s">
        <v>473</v>
      </c>
    </row>
    <row r="303" spans="1:8" ht="19.8" customHeight="1" x14ac:dyDescent="0.3">
      <c r="A303" s="128">
        <v>46013</v>
      </c>
      <c r="B303" s="112" t="s">
        <v>59</v>
      </c>
      <c r="C303" s="113" t="s">
        <v>371</v>
      </c>
      <c r="D303" s="112" t="s">
        <v>353</v>
      </c>
      <c r="E303" s="129">
        <v>1.447916666666667</v>
      </c>
      <c r="F303" s="112" t="s">
        <v>64</v>
      </c>
      <c r="G303" s="114">
        <v>4</v>
      </c>
      <c r="H303" s="121" t="s">
        <v>512</v>
      </c>
    </row>
    <row r="304" spans="1:8" ht="19.8" customHeight="1" x14ac:dyDescent="0.3">
      <c r="A304" s="128">
        <v>46013</v>
      </c>
      <c r="B304" s="112" t="s">
        <v>33</v>
      </c>
      <c r="C304" s="113" t="s">
        <v>364</v>
      </c>
      <c r="D304" s="112" t="s">
        <v>353</v>
      </c>
      <c r="E304" s="129">
        <v>1.336805555555556</v>
      </c>
      <c r="F304" s="112" t="s">
        <v>41</v>
      </c>
      <c r="G304" s="114">
        <v>6</v>
      </c>
      <c r="H304" s="121" t="s">
        <v>468</v>
      </c>
    </row>
    <row r="305" spans="1:8" ht="19.8" customHeight="1" x14ac:dyDescent="0.3">
      <c r="A305" s="128">
        <v>46013</v>
      </c>
      <c r="B305" s="112" t="s">
        <v>28</v>
      </c>
      <c r="C305" s="113" t="s">
        <v>375</v>
      </c>
      <c r="D305" s="112" t="s">
        <v>353</v>
      </c>
      <c r="E305" s="129">
        <v>1.756944444444444</v>
      </c>
      <c r="F305" s="112" t="s">
        <v>178</v>
      </c>
      <c r="G305" s="114">
        <v>8</v>
      </c>
      <c r="H305" s="121" t="s">
        <v>460</v>
      </c>
    </row>
    <row r="306" spans="1:8" ht="19.8" customHeight="1" x14ac:dyDescent="0.3">
      <c r="A306" s="128">
        <v>46013</v>
      </c>
      <c r="B306" s="112" t="s">
        <v>33</v>
      </c>
      <c r="C306" s="113" t="s">
        <v>356</v>
      </c>
      <c r="D306" s="112" t="s">
        <v>353</v>
      </c>
      <c r="E306" s="129">
        <v>1.9722222222222221</v>
      </c>
      <c r="F306" s="112" t="s">
        <v>38</v>
      </c>
      <c r="G306" s="114">
        <v>6</v>
      </c>
      <c r="H306" s="121" t="s">
        <v>514</v>
      </c>
    </row>
    <row r="307" spans="1:8" ht="19.8" customHeight="1" x14ac:dyDescent="0.3">
      <c r="A307" s="128">
        <v>46013</v>
      </c>
      <c r="B307" s="112" t="s">
        <v>43</v>
      </c>
      <c r="C307" s="113" t="s">
        <v>360</v>
      </c>
      <c r="D307" s="112" t="s">
        <v>353</v>
      </c>
      <c r="E307" s="129">
        <v>1.979166666666667</v>
      </c>
      <c r="F307" s="112" t="s">
        <v>45</v>
      </c>
      <c r="G307" s="114">
        <v>9</v>
      </c>
      <c r="H307" s="121" t="s">
        <v>498</v>
      </c>
    </row>
    <row r="308" spans="1:8" ht="19.8" customHeight="1" x14ac:dyDescent="0.3">
      <c r="A308" s="128">
        <v>46013</v>
      </c>
      <c r="B308" s="112" t="s">
        <v>43</v>
      </c>
      <c r="C308" s="113" t="s">
        <v>380</v>
      </c>
      <c r="D308" s="112" t="s">
        <v>353</v>
      </c>
      <c r="E308" s="129">
        <v>1.336805555555556</v>
      </c>
      <c r="F308" s="112" t="s">
        <v>45</v>
      </c>
      <c r="G308" s="114">
        <v>9</v>
      </c>
      <c r="H308" s="121" t="s">
        <v>498</v>
      </c>
    </row>
    <row r="309" spans="1:8" ht="19.8" customHeight="1" x14ac:dyDescent="0.3">
      <c r="A309" s="128">
        <v>46013</v>
      </c>
      <c r="B309" s="112" t="s">
        <v>43</v>
      </c>
      <c r="C309" s="113" t="s">
        <v>362</v>
      </c>
      <c r="D309" s="112" t="s">
        <v>353</v>
      </c>
      <c r="E309" s="129">
        <v>1.6736111111111109</v>
      </c>
      <c r="F309" s="112" t="s">
        <v>45</v>
      </c>
      <c r="G309" s="114">
        <v>9</v>
      </c>
      <c r="H309" s="121" t="s">
        <v>496</v>
      </c>
    </row>
    <row r="310" spans="1:8" ht="19.8" customHeight="1" x14ac:dyDescent="0.3">
      <c r="A310" s="128">
        <v>46013</v>
      </c>
      <c r="B310" s="112" t="s">
        <v>33</v>
      </c>
      <c r="C310" s="113" t="s">
        <v>356</v>
      </c>
      <c r="D310" s="112" t="s">
        <v>353</v>
      </c>
      <c r="E310" s="129">
        <v>1.9722222222222221</v>
      </c>
      <c r="F310" s="112" t="s">
        <v>41</v>
      </c>
      <c r="G310" s="114">
        <v>6</v>
      </c>
      <c r="H310" s="121" t="s">
        <v>515</v>
      </c>
    </row>
    <row r="311" spans="1:8" ht="19.8" customHeight="1" x14ac:dyDescent="0.3">
      <c r="A311" s="128">
        <v>46013</v>
      </c>
      <c r="B311" s="112" t="s">
        <v>59</v>
      </c>
      <c r="C311" s="113" t="s">
        <v>371</v>
      </c>
      <c r="D311" s="112" t="s">
        <v>353</v>
      </c>
      <c r="E311" s="129">
        <v>1.447916666666667</v>
      </c>
      <c r="F311" s="112" t="s">
        <v>67</v>
      </c>
      <c r="G311" s="114">
        <v>4</v>
      </c>
      <c r="H311" s="121" t="s">
        <v>374</v>
      </c>
    </row>
    <row r="312" spans="1:8" ht="19.8" customHeight="1" x14ac:dyDescent="0.3">
      <c r="A312" s="130">
        <v>46013</v>
      </c>
      <c r="B312" s="117" t="s">
        <v>54</v>
      </c>
      <c r="C312" s="118" t="s">
        <v>382</v>
      </c>
      <c r="D312" s="117" t="s">
        <v>353</v>
      </c>
      <c r="E312" s="131">
        <v>1.447916666666667</v>
      </c>
      <c r="F312" s="117" t="s">
        <v>56</v>
      </c>
      <c r="G312" s="119">
        <v>4</v>
      </c>
      <c r="H312" s="122" t="s">
        <v>475</v>
      </c>
    </row>
    <row r="313" spans="1:8" ht="19.8" customHeight="1" x14ac:dyDescent="0.3">
      <c r="A313" s="132">
        <v>46014</v>
      </c>
      <c r="B313" s="124" t="s">
        <v>76</v>
      </c>
      <c r="C313" s="125" t="s">
        <v>389</v>
      </c>
      <c r="D313" s="124" t="s">
        <v>353</v>
      </c>
      <c r="E313" s="133">
        <v>1.069444444444444</v>
      </c>
      <c r="F313" s="124" t="s">
        <v>178</v>
      </c>
      <c r="G313" s="126">
        <v>9</v>
      </c>
      <c r="H313" s="150" t="s">
        <v>502</v>
      </c>
    </row>
    <row r="314" spans="1:8" ht="19.8" customHeight="1" x14ac:dyDescent="0.3">
      <c r="A314" s="128">
        <v>46014</v>
      </c>
      <c r="B314" s="112" t="s">
        <v>102</v>
      </c>
      <c r="C314" s="113" t="s">
        <v>387</v>
      </c>
      <c r="D314" s="112" t="s">
        <v>353</v>
      </c>
      <c r="E314" s="129">
        <v>1.881944444444444</v>
      </c>
      <c r="F314" s="112" t="s">
        <v>178</v>
      </c>
      <c r="G314" s="114">
        <v>7</v>
      </c>
      <c r="H314" s="121" t="s">
        <v>473</v>
      </c>
    </row>
    <row r="315" spans="1:8" ht="19.8" customHeight="1" x14ac:dyDescent="0.3">
      <c r="A315" s="128">
        <v>46014</v>
      </c>
      <c r="B315" s="112" t="s">
        <v>28</v>
      </c>
      <c r="C315" s="113" t="s">
        <v>386</v>
      </c>
      <c r="D315" s="112" t="s">
        <v>353</v>
      </c>
      <c r="E315" s="129">
        <v>1.756944444444444</v>
      </c>
      <c r="F315" s="112" t="s">
        <v>178</v>
      </c>
      <c r="G315" s="114">
        <v>8</v>
      </c>
      <c r="H315" s="121" t="s">
        <v>474</v>
      </c>
    </row>
    <row r="316" spans="1:8" ht="19.8" customHeight="1" x14ac:dyDescent="0.3">
      <c r="A316" s="128">
        <v>46014</v>
      </c>
      <c r="B316" s="112" t="s">
        <v>43</v>
      </c>
      <c r="C316" s="113" t="s">
        <v>360</v>
      </c>
      <c r="D316" s="112" t="s">
        <v>353</v>
      </c>
      <c r="E316" s="129">
        <v>1.979166666666667</v>
      </c>
      <c r="F316" s="112" t="s">
        <v>91</v>
      </c>
      <c r="G316" s="114">
        <v>9</v>
      </c>
      <c r="H316" s="121" t="s">
        <v>495</v>
      </c>
    </row>
    <row r="317" spans="1:8" ht="19.8" customHeight="1" x14ac:dyDescent="0.3">
      <c r="A317" s="128">
        <v>46014</v>
      </c>
      <c r="B317" s="112" t="s">
        <v>43</v>
      </c>
      <c r="C317" s="113" t="s">
        <v>362</v>
      </c>
      <c r="D317" s="112" t="s">
        <v>353</v>
      </c>
      <c r="E317" s="129">
        <v>1.6736111111111109</v>
      </c>
      <c r="F317" s="112" t="s">
        <v>45</v>
      </c>
      <c r="G317" s="114">
        <v>9</v>
      </c>
      <c r="H317" s="121" t="s">
        <v>497</v>
      </c>
    </row>
    <row r="318" spans="1:8" ht="19.8" customHeight="1" x14ac:dyDescent="0.3">
      <c r="A318" s="130">
        <v>46014</v>
      </c>
      <c r="B318" s="117" t="s">
        <v>54</v>
      </c>
      <c r="C318" s="118" t="s">
        <v>382</v>
      </c>
      <c r="D318" s="117" t="s">
        <v>353</v>
      </c>
      <c r="E318" s="131">
        <v>1.447916666666667</v>
      </c>
      <c r="F318" s="117" t="s">
        <v>56</v>
      </c>
      <c r="G318" s="119">
        <v>4</v>
      </c>
      <c r="H318" s="122" t="s">
        <v>475</v>
      </c>
    </row>
    <row r="319" spans="1:8" ht="19.8" customHeight="1" x14ac:dyDescent="0.3">
      <c r="A319" s="128">
        <v>46015</v>
      </c>
      <c r="B319" s="112" t="s">
        <v>28</v>
      </c>
      <c r="C319" s="113" t="s">
        <v>375</v>
      </c>
      <c r="D319" s="112" t="s">
        <v>353</v>
      </c>
      <c r="E319" s="129">
        <v>1.694444444444444</v>
      </c>
      <c r="F319" s="112" t="s">
        <v>178</v>
      </c>
      <c r="G319" s="114">
        <v>9</v>
      </c>
      <c r="H319" s="121" t="s">
        <v>474</v>
      </c>
    </row>
    <row r="320" spans="1:8" ht="19.8" customHeight="1" x14ac:dyDescent="0.3">
      <c r="A320" s="128">
        <v>46015</v>
      </c>
      <c r="B320" s="112" t="s">
        <v>43</v>
      </c>
      <c r="C320" s="113" t="s">
        <v>380</v>
      </c>
      <c r="D320" s="112" t="s">
        <v>353</v>
      </c>
      <c r="E320" s="129">
        <v>1.336805555555556</v>
      </c>
      <c r="F320" s="112" t="s">
        <v>91</v>
      </c>
      <c r="G320" s="114">
        <v>9</v>
      </c>
      <c r="H320" s="121" t="s">
        <v>495</v>
      </c>
    </row>
    <row r="321" spans="1:8" ht="19.8" customHeight="1" x14ac:dyDescent="0.3">
      <c r="A321" s="128">
        <v>46015</v>
      </c>
      <c r="B321" s="112" t="s">
        <v>43</v>
      </c>
      <c r="C321" s="113" t="s">
        <v>362</v>
      </c>
      <c r="D321" s="112" t="s">
        <v>353</v>
      </c>
      <c r="E321" s="129">
        <v>1.6736111111111109</v>
      </c>
      <c r="F321" s="112" t="s">
        <v>45</v>
      </c>
      <c r="G321" s="114">
        <v>9</v>
      </c>
      <c r="H321" s="121" t="s">
        <v>496</v>
      </c>
    </row>
    <row r="322" spans="1:8" ht="19.8" customHeight="1" x14ac:dyDescent="0.3">
      <c r="A322" s="128">
        <v>46015</v>
      </c>
      <c r="B322" s="112" t="s">
        <v>43</v>
      </c>
      <c r="C322" s="113" t="s">
        <v>360</v>
      </c>
      <c r="D322" s="112" t="s">
        <v>353</v>
      </c>
      <c r="E322" s="129">
        <v>1.979166666666667</v>
      </c>
      <c r="F322" s="112" t="s">
        <v>45</v>
      </c>
      <c r="G322" s="114">
        <v>9</v>
      </c>
      <c r="H322" s="121" t="s">
        <v>496</v>
      </c>
    </row>
    <row r="323" spans="1:8" ht="19.8" customHeight="1" x14ac:dyDescent="0.3">
      <c r="A323" s="130">
        <v>46015</v>
      </c>
      <c r="B323" s="117" t="s">
        <v>54</v>
      </c>
      <c r="C323" s="118" t="s">
        <v>382</v>
      </c>
      <c r="D323" s="117" t="s">
        <v>353</v>
      </c>
      <c r="E323" s="131">
        <v>1.447916666666667</v>
      </c>
      <c r="F323" s="117" t="s">
        <v>56</v>
      </c>
      <c r="G323" s="119">
        <v>4</v>
      </c>
      <c r="H323" s="122" t="s">
        <v>475</v>
      </c>
    </row>
    <row r="324" spans="1:8" ht="19.8" customHeight="1" x14ac:dyDescent="0.3">
      <c r="A324" s="128">
        <v>46016</v>
      </c>
      <c r="B324" s="112" t="s">
        <v>33</v>
      </c>
      <c r="C324" s="113" t="s">
        <v>364</v>
      </c>
      <c r="D324" s="112" t="s">
        <v>353</v>
      </c>
      <c r="E324" s="129">
        <v>1.336805555555556</v>
      </c>
      <c r="F324" s="112" t="s">
        <v>35</v>
      </c>
      <c r="G324" s="114">
        <v>1</v>
      </c>
      <c r="H324" s="121" t="s">
        <v>511</v>
      </c>
    </row>
    <row r="325" spans="1:8" ht="19.8" customHeight="1" x14ac:dyDescent="0.3">
      <c r="A325" s="128">
        <v>46016</v>
      </c>
      <c r="B325" s="112" t="s">
        <v>59</v>
      </c>
      <c r="C325" s="113" t="s">
        <v>371</v>
      </c>
      <c r="D325" s="112" t="s">
        <v>353</v>
      </c>
      <c r="E325" s="129">
        <v>1.447916666666667</v>
      </c>
      <c r="F325" s="112" t="s">
        <v>61</v>
      </c>
      <c r="G325" s="114">
        <v>10</v>
      </c>
      <c r="H325" s="121" t="s">
        <v>517</v>
      </c>
    </row>
    <row r="326" spans="1:8" ht="19.8" customHeight="1" x14ac:dyDescent="0.3">
      <c r="A326" s="128">
        <v>46016</v>
      </c>
      <c r="B326" s="112" t="s">
        <v>33</v>
      </c>
      <c r="C326" s="113" t="s">
        <v>356</v>
      </c>
      <c r="D326" s="112" t="s">
        <v>353</v>
      </c>
      <c r="E326" s="129">
        <v>1.9722222222222221</v>
      </c>
      <c r="F326" s="112" t="s">
        <v>35</v>
      </c>
      <c r="G326" s="114">
        <v>6</v>
      </c>
      <c r="H326" s="121" t="s">
        <v>517</v>
      </c>
    </row>
    <row r="327" spans="1:8" ht="19.8" customHeight="1" x14ac:dyDescent="0.3">
      <c r="A327" s="128">
        <v>46016</v>
      </c>
      <c r="B327" s="112" t="s">
        <v>33</v>
      </c>
      <c r="C327" s="113" t="s">
        <v>364</v>
      </c>
      <c r="D327" s="112" t="s">
        <v>353</v>
      </c>
      <c r="E327" s="129">
        <v>1.336805555555556</v>
      </c>
      <c r="F327" s="112" t="s">
        <v>38</v>
      </c>
      <c r="G327" s="114">
        <v>1</v>
      </c>
      <c r="H327" s="121" t="s">
        <v>513</v>
      </c>
    </row>
    <row r="328" spans="1:8" ht="19.8" customHeight="1" x14ac:dyDescent="0.3">
      <c r="A328" s="132">
        <v>46016</v>
      </c>
      <c r="B328" s="124" t="s">
        <v>76</v>
      </c>
      <c r="C328" s="125" t="s">
        <v>389</v>
      </c>
      <c r="D328" s="124" t="s">
        <v>353</v>
      </c>
      <c r="E328" s="133">
        <v>1.7222222222222221</v>
      </c>
      <c r="F328" s="124" t="s">
        <v>178</v>
      </c>
      <c r="G328" s="126">
        <v>9</v>
      </c>
      <c r="H328" s="150" t="s">
        <v>470</v>
      </c>
    </row>
    <row r="329" spans="1:8" ht="19.8" customHeight="1" x14ac:dyDescent="0.3">
      <c r="A329" s="128">
        <v>46016</v>
      </c>
      <c r="B329" s="112" t="s">
        <v>33</v>
      </c>
      <c r="C329" s="113" t="s">
        <v>356</v>
      </c>
      <c r="D329" s="112" t="s">
        <v>353</v>
      </c>
      <c r="E329" s="129">
        <v>1.9722222222222221</v>
      </c>
      <c r="F329" s="112" t="s">
        <v>38</v>
      </c>
      <c r="G329" s="114">
        <v>6</v>
      </c>
      <c r="H329" s="121" t="s">
        <v>473</v>
      </c>
    </row>
    <row r="330" spans="1:8" ht="19.8" customHeight="1" x14ac:dyDescent="0.3">
      <c r="A330" s="128">
        <v>46016</v>
      </c>
      <c r="B330" s="112" t="s">
        <v>102</v>
      </c>
      <c r="C330" s="113" t="s">
        <v>387</v>
      </c>
      <c r="D330" s="112" t="s">
        <v>353</v>
      </c>
      <c r="E330" s="129">
        <v>1.680555555555556</v>
      </c>
      <c r="F330" s="112" t="s">
        <v>178</v>
      </c>
      <c r="G330" s="114">
        <v>6</v>
      </c>
      <c r="H330" s="121" t="s">
        <v>473</v>
      </c>
    </row>
    <row r="331" spans="1:8" ht="19.8" customHeight="1" x14ac:dyDescent="0.3">
      <c r="A331" s="128">
        <v>46016</v>
      </c>
      <c r="B331" s="112" t="s">
        <v>28</v>
      </c>
      <c r="C331" s="113" t="s">
        <v>354</v>
      </c>
      <c r="D331" s="112" t="s">
        <v>353</v>
      </c>
      <c r="E331" s="129">
        <v>1.3611111111111109</v>
      </c>
      <c r="F331" s="112" t="s">
        <v>178</v>
      </c>
      <c r="G331" s="114">
        <v>9</v>
      </c>
      <c r="H331" s="121" t="s">
        <v>474</v>
      </c>
    </row>
    <row r="332" spans="1:8" ht="19.8" customHeight="1" x14ac:dyDescent="0.3">
      <c r="A332" s="128">
        <v>46016</v>
      </c>
      <c r="B332" s="112" t="s">
        <v>28</v>
      </c>
      <c r="C332" s="113" t="s">
        <v>386</v>
      </c>
      <c r="D332" s="112" t="s">
        <v>353</v>
      </c>
      <c r="E332" s="129">
        <v>1.756944444444444</v>
      </c>
      <c r="F332" s="112" t="s">
        <v>178</v>
      </c>
      <c r="G332" s="114">
        <v>8</v>
      </c>
      <c r="H332" s="121" t="s">
        <v>474</v>
      </c>
    </row>
    <row r="333" spans="1:8" ht="19.8" customHeight="1" x14ac:dyDescent="0.3">
      <c r="A333" s="128">
        <v>46016</v>
      </c>
      <c r="B333" s="112" t="s">
        <v>59</v>
      </c>
      <c r="C333" s="113" t="s">
        <v>371</v>
      </c>
      <c r="D333" s="112" t="s">
        <v>353</v>
      </c>
      <c r="E333" s="129">
        <v>1.447916666666667</v>
      </c>
      <c r="F333" s="112" t="s">
        <v>64</v>
      </c>
      <c r="G333" s="114">
        <v>10</v>
      </c>
      <c r="H333" s="121" t="s">
        <v>481</v>
      </c>
    </row>
    <row r="334" spans="1:8" ht="19.8" customHeight="1" x14ac:dyDescent="0.3">
      <c r="A334" s="128">
        <v>46016</v>
      </c>
      <c r="B334" s="112" t="s">
        <v>33</v>
      </c>
      <c r="C334" s="113" t="s">
        <v>364</v>
      </c>
      <c r="D334" s="112" t="s">
        <v>353</v>
      </c>
      <c r="E334" s="129">
        <v>1.336805555555556</v>
      </c>
      <c r="F334" s="112" t="s">
        <v>41</v>
      </c>
      <c r="G334" s="114">
        <v>1</v>
      </c>
      <c r="H334" s="121" t="s">
        <v>468</v>
      </c>
    </row>
    <row r="335" spans="1:8" ht="19.8" customHeight="1" x14ac:dyDescent="0.3">
      <c r="A335" s="128">
        <v>46016</v>
      </c>
      <c r="B335" s="112" t="s">
        <v>33</v>
      </c>
      <c r="C335" s="113" t="s">
        <v>356</v>
      </c>
      <c r="D335" s="112" t="s">
        <v>353</v>
      </c>
      <c r="E335" s="129">
        <v>1.9722222222222221</v>
      </c>
      <c r="F335" s="112" t="s">
        <v>41</v>
      </c>
      <c r="G335" s="114">
        <v>6</v>
      </c>
      <c r="H335" s="121" t="s">
        <v>518</v>
      </c>
    </row>
    <row r="336" spans="1:8" ht="19.8" customHeight="1" x14ac:dyDescent="0.3">
      <c r="A336" s="128">
        <v>46016</v>
      </c>
      <c r="B336" s="112" t="s">
        <v>43</v>
      </c>
      <c r="C336" s="113" t="s">
        <v>360</v>
      </c>
      <c r="D336" s="112" t="s">
        <v>353</v>
      </c>
      <c r="E336" s="129">
        <v>1.979166666666667</v>
      </c>
      <c r="F336" s="112" t="s">
        <v>45</v>
      </c>
      <c r="G336" s="114">
        <v>9</v>
      </c>
      <c r="H336" s="121" t="s">
        <v>498</v>
      </c>
    </row>
    <row r="337" spans="1:8" ht="19.8" customHeight="1" x14ac:dyDescent="0.3">
      <c r="A337" s="128">
        <v>46016</v>
      </c>
      <c r="B337" s="112" t="s">
        <v>43</v>
      </c>
      <c r="C337" s="113" t="s">
        <v>380</v>
      </c>
      <c r="D337" s="112" t="s">
        <v>353</v>
      </c>
      <c r="E337" s="129">
        <v>1.336805555555556</v>
      </c>
      <c r="F337" s="112" t="s">
        <v>45</v>
      </c>
      <c r="G337" s="114">
        <v>9</v>
      </c>
      <c r="H337" s="121" t="s">
        <v>520</v>
      </c>
    </row>
    <row r="338" spans="1:8" ht="19.8" customHeight="1" x14ac:dyDescent="0.3">
      <c r="A338" s="128">
        <v>46016</v>
      </c>
      <c r="B338" s="112" t="s">
        <v>43</v>
      </c>
      <c r="C338" s="113" t="s">
        <v>362</v>
      </c>
      <c r="D338" s="112" t="s">
        <v>353</v>
      </c>
      <c r="E338" s="129">
        <v>1.6736111111111109</v>
      </c>
      <c r="F338" s="112" t="s">
        <v>45</v>
      </c>
      <c r="G338" s="114">
        <v>9</v>
      </c>
      <c r="H338" s="121" t="s">
        <v>497</v>
      </c>
    </row>
    <row r="339" spans="1:8" ht="19.8" customHeight="1" x14ac:dyDescent="0.3">
      <c r="A339" s="128">
        <v>46016</v>
      </c>
      <c r="B339" s="112" t="s">
        <v>59</v>
      </c>
      <c r="C339" s="113" t="s">
        <v>371</v>
      </c>
      <c r="D339" s="112" t="s">
        <v>353</v>
      </c>
      <c r="E339" s="129">
        <v>1.447916666666667</v>
      </c>
      <c r="F339" s="112" t="s">
        <v>67</v>
      </c>
      <c r="G339" s="114">
        <v>10</v>
      </c>
      <c r="H339" s="121" t="s">
        <v>374</v>
      </c>
    </row>
    <row r="340" spans="1:8" ht="19.8" customHeight="1" x14ac:dyDescent="0.3">
      <c r="A340" s="130">
        <v>46016</v>
      </c>
      <c r="B340" s="117" t="s">
        <v>54</v>
      </c>
      <c r="C340" s="118" t="s">
        <v>382</v>
      </c>
      <c r="D340" s="117" t="s">
        <v>353</v>
      </c>
      <c r="E340" s="131">
        <v>1.447916666666667</v>
      </c>
      <c r="F340" s="117" t="s">
        <v>56</v>
      </c>
      <c r="G340" s="119">
        <v>4</v>
      </c>
      <c r="H340" s="122" t="s">
        <v>475</v>
      </c>
    </row>
    <row r="341" spans="1:8" ht="19.8" customHeight="1" x14ac:dyDescent="0.3">
      <c r="A341" s="132">
        <v>46017</v>
      </c>
      <c r="B341" s="124" t="s">
        <v>76</v>
      </c>
      <c r="C341" s="125" t="s">
        <v>389</v>
      </c>
      <c r="D341" s="124" t="s">
        <v>353</v>
      </c>
      <c r="E341" s="133">
        <v>1.381944444444444</v>
      </c>
      <c r="F341" s="124" t="s">
        <v>178</v>
      </c>
      <c r="G341" s="126">
        <v>8</v>
      </c>
      <c r="H341" s="150" t="s">
        <v>521</v>
      </c>
    </row>
    <row r="342" spans="1:8" ht="19.8" customHeight="1" x14ac:dyDescent="0.3">
      <c r="A342" s="128">
        <v>46017</v>
      </c>
      <c r="B342" s="112" t="s">
        <v>102</v>
      </c>
      <c r="C342" s="113" t="s">
        <v>404</v>
      </c>
      <c r="D342" s="112" t="s">
        <v>353</v>
      </c>
      <c r="E342" s="129">
        <v>1.0138888888888891</v>
      </c>
      <c r="F342" s="112" t="s">
        <v>178</v>
      </c>
      <c r="G342" s="114">
        <v>5</v>
      </c>
      <c r="H342" s="121" t="s">
        <v>473</v>
      </c>
    </row>
    <row r="343" spans="1:8" ht="19.8" customHeight="1" x14ac:dyDescent="0.3">
      <c r="A343" s="128">
        <v>46017</v>
      </c>
      <c r="B343" s="112" t="s">
        <v>28</v>
      </c>
      <c r="C343" s="113" t="s">
        <v>375</v>
      </c>
      <c r="D343" s="112" t="s">
        <v>353</v>
      </c>
      <c r="E343" s="129">
        <v>1.756944444444444</v>
      </c>
      <c r="F343" s="112" t="s">
        <v>178</v>
      </c>
      <c r="G343" s="114">
        <v>7</v>
      </c>
      <c r="H343" s="121" t="s">
        <v>474</v>
      </c>
    </row>
    <row r="344" spans="1:8" ht="19.8" customHeight="1" x14ac:dyDescent="0.3">
      <c r="A344" s="128">
        <v>46017</v>
      </c>
      <c r="B344" s="112" t="s">
        <v>43</v>
      </c>
      <c r="C344" s="113" t="s">
        <v>380</v>
      </c>
      <c r="D344" s="112" t="s">
        <v>353</v>
      </c>
      <c r="E344" s="129">
        <v>1.336805555555556</v>
      </c>
      <c r="F344" s="112" t="s">
        <v>91</v>
      </c>
      <c r="G344" s="114">
        <v>9</v>
      </c>
      <c r="H344" s="121" t="s">
        <v>524</v>
      </c>
    </row>
    <row r="345" spans="1:8" ht="19.8" customHeight="1" x14ac:dyDescent="0.3">
      <c r="A345" s="128">
        <v>46017</v>
      </c>
      <c r="B345" s="112" t="s">
        <v>43</v>
      </c>
      <c r="C345" s="113" t="s">
        <v>360</v>
      </c>
      <c r="D345" s="112" t="s">
        <v>353</v>
      </c>
      <c r="E345" s="129">
        <v>1.979166666666667</v>
      </c>
      <c r="F345" s="112" t="s">
        <v>45</v>
      </c>
      <c r="G345" s="114">
        <v>9</v>
      </c>
      <c r="H345" s="121" t="s">
        <v>498</v>
      </c>
    </row>
    <row r="346" spans="1:8" ht="19.8" customHeight="1" x14ac:dyDescent="0.3">
      <c r="A346" s="128">
        <v>46017</v>
      </c>
      <c r="B346" s="112" t="s">
        <v>43</v>
      </c>
      <c r="C346" s="113" t="s">
        <v>362</v>
      </c>
      <c r="D346" s="112" t="s">
        <v>353</v>
      </c>
      <c r="E346" s="129">
        <v>1.6736111111111109</v>
      </c>
      <c r="F346" s="112" t="s">
        <v>45</v>
      </c>
      <c r="G346" s="114">
        <v>9</v>
      </c>
      <c r="H346" s="121" t="s">
        <v>497</v>
      </c>
    </row>
    <row r="347" spans="1:8" ht="19.8" customHeight="1" x14ac:dyDescent="0.3">
      <c r="A347" s="130">
        <v>46017</v>
      </c>
      <c r="B347" s="117" t="s">
        <v>54</v>
      </c>
      <c r="C347" s="118" t="s">
        <v>382</v>
      </c>
      <c r="D347" s="117" t="s">
        <v>353</v>
      </c>
      <c r="E347" s="131">
        <v>1.447916666666667</v>
      </c>
      <c r="F347" s="117" t="s">
        <v>56</v>
      </c>
      <c r="G347" s="119">
        <v>4</v>
      </c>
      <c r="H347" s="122" t="s">
        <v>446</v>
      </c>
    </row>
    <row r="348" spans="1:8" ht="19.8" customHeight="1" x14ac:dyDescent="0.3">
      <c r="A348" s="128">
        <v>46018</v>
      </c>
      <c r="B348" s="112" t="s">
        <v>33</v>
      </c>
      <c r="C348" s="113" t="s">
        <v>364</v>
      </c>
      <c r="D348" s="112" t="s">
        <v>353</v>
      </c>
      <c r="E348" s="129">
        <v>1.336805555555556</v>
      </c>
      <c r="F348" s="112" t="s">
        <v>35</v>
      </c>
      <c r="G348" s="114">
        <v>6</v>
      </c>
      <c r="H348" s="121" t="s">
        <v>517</v>
      </c>
    </row>
    <row r="349" spans="1:8" ht="19.8" customHeight="1" x14ac:dyDescent="0.3">
      <c r="A349" s="132">
        <v>46018</v>
      </c>
      <c r="B349" s="124" t="s">
        <v>76</v>
      </c>
      <c r="C349" s="125" t="s">
        <v>389</v>
      </c>
      <c r="D349" s="124" t="s">
        <v>353</v>
      </c>
      <c r="E349" s="133">
        <v>1.7222222222222221</v>
      </c>
      <c r="F349" s="124" t="s">
        <v>178</v>
      </c>
      <c r="G349" s="126">
        <v>9</v>
      </c>
      <c r="H349" s="150" t="s">
        <v>483</v>
      </c>
    </row>
    <row r="350" spans="1:8" ht="19.8" customHeight="1" x14ac:dyDescent="0.3">
      <c r="A350" s="128">
        <v>46018</v>
      </c>
      <c r="B350" s="112" t="s">
        <v>33</v>
      </c>
      <c r="C350" s="113" t="s">
        <v>356</v>
      </c>
      <c r="D350" s="112" t="s">
        <v>353</v>
      </c>
      <c r="E350" s="129">
        <v>1.9722222222222221</v>
      </c>
      <c r="F350" s="112" t="s">
        <v>35</v>
      </c>
      <c r="G350" s="114">
        <v>4</v>
      </c>
      <c r="H350" s="121" t="s">
        <v>467</v>
      </c>
    </row>
    <row r="351" spans="1:8" ht="19.8" customHeight="1" x14ac:dyDescent="0.3">
      <c r="A351" s="128">
        <v>46018</v>
      </c>
      <c r="B351" s="112" t="s">
        <v>59</v>
      </c>
      <c r="C351" s="113" t="s">
        <v>371</v>
      </c>
      <c r="D351" s="112" t="s">
        <v>353</v>
      </c>
      <c r="E351" s="129">
        <v>1.447916666666667</v>
      </c>
      <c r="F351" s="112" t="s">
        <v>61</v>
      </c>
      <c r="G351" s="114">
        <v>13</v>
      </c>
      <c r="H351" s="121" t="s">
        <v>528</v>
      </c>
    </row>
    <row r="352" spans="1:8" ht="19.8" customHeight="1" x14ac:dyDescent="0.3">
      <c r="A352" s="128">
        <v>46018</v>
      </c>
      <c r="B352" s="112" t="s">
        <v>33</v>
      </c>
      <c r="C352" s="113" t="s">
        <v>364</v>
      </c>
      <c r="D352" s="112" t="s">
        <v>353</v>
      </c>
      <c r="E352" s="129">
        <v>1.336805555555556</v>
      </c>
      <c r="F352" s="112" t="s">
        <v>38</v>
      </c>
      <c r="G352" s="114">
        <v>6</v>
      </c>
      <c r="H352" s="121" t="s">
        <v>473</v>
      </c>
    </row>
    <row r="353" spans="1:8" ht="19.8" customHeight="1" x14ac:dyDescent="0.3">
      <c r="A353" s="128">
        <v>46018</v>
      </c>
      <c r="B353" s="112" t="s">
        <v>120</v>
      </c>
      <c r="C353" s="113" t="s">
        <v>425</v>
      </c>
      <c r="D353" s="112" t="s">
        <v>353</v>
      </c>
      <c r="E353" s="129">
        <v>1.7847222222222221</v>
      </c>
      <c r="F353" s="112" t="s">
        <v>122</v>
      </c>
      <c r="G353" s="114">
        <v>9</v>
      </c>
      <c r="H353" s="121" t="s">
        <v>530</v>
      </c>
    </row>
    <row r="354" spans="1:8" ht="19.8" customHeight="1" x14ac:dyDescent="0.3">
      <c r="A354" s="128">
        <v>46018</v>
      </c>
      <c r="B354" s="112" t="s">
        <v>28</v>
      </c>
      <c r="C354" s="113" t="s">
        <v>386</v>
      </c>
      <c r="D354" s="112" t="s">
        <v>353</v>
      </c>
      <c r="E354" s="129">
        <v>1.694444444444444</v>
      </c>
      <c r="F354" s="112" t="s">
        <v>178</v>
      </c>
      <c r="G354" s="114">
        <v>7</v>
      </c>
      <c r="H354" s="121" t="s">
        <v>474</v>
      </c>
    </row>
    <row r="355" spans="1:8" ht="19.8" customHeight="1" x14ac:dyDescent="0.3">
      <c r="A355" s="128">
        <v>46018</v>
      </c>
      <c r="B355" s="112" t="s">
        <v>33</v>
      </c>
      <c r="C355" s="113" t="s">
        <v>356</v>
      </c>
      <c r="D355" s="112" t="s">
        <v>353</v>
      </c>
      <c r="E355" s="129">
        <v>1.9722222222222221</v>
      </c>
      <c r="F355" s="112" t="s">
        <v>38</v>
      </c>
      <c r="G355" s="114">
        <v>4</v>
      </c>
      <c r="H355" s="121" t="s">
        <v>468</v>
      </c>
    </row>
    <row r="356" spans="1:8" ht="19.8" customHeight="1" x14ac:dyDescent="0.3">
      <c r="A356" s="128">
        <v>46018</v>
      </c>
      <c r="B356" s="112" t="s">
        <v>33</v>
      </c>
      <c r="C356" s="113" t="s">
        <v>364</v>
      </c>
      <c r="D356" s="112" t="s">
        <v>353</v>
      </c>
      <c r="E356" s="129">
        <v>1.336805555555556</v>
      </c>
      <c r="F356" s="112" t="s">
        <v>41</v>
      </c>
      <c r="G356" s="114">
        <v>6</v>
      </c>
      <c r="H356" s="121" t="s">
        <v>518</v>
      </c>
    </row>
    <row r="357" spans="1:8" ht="19.8" customHeight="1" x14ac:dyDescent="0.3">
      <c r="A357" s="128">
        <v>46018</v>
      </c>
      <c r="B357" s="112" t="s">
        <v>43</v>
      </c>
      <c r="C357" s="113" t="s">
        <v>380</v>
      </c>
      <c r="D357" s="112" t="s">
        <v>353</v>
      </c>
      <c r="E357" s="129">
        <v>1.336805555555556</v>
      </c>
      <c r="F357" s="112" t="s">
        <v>91</v>
      </c>
      <c r="G357" s="114">
        <v>9</v>
      </c>
      <c r="H357" s="121" t="s">
        <v>495</v>
      </c>
    </row>
    <row r="358" spans="1:8" ht="19.8" customHeight="1" x14ac:dyDescent="0.3">
      <c r="A358" s="128">
        <v>46018</v>
      </c>
      <c r="B358" s="112" t="s">
        <v>59</v>
      </c>
      <c r="C358" s="113" t="s">
        <v>371</v>
      </c>
      <c r="D358" s="112" t="s">
        <v>353</v>
      </c>
      <c r="E358" s="129">
        <v>1.447916666666667</v>
      </c>
      <c r="F358" s="112" t="s">
        <v>64</v>
      </c>
      <c r="G358" s="114">
        <v>13</v>
      </c>
      <c r="H358" s="121" t="s">
        <v>482</v>
      </c>
    </row>
    <row r="359" spans="1:8" ht="19.8" customHeight="1" x14ac:dyDescent="0.3">
      <c r="A359" s="128">
        <v>46018</v>
      </c>
      <c r="B359" s="112" t="s">
        <v>33</v>
      </c>
      <c r="C359" s="113" t="s">
        <v>356</v>
      </c>
      <c r="D359" s="112" t="s">
        <v>353</v>
      </c>
      <c r="E359" s="129">
        <v>1.9722222222222221</v>
      </c>
      <c r="F359" s="112" t="s">
        <v>41</v>
      </c>
      <c r="G359" s="114">
        <v>4</v>
      </c>
      <c r="H359" s="121" t="s">
        <v>469</v>
      </c>
    </row>
    <row r="360" spans="1:8" ht="19.8" customHeight="1" x14ac:dyDescent="0.3">
      <c r="A360" s="128">
        <v>46018</v>
      </c>
      <c r="B360" s="112" t="s">
        <v>43</v>
      </c>
      <c r="C360" s="113" t="s">
        <v>360</v>
      </c>
      <c r="D360" s="112" t="s">
        <v>353</v>
      </c>
      <c r="E360" s="129">
        <v>1.979166666666667</v>
      </c>
      <c r="F360" s="112" t="s">
        <v>45</v>
      </c>
      <c r="G360" s="114">
        <v>9</v>
      </c>
      <c r="H360" s="121" t="s">
        <v>496</v>
      </c>
    </row>
    <row r="361" spans="1:8" ht="19.8" customHeight="1" x14ac:dyDescent="0.3">
      <c r="A361" s="128">
        <v>46018</v>
      </c>
      <c r="B361" s="112" t="s">
        <v>120</v>
      </c>
      <c r="C361" s="113" t="s">
        <v>425</v>
      </c>
      <c r="D361" s="112" t="s">
        <v>353</v>
      </c>
      <c r="E361" s="129">
        <v>1.7847222222222221</v>
      </c>
      <c r="F361" s="112" t="s">
        <v>67</v>
      </c>
      <c r="G361" s="114">
        <v>9</v>
      </c>
      <c r="H361" s="121" t="s">
        <v>531</v>
      </c>
    </row>
    <row r="362" spans="1:8" ht="19.8" customHeight="1" x14ac:dyDescent="0.3">
      <c r="A362" s="128">
        <v>46018</v>
      </c>
      <c r="B362" s="112" t="s">
        <v>43</v>
      </c>
      <c r="C362" s="113" t="s">
        <v>362</v>
      </c>
      <c r="D362" s="112" t="s">
        <v>353</v>
      </c>
      <c r="E362" s="129">
        <v>1.6736111111111109</v>
      </c>
      <c r="F362" s="112" t="s">
        <v>45</v>
      </c>
      <c r="G362" s="114">
        <v>9</v>
      </c>
      <c r="H362" s="121" t="s">
        <v>532</v>
      </c>
    </row>
    <row r="363" spans="1:8" ht="19.8" customHeight="1" x14ac:dyDescent="0.3">
      <c r="A363" s="128">
        <v>46018</v>
      </c>
      <c r="B363" s="112" t="s">
        <v>59</v>
      </c>
      <c r="C363" s="113" t="s">
        <v>371</v>
      </c>
      <c r="D363" s="112" t="s">
        <v>353</v>
      </c>
      <c r="E363" s="129">
        <v>1.447916666666667</v>
      </c>
      <c r="F363" s="112" t="s">
        <v>67</v>
      </c>
      <c r="G363" s="114">
        <v>13</v>
      </c>
      <c r="H363" s="121" t="s">
        <v>374</v>
      </c>
    </row>
    <row r="364" spans="1:8" ht="19.8" customHeight="1" x14ac:dyDescent="0.3">
      <c r="A364" s="130">
        <v>46018</v>
      </c>
      <c r="B364" s="117" t="s">
        <v>54</v>
      </c>
      <c r="C364" s="118" t="s">
        <v>382</v>
      </c>
      <c r="D364" s="117" t="s">
        <v>353</v>
      </c>
      <c r="E364" s="131">
        <v>1.447916666666667</v>
      </c>
      <c r="F364" s="117" t="s">
        <v>56</v>
      </c>
      <c r="G364" s="119">
        <v>4</v>
      </c>
      <c r="H364" s="122" t="s">
        <v>463</v>
      </c>
    </row>
    <row r="365" spans="1:8" ht="19.8" customHeight="1" x14ac:dyDescent="0.3">
      <c r="A365" s="128">
        <v>46019</v>
      </c>
      <c r="B365" s="112" t="s">
        <v>102</v>
      </c>
      <c r="C365" s="113" t="s">
        <v>402</v>
      </c>
      <c r="D365" s="112" t="s">
        <v>353</v>
      </c>
      <c r="E365" s="129">
        <v>1.9201388888888891</v>
      </c>
      <c r="F365" s="112" t="s">
        <v>178</v>
      </c>
      <c r="G365" s="114">
        <v>4</v>
      </c>
      <c r="H365" s="121" t="s">
        <v>533</v>
      </c>
    </row>
    <row r="366" spans="1:8" ht="19.8" customHeight="1" x14ac:dyDescent="0.3">
      <c r="A366" s="128">
        <v>46019</v>
      </c>
      <c r="B366" s="112" t="s">
        <v>28</v>
      </c>
      <c r="C366" s="113" t="s">
        <v>354</v>
      </c>
      <c r="D366" s="112" t="s">
        <v>353</v>
      </c>
      <c r="E366" s="129">
        <v>1.756944444444444</v>
      </c>
      <c r="F366" s="112" t="s">
        <v>178</v>
      </c>
      <c r="G366" s="114">
        <v>8</v>
      </c>
      <c r="H366" s="121" t="s">
        <v>474</v>
      </c>
    </row>
    <row r="367" spans="1:8" ht="19.8" customHeight="1" x14ac:dyDescent="0.3">
      <c r="A367" s="128">
        <v>46019</v>
      </c>
      <c r="B367" s="112" t="s">
        <v>43</v>
      </c>
      <c r="C367" s="113" t="s">
        <v>360</v>
      </c>
      <c r="D367" s="112" t="s">
        <v>353</v>
      </c>
      <c r="E367" s="129">
        <v>1.979166666666667</v>
      </c>
      <c r="F367" s="112" t="s">
        <v>91</v>
      </c>
      <c r="G367" s="114">
        <v>9</v>
      </c>
      <c r="H367" s="121" t="s">
        <v>495</v>
      </c>
    </row>
    <row r="368" spans="1:8" ht="19.8" customHeight="1" x14ac:dyDescent="0.3">
      <c r="A368" s="128">
        <v>46019</v>
      </c>
      <c r="B368" s="112" t="s">
        <v>43</v>
      </c>
      <c r="C368" s="113" t="s">
        <v>380</v>
      </c>
      <c r="D368" s="112" t="s">
        <v>353</v>
      </c>
      <c r="E368" s="129">
        <v>1.336805555555556</v>
      </c>
      <c r="F368" s="112" t="s">
        <v>91</v>
      </c>
      <c r="G368" s="114">
        <v>9</v>
      </c>
      <c r="H368" s="121" t="s">
        <v>495</v>
      </c>
    </row>
    <row r="369" spans="1:8" ht="19.8" customHeight="1" x14ac:dyDescent="0.3">
      <c r="A369" s="128">
        <v>46019</v>
      </c>
      <c r="B369" s="112" t="s">
        <v>43</v>
      </c>
      <c r="C369" s="113" t="s">
        <v>362</v>
      </c>
      <c r="D369" s="112" t="s">
        <v>353</v>
      </c>
      <c r="E369" s="129">
        <v>1.6736111111111109</v>
      </c>
      <c r="F369" s="112" t="s">
        <v>45</v>
      </c>
      <c r="G369" s="114">
        <v>9</v>
      </c>
      <c r="H369" s="121" t="s">
        <v>496</v>
      </c>
    </row>
    <row r="370" spans="1:8" ht="19.8" customHeight="1" x14ac:dyDescent="0.3">
      <c r="A370" s="130">
        <v>46019</v>
      </c>
      <c r="B370" s="117" t="s">
        <v>54</v>
      </c>
      <c r="C370" s="118" t="s">
        <v>382</v>
      </c>
      <c r="D370" s="117" t="s">
        <v>353</v>
      </c>
      <c r="E370" s="131">
        <v>1.447916666666667</v>
      </c>
      <c r="F370" s="117" t="s">
        <v>56</v>
      </c>
      <c r="G370" s="119">
        <v>4</v>
      </c>
      <c r="H370" s="122" t="s">
        <v>475</v>
      </c>
    </row>
    <row r="371" spans="1:8" ht="19.8" customHeight="1" x14ac:dyDescent="0.3">
      <c r="A371" s="128">
        <v>46021</v>
      </c>
      <c r="B371" s="112" t="s">
        <v>102</v>
      </c>
      <c r="C371" s="113" t="s">
        <v>387</v>
      </c>
      <c r="D371" s="112" t="s">
        <v>353</v>
      </c>
      <c r="E371" s="129">
        <v>1.881944444444444</v>
      </c>
      <c r="F371" s="112" t="s">
        <v>178</v>
      </c>
      <c r="G371" s="114">
        <v>1</v>
      </c>
      <c r="H371" s="121" t="s">
        <v>533</v>
      </c>
    </row>
    <row r="372" spans="1:8" ht="19.8" customHeight="1" x14ac:dyDescent="0.3">
      <c r="A372" s="132">
        <v>46021</v>
      </c>
      <c r="B372" s="124" t="s">
        <v>76</v>
      </c>
      <c r="C372" s="125" t="s">
        <v>389</v>
      </c>
      <c r="D372" s="124" t="s">
        <v>353</v>
      </c>
      <c r="E372" s="133">
        <v>1.069444444444444</v>
      </c>
      <c r="F372" s="124" t="s">
        <v>178</v>
      </c>
      <c r="G372" s="126">
        <v>8</v>
      </c>
      <c r="H372" s="150" t="s">
        <v>521</v>
      </c>
    </row>
    <row r="373" spans="1:8" ht="19.8" customHeight="1" x14ac:dyDescent="0.3">
      <c r="A373" s="128">
        <v>46021</v>
      </c>
      <c r="B373" s="112" t="s">
        <v>28</v>
      </c>
      <c r="C373" s="113" t="s">
        <v>386</v>
      </c>
      <c r="D373" s="112" t="s">
        <v>353</v>
      </c>
      <c r="E373" s="129">
        <v>1.756944444444444</v>
      </c>
      <c r="F373" s="112" t="s">
        <v>178</v>
      </c>
      <c r="G373" s="114">
        <v>7</v>
      </c>
      <c r="H373" s="121" t="s">
        <v>474</v>
      </c>
    </row>
    <row r="374" spans="1:8" ht="19.8" customHeight="1" x14ac:dyDescent="0.3">
      <c r="A374" s="128">
        <v>46021</v>
      </c>
      <c r="B374" s="112" t="s">
        <v>43</v>
      </c>
      <c r="C374" s="113" t="s">
        <v>380</v>
      </c>
      <c r="D374" s="112" t="s">
        <v>353</v>
      </c>
      <c r="E374" s="129">
        <v>1.336805555555556</v>
      </c>
      <c r="F374" s="112" t="s">
        <v>91</v>
      </c>
      <c r="G374" s="114">
        <v>9</v>
      </c>
      <c r="H374" s="121" t="s">
        <v>495</v>
      </c>
    </row>
    <row r="375" spans="1:8" ht="19.8" customHeight="1" x14ac:dyDescent="0.3">
      <c r="A375" s="128">
        <v>46021</v>
      </c>
      <c r="B375" s="112" t="s">
        <v>43</v>
      </c>
      <c r="C375" s="113" t="s">
        <v>360</v>
      </c>
      <c r="D375" s="112" t="s">
        <v>353</v>
      </c>
      <c r="E375" s="129">
        <v>1.979166666666667</v>
      </c>
      <c r="F375" s="112" t="s">
        <v>45</v>
      </c>
      <c r="G375" s="114">
        <v>9</v>
      </c>
      <c r="H375" s="121" t="s">
        <v>496</v>
      </c>
    </row>
    <row r="376" spans="1:8" ht="19.8" customHeight="1" x14ac:dyDescent="0.3">
      <c r="A376" s="128">
        <v>46021</v>
      </c>
      <c r="B376" s="112" t="s">
        <v>43</v>
      </c>
      <c r="C376" s="113" t="s">
        <v>362</v>
      </c>
      <c r="D376" s="112" t="s">
        <v>353</v>
      </c>
      <c r="E376" s="129">
        <v>1.6736111111111109</v>
      </c>
      <c r="F376" s="112" t="s">
        <v>45</v>
      </c>
      <c r="G376" s="114">
        <v>9</v>
      </c>
      <c r="H376" s="121" t="s">
        <v>497</v>
      </c>
    </row>
    <row r="377" spans="1:8" ht="19.8" customHeight="1" x14ac:dyDescent="0.3">
      <c r="A377" s="130">
        <v>46021</v>
      </c>
      <c r="B377" s="117" t="s">
        <v>54</v>
      </c>
      <c r="C377" s="118" t="s">
        <v>382</v>
      </c>
      <c r="D377" s="117" t="s">
        <v>353</v>
      </c>
      <c r="E377" s="131">
        <v>1.447916666666667</v>
      </c>
      <c r="F377" s="117" t="s">
        <v>56</v>
      </c>
      <c r="G377" s="119">
        <v>4</v>
      </c>
      <c r="H377" s="122" t="s">
        <v>475</v>
      </c>
    </row>
    <row r="378" spans="1:8" ht="19.8" customHeight="1" x14ac:dyDescent="0.3">
      <c r="A378" s="128">
        <v>46022</v>
      </c>
      <c r="B378" s="112" t="s">
        <v>28</v>
      </c>
      <c r="C378" s="113" t="s">
        <v>375</v>
      </c>
      <c r="D378" s="112" t="s">
        <v>353</v>
      </c>
      <c r="E378" s="129">
        <v>1.694444444444444</v>
      </c>
      <c r="F378" s="112" t="s">
        <v>178</v>
      </c>
      <c r="G378" s="114">
        <v>8</v>
      </c>
      <c r="H378" s="121" t="s">
        <v>474</v>
      </c>
    </row>
    <row r="379" spans="1:8" ht="19.8" customHeight="1" x14ac:dyDescent="0.3">
      <c r="A379" s="128">
        <v>46022</v>
      </c>
      <c r="B379" s="112" t="s">
        <v>43</v>
      </c>
      <c r="C379" s="113" t="s">
        <v>380</v>
      </c>
      <c r="D379" s="112" t="s">
        <v>353</v>
      </c>
      <c r="E379" s="129">
        <v>1.336805555555556</v>
      </c>
      <c r="F379" s="112" t="s">
        <v>91</v>
      </c>
      <c r="G379" s="114">
        <v>9</v>
      </c>
      <c r="H379" s="121" t="s">
        <v>495</v>
      </c>
    </row>
    <row r="380" spans="1:8" ht="19.8" customHeight="1" x14ac:dyDescent="0.3">
      <c r="A380" s="128">
        <v>46022</v>
      </c>
      <c r="B380" s="112" t="s">
        <v>43</v>
      </c>
      <c r="C380" s="113" t="s">
        <v>360</v>
      </c>
      <c r="D380" s="112" t="s">
        <v>353</v>
      </c>
      <c r="E380" s="129">
        <v>1.979166666666667</v>
      </c>
      <c r="F380" s="112" t="s">
        <v>45</v>
      </c>
      <c r="G380" s="114">
        <v>9</v>
      </c>
      <c r="H380" s="121" t="s">
        <v>498</v>
      </c>
    </row>
    <row r="381" spans="1:8" ht="19.8" customHeight="1" x14ac:dyDescent="0.3">
      <c r="A381" s="128">
        <v>46022</v>
      </c>
      <c r="B381" s="112" t="s">
        <v>43</v>
      </c>
      <c r="C381" s="113" t="s">
        <v>362</v>
      </c>
      <c r="D381" s="112" t="s">
        <v>353</v>
      </c>
      <c r="E381" s="129">
        <v>1.6736111111111109</v>
      </c>
      <c r="F381" s="112" t="s">
        <v>45</v>
      </c>
      <c r="G381" s="114">
        <v>9</v>
      </c>
      <c r="H381" s="121" t="s">
        <v>497</v>
      </c>
    </row>
    <row r="382" spans="1:8" ht="19.8" customHeight="1" x14ac:dyDescent="0.3">
      <c r="A382" s="130">
        <v>46022</v>
      </c>
      <c r="B382" s="117" t="s">
        <v>54</v>
      </c>
      <c r="C382" s="118" t="s">
        <v>382</v>
      </c>
      <c r="D382" s="117" t="s">
        <v>353</v>
      </c>
      <c r="E382" s="131">
        <v>1.447916666666667</v>
      </c>
      <c r="F382" s="117" t="s">
        <v>56</v>
      </c>
      <c r="G382" s="119">
        <v>4</v>
      </c>
      <c r="H382" s="122" t="s">
        <v>475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45"/>
  <sheetViews>
    <sheetView topLeftCell="A124" zoomScale="85" workbookViewId="0">
      <selection activeCell="D139" sqref="D139"/>
    </sheetView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47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95.5546875" bestFit="1" customWidth="1"/>
  </cols>
  <sheetData>
    <row r="1" spans="1:92" ht="28.8" x14ac:dyDescent="0.3">
      <c r="A1" s="218" t="s">
        <v>0</v>
      </c>
      <c r="B1" s="217"/>
      <c r="C1" s="217"/>
      <c r="D1" s="217"/>
      <c r="E1" s="217"/>
      <c r="F1" s="1" t="s">
        <v>600</v>
      </c>
      <c r="G1" s="2" t="s">
        <v>2</v>
      </c>
      <c r="H1" s="216" t="s">
        <v>3</v>
      </c>
      <c r="I1" s="217"/>
      <c r="J1" s="217"/>
      <c r="K1" s="217"/>
      <c r="L1" s="217"/>
      <c r="M1" s="1" t="s">
        <v>4</v>
      </c>
      <c r="N1" s="226" t="s">
        <v>5</v>
      </c>
      <c r="O1" s="217"/>
      <c r="P1" s="217"/>
      <c r="Q1" s="217"/>
      <c r="R1" s="21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x14ac:dyDescent="0.45">
      <c r="A2" s="224" t="s">
        <v>6</v>
      </c>
      <c r="B2" s="225"/>
      <c r="C2" s="225"/>
      <c r="D2" s="225"/>
      <c r="E2" s="225"/>
      <c r="F2" s="225"/>
      <c r="G2" s="234">
        <v>45984.555148718922</v>
      </c>
      <c r="H2" s="225"/>
      <c r="I2" s="225"/>
      <c r="J2" s="225"/>
      <c r="K2" s="235">
        <v>45984.555148719402</v>
      </c>
      <c r="L2" s="225"/>
      <c r="M2" s="225"/>
      <c r="N2" s="225"/>
      <c r="O2" s="225"/>
      <c r="P2" s="225"/>
      <c r="Q2" s="236"/>
      <c r="R2" s="23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7.399999999999999" x14ac:dyDescent="0.3">
      <c r="A3" s="238" t="s">
        <v>7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5.8" x14ac:dyDescent="0.5">
      <c r="A4" s="240" t="s">
        <v>8</v>
      </c>
      <c r="B4" s="241"/>
      <c r="C4" s="241"/>
      <c r="D4" s="241"/>
      <c r="E4" s="241"/>
      <c r="F4" s="241"/>
      <c r="G4" s="4">
        <v>45985</v>
      </c>
      <c r="H4" s="237" t="s">
        <v>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8" x14ac:dyDescent="0.3">
      <c r="A6" s="54" t="s">
        <v>76</v>
      </c>
      <c r="B6" s="54" t="s">
        <v>601</v>
      </c>
      <c r="C6" s="55">
        <v>0.29166666666666669</v>
      </c>
      <c r="D6" s="54" t="s">
        <v>296</v>
      </c>
      <c r="E6" s="155"/>
      <c r="F6" s="54" t="s">
        <v>602</v>
      </c>
      <c r="G6" s="213"/>
      <c r="H6" s="56" t="s">
        <v>603</v>
      </c>
      <c r="I6" s="168">
        <v>0.99439999999999995</v>
      </c>
      <c r="J6" s="58">
        <v>179</v>
      </c>
      <c r="K6" s="59">
        <v>45983</v>
      </c>
      <c r="L6" s="58">
        <v>47</v>
      </c>
      <c r="M6" s="58">
        <v>0</v>
      </c>
      <c r="N6" s="58">
        <v>13</v>
      </c>
      <c r="O6" s="60" t="s">
        <v>604</v>
      </c>
      <c r="P6" s="61">
        <v>0.29166666666666669</v>
      </c>
      <c r="Q6" s="58">
        <v>180</v>
      </c>
      <c r="R6" s="62" t="s">
        <v>605</v>
      </c>
    </row>
    <row r="7" spans="1:92" ht="18" x14ac:dyDescent="0.3">
      <c r="A7" s="242" t="s">
        <v>606</v>
      </c>
      <c r="B7" s="243"/>
      <c r="C7" s="243"/>
      <c r="D7" s="243"/>
      <c r="E7" s="243"/>
      <c r="F7" s="243"/>
      <c r="G7" s="214"/>
      <c r="H7" s="136"/>
      <c r="I7" s="136"/>
      <c r="J7" s="136"/>
      <c r="K7" s="136"/>
      <c r="L7" s="136"/>
      <c r="M7" s="136"/>
      <c r="N7" s="136"/>
      <c r="O7" s="137"/>
      <c r="P7" s="136"/>
      <c r="Q7" s="138"/>
      <c r="R7" s="138"/>
    </row>
    <row r="8" spans="1:92" ht="18" x14ac:dyDescent="0.3">
      <c r="A8" s="34" t="s">
        <v>33</v>
      </c>
      <c r="B8" s="34" t="s">
        <v>364</v>
      </c>
      <c r="C8" s="35" t="s">
        <v>596</v>
      </c>
      <c r="D8" s="34" t="s">
        <v>35</v>
      </c>
      <c r="E8" s="34" t="s">
        <v>316</v>
      </c>
      <c r="F8" s="34" t="s">
        <v>365</v>
      </c>
      <c r="G8" s="214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18" x14ac:dyDescent="0.3">
      <c r="A9" s="34" t="s">
        <v>59</v>
      </c>
      <c r="B9" s="34" t="s">
        <v>371</v>
      </c>
      <c r="C9" s="35" t="s">
        <v>597</v>
      </c>
      <c r="D9" s="34" t="s">
        <v>61</v>
      </c>
      <c r="E9" s="34" t="s">
        <v>316</v>
      </c>
      <c r="F9" s="34" t="s">
        <v>372</v>
      </c>
      <c r="G9" s="214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18" x14ac:dyDescent="0.3">
      <c r="A10" s="34" t="s">
        <v>33</v>
      </c>
      <c r="B10" s="34" t="s">
        <v>364</v>
      </c>
      <c r="C10" s="35" t="s">
        <v>596</v>
      </c>
      <c r="D10" s="34" t="s">
        <v>38</v>
      </c>
      <c r="E10" s="34" t="s">
        <v>316</v>
      </c>
      <c r="F10" s="34" t="s">
        <v>366</v>
      </c>
      <c r="G10" s="214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18" x14ac:dyDescent="0.3">
      <c r="A11" s="34" t="s">
        <v>33</v>
      </c>
      <c r="B11" s="34" t="s">
        <v>356</v>
      </c>
      <c r="C11" s="35" t="s">
        <v>593</v>
      </c>
      <c r="D11" s="34" t="s">
        <v>35</v>
      </c>
      <c r="E11" s="34" t="s">
        <v>327</v>
      </c>
      <c r="F11" s="34" t="s">
        <v>368</v>
      </c>
      <c r="G11" s="214"/>
      <c r="H11" s="136"/>
      <c r="I11" s="136"/>
      <c r="J11" s="136"/>
      <c r="K11" s="136"/>
      <c r="L11" s="136"/>
      <c r="M11" s="136"/>
      <c r="N11" s="136"/>
      <c r="O11" s="137"/>
      <c r="P11" s="136"/>
      <c r="Q11" s="138"/>
      <c r="R11" s="138"/>
    </row>
    <row r="12" spans="1:92" ht="18" x14ac:dyDescent="0.3">
      <c r="A12" s="34" t="s">
        <v>59</v>
      </c>
      <c r="B12" s="34" t="s">
        <v>371</v>
      </c>
      <c r="C12" s="35" t="s">
        <v>597</v>
      </c>
      <c r="D12" s="34" t="s">
        <v>64</v>
      </c>
      <c r="E12" s="34" t="s">
        <v>316</v>
      </c>
      <c r="F12" s="34" t="s">
        <v>373</v>
      </c>
      <c r="G12" s="214"/>
      <c r="H12" s="136"/>
      <c r="I12" s="136"/>
      <c r="J12" s="136"/>
      <c r="K12" s="136"/>
      <c r="L12" s="136"/>
      <c r="M12" s="136"/>
      <c r="N12" s="136"/>
      <c r="O12" s="137"/>
      <c r="P12" s="136"/>
      <c r="Q12" s="138"/>
      <c r="R12" s="138"/>
    </row>
    <row r="13" spans="1:92" ht="18" x14ac:dyDescent="0.3">
      <c r="A13" s="34" t="s">
        <v>33</v>
      </c>
      <c r="B13" s="34" t="s">
        <v>364</v>
      </c>
      <c r="C13" s="35" t="s">
        <v>596</v>
      </c>
      <c r="D13" s="34" t="s">
        <v>41</v>
      </c>
      <c r="E13" s="34" t="s">
        <v>316</v>
      </c>
      <c r="F13" s="34" t="s">
        <v>367</v>
      </c>
      <c r="G13" s="214"/>
      <c r="H13" s="136"/>
      <c r="I13" s="136"/>
      <c r="J13" s="136"/>
      <c r="K13" s="136"/>
      <c r="L13" s="136"/>
      <c r="M13" s="136"/>
      <c r="N13" s="136"/>
      <c r="O13" s="137"/>
      <c r="P13" s="136"/>
      <c r="Q13" s="138"/>
      <c r="R13" s="138"/>
    </row>
    <row r="14" spans="1:92" ht="18" x14ac:dyDescent="0.3">
      <c r="A14" s="34" t="s">
        <v>33</v>
      </c>
      <c r="B14" s="34" t="s">
        <v>356</v>
      </c>
      <c r="C14" s="35" t="s">
        <v>593</v>
      </c>
      <c r="D14" s="34" t="s">
        <v>38</v>
      </c>
      <c r="E14" s="34" t="s">
        <v>327</v>
      </c>
      <c r="F14" s="34" t="s">
        <v>369</v>
      </c>
      <c r="G14" s="214"/>
      <c r="H14" s="136"/>
      <c r="I14" s="136"/>
      <c r="J14" s="136"/>
      <c r="K14" s="136"/>
      <c r="L14" s="136"/>
      <c r="M14" s="136"/>
      <c r="N14" s="136"/>
      <c r="O14" s="137"/>
      <c r="P14" s="136"/>
      <c r="Q14" s="138"/>
      <c r="R14" s="138"/>
    </row>
    <row r="15" spans="1:92" ht="18" x14ac:dyDescent="0.3">
      <c r="A15" s="34" t="s">
        <v>59</v>
      </c>
      <c r="B15" s="34" t="s">
        <v>371</v>
      </c>
      <c r="C15" s="35" t="s">
        <v>597</v>
      </c>
      <c r="D15" s="34" t="s">
        <v>67</v>
      </c>
      <c r="E15" s="34" t="s">
        <v>316</v>
      </c>
      <c r="F15" s="34" t="s">
        <v>374</v>
      </c>
      <c r="G15" s="214"/>
      <c r="H15" s="136"/>
      <c r="I15" s="136"/>
      <c r="J15" s="136"/>
      <c r="K15" s="136"/>
      <c r="L15" s="136"/>
      <c r="M15" s="136"/>
      <c r="N15" s="136"/>
      <c r="O15" s="137"/>
      <c r="P15" s="136"/>
      <c r="Q15" s="138"/>
      <c r="R15" s="138"/>
    </row>
    <row r="16" spans="1:92" ht="18" x14ac:dyDescent="0.3">
      <c r="A16" s="34" t="s">
        <v>33</v>
      </c>
      <c r="B16" s="34" t="s">
        <v>356</v>
      </c>
      <c r="C16" s="35" t="s">
        <v>593</v>
      </c>
      <c r="D16" s="34" t="s">
        <v>41</v>
      </c>
      <c r="E16" s="34" t="s">
        <v>327</v>
      </c>
      <c r="F16" s="34" t="s">
        <v>370</v>
      </c>
      <c r="G16" s="214"/>
      <c r="H16" s="136"/>
      <c r="I16" s="136"/>
      <c r="J16" s="136"/>
      <c r="K16" s="136"/>
      <c r="L16" s="136"/>
      <c r="M16" s="136"/>
      <c r="N16" s="136"/>
      <c r="O16" s="137"/>
      <c r="P16" s="136"/>
      <c r="Q16" s="138"/>
      <c r="R16" s="138"/>
    </row>
    <row r="17" spans="1:18" ht="18.600000000000001" thickBot="1" x14ac:dyDescent="0.35">
      <c r="A17" s="139" t="s">
        <v>28</v>
      </c>
      <c r="B17" s="139" t="s">
        <v>375</v>
      </c>
      <c r="C17" s="140" t="s">
        <v>592</v>
      </c>
      <c r="D17" s="139" t="s">
        <v>178</v>
      </c>
      <c r="E17" s="139" t="s">
        <v>302</v>
      </c>
      <c r="F17" s="139" t="s">
        <v>376</v>
      </c>
      <c r="G17" s="215"/>
      <c r="H17" s="141"/>
      <c r="I17" s="141"/>
      <c r="J17" s="141"/>
      <c r="K17" s="141"/>
      <c r="L17" s="141"/>
      <c r="M17" s="141"/>
      <c r="N17" s="141"/>
      <c r="O17" s="142"/>
      <c r="P17" s="141"/>
      <c r="Q17" s="143"/>
      <c r="R17" s="143"/>
    </row>
    <row r="18" spans="1:18" ht="16.2" thickBot="1" x14ac:dyDescent="0.35">
      <c r="A18" s="221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3"/>
    </row>
    <row r="19" spans="1:18" ht="27" thickTop="1" thickBot="1" x14ac:dyDescent="0.55000000000000004">
      <c r="A19" s="211" t="s">
        <v>8</v>
      </c>
      <c r="B19" s="212"/>
      <c r="C19" s="212"/>
      <c r="D19" s="212"/>
      <c r="E19" s="212"/>
      <c r="F19" s="212"/>
      <c r="G19" s="26">
        <v>45989</v>
      </c>
      <c r="H19" s="219" t="s">
        <v>9</v>
      </c>
      <c r="I19" s="220"/>
      <c r="J19" s="220"/>
      <c r="K19" s="220"/>
      <c r="L19" s="220"/>
      <c r="M19" s="220"/>
      <c r="N19" s="220"/>
      <c r="O19" s="220"/>
      <c r="P19" s="220"/>
      <c r="Q19" s="220"/>
      <c r="R19" s="220"/>
    </row>
    <row r="20" spans="1:18" ht="21" x14ac:dyDescent="0.3">
      <c r="A20" s="27" t="s">
        <v>10</v>
      </c>
      <c r="B20" s="27" t="s">
        <v>11</v>
      </c>
      <c r="C20" s="28" t="s">
        <v>12</v>
      </c>
      <c r="D20" s="27" t="s">
        <v>13</v>
      </c>
      <c r="E20" s="27" t="s">
        <v>14</v>
      </c>
      <c r="F20" s="29" t="s">
        <v>15</v>
      </c>
      <c r="G20" s="30" t="s">
        <v>16</v>
      </c>
      <c r="H20" s="27" t="s">
        <v>17</v>
      </c>
      <c r="I20" s="31" t="s">
        <v>18</v>
      </c>
      <c r="J20" s="32" t="s">
        <v>19</v>
      </c>
      <c r="K20" s="33" t="s">
        <v>20</v>
      </c>
      <c r="L20" s="32" t="s">
        <v>21</v>
      </c>
      <c r="M20" s="32" t="s">
        <v>22</v>
      </c>
      <c r="N20" s="32" t="s">
        <v>23</v>
      </c>
      <c r="O20" s="27" t="s">
        <v>24</v>
      </c>
      <c r="P20" s="28" t="s">
        <v>25</v>
      </c>
      <c r="Q20" s="32" t="s">
        <v>26</v>
      </c>
      <c r="R20" s="27" t="s">
        <v>27</v>
      </c>
    </row>
    <row r="21" spans="1:18" ht="18" x14ac:dyDescent="0.3">
      <c r="A21" s="81" t="s">
        <v>76</v>
      </c>
      <c r="B21" s="81" t="s">
        <v>601</v>
      </c>
      <c r="C21" s="82">
        <v>7.2916666666666671E-2</v>
      </c>
      <c r="D21" s="81" t="s">
        <v>178</v>
      </c>
      <c r="E21" s="81" t="s">
        <v>62</v>
      </c>
      <c r="F21" s="81" t="s">
        <v>376</v>
      </c>
      <c r="G21" s="213"/>
      <c r="H21" s="83" t="s">
        <v>603</v>
      </c>
      <c r="I21" s="169">
        <v>0.94440000000000002</v>
      </c>
      <c r="J21" s="85">
        <v>170</v>
      </c>
      <c r="K21" s="86">
        <v>45984</v>
      </c>
      <c r="L21" s="85">
        <v>55</v>
      </c>
      <c r="M21" s="85">
        <v>14</v>
      </c>
      <c r="N21" s="85">
        <v>2</v>
      </c>
      <c r="O21" s="87" t="s">
        <v>411</v>
      </c>
      <c r="P21" s="88">
        <v>7.2916666666666671E-2</v>
      </c>
      <c r="Q21" s="85">
        <v>180</v>
      </c>
      <c r="R21" s="89" t="s">
        <v>607</v>
      </c>
    </row>
    <row r="22" spans="1:18" ht="18" x14ac:dyDescent="0.3">
      <c r="A22" s="242" t="s">
        <v>606</v>
      </c>
      <c r="B22" s="243"/>
      <c r="C22" s="243"/>
      <c r="D22" s="243"/>
      <c r="E22" s="243"/>
      <c r="F22" s="243"/>
      <c r="G22" s="214"/>
      <c r="H22" s="136"/>
      <c r="I22" s="136"/>
      <c r="J22" s="136"/>
      <c r="K22" s="136"/>
      <c r="L22" s="136"/>
      <c r="M22" s="136"/>
      <c r="N22" s="136"/>
      <c r="O22" s="137"/>
      <c r="P22" s="136"/>
      <c r="Q22" s="138"/>
      <c r="R22" s="138"/>
    </row>
    <row r="23" spans="1:18" ht="18" x14ac:dyDescent="0.3">
      <c r="A23" s="34" t="s">
        <v>33</v>
      </c>
      <c r="B23" s="34" t="s">
        <v>356</v>
      </c>
      <c r="C23" s="35" t="s">
        <v>593</v>
      </c>
      <c r="D23" s="34" t="s">
        <v>35</v>
      </c>
      <c r="E23" s="34" t="s">
        <v>305</v>
      </c>
      <c r="F23" s="34" t="s">
        <v>388</v>
      </c>
      <c r="G23" s="214"/>
      <c r="H23" s="136"/>
      <c r="I23" s="136"/>
      <c r="J23" s="136"/>
      <c r="K23" s="136"/>
      <c r="L23" s="136"/>
      <c r="M23" s="136"/>
      <c r="N23" s="136"/>
      <c r="O23" s="137"/>
      <c r="P23" s="136"/>
      <c r="Q23" s="138"/>
      <c r="R23" s="138"/>
    </row>
    <row r="24" spans="1:18" ht="18" x14ac:dyDescent="0.3">
      <c r="A24" s="34" t="s">
        <v>33</v>
      </c>
      <c r="B24" s="34" t="s">
        <v>356</v>
      </c>
      <c r="C24" s="35" t="s">
        <v>593</v>
      </c>
      <c r="D24" s="34" t="s">
        <v>38</v>
      </c>
      <c r="E24" s="34" t="s">
        <v>305</v>
      </c>
      <c r="F24" s="34" t="s">
        <v>409</v>
      </c>
      <c r="G24" s="214"/>
      <c r="H24" s="136"/>
      <c r="I24" s="136"/>
      <c r="J24" s="136"/>
      <c r="K24" s="136"/>
      <c r="L24" s="136"/>
      <c r="M24" s="136"/>
      <c r="N24" s="136"/>
      <c r="O24" s="137"/>
      <c r="P24" s="136"/>
      <c r="Q24" s="138"/>
      <c r="R24" s="138"/>
    </row>
    <row r="25" spans="1:18" ht="18" x14ac:dyDescent="0.3">
      <c r="A25" s="34" t="s">
        <v>76</v>
      </c>
      <c r="B25" s="34" t="s">
        <v>389</v>
      </c>
      <c r="C25" s="35" t="s">
        <v>551</v>
      </c>
      <c r="D25" s="34" t="s">
        <v>178</v>
      </c>
      <c r="E25" s="34" t="s">
        <v>313</v>
      </c>
      <c r="F25" s="34" t="s">
        <v>376</v>
      </c>
      <c r="G25" s="214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18" x14ac:dyDescent="0.3">
      <c r="A26" s="34" t="s">
        <v>33</v>
      </c>
      <c r="B26" s="34" t="s">
        <v>356</v>
      </c>
      <c r="C26" s="35" t="s">
        <v>593</v>
      </c>
      <c r="D26" s="34" t="s">
        <v>41</v>
      </c>
      <c r="E26" s="34" t="s">
        <v>305</v>
      </c>
      <c r="F26" s="34" t="s">
        <v>410</v>
      </c>
      <c r="G26" s="214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8" x14ac:dyDescent="0.3">
      <c r="A27" s="34" t="s">
        <v>59</v>
      </c>
      <c r="B27" s="34" t="s">
        <v>371</v>
      </c>
      <c r="C27" s="35" t="s">
        <v>597</v>
      </c>
      <c r="D27" s="34" t="s">
        <v>61</v>
      </c>
      <c r="E27" s="34" t="s">
        <v>608</v>
      </c>
      <c r="F27" s="34" t="s">
        <v>413</v>
      </c>
      <c r="G27" s="214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18" x14ac:dyDescent="0.3">
      <c r="A28" s="34" t="s">
        <v>102</v>
      </c>
      <c r="B28" s="34" t="s">
        <v>387</v>
      </c>
      <c r="C28" s="35" t="s">
        <v>609</v>
      </c>
      <c r="D28" s="34" t="s">
        <v>178</v>
      </c>
      <c r="E28" s="34" t="s">
        <v>302</v>
      </c>
      <c r="F28" s="34" t="s">
        <v>415</v>
      </c>
      <c r="G28" s="214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18" x14ac:dyDescent="0.3">
      <c r="A29" s="34" t="s">
        <v>59</v>
      </c>
      <c r="B29" s="34" t="s">
        <v>371</v>
      </c>
      <c r="C29" s="35" t="s">
        <v>597</v>
      </c>
      <c r="D29" s="34" t="s">
        <v>64</v>
      </c>
      <c r="E29" s="34" t="s">
        <v>608</v>
      </c>
      <c r="F29" s="34" t="s">
        <v>414</v>
      </c>
      <c r="G29" s="214"/>
      <c r="H29" s="136"/>
      <c r="I29" s="136"/>
      <c r="J29" s="136"/>
      <c r="K29" s="136"/>
      <c r="L29" s="136"/>
      <c r="M29" s="136"/>
      <c r="N29" s="136"/>
      <c r="O29" s="137"/>
      <c r="P29" s="136"/>
      <c r="Q29" s="138"/>
      <c r="R29" s="138"/>
    </row>
    <row r="30" spans="1:18" ht="18" x14ac:dyDescent="0.3">
      <c r="A30" s="34" t="s">
        <v>28</v>
      </c>
      <c r="B30" s="34" t="s">
        <v>375</v>
      </c>
      <c r="C30" s="35" t="s">
        <v>592</v>
      </c>
      <c r="D30" s="34" t="s">
        <v>178</v>
      </c>
      <c r="E30" s="34" t="s">
        <v>302</v>
      </c>
      <c r="F30" s="34" t="s">
        <v>416</v>
      </c>
      <c r="G30" s="214"/>
      <c r="H30" s="136"/>
      <c r="I30" s="136"/>
      <c r="J30" s="136"/>
      <c r="K30" s="136"/>
      <c r="L30" s="136"/>
      <c r="M30" s="136"/>
      <c r="N30" s="136"/>
      <c r="O30" s="137"/>
      <c r="P30" s="136"/>
      <c r="Q30" s="138"/>
      <c r="R30" s="138"/>
    </row>
    <row r="31" spans="1:18" ht="18" x14ac:dyDescent="0.3">
      <c r="A31" s="34" t="s">
        <v>43</v>
      </c>
      <c r="B31" s="34" t="s">
        <v>360</v>
      </c>
      <c r="C31" s="35" t="s">
        <v>594</v>
      </c>
      <c r="D31" s="34" t="s">
        <v>45</v>
      </c>
      <c r="E31" s="34" t="s">
        <v>302</v>
      </c>
      <c r="F31" s="34" t="s">
        <v>363</v>
      </c>
      <c r="G31" s="214"/>
      <c r="H31" s="136"/>
      <c r="I31" s="136"/>
      <c r="J31" s="136"/>
      <c r="K31" s="136"/>
      <c r="L31" s="136"/>
      <c r="M31" s="136"/>
      <c r="N31" s="136"/>
      <c r="O31" s="137"/>
      <c r="P31" s="136"/>
      <c r="Q31" s="138"/>
      <c r="R31" s="138"/>
    </row>
    <row r="32" spans="1:18" ht="18.600000000000001" thickBot="1" x14ac:dyDescent="0.35">
      <c r="A32" s="139" t="s">
        <v>59</v>
      </c>
      <c r="B32" s="139" t="s">
        <v>371</v>
      </c>
      <c r="C32" s="140" t="s">
        <v>597</v>
      </c>
      <c r="D32" s="139" t="s">
        <v>67</v>
      </c>
      <c r="E32" s="139" t="s">
        <v>608</v>
      </c>
      <c r="F32" s="139" t="s">
        <v>398</v>
      </c>
      <c r="G32" s="215"/>
      <c r="H32" s="141"/>
      <c r="I32" s="141"/>
      <c r="J32" s="141"/>
      <c r="K32" s="141"/>
      <c r="L32" s="141"/>
      <c r="M32" s="141"/>
      <c r="N32" s="141"/>
      <c r="O32" s="142"/>
      <c r="P32" s="141"/>
      <c r="Q32" s="143"/>
      <c r="R32" s="143"/>
    </row>
    <row r="33" spans="1:18" ht="16.2" thickBot="1" x14ac:dyDescent="0.35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</row>
    <row r="34" spans="1:18" ht="27" thickTop="1" thickBot="1" x14ac:dyDescent="0.55000000000000004">
      <c r="A34" s="211" t="s">
        <v>8</v>
      </c>
      <c r="B34" s="212"/>
      <c r="C34" s="212"/>
      <c r="D34" s="212"/>
      <c r="E34" s="212"/>
      <c r="F34" s="212"/>
      <c r="G34" s="26">
        <v>45992</v>
      </c>
      <c r="H34" s="219" t="s">
        <v>9</v>
      </c>
      <c r="I34" s="220"/>
      <c r="J34" s="220"/>
      <c r="K34" s="220"/>
      <c r="L34" s="220"/>
      <c r="M34" s="220"/>
      <c r="N34" s="220"/>
      <c r="O34" s="220"/>
      <c r="P34" s="220"/>
      <c r="Q34" s="220"/>
      <c r="R34" s="220"/>
    </row>
    <row r="35" spans="1:18" ht="21" x14ac:dyDescent="0.3">
      <c r="A35" s="27" t="s">
        <v>10</v>
      </c>
      <c r="B35" s="27" t="s">
        <v>11</v>
      </c>
      <c r="C35" s="28" t="s">
        <v>12</v>
      </c>
      <c r="D35" s="27" t="s">
        <v>13</v>
      </c>
      <c r="E35" s="27" t="s">
        <v>14</v>
      </c>
      <c r="F35" s="29" t="s">
        <v>15</v>
      </c>
      <c r="G35" s="30" t="s">
        <v>16</v>
      </c>
      <c r="H35" s="27" t="s">
        <v>17</v>
      </c>
      <c r="I35" s="31" t="s">
        <v>18</v>
      </c>
      <c r="J35" s="32" t="s">
        <v>19</v>
      </c>
      <c r="K35" s="33" t="s">
        <v>20</v>
      </c>
      <c r="L35" s="32" t="s">
        <v>21</v>
      </c>
      <c r="M35" s="32" t="s">
        <v>22</v>
      </c>
      <c r="N35" s="32" t="s">
        <v>23</v>
      </c>
      <c r="O35" s="27" t="s">
        <v>24</v>
      </c>
      <c r="P35" s="28" t="s">
        <v>25</v>
      </c>
      <c r="Q35" s="32" t="s">
        <v>26</v>
      </c>
      <c r="R35" s="27" t="s">
        <v>27</v>
      </c>
    </row>
    <row r="36" spans="1:18" ht="18" x14ac:dyDescent="0.3">
      <c r="A36" s="63" t="s">
        <v>76</v>
      </c>
      <c r="B36" s="63" t="s">
        <v>601</v>
      </c>
      <c r="C36" s="64">
        <v>0.29166666666666669</v>
      </c>
      <c r="D36" s="63" t="s">
        <v>178</v>
      </c>
      <c r="E36" s="63" t="s">
        <v>135</v>
      </c>
      <c r="F36" s="63" t="s">
        <v>610</v>
      </c>
      <c r="G36" s="213"/>
      <c r="H36" s="65" t="s">
        <v>603</v>
      </c>
      <c r="I36" s="170">
        <v>0.93330000000000002</v>
      </c>
      <c r="J36" s="67">
        <v>168</v>
      </c>
      <c r="K36" s="68">
        <v>45984</v>
      </c>
      <c r="L36" s="67">
        <v>59</v>
      </c>
      <c r="M36" s="67">
        <v>9</v>
      </c>
      <c r="N36" s="67">
        <v>8</v>
      </c>
      <c r="O36" s="69" t="s">
        <v>611</v>
      </c>
      <c r="P36" s="70">
        <v>0.29166666666666669</v>
      </c>
      <c r="Q36" s="67">
        <v>180</v>
      </c>
      <c r="R36" s="71" t="s">
        <v>612</v>
      </c>
    </row>
    <row r="37" spans="1:18" ht="18" x14ac:dyDescent="0.3">
      <c r="A37" s="242" t="s">
        <v>606</v>
      </c>
      <c r="B37" s="243"/>
      <c r="C37" s="243"/>
      <c r="D37" s="243"/>
      <c r="E37" s="243"/>
      <c r="F37" s="243"/>
      <c r="G37" s="214"/>
      <c r="H37" s="136"/>
      <c r="I37" s="136"/>
      <c r="J37" s="136"/>
      <c r="K37" s="136"/>
      <c r="L37" s="136"/>
      <c r="M37" s="136"/>
      <c r="N37" s="136"/>
      <c r="O37" s="137"/>
      <c r="P37" s="136"/>
      <c r="Q37" s="138"/>
      <c r="R37" s="138"/>
    </row>
    <row r="38" spans="1:18" ht="18" x14ac:dyDescent="0.3">
      <c r="A38" s="34" t="s">
        <v>59</v>
      </c>
      <c r="B38" s="34" t="s">
        <v>371</v>
      </c>
      <c r="C38" s="35" t="s">
        <v>597</v>
      </c>
      <c r="D38" s="34" t="s">
        <v>61</v>
      </c>
      <c r="E38" s="34" t="s">
        <v>613</v>
      </c>
      <c r="F38" s="34" t="s">
        <v>384</v>
      </c>
      <c r="G38" s="214"/>
      <c r="H38" s="136"/>
      <c r="I38" s="136"/>
      <c r="J38" s="136"/>
      <c r="K38" s="136"/>
      <c r="L38" s="136"/>
      <c r="M38" s="136"/>
      <c r="N38" s="136"/>
      <c r="O38" s="137"/>
      <c r="P38" s="136"/>
      <c r="Q38" s="138"/>
      <c r="R38" s="138"/>
    </row>
    <row r="39" spans="1:18" ht="18" x14ac:dyDescent="0.3">
      <c r="A39" s="34" t="s">
        <v>28</v>
      </c>
      <c r="B39" s="34" t="s">
        <v>375</v>
      </c>
      <c r="C39" s="35" t="s">
        <v>592</v>
      </c>
      <c r="D39" s="34" t="s">
        <v>178</v>
      </c>
      <c r="E39" s="34" t="s">
        <v>302</v>
      </c>
      <c r="F39" s="34" t="s">
        <v>355</v>
      </c>
      <c r="G39" s="214"/>
      <c r="H39" s="136"/>
      <c r="I39" s="136"/>
      <c r="J39" s="136"/>
      <c r="K39" s="136"/>
      <c r="L39" s="136"/>
      <c r="M39" s="136"/>
      <c r="N39" s="136"/>
      <c r="O39" s="137"/>
      <c r="P39" s="136"/>
      <c r="Q39" s="138"/>
      <c r="R39" s="138"/>
    </row>
    <row r="40" spans="1:18" ht="18" x14ac:dyDescent="0.3">
      <c r="A40" s="34" t="s">
        <v>33</v>
      </c>
      <c r="B40" s="34" t="s">
        <v>356</v>
      </c>
      <c r="C40" s="35" t="s">
        <v>593</v>
      </c>
      <c r="D40" s="34" t="s">
        <v>35</v>
      </c>
      <c r="E40" s="34" t="s">
        <v>305</v>
      </c>
      <c r="F40" s="34" t="s">
        <v>388</v>
      </c>
      <c r="G40" s="214"/>
      <c r="H40" s="136"/>
      <c r="I40" s="136"/>
      <c r="J40" s="136"/>
      <c r="K40" s="136"/>
      <c r="L40" s="136"/>
      <c r="M40" s="136"/>
      <c r="N40" s="136"/>
      <c r="O40" s="137"/>
      <c r="P40" s="136"/>
      <c r="Q40" s="138"/>
      <c r="R40" s="138"/>
    </row>
    <row r="41" spans="1:18" ht="18" x14ac:dyDescent="0.3">
      <c r="A41" s="34" t="s">
        <v>33</v>
      </c>
      <c r="B41" s="34" t="s">
        <v>364</v>
      </c>
      <c r="C41" s="35" t="s">
        <v>596</v>
      </c>
      <c r="D41" s="34" t="s">
        <v>35</v>
      </c>
      <c r="E41" s="34" t="s">
        <v>614</v>
      </c>
      <c r="F41" s="34" t="s">
        <v>388</v>
      </c>
      <c r="G41" s="214"/>
      <c r="H41" s="136"/>
      <c r="I41" s="136"/>
      <c r="J41" s="136"/>
      <c r="K41" s="136"/>
      <c r="L41" s="136"/>
      <c r="M41" s="136"/>
      <c r="N41" s="136"/>
      <c r="O41" s="137"/>
      <c r="P41" s="136"/>
      <c r="Q41" s="138"/>
      <c r="R41" s="138"/>
    </row>
    <row r="42" spans="1:18" ht="18" x14ac:dyDescent="0.3">
      <c r="A42" s="34" t="s">
        <v>59</v>
      </c>
      <c r="B42" s="34" t="s">
        <v>371</v>
      </c>
      <c r="C42" s="35" t="s">
        <v>597</v>
      </c>
      <c r="D42" s="34" t="s">
        <v>64</v>
      </c>
      <c r="E42" s="34" t="s">
        <v>613</v>
      </c>
      <c r="F42" s="34" t="s">
        <v>369</v>
      </c>
      <c r="G42" s="214"/>
      <c r="H42" s="136"/>
      <c r="I42" s="136"/>
      <c r="J42" s="136"/>
      <c r="K42" s="136"/>
      <c r="L42" s="136"/>
      <c r="M42" s="136"/>
      <c r="N42" s="136"/>
      <c r="O42" s="137"/>
      <c r="P42" s="136"/>
      <c r="Q42" s="138"/>
      <c r="R42" s="138"/>
    </row>
    <row r="43" spans="1:18" ht="18" x14ac:dyDescent="0.3">
      <c r="A43" s="34" t="s">
        <v>33</v>
      </c>
      <c r="B43" s="34" t="s">
        <v>356</v>
      </c>
      <c r="C43" s="35" t="s">
        <v>593</v>
      </c>
      <c r="D43" s="34" t="s">
        <v>38</v>
      </c>
      <c r="E43" s="34" t="s">
        <v>305</v>
      </c>
      <c r="F43" s="34" t="s">
        <v>409</v>
      </c>
      <c r="G43" s="214"/>
      <c r="H43" s="136"/>
      <c r="I43" s="136"/>
      <c r="J43" s="136"/>
      <c r="K43" s="136"/>
      <c r="L43" s="136"/>
      <c r="M43" s="136"/>
      <c r="N43" s="136"/>
      <c r="O43" s="137"/>
      <c r="P43" s="136"/>
      <c r="Q43" s="138"/>
      <c r="R43" s="138"/>
    </row>
    <row r="44" spans="1:18" ht="18" x14ac:dyDescent="0.3">
      <c r="A44" s="34" t="s">
        <v>33</v>
      </c>
      <c r="B44" s="34" t="s">
        <v>364</v>
      </c>
      <c r="C44" s="35" t="s">
        <v>596</v>
      </c>
      <c r="D44" s="34" t="s">
        <v>38</v>
      </c>
      <c r="E44" s="34" t="s">
        <v>614</v>
      </c>
      <c r="F44" s="34" t="s">
        <v>409</v>
      </c>
      <c r="G44" s="214"/>
      <c r="H44" s="136"/>
      <c r="I44" s="136"/>
      <c r="J44" s="136"/>
      <c r="K44" s="136"/>
      <c r="L44" s="136"/>
      <c r="M44" s="136"/>
      <c r="N44" s="136"/>
      <c r="O44" s="137"/>
      <c r="P44" s="136"/>
      <c r="Q44" s="138"/>
      <c r="R44" s="138"/>
    </row>
    <row r="45" spans="1:18" ht="18" x14ac:dyDescent="0.3">
      <c r="A45" s="34" t="s">
        <v>33</v>
      </c>
      <c r="B45" s="34" t="s">
        <v>356</v>
      </c>
      <c r="C45" s="35" t="s">
        <v>593</v>
      </c>
      <c r="D45" s="34" t="s">
        <v>41</v>
      </c>
      <c r="E45" s="34" t="s">
        <v>305</v>
      </c>
      <c r="F45" s="34" t="s">
        <v>410</v>
      </c>
      <c r="G45" s="214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18" x14ac:dyDescent="0.3">
      <c r="A46" s="34" t="s">
        <v>33</v>
      </c>
      <c r="B46" s="34" t="s">
        <v>364</v>
      </c>
      <c r="C46" s="35" t="s">
        <v>596</v>
      </c>
      <c r="D46" s="34" t="s">
        <v>41</v>
      </c>
      <c r="E46" s="34" t="s">
        <v>614</v>
      </c>
      <c r="F46" s="34" t="s">
        <v>410</v>
      </c>
      <c r="G46" s="214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8.600000000000001" thickBot="1" x14ac:dyDescent="0.35">
      <c r="A47" s="139" t="s">
        <v>59</v>
      </c>
      <c r="B47" s="139" t="s">
        <v>371</v>
      </c>
      <c r="C47" s="140" t="s">
        <v>597</v>
      </c>
      <c r="D47" s="139" t="s">
        <v>67</v>
      </c>
      <c r="E47" s="139" t="s">
        <v>613</v>
      </c>
      <c r="F47" s="139" t="s">
        <v>385</v>
      </c>
      <c r="G47" s="215"/>
      <c r="H47" s="141"/>
      <c r="I47" s="141"/>
      <c r="J47" s="141"/>
      <c r="K47" s="141"/>
      <c r="L47" s="141"/>
      <c r="M47" s="141"/>
      <c r="N47" s="141"/>
      <c r="O47" s="142"/>
      <c r="P47" s="141"/>
      <c r="Q47" s="143"/>
      <c r="R47" s="143"/>
    </row>
    <row r="48" spans="1:18" ht="16.2" thickBot="1" x14ac:dyDescent="0.35">
      <c r="A48" s="221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3"/>
    </row>
    <row r="49" spans="1:18" ht="27" thickTop="1" thickBot="1" x14ac:dyDescent="0.55000000000000004">
      <c r="A49" s="211" t="s">
        <v>8</v>
      </c>
      <c r="B49" s="212"/>
      <c r="C49" s="212"/>
      <c r="D49" s="212"/>
      <c r="E49" s="212"/>
      <c r="F49" s="212"/>
      <c r="G49" s="26">
        <v>45996</v>
      </c>
      <c r="H49" s="219" t="s">
        <v>9</v>
      </c>
      <c r="I49" s="220"/>
      <c r="J49" s="220"/>
      <c r="K49" s="220"/>
      <c r="L49" s="220"/>
      <c r="M49" s="220"/>
      <c r="N49" s="220"/>
      <c r="O49" s="220"/>
      <c r="P49" s="220"/>
      <c r="Q49" s="220"/>
      <c r="R49" s="220"/>
    </row>
    <row r="50" spans="1:18" ht="21" x14ac:dyDescent="0.3">
      <c r="A50" s="27" t="s">
        <v>10</v>
      </c>
      <c r="B50" s="27" t="s">
        <v>11</v>
      </c>
      <c r="C50" s="28" t="s">
        <v>12</v>
      </c>
      <c r="D50" s="27" t="s">
        <v>13</v>
      </c>
      <c r="E50" s="27" t="s">
        <v>14</v>
      </c>
      <c r="F50" s="29" t="s">
        <v>15</v>
      </c>
      <c r="G50" s="30" t="s">
        <v>16</v>
      </c>
      <c r="H50" s="27" t="s">
        <v>17</v>
      </c>
      <c r="I50" s="31" t="s">
        <v>18</v>
      </c>
      <c r="J50" s="32" t="s">
        <v>19</v>
      </c>
      <c r="K50" s="33" t="s">
        <v>20</v>
      </c>
      <c r="L50" s="32" t="s">
        <v>21</v>
      </c>
      <c r="M50" s="32" t="s">
        <v>22</v>
      </c>
      <c r="N50" s="32" t="s">
        <v>23</v>
      </c>
      <c r="O50" s="27" t="s">
        <v>24</v>
      </c>
      <c r="P50" s="28" t="s">
        <v>25</v>
      </c>
      <c r="Q50" s="32" t="s">
        <v>26</v>
      </c>
      <c r="R50" s="27" t="s">
        <v>27</v>
      </c>
    </row>
    <row r="51" spans="1:18" ht="18" x14ac:dyDescent="0.3">
      <c r="A51" s="36" t="s">
        <v>76</v>
      </c>
      <c r="B51" s="36" t="s">
        <v>601</v>
      </c>
      <c r="C51" s="37">
        <v>7.2916666666666671E-2</v>
      </c>
      <c r="D51" s="36" t="s">
        <v>178</v>
      </c>
      <c r="E51" s="36" t="s">
        <v>31</v>
      </c>
      <c r="F51" s="36" t="s">
        <v>390</v>
      </c>
      <c r="G51" s="213"/>
      <c r="H51" s="38" t="s">
        <v>603</v>
      </c>
      <c r="I51" s="39">
        <v>0.5111</v>
      </c>
      <c r="J51" s="40">
        <v>92</v>
      </c>
      <c r="K51" s="41">
        <v>45984</v>
      </c>
      <c r="L51" s="40">
        <v>51</v>
      </c>
      <c r="M51" s="40">
        <v>6</v>
      </c>
      <c r="N51" s="40">
        <v>11</v>
      </c>
      <c r="O51" s="42" t="s">
        <v>392</v>
      </c>
      <c r="P51" s="43">
        <v>7.2916666666666671E-2</v>
      </c>
      <c r="Q51" s="40">
        <v>180</v>
      </c>
      <c r="R51" s="44" t="s">
        <v>615</v>
      </c>
    </row>
    <row r="52" spans="1:18" ht="18" x14ac:dyDescent="0.3">
      <c r="A52" s="242" t="s">
        <v>606</v>
      </c>
      <c r="B52" s="243"/>
      <c r="C52" s="243"/>
      <c r="D52" s="243"/>
      <c r="E52" s="243"/>
      <c r="F52" s="243"/>
      <c r="G52" s="214"/>
      <c r="H52" s="136"/>
      <c r="I52" s="136"/>
      <c r="J52" s="136"/>
      <c r="K52" s="136"/>
      <c r="L52" s="136"/>
      <c r="M52" s="136"/>
      <c r="N52" s="136"/>
      <c r="O52" s="137"/>
      <c r="P52" s="136"/>
      <c r="Q52" s="138"/>
      <c r="R52" s="138"/>
    </row>
    <row r="53" spans="1:18" ht="18" x14ac:dyDescent="0.3">
      <c r="A53" s="34" t="s">
        <v>59</v>
      </c>
      <c r="B53" s="34" t="s">
        <v>371</v>
      </c>
      <c r="C53" s="35" t="s">
        <v>597</v>
      </c>
      <c r="D53" s="34" t="s">
        <v>61</v>
      </c>
      <c r="E53" s="34" t="s">
        <v>613</v>
      </c>
      <c r="F53" s="34" t="s">
        <v>453</v>
      </c>
      <c r="G53" s="214"/>
      <c r="H53" s="136"/>
      <c r="I53" s="136"/>
      <c r="J53" s="136"/>
      <c r="K53" s="136"/>
      <c r="L53" s="136"/>
      <c r="M53" s="136"/>
      <c r="N53" s="136"/>
      <c r="O53" s="137"/>
      <c r="P53" s="136"/>
      <c r="Q53" s="138"/>
      <c r="R53" s="138"/>
    </row>
    <row r="54" spans="1:18" ht="18" x14ac:dyDescent="0.3">
      <c r="A54" s="34" t="s">
        <v>76</v>
      </c>
      <c r="B54" s="34" t="s">
        <v>389</v>
      </c>
      <c r="C54" s="35" t="s">
        <v>551</v>
      </c>
      <c r="D54" s="34" t="s">
        <v>178</v>
      </c>
      <c r="E54" s="34" t="s">
        <v>316</v>
      </c>
      <c r="F54" s="34" t="s">
        <v>454</v>
      </c>
      <c r="G54" s="214"/>
      <c r="H54" s="136"/>
      <c r="I54" s="136"/>
      <c r="J54" s="136"/>
      <c r="K54" s="136"/>
      <c r="L54" s="136"/>
      <c r="M54" s="136"/>
      <c r="N54" s="136"/>
      <c r="O54" s="137"/>
      <c r="P54" s="136"/>
      <c r="Q54" s="138"/>
      <c r="R54" s="138"/>
    </row>
    <row r="55" spans="1:18" ht="18" x14ac:dyDescent="0.3">
      <c r="A55" s="34" t="s">
        <v>33</v>
      </c>
      <c r="B55" s="34" t="s">
        <v>356</v>
      </c>
      <c r="C55" s="35" t="s">
        <v>593</v>
      </c>
      <c r="D55" s="34" t="s">
        <v>35</v>
      </c>
      <c r="E55" s="34" t="s">
        <v>328</v>
      </c>
      <c r="F55" s="34" t="s">
        <v>435</v>
      </c>
      <c r="G55" s="214"/>
      <c r="H55" s="136"/>
      <c r="I55" s="136"/>
      <c r="J55" s="136"/>
      <c r="K55" s="136"/>
      <c r="L55" s="136"/>
      <c r="M55" s="136"/>
      <c r="N55" s="136"/>
      <c r="O55" s="137"/>
      <c r="P55" s="136"/>
      <c r="Q55" s="138"/>
      <c r="R55" s="138"/>
    </row>
    <row r="56" spans="1:18" ht="18" x14ac:dyDescent="0.3">
      <c r="A56" s="34" t="s">
        <v>28</v>
      </c>
      <c r="B56" s="34" t="s">
        <v>375</v>
      </c>
      <c r="C56" s="35" t="s">
        <v>592</v>
      </c>
      <c r="D56" s="34" t="s">
        <v>178</v>
      </c>
      <c r="E56" s="34" t="s">
        <v>305</v>
      </c>
      <c r="F56" s="34" t="s">
        <v>447</v>
      </c>
      <c r="G56" s="214"/>
      <c r="H56" s="136"/>
      <c r="I56" s="136"/>
      <c r="J56" s="136"/>
      <c r="K56" s="136"/>
      <c r="L56" s="136"/>
      <c r="M56" s="136"/>
      <c r="N56" s="136"/>
      <c r="O56" s="137"/>
      <c r="P56" s="136"/>
      <c r="Q56" s="138"/>
      <c r="R56" s="138"/>
    </row>
    <row r="57" spans="1:18" ht="18" x14ac:dyDescent="0.3">
      <c r="A57" s="34" t="s">
        <v>59</v>
      </c>
      <c r="B57" s="34" t="s">
        <v>371</v>
      </c>
      <c r="C57" s="35" t="s">
        <v>597</v>
      </c>
      <c r="D57" s="34" t="s">
        <v>64</v>
      </c>
      <c r="E57" s="34" t="s">
        <v>613</v>
      </c>
      <c r="F57" s="34" t="s">
        <v>436</v>
      </c>
      <c r="G57" s="214"/>
      <c r="H57" s="136"/>
      <c r="I57" s="136"/>
      <c r="J57" s="136"/>
      <c r="K57" s="136"/>
      <c r="L57" s="136"/>
      <c r="M57" s="136"/>
      <c r="N57" s="136"/>
      <c r="O57" s="137"/>
      <c r="P57" s="136"/>
      <c r="Q57" s="138"/>
      <c r="R57" s="138"/>
    </row>
    <row r="58" spans="1:18" ht="18" x14ac:dyDescent="0.3">
      <c r="A58" s="34" t="s">
        <v>33</v>
      </c>
      <c r="B58" s="34" t="s">
        <v>356</v>
      </c>
      <c r="C58" s="35" t="s">
        <v>593</v>
      </c>
      <c r="D58" s="34" t="s">
        <v>38</v>
      </c>
      <c r="E58" s="34" t="s">
        <v>328</v>
      </c>
      <c r="F58" s="34" t="s">
        <v>436</v>
      </c>
      <c r="G58" s="214"/>
      <c r="H58" s="136"/>
      <c r="I58" s="136"/>
      <c r="J58" s="136"/>
      <c r="K58" s="136"/>
      <c r="L58" s="136"/>
      <c r="M58" s="136"/>
      <c r="N58" s="136"/>
      <c r="O58" s="137"/>
      <c r="P58" s="136"/>
      <c r="Q58" s="138"/>
      <c r="R58" s="138"/>
    </row>
    <row r="59" spans="1:18" ht="18" x14ac:dyDescent="0.3">
      <c r="A59" s="34" t="s">
        <v>33</v>
      </c>
      <c r="B59" s="34" t="s">
        <v>356</v>
      </c>
      <c r="C59" s="35" t="s">
        <v>593</v>
      </c>
      <c r="D59" s="34" t="s">
        <v>41</v>
      </c>
      <c r="E59" s="34" t="s">
        <v>328</v>
      </c>
      <c r="F59" s="34" t="s">
        <v>437</v>
      </c>
      <c r="G59" s="214"/>
      <c r="H59" s="136"/>
      <c r="I59" s="136"/>
      <c r="J59" s="136"/>
      <c r="K59" s="136"/>
      <c r="L59" s="136"/>
      <c r="M59" s="136"/>
      <c r="N59" s="136"/>
      <c r="O59" s="137"/>
      <c r="P59" s="136"/>
      <c r="Q59" s="138"/>
      <c r="R59" s="138"/>
    </row>
    <row r="60" spans="1:18" ht="18" x14ac:dyDescent="0.3">
      <c r="A60" s="34" t="s">
        <v>43</v>
      </c>
      <c r="B60" s="34" t="s">
        <v>380</v>
      </c>
      <c r="C60" s="35" t="s">
        <v>596</v>
      </c>
      <c r="D60" s="34" t="s">
        <v>45</v>
      </c>
      <c r="E60" s="34" t="s">
        <v>302</v>
      </c>
      <c r="F60" s="34" t="s">
        <v>456</v>
      </c>
      <c r="G60" s="214"/>
      <c r="H60" s="136"/>
      <c r="I60" s="136"/>
      <c r="J60" s="136"/>
      <c r="K60" s="136"/>
      <c r="L60" s="136"/>
      <c r="M60" s="136"/>
      <c r="N60" s="136"/>
      <c r="O60" s="137"/>
      <c r="P60" s="136"/>
      <c r="Q60" s="138"/>
      <c r="R60" s="138"/>
    </row>
    <row r="61" spans="1:18" ht="18" x14ac:dyDescent="0.3">
      <c r="A61" s="34" t="s">
        <v>59</v>
      </c>
      <c r="B61" s="34" t="s">
        <v>371</v>
      </c>
      <c r="C61" s="35" t="s">
        <v>597</v>
      </c>
      <c r="D61" s="34" t="s">
        <v>67</v>
      </c>
      <c r="E61" s="34" t="s">
        <v>613</v>
      </c>
      <c r="F61" s="34" t="s">
        <v>374</v>
      </c>
      <c r="G61" s="214"/>
      <c r="H61" s="136"/>
      <c r="I61" s="136"/>
      <c r="J61" s="136"/>
      <c r="K61" s="136"/>
      <c r="L61" s="136"/>
      <c r="M61" s="136"/>
      <c r="N61" s="136"/>
      <c r="O61" s="137"/>
      <c r="P61" s="136"/>
      <c r="Q61" s="138"/>
      <c r="R61" s="138"/>
    </row>
    <row r="62" spans="1:18" ht="18.600000000000001" thickBot="1" x14ac:dyDescent="0.35">
      <c r="A62" s="139" t="s">
        <v>43</v>
      </c>
      <c r="B62" s="139" t="s">
        <v>362</v>
      </c>
      <c r="C62" s="140" t="s">
        <v>595</v>
      </c>
      <c r="D62" s="139" t="s">
        <v>45</v>
      </c>
      <c r="E62" s="139" t="s">
        <v>302</v>
      </c>
      <c r="F62" s="139" t="s">
        <v>377</v>
      </c>
      <c r="G62" s="215"/>
      <c r="H62" s="141"/>
      <c r="I62" s="141"/>
      <c r="J62" s="141"/>
      <c r="K62" s="141"/>
      <c r="L62" s="141"/>
      <c r="M62" s="141"/>
      <c r="N62" s="141"/>
      <c r="O62" s="142"/>
      <c r="P62" s="141"/>
      <c r="Q62" s="143"/>
      <c r="R62" s="143"/>
    </row>
    <row r="63" spans="1:18" ht="16.2" thickBot="1" x14ac:dyDescent="0.35">
      <c r="A63" s="221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3"/>
    </row>
    <row r="64" spans="1:18" ht="27" thickTop="1" thickBot="1" x14ac:dyDescent="0.55000000000000004">
      <c r="A64" s="211" t="s">
        <v>8</v>
      </c>
      <c r="B64" s="212"/>
      <c r="C64" s="212"/>
      <c r="D64" s="212"/>
      <c r="E64" s="212"/>
      <c r="F64" s="212"/>
      <c r="G64" s="26">
        <v>45999</v>
      </c>
      <c r="H64" s="219" t="s">
        <v>9</v>
      </c>
      <c r="I64" s="220"/>
      <c r="J64" s="220"/>
      <c r="K64" s="220"/>
      <c r="L64" s="220"/>
      <c r="M64" s="220"/>
      <c r="N64" s="220"/>
      <c r="O64" s="220"/>
      <c r="P64" s="220"/>
      <c r="Q64" s="220"/>
      <c r="R64" s="220"/>
    </row>
    <row r="65" spans="1:18" ht="21" x14ac:dyDescent="0.3">
      <c r="A65" s="27" t="s">
        <v>10</v>
      </c>
      <c r="B65" s="27" t="s">
        <v>11</v>
      </c>
      <c r="C65" s="28" t="s">
        <v>12</v>
      </c>
      <c r="D65" s="27" t="s">
        <v>13</v>
      </c>
      <c r="E65" s="27" t="s">
        <v>14</v>
      </c>
      <c r="F65" s="29" t="s">
        <v>15</v>
      </c>
      <c r="G65" s="30" t="s">
        <v>16</v>
      </c>
      <c r="H65" s="27" t="s">
        <v>17</v>
      </c>
      <c r="I65" s="31" t="s">
        <v>18</v>
      </c>
      <c r="J65" s="32" t="s">
        <v>19</v>
      </c>
      <c r="K65" s="33" t="s">
        <v>20</v>
      </c>
      <c r="L65" s="32" t="s">
        <v>21</v>
      </c>
      <c r="M65" s="32" t="s">
        <v>22</v>
      </c>
      <c r="N65" s="32" t="s">
        <v>23</v>
      </c>
      <c r="O65" s="27" t="s">
        <v>24</v>
      </c>
      <c r="P65" s="28" t="s">
        <v>25</v>
      </c>
      <c r="Q65" s="32" t="s">
        <v>26</v>
      </c>
      <c r="R65" s="27" t="s">
        <v>27</v>
      </c>
    </row>
    <row r="66" spans="1:18" ht="18" x14ac:dyDescent="0.3">
      <c r="A66" s="54" t="s">
        <v>76</v>
      </c>
      <c r="B66" s="54" t="s">
        <v>601</v>
      </c>
      <c r="C66" s="55">
        <v>0.29166666666666669</v>
      </c>
      <c r="D66" s="54" t="s">
        <v>296</v>
      </c>
      <c r="E66" s="155"/>
      <c r="F66" s="54" t="s">
        <v>297</v>
      </c>
      <c r="G66" s="213"/>
      <c r="H66" s="56" t="s">
        <v>603</v>
      </c>
      <c r="I66" s="57">
        <v>0.38329999999999997</v>
      </c>
      <c r="J66" s="58">
        <v>69</v>
      </c>
      <c r="K66" s="59">
        <v>45984</v>
      </c>
      <c r="L66" s="58">
        <v>39</v>
      </c>
      <c r="M66" s="58">
        <v>14</v>
      </c>
      <c r="N66" s="58">
        <v>5</v>
      </c>
      <c r="O66" s="60" t="s">
        <v>616</v>
      </c>
      <c r="P66" s="61">
        <v>0.29166666666666669</v>
      </c>
      <c r="Q66" s="58">
        <v>180</v>
      </c>
      <c r="R66" s="62" t="s">
        <v>617</v>
      </c>
    </row>
    <row r="67" spans="1:18" ht="18" x14ac:dyDescent="0.3">
      <c r="A67" s="242" t="s">
        <v>606</v>
      </c>
      <c r="B67" s="243"/>
      <c r="C67" s="243"/>
      <c r="D67" s="243"/>
      <c r="E67" s="243"/>
      <c r="F67" s="243"/>
      <c r="G67" s="214"/>
      <c r="H67" s="136"/>
      <c r="I67" s="136"/>
      <c r="J67" s="136"/>
      <c r="K67" s="136"/>
      <c r="L67" s="136"/>
      <c r="M67" s="136"/>
      <c r="N67" s="136"/>
      <c r="O67" s="137"/>
      <c r="P67" s="136"/>
      <c r="Q67" s="138"/>
      <c r="R67" s="138"/>
    </row>
    <row r="68" spans="1:18" ht="18" x14ac:dyDescent="0.3">
      <c r="A68" s="34" t="s">
        <v>28</v>
      </c>
      <c r="B68" s="34" t="s">
        <v>375</v>
      </c>
      <c r="C68" s="35" t="s">
        <v>592</v>
      </c>
      <c r="D68" s="34" t="s">
        <v>178</v>
      </c>
      <c r="E68" s="34" t="s">
        <v>305</v>
      </c>
      <c r="F68" s="34" t="s">
        <v>460</v>
      </c>
      <c r="G68" s="214"/>
      <c r="H68" s="136"/>
      <c r="I68" s="136"/>
      <c r="J68" s="136"/>
      <c r="K68" s="136"/>
      <c r="L68" s="136"/>
      <c r="M68" s="136"/>
      <c r="N68" s="136"/>
      <c r="O68" s="137"/>
      <c r="P68" s="136"/>
      <c r="Q68" s="138"/>
      <c r="R68" s="138"/>
    </row>
    <row r="69" spans="1:18" ht="18" x14ac:dyDescent="0.3">
      <c r="A69" s="34" t="s">
        <v>43</v>
      </c>
      <c r="B69" s="34" t="s">
        <v>360</v>
      </c>
      <c r="C69" s="35" t="s">
        <v>594</v>
      </c>
      <c r="D69" s="34" t="s">
        <v>45</v>
      </c>
      <c r="E69" s="34" t="s">
        <v>302</v>
      </c>
      <c r="F69" s="34" t="s">
        <v>464</v>
      </c>
      <c r="G69" s="214"/>
      <c r="H69" s="136"/>
      <c r="I69" s="136"/>
      <c r="J69" s="136"/>
      <c r="K69" s="136"/>
      <c r="L69" s="136"/>
      <c r="M69" s="136"/>
      <c r="N69" s="136"/>
      <c r="O69" s="137"/>
      <c r="P69" s="136"/>
      <c r="Q69" s="138"/>
      <c r="R69" s="138"/>
    </row>
    <row r="70" spans="1:18" ht="18" x14ac:dyDescent="0.3">
      <c r="A70" s="34" t="s">
        <v>43</v>
      </c>
      <c r="B70" s="34" t="s">
        <v>380</v>
      </c>
      <c r="C70" s="35" t="s">
        <v>596</v>
      </c>
      <c r="D70" s="34" t="s">
        <v>45</v>
      </c>
      <c r="E70" s="34" t="s">
        <v>302</v>
      </c>
      <c r="F70" s="34" t="s">
        <v>461</v>
      </c>
      <c r="G70" s="214"/>
      <c r="H70" s="136"/>
      <c r="I70" s="136"/>
      <c r="J70" s="136"/>
      <c r="K70" s="136"/>
      <c r="L70" s="136"/>
      <c r="M70" s="136"/>
      <c r="N70" s="136"/>
      <c r="O70" s="137"/>
      <c r="P70" s="136"/>
      <c r="Q70" s="138"/>
      <c r="R70" s="138"/>
    </row>
    <row r="71" spans="1:18" ht="18" x14ac:dyDescent="0.3">
      <c r="A71" s="34" t="s">
        <v>43</v>
      </c>
      <c r="B71" s="34" t="s">
        <v>362</v>
      </c>
      <c r="C71" s="35" t="s">
        <v>595</v>
      </c>
      <c r="D71" s="34" t="s">
        <v>45</v>
      </c>
      <c r="E71" s="34" t="s">
        <v>302</v>
      </c>
      <c r="F71" s="34" t="s">
        <v>462</v>
      </c>
      <c r="G71" s="214"/>
      <c r="H71" s="136"/>
      <c r="I71" s="136"/>
      <c r="J71" s="136"/>
      <c r="K71" s="136"/>
      <c r="L71" s="136"/>
      <c r="M71" s="136"/>
      <c r="N71" s="136"/>
      <c r="O71" s="137"/>
      <c r="P71" s="136"/>
      <c r="Q71" s="138"/>
      <c r="R71" s="138"/>
    </row>
    <row r="72" spans="1:18" ht="18.600000000000001" thickBot="1" x14ac:dyDescent="0.35">
      <c r="A72" s="139" t="s">
        <v>54</v>
      </c>
      <c r="B72" s="139" t="s">
        <v>382</v>
      </c>
      <c r="C72" s="140" t="s">
        <v>597</v>
      </c>
      <c r="D72" s="139" t="s">
        <v>56</v>
      </c>
      <c r="E72" s="139" t="s">
        <v>303</v>
      </c>
      <c r="F72" s="139" t="s">
        <v>465</v>
      </c>
      <c r="G72" s="215"/>
      <c r="H72" s="141"/>
      <c r="I72" s="141"/>
      <c r="J72" s="141"/>
      <c r="K72" s="141"/>
      <c r="L72" s="141"/>
      <c r="M72" s="141"/>
      <c r="N72" s="141"/>
      <c r="O72" s="142"/>
      <c r="P72" s="141"/>
      <c r="Q72" s="143"/>
      <c r="R72" s="143"/>
    </row>
    <row r="73" spans="1:18" ht="16.2" thickBot="1" x14ac:dyDescent="0.35">
      <c r="A73" s="221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3"/>
    </row>
    <row r="74" spans="1:18" ht="27" thickTop="1" thickBot="1" x14ac:dyDescent="0.55000000000000004">
      <c r="A74" s="211" t="s">
        <v>8</v>
      </c>
      <c r="B74" s="212"/>
      <c r="C74" s="212"/>
      <c r="D74" s="212"/>
      <c r="E74" s="212"/>
      <c r="F74" s="212"/>
      <c r="G74" s="26">
        <v>46003</v>
      </c>
      <c r="H74" s="219" t="s">
        <v>9</v>
      </c>
      <c r="I74" s="220"/>
      <c r="J74" s="220"/>
      <c r="K74" s="220"/>
      <c r="L74" s="220"/>
      <c r="M74" s="220"/>
      <c r="N74" s="220"/>
      <c r="O74" s="220"/>
      <c r="P74" s="220"/>
      <c r="Q74" s="220"/>
      <c r="R74" s="220"/>
    </row>
    <row r="75" spans="1:18" ht="21" x14ac:dyDescent="0.3">
      <c r="A75" s="27" t="s">
        <v>10</v>
      </c>
      <c r="B75" s="27" t="s">
        <v>11</v>
      </c>
      <c r="C75" s="28" t="s">
        <v>12</v>
      </c>
      <c r="D75" s="27" t="s">
        <v>13</v>
      </c>
      <c r="E75" s="27" t="s">
        <v>14</v>
      </c>
      <c r="F75" s="29" t="s">
        <v>15</v>
      </c>
      <c r="G75" s="30" t="s">
        <v>16</v>
      </c>
      <c r="H75" s="27" t="s">
        <v>17</v>
      </c>
      <c r="I75" s="31" t="s">
        <v>18</v>
      </c>
      <c r="J75" s="32" t="s">
        <v>19</v>
      </c>
      <c r="K75" s="33" t="s">
        <v>20</v>
      </c>
      <c r="L75" s="32" t="s">
        <v>21</v>
      </c>
      <c r="M75" s="32" t="s">
        <v>22</v>
      </c>
      <c r="N75" s="32" t="s">
        <v>23</v>
      </c>
      <c r="O75" s="27" t="s">
        <v>24</v>
      </c>
      <c r="P75" s="28" t="s">
        <v>25</v>
      </c>
      <c r="Q75" s="32" t="s">
        <v>26</v>
      </c>
      <c r="R75" s="27" t="s">
        <v>27</v>
      </c>
    </row>
    <row r="76" spans="1:18" ht="18" x14ac:dyDescent="0.3">
      <c r="A76" s="99" t="s">
        <v>76</v>
      </c>
      <c r="B76" s="99" t="s">
        <v>601</v>
      </c>
      <c r="C76" s="100">
        <v>7.2916666666666671E-2</v>
      </c>
      <c r="D76" s="99" t="s">
        <v>178</v>
      </c>
      <c r="E76" s="99" t="s">
        <v>57</v>
      </c>
      <c r="F76" s="99" t="s">
        <v>448</v>
      </c>
      <c r="G76" s="213"/>
      <c r="H76" s="101" t="s">
        <v>603</v>
      </c>
      <c r="I76" s="102">
        <v>0.28889999999999999</v>
      </c>
      <c r="J76" s="103">
        <v>52</v>
      </c>
      <c r="K76" s="104">
        <v>45984</v>
      </c>
      <c r="L76" s="103">
        <v>29</v>
      </c>
      <c r="M76" s="103">
        <v>4</v>
      </c>
      <c r="N76" s="103">
        <v>7</v>
      </c>
      <c r="O76" s="105" t="s">
        <v>618</v>
      </c>
      <c r="P76" s="106">
        <v>7.2916666666666671E-2</v>
      </c>
      <c r="Q76" s="103">
        <v>180</v>
      </c>
      <c r="R76" s="107" t="s">
        <v>619</v>
      </c>
    </row>
    <row r="77" spans="1:18" ht="18" x14ac:dyDescent="0.3">
      <c r="A77" s="242" t="s">
        <v>606</v>
      </c>
      <c r="B77" s="243"/>
      <c r="C77" s="243"/>
      <c r="D77" s="243"/>
      <c r="E77" s="243"/>
      <c r="F77" s="243"/>
      <c r="G77" s="214"/>
      <c r="H77" s="136"/>
      <c r="I77" s="136"/>
      <c r="J77" s="136"/>
      <c r="K77" s="136"/>
      <c r="L77" s="136"/>
      <c r="M77" s="136"/>
      <c r="N77" s="136"/>
      <c r="O77" s="137"/>
      <c r="P77" s="136"/>
      <c r="Q77" s="138"/>
      <c r="R77" s="138"/>
    </row>
    <row r="78" spans="1:18" ht="18" x14ac:dyDescent="0.3">
      <c r="A78" s="34" t="s">
        <v>59</v>
      </c>
      <c r="B78" s="34" t="s">
        <v>371</v>
      </c>
      <c r="C78" s="35" t="s">
        <v>597</v>
      </c>
      <c r="D78" s="34" t="s">
        <v>61</v>
      </c>
      <c r="E78" s="34" t="s">
        <v>613</v>
      </c>
      <c r="F78" s="34" t="s">
        <v>466</v>
      </c>
      <c r="G78" s="214"/>
      <c r="H78" s="136"/>
      <c r="I78" s="136"/>
      <c r="J78" s="136"/>
      <c r="K78" s="136"/>
      <c r="L78" s="136"/>
      <c r="M78" s="136"/>
      <c r="N78" s="136"/>
      <c r="O78" s="137"/>
      <c r="P78" s="136"/>
      <c r="Q78" s="138"/>
      <c r="R78" s="138"/>
    </row>
    <row r="79" spans="1:18" ht="18" x14ac:dyDescent="0.3">
      <c r="A79" s="34" t="s">
        <v>33</v>
      </c>
      <c r="B79" s="34" t="s">
        <v>356</v>
      </c>
      <c r="C79" s="35" t="s">
        <v>593</v>
      </c>
      <c r="D79" s="34" t="s">
        <v>35</v>
      </c>
      <c r="E79" s="34" t="s">
        <v>328</v>
      </c>
      <c r="F79" s="34" t="s">
        <v>480</v>
      </c>
      <c r="G79" s="214"/>
      <c r="H79" s="136"/>
      <c r="I79" s="136"/>
      <c r="J79" s="136"/>
      <c r="K79" s="136"/>
      <c r="L79" s="136"/>
      <c r="M79" s="136"/>
      <c r="N79" s="136"/>
      <c r="O79" s="137"/>
      <c r="P79" s="136"/>
      <c r="Q79" s="138"/>
      <c r="R79" s="138"/>
    </row>
    <row r="80" spans="1:18" ht="18" x14ac:dyDescent="0.3">
      <c r="A80" s="34" t="s">
        <v>76</v>
      </c>
      <c r="B80" s="34" t="s">
        <v>389</v>
      </c>
      <c r="C80" s="35" t="s">
        <v>551</v>
      </c>
      <c r="D80" s="34" t="s">
        <v>178</v>
      </c>
      <c r="E80" s="34" t="s">
        <v>313</v>
      </c>
      <c r="F80" s="34" t="s">
        <v>483</v>
      </c>
      <c r="G80" s="214"/>
      <c r="H80" s="136"/>
      <c r="I80" s="136"/>
      <c r="J80" s="136"/>
      <c r="K80" s="136"/>
      <c r="L80" s="136"/>
      <c r="M80" s="136"/>
      <c r="N80" s="136"/>
      <c r="O80" s="137"/>
      <c r="P80" s="136"/>
      <c r="Q80" s="138"/>
      <c r="R80" s="138"/>
    </row>
    <row r="81" spans="1:18" ht="18" x14ac:dyDescent="0.3">
      <c r="A81" s="34" t="s">
        <v>33</v>
      </c>
      <c r="B81" s="34" t="s">
        <v>356</v>
      </c>
      <c r="C81" s="35" t="s">
        <v>593</v>
      </c>
      <c r="D81" s="34" t="s">
        <v>38</v>
      </c>
      <c r="E81" s="34" t="s">
        <v>328</v>
      </c>
      <c r="F81" s="34" t="s">
        <v>481</v>
      </c>
      <c r="G81" s="214"/>
      <c r="H81" s="136"/>
      <c r="I81" s="136"/>
      <c r="J81" s="136"/>
      <c r="K81" s="136"/>
      <c r="L81" s="136"/>
      <c r="M81" s="136"/>
      <c r="N81" s="136"/>
      <c r="O81" s="137"/>
      <c r="P81" s="136"/>
      <c r="Q81" s="138"/>
      <c r="R81" s="138"/>
    </row>
    <row r="82" spans="1:18" ht="18" x14ac:dyDescent="0.3">
      <c r="A82" s="34" t="s">
        <v>59</v>
      </c>
      <c r="B82" s="34" t="s">
        <v>371</v>
      </c>
      <c r="C82" s="35" t="s">
        <v>597</v>
      </c>
      <c r="D82" s="34" t="s">
        <v>64</v>
      </c>
      <c r="E82" s="34" t="s">
        <v>613</v>
      </c>
      <c r="F82" s="34" t="s">
        <v>453</v>
      </c>
      <c r="G82" s="214"/>
      <c r="H82" s="136"/>
      <c r="I82" s="136"/>
      <c r="J82" s="136"/>
      <c r="K82" s="136"/>
      <c r="L82" s="136"/>
      <c r="M82" s="136"/>
      <c r="N82" s="136"/>
      <c r="O82" s="137"/>
      <c r="P82" s="136"/>
      <c r="Q82" s="138"/>
      <c r="R82" s="138"/>
    </row>
    <row r="83" spans="1:18" ht="18" x14ac:dyDescent="0.3">
      <c r="A83" s="34" t="s">
        <v>28</v>
      </c>
      <c r="B83" s="34" t="s">
        <v>375</v>
      </c>
      <c r="C83" s="35" t="s">
        <v>592</v>
      </c>
      <c r="D83" s="34" t="s">
        <v>178</v>
      </c>
      <c r="E83" s="34" t="s">
        <v>328</v>
      </c>
      <c r="F83" s="34" t="s">
        <v>460</v>
      </c>
      <c r="G83" s="214"/>
      <c r="H83" s="136"/>
      <c r="I83" s="136"/>
      <c r="J83" s="136"/>
      <c r="K83" s="136"/>
      <c r="L83" s="136"/>
      <c r="M83" s="136"/>
      <c r="N83" s="136"/>
      <c r="O83" s="137"/>
      <c r="P83" s="136"/>
      <c r="Q83" s="138"/>
      <c r="R83" s="138"/>
    </row>
    <row r="84" spans="1:18" ht="18" x14ac:dyDescent="0.3">
      <c r="A84" s="34" t="s">
        <v>43</v>
      </c>
      <c r="B84" s="34" t="s">
        <v>380</v>
      </c>
      <c r="C84" s="35" t="s">
        <v>596</v>
      </c>
      <c r="D84" s="34" t="s">
        <v>45</v>
      </c>
      <c r="E84" s="34" t="s">
        <v>302</v>
      </c>
      <c r="F84" s="34" t="s">
        <v>485</v>
      </c>
      <c r="G84" s="214"/>
      <c r="H84" s="136"/>
      <c r="I84" s="136"/>
      <c r="J84" s="136"/>
      <c r="K84" s="136"/>
      <c r="L84" s="136"/>
      <c r="M84" s="136"/>
      <c r="N84" s="136"/>
      <c r="O84" s="137"/>
      <c r="P84" s="136"/>
      <c r="Q84" s="138"/>
      <c r="R84" s="138"/>
    </row>
    <row r="85" spans="1:18" ht="18" x14ac:dyDescent="0.3">
      <c r="A85" s="34" t="s">
        <v>33</v>
      </c>
      <c r="B85" s="34" t="s">
        <v>356</v>
      </c>
      <c r="C85" s="35" t="s">
        <v>593</v>
      </c>
      <c r="D85" s="34" t="s">
        <v>41</v>
      </c>
      <c r="E85" s="34" t="s">
        <v>328</v>
      </c>
      <c r="F85" s="34" t="s">
        <v>482</v>
      </c>
      <c r="G85" s="214"/>
      <c r="H85" s="136"/>
      <c r="I85" s="136"/>
      <c r="J85" s="136"/>
      <c r="K85" s="136"/>
      <c r="L85" s="136"/>
      <c r="M85" s="136"/>
      <c r="N85" s="136"/>
      <c r="O85" s="137"/>
      <c r="P85" s="136"/>
      <c r="Q85" s="138"/>
      <c r="R85" s="138"/>
    </row>
    <row r="86" spans="1:18" ht="18" x14ac:dyDescent="0.3">
      <c r="A86" s="34" t="s">
        <v>43</v>
      </c>
      <c r="B86" s="34" t="s">
        <v>360</v>
      </c>
      <c r="C86" s="35" t="s">
        <v>594</v>
      </c>
      <c r="D86" s="34" t="s">
        <v>45</v>
      </c>
      <c r="E86" s="34" t="s">
        <v>302</v>
      </c>
      <c r="F86" s="34" t="s">
        <v>461</v>
      </c>
      <c r="G86" s="214"/>
      <c r="H86" s="136"/>
      <c r="I86" s="136"/>
      <c r="J86" s="136"/>
      <c r="K86" s="136"/>
      <c r="L86" s="136"/>
      <c r="M86" s="136"/>
      <c r="N86" s="136"/>
      <c r="O86" s="137"/>
      <c r="P86" s="136"/>
      <c r="Q86" s="138"/>
      <c r="R86" s="138"/>
    </row>
    <row r="87" spans="1:18" ht="18.600000000000001" thickBot="1" x14ac:dyDescent="0.35">
      <c r="A87" s="139" t="s">
        <v>43</v>
      </c>
      <c r="B87" s="139" t="s">
        <v>362</v>
      </c>
      <c r="C87" s="140" t="s">
        <v>595</v>
      </c>
      <c r="D87" s="139" t="s">
        <v>45</v>
      </c>
      <c r="E87" s="139" t="s">
        <v>302</v>
      </c>
      <c r="F87" s="139" t="s">
        <v>462</v>
      </c>
      <c r="G87" s="215"/>
      <c r="H87" s="141"/>
      <c r="I87" s="141"/>
      <c r="J87" s="141"/>
      <c r="K87" s="141"/>
      <c r="L87" s="141"/>
      <c r="M87" s="141"/>
      <c r="N87" s="141"/>
      <c r="O87" s="142"/>
      <c r="P87" s="141"/>
      <c r="Q87" s="143"/>
      <c r="R87" s="143"/>
    </row>
    <row r="88" spans="1:18" ht="16.2" thickBot="1" x14ac:dyDescent="0.35">
      <c r="A88" s="221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3"/>
    </row>
    <row r="89" spans="1:18" ht="27" thickTop="1" thickBot="1" x14ac:dyDescent="0.55000000000000004">
      <c r="A89" s="211" t="s">
        <v>8</v>
      </c>
      <c r="B89" s="212"/>
      <c r="C89" s="212"/>
      <c r="D89" s="212"/>
      <c r="E89" s="212"/>
      <c r="F89" s="212"/>
      <c r="G89" s="26">
        <v>46006</v>
      </c>
      <c r="H89" s="219" t="s">
        <v>9</v>
      </c>
      <c r="I89" s="220"/>
      <c r="J89" s="220"/>
      <c r="K89" s="220"/>
      <c r="L89" s="220"/>
      <c r="M89" s="220"/>
      <c r="N89" s="220"/>
      <c r="O89" s="220"/>
      <c r="P89" s="220"/>
      <c r="Q89" s="220"/>
      <c r="R89" s="220"/>
    </row>
    <row r="90" spans="1:18" ht="21" x14ac:dyDescent="0.3">
      <c r="A90" s="27" t="s">
        <v>10</v>
      </c>
      <c r="B90" s="27" t="s">
        <v>11</v>
      </c>
      <c r="C90" s="28" t="s">
        <v>12</v>
      </c>
      <c r="D90" s="27" t="s">
        <v>13</v>
      </c>
      <c r="E90" s="27" t="s">
        <v>14</v>
      </c>
      <c r="F90" s="29" t="s">
        <v>15</v>
      </c>
      <c r="G90" s="30" t="s">
        <v>16</v>
      </c>
      <c r="H90" s="27" t="s">
        <v>17</v>
      </c>
      <c r="I90" s="31" t="s">
        <v>18</v>
      </c>
      <c r="J90" s="32" t="s">
        <v>19</v>
      </c>
      <c r="K90" s="33" t="s">
        <v>20</v>
      </c>
      <c r="L90" s="32" t="s">
        <v>21</v>
      </c>
      <c r="M90" s="32" t="s">
        <v>22</v>
      </c>
      <c r="N90" s="32" t="s">
        <v>23</v>
      </c>
      <c r="O90" s="27" t="s">
        <v>24</v>
      </c>
      <c r="P90" s="28" t="s">
        <v>25</v>
      </c>
      <c r="Q90" s="32" t="s">
        <v>26</v>
      </c>
      <c r="R90" s="27" t="s">
        <v>27</v>
      </c>
    </row>
    <row r="91" spans="1:18" ht="18" x14ac:dyDescent="0.3">
      <c r="A91" s="63" t="s">
        <v>76</v>
      </c>
      <c r="B91" s="63" t="s">
        <v>601</v>
      </c>
      <c r="C91" s="64">
        <v>0.29166666666666669</v>
      </c>
      <c r="D91" s="63" t="s">
        <v>296</v>
      </c>
      <c r="E91" s="171"/>
      <c r="F91" s="63" t="s">
        <v>317</v>
      </c>
      <c r="G91" s="213"/>
      <c r="H91" s="65" t="s">
        <v>603</v>
      </c>
      <c r="I91" s="66">
        <v>0.23330000000000001</v>
      </c>
      <c r="J91" s="67">
        <v>42</v>
      </c>
      <c r="K91" s="68">
        <v>45984</v>
      </c>
      <c r="L91" s="67">
        <v>25</v>
      </c>
      <c r="M91" s="67">
        <v>5</v>
      </c>
      <c r="N91" s="67">
        <v>8</v>
      </c>
      <c r="O91" s="69" t="s">
        <v>233</v>
      </c>
      <c r="P91" s="70">
        <v>0.29166666666666669</v>
      </c>
      <c r="Q91" s="67">
        <v>180</v>
      </c>
      <c r="R91" s="71" t="s">
        <v>620</v>
      </c>
    </row>
    <row r="92" spans="1:18" ht="18" x14ac:dyDescent="0.3">
      <c r="A92" s="242" t="s">
        <v>606</v>
      </c>
      <c r="B92" s="243"/>
      <c r="C92" s="243"/>
      <c r="D92" s="243"/>
      <c r="E92" s="243"/>
      <c r="F92" s="243"/>
      <c r="G92" s="214"/>
      <c r="H92" s="136"/>
      <c r="I92" s="136"/>
      <c r="J92" s="136"/>
      <c r="K92" s="136"/>
      <c r="L92" s="136"/>
      <c r="M92" s="136"/>
      <c r="N92" s="136"/>
      <c r="O92" s="137"/>
      <c r="P92" s="136"/>
      <c r="Q92" s="138"/>
      <c r="R92" s="138"/>
    </row>
    <row r="93" spans="1:18" ht="18" x14ac:dyDescent="0.3">
      <c r="A93" s="34" t="s">
        <v>43</v>
      </c>
      <c r="B93" s="34" t="s">
        <v>360</v>
      </c>
      <c r="C93" s="35" t="s">
        <v>594</v>
      </c>
      <c r="D93" s="34" t="s">
        <v>45</v>
      </c>
      <c r="E93" s="34" t="s">
        <v>302</v>
      </c>
      <c r="F93" s="34" t="s">
        <v>464</v>
      </c>
      <c r="G93" s="214"/>
      <c r="H93" s="136"/>
      <c r="I93" s="136"/>
      <c r="J93" s="136"/>
      <c r="K93" s="136"/>
      <c r="L93" s="136"/>
      <c r="M93" s="136"/>
      <c r="N93" s="136"/>
      <c r="O93" s="137"/>
      <c r="P93" s="136"/>
      <c r="Q93" s="138"/>
      <c r="R93" s="138"/>
    </row>
    <row r="94" spans="1:18" ht="18" x14ac:dyDescent="0.3">
      <c r="A94" s="34" t="s">
        <v>43</v>
      </c>
      <c r="B94" s="34" t="s">
        <v>380</v>
      </c>
      <c r="C94" s="35" t="s">
        <v>596</v>
      </c>
      <c r="D94" s="34" t="s">
        <v>45</v>
      </c>
      <c r="E94" s="34" t="s">
        <v>302</v>
      </c>
      <c r="F94" s="34" t="s">
        <v>464</v>
      </c>
      <c r="G94" s="214"/>
      <c r="H94" s="136"/>
      <c r="I94" s="136"/>
      <c r="J94" s="136"/>
      <c r="K94" s="136"/>
      <c r="L94" s="136"/>
      <c r="M94" s="136"/>
      <c r="N94" s="136"/>
      <c r="O94" s="137"/>
      <c r="P94" s="136"/>
      <c r="Q94" s="138"/>
      <c r="R94" s="138"/>
    </row>
    <row r="95" spans="1:18" ht="18" x14ac:dyDescent="0.3">
      <c r="A95" s="34" t="s">
        <v>28</v>
      </c>
      <c r="B95" s="34" t="s">
        <v>375</v>
      </c>
      <c r="C95" s="35" t="s">
        <v>592</v>
      </c>
      <c r="D95" s="34" t="s">
        <v>178</v>
      </c>
      <c r="E95" s="34" t="s">
        <v>302</v>
      </c>
      <c r="F95" s="34" t="s">
        <v>447</v>
      </c>
      <c r="G95" s="214"/>
      <c r="H95" s="136"/>
      <c r="I95" s="136"/>
      <c r="J95" s="136"/>
      <c r="K95" s="136"/>
      <c r="L95" s="136"/>
      <c r="M95" s="136"/>
      <c r="N95" s="136"/>
      <c r="O95" s="137"/>
      <c r="P95" s="136"/>
      <c r="Q95" s="138"/>
      <c r="R95" s="138"/>
    </row>
    <row r="96" spans="1:18" ht="18" x14ac:dyDescent="0.3">
      <c r="A96" s="34" t="s">
        <v>43</v>
      </c>
      <c r="B96" s="34" t="s">
        <v>362</v>
      </c>
      <c r="C96" s="35" t="s">
        <v>595</v>
      </c>
      <c r="D96" s="34" t="s">
        <v>45</v>
      </c>
      <c r="E96" s="34" t="s">
        <v>302</v>
      </c>
      <c r="F96" s="34" t="s">
        <v>462</v>
      </c>
      <c r="G96" s="214"/>
      <c r="H96" s="136"/>
      <c r="I96" s="136"/>
      <c r="J96" s="136"/>
      <c r="K96" s="136"/>
      <c r="L96" s="136"/>
      <c r="M96" s="136"/>
      <c r="N96" s="136"/>
      <c r="O96" s="137"/>
      <c r="P96" s="136"/>
      <c r="Q96" s="138"/>
      <c r="R96" s="138"/>
    </row>
    <row r="97" spans="1:18" ht="18.600000000000001" thickBot="1" x14ac:dyDescent="0.35">
      <c r="A97" s="139" t="s">
        <v>54</v>
      </c>
      <c r="B97" s="139" t="s">
        <v>382</v>
      </c>
      <c r="C97" s="140" t="s">
        <v>597</v>
      </c>
      <c r="D97" s="139" t="s">
        <v>56</v>
      </c>
      <c r="E97" s="139" t="s">
        <v>303</v>
      </c>
      <c r="F97" s="139" t="s">
        <v>475</v>
      </c>
      <c r="G97" s="215"/>
      <c r="H97" s="141"/>
      <c r="I97" s="141"/>
      <c r="J97" s="141"/>
      <c r="K97" s="141"/>
      <c r="L97" s="141"/>
      <c r="M97" s="141"/>
      <c r="N97" s="141"/>
      <c r="O97" s="142"/>
      <c r="P97" s="141"/>
      <c r="Q97" s="143"/>
      <c r="R97" s="143"/>
    </row>
    <row r="98" spans="1:18" ht="16.2" thickBot="1" x14ac:dyDescent="0.35">
      <c r="A98" s="221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3"/>
    </row>
    <row r="99" spans="1:18" ht="27" thickTop="1" thickBot="1" x14ac:dyDescent="0.55000000000000004">
      <c r="A99" s="211" t="s">
        <v>8</v>
      </c>
      <c r="B99" s="212"/>
      <c r="C99" s="212"/>
      <c r="D99" s="212"/>
      <c r="E99" s="212"/>
      <c r="F99" s="212"/>
      <c r="G99" s="26">
        <v>46010</v>
      </c>
      <c r="H99" s="219" t="s">
        <v>9</v>
      </c>
      <c r="I99" s="220"/>
      <c r="J99" s="220"/>
      <c r="K99" s="220"/>
      <c r="L99" s="220"/>
      <c r="M99" s="220"/>
      <c r="N99" s="220"/>
      <c r="O99" s="220"/>
      <c r="P99" s="220"/>
      <c r="Q99" s="220"/>
      <c r="R99" s="220"/>
    </row>
    <row r="100" spans="1:18" ht="21" x14ac:dyDescent="0.3">
      <c r="A100" s="27" t="s">
        <v>10</v>
      </c>
      <c r="B100" s="27" t="s">
        <v>11</v>
      </c>
      <c r="C100" s="28" t="s">
        <v>12</v>
      </c>
      <c r="D100" s="27" t="s">
        <v>13</v>
      </c>
      <c r="E100" s="27" t="s">
        <v>14</v>
      </c>
      <c r="F100" s="29" t="s">
        <v>15</v>
      </c>
      <c r="G100" s="30" t="s">
        <v>16</v>
      </c>
      <c r="H100" s="27" t="s">
        <v>17</v>
      </c>
      <c r="I100" s="31" t="s">
        <v>18</v>
      </c>
      <c r="J100" s="32" t="s">
        <v>19</v>
      </c>
      <c r="K100" s="33" t="s">
        <v>20</v>
      </c>
      <c r="L100" s="32" t="s">
        <v>21</v>
      </c>
      <c r="M100" s="32" t="s">
        <v>22</v>
      </c>
      <c r="N100" s="32" t="s">
        <v>23</v>
      </c>
      <c r="O100" s="27" t="s">
        <v>24</v>
      </c>
      <c r="P100" s="28" t="s">
        <v>25</v>
      </c>
      <c r="Q100" s="32" t="s">
        <v>26</v>
      </c>
      <c r="R100" s="27" t="s">
        <v>27</v>
      </c>
    </row>
    <row r="101" spans="1:18" ht="18" x14ac:dyDescent="0.3">
      <c r="A101" s="90" t="s">
        <v>76</v>
      </c>
      <c r="B101" s="90" t="s">
        <v>601</v>
      </c>
      <c r="C101" s="91">
        <v>7.2916666666666671E-2</v>
      </c>
      <c r="D101" s="90" t="s">
        <v>296</v>
      </c>
      <c r="E101" s="172"/>
      <c r="F101" s="90" t="s">
        <v>317</v>
      </c>
      <c r="G101" s="213"/>
      <c r="H101" s="92" t="s">
        <v>603</v>
      </c>
      <c r="I101" s="93">
        <v>0.17780000000000001</v>
      </c>
      <c r="J101" s="94">
        <v>32</v>
      </c>
      <c r="K101" s="95">
        <v>45984</v>
      </c>
      <c r="L101" s="94">
        <v>21</v>
      </c>
      <c r="M101" s="94">
        <v>6</v>
      </c>
      <c r="N101" s="94">
        <v>2</v>
      </c>
      <c r="O101" s="96" t="s">
        <v>241</v>
      </c>
      <c r="P101" s="97">
        <v>7.2916666666666671E-2</v>
      </c>
      <c r="Q101" s="94">
        <v>180</v>
      </c>
      <c r="R101" s="98" t="s">
        <v>621</v>
      </c>
    </row>
    <row r="102" spans="1:18" ht="18" x14ac:dyDescent="0.3">
      <c r="A102" s="242" t="s">
        <v>606</v>
      </c>
      <c r="B102" s="243"/>
      <c r="C102" s="243"/>
      <c r="D102" s="243"/>
      <c r="E102" s="243"/>
      <c r="F102" s="243"/>
      <c r="G102" s="214"/>
      <c r="H102" s="136"/>
      <c r="I102" s="136"/>
      <c r="J102" s="136"/>
      <c r="K102" s="136"/>
      <c r="L102" s="136"/>
      <c r="M102" s="136"/>
      <c r="N102" s="136"/>
      <c r="O102" s="137"/>
      <c r="P102" s="136"/>
      <c r="Q102" s="138"/>
      <c r="R102" s="138"/>
    </row>
    <row r="103" spans="1:18" ht="18" x14ac:dyDescent="0.3">
      <c r="A103" s="34" t="s">
        <v>59</v>
      </c>
      <c r="B103" s="34" t="s">
        <v>371</v>
      </c>
      <c r="C103" s="35" t="s">
        <v>597</v>
      </c>
      <c r="D103" s="34" t="s">
        <v>61</v>
      </c>
      <c r="E103" s="34" t="s">
        <v>622</v>
      </c>
      <c r="F103" s="34" t="s">
        <v>466</v>
      </c>
      <c r="G103" s="214"/>
      <c r="H103" s="136"/>
      <c r="I103" s="136"/>
      <c r="J103" s="136"/>
      <c r="K103" s="136"/>
      <c r="L103" s="136"/>
      <c r="M103" s="136"/>
      <c r="N103" s="136"/>
      <c r="O103" s="137"/>
      <c r="P103" s="136"/>
      <c r="Q103" s="138"/>
      <c r="R103" s="138"/>
    </row>
    <row r="104" spans="1:18" ht="18" x14ac:dyDescent="0.3">
      <c r="A104" s="34" t="s">
        <v>76</v>
      </c>
      <c r="B104" s="34" t="s">
        <v>389</v>
      </c>
      <c r="C104" s="35" t="s">
        <v>551</v>
      </c>
      <c r="D104" s="34" t="s">
        <v>178</v>
      </c>
      <c r="E104" s="34" t="s">
        <v>302</v>
      </c>
      <c r="F104" s="34" t="s">
        <v>502</v>
      </c>
      <c r="G104" s="214"/>
      <c r="H104" s="136"/>
      <c r="I104" s="136"/>
      <c r="J104" s="136"/>
      <c r="K104" s="136"/>
      <c r="L104" s="136"/>
      <c r="M104" s="136"/>
      <c r="N104" s="136"/>
      <c r="O104" s="137"/>
      <c r="P104" s="136"/>
      <c r="Q104" s="138"/>
      <c r="R104" s="138"/>
    </row>
    <row r="105" spans="1:18" ht="18" x14ac:dyDescent="0.3">
      <c r="A105" s="34" t="s">
        <v>33</v>
      </c>
      <c r="B105" s="34" t="s">
        <v>356</v>
      </c>
      <c r="C105" s="35" t="s">
        <v>593</v>
      </c>
      <c r="D105" s="34" t="s">
        <v>35</v>
      </c>
      <c r="E105" s="34" t="s">
        <v>305</v>
      </c>
      <c r="F105" s="34" t="s">
        <v>506</v>
      </c>
      <c r="G105" s="214"/>
      <c r="H105" s="136"/>
      <c r="I105" s="136"/>
      <c r="J105" s="136"/>
      <c r="K105" s="136"/>
      <c r="L105" s="136"/>
      <c r="M105" s="136"/>
      <c r="N105" s="136"/>
      <c r="O105" s="137"/>
      <c r="P105" s="136"/>
      <c r="Q105" s="138"/>
      <c r="R105" s="138"/>
    </row>
    <row r="106" spans="1:18" ht="18" x14ac:dyDescent="0.3">
      <c r="A106" s="34" t="s">
        <v>59</v>
      </c>
      <c r="B106" s="34" t="s">
        <v>371</v>
      </c>
      <c r="C106" s="35" t="s">
        <v>597</v>
      </c>
      <c r="D106" s="34" t="s">
        <v>64</v>
      </c>
      <c r="E106" s="34" t="s">
        <v>622</v>
      </c>
      <c r="F106" s="34" t="s">
        <v>453</v>
      </c>
      <c r="G106" s="214"/>
      <c r="H106" s="136"/>
      <c r="I106" s="136"/>
      <c r="J106" s="136"/>
      <c r="K106" s="136"/>
      <c r="L106" s="136"/>
      <c r="M106" s="136"/>
      <c r="N106" s="136"/>
      <c r="O106" s="137"/>
      <c r="P106" s="136"/>
      <c r="Q106" s="138"/>
      <c r="R106" s="138"/>
    </row>
    <row r="107" spans="1:18" ht="18" x14ac:dyDescent="0.3">
      <c r="A107" s="34" t="s">
        <v>28</v>
      </c>
      <c r="B107" s="34" t="s">
        <v>375</v>
      </c>
      <c r="C107" s="35" t="s">
        <v>592</v>
      </c>
      <c r="D107" s="34" t="s">
        <v>178</v>
      </c>
      <c r="E107" s="34" t="s">
        <v>305</v>
      </c>
      <c r="F107" s="34" t="s">
        <v>460</v>
      </c>
      <c r="G107" s="214"/>
      <c r="H107" s="136"/>
      <c r="I107" s="136"/>
      <c r="J107" s="136"/>
      <c r="K107" s="136"/>
      <c r="L107" s="136"/>
      <c r="M107" s="136"/>
      <c r="N107" s="136"/>
      <c r="O107" s="137"/>
      <c r="P107" s="136"/>
      <c r="Q107" s="138"/>
      <c r="R107" s="138"/>
    </row>
    <row r="108" spans="1:18" ht="18" x14ac:dyDescent="0.3">
      <c r="A108" s="34" t="s">
        <v>33</v>
      </c>
      <c r="B108" s="34" t="s">
        <v>356</v>
      </c>
      <c r="C108" s="35" t="s">
        <v>593</v>
      </c>
      <c r="D108" s="34" t="s">
        <v>38</v>
      </c>
      <c r="E108" s="34" t="s">
        <v>305</v>
      </c>
      <c r="F108" s="34" t="s">
        <v>482</v>
      </c>
      <c r="G108" s="214"/>
      <c r="H108" s="136"/>
      <c r="I108" s="136"/>
      <c r="J108" s="136"/>
      <c r="K108" s="136"/>
      <c r="L108" s="136"/>
      <c r="M108" s="136"/>
      <c r="N108" s="136"/>
      <c r="O108" s="137"/>
      <c r="P108" s="136"/>
      <c r="Q108" s="138"/>
      <c r="R108" s="138"/>
    </row>
    <row r="109" spans="1:18" ht="18" x14ac:dyDescent="0.3">
      <c r="A109" s="34" t="s">
        <v>43</v>
      </c>
      <c r="B109" s="34" t="s">
        <v>360</v>
      </c>
      <c r="C109" s="35" t="s">
        <v>594</v>
      </c>
      <c r="D109" s="34" t="s">
        <v>45</v>
      </c>
      <c r="E109" s="34" t="s">
        <v>302</v>
      </c>
      <c r="F109" s="34" t="s">
        <v>496</v>
      </c>
      <c r="G109" s="214"/>
      <c r="H109" s="136"/>
      <c r="I109" s="136"/>
      <c r="J109" s="136"/>
      <c r="K109" s="136"/>
      <c r="L109" s="136"/>
      <c r="M109" s="136"/>
      <c r="N109" s="136"/>
      <c r="O109" s="137"/>
      <c r="P109" s="136"/>
      <c r="Q109" s="138"/>
      <c r="R109" s="138"/>
    </row>
    <row r="110" spans="1:18" ht="18" x14ac:dyDescent="0.3">
      <c r="A110" s="34" t="s">
        <v>43</v>
      </c>
      <c r="B110" s="34" t="s">
        <v>380</v>
      </c>
      <c r="C110" s="35" t="s">
        <v>596</v>
      </c>
      <c r="D110" s="34" t="s">
        <v>45</v>
      </c>
      <c r="E110" s="34" t="s">
        <v>302</v>
      </c>
      <c r="F110" s="34" t="s">
        <v>507</v>
      </c>
      <c r="G110" s="214"/>
      <c r="H110" s="136"/>
      <c r="I110" s="136"/>
      <c r="J110" s="136"/>
      <c r="K110" s="136"/>
      <c r="L110" s="136"/>
      <c r="M110" s="136"/>
      <c r="N110" s="136"/>
      <c r="O110" s="137"/>
      <c r="P110" s="136"/>
      <c r="Q110" s="138"/>
      <c r="R110" s="138"/>
    </row>
    <row r="111" spans="1:18" ht="18" x14ac:dyDescent="0.3">
      <c r="A111" s="34" t="s">
        <v>43</v>
      </c>
      <c r="B111" s="34" t="s">
        <v>362</v>
      </c>
      <c r="C111" s="35" t="s">
        <v>595</v>
      </c>
      <c r="D111" s="34" t="s">
        <v>45</v>
      </c>
      <c r="E111" s="34" t="s">
        <v>302</v>
      </c>
      <c r="F111" s="34" t="s">
        <v>497</v>
      </c>
      <c r="G111" s="214"/>
      <c r="H111" s="136"/>
      <c r="I111" s="136"/>
      <c r="J111" s="136"/>
      <c r="K111" s="136"/>
      <c r="L111" s="136"/>
      <c r="M111" s="136"/>
      <c r="N111" s="136"/>
      <c r="O111" s="137"/>
      <c r="P111" s="136"/>
      <c r="Q111" s="138"/>
      <c r="R111" s="138"/>
    </row>
    <row r="112" spans="1:18" ht="18.600000000000001" thickBot="1" x14ac:dyDescent="0.35">
      <c r="A112" s="139" t="s">
        <v>33</v>
      </c>
      <c r="B112" s="139" t="s">
        <v>356</v>
      </c>
      <c r="C112" s="140" t="s">
        <v>593</v>
      </c>
      <c r="D112" s="139" t="s">
        <v>41</v>
      </c>
      <c r="E112" s="139" t="s">
        <v>305</v>
      </c>
      <c r="F112" s="139" t="s">
        <v>436</v>
      </c>
      <c r="G112" s="215"/>
      <c r="H112" s="141"/>
      <c r="I112" s="141"/>
      <c r="J112" s="141"/>
      <c r="K112" s="141"/>
      <c r="L112" s="141"/>
      <c r="M112" s="141"/>
      <c r="N112" s="141"/>
      <c r="O112" s="142"/>
      <c r="P112" s="141"/>
      <c r="Q112" s="143"/>
      <c r="R112" s="143"/>
    </row>
    <row r="113" spans="1:18" ht="16.2" thickBot="1" x14ac:dyDescent="0.35">
      <c r="A113" s="221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3"/>
    </row>
    <row r="114" spans="1:18" ht="27" thickTop="1" thickBot="1" x14ac:dyDescent="0.55000000000000004">
      <c r="A114" s="211" t="s">
        <v>8</v>
      </c>
      <c r="B114" s="212"/>
      <c r="C114" s="212"/>
      <c r="D114" s="212"/>
      <c r="E114" s="212"/>
      <c r="F114" s="212"/>
      <c r="G114" s="26">
        <v>46013</v>
      </c>
      <c r="H114" s="219" t="s">
        <v>9</v>
      </c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</row>
    <row r="115" spans="1:18" ht="21" x14ac:dyDescent="0.3">
      <c r="A115" s="27" t="s">
        <v>10</v>
      </c>
      <c r="B115" s="27" t="s">
        <v>11</v>
      </c>
      <c r="C115" s="28" t="s">
        <v>12</v>
      </c>
      <c r="D115" s="27" t="s">
        <v>13</v>
      </c>
      <c r="E115" s="27" t="s">
        <v>14</v>
      </c>
      <c r="F115" s="29" t="s">
        <v>15</v>
      </c>
      <c r="G115" s="30" t="s">
        <v>16</v>
      </c>
      <c r="H115" s="27" t="s">
        <v>17</v>
      </c>
      <c r="I115" s="31" t="s">
        <v>18</v>
      </c>
      <c r="J115" s="32" t="s">
        <v>19</v>
      </c>
      <c r="K115" s="33" t="s">
        <v>20</v>
      </c>
      <c r="L115" s="32" t="s">
        <v>21</v>
      </c>
      <c r="M115" s="32" t="s">
        <v>22</v>
      </c>
      <c r="N115" s="32" t="s">
        <v>23</v>
      </c>
      <c r="O115" s="27" t="s">
        <v>24</v>
      </c>
      <c r="P115" s="28" t="s">
        <v>25</v>
      </c>
      <c r="Q115" s="32" t="s">
        <v>26</v>
      </c>
      <c r="R115" s="27" t="s">
        <v>27</v>
      </c>
    </row>
    <row r="116" spans="1:18" ht="18" x14ac:dyDescent="0.3">
      <c r="A116" s="81" t="s">
        <v>76</v>
      </c>
      <c r="B116" s="81" t="s">
        <v>601</v>
      </c>
      <c r="C116" s="82">
        <v>0.29166666666666669</v>
      </c>
      <c r="D116" s="81" t="s">
        <v>296</v>
      </c>
      <c r="E116" s="144"/>
      <c r="F116" s="81" t="s">
        <v>317</v>
      </c>
      <c r="G116" s="233"/>
      <c r="H116" s="83" t="s">
        <v>603</v>
      </c>
      <c r="I116" s="84">
        <v>0.21110000000000001</v>
      </c>
      <c r="J116" s="85">
        <v>38</v>
      </c>
      <c r="K116" s="86">
        <v>45984</v>
      </c>
      <c r="L116" s="85">
        <v>13</v>
      </c>
      <c r="M116" s="85">
        <v>5</v>
      </c>
      <c r="N116" s="85">
        <v>1</v>
      </c>
      <c r="O116" s="87" t="s">
        <v>623</v>
      </c>
      <c r="P116" s="88">
        <v>0.29166666666666669</v>
      </c>
      <c r="Q116" s="85">
        <v>180</v>
      </c>
      <c r="R116" s="89" t="s">
        <v>624</v>
      </c>
    </row>
    <row r="117" spans="1:18" ht="18" x14ac:dyDescent="0.3">
      <c r="A117" s="242" t="s">
        <v>606</v>
      </c>
      <c r="B117" s="243"/>
      <c r="C117" s="243"/>
      <c r="D117" s="243"/>
      <c r="E117" s="243"/>
      <c r="F117" s="243"/>
      <c r="G117" s="214"/>
      <c r="H117" s="136"/>
      <c r="I117" s="136"/>
      <c r="J117" s="136"/>
      <c r="K117" s="136"/>
      <c r="L117" s="136"/>
      <c r="M117" s="136"/>
      <c r="N117" s="136"/>
      <c r="O117" s="137"/>
      <c r="P117" s="136"/>
      <c r="Q117" s="138"/>
      <c r="R117" s="138"/>
    </row>
    <row r="118" spans="1:18" ht="18" x14ac:dyDescent="0.3">
      <c r="A118" s="34" t="s">
        <v>59</v>
      </c>
      <c r="B118" s="34" t="s">
        <v>371</v>
      </c>
      <c r="C118" s="35" t="s">
        <v>597</v>
      </c>
      <c r="D118" s="34" t="s">
        <v>61</v>
      </c>
      <c r="E118" s="34" t="s">
        <v>303</v>
      </c>
      <c r="F118" s="34" t="s">
        <v>511</v>
      </c>
      <c r="G118" s="214"/>
      <c r="H118" s="136"/>
      <c r="I118" s="136"/>
      <c r="J118" s="136"/>
      <c r="K118" s="136"/>
      <c r="L118" s="136"/>
      <c r="M118" s="136"/>
      <c r="N118" s="136"/>
      <c r="O118" s="137"/>
      <c r="P118" s="136"/>
      <c r="Q118" s="138"/>
      <c r="R118" s="138"/>
    </row>
    <row r="119" spans="1:18" ht="18" x14ac:dyDescent="0.3">
      <c r="A119" s="34" t="s">
        <v>33</v>
      </c>
      <c r="B119" s="34" t="s">
        <v>364</v>
      </c>
      <c r="C119" s="35" t="s">
        <v>596</v>
      </c>
      <c r="D119" s="34" t="s">
        <v>35</v>
      </c>
      <c r="E119" s="34" t="s">
        <v>328</v>
      </c>
      <c r="F119" s="34" t="s">
        <v>511</v>
      </c>
      <c r="G119" s="214"/>
      <c r="H119" s="136"/>
      <c r="I119" s="136"/>
      <c r="J119" s="136"/>
      <c r="K119" s="136"/>
      <c r="L119" s="136"/>
      <c r="M119" s="136"/>
      <c r="N119" s="136"/>
      <c r="O119" s="137"/>
      <c r="P119" s="136"/>
      <c r="Q119" s="138"/>
      <c r="R119" s="138"/>
    </row>
    <row r="120" spans="1:18" ht="18" x14ac:dyDescent="0.3">
      <c r="A120" s="34" t="s">
        <v>33</v>
      </c>
      <c r="B120" s="34" t="s">
        <v>364</v>
      </c>
      <c r="C120" s="35" t="s">
        <v>596</v>
      </c>
      <c r="D120" s="34" t="s">
        <v>38</v>
      </c>
      <c r="E120" s="34" t="s">
        <v>328</v>
      </c>
      <c r="F120" s="34" t="s">
        <v>513</v>
      </c>
      <c r="G120" s="214"/>
      <c r="H120" s="136"/>
      <c r="I120" s="136"/>
      <c r="J120" s="136"/>
      <c r="K120" s="136"/>
      <c r="L120" s="136"/>
      <c r="M120" s="136"/>
      <c r="N120" s="136"/>
      <c r="O120" s="137"/>
      <c r="P120" s="136"/>
      <c r="Q120" s="138"/>
      <c r="R120" s="138"/>
    </row>
    <row r="121" spans="1:18" ht="18" x14ac:dyDescent="0.3">
      <c r="A121" s="34" t="s">
        <v>33</v>
      </c>
      <c r="B121" s="34" t="s">
        <v>356</v>
      </c>
      <c r="C121" s="35" t="s">
        <v>593</v>
      </c>
      <c r="D121" s="34" t="s">
        <v>35</v>
      </c>
      <c r="E121" s="34" t="s">
        <v>328</v>
      </c>
      <c r="F121" s="34" t="s">
        <v>473</v>
      </c>
      <c r="G121" s="214"/>
      <c r="H121" s="136"/>
      <c r="I121" s="136"/>
      <c r="J121" s="136"/>
      <c r="K121" s="136"/>
      <c r="L121" s="136"/>
      <c r="M121" s="136"/>
      <c r="N121" s="136"/>
      <c r="O121" s="137"/>
      <c r="P121" s="136"/>
      <c r="Q121" s="138"/>
      <c r="R121" s="138"/>
    </row>
    <row r="122" spans="1:18" ht="18" x14ac:dyDescent="0.3">
      <c r="A122" s="34" t="s">
        <v>59</v>
      </c>
      <c r="B122" s="34" t="s">
        <v>371</v>
      </c>
      <c r="C122" s="35" t="s">
        <v>597</v>
      </c>
      <c r="D122" s="34" t="s">
        <v>64</v>
      </c>
      <c r="E122" s="34" t="s">
        <v>303</v>
      </c>
      <c r="F122" s="34" t="s">
        <v>512</v>
      </c>
      <c r="G122" s="214"/>
      <c r="H122" s="136"/>
      <c r="I122" s="136"/>
      <c r="J122" s="136"/>
      <c r="K122" s="136"/>
      <c r="L122" s="136"/>
      <c r="M122" s="136"/>
      <c r="N122" s="136"/>
      <c r="O122" s="137"/>
      <c r="P122" s="136"/>
      <c r="Q122" s="138"/>
      <c r="R122" s="138"/>
    </row>
    <row r="123" spans="1:18" ht="18" x14ac:dyDescent="0.3">
      <c r="A123" s="34" t="s">
        <v>33</v>
      </c>
      <c r="B123" s="34" t="s">
        <v>364</v>
      </c>
      <c r="C123" s="35" t="s">
        <v>596</v>
      </c>
      <c r="D123" s="34" t="s">
        <v>41</v>
      </c>
      <c r="E123" s="34" t="s">
        <v>328</v>
      </c>
      <c r="F123" s="34" t="s">
        <v>468</v>
      </c>
      <c r="G123" s="214"/>
      <c r="H123" s="136"/>
      <c r="I123" s="136"/>
      <c r="J123" s="136"/>
      <c r="K123" s="136"/>
      <c r="L123" s="136"/>
      <c r="M123" s="136"/>
      <c r="N123" s="136"/>
      <c r="O123" s="137"/>
      <c r="P123" s="136"/>
      <c r="Q123" s="138"/>
      <c r="R123" s="138"/>
    </row>
    <row r="124" spans="1:18" ht="18" x14ac:dyDescent="0.3">
      <c r="A124" s="34" t="s">
        <v>28</v>
      </c>
      <c r="B124" s="34" t="s">
        <v>375</v>
      </c>
      <c r="C124" s="35" t="s">
        <v>592</v>
      </c>
      <c r="D124" s="34" t="s">
        <v>178</v>
      </c>
      <c r="E124" s="34" t="s">
        <v>313</v>
      </c>
      <c r="F124" s="34" t="s">
        <v>460</v>
      </c>
      <c r="G124" s="214"/>
      <c r="H124" s="136"/>
      <c r="I124" s="136"/>
      <c r="J124" s="136"/>
      <c r="K124" s="136"/>
      <c r="L124" s="136"/>
      <c r="M124" s="136"/>
      <c r="N124" s="136"/>
      <c r="O124" s="137"/>
      <c r="P124" s="136"/>
      <c r="Q124" s="138"/>
      <c r="R124" s="138"/>
    </row>
    <row r="125" spans="1:18" ht="18" x14ac:dyDescent="0.3">
      <c r="A125" s="34" t="s">
        <v>33</v>
      </c>
      <c r="B125" s="34" t="s">
        <v>356</v>
      </c>
      <c r="C125" s="35" t="s">
        <v>593</v>
      </c>
      <c r="D125" s="34" t="s">
        <v>38</v>
      </c>
      <c r="E125" s="34" t="s">
        <v>328</v>
      </c>
      <c r="F125" s="34" t="s">
        <v>514</v>
      </c>
      <c r="G125" s="214"/>
      <c r="H125" s="136"/>
      <c r="I125" s="136"/>
      <c r="J125" s="136"/>
      <c r="K125" s="136"/>
      <c r="L125" s="136"/>
      <c r="M125" s="136"/>
      <c r="N125" s="136"/>
      <c r="O125" s="137"/>
      <c r="P125" s="136"/>
      <c r="Q125" s="138"/>
      <c r="R125" s="138"/>
    </row>
    <row r="126" spans="1:18" ht="18" x14ac:dyDescent="0.3">
      <c r="A126" s="34" t="s">
        <v>43</v>
      </c>
      <c r="B126" s="34" t="s">
        <v>360</v>
      </c>
      <c r="C126" s="35" t="s">
        <v>594</v>
      </c>
      <c r="D126" s="34" t="s">
        <v>45</v>
      </c>
      <c r="E126" s="34" t="s">
        <v>302</v>
      </c>
      <c r="F126" s="34" t="s">
        <v>498</v>
      </c>
      <c r="G126" s="214"/>
      <c r="H126" s="136"/>
      <c r="I126" s="136"/>
      <c r="J126" s="136"/>
      <c r="K126" s="136"/>
      <c r="L126" s="136"/>
      <c r="M126" s="136"/>
      <c r="N126" s="136"/>
      <c r="O126" s="137"/>
      <c r="P126" s="136"/>
      <c r="Q126" s="138"/>
      <c r="R126" s="138"/>
    </row>
    <row r="127" spans="1:18" ht="18.600000000000001" thickBot="1" x14ac:dyDescent="0.35">
      <c r="A127" s="139" t="s">
        <v>43</v>
      </c>
      <c r="B127" s="139" t="s">
        <v>380</v>
      </c>
      <c r="C127" s="140" t="s">
        <v>596</v>
      </c>
      <c r="D127" s="139" t="s">
        <v>45</v>
      </c>
      <c r="E127" s="139" t="s">
        <v>302</v>
      </c>
      <c r="F127" s="139" t="s">
        <v>498</v>
      </c>
      <c r="G127" s="215"/>
      <c r="H127" s="141"/>
      <c r="I127" s="141"/>
      <c r="J127" s="141"/>
      <c r="K127" s="141"/>
      <c r="L127" s="141"/>
      <c r="M127" s="141"/>
      <c r="N127" s="141"/>
      <c r="O127" s="142"/>
      <c r="P127" s="141"/>
      <c r="Q127" s="143"/>
      <c r="R127" s="143"/>
    </row>
    <row r="128" spans="1:18" ht="16.2" thickBot="1" x14ac:dyDescent="0.35">
      <c r="A128" s="221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3"/>
    </row>
    <row r="129" spans="1:18" ht="27" thickTop="1" thickBot="1" x14ac:dyDescent="0.55000000000000004">
      <c r="A129" s="211" t="s">
        <v>8</v>
      </c>
      <c r="B129" s="212"/>
      <c r="C129" s="212"/>
      <c r="D129" s="212"/>
      <c r="E129" s="212"/>
      <c r="F129" s="212"/>
      <c r="G129" s="26">
        <v>46017</v>
      </c>
      <c r="H129" s="219" t="s">
        <v>9</v>
      </c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</row>
    <row r="130" spans="1:18" ht="21" x14ac:dyDescent="0.3">
      <c r="A130" s="27" t="s">
        <v>10</v>
      </c>
      <c r="B130" s="27" t="s">
        <v>11</v>
      </c>
      <c r="C130" s="28" t="s">
        <v>12</v>
      </c>
      <c r="D130" s="27" t="s">
        <v>13</v>
      </c>
      <c r="E130" s="27" t="s">
        <v>14</v>
      </c>
      <c r="F130" s="29" t="s">
        <v>15</v>
      </c>
      <c r="G130" s="30" t="s">
        <v>16</v>
      </c>
      <c r="H130" s="27" t="s">
        <v>17</v>
      </c>
      <c r="I130" s="31" t="s">
        <v>18</v>
      </c>
      <c r="J130" s="32" t="s">
        <v>19</v>
      </c>
      <c r="K130" s="33" t="s">
        <v>20</v>
      </c>
      <c r="L130" s="32" t="s">
        <v>21</v>
      </c>
      <c r="M130" s="32" t="s">
        <v>22</v>
      </c>
      <c r="N130" s="32" t="s">
        <v>23</v>
      </c>
      <c r="O130" s="27" t="s">
        <v>24</v>
      </c>
      <c r="P130" s="28" t="s">
        <v>25</v>
      </c>
      <c r="Q130" s="32" t="s">
        <v>26</v>
      </c>
      <c r="R130" s="27" t="s">
        <v>27</v>
      </c>
    </row>
    <row r="131" spans="1:18" ht="18" x14ac:dyDescent="0.3">
      <c r="A131" s="81" t="s">
        <v>76</v>
      </c>
      <c r="B131" s="81" t="s">
        <v>601</v>
      </c>
      <c r="C131" s="82">
        <v>7.2916666666666671E-2</v>
      </c>
      <c r="D131" s="81" t="s">
        <v>296</v>
      </c>
      <c r="E131" s="144"/>
      <c r="F131" s="81" t="s">
        <v>317</v>
      </c>
      <c r="G131" s="213"/>
      <c r="H131" s="83" t="s">
        <v>603</v>
      </c>
      <c r="I131" s="84">
        <v>0.16669999999999999</v>
      </c>
      <c r="J131" s="85">
        <v>30</v>
      </c>
      <c r="K131" s="86">
        <v>45984</v>
      </c>
      <c r="L131" s="85">
        <v>15</v>
      </c>
      <c r="M131" s="85">
        <v>4</v>
      </c>
      <c r="N131" s="85">
        <v>7</v>
      </c>
      <c r="O131" s="87" t="s">
        <v>256</v>
      </c>
      <c r="P131" s="88">
        <v>7.2916666666666671E-2</v>
      </c>
      <c r="Q131" s="85">
        <v>180</v>
      </c>
      <c r="R131" s="89" t="s">
        <v>625</v>
      </c>
    </row>
    <row r="132" spans="1:18" ht="18" x14ac:dyDescent="0.3">
      <c r="A132" s="242" t="s">
        <v>606</v>
      </c>
      <c r="B132" s="243"/>
      <c r="C132" s="243"/>
      <c r="D132" s="243"/>
      <c r="E132" s="243"/>
      <c r="F132" s="243"/>
      <c r="G132" s="214"/>
      <c r="H132" s="136"/>
      <c r="I132" s="136"/>
      <c r="J132" s="136"/>
      <c r="K132" s="136"/>
      <c r="L132" s="136"/>
      <c r="M132" s="136"/>
      <c r="N132" s="136"/>
      <c r="O132" s="137"/>
      <c r="P132" s="136"/>
      <c r="Q132" s="138"/>
      <c r="R132" s="138"/>
    </row>
    <row r="133" spans="1:18" ht="18" x14ac:dyDescent="0.3">
      <c r="A133" s="34" t="s">
        <v>76</v>
      </c>
      <c r="B133" s="34" t="s">
        <v>389</v>
      </c>
      <c r="C133" s="35" t="s">
        <v>551</v>
      </c>
      <c r="D133" s="34" t="s">
        <v>178</v>
      </c>
      <c r="E133" s="34" t="s">
        <v>313</v>
      </c>
      <c r="F133" s="34" t="s">
        <v>521</v>
      </c>
      <c r="G133" s="214"/>
      <c r="H133" s="136"/>
      <c r="I133" s="136"/>
      <c r="J133" s="136"/>
      <c r="K133" s="136"/>
      <c r="L133" s="136"/>
      <c r="M133" s="136"/>
      <c r="N133" s="136"/>
      <c r="O133" s="137"/>
      <c r="P133" s="136"/>
      <c r="Q133" s="138"/>
      <c r="R133" s="138"/>
    </row>
    <row r="134" spans="1:18" ht="18" x14ac:dyDescent="0.3">
      <c r="A134" s="34" t="s">
        <v>102</v>
      </c>
      <c r="B134" s="34" t="s">
        <v>404</v>
      </c>
      <c r="C134" s="35" t="s">
        <v>626</v>
      </c>
      <c r="D134" s="34" t="s">
        <v>178</v>
      </c>
      <c r="E134" s="34" t="s">
        <v>305</v>
      </c>
      <c r="F134" s="34" t="s">
        <v>473</v>
      </c>
      <c r="G134" s="214"/>
      <c r="H134" s="136"/>
      <c r="I134" s="136"/>
      <c r="J134" s="136"/>
      <c r="K134" s="136"/>
      <c r="L134" s="136"/>
      <c r="M134" s="136"/>
      <c r="N134" s="136"/>
      <c r="O134" s="137"/>
      <c r="P134" s="136"/>
      <c r="Q134" s="138"/>
      <c r="R134" s="138"/>
    </row>
    <row r="135" spans="1:18" ht="18" x14ac:dyDescent="0.3">
      <c r="A135" s="34" t="s">
        <v>28</v>
      </c>
      <c r="B135" s="34" t="s">
        <v>375</v>
      </c>
      <c r="C135" s="35" t="s">
        <v>592</v>
      </c>
      <c r="D135" s="34" t="s">
        <v>178</v>
      </c>
      <c r="E135" s="34" t="s">
        <v>614</v>
      </c>
      <c r="F135" s="34" t="s">
        <v>474</v>
      </c>
      <c r="G135" s="214"/>
      <c r="H135" s="136"/>
      <c r="I135" s="136"/>
      <c r="J135" s="136"/>
      <c r="K135" s="136"/>
      <c r="L135" s="136"/>
      <c r="M135" s="136"/>
      <c r="N135" s="136"/>
      <c r="O135" s="137"/>
      <c r="P135" s="136"/>
      <c r="Q135" s="138"/>
      <c r="R135" s="138"/>
    </row>
    <row r="136" spans="1:18" ht="18" x14ac:dyDescent="0.3">
      <c r="A136" s="34" t="s">
        <v>43</v>
      </c>
      <c r="B136" s="34" t="s">
        <v>380</v>
      </c>
      <c r="C136" s="35" t="s">
        <v>596</v>
      </c>
      <c r="D136" s="34" t="s">
        <v>91</v>
      </c>
      <c r="E136" s="34" t="s">
        <v>302</v>
      </c>
      <c r="F136" s="34" t="s">
        <v>524</v>
      </c>
      <c r="G136" s="214"/>
      <c r="H136" s="136"/>
      <c r="I136" s="136"/>
      <c r="J136" s="136"/>
      <c r="K136" s="136"/>
      <c r="L136" s="136"/>
      <c r="M136" s="136"/>
      <c r="N136" s="136"/>
      <c r="O136" s="137"/>
      <c r="P136" s="136"/>
      <c r="Q136" s="138"/>
      <c r="R136" s="138"/>
    </row>
    <row r="137" spans="1:18" ht="18" x14ac:dyDescent="0.3">
      <c r="A137" s="34" t="s">
        <v>43</v>
      </c>
      <c r="B137" s="34" t="s">
        <v>360</v>
      </c>
      <c r="C137" s="35" t="s">
        <v>594</v>
      </c>
      <c r="D137" s="34" t="s">
        <v>45</v>
      </c>
      <c r="E137" s="34" t="s">
        <v>302</v>
      </c>
      <c r="F137" s="34" t="s">
        <v>498</v>
      </c>
      <c r="G137" s="214"/>
      <c r="H137" s="136"/>
      <c r="I137" s="136"/>
      <c r="J137" s="136"/>
      <c r="K137" s="136"/>
      <c r="L137" s="136"/>
      <c r="M137" s="136"/>
      <c r="N137" s="136"/>
      <c r="O137" s="137"/>
      <c r="P137" s="136"/>
      <c r="Q137" s="138"/>
      <c r="R137" s="138"/>
    </row>
    <row r="138" spans="1:18" ht="18" x14ac:dyDescent="0.3">
      <c r="A138" s="34" t="s">
        <v>43</v>
      </c>
      <c r="B138" s="34" t="s">
        <v>362</v>
      </c>
      <c r="C138" s="35" t="s">
        <v>595</v>
      </c>
      <c r="D138" s="34" t="s">
        <v>45</v>
      </c>
      <c r="E138" s="34" t="s">
        <v>302</v>
      </c>
      <c r="F138" s="34" t="s">
        <v>497</v>
      </c>
      <c r="G138" s="214"/>
      <c r="H138" s="136"/>
      <c r="I138" s="136"/>
      <c r="J138" s="136"/>
      <c r="K138" s="136"/>
      <c r="L138" s="136"/>
      <c r="M138" s="136"/>
      <c r="N138" s="136"/>
      <c r="O138" s="137"/>
      <c r="P138" s="136"/>
      <c r="Q138" s="138"/>
      <c r="R138" s="138"/>
    </row>
    <row r="139" spans="1:18" ht="18.600000000000001" thickBot="1" x14ac:dyDescent="0.35">
      <c r="A139" s="139" t="s">
        <v>54</v>
      </c>
      <c r="B139" s="139" t="s">
        <v>382</v>
      </c>
      <c r="C139" s="140" t="s">
        <v>597</v>
      </c>
      <c r="D139" s="139" t="s">
        <v>56</v>
      </c>
      <c r="E139" s="139" t="s">
        <v>303</v>
      </c>
      <c r="F139" s="139" t="s">
        <v>446</v>
      </c>
      <c r="G139" s="215"/>
      <c r="H139" s="141"/>
      <c r="I139" s="141"/>
      <c r="J139" s="141"/>
      <c r="K139" s="141"/>
      <c r="L139" s="141"/>
      <c r="M139" s="141"/>
      <c r="N139" s="141"/>
      <c r="O139" s="142"/>
      <c r="P139" s="141"/>
      <c r="Q139" s="143"/>
      <c r="R139" s="143"/>
    </row>
    <row r="140" spans="1:18" ht="16.2" thickBot="1" x14ac:dyDescent="0.35">
      <c r="A140" s="221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3"/>
    </row>
    <row r="141" spans="1:18" ht="27" thickTop="1" thickBot="1" x14ac:dyDescent="0.55000000000000004">
      <c r="A141" s="211" t="s">
        <v>8</v>
      </c>
      <c r="B141" s="212"/>
      <c r="C141" s="212"/>
      <c r="D141" s="212"/>
      <c r="E141" s="212"/>
      <c r="F141" s="212"/>
      <c r="G141" s="26">
        <v>46020</v>
      </c>
      <c r="H141" s="219" t="s">
        <v>9</v>
      </c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</row>
    <row r="142" spans="1:18" ht="21" x14ac:dyDescent="0.3">
      <c r="A142" s="27" t="s">
        <v>10</v>
      </c>
      <c r="B142" s="27" t="s">
        <v>11</v>
      </c>
      <c r="C142" s="28" t="s">
        <v>12</v>
      </c>
      <c r="D142" s="27" t="s">
        <v>13</v>
      </c>
      <c r="E142" s="27" t="s">
        <v>14</v>
      </c>
      <c r="F142" s="29" t="s">
        <v>15</v>
      </c>
      <c r="G142" s="30" t="s">
        <v>16</v>
      </c>
      <c r="H142" s="27" t="s">
        <v>17</v>
      </c>
      <c r="I142" s="31" t="s">
        <v>18</v>
      </c>
      <c r="J142" s="32" t="s">
        <v>19</v>
      </c>
      <c r="K142" s="33" t="s">
        <v>20</v>
      </c>
      <c r="L142" s="32" t="s">
        <v>21</v>
      </c>
      <c r="M142" s="32" t="s">
        <v>22</v>
      </c>
      <c r="N142" s="32" t="s">
        <v>23</v>
      </c>
      <c r="O142" s="27" t="s">
        <v>24</v>
      </c>
      <c r="P142" s="28" t="s">
        <v>25</v>
      </c>
      <c r="Q142" s="32" t="s">
        <v>26</v>
      </c>
      <c r="R142" s="27" t="s">
        <v>27</v>
      </c>
    </row>
    <row r="143" spans="1:18" ht="24.6" thickTop="1" thickBot="1" x14ac:dyDescent="0.5">
      <c r="A143" s="36" t="s">
        <v>76</v>
      </c>
      <c r="B143" s="36" t="s">
        <v>601</v>
      </c>
      <c r="C143" s="37">
        <v>0.29166666666666669</v>
      </c>
      <c r="D143" s="36" t="s">
        <v>296</v>
      </c>
      <c r="E143" s="134"/>
      <c r="F143" s="36" t="s">
        <v>317</v>
      </c>
      <c r="G143" s="245"/>
      <c r="H143" s="173" t="s">
        <v>603</v>
      </c>
      <c r="I143" s="174">
        <v>0.1278</v>
      </c>
      <c r="J143" s="175">
        <v>23</v>
      </c>
      <c r="K143" s="176">
        <v>45984</v>
      </c>
      <c r="L143" s="175">
        <v>9</v>
      </c>
      <c r="M143" s="175">
        <v>4</v>
      </c>
      <c r="N143" s="175">
        <v>0</v>
      </c>
      <c r="O143" s="177" t="s">
        <v>627</v>
      </c>
      <c r="P143" s="178">
        <v>0.29166666666666669</v>
      </c>
      <c r="Q143" s="175">
        <v>180</v>
      </c>
      <c r="R143" s="179" t="s">
        <v>628</v>
      </c>
    </row>
    <row r="144" spans="1:18" ht="16.2" thickBot="1" x14ac:dyDescent="0.35">
      <c r="A144" s="221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3"/>
    </row>
    <row r="145" ht="15" thickTop="1" x14ac:dyDescent="0.3"/>
  </sheetData>
  <mergeCells count="61">
    <mergeCell ref="A7:F7"/>
    <mergeCell ref="H141:R141"/>
    <mergeCell ref="A73:R73"/>
    <mergeCell ref="G66:G72"/>
    <mergeCell ref="A132:F132"/>
    <mergeCell ref="A98:R98"/>
    <mergeCell ref="A88:R88"/>
    <mergeCell ref="A141:F141"/>
    <mergeCell ref="A22:F22"/>
    <mergeCell ref="H129:R129"/>
    <mergeCell ref="A114:F114"/>
    <mergeCell ref="A99:F99"/>
    <mergeCell ref="A128:R128"/>
    <mergeCell ref="A144:R144"/>
    <mergeCell ref="N1:R1"/>
    <mergeCell ref="G101:G112"/>
    <mergeCell ref="A140:R140"/>
    <mergeCell ref="A52:F52"/>
    <mergeCell ref="G131:G139"/>
    <mergeCell ref="A19:F19"/>
    <mergeCell ref="A63:R63"/>
    <mergeCell ref="A102:F102"/>
    <mergeCell ref="A117:F117"/>
    <mergeCell ref="A67:F67"/>
    <mergeCell ref="G116:G127"/>
    <mergeCell ref="K2:R2"/>
    <mergeCell ref="A34:F34"/>
    <mergeCell ref="H99:R99"/>
    <mergeCell ref="H19:R19"/>
    <mergeCell ref="G2:J2"/>
    <mergeCell ref="H49:R49"/>
    <mergeCell ref="A4:F4"/>
    <mergeCell ref="G91:G97"/>
    <mergeCell ref="H89:R89"/>
    <mergeCell ref="G36:G47"/>
    <mergeCell ref="A92:F92"/>
    <mergeCell ref="A77:F77"/>
    <mergeCell ref="A64:F64"/>
    <mergeCell ref="G6:G17"/>
    <mergeCell ref="A48:R48"/>
    <mergeCell ref="A49:F49"/>
    <mergeCell ref="G51:G62"/>
    <mergeCell ref="A37:F37"/>
    <mergeCell ref="A89:F89"/>
    <mergeCell ref="H64:R64"/>
    <mergeCell ref="H1:L1"/>
    <mergeCell ref="A1:E1"/>
    <mergeCell ref="A74:F74"/>
    <mergeCell ref="G76:G87"/>
    <mergeCell ref="G143"/>
    <mergeCell ref="H4:R4"/>
    <mergeCell ref="A18:R18"/>
    <mergeCell ref="A2:F2"/>
    <mergeCell ref="A3:R3"/>
    <mergeCell ref="A129:F129"/>
    <mergeCell ref="H114:R114"/>
    <mergeCell ref="H34:R34"/>
    <mergeCell ref="A113:R113"/>
    <mergeCell ref="A33:R33"/>
    <mergeCell ref="H74:R74"/>
    <mergeCell ref="G21:G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3"/>
  <sheetViews>
    <sheetView workbookViewId="0">
      <selection sqref="A1:XFD1048576"/>
    </sheetView>
  </sheetViews>
  <sheetFormatPr defaultRowHeight="15.6" outlineLevelCol="1" x14ac:dyDescent="0.3"/>
  <cols>
    <col min="1" max="1" width="10.33203125" style="194" bestFit="1" customWidth="1"/>
    <col min="2" max="2" width="11.109375" style="194" bestFit="1" customWidth="1"/>
    <col min="3" max="3" width="7.88671875" style="194" bestFit="1" customWidth="1"/>
    <col min="4" max="4" width="6.77734375" style="194" bestFit="1" customWidth="1"/>
    <col min="5" max="5" width="11.109375" style="194" bestFit="1" customWidth="1"/>
    <col min="6" max="6" width="5.21875" style="194" bestFit="1" customWidth="1"/>
    <col min="7" max="7" width="10" style="194" bestFit="1" customWidth="1"/>
    <col min="8" max="8" width="8.5546875" style="194" bestFit="1" customWidth="1"/>
    <col min="9" max="10" width="8" style="194" bestFit="1" customWidth="1"/>
    <col min="11" max="11" width="12.21875" style="194" bestFit="1" customWidth="1"/>
    <col min="12" max="12" width="10.109375" style="194" bestFit="1" customWidth="1"/>
    <col min="13" max="13" width="8.77734375" style="194" bestFit="1" customWidth="1" outlineLevel="1"/>
    <col min="14" max="14" width="7.33203125" style="194" bestFit="1" customWidth="1" outlineLevel="1"/>
    <col min="15" max="15" width="9.109375" style="194" bestFit="1" customWidth="1" outlineLevel="1"/>
    <col min="16" max="16" width="15.33203125" style="194" bestFit="1" customWidth="1"/>
    <col min="17" max="17" width="3.88671875" style="194" bestFit="1" customWidth="1"/>
    <col min="18" max="18" width="4" style="194" bestFit="1" customWidth="1"/>
    <col min="19" max="19" width="4.6640625" style="194" bestFit="1" customWidth="1"/>
    <col min="20" max="20" width="4.21875" style="194" bestFit="1" customWidth="1"/>
    <col min="21" max="21" width="5.44140625" style="194" bestFit="1" customWidth="1"/>
    <col min="22" max="22" width="5.109375" style="194" bestFit="1" customWidth="1"/>
    <col min="23" max="23" width="5.21875" style="194" bestFit="1" customWidth="1"/>
    <col min="24" max="24" width="4.77734375" style="194" bestFit="1" customWidth="1"/>
    <col min="25" max="25" width="5.33203125" style="194" bestFit="1" customWidth="1"/>
    <col min="26" max="26" width="4.88671875" style="194" bestFit="1" customWidth="1"/>
    <col min="27" max="27" width="5.88671875" style="194" bestFit="1" customWidth="1"/>
    <col min="28" max="28" width="5" style="194" bestFit="1" customWidth="1"/>
    <col min="29" max="29" width="5.109375" style="194" bestFit="1" customWidth="1"/>
    <col min="30" max="31" width="5.33203125" style="194" bestFit="1" customWidth="1"/>
    <col min="32" max="32" width="4.44140625" style="194" bestFit="1" customWidth="1"/>
    <col min="33" max="36" width="3.88671875" style="194" bestFit="1" customWidth="1"/>
    <col min="37" max="16384" width="8.88671875" style="194"/>
  </cols>
  <sheetData>
    <row r="1" spans="1:36" x14ac:dyDescent="0.3">
      <c r="A1" s="193" t="s">
        <v>185</v>
      </c>
      <c r="B1" s="193" t="s">
        <v>186</v>
      </c>
      <c r="C1" s="193" t="s">
        <v>187</v>
      </c>
      <c r="D1" s="193" t="s">
        <v>25</v>
      </c>
      <c r="E1" s="193" t="s">
        <v>188</v>
      </c>
      <c r="F1" s="193" t="s">
        <v>189</v>
      </c>
      <c r="G1" s="193" t="s">
        <v>18</v>
      </c>
      <c r="H1" s="193" t="s">
        <v>190</v>
      </c>
      <c r="I1" s="193" t="s">
        <v>191</v>
      </c>
      <c r="J1" s="193" t="s">
        <v>192</v>
      </c>
      <c r="K1" s="193" t="s">
        <v>193</v>
      </c>
      <c r="L1" s="193" t="s">
        <v>20</v>
      </c>
      <c r="M1" s="193" t="s">
        <v>22</v>
      </c>
      <c r="N1" s="193" t="s">
        <v>23</v>
      </c>
      <c r="O1" s="193" t="s">
        <v>21</v>
      </c>
      <c r="P1" s="193" t="s">
        <v>24</v>
      </c>
      <c r="Q1" s="193" t="s">
        <v>194</v>
      </c>
      <c r="R1" s="193" t="s">
        <v>195</v>
      </c>
      <c r="S1" s="193" t="s">
        <v>196</v>
      </c>
      <c r="T1" s="193" t="s">
        <v>197</v>
      </c>
      <c r="U1" s="193" t="s">
        <v>198</v>
      </c>
      <c r="V1" s="193" t="s">
        <v>199</v>
      </c>
      <c r="W1" s="193" t="s">
        <v>200</v>
      </c>
      <c r="X1" s="193" t="s">
        <v>201</v>
      </c>
      <c r="Y1" s="193" t="s">
        <v>202</v>
      </c>
      <c r="Z1" s="193" t="s">
        <v>203</v>
      </c>
      <c r="AA1" s="193" t="s">
        <v>204</v>
      </c>
      <c r="AB1" s="193" t="s">
        <v>205</v>
      </c>
      <c r="AC1" s="193" t="s">
        <v>206</v>
      </c>
      <c r="AD1" s="193" t="s">
        <v>207</v>
      </c>
      <c r="AE1" s="193" t="s">
        <v>208</v>
      </c>
      <c r="AF1" s="193" t="s">
        <v>209</v>
      </c>
      <c r="AG1" s="193" t="s">
        <v>210</v>
      </c>
      <c r="AH1" s="193" t="s">
        <v>211</v>
      </c>
      <c r="AI1" s="193" t="s">
        <v>212</v>
      </c>
      <c r="AJ1" s="193" t="s">
        <v>213</v>
      </c>
    </row>
    <row r="2" spans="1:36" x14ac:dyDescent="0.3">
      <c r="A2" s="195" t="s">
        <v>334</v>
      </c>
      <c r="B2" s="196">
        <v>45985</v>
      </c>
      <c r="C2" s="197" t="s">
        <v>603</v>
      </c>
      <c r="D2" s="198" t="s">
        <v>340</v>
      </c>
      <c r="E2" s="197" t="s">
        <v>600</v>
      </c>
      <c r="F2" s="197" t="s">
        <v>216</v>
      </c>
      <c r="G2" s="199">
        <v>0.99439999999999995</v>
      </c>
      <c r="H2" s="200">
        <v>180</v>
      </c>
      <c r="I2" s="200">
        <v>179</v>
      </c>
      <c r="J2" s="200">
        <v>0</v>
      </c>
      <c r="K2" s="197" t="s">
        <v>217</v>
      </c>
      <c r="L2" s="201">
        <v>45983</v>
      </c>
      <c r="M2" s="200">
        <v>0</v>
      </c>
      <c r="N2" s="200">
        <v>13</v>
      </c>
      <c r="O2" s="200">
        <v>47</v>
      </c>
      <c r="P2" s="197" t="s">
        <v>604</v>
      </c>
      <c r="Q2" s="193"/>
      <c r="R2" s="193"/>
      <c r="S2" s="193"/>
      <c r="T2" s="193"/>
      <c r="U2" s="200" t="s">
        <v>392</v>
      </c>
      <c r="V2" s="200" t="s">
        <v>629</v>
      </c>
      <c r="W2" s="200" t="s">
        <v>630</v>
      </c>
      <c r="X2" s="200" t="s">
        <v>631</v>
      </c>
      <c r="Y2" s="200" t="s">
        <v>632</v>
      </c>
      <c r="Z2" s="200" t="s">
        <v>633</v>
      </c>
      <c r="AA2" s="200" t="s">
        <v>634</v>
      </c>
      <c r="AB2" s="200" t="s">
        <v>635</v>
      </c>
      <c r="AC2" s="200" t="s">
        <v>636</v>
      </c>
      <c r="AD2" s="200" t="s">
        <v>637</v>
      </c>
      <c r="AE2" s="200" t="s">
        <v>345</v>
      </c>
      <c r="AF2" s="200" t="s">
        <v>267</v>
      </c>
      <c r="AG2" s="193"/>
      <c r="AH2" s="193"/>
      <c r="AI2" s="193"/>
      <c r="AJ2" s="193"/>
    </row>
    <row r="3" spans="1:36" x14ac:dyDescent="0.3">
      <c r="A3" s="195" t="s">
        <v>231</v>
      </c>
      <c r="B3" s="196">
        <v>45989</v>
      </c>
      <c r="C3" s="197" t="s">
        <v>603</v>
      </c>
      <c r="D3" s="198" t="s">
        <v>638</v>
      </c>
      <c r="E3" s="197" t="s">
        <v>600</v>
      </c>
      <c r="F3" s="197" t="s">
        <v>216</v>
      </c>
      <c r="G3" s="199">
        <v>0.94440000000000002</v>
      </c>
      <c r="H3" s="200">
        <v>180</v>
      </c>
      <c r="I3" s="200">
        <v>170</v>
      </c>
      <c r="J3" s="200">
        <v>0</v>
      </c>
      <c r="K3" s="197" t="s">
        <v>217</v>
      </c>
      <c r="L3" s="201">
        <v>45984</v>
      </c>
      <c r="M3" s="200">
        <v>14</v>
      </c>
      <c r="N3" s="200">
        <v>2</v>
      </c>
      <c r="O3" s="200">
        <v>55</v>
      </c>
      <c r="P3" s="197" t="s">
        <v>411</v>
      </c>
      <c r="Q3" s="200" t="s">
        <v>639</v>
      </c>
      <c r="R3" s="193"/>
      <c r="S3" s="200" t="s">
        <v>640</v>
      </c>
      <c r="T3" s="200" t="s">
        <v>543</v>
      </c>
      <c r="U3" s="200" t="s">
        <v>641</v>
      </c>
      <c r="V3" s="200" t="s">
        <v>629</v>
      </c>
      <c r="W3" s="200" t="s">
        <v>642</v>
      </c>
      <c r="X3" s="200" t="s">
        <v>631</v>
      </c>
      <c r="Y3" s="200" t="s">
        <v>569</v>
      </c>
      <c r="Z3" s="200" t="s">
        <v>643</v>
      </c>
      <c r="AA3" s="200" t="s">
        <v>644</v>
      </c>
      <c r="AB3" s="200" t="s">
        <v>645</v>
      </c>
      <c r="AC3" s="200" t="s">
        <v>646</v>
      </c>
      <c r="AD3" s="200" t="s">
        <v>279</v>
      </c>
      <c r="AE3" s="200" t="s">
        <v>248</v>
      </c>
      <c r="AF3" s="200" t="s">
        <v>138</v>
      </c>
      <c r="AG3" s="193"/>
      <c r="AH3" s="193"/>
      <c r="AI3" s="193"/>
      <c r="AJ3" s="193"/>
    </row>
    <row r="4" spans="1:36" x14ac:dyDescent="0.3">
      <c r="A4" s="195" t="s">
        <v>334</v>
      </c>
      <c r="B4" s="196">
        <v>45992</v>
      </c>
      <c r="C4" s="197" t="s">
        <v>603</v>
      </c>
      <c r="D4" s="198" t="s">
        <v>340</v>
      </c>
      <c r="E4" s="197" t="s">
        <v>600</v>
      </c>
      <c r="F4" s="197" t="s">
        <v>216</v>
      </c>
      <c r="G4" s="199">
        <v>0.93330000000000002</v>
      </c>
      <c r="H4" s="200">
        <v>180</v>
      </c>
      <c r="I4" s="200">
        <v>168</v>
      </c>
      <c r="J4" s="200">
        <v>0</v>
      </c>
      <c r="K4" s="197" t="s">
        <v>217</v>
      </c>
      <c r="L4" s="201">
        <v>45984</v>
      </c>
      <c r="M4" s="200">
        <v>9</v>
      </c>
      <c r="N4" s="200">
        <v>8</v>
      </c>
      <c r="O4" s="200">
        <v>59</v>
      </c>
      <c r="P4" s="197" t="s">
        <v>611</v>
      </c>
      <c r="Q4" s="193"/>
      <c r="R4" s="193"/>
      <c r="S4" s="193"/>
      <c r="T4" s="193"/>
      <c r="U4" s="193"/>
      <c r="V4" s="200" t="s">
        <v>647</v>
      </c>
      <c r="W4" s="200" t="s">
        <v>630</v>
      </c>
      <c r="X4" s="200" t="s">
        <v>631</v>
      </c>
      <c r="Y4" s="200" t="s">
        <v>648</v>
      </c>
      <c r="Z4" s="200" t="s">
        <v>218</v>
      </c>
      <c r="AA4" s="200" t="s">
        <v>649</v>
      </c>
      <c r="AB4" s="200" t="s">
        <v>650</v>
      </c>
      <c r="AC4" s="200" t="s">
        <v>278</v>
      </c>
      <c r="AD4" s="200" t="s">
        <v>637</v>
      </c>
      <c r="AE4" s="200" t="s">
        <v>345</v>
      </c>
      <c r="AF4" s="200" t="s">
        <v>346</v>
      </c>
      <c r="AG4" s="193"/>
      <c r="AH4" s="193"/>
      <c r="AI4" s="193"/>
      <c r="AJ4" s="193"/>
    </row>
    <row r="5" spans="1:36" x14ac:dyDescent="0.3">
      <c r="A5" s="195" t="s">
        <v>231</v>
      </c>
      <c r="B5" s="196">
        <v>45996</v>
      </c>
      <c r="C5" s="197" t="s">
        <v>603</v>
      </c>
      <c r="D5" s="198" t="s">
        <v>638</v>
      </c>
      <c r="E5" s="197" t="s">
        <v>600</v>
      </c>
      <c r="F5" s="197" t="s">
        <v>216</v>
      </c>
      <c r="G5" s="199">
        <v>0.5111</v>
      </c>
      <c r="H5" s="200">
        <v>180</v>
      </c>
      <c r="I5" s="200">
        <v>92</v>
      </c>
      <c r="J5" s="200">
        <v>0</v>
      </c>
      <c r="K5" s="197" t="s">
        <v>217</v>
      </c>
      <c r="L5" s="201">
        <v>45984</v>
      </c>
      <c r="M5" s="200">
        <v>6</v>
      </c>
      <c r="N5" s="200">
        <v>11</v>
      </c>
      <c r="O5" s="200">
        <v>51</v>
      </c>
      <c r="P5" s="197" t="s">
        <v>392</v>
      </c>
      <c r="Q5" s="200" t="s">
        <v>651</v>
      </c>
      <c r="R5" s="200" t="s">
        <v>560</v>
      </c>
      <c r="S5" s="193"/>
      <c r="T5" s="193"/>
      <c r="U5" s="193"/>
      <c r="V5" s="200" t="s">
        <v>652</v>
      </c>
      <c r="W5" s="200" t="s">
        <v>642</v>
      </c>
      <c r="X5" s="200" t="s">
        <v>547</v>
      </c>
      <c r="Y5" s="200" t="s">
        <v>653</v>
      </c>
      <c r="Z5" s="200" t="s">
        <v>225</v>
      </c>
      <c r="AA5" s="200" t="s">
        <v>242</v>
      </c>
      <c r="AB5" s="200" t="s">
        <v>478</v>
      </c>
      <c r="AC5" s="200" t="s">
        <v>247</v>
      </c>
      <c r="AD5" s="200" t="s">
        <v>228</v>
      </c>
      <c r="AE5" s="200" t="s">
        <v>229</v>
      </c>
      <c r="AF5" s="200" t="s">
        <v>280</v>
      </c>
      <c r="AG5" s="193"/>
      <c r="AH5" s="193"/>
      <c r="AI5" s="193"/>
      <c r="AJ5" s="193"/>
    </row>
    <row r="6" spans="1:36" x14ac:dyDescent="0.3">
      <c r="A6" s="195" t="s">
        <v>334</v>
      </c>
      <c r="B6" s="196">
        <v>45999</v>
      </c>
      <c r="C6" s="197" t="s">
        <v>603</v>
      </c>
      <c r="D6" s="198" t="s">
        <v>340</v>
      </c>
      <c r="E6" s="197" t="s">
        <v>600</v>
      </c>
      <c r="F6" s="197" t="s">
        <v>216</v>
      </c>
      <c r="G6" s="199">
        <v>0.38329999999999997</v>
      </c>
      <c r="H6" s="200">
        <v>180</v>
      </c>
      <c r="I6" s="200">
        <v>69</v>
      </c>
      <c r="J6" s="200">
        <v>0</v>
      </c>
      <c r="K6" s="197" t="s">
        <v>217</v>
      </c>
      <c r="L6" s="201">
        <v>45984</v>
      </c>
      <c r="M6" s="200">
        <v>14</v>
      </c>
      <c r="N6" s="200">
        <v>5</v>
      </c>
      <c r="O6" s="200">
        <v>39</v>
      </c>
      <c r="P6" s="197" t="s">
        <v>616</v>
      </c>
      <c r="Q6" s="193"/>
      <c r="R6" s="193"/>
      <c r="S6" s="193"/>
      <c r="T6" s="193"/>
      <c r="U6" s="193"/>
      <c r="V6" s="193"/>
      <c r="W6" s="200" t="s">
        <v>442</v>
      </c>
      <c r="X6" s="200" t="s">
        <v>654</v>
      </c>
      <c r="Y6" s="200" t="s">
        <v>655</v>
      </c>
      <c r="Z6" s="200" t="s">
        <v>572</v>
      </c>
      <c r="AA6" s="200" t="s">
        <v>627</v>
      </c>
      <c r="AB6" s="200" t="s">
        <v>478</v>
      </c>
      <c r="AC6" s="200" t="s">
        <v>247</v>
      </c>
      <c r="AD6" s="200" t="s">
        <v>274</v>
      </c>
      <c r="AE6" s="200" t="s">
        <v>271</v>
      </c>
      <c r="AF6" s="193"/>
      <c r="AG6" s="193"/>
      <c r="AH6" s="193"/>
      <c r="AI6" s="193"/>
      <c r="AJ6" s="193"/>
    </row>
    <row r="7" spans="1:36" x14ac:dyDescent="0.3">
      <c r="A7" s="195" t="s">
        <v>231</v>
      </c>
      <c r="B7" s="196">
        <v>46003</v>
      </c>
      <c r="C7" s="197" t="s">
        <v>603</v>
      </c>
      <c r="D7" s="198" t="s">
        <v>638</v>
      </c>
      <c r="E7" s="197" t="s">
        <v>600</v>
      </c>
      <c r="F7" s="197" t="s">
        <v>216</v>
      </c>
      <c r="G7" s="199">
        <v>0.28889999999999999</v>
      </c>
      <c r="H7" s="200">
        <v>180</v>
      </c>
      <c r="I7" s="200">
        <v>52</v>
      </c>
      <c r="J7" s="200">
        <v>0</v>
      </c>
      <c r="K7" s="197" t="s">
        <v>217</v>
      </c>
      <c r="L7" s="201">
        <v>45984</v>
      </c>
      <c r="M7" s="200">
        <v>4</v>
      </c>
      <c r="N7" s="200">
        <v>7</v>
      </c>
      <c r="O7" s="200">
        <v>29</v>
      </c>
      <c r="P7" s="197" t="s">
        <v>618</v>
      </c>
      <c r="Q7" s="193"/>
      <c r="R7" s="193"/>
      <c r="S7" s="193"/>
      <c r="T7" s="193"/>
      <c r="U7" s="200" t="s">
        <v>656</v>
      </c>
      <c r="V7" s="193"/>
      <c r="W7" s="193"/>
      <c r="X7" s="200" t="s">
        <v>657</v>
      </c>
      <c r="Y7" s="200" t="s">
        <v>655</v>
      </c>
      <c r="Z7" s="200" t="s">
        <v>218</v>
      </c>
      <c r="AA7" s="200" t="s">
        <v>627</v>
      </c>
      <c r="AB7" s="200" t="s">
        <v>478</v>
      </c>
      <c r="AC7" s="200" t="s">
        <v>247</v>
      </c>
      <c r="AD7" s="200" t="s">
        <v>274</v>
      </c>
      <c r="AE7" s="200" t="s">
        <v>248</v>
      </c>
      <c r="AF7" s="193"/>
      <c r="AG7" s="193"/>
      <c r="AH7" s="193"/>
      <c r="AI7" s="193"/>
      <c r="AJ7" s="193"/>
    </row>
    <row r="8" spans="1:36" x14ac:dyDescent="0.3">
      <c r="A8" s="195" t="s">
        <v>334</v>
      </c>
      <c r="B8" s="196">
        <v>46006</v>
      </c>
      <c r="C8" s="197" t="s">
        <v>603</v>
      </c>
      <c r="D8" s="198" t="s">
        <v>340</v>
      </c>
      <c r="E8" s="197" t="s">
        <v>600</v>
      </c>
      <c r="F8" s="197" t="s">
        <v>216</v>
      </c>
      <c r="G8" s="199">
        <v>0.23330000000000001</v>
      </c>
      <c r="H8" s="200">
        <v>180</v>
      </c>
      <c r="I8" s="200">
        <v>42</v>
      </c>
      <c r="J8" s="200">
        <v>0</v>
      </c>
      <c r="K8" s="197" t="s">
        <v>217</v>
      </c>
      <c r="L8" s="201">
        <v>45984</v>
      </c>
      <c r="M8" s="200">
        <v>5</v>
      </c>
      <c r="N8" s="200">
        <v>8</v>
      </c>
      <c r="O8" s="200">
        <v>25</v>
      </c>
      <c r="P8" s="197" t="s">
        <v>233</v>
      </c>
      <c r="Q8" s="193"/>
      <c r="R8" s="193"/>
      <c r="S8" s="193"/>
      <c r="T8" s="193"/>
      <c r="U8" s="193"/>
      <c r="V8" s="193"/>
      <c r="W8" s="193"/>
      <c r="X8" s="193"/>
      <c r="Y8" s="200" t="s">
        <v>233</v>
      </c>
      <c r="Z8" s="200" t="s">
        <v>241</v>
      </c>
      <c r="AA8" s="200" t="s">
        <v>627</v>
      </c>
      <c r="AB8" s="200" t="s">
        <v>508</v>
      </c>
      <c r="AC8" s="200" t="s">
        <v>247</v>
      </c>
      <c r="AD8" s="200" t="s">
        <v>274</v>
      </c>
      <c r="AE8" s="200" t="s">
        <v>271</v>
      </c>
      <c r="AF8" s="193"/>
      <c r="AG8" s="193"/>
      <c r="AH8" s="193"/>
      <c r="AI8" s="193"/>
      <c r="AJ8" s="193"/>
    </row>
    <row r="9" spans="1:36" x14ac:dyDescent="0.3">
      <c r="A9" s="195" t="s">
        <v>231</v>
      </c>
      <c r="B9" s="196">
        <v>46010</v>
      </c>
      <c r="C9" s="197" t="s">
        <v>603</v>
      </c>
      <c r="D9" s="198" t="s">
        <v>638</v>
      </c>
      <c r="E9" s="197" t="s">
        <v>600</v>
      </c>
      <c r="F9" s="197" t="s">
        <v>216</v>
      </c>
      <c r="G9" s="199">
        <v>0.17780000000000001</v>
      </c>
      <c r="H9" s="200">
        <v>180</v>
      </c>
      <c r="I9" s="200">
        <v>32</v>
      </c>
      <c r="J9" s="200">
        <v>0</v>
      </c>
      <c r="K9" s="197" t="s">
        <v>217</v>
      </c>
      <c r="L9" s="201">
        <v>45984</v>
      </c>
      <c r="M9" s="200">
        <v>6</v>
      </c>
      <c r="N9" s="200">
        <v>2</v>
      </c>
      <c r="O9" s="200">
        <v>21</v>
      </c>
      <c r="P9" s="197" t="s">
        <v>241</v>
      </c>
      <c r="Q9" s="193"/>
      <c r="R9" s="193"/>
      <c r="S9" s="193"/>
      <c r="T9" s="193"/>
      <c r="U9" s="193"/>
      <c r="V9" s="193"/>
      <c r="W9" s="193"/>
      <c r="X9" s="193"/>
      <c r="Y9" s="193"/>
      <c r="Z9" s="200" t="s">
        <v>261</v>
      </c>
      <c r="AA9" s="200" t="s">
        <v>627</v>
      </c>
      <c r="AB9" s="200" t="s">
        <v>508</v>
      </c>
      <c r="AC9" s="200" t="s">
        <v>247</v>
      </c>
      <c r="AD9" s="200" t="s">
        <v>274</v>
      </c>
      <c r="AE9" s="200" t="s">
        <v>248</v>
      </c>
      <c r="AF9" s="193"/>
      <c r="AG9" s="193"/>
      <c r="AH9" s="193"/>
      <c r="AI9" s="193"/>
      <c r="AJ9" s="193"/>
    </row>
    <row r="10" spans="1:36" x14ac:dyDescent="0.3">
      <c r="A10" s="195" t="s">
        <v>334</v>
      </c>
      <c r="B10" s="196">
        <v>46013</v>
      </c>
      <c r="C10" s="197" t="s">
        <v>603</v>
      </c>
      <c r="D10" s="198" t="s">
        <v>340</v>
      </c>
      <c r="E10" s="197" t="s">
        <v>600</v>
      </c>
      <c r="F10" s="197" t="s">
        <v>216</v>
      </c>
      <c r="G10" s="199">
        <v>0.21110000000000001</v>
      </c>
      <c r="H10" s="200">
        <v>180</v>
      </c>
      <c r="I10" s="200">
        <v>38</v>
      </c>
      <c r="J10" s="200">
        <v>0</v>
      </c>
      <c r="K10" s="197" t="s">
        <v>217</v>
      </c>
      <c r="L10" s="201">
        <v>45984</v>
      </c>
      <c r="M10" s="200">
        <v>5</v>
      </c>
      <c r="N10" s="200">
        <v>1</v>
      </c>
      <c r="O10" s="200">
        <v>13</v>
      </c>
      <c r="P10" s="197" t="s">
        <v>623</v>
      </c>
      <c r="Q10" s="193"/>
      <c r="R10" s="193"/>
      <c r="S10" s="193"/>
      <c r="T10" s="193"/>
      <c r="U10" s="193"/>
      <c r="V10" s="193"/>
      <c r="W10" s="193"/>
      <c r="X10" s="193"/>
      <c r="Y10" s="193"/>
      <c r="Z10" s="200" t="s">
        <v>241</v>
      </c>
      <c r="AA10" s="200" t="s">
        <v>627</v>
      </c>
      <c r="AB10" s="200" t="s">
        <v>329</v>
      </c>
      <c r="AC10" s="200" t="s">
        <v>247</v>
      </c>
      <c r="AD10" s="200" t="s">
        <v>274</v>
      </c>
      <c r="AE10" s="200" t="s">
        <v>263</v>
      </c>
      <c r="AF10" s="200" t="s">
        <v>138</v>
      </c>
      <c r="AG10" s="193"/>
      <c r="AH10" s="193"/>
      <c r="AI10" s="193"/>
      <c r="AJ10" s="193"/>
    </row>
    <row r="11" spans="1:36" x14ac:dyDescent="0.3">
      <c r="A11" s="195" t="s">
        <v>231</v>
      </c>
      <c r="B11" s="196">
        <v>46017</v>
      </c>
      <c r="C11" s="197" t="s">
        <v>603</v>
      </c>
      <c r="D11" s="198" t="s">
        <v>638</v>
      </c>
      <c r="E11" s="197" t="s">
        <v>600</v>
      </c>
      <c r="F11" s="197" t="s">
        <v>216</v>
      </c>
      <c r="G11" s="199">
        <v>0.16669999999999999</v>
      </c>
      <c r="H11" s="200">
        <v>180</v>
      </c>
      <c r="I11" s="200">
        <v>30</v>
      </c>
      <c r="J11" s="200">
        <v>0</v>
      </c>
      <c r="K11" s="197" t="s">
        <v>217</v>
      </c>
      <c r="L11" s="201">
        <v>45984</v>
      </c>
      <c r="M11" s="200">
        <v>4</v>
      </c>
      <c r="N11" s="200">
        <v>7</v>
      </c>
      <c r="O11" s="200">
        <v>15</v>
      </c>
      <c r="P11" s="197" t="s">
        <v>256</v>
      </c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200" t="s">
        <v>627</v>
      </c>
      <c r="AB11" s="200" t="s">
        <v>584</v>
      </c>
      <c r="AC11" s="200" t="s">
        <v>258</v>
      </c>
      <c r="AD11" s="200" t="s">
        <v>279</v>
      </c>
      <c r="AE11" s="200" t="s">
        <v>271</v>
      </c>
      <c r="AF11" s="193"/>
      <c r="AG11" s="193"/>
      <c r="AH11" s="193"/>
      <c r="AI11" s="193"/>
      <c r="AJ11" s="193"/>
    </row>
    <row r="12" spans="1:36" x14ac:dyDescent="0.3">
      <c r="A12" s="195" t="s">
        <v>334</v>
      </c>
      <c r="B12" s="196">
        <v>46020</v>
      </c>
      <c r="C12" s="197" t="s">
        <v>603</v>
      </c>
      <c r="D12" s="198" t="s">
        <v>340</v>
      </c>
      <c r="E12" s="197" t="s">
        <v>600</v>
      </c>
      <c r="F12" s="197" t="s">
        <v>216</v>
      </c>
      <c r="G12" s="199">
        <v>0.1278</v>
      </c>
      <c r="H12" s="200">
        <v>180</v>
      </c>
      <c r="I12" s="200">
        <v>23</v>
      </c>
      <c r="J12" s="200">
        <v>0</v>
      </c>
      <c r="K12" s="197" t="s">
        <v>217</v>
      </c>
      <c r="L12" s="201">
        <v>45984</v>
      </c>
      <c r="M12" s="200">
        <v>4</v>
      </c>
      <c r="N12" s="200">
        <v>0</v>
      </c>
      <c r="O12" s="200">
        <v>9</v>
      </c>
      <c r="P12" s="197" t="s">
        <v>627</v>
      </c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200" t="s">
        <v>584</v>
      </c>
      <c r="AC12" s="200" t="s">
        <v>258</v>
      </c>
      <c r="AD12" s="200" t="s">
        <v>81</v>
      </c>
      <c r="AE12" s="200" t="s">
        <v>263</v>
      </c>
      <c r="AF12" s="200" t="s">
        <v>136</v>
      </c>
      <c r="AG12" s="193"/>
      <c r="AH12" s="193"/>
      <c r="AI12" s="193"/>
      <c r="AJ12" s="193"/>
    </row>
    <row r="13" spans="1:36" ht="21" x14ac:dyDescent="0.3">
      <c r="A13" s="202" t="s">
        <v>659</v>
      </c>
      <c r="B13" s="203"/>
      <c r="C13" s="202">
        <f>SUBTOTAL(103,ATZ_DMM_LF_LEGACY[Flt])</f>
        <v>11</v>
      </c>
      <c r="D13" s="202"/>
      <c r="E13" s="202">
        <f>SUBTOTAL(103,ATZ_DMM_LF_LEGACY[Brd-Off])</f>
        <v>11</v>
      </c>
      <c r="F13" s="202"/>
      <c r="G13" s="204">
        <f>SUBTOTAL(101,ATZ_DMM_LF_LEGACY[LF%])</f>
        <v>0.45200909090909086</v>
      </c>
      <c r="H13" s="205">
        <f>SUBTOTAL(109,ATZ_DMM_LF_LEGACY[CAP])</f>
        <v>1980</v>
      </c>
      <c r="I13" s="205">
        <f>SUBTOTAL(109,ATZ_DMM_LF_LEGACY[BKG(Y)])</f>
        <v>895</v>
      </c>
      <c r="J13" s="205">
        <f>SUBTOTAL(109,ATZ_DMM_LF_LEGACY[GRP(Y)])</f>
        <v>0</v>
      </c>
      <c r="K13" s="202"/>
      <c r="L13" s="203"/>
      <c r="M13" s="205">
        <f>SUBTOTAL(109,ATZ_DMM_LF_LEGACY[TO-DAY])</f>
        <v>71</v>
      </c>
      <c r="N13" s="205">
        <f>SUBTOTAL(109,ATZ_DMM_LF_LEGACY[Y-DAY])</f>
        <v>64</v>
      </c>
      <c r="O13" s="205">
        <f>SUBTOTAL(109,ATZ_DMM_LF_LEGACY[WEEKLY])</f>
        <v>363</v>
      </c>
      <c r="P13" s="206"/>
      <c r="Q13" s="205">
        <f>SUBTOTAL(109,ATZ_DMM_LF_LEGACY[Y])</f>
        <v>0</v>
      </c>
      <c r="R13" s="205">
        <f>SUBTOTAL(109,ATZ_DMM_LF_LEGACY[B])</f>
        <v>0</v>
      </c>
      <c r="S13" s="205">
        <f>SUBTOTAL(109,ATZ_DMM_LF_LEGACY[M])</f>
        <v>0</v>
      </c>
      <c r="T13" s="205">
        <f>SUBTOTAL(109,ATZ_DMM_LF_LEGACY[H])</f>
        <v>0</v>
      </c>
      <c r="U13" s="205">
        <f>SUBTOTAL(109,ATZ_DMM_LF_LEGACY[Q])</f>
        <v>0</v>
      </c>
      <c r="V13" s="205">
        <f>SUBTOTAL(109,ATZ_DMM_LF_LEGACY[K])</f>
        <v>0</v>
      </c>
      <c r="W13" s="205">
        <f>SUBTOTAL(109,ATZ_DMM_LF_LEGACY[V])</f>
        <v>0</v>
      </c>
      <c r="X13" s="205">
        <f>SUBTOTAL(109,ATZ_DMM_LF_LEGACY[L])</f>
        <v>0</v>
      </c>
      <c r="Y13" s="205">
        <f>SUBTOTAL(109,ATZ_DMM_LF_LEGACY[G])</f>
        <v>0</v>
      </c>
      <c r="Z13" s="205">
        <f>SUBTOTAL(109,ATZ_DMM_LF_LEGACY[S])</f>
        <v>0</v>
      </c>
      <c r="AA13" s="205">
        <f>SUBTOTAL(109,ATZ_DMM_LF_LEGACY[W])</f>
        <v>0</v>
      </c>
      <c r="AB13" s="205">
        <f>SUBTOTAL(109,ATZ_DMM_LF_LEGACY[T])</f>
        <v>0</v>
      </c>
      <c r="AC13" s="205">
        <f>SUBTOTAL(109,ATZ_DMM_LF_LEGACY[X])</f>
        <v>0</v>
      </c>
      <c r="AD13" s="205">
        <f>SUBTOTAL(109,ATZ_DMM_LF_LEGACY[U])</f>
        <v>0</v>
      </c>
      <c r="AE13" s="205">
        <f>SUBTOTAL(109,ATZ_DMM_LF_LEGACY[O])</f>
        <v>0</v>
      </c>
      <c r="AF13" s="205">
        <f>SUBTOTAL(109,ATZ_DMM_LF_LEGACY[I])</f>
        <v>0</v>
      </c>
      <c r="AG13" s="205">
        <f>SUBTOTAL(109,ATZ_DMM_LF_LEGACY[E])</f>
        <v>0</v>
      </c>
      <c r="AH13" s="205">
        <f>SUBTOTAL(109,ATZ_DMM_LF_LEGACY[A])</f>
        <v>0</v>
      </c>
      <c r="AI13" s="205">
        <f>SUBTOTAL(109,ATZ_DMM_LF_LEGACY[P])</f>
        <v>0</v>
      </c>
      <c r="AJ13" s="205">
        <f>SUBTOTAL(103,ATZ_DMM_LF_LEGACY[N])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48"/>
  <sheetViews>
    <sheetView workbookViewId="0">
      <selection sqref="A1:XFD1048576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  <col min="9" max="9" width="224.77734375" hidden="1" customWidth="1"/>
  </cols>
  <sheetData>
    <row r="1" spans="1:8" ht="18" x14ac:dyDescent="0.3">
      <c r="A1" s="108" t="s">
        <v>282</v>
      </c>
      <c r="B1" s="109" t="s">
        <v>10</v>
      </c>
      <c r="C1" s="109" t="s">
        <v>11</v>
      </c>
      <c r="D1" s="109" t="s">
        <v>283</v>
      </c>
      <c r="E1" s="109" t="s">
        <v>12</v>
      </c>
      <c r="F1" s="109" t="s">
        <v>13</v>
      </c>
      <c r="G1" s="109" t="s">
        <v>14</v>
      </c>
      <c r="H1" s="110" t="s">
        <v>15</v>
      </c>
    </row>
    <row r="2" spans="1:8" ht="19.8" customHeight="1" x14ac:dyDescent="0.3">
      <c r="A2" s="146"/>
      <c r="B2" s="147"/>
      <c r="C2" s="147"/>
      <c r="D2" s="147"/>
      <c r="E2" s="147"/>
      <c r="F2" s="148" t="s">
        <v>658</v>
      </c>
      <c r="G2" s="147"/>
      <c r="H2" s="149"/>
    </row>
    <row r="3" spans="1:8" ht="19.8" customHeight="1" x14ac:dyDescent="0.3">
      <c r="A3" s="111" t="s">
        <v>3</v>
      </c>
      <c r="B3" s="112" t="s">
        <v>28</v>
      </c>
      <c r="C3" s="113" t="s">
        <v>354</v>
      </c>
      <c r="D3" s="112" t="s">
        <v>353</v>
      </c>
      <c r="E3" s="112" t="s">
        <v>592</v>
      </c>
      <c r="F3" s="112" t="s">
        <v>178</v>
      </c>
      <c r="G3" s="114">
        <v>9</v>
      </c>
      <c r="H3" s="121" t="s">
        <v>355</v>
      </c>
    </row>
    <row r="4" spans="1:8" ht="19.8" customHeight="1" x14ac:dyDescent="0.3">
      <c r="A4" s="111" t="s">
        <v>3</v>
      </c>
      <c r="B4" s="112" t="s">
        <v>33</v>
      </c>
      <c r="C4" s="113" t="s">
        <v>356</v>
      </c>
      <c r="D4" s="112" t="s">
        <v>353</v>
      </c>
      <c r="E4" s="112" t="s">
        <v>593</v>
      </c>
      <c r="F4" s="112" t="s">
        <v>35</v>
      </c>
      <c r="G4" s="114">
        <v>2</v>
      </c>
      <c r="H4" s="121" t="s">
        <v>357</v>
      </c>
    </row>
    <row r="5" spans="1:8" ht="19.8" customHeight="1" x14ac:dyDescent="0.3">
      <c r="A5" s="111" t="s">
        <v>3</v>
      </c>
      <c r="B5" s="112" t="s">
        <v>33</v>
      </c>
      <c r="C5" s="113" t="s">
        <v>356</v>
      </c>
      <c r="D5" s="112" t="s">
        <v>353</v>
      </c>
      <c r="E5" s="112" t="s">
        <v>593</v>
      </c>
      <c r="F5" s="112" t="s">
        <v>38</v>
      </c>
      <c r="G5" s="114">
        <v>2</v>
      </c>
      <c r="H5" s="121" t="s">
        <v>358</v>
      </c>
    </row>
    <row r="6" spans="1:8" ht="19.8" customHeight="1" x14ac:dyDescent="0.3">
      <c r="A6" s="111" t="s">
        <v>3</v>
      </c>
      <c r="B6" s="112" t="s">
        <v>33</v>
      </c>
      <c r="C6" s="113" t="s">
        <v>356</v>
      </c>
      <c r="D6" s="112" t="s">
        <v>353</v>
      </c>
      <c r="E6" s="112" t="s">
        <v>593</v>
      </c>
      <c r="F6" s="112" t="s">
        <v>41</v>
      </c>
      <c r="G6" s="114">
        <v>2</v>
      </c>
      <c r="H6" s="121" t="s">
        <v>359</v>
      </c>
    </row>
    <row r="7" spans="1:8" ht="19.8" customHeight="1" x14ac:dyDescent="0.3">
      <c r="A7" s="111" t="s">
        <v>3</v>
      </c>
      <c r="B7" s="112" t="s">
        <v>43</v>
      </c>
      <c r="C7" s="113" t="s">
        <v>360</v>
      </c>
      <c r="D7" s="112" t="s">
        <v>353</v>
      </c>
      <c r="E7" s="112" t="s">
        <v>594</v>
      </c>
      <c r="F7" s="112" t="s">
        <v>45</v>
      </c>
      <c r="G7" s="114">
        <v>8</v>
      </c>
      <c r="H7" s="121" t="s">
        <v>361</v>
      </c>
    </row>
    <row r="8" spans="1:8" ht="19.8" customHeight="1" x14ac:dyDescent="0.3">
      <c r="A8" s="116" t="s">
        <v>3</v>
      </c>
      <c r="B8" s="117" t="s">
        <v>43</v>
      </c>
      <c r="C8" s="118" t="s">
        <v>362</v>
      </c>
      <c r="D8" s="117" t="s">
        <v>353</v>
      </c>
      <c r="E8" s="117" t="s">
        <v>595</v>
      </c>
      <c r="F8" s="117" t="s">
        <v>45</v>
      </c>
      <c r="G8" s="119">
        <v>3</v>
      </c>
      <c r="H8" s="122" t="s">
        <v>363</v>
      </c>
    </row>
    <row r="9" spans="1:8" ht="19.8" customHeight="1" x14ac:dyDescent="0.3">
      <c r="A9" s="123" t="s">
        <v>287</v>
      </c>
      <c r="B9" s="124" t="s">
        <v>76</v>
      </c>
      <c r="C9" s="125" t="s">
        <v>601</v>
      </c>
      <c r="D9" s="124" t="s">
        <v>600</v>
      </c>
      <c r="E9" s="124" t="s">
        <v>340</v>
      </c>
      <c r="F9" s="124"/>
      <c r="G9" s="124"/>
      <c r="H9" s="150" t="s">
        <v>602</v>
      </c>
    </row>
    <row r="10" spans="1:8" ht="19.8" customHeight="1" x14ac:dyDescent="0.3">
      <c r="A10" s="146"/>
      <c r="B10" s="147"/>
      <c r="C10" s="147"/>
      <c r="D10" s="147"/>
      <c r="E10" s="147"/>
      <c r="F10" s="148" t="s">
        <v>658</v>
      </c>
      <c r="G10" s="147"/>
      <c r="H10" s="149"/>
    </row>
    <row r="11" spans="1:8" ht="19.8" customHeight="1" x14ac:dyDescent="0.3">
      <c r="A11" s="128">
        <v>45985</v>
      </c>
      <c r="B11" s="112" t="s">
        <v>33</v>
      </c>
      <c r="C11" s="113" t="s">
        <v>364</v>
      </c>
      <c r="D11" s="112" t="s">
        <v>353</v>
      </c>
      <c r="E11" s="129">
        <v>1.336805555555556</v>
      </c>
      <c r="F11" s="112" t="s">
        <v>35</v>
      </c>
      <c r="G11" s="114">
        <v>1</v>
      </c>
      <c r="H11" s="121" t="s">
        <v>365</v>
      </c>
    </row>
    <row r="12" spans="1:8" ht="19.8" customHeight="1" x14ac:dyDescent="0.3">
      <c r="A12" s="128">
        <v>45985</v>
      </c>
      <c r="B12" s="112" t="s">
        <v>59</v>
      </c>
      <c r="C12" s="113" t="s">
        <v>371</v>
      </c>
      <c r="D12" s="112" t="s">
        <v>353</v>
      </c>
      <c r="E12" s="129">
        <v>1.447916666666667</v>
      </c>
      <c r="F12" s="112" t="s">
        <v>61</v>
      </c>
      <c r="G12" s="114">
        <v>1</v>
      </c>
      <c r="H12" s="121" t="s">
        <v>372</v>
      </c>
    </row>
    <row r="13" spans="1:8" ht="19.8" customHeight="1" x14ac:dyDescent="0.3">
      <c r="A13" s="128">
        <v>45985</v>
      </c>
      <c r="B13" s="112" t="s">
        <v>33</v>
      </c>
      <c r="C13" s="113" t="s">
        <v>364</v>
      </c>
      <c r="D13" s="112" t="s">
        <v>353</v>
      </c>
      <c r="E13" s="129">
        <v>1.336805555555556</v>
      </c>
      <c r="F13" s="112" t="s">
        <v>38</v>
      </c>
      <c r="G13" s="114">
        <v>1</v>
      </c>
      <c r="H13" s="121" t="s">
        <v>366</v>
      </c>
    </row>
    <row r="14" spans="1:8" ht="19.8" customHeight="1" x14ac:dyDescent="0.3">
      <c r="A14" s="128">
        <v>45985</v>
      </c>
      <c r="B14" s="112" t="s">
        <v>33</v>
      </c>
      <c r="C14" s="113" t="s">
        <v>356</v>
      </c>
      <c r="D14" s="112" t="s">
        <v>353</v>
      </c>
      <c r="E14" s="129">
        <v>1.9722222222222221</v>
      </c>
      <c r="F14" s="112" t="s">
        <v>35</v>
      </c>
      <c r="G14" s="114">
        <v>3</v>
      </c>
      <c r="H14" s="121" t="s">
        <v>368</v>
      </c>
    </row>
    <row r="15" spans="1:8" ht="19.8" customHeight="1" x14ac:dyDescent="0.3">
      <c r="A15" s="128">
        <v>45985</v>
      </c>
      <c r="B15" s="112" t="s">
        <v>59</v>
      </c>
      <c r="C15" s="113" t="s">
        <v>371</v>
      </c>
      <c r="D15" s="112" t="s">
        <v>353</v>
      </c>
      <c r="E15" s="129">
        <v>1.447916666666667</v>
      </c>
      <c r="F15" s="112" t="s">
        <v>64</v>
      </c>
      <c r="G15" s="114">
        <v>1</v>
      </c>
      <c r="H15" s="121" t="s">
        <v>373</v>
      </c>
    </row>
    <row r="16" spans="1:8" ht="19.8" customHeight="1" x14ac:dyDescent="0.3">
      <c r="A16" s="128">
        <v>45985</v>
      </c>
      <c r="B16" s="112" t="s">
        <v>33</v>
      </c>
      <c r="C16" s="113" t="s">
        <v>364</v>
      </c>
      <c r="D16" s="112" t="s">
        <v>353</v>
      </c>
      <c r="E16" s="129">
        <v>1.336805555555556</v>
      </c>
      <c r="F16" s="112" t="s">
        <v>41</v>
      </c>
      <c r="G16" s="114">
        <v>1</v>
      </c>
      <c r="H16" s="121" t="s">
        <v>367</v>
      </c>
    </row>
    <row r="17" spans="1:8" ht="19.8" customHeight="1" x14ac:dyDescent="0.3">
      <c r="A17" s="128">
        <v>45985</v>
      </c>
      <c r="B17" s="112" t="s">
        <v>33</v>
      </c>
      <c r="C17" s="113" t="s">
        <v>356</v>
      </c>
      <c r="D17" s="112" t="s">
        <v>353</v>
      </c>
      <c r="E17" s="129">
        <v>1.9722222222222221</v>
      </c>
      <c r="F17" s="112" t="s">
        <v>38</v>
      </c>
      <c r="G17" s="114">
        <v>3</v>
      </c>
      <c r="H17" s="121" t="s">
        <v>369</v>
      </c>
    </row>
    <row r="18" spans="1:8" ht="19.8" customHeight="1" x14ac:dyDescent="0.3">
      <c r="A18" s="128">
        <v>45985</v>
      </c>
      <c r="B18" s="112" t="s">
        <v>59</v>
      </c>
      <c r="C18" s="113" t="s">
        <v>371</v>
      </c>
      <c r="D18" s="112" t="s">
        <v>353</v>
      </c>
      <c r="E18" s="129">
        <v>1.447916666666667</v>
      </c>
      <c r="F18" s="112" t="s">
        <v>67</v>
      </c>
      <c r="G18" s="114">
        <v>1</v>
      </c>
      <c r="H18" s="121" t="s">
        <v>374</v>
      </c>
    </row>
    <row r="19" spans="1:8" ht="19.8" customHeight="1" x14ac:dyDescent="0.3">
      <c r="A19" s="128">
        <v>45985</v>
      </c>
      <c r="B19" s="112" t="s">
        <v>33</v>
      </c>
      <c r="C19" s="113" t="s">
        <v>356</v>
      </c>
      <c r="D19" s="112" t="s">
        <v>353</v>
      </c>
      <c r="E19" s="129">
        <v>1.9722222222222221</v>
      </c>
      <c r="F19" s="112" t="s">
        <v>41</v>
      </c>
      <c r="G19" s="114">
        <v>3</v>
      </c>
      <c r="H19" s="121" t="s">
        <v>370</v>
      </c>
    </row>
    <row r="20" spans="1:8" ht="19.8" customHeight="1" x14ac:dyDescent="0.3">
      <c r="A20" s="130">
        <v>45985</v>
      </c>
      <c r="B20" s="117" t="s">
        <v>28</v>
      </c>
      <c r="C20" s="118" t="s">
        <v>375</v>
      </c>
      <c r="D20" s="117" t="s">
        <v>353</v>
      </c>
      <c r="E20" s="131">
        <v>1.756944444444444</v>
      </c>
      <c r="F20" s="117" t="s">
        <v>178</v>
      </c>
      <c r="G20" s="119">
        <v>9</v>
      </c>
      <c r="H20" s="122" t="s">
        <v>376</v>
      </c>
    </row>
    <row r="21" spans="1:8" ht="19.8" customHeight="1" x14ac:dyDescent="0.3">
      <c r="A21" s="146"/>
      <c r="B21" s="147"/>
      <c r="C21" s="147"/>
      <c r="D21" s="147"/>
      <c r="E21" s="147"/>
      <c r="F21" s="148" t="s">
        <v>658</v>
      </c>
      <c r="G21" s="147"/>
      <c r="H21" s="149"/>
    </row>
    <row r="22" spans="1:8" ht="19.8" customHeight="1" x14ac:dyDescent="0.3">
      <c r="A22" s="128">
        <v>45986</v>
      </c>
      <c r="B22" s="112" t="s">
        <v>59</v>
      </c>
      <c r="C22" s="113" t="s">
        <v>371</v>
      </c>
      <c r="D22" s="112" t="s">
        <v>353</v>
      </c>
      <c r="E22" s="129">
        <v>1.447916666666667</v>
      </c>
      <c r="F22" s="112" t="s">
        <v>61</v>
      </c>
      <c r="G22" s="114">
        <v>2</v>
      </c>
      <c r="H22" s="121" t="s">
        <v>384</v>
      </c>
    </row>
    <row r="23" spans="1:8" ht="19.8" customHeight="1" x14ac:dyDescent="0.3">
      <c r="A23" s="128">
        <v>45986</v>
      </c>
      <c r="B23" s="112" t="s">
        <v>28</v>
      </c>
      <c r="C23" s="113" t="s">
        <v>386</v>
      </c>
      <c r="D23" s="112" t="s">
        <v>353</v>
      </c>
      <c r="E23" s="129">
        <v>1.756944444444444</v>
      </c>
      <c r="F23" s="112" t="s">
        <v>178</v>
      </c>
      <c r="G23" s="114">
        <v>6</v>
      </c>
      <c r="H23" s="121" t="s">
        <v>355</v>
      </c>
    </row>
    <row r="24" spans="1:8" ht="19.8" customHeight="1" x14ac:dyDescent="0.3">
      <c r="A24" s="128">
        <v>45986</v>
      </c>
      <c r="B24" s="112" t="s">
        <v>102</v>
      </c>
      <c r="C24" s="113" t="s">
        <v>387</v>
      </c>
      <c r="D24" s="112" t="s">
        <v>353</v>
      </c>
      <c r="E24" s="129">
        <v>1.881944444444444</v>
      </c>
      <c r="F24" s="112" t="s">
        <v>178</v>
      </c>
      <c r="G24" s="114">
        <v>3</v>
      </c>
      <c r="H24" s="121" t="s">
        <v>388</v>
      </c>
    </row>
    <row r="25" spans="1:8" ht="19.8" customHeight="1" x14ac:dyDescent="0.3">
      <c r="A25" s="128">
        <v>45986</v>
      </c>
      <c r="B25" s="112" t="s">
        <v>76</v>
      </c>
      <c r="C25" s="113" t="s">
        <v>389</v>
      </c>
      <c r="D25" s="112" t="s">
        <v>353</v>
      </c>
      <c r="E25" s="129">
        <v>1.069444444444444</v>
      </c>
      <c r="F25" s="112" t="s">
        <v>178</v>
      </c>
      <c r="G25" s="114">
        <v>9</v>
      </c>
      <c r="H25" s="121" t="s">
        <v>390</v>
      </c>
    </row>
    <row r="26" spans="1:8" ht="19.8" customHeight="1" x14ac:dyDescent="0.3">
      <c r="A26" s="128">
        <v>45986</v>
      </c>
      <c r="B26" s="112" t="s">
        <v>59</v>
      </c>
      <c r="C26" s="113" t="s">
        <v>371</v>
      </c>
      <c r="D26" s="112" t="s">
        <v>353</v>
      </c>
      <c r="E26" s="129">
        <v>1.447916666666667</v>
      </c>
      <c r="F26" s="112" t="s">
        <v>64</v>
      </c>
      <c r="G26" s="114">
        <v>2</v>
      </c>
      <c r="H26" s="121" t="s">
        <v>369</v>
      </c>
    </row>
    <row r="27" spans="1:8" ht="19.8" customHeight="1" x14ac:dyDescent="0.3">
      <c r="A27" s="128">
        <v>45986</v>
      </c>
      <c r="B27" s="112" t="s">
        <v>33</v>
      </c>
      <c r="C27" s="113" t="s">
        <v>356</v>
      </c>
      <c r="D27" s="112" t="s">
        <v>353</v>
      </c>
      <c r="E27" s="129">
        <v>1.9722222222222221</v>
      </c>
      <c r="F27" s="112" t="s">
        <v>35</v>
      </c>
      <c r="G27" s="114">
        <v>2</v>
      </c>
      <c r="H27" s="121" t="s">
        <v>357</v>
      </c>
    </row>
    <row r="28" spans="1:8" ht="19.8" customHeight="1" x14ac:dyDescent="0.3">
      <c r="A28" s="128">
        <v>45986</v>
      </c>
      <c r="B28" s="112" t="s">
        <v>33</v>
      </c>
      <c r="C28" s="113" t="s">
        <v>356</v>
      </c>
      <c r="D28" s="112" t="s">
        <v>353</v>
      </c>
      <c r="E28" s="129">
        <v>1.9722222222222221</v>
      </c>
      <c r="F28" s="112" t="s">
        <v>38</v>
      </c>
      <c r="G28" s="114">
        <v>2</v>
      </c>
      <c r="H28" s="121" t="s">
        <v>358</v>
      </c>
    </row>
    <row r="29" spans="1:8" ht="19.8" customHeight="1" x14ac:dyDescent="0.3">
      <c r="A29" s="128">
        <v>45986</v>
      </c>
      <c r="B29" s="112" t="s">
        <v>33</v>
      </c>
      <c r="C29" s="113" t="s">
        <v>356</v>
      </c>
      <c r="D29" s="112" t="s">
        <v>353</v>
      </c>
      <c r="E29" s="129">
        <v>1.9722222222222221</v>
      </c>
      <c r="F29" s="112" t="s">
        <v>41</v>
      </c>
      <c r="G29" s="114">
        <v>2</v>
      </c>
      <c r="H29" s="121" t="s">
        <v>359</v>
      </c>
    </row>
    <row r="30" spans="1:8" ht="19.8" customHeight="1" x14ac:dyDescent="0.3">
      <c r="A30" s="128">
        <v>45986</v>
      </c>
      <c r="B30" s="112" t="s">
        <v>33</v>
      </c>
      <c r="C30" s="113" t="s">
        <v>364</v>
      </c>
      <c r="D30" s="112" t="s">
        <v>353</v>
      </c>
      <c r="E30" s="129">
        <v>1.336805555555556</v>
      </c>
      <c r="F30" s="112" t="s">
        <v>35</v>
      </c>
      <c r="G30" s="114">
        <v>1</v>
      </c>
      <c r="H30" s="121" t="s">
        <v>394</v>
      </c>
    </row>
    <row r="31" spans="1:8" ht="19.8" customHeight="1" x14ac:dyDescent="0.3">
      <c r="A31" s="130">
        <v>45986</v>
      </c>
      <c r="B31" s="117" t="s">
        <v>33</v>
      </c>
      <c r="C31" s="118" t="s">
        <v>364</v>
      </c>
      <c r="D31" s="117" t="s">
        <v>353</v>
      </c>
      <c r="E31" s="131">
        <v>1.336805555555556</v>
      </c>
      <c r="F31" s="117" t="s">
        <v>41</v>
      </c>
      <c r="G31" s="119">
        <v>1</v>
      </c>
      <c r="H31" s="122" t="s">
        <v>395</v>
      </c>
    </row>
    <row r="32" spans="1:8" ht="19.8" customHeight="1" x14ac:dyDescent="0.3">
      <c r="A32" s="146"/>
      <c r="B32" s="147"/>
      <c r="C32" s="147"/>
      <c r="D32" s="147"/>
      <c r="E32" s="147"/>
      <c r="F32" s="148" t="s">
        <v>658</v>
      </c>
      <c r="G32" s="147"/>
      <c r="H32" s="149"/>
    </row>
    <row r="33" spans="1:8" ht="19.8" customHeight="1" x14ac:dyDescent="0.3">
      <c r="A33" s="128">
        <v>45987</v>
      </c>
      <c r="B33" s="112" t="s">
        <v>59</v>
      </c>
      <c r="C33" s="113" t="s">
        <v>371</v>
      </c>
      <c r="D33" s="112" t="s">
        <v>353</v>
      </c>
      <c r="E33" s="129">
        <v>1.447916666666667</v>
      </c>
      <c r="F33" s="112" t="s">
        <v>61</v>
      </c>
      <c r="G33" s="114">
        <v>3</v>
      </c>
      <c r="H33" s="121" t="s">
        <v>384</v>
      </c>
    </row>
    <row r="34" spans="1:8" ht="19.8" customHeight="1" x14ac:dyDescent="0.3">
      <c r="A34" s="128">
        <v>45987</v>
      </c>
      <c r="B34" s="112" t="s">
        <v>33</v>
      </c>
      <c r="C34" s="113" t="s">
        <v>356</v>
      </c>
      <c r="D34" s="112" t="s">
        <v>353</v>
      </c>
      <c r="E34" s="129">
        <v>1.9722222222222221</v>
      </c>
      <c r="F34" s="112" t="s">
        <v>35</v>
      </c>
      <c r="G34" s="114">
        <v>8</v>
      </c>
      <c r="H34" s="121" t="s">
        <v>368</v>
      </c>
    </row>
    <row r="35" spans="1:8" ht="19.8" customHeight="1" x14ac:dyDescent="0.3">
      <c r="A35" s="128">
        <v>45987</v>
      </c>
      <c r="B35" s="112" t="s">
        <v>59</v>
      </c>
      <c r="C35" s="113" t="s">
        <v>371</v>
      </c>
      <c r="D35" s="112" t="s">
        <v>353</v>
      </c>
      <c r="E35" s="129">
        <v>1.447916666666667</v>
      </c>
      <c r="F35" s="112" t="s">
        <v>64</v>
      </c>
      <c r="G35" s="114">
        <v>3</v>
      </c>
      <c r="H35" s="121" t="s">
        <v>369</v>
      </c>
    </row>
    <row r="36" spans="1:8" ht="19.8" customHeight="1" x14ac:dyDescent="0.3">
      <c r="A36" s="128">
        <v>45987</v>
      </c>
      <c r="B36" s="112" t="s">
        <v>33</v>
      </c>
      <c r="C36" s="113" t="s">
        <v>356</v>
      </c>
      <c r="D36" s="112" t="s">
        <v>353</v>
      </c>
      <c r="E36" s="129">
        <v>1.9722222222222221</v>
      </c>
      <c r="F36" s="112" t="s">
        <v>38</v>
      </c>
      <c r="G36" s="114">
        <v>8</v>
      </c>
      <c r="H36" s="121" t="s">
        <v>369</v>
      </c>
    </row>
    <row r="37" spans="1:8" ht="19.8" customHeight="1" x14ac:dyDescent="0.3">
      <c r="A37" s="128">
        <v>45987</v>
      </c>
      <c r="B37" s="112" t="s">
        <v>33</v>
      </c>
      <c r="C37" s="113" t="s">
        <v>356</v>
      </c>
      <c r="D37" s="112" t="s">
        <v>353</v>
      </c>
      <c r="E37" s="129">
        <v>1.9722222222222221</v>
      </c>
      <c r="F37" s="112" t="s">
        <v>41</v>
      </c>
      <c r="G37" s="114">
        <v>8</v>
      </c>
      <c r="H37" s="121" t="s">
        <v>370</v>
      </c>
    </row>
    <row r="38" spans="1:8" ht="19.8" customHeight="1" x14ac:dyDescent="0.3">
      <c r="A38" s="128">
        <v>45987</v>
      </c>
      <c r="B38" s="112" t="s">
        <v>28</v>
      </c>
      <c r="C38" s="113" t="s">
        <v>375</v>
      </c>
      <c r="D38" s="112" t="s">
        <v>353</v>
      </c>
      <c r="E38" s="129">
        <v>1.697916666666667</v>
      </c>
      <c r="F38" s="112" t="s">
        <v>178</v>
      </c>
      <c r="G38" s="114">
        <v>5</v>
      </c>
      <c r="H38" s="121" t="s">
        <v>376</v>
      </c>
    </row>
    <row r="39" spans="1:8" ht="19.8" customHeight="1" x14ac:dyDescent="0.3">
      <c r="A39" s="128">
        <v>45987</v>
      </c>
      <c r="B39" s="112" t="s">
        <v>43</v>
      </c>
      <c r="C39" s="113" t="s">
        <v>380</v>
      </c>
      <c r="D39" s="112" t="s">
        <v>353</v>
      </c>
      <c r="E39" s="129">
        <v>1.336805555555556</v>
      </c>
      <c r="F39" s="112" t="s">
        <v>45</v>
      </c>
      <c r="G39" s="114">
        <v>9</v>
      </c>
      <c r="H39" s="121" t="s">
        <v>400</v>
      </c>
    </row>
    <row r="40" spans="1:8" ht="19.8" customHeight="1" x14ac:dyDescent="0.3">
      <c r="A40" s="128">
        <v>45987</v>
      </c>
      <c r="B40" s="112" t="s">
        <v>54</v>
      </c>
      <c r="C40" s="113" t="s">
        <v>382</v>
      </c>
      <c r="D40" s="112" t="s">
        <v>353</v>
      </c>
      <c r="E40" s="129">
        <v>1.447916666666667</v>
      </c>
      <c r="F40" s="112" t="s">
        <v>56</v>
      </c>
      <c r="G40" s="114">
        <v>4</v>
      </c>
      <c r="H40" s="121" t="s">
        <v>397</v>
      </c>
    </row>
    <row r="41" spans="1:8" ht="19.8" customHeight="1" x14ac:dyDescent="0.3">
      <c r="A41" s="128">
        <v>45987</v>
      </c>
      <c r="B41" s="112" t="s">
        <v>43</v>
      </c>
      <c r="C41" s="113" t="s">
        <v>362</v>
      </c>
      <c r="D41" s="112" t="s">
        <v>353</v>
      </c>
      <c r="E41" s="129">
        <v>1.677083333333333</v>
      </c>
      <c r="F41" s="112" t="s">
        <v>45</v>
      </c>
      <c r="G41" s="114">
        <v>3</v>
      </c>
      <c r="H41" s="121" t="s">
        <v>363</v>
      </c>
    </row>
    <row r="42" spans="1:8" ht="19.8" customHeight="1" x14ac:dyDescent="0.3">
      <c r="A42" s="130">
        <v>45987</v>
      </c>
      <c r="B42" s="117" t="s">
        <v>59</v>
      </c>
      <c r="C42" s="118" t="s">
        <v>371</v>
      </c>
      <c r="D42" s="117" t="s">
        <v>353</v>
      </c>
      <c r="E42" s="131">
        <v>1.447916666666667</v>
      </c>
      <c r="F42" s="117" t="s">
        <v>67</v>
      </c>
      <c r="G42" s="119">
        <v>3</v>
      </c>
      <c r="H42" s="122" t="s">
        <v>398</v>
      </c>
    </row>
    <row r="43" spans="1:8" ht="19.8" customHeight="1" x14ac:dyDescent="0.3">
      <c r="A43" s="146"/>
      <c r="B43" s="147"/>
      <c r="C43" s="147"/>
      <c r="D43" s="147"/>
      <c r="E43" s="147"/>
      <c r="F43" s="148" t="s">
        <v>658</v>
      </c>
      <c r="G43" s="147"/>
      <c r="H43" s="149"/>
    </row>
    <row r="44" spans="1:8" ht="19.8" customHeight="1" x14ac:dyDescent="0.3">
      <c r="A44" s="128">
        <v>45988</v>
      </c>
      <c r="B44" s="112" t="s">
        <v>33</v>
      </c>
      <c r="C44" s="113" t="s">
        <v>364</v>
      </c>
      <c r="D44" s="112" t="s">
        <v>353</v>
      </c>
      <c r="E44" s="129">
        <v>1.336805555555556</v>
      </c>
      <c r="F44" s="112" t="s">
        <v>35</v>
      </c>
      <c r="G44" s="114">
        <v>9</v>
      </c>
      <c r="H44" s="121" t="s">
        <v>365</v>
      </c>
    </row>
    <row r="45" spans="1:8" ht="19.8" customHeight="1" x14ac:dyDescent="0.3">
      <c r="A45" s="128">
        <v>45988</v>
      </c>
      <c r="B45" s="112" t="s">
        <v>102</v>
      </c>
      <c r="C45" s="113" t="s">
        <v>402</v>
      </c>
      <c r="D45" s="112" t="s">
        <v>353</v>
      </c>
      <c r="E45" s="129">
        <v>1.0763888888888891</v>
      </c>
      <c r="F45" s="112" t="s">
        <v>178</v>
      </c>
      <c r="G45" s="114">
        <v>1</v>
      </c>
      <c r="H45" s="121" t="s">
        <v>403</v>
      </c>
    </row>
    <row r="46" spans="1:8" ht="19.8" customHeight="1" x14ac:dyDescent="0.3">
      <c r="A46" s="128">
        <v>45988</v>
      </c>
      <c r="B46" s="112" t="s">
        <v>33</v>
      </c>
      <c r="C46" s="113" t="s">
        <v>364</v>
      </c>
      <c r="D46" s="112" t="s">
        <v>353</v>
      </c>
      <c r="E46" s="129">
        <v>1.336805555555556</v>
      </c>
      <c r="F46" s="112" t="s">
        <v>38</v>
      </c>
      <c r="G46" s="114">
        <v>9</v>
      </c>
      <c r="H46" s="121" t="s">
        <v>366</v>
      </c>
    </row>
    <row r="47" spans="1:8" ht="19.8" customHeight="1" x14ac:dyDescent="0.3">
      <c r="A47" s="128">
        <v>45988</v>
      </c>
      <c r="B47" s="112" t="s">
        <v>33</v>
      </c>
      <c r="C47" s="113" t="s">
        <v>356</v>
      </c>
      <c r="D47" s="112" t="s">
        <v>353</v>
      </c>
      <c r="E47" s="129">
        <v>1.9722222222222221</v>
      </c>
      <c r="F47" s="112" t="s">
        <v>35</v>
      </c>
      <c r="G47" s="114">
        <v>8</v>
      </c>
      <c r="H47" s="121" t="s">
        <v>368</v>
      </c>
    </row>
    <row r="48" spans="1:8" ht="19.8" customHeight="1" x14ac:dyDescent="0.3">
      <c r="A48" s="128">
        <v>45988</v>
      </c>
      <c r="B48" s="112" t="s">
        <v>28</v>
      </c>
      <c r="C48" s="113" t="s">
        <v>354</v>
      </c>
      <c r="D48" s="112" t="s">
        <v>353</v>
      </c>
      <c r="E48" s="129">
        <v>1.3611111111111109</v>
      </c>
      <c r="F48" s="112" t="s">
        <v>178</v>
      </c>
      <c r="G48" s="114">
        <v>8</v>
      </c>
      <c r="H48" s="121" t="s">
        <v>355</v>
      </c>
    </row>
    <row r="49" spans="1:8" ht="19.8" customHeight="1" x14ac:dyDescent="0.3">
      <c r="A49" s="128">
        <v>45988</v>
      </c>
      <c r="B49" s="112" t="s">
        <v>59</v>
      </c>
      <c r="C49" s="113" t="s">
        <v>371</v>
      </c>
      <c r="D49" s="112" t="s">
        <v>353</v>
      </c>
      <c r="E49" s="129">
        <v>1.447916666666667</v>
      </c>
      <c r="F49" s="112" t="s">
        <v>61</v>
      </c>
      <c r="G49" s="114">
        <v>3</v>
      </c>
      <c r="H49" s="121" t="s">
        <v>405</v>
      </c>
    </row>
    <row r="50" spans="1:8" ht="19.8" customHeight="1" x14ac:dyDescent="0.3">
      <c r="A50" s="128">
        <v>45988</v>
      </c>
      <c r="B50" s="112" t="s">
        <v>102</v>
      </c>
      <c r="C50" s="113" t="s">
        <v>387</v>
      </c>
      <c r="D50" s="112" t="s">
        <v>353</v>
      </c>
      <c r="E50" s="129">
        <v>1.680555555555556</v>
      </c>
      <c r="F50" s="112" t="s">
        <v>178</v>
      </c>
      <c r="G50" s="114">
        <v>6</v>
      </c>
      <c r="H50" s="121" t="s">
        <v>388</v>
      </c>
    </row>
    <row r="51" spans="1:8" ht="19.8" customHeight="1" x14ac:dyDescent="0.3">
      <c r="A51" s="128">
        <v>45988</v>
      </c>
      <c r="B51" s="112" t="s">
        <v>102</v>
      </c>
      <c r="C51" s="113" t="s">
        <v>404</v>
      </c>
      <c r="D51" s="112" t="s">
        <v>353</v>
      </c>
      <c r="E51" s="129">
        <v>1.9652777777777779</v>
      </c>
      <c r="F51" s="112" t="s">
        <v>178</v>
      </c>
      <c r="G51" s="114">
        <v>6</v>
      </c>
      <c r="H51" s="121" t="s">
        <v>388</v>
      </c>
    </row>
    <row r="52" spans="1:8" ht="19.8" customHeight="1" x14ac:dyDescent="0.3">
      <c r="A52" s="128">
        <v>45988</v>
      </c>
      <c r="B52" s="112" t="s">
        <v>33</v>
      </c>
      <c r="C52" s="113" t="s">
        <v>364</v>
      </c>
      <c r="D52" s="112" t="s">
        <v>353</v>
      </c>
      <c r="E52" s="129">
        <v>1.336805555555556</v>
      </c>
      <c r="F52" s="112" t="s">
        <v>41</v>
      </c>
      <c r="G52" s="114">
        <v>9</v>
      </c>
      <c r="H52" s="121" t="s">
        <v>367</v>
      </c>
    </row>
    <row r="53" spans="1:8" ht="19.8" customHeight="1" x14ac:dyDescent="0.3">
      <c r="A53" s="130">
        <v>45988</v>
      </c>
      <c r="B53" s="117" t="s">
        <v>76</v>
      </c>
      <c r="C53" s="118" t="s">
        <v>389</v>
      </c>
      <c r="D53" s="117" t="s">
        <v>353</v>
      </c>
      <c r="E53" s="131">
        <v>1.7222222222222221</v>
      </c>
      <c r="F53" s="117" t="s">
        <v>178</v>
      </c>
      <c r="G53" s="119">
        <v>9</v>
      </c>
      <c r="H53" s="122" t="s">
        <v>390</v>
      </c>
    </row>
    <row r="54" spans="1:8" ht="19.8" customHeight="1" x14ac:dyDescent="0.3">
      <c r="A54" s="132">
        <v>45989</v>
      </c>
      <c r="B54" s="124" t="s">
        <v>76</v>
      </c>
      <c r="C54" s="125" t="s">
        <v>601</v>
      </c>
      <c r="D54" s="124" t="s">
        <v>600</v>
      </c>
      <c r="E54" s="133">
        <v>1.072916666666667</v>
      </c>
      <c r="F54" s="124" t="s">
        <v>178</v>
      </c>
      <c r="G54" s="126">
        <v>5</v>
      </c>
      <c r="H54" s="150" t="s">
        <v>376</v>
      </c>
    </row>
    <row r="55" spans="1:8" ht="19.8" customHeight="1" x14ac:dyDescent="0.3">
      <c r="A55" s="146"/>
      <c r="B55" s="147"/>
      <c r="C55" s="147"/>
      <c r="D55" s="147"/>
      <c r="E55" s="147"/>
      <c r="F55" s="148" t="s">
        <v>658</v>
      </c>
      <c r="G55" s="147"/>
      <c r="H55" s="149"/>
    </row>
    <row r="56" spans="1:8" ht="19.8" customHeight="1" x14ac:dyDescent="0.3">
      <c r="A56" s="128">
        <v>45989</v>
      </c>
      <c r="B56" s="112" t="s">
        <v>33</v>
      </c>
      <c r="C56" s="113" t="s">
        <v>356</v>
      </c>
      <c r="D56" s="112" t="s">
        <v>353</v>
      </c>
      <c r="E56" s="129">
        <v>1.9722222222222221</v>
      </c>
      <c r="F56" s="112" t="s">
        <v>35</v>
      </c>
      <c r="G56" s="114">
        <v>5</v>
      </c>
      <c r="H56" s="121" t="s">
        <v>388</v>
      </c>
    </row>
    <row r="57" spans="1:8" ht="19.8" customHeight="1" x14ac:dyDescent="0.3">
      <c r="A57" s="128">
        <v>45989</v>
      </c>
      <c r="B57" s="112" t="s">
        <v>33</v>
      </c>
      <c r="C57" s="113" t="s">
        <v>356</v>
      </c>
      <c r="D57" s="112" t="s">
        <v>353</v>
      </c>
      <c r="E57" s="129">
        <v>1.9722222222222221</v>
      </c>
      <c r="F57" s="112" t="s">
        <v>38</v>
      </c>
      <c r="G57" s="114">
        <v>5</v>
      </c>
      <c r="H57" s="121" t="s">
        <v>409</v>
      </c>
    </row>
    <row r="58" spans="1:8" ht="19.8" customHeight="1" x14ac:dyDescent="0.3">
      <c r="A58" s="128">
        <v>45989</v>
      </c>
      <c r="B58" s="112" t="s">
        <v>76</v>
      </c>
      <c r="C58" s="113" t="s">
        <v>389</v>
      </c>
      <c r="D58" s="112" t="s">
        <v>353</v>
      </c>
      <c r="E58" s="129">
        <v>1.381944444444444</v>
      </c>
      <c r="F58" s="112" t="s">
        <v>178</v>
      </c>
      <c r="G58" s="114">
        <v>8</v>
      </c>
      <c r="H58" s="121" t="s">
        <v>376</v>
      </c>
    </row>
    <row r="59" spans="1:8" ht="19.8" customHeight="1" x14ac:dyDescent="0.3">
      <c r="A59" s="128">
        <v>45989</v>
      </c>
      <c r="B59" s="112" t="s">
        <v>33</v>
      </c>
      <c r="C59" s="113" t="s">
        <v>356</v>
      </c>
      <c r="D59" s="112" t="s">
        <v>353</v>
      </c>
      <c r="E59" s="129">
        <v>1.9722222222222221</v>
      </c>
      <c r="F59" s="112" t="s">
        <v>41</v>
      </c>
      <c r="G59" s="114">
        <v>5</v>
      </c>
      <c r="H59" s="121" t="s">
        <v>410</v>
      </c>
    </row>
    <row r="60" spans="1:8" ht="19.8" customHeight="1" x14ac:dyDescent="0.3">
      <c r="A60" s="128">
        <v>45989</v>
      </c>
      <c r="B60" s="112" t="s">
        <v>59</v>
      </c>
      <c r="C60" s="113" t="s">
        <v>371</v>
      </c>
      <c r="D60" s="112" t="s">
        <v>353</v>
      </c>
      <c r="E60" s="129">
        <v>1.447916666666667</v>
      </c>
      <c r="F60" s="112" t="s">
        <v>61</v>
      </c>
      <c r="G60" s="114">
        <v>10</v>
      </c>
      <c r="H60" s="121" t="s">
        <v>413</v>
      </c>
    </row>
    <row r="61" spans="1:8" ht="19.8" customHeight="1" x14ac:dyDescent="0.3">
      <c r="A61" s="128">
        <v>45989</v>
      </c>
      <c r="B61" s="112" t="s">
        <v>102</v>
      </c>
      <c r="C61" s="113" t="s">
        <v>387</v>
      </c>
      <c r="D61" s="112" t="s">
        <v>353</v>
      </c>
      <c r="E61" s="129">
        <v>1.9652777777777779</v>
      </c>
      <c r="F61" s="112" t="s">
        <v>178</v>
      </c>
      <c r="G61" s="114">
        <v>9</v>
      </c>
      <c r="H61" s="121" t="s">
        <v>415</v>
      </c>
    </row>
    <row r="62" spans="1:8" ht="19.8" customHeight="1" x14ac:dyDescent="0.3">
      <c r="A62" s="128">
        <v>45989</v>
      </c>
      <c r="B62" s="112" t="s">
        <v>59</v>
      </c>
      <c r="C62" s="113" t="s">
        <v>371</v>
      </c>
      <c r="D62" s="112" t="s">
        <v>353</v>
      </c>
      <c r="E62" s="129">
        <v>1.447916666666667</v>
      </c>
      <c r="F62" s="112" t="s">
        <v>64</v>
      </c>
      <c r="G62" s="114">
        <v>10</v>
      </c>
      <c r="H62" s="121" t="s">
        <v>414</v>
      </c>
    </row>
    <row r="63" spans="1:8" ht="19.8" customHeight="1" x14ac:dyDescent="0.3">
      <c r="A63" s="128">
        <v>45989</v>
      </c>
      <c r="B63" s="112" t="s">
        <v>28</v>
      </c>
      <c r="C63" s="113" t="s">
        <v>375</v>
      </c>
      <c r="D63" s="112" t="s">
        <v>353</v>
      </c>
      <c r="E63" s="129">
        <v>1.756944444444444</v>
      </c>
      <c r="F63" s="112" t="s">
        <v>178</v>
      </c>
      <c r="G63" s="114">
        <v>9</v>
      </c>
      <c r="H63" s="121" t="s">
        <v>416</v>
      </c>
    </row>
    <row r="64" spans="1:8" ht="19.8" customHeight="1" x14ac:dyDescent="0.3">
      <c r="A64" s="128">
        <v>45989</v>
      </c>
      <c r="B64" s="112" t="s">
        <v>43</v>
      </c>
      <c r="C64" s="113" t="s">
        <v>360</v>
      </c>
      <c r="D64" s="112" t="s">
        <v>353</v>
      </c>
      <c r="E64" s="129">
        <v>1.979166666666667</v>
      </c>
      <c r="F64" s="112" t="s">
        <v>45</v>
      </c>
      <c r="G64" s="114">
        <v>9</v>
      </c>
      <c r="H64" s="121" t="s">
        <v>363</v>
      </c>
    </row>
    <row r="65" spans="1:8" ht="19.8" customHeight="1" x14ac:dyDescent="0.3">
      <c r="A65" s="130">
        <v>45989</v>
      </c>
      <c r="B65" s="117" t="s">
        <v>59</v>
      </c>
      <c r="C65" s="118" t="s">
        <v>371</v>
      </c>
      <c r="D65" s="117" t="s">
        <v>353</v>
      </c>
      <c r="E65" s="131">
        <v>1.447916666666667</v>
      </c>
      <c r="F65" s="117" t="s">
        <v>67</v>
      </c>
      <c r="G65" s="119">
        <v>10</v>
      </c>
      <c r="H65" s="122" t="s">
        <v>398</v>
      </c>
    </row>
    <row r="66" spans="1:8" ht="19.8" customHeight="1" x14ac:dyDescent="0.3">
      <c r="A66" s="146"/>
      <c r="B66" s="147"/>
      <c r="C66" s="147"/>
      <c r="D66" s="147"/>
      <c r="E66" s="147"/>
      <c r="F66" s="148" t="s">
        <v>658</v>
      </c>
      <c r="G66" s="147"/>
      <c r="H66" s="149"/>
    </row>
    <row r="67" spans="1:8" ht="19.8" customHeight="1" x14ac:dyDescent="0.3">
      <c r="A67" s="128">
        <v>45990</v>
      </c>
      <c r="B67" s="112" t="s">
        <v>33</v>
      </c>
      <c r="C67" s="113" t="s">
        <v>364</v>
      </c>
      <c r="D67" s="112" t="s">
        <v>353</v>
      </c>
      <c r="E67" s="129">
        <v>1.336805555555556</v>
      </c>
      <c r="F67" s="112" t="s">
        <v>35</v>
      </c>
      <c r="G67" s="114">
        <v>6</v>
      </c>
      <c r="H67" s="121" t="s">
        <v>388</v>
      </c>
    </row>
    <row r="68" spans="1:8" ht="19.8" customHeight="1" x14ac:dyDescent="0.3">
      <c r="A68" s="128">
        <v>45990</v>
      </c>
      <c r="B68" s="112" t="s">
        <v>33</v>
      </c>
      <c r="C68" s="113" t="s">
        <v>364</v>
      </c>
      <c r="D68" s="112" t="s">
        <v>353</v>
      </c>
      <c r="E68" s="129">
        <v>1.336805555555556</v>
      </c>
      <c r="F68" s="112" t="s">
        <v>38</v>
      </c>
      <c r="G68" s="114">
        <v>6</v>
      </c>
      <c r="H68" s="121" t="s">
        <v>409</v>
      </c>
    </row>
    <row r="69" spans="1:8" ht="19.8" customHeight="1" x14ac:dyDescent="0.3">
      <c r="A69" s="128">
        <v>45990</v>
      </c>
      <c r="B69" s="112" t="s">
        <v>28</v>
      </c>
      <c r="C69" s="113" t="s">
        <v>421</v>
      </c>
      <c r="D69" s="112" t="s">
        <v>353</v>
      </c>
      <c r="E69" s="129">
        <v>1.961805555555556</v>
      </c>
      <c r="F69" s="112" t="s">
        <v>178</v>
      </c>
      <c r="G69" s="114">
        <v>9</v>
      </c>
      <c r="H69" s="121" t="s">
        <v>376</v>
      </c>
    </row>
    <row r="70" spans="1:8" ht="19.8" customHeight="1" x14ac:dyDescent="0.3">
      <c r="A70" s="128">
        <v>45990</v>
      </c>
      <c r="B70" s="112" t="s">
        <v>28</v>
      </c>
      <c r="C70" s="113" t="s">
        <v>386</v>
      </c>
      <c r="D70" s="112" t="s">
        <v>353</v>
      </c>
      <c r="E70" s="129">
        <v>1.694444444444444</v>
      </c>
      <c r="F70" s="112" t="s">
        <v>178</v>
      </c>
      <c r="G70" s="114">
        <v>2</v>
      </c>
      <c r="H70" s="121" t="s">
        <v>376</v>
      </c>
    </row>
    <row r="71" spans="1:8" ht="19.8" customHeight="1" x14ac:dyDescent="0.3">
      <c r="A71" s="128">
        <v>45990</v>
      </c>
      <c r="B71" s="112" t="s">
        <v>33</v>
      </c>
      <c r="C71" s="113" t="s">
        <v>364</v>
      </c>
      <c r="D71" s="112" t="s">
        <v>353</v>
      </c>
      <c r="E71" s="129">
        <v>1.336805555555556</v>
      </c>
      <c r="F71" s="112" t="s">
        <v>41</v>
      </c>
      <c r="G71" s="114">
        <v>6</v>
      </c>
      <c r="H71" s="121" t="s">
        <v>410</v>
      </c>
    </row>
    <row r="72" spans="1:8" ht="19.8" customHeight="1" x14ac:dyDescent="0.3">
      <c r="A72" s="128">
        <v>45990</v>
      </c>
      <c r="B72" s="112" t="s">
        <v>33</v>
      </c>
      <c r="C72" s="113" t="s">
        <v>356</v>
      </c>
      <c r="D72" s="112" t="s">
        <v>353</v>
      </c>
      <c r="E72" s="129">
        <v>1.9722222222222221</v>
      </c>
      <c r="F72" s="112" t="s">
        <v>35</v>
      </c>
      <c r="G72" s="114">
        <v>8</v>
      </c>
      <c r="H72" s="121" t="s">
        <v>418</v>
      </c>
    </row>
    <row r="73" spans="1:8" ht="19.8" customHeight="1" x14ac:dyDescent="0.3">
      <c r="A73" s="128">
        <v>45990</v>
      </c>
      <c r="B73" s="112" t="s">
        <v>59</v>
      </c>
      <c r="C73" s="113" t="s">
        <v>371</v>
      </c>
      <c r="D73" s="112" t="s">
        <v>353</v>
      </c>
      <c r="E73" s="129">
        <v>1.447916666666667</v>
      </c>
      <c r="F73" s="112" t="s">
        <v>61</v>
      </c>
      <c r="G73" s="114">
        <v>3</v>
      </c>
      <c r="H73" s="121" t="s">
        <v>413</v>
      </c>
    </row>
    <row r="74" spans="1:8" ht="19.8" customHeight="1" x14ac:dyDescent="0.3">
      <c r="A74" s="128">
        <v>45990</v>
      </c>
      <c r="B74" s="112" t="s">
        <v>33</v>
      </c>
      <c r="C74" s="113" t="s">
        <v>356</v>
      </c>
      <c r="D74" s="112" t="s">
        <v>353</v>
      </c>
      <c r="E74" s="129">
        <v>1.9722222222222221</v>
      </c>
      <c r="F74" s="112" t="s">
        <v>38</v>
      </c>
      <c r="G74" s="114">
        <v>8</v>
      </c>
      <c r="H74" s="121" t="s">
        <v>419</v>
      </c>
    </row>
    <row r="75" spans="1:8" ht="19.8" customHeight="1" x14ac:dyDescent="0.3">
      <c r="A75" s="128">
        <v>45990</v>
      </c>
      <c r="B75" s="112" t="s">
        <v>76</v>
      </c>
      <c r="C75" s="113" t="s">
        <v>389</v>
      </c>
      <c r="D75" s="112" t="s">
        <v>353</v>
      </c>
      <c r="E75" s="129">
        <v>1.7222222222222221</v>
      </c>
      <c r="F75" s="112" t="s">
        <v>178</v>
      </c>
      <c r="G75" s="114">
        <v>9</v>
      </c>
      <c r="H75" s="121" t="s">
        <v>422</v>
      </c>
    </row>
    <row r="76" spans="1:8" ht="19.8" customHeight="1" x14ac:dyDescent="0.3">
      <c r="A76" s="130">
        <v>45990</v>
      </c>
      <c r="B76" s="117" t="s">
        <v>120</v>
      </c>
      <c r="C76" s="118" t="s">
        <v>425</v>
      </c>
      <c r="D76" s="117" t="s">
        <v>353</v>
      </c>
      <c r="E76" s="131">
        <v>1.7465277777777779</v>
      </c>
      <c r="F76" s="117" t="s">
        <v>122</v>
      </c>
      <c r="G76" s="119">
        <v>9</v>
      </c>
      <c r="H76" s="122" t="s">
        <v>426</v>
      </c>
    </row>
    <row r="77" spans="1:8" ht="19.8" customHeight="1" x14ac:dyDescent="0.3">
      <c r="A77" s="146"/>
      <c r="B77" s="147"/>
      <c r="C77" s="147"/>
      <c r="D77" s="147"/>
      <c r="E77" s="147"/>
      <c r="F77" s="148" t="s">
        <v>658</v>
      </c>
      <c r="G77" s="147"/>
      <c r="H77" s="149"/>
    </row>
    <row r="78" spans="1:8" ht="19.8" customHeight="1" x14ac:dyDescent="0.3">
      <c r="A78" s="128">
        <v>45991</v>
      </c>
      <c r="B78" s="112" t="s">
        <v>102</v>
      </c>
      <c r="C78" s="113" t="s">
        <v>402</v>
      </c>
      <c r="D78" s="112" t="s">
        <v>353</v>
      </c>
      <c r="E78" s="129">
        <v>1.9201388888888891</v>
      </c>
      <c r="F78" s="112" t="s">
        <v>178</v>
      </c>
      <c r="G78" s="114">
        <v>1</v>
      </c>
      <c r="H78" s="121" t="s">
        <v>403</v>
      </c>
    </row>
    <row r="79" spans="1:8" ht="19.8" customHeight="1" x14ac:dyDescent="0.3">
      <c r="A79" s="128">
        <v>45991</v>
      </c>
      <c r="B79" s="112" t="s">
        <v>28</v>
      </c>
      <c r="C79" s="113" t="s">
        <v>354</v>
      </c>
      <c r="D79" s="112" t="s">
        <v>353</v>
      </c>
      <c r="E79" s="129">
        <v>1.756944444444444</v>
      </c>
      <c r="F79" s="112" t="s">
        <v>178</v>
      </c>
      <c r="G79" s="114">
        <v>6</v>
      </c>
      <c r="H79" s="121" t="s">
        <v>355</v>
      </c>
    </row>
    <row r="80" spans="1:8" ht="19.8" customHeight="1" x14ac:dyDescent="0.3">
      <c r="A80" s="128">
        <v>45991</v>
      </c>
      <c r="B80" s="112" t="s">
        <v>28</v>
      </c>
      <c r="C80" s="113" t="s">
        <v>430</v>
      </c>
      <c r="D80" s="112" t="s">
        <v>353</v>
      </c>
      <c r="E80" s="129">
        <v>1.4826388888888891</v>
      </c>
      <c r="F80" s="112" t="s">
        <v>178</v>
      </c>
      <c r="G80" s="114">
        <v>9</v>
      </c>
      <c r="H80" s="121" t="s">
        <v>355</v>
      </c>
    </row>
    <row r="81" spans="1:8" ht="19.8" customHeight="1" x14ac:dyDescent="0.3">
      <c r="A81" s="128">
        <v>45991</v>
      </c>
      <c r="B81" s="112" t="s">
        <v>33</v>
      </c>
      <c r="C81" s="113" t="s">
        <v>356</v>
      </c>
      <c r="D81" s="112" t="s">
        <v>353</v>
      </c>
      <c r="E81" s="129">
        <v>1.9722222222222221</v>
      </c>
      <c r="F81" s="112" t="s">
        <v>35</v>
      </c>
      <c r="G81" s="114">
        <v>9</v>
      </c>
      <c r="H81" s="121" t="s">
        <v>388</v>
      </c>
    </row>
    <row r="82" spans="1:8" ht="19.8" customHeight="1" x14ac:dyDescent="0.3">
      <c r="A82" s="128">
        <v>45991</v>
      </c>
      <c r="B82" s="112" t="s">
        <v>33</v>
      </c>
      <c r="C82" s="113" t="s">
        <v>356</v>
      </c>
      <c r="D82" s="112" t="s">
        <v>353</v>
      </c>
      <c r="E82" s="129">
        <v>1.9722222222222221</v>
      </c>
      <c r="F82" s="112" t="s">
        <v>38</v>
      </c>
      <c r="G82" s="114">
        <v>9</v>
      </c>
      <c r="H82" s="121" t="s">
        <v>409</v>
      </c>
    </row>
    <row r="83" spans="1:8" ht="19.8" customHeight="1" x14ac:dyDescent="0.3">
      <c r="A83" s="128">
        <v>45991</v>
      </c>
      <c r="B83" s="112" t="s">
        <v>102</v>
      </c>
      <c r="C83" s="113" t="s">
        <v>404</v>
      </c>
      <c r="D83" s="112" t="s">
        <v>353</v>
      </c>
      <c r="E83" s="129">
        <v>1.006944444444444</v>
      </c>
      <c r="F83" s="112" t="s">
        <v>178</v>
      </c>
      <c r="G83" s="114">
        <v>5</v>
      </c>
      <c r="H83" s="121" t="s">
        <v>429</v>
      </c>
    </row>
    <row r="84" spans="1:8" ht="19.8" customHeight="1" x14ac:dyDescent="0.3">
      <c r="A84" s="128">
        <v>45991</v>
      </c>
      <c r="B84" s="112" t="s">
        <v>33</v>
      </c>
      <c r="C84" s="113" t="s">
        <v>356</v>
      </c>
      <c r="D84" s="112" t="s">
        <v>353</v>
      </c>
      <c r="E84" s="129">
        <v>1.9722222222222221</v>
      </c>
      <c r="F84" s="112" t="s">
        <v>41</v>
      </c>
      <c r="G84" s="114">
        <v>9</v>
      </c>
      <c r="H84" s="121" t="s">
        <v>410</v>
      </c>
    </row>
    <row r="85" spans="1:8" ht="19.8" customHeight="1" x14ac:dyDescent="0.3">
      <c r="A85" s="128">
        <v>45991</v>
      </c>
      <c r="B85" s="112" t="s">
        <v>59</v>
      </c>
      <c r="C85" s="113" t="s">
        <v>371</v>
      </c>
      <c r="D85" s="112" t="s">
        <v>353</v>
      </c>
      <c r="E85" s="129">
        <v>1.447916666666667</v>
      </c>
      <c r="F85" s="112" t="s">
        <v>61</v>
      </c>
      <c r="G85" s="114">
        <v>7</v>
      </c>
      <c r="H85" s="121" t="s">
        <v>413</v>
      </c>
    </row>
    <row r="86" spans="1:8" ht="19.8" customHeight="1" x14ac:dyDescent="0.3">
      <c r="A86" s="128">
        <v>45991</v>
      </c>
      <c r="B86" s="112" t="s">
        <v>59</v>
      </c>
      <c r="C86" s="113" t="s">
        <v>371</v>
      </c>
      <c r="D86" s="112" t="s">
        <v>353</v>
      </c>
      <c r="E86" s="129">
        <v>1.447916666666667</v>
      </c>
      <c r="F86" s="112" t="s">
        <v>64</v>
      </c>
      <c r="G86" s="114">
        <v>7</v>
      </c>
      <c r="H86" s="121" t="s">
        <v>414</v>
      </c>
    </row>
    <row r="87" spans="1:8" ht="19.8" customHeight="1" x14ac:dyDescent="0.3">
      <c r="A87" s="130">
        <v>45991</v>
      </c>
      <c r="B87" s="117" t="s">
        <v>59</v>
      </c>
      <c r="C87" s="118" t="s">
        <v>371</v>
      </c>
      <c r="D87" s="117" t="s">
        <v>353</v>
      </c>
      <c r="E87" s="131">
        <v>1.447916666666667</v>
      </c>
      <c r="F87" s="117" t="s">
        <v>67</v>
      </c>
      <c r="G87" s="119">
        <v>7</v>
      </c>
      <c r="H87" s="122" t="s">
        <v>398</v>
      </c>
    </row>
    <row r="88" spans="1:8" ht="19.8" customHeight="1" x14ac:dyDescent="0.3">
      <c r="A88" s="132">
        <v>45992</v>
      </c>
      <c r="B88" s="124" t="s">
        <v>76</v>
      </c>
      <c r="C88" s="125" t="s">
        <v>601</v>
      </c>
      <c r="D88" s="124" t="s">
        <v>600</v>
      </c>
      <c r="E88" s="133">
        <v>1.291666666666667</v>
      </c>
      <c r="F88" s="124" t="s">
        <v>178</v>
      </c>
      <c r="G88" s="126">
        <v>2</v>
      </c>
      <c r="H88" s="150" t="s">
        <v>610</v>
      </c>
    </row>
    <row r="89" spans="1:8" ht="19.8" customHeight="1" x14ac:dyDescent="0.3">
      <c r="A89" s="146"/>
      <c r="B89" s="147"/>
      <c r="C89" s="147"/>
      <c r="D89" s="147"/>
      <c r="E89" s="147"/>
      <c r="F89" s="148" t="s">
        <v>658</v>
      </c>
      <c r="G89" s="147"/>
      <c r="H89" s="149"/>
    </row>
    <row r="90" spans="1:8" ht="19.8" customHeight="1" x14ac:dyDescent="0.3">
      <c r="A90" s="128">
        <v>45992</v>
      </c>
      <c r="B90" s="112" t="s">
        <v>59</v>
      </c>
      <c r="C90" s="113" t="s">
        <v>371</v>
      </c>
      <c r="D90" s="112" t="s">
        <v>353</v>
      </c>
      <c r="E90" s="129">
        <v>1.447916666666667</v>
      </c>
      <c r="F90" s="112" t="s">
        <v>61</v>
      </c>
      <c r="G90" s="114">
        <v>11</v>
      </c>
      <c r="H90" s="121" t="s">
        <v>384</v>
      </c>
    </row>
    <row r="91" spans="1:8" ht="19.8" customHeight="1" x14ac:dyDescent="0.3">
      <c r="A91" s="128">
        <v>45992</v>
      </c>
      <c r="B91" s="112" t="s">
        <v>28</v>
      </c>
      <c r="C91" s="113" t="s">
        <v>375</v>
      </c>
      <c r="D91" s="112" t="s">
        <v>353</v>
      </c>
      <c r="E91" s="129">
        <v>1.756944444444444</v>
      </c>
      <c r="F91" s="112" t="s">
        <v>178</v>
      </c>
      <c r="G91" s="114">
        <v>9</v>
      </c>
      <c r="H91" s="121" t="s">
        <v>355</v>
      </c>
    </row>
    <row r="92" spans="1:8" ht="19.8" customHeight="1" x14ac:dyDescent="0.3">
      <c r="A92" s="128">
        <v>45992</v>
      </c>
      <c r="B92" s="112" t="s">
        <v>33</v>
      </c>
      <c r="C92" s="113" t="s">
        <v>356</v>
      </c>
      <c r="D92" s="112" t="s">
        <v>353</v>
      </c>
      <c r="E92" s="129">
        <v>1.9722222222222221</v>
      </c>
      <c r="F92" s="112" t="s">
        <v>35</v>
      </c>
      <c r="G92" s="114">
        <v>5</v>
      </c>
      <c r="H92" s="121" t="s">
        <v>388</v>
      </c>
    </row>
    <row r="93" spans="1:8" ht="19.8" customHeight="1" x14ac:dyDescent="0.3">
      <c r="A93" s="128">
        <v>45992</v>
      </c>
      <c r="B93" s="112" t="s">
        <v>33</v>
      </c>
      <c r="C93" s="113" t="s">
        <v>364</v>
      </c>
      <c r="D93" s="112" t="s">
        <v>353</v>
      </c>
      <c r="E93" s="129">
        <v>1.336805555555556</v>
      </c>
      <c r="F93" s="112" t="s">
        <v>35</v>
      </c>
      <c r="G93" s="114">
        <v>7</v>
      </c>
      <c r="H93" s="121" t="s">
        <v>388</v>
      </c>
    </row>
    <row r="94" spans="1:8" ht="19.8" customHeight="1" x14ac:dyDescent="0.3">
      <c r="A94" s="128">
        <v>45992</v>
      </c>
      <c r="B94" s="112" t="s">
        <v>59</v>
      </c>
      <c r="C94" s="113" t="s">
        <v>371</v>
      </c>
      <c r="D94" s="112" t="s">
        <v>353</v>
      </c>
      <c r="E94" s="129">
        <v>1.447916666666667</v>
      </c>
      <c r="F94" s="112" t="s">
        <v>64</v>
      </c>
      <c r="G94" s="114">
        <v>11</v>
      </c>
      <c r="H94" s="121" t="s">
        <v>369</v>
      </c>
    </row>
    <row r="95" spans="1:8" ht="19.8" customHeight="1" x14ac:dyDescent="0.3">
      <c r="A95" s="128">
        <v>45992</v>
      </c>
      <c r="B95" s="112" t="s">
        <v>33</v>
      </c>
      <c r="C95" s="113" t="s">
        <v>356</v>
      </c>
      <c r="D95" s="112" t="s">
        <v>353</v>
      </c>
      <c r="E95" s="129">
        <v>1.9722222222222221</v>
      </c>
      <c r="F95" s="112" t="s">
        <v>38</v>
      </c>
      <c r="G95" s="114">
        <v>5</v>
      </c>
      <c r="H95" s="121" t="s">
        <v>409</v>
      </c>
    </row>
    <row r="96" spans="1:8" ht="19.8" customHeight="1" x14ac:dyDescent="0.3">
      <c r="A96" s="128">
        <v>45992</v>
      </c>
      <c r="B96" s="112" t="s">
        <v>33</v>
      </c>
      <c r="C96" s="113" t="s">
        <v>364</v>
      </c>
      <c r="D96" s="112" t="s">
        <v>353</v>
      </c>
      <c r="E96" s="129">
        <v>1.336805555555556</v>
      </c>
      <c r="F96" s="112" t="s">
        <v>38</v>
      </c>
      <c r="G96" s="114">
        <v>7</v>
      </c>
      <c r="H96" s="121" t="s">
        <v>409</v>
      </c>
    </row>
    <row r="97" spans="1:8" ht="19.8" customHeight="1" x14ac:dyDescent="0.3">
      <c r="A97" s="128">
        <v>45992</v>
      </c>
      <c r="B97" s="112" t="s">
        <v>33</v>
      </c>
      <c r="C97" s="113" t="s">
        <v>356</v>
      </c>
      <c r="D97" s="112" t="s">
        <v>353</v>
      </c>
      <c r="E97" s="129">
        <v>1.9722222222222221</v>
      </c>
      <c r="F97" s="112" t="s">
        <v>41</v>
      </c>
      <c r="G97" s="114">
        <v>5</v>
      </c>
      <c r="H97" s="121" t="s">
        <v>410</v>
      </c>
    </row>
    <row r="98" spans="1:8" ht="19.8" customHeight="1" x14ac:dyDescent="0.3">
      <c r="A98" s="128">
        <v>45992</v>
      </c>
      <c r="B98" s="112" t="s">
        <v>33</v>
      </c>
      <c r="C98" s="113" t="s">
        <v>364</v>
      </c>
      <c r="D98" s="112" t="s">
        <v>353</v>
      </c>
      <c r="E98" s="129">
        <v>1.336805555555556</v>
      </c>
      <c r="F98" s="112" t="s">
        <v>41</v>
      </c>
      <c r="G98" s="114">
        <v>7</v>
      </c>
      <c r="H98" s="121" t="s">
        <v>410</v>
      </c>
    </row>
    <row r="99" spans="1:8" ht="19.8" customHeight="1" x14ac:dyDescent="0.3">
      <c r="A99" s="130">
        <v>45992</v>
      </c>
      <c r="B99" s="117" t="s">
        <v>59</v>
      </c>
      <c r="C99" s="118" t="s">
        <v>371</v>
      </c>
      <c r="D99" s="117" t="s">
        <v>353</v>
      </c>
      <c r="E99" s="131">
        <v>1.447916666666667</v>
      </c>
      <c r="F99" s="117" t="s">
        <v>67</v>
      </c>
      <c r="G99" s="119">
        <v>11</v>
      </c>
      <c r="H99" s="122" t="s">
        <v>385</v>
      </c>
    </row>
    <row r="100" spans="1:8" ht="19.8" customHeight="1" x14ac:dyDescent="0.3">
      <c r="A100" s="146"/>
      <c r="B100" s="147"/>
      <c r="C100" s="147"/>
      <c r="D100" s="147"/>
      <c r="E100" s="147"/>
      <c r="F100" s="148" t="s">
        <v>658</v>
      </c>
      <c r="G100" s="147"/>
      <c r="H100" s="149"/>
    </row>
    <row r="101" spans="1:8" ht="19.8" customHeight="1" x14ac:dyDescent="0.3">
      <c r="A101" s="128">
        <v>45993</v>
      </c>
      <c r="B101" s="112" t="s">
        <v>33</v>
      </c>
      <c r="C101" s="113" t="s">
        <v>356</v>
      </c>
      <c r="D101" s="112" t="s">
        <v>353</v>
      </c>
      <c r="E101" s="129">
        <v>1.9722222222222221</v>
      </c>
      <c r="F101" s="112" t="s">
        <v>35</v>
      </c>
      <c r="G101" s="114">
        <v>5</v>
      </c>
      <c r="H101" s="121" t="s">
        <v>435</v>
      </c>
    </row>
    <row r="102" spans="1:8" ht="19.8" customHeight="1" x14ac:dyDescent="0.3">
      <c r="A102" s="128">
        <v>45993</v>
      </c>
      <c r="B102" s="112" t="s">
        <v>59</v>
      </c>
      <c r="C102" s="113" t="s">
        <v>371</v>
      </c>
      <c r="D102" s="112" t="s">
        <v>353</v>
      </c>
      <c r="E102" s="129">
        <v>1.447916666666667</v>
      </c>
      <c r="F102" s="112" t="s">
        <v>61</v>
      </c>
      <c r="G102" s="114">
        <v>6</v>
      </c>
      <c r="H102" s="121" t="s">
        <v>440</v>
      </c>
    </row>
    <row r="103" spans="1:8" ht="19.8" customHeight="1" x14ac:dyDescent="0.3">
      <c r="A103" s="128">
        <v>45993</v>
      </c>
      <c r="B103" s="112" t="s">
        <v>33</v>
      </c>
      <c r="C103" s="113" t="s">
        <v>364</v>
      </c>
      <c r="D103" s="112" t="s">
        <v>353</v>
      </c>
      <c r="E103" s="129">
        <v>1.336805555555556</v>
      </c>
      <c r="F103" s="112" t="s">
        <v>35</v>
      </c>
      <c r="G103" s="114">
        <v>4</v>
      </c>
      <c r="H103" s="121" t="s">
        <v>438</v>
      </c>
    </row>
    <row r="104" spans="1:8" ht="19.8" customHeight="1" x14ac:dyDescent="0.3">
      <c r="A104" s="128">
        <v>45993</v>
      </c>
      <c r="B104" s="112" t="s">
        <v>33</v>
      </c>
      <c r="C104" s="113" t="s">
        <v>356</v>
      </c>
      <c r="D104" s="112" t="s">
        <v>353</v>
      </c>
      <c r="E104" s="129">
        <v>1.9722222222222221</v>
      </c>
      <c r="F104" s="112" t="s">
        <v>38</v>
      </c>
      <c r="G104" s="114">
        <v>5</v>
      </c>
      <c r="H104" s="121" t="s">
        <v>436</v>
      </c>
    </row>
    <row r="105" spans="1:8" ht="19.8" customHeight="1" x14ac:dyDescent="0.3">
      <c r="A105" s="128">
        <v>45993</v>
      </c>
      <c r="B105" s="112" t="s">
        <v>76</v>
      </c>
      <c r="C105" s="113" t="s">
        <v>389</v>
      </c>
      <c r="D105" s="112" t="s">
        <v>353</v>
      </c>
      <c r="E105" s="129">
        <v>1.069444444444444</v>
      </c>
      <c r="F105" s="112" t="s">
        <v>178</v>
      </c>
      <c r="G105" s="114">
        <v>4</v>
      </c>
      <c r="H105" s="121" t="s">
        <v>441</v>
      </c>
    </row>
    <row r="106" spans="1:8" ht="19.8" customHeight="1" x14ac:dyDescent="0.3">
      <c r="A106" s="128">
        <v>45993</v>
      </c>
      <c r="B106" s="112" t="s">
        <v>33</v>
      </c>
      <c r="C106" s="113" t="s">
        <v>364</v>
      </c>
      <c r="D106" s="112" t="s">
        <v>353</v>
      </c>
      <c r="E106" s="129">
        <v>1.336805555555556</v>
      </c>
      <c r="F106" s="112" t="s">
        <v>38</v>
      </c>
      <c r="G106" s="114">
        <v>4</v>
      </c>
      <c r="H106" s="121" t="s">
        <v>365</v>
      </c>
    </row>
    <row r="107" spans="1:8" ht="19.8" customHeight="1" x14ac:dyDescent="0.3">
      <c r="A107" s="128">
        <v>45993</v>
      </c>
      <c r="B107" s="112" t="s">
        <v>59</v>
      </c>
      <c r="C107" s="113" t="s">
        <v>371</v>
      </c>
      <c r="D107" s="112" t="s">
        <v>353</v>
      </c>
      <c r="E107" s="129">
        <v>1.447916666666667</v>
      </c>
      <c r="F107" s="112" t="s">
        <v>64</v>
      </c>
      <c r="G107" s="114">
        <v>6</v>
      </c>
      <c r="H107" s="121" t="s">
        <v>437</v>
      </c>
    </row>
    <row r="108" spans="1:8" ht="19.8" customHeight="1" x14ac:dyDescent="0.3">
      <c r="A108" s="128">
        <v>45993</v>
      </c>
      <c r="B108" s="112" t="s">
        <v>33</v>
      </c>
      <c r="C108" s="113" t="s">
        <v>356</v>
      </c>
      <c r="D108" s="112" t="s">
        <v>353</v>
      </c>
      <c r="E108" s="129">
        <v>1.9722222222222221</v>
      </c>
      <c r="F108" s="112" t="s">
        <v>41</v>
      </c>
      <c r="G108" s="114">
        <v>5</v>
      </c>
      <c r="H108" s="121" t="s">
        <v>437</v>
      </c>
    </row>
    <row r="109" spans="1:8" ht="19.8" customHeight="1" x14ac:dyDescent="0.3">
      <c r="A109" s="128">
        <v>45993</v>
      </c>
      <c r="B109" s="112" t="s">
        <v>33</v>
      </c>
      <c r="C109" s="113" t="s">
        <v>364</v>
      </c>
      <c r="D109" s="112" t="s">
        <v>353</v>
      </c>
      <c r="E109" s="129">
        <v>1.336805555555556</v>
      </c>
      <c r="F109" s="112" t="s">
        <v>41</v>
      </c>
      <c r="G109" s="114">
        <v>4</v>
      </c>
      <c r="H109" s="121" t="s">
        <v>439</v>
      </c>
    </row>
    <row r="110" spans="1:8" ht="19.8" customHeight="1" x14ac:dyDescent="0.3">
      <c r="A110" s="130">
        <v>45993</v>
      </c>
      <c r="B110" s="117" t="s">
        <v>28</v>
      </c>
      <c r="C110" s="118" t="s">
        <v>386</v>
      </c>
      <c r="D110" s="117" t="s">
        <v>353</v>
      </c>
      <c r="E110" s="131">
        <v>1.756944444444444</v>
      </c>
      <c r="F110" s="117" t="s">
        <v>178</v>
      </c>
      <c r="G110" s="119">
        <v>9</v>
      </c>
      <c r="H110" s="122" t="s">
        <v>355</v>
      </c>
    </row>
    <row r="111" spans="1:8" ht="19.8" customHeight="1" x14ac:dyDescent="0.3">
      <c r="A111" s="146"/>
      <c r="B111" s="147"/>
      <c r="C111" s="147"/>
      <c r="D111" s="147"/>
      <c r="E111" s="147"/>
      <c r="F111" s="148" t="s">
        <v>658</v>
      </c>
      <c r="G111" s="147"/>
      <c r="H111" s="149"/>
    </row>
    <row r="112" spans="1:8" ht="19.8" customHeight="1" x14ac:dyDescent="0.3">
      <c r="A112" s="128">
        <v>45994</v>
      </c>
      <c r="B112" s="112" t="s">
        <v>33</v>
      </c>
      <c r="C112" s="113" t="s">
        <v>356</v>
      </c>
      <c r="D112" s="112" t="s">
        <v>353</v>
      </c>
      <c r="E112" s="129">
        <v>1.9722222222222221</v>
      </c>
      <c r="F112" s="112" t="s">
        <v>35</v>
      </c>
      <c r="G112" s="114">
        <v>9</v>
      </c>
      <c r="H112" s="121" t="s">
        <v>438</v>
      </c>
    </row>
    <row r="113" spans="1:8" ht="19.8" customHeight="1" x14ac:dyDescent="0.3">
      <c r="A113" s="128">
        <v>45994</v>
      </c>
      <c r="B113" s="112" t="s">
        <v>33</v>
      </c>
      <c r="C113" s="113" t="s">
        <v>356</v>
      </c>
      <c r="D113" s="112" t="s">
        <v>353</v>
      </c>
      <c r="E113" s="129">
        <v>1.9722222222222221</v>
      </c>
      <c r="F113" s="112" t="s">
        <v>38</v>
      </c>
      <c r="G113" s="114">
        <v>9</v>
      </c>
      <c r="H113" s="121" t="s">
        <v>365</v>
      </c>
    </row>
    <row r="114" spans="1:8" ht="19.8" customHeight="1" x14ac:dyDescent="0.3">
      <c r="A114" s="128">
        <v>45994</v>
      </c>
      <c r="B114" s="112" t="s">
        <v>28</v>
      </c>
      <c r="C114" s="113" t="s">
        <v>375</v>
      </c>
      <c r="D114" s="112" t="s">
        <v>353</v>
      </c>
      <c r="E114" s="129">
        <v>1.694444444444444</v>
      </c>
      <c r="F114" s="112" t="s">
        <v>178</v>
      </c>
      <c r="G114" s="114">
        <v>5</v>
      </c>
      <c r="H114" s="121" t="s">
        <v>445</v>
      </c>
    </row>
    <row r="115" spans="1:8" ht="19.8" customHeight="1" x14ac:dyDescent="0.3">
      <c r="A115" s="128">
        <v>45994</v>
      </c>
      <c r="B115" s="112" t="s">
        <v>33</v>
      </c>
      <c r="C115" s="113" t="s">
        <v>356</v>
      </c>
      <c r="D115" s="112" t="s">
        <v>353</v>
      </c>
      <c r="E115" s="129">
        <v>1.9722222222222221</v>
      </c>
      <c r="F115" s="112" t="s">
        <v>41</v>
      </c>
      <c r="G115" s="114">
        <v>9</v>
      </c>
      <c r="H115" s="121" t="s">
        <v>439</v>
      </c>
    </row>
    <row r="116" spans="1:8" ht="19.8" customHeight="1" x14ac:dyDescent="0.3">
      <c r="A116" s="128">
        <v>45994</v>
      </c>
      <c r="B116" s="112" t="s">
        <v>43</v>
      </c>
      <c r="C116" s="113" t="s">
        <v>362</v>
      </c>
      <c r="D116" s="112" t="s">
        <v>353</v>
      </c>
      <c r="E116" s="129">
        <v>1.6736111111111109</v>
      </c>
      <c r="F116" s="112" t="s">
        <v>45</v>
      </c>
      <c r="G116" s="114">
        <v>9</v>
      </c>
      <c r="H116" s="121" t="s">
        <v>377</v>
      </c>
    </row>
    <row r="117" spans="1:8" ht="19.8" customHeight="1" x14ac:dyDescent="0.3">
      <c r="A117" s="128">
        <v>45994</v>
      </c>
      <c r="B117" s="112" t="s">
        <v>43</v>
      </c>
      <c r="C117" s="113" t="s">
        <v>360</v>
      </c>
      <c r="D117" s="112" t="s">
        <v>353</v>
      </c>
      <c r="E117" s="129">
        <v>1.979166666666667</v>
      </c>
      <c r="F117" s="112" t="s">
        <v>45</v>
      </c>
      <c r="G117" s="114">
        <v>9</v>
      </c>
      <c r="H117" s="121" t="s">
        <v>377</v>
      </c>
    </row>
    <row r="118" spans="1:8" ht="19.8" customHeight="1" x14ac:dyDescent="0.3">
      <c r="A118" s="128">
        <v>45994</v>
      </c>
      <c r="B118" s="112" t="s">
        <v>43</v>
      </c>
      <c r="C118" s="113" t="s">
        <v>380</v>
      </c>
      <c r="D118" s="112" t="s">
        <v>353</v>
      </c>
      <c r="E118" s="129">
        <v>1.336805555555556</v>
      </c>
      <c r="F118" s="112" t="s">
        <v>45</v>
      </c>
      <c r="G118" s="114">
        <v>9</v>
      </c>
      <c r="H118" s="121" t="s">
        <v>377</v>
      </c>
    </row>
    <row r="119" spans="1:8" ht="19.8" customHeight="1" x14ac:dyDescent="0.3">
      <c r="A119" s="130">
        <v>45994</v>
      </c>
      <c r="B119" s="117" t="s">
        <v>54</v>
      </c>
      <c r="C119" s="118" t="s">
        <v>382</v>
      </c>
      <c r="D119" s="117" t="s">
        <v>353</v>
      </c>
      <c r="E119" s="131">
        <v>1.447916666666667</v>
      </c>
      <c r="F119" s="117" t="s">
        <v>56</v>
      </c>
      <c r="G119" s="119">
        <v>4</v>
      </c>
      <c r="H119" s="122" t="s">
        <v>446</v>
      </c>
    </row>
    <row r="120" spans="1:8" ht="19.8" customHeight="1" x14ac:dyDescent="0.3">
      <c r="A120" s="146"/>
      <c r="B120" s="147"/>
      <c r="C120" s="147"/>
      <c r="D120" s="147"/>
      <c r="E120" s="147"/>
      <c r="F120" s="148" t="s">
        <v>658</v>
      </c>
      <c r="G120" s="147"/>
      <c r="H120" s="149"/>
    </row>
    <row r="121" spans="1:8" ht="19.8" customHeight="1" x14ac:dyDescent="0.3">
      <c r="A121" s="128">
        <v>45995</v>
      </c>
      <c r="B121" s="112" t="s">
        <v>28</v>
      </c>
      <c r="C121" s="113" t="s">
        <v>354</v>
      </c>
      <c r="D121" s="112" t="s">
        <v>353</v>
      </c>
      <c r="E121" s="129">
        <v>1.3611111111111109</v>
      </c>
      <c r="F121" s="112" t="s">
        <v>178</v>
      </c>
      <c r="G121" s="114">
        <v>3</v>
      </c>
      <c r="H121" s="121" t="s">
        <v>447</v>
      </c>
    </row>
    <row r="122" spans="1:8" ht="19.8" customHeight="1" x14ac:dyDescent="0.3">
      <c r="A122" s="128">
        <v>45995</v>
      </c>
      <c r="B122" s="112" t="s">
        <v>28</v>
      </c>
      <c r="C122" s="113" t="s">
        <v>386</v>
      </c>
      <c r="D122" s="112" t="s">
        <v>353</v>
      </c>
      <c r="E122" s="129">
        <v>1.756944444444444</v>
      </c>
      <c r="F122" s="112" t="s">
        <v>178</v>
      </c>
      <c r="G122" s="114">
        <v>1</v>
      </c>
      <c r="H122" s="121" t="s">
        <v>447</v>
      </c>
    </row>
    <row r="123" spans="1:8" ht="19.8" customHeight="1" x14ac:dyDescent="0.3">
      <c r="A123" s="128">
        <v>45995</v>
      </c>
      <c r="B123" s="112" t="s">
        <v>76</v>
      </c>
      <c r="C123" s="113" t="s">
        <v>389</v>
      </c>
      <c r="D123" s="112" t="s">
        <v>353</v>
      </c>
      <c r="E123" s="129">
        <v>1.7222222222222221</v>
      </c>
      <c r="F123" s="112" t="s">
        <v>178</v>
      </c>
      <c r="G123" s="114">
        <v>1</v>
      </c>
      <c r="H123" s="121" t="s">
        <v>448</v>
      </c>
    </row>
    <row r="124" spans="1:8" ht="19.8" customHeight="1" x14ac:dyDescent="0.3">
      <c r="A124" s="128">
        <v>45995</v>
      </c>
      <c r="B124" s="112" t="s">
        <v>102</v>
      </c>
      <c r="C124" s="113" t="s">
        <v>387</v>
      </c>
      <c r="D124" s="112" t="s">
        <v>353</v>
      </c>
      <c r="E124" s="129">
        <v>1.680555555555556</v>
      </c>
      <c r="F124" s="112" t="s">
        <v>178</v>
      </c>
      <c r="G124" s="114">
        <v>1</v>
      </c>
      <c r="H124" s="121" t="s">
        <v>450</v>
      </c>
    </row>
    <row r="125" spans="1:8" ht="19.8" customHeight="1" x14ac:dyDescent="0.3">
      <c r="A125" s="128">
        <v>45995</v>
      </c>
      <c r="B125" s="112" t="s">
        <v>43</v>
      </c>
      <c r="C125" s="113" t="s">
        <v>380</v>
      </c>
      <c r="D125" s="112" t="s">
        <v>353</v>
      </c>
      <c r="E125" s="129">
        <v>1.336805555555556</v>
      </c>
      <c r="F125" s="112" t="s">
        <v>45</v>
      </c>
      <c r="G125" s="114">
        <v>9</v>
      </c>
      <c r="H125" s="121" t="s">
        <v>451</v>
      </c>
    </row>
    <row r="126" spans="1:8" ht="19.8" customHeight="1" x14ac:dyDescent="0.3">
      <c r="A126" s="128">
        <v>45995</v>
      </c>
      <c r="B126" s="112" t="s">
        <v>43</v>
      </c>
      <c r="C126" s="113" t="s">
        <v>362</v>
      </c>
      <c r="D126" s="112" t="s">
        <v>353</v>
      </c>
      <c r="E126" s="129">
        <v>1.6736111111111109</v>
      </c>
      <c r="F126" s="112" t="s">
        <v>45</v>
      </c>
      <c r="G126" s="114">
        <v>9</v>
      </c>
      <c r="H126" s="121" t="s">
        <v>377</v>
      </c>
    </row>
    <row r="127" spans="1:8" ht="19.8" customHeight="1" x14ac:dyDescent="0.3">
      <c r="A127" s="128">
        <v>45995</v>
      </c>
      <c r="B127" s="112" t="s">
        <v>43</v>
      </c>
      <c r="C127" s="113" t="s">
        <v>360</v>
      </c>
      <c r="D127" s="112" t="s">
        <v>353</v>
      </c>
      <c r="E127" s="129">
        <v>1.979166666666667</v>
      </c>
      <c r="F127" s="112" t="s">
        <v>45</v>
      </c>
      <c r="G127" s="114">
        <v>9</v>
      </c>
      <c r="H127" s="121" t="s">
        <v>452</v>
      </c>
    </row>
    <row r="128" spans="1:8" ht="19.8" customHeight="1" x14ac:dyDescent="0.3">
      <c r="A128" s="130">
        <v>45995</v>
      </c>
      <c r="B128" s="117" t="s">
        <v>54</v>
      </c>
      <c r="C128" s="118" t="s">
        <v>382</v>
      </c>
      <c r="D128" s="117" t="s">
        <v>353</v>
      </c>
      <c r="E128" s="131">
        <v>1.447916666666667</v>
      </c>
      <c r="F128" s="117" t="s">
        <v>56</v>
      </c>
      <c r="G128" s="119">
        <v>4</v>
      </c>
      <c r="H128" s="122" t="s">
        <v>446</v>
      </c>
    </row>
    <row r="129" spans="1:8" ht="19.8" customHeight="1" x14ac:dyDescent="0.3">
      <c r="A129" s="132">
        <v>45996</v>
      </c>
      <c r="B129" s="124" t="s">
        <v>76</v>
      </c>
      <c r="C129" s="125" t="s">
        <v>601</v>
      </c>
      <c r="D129" s="124" t="s">
        <v>600</v>
      </c>
      <c r="E129" s="133">
        <v>1.072916666666667</v>
      </c>
      <c r="F129" s="124" t="s">
        <v>178</v>
      </c>
      <c r="G129" s="126">
        <v>9</v>
      </c>
      <c r="H129" s="150" t="s">
        <v>390</v>
      </c>
    </row>
    <row r="130" spans="1:8" ht="19.8" customHeight="1" x14ac:dyDescent="0.3">
      <c r="A130" s="146"/>
      <c r="B130" s="147"/>
      <c r="C130" s="147"/>
      <c r="D130" s="147"/>
      <c r="E130" s="147"/>
      <c r="F130" s="148" t="s">
        <v>658</v>
      </c>
      <c r="G130" s="147"/>
      <c r="H130" s="149"/>
    </row>
    <row r="131" spans="1:8" ht="19.8" customHeight="1" x14ac:dyDescent="0.3">
      <c r="A131" s="128">
        <v>45996</v>
      </c>
      <c r="B131" s="112" t="s">
        <v>59</v>
      </c>
      <c r="C131" s="113" t="s">
        <v>371</v>
      </c>
      <c r="D131" s="112" t="s">
        <v>353</v>
      </c>
      <c r="E131" s="129">
        <v>1.447916666666667</v>
      </c>
      <c r="F131" s="112" t="s">
        <v>61</v>
      </c>
      <c r="G131" s="114">
        <v>11</v>
      </c>
      <c r="H131" s="121" t="s">
        <v>453</v>
      </c>
    </row>
    <row r="132" spans="1:8" ht="19.8" customHeight="1" x14ac:dyDescent="0.3">
      <c r="A132" s="128">
        <v>45996</v>
      </c>
      <c r="B132" s="112" t="s">
        <v>76</v>
      </c>
      <c r="C132" s="113" t="s">
        <v>389</v>
      </c>
      <c r="D132" s="112" t="s">
        <v>353</v>
      </c>
      <c r="E132" s="129">
        <v>1.381944444444444</v>
      </c>
      <c r="F132" s="112" t="s">
        <v>178</v>
      </c>
      <c r="G132" s="114">
        <v>1</v>
      </c>
      <c r="H132" s="121" t="s">
        <v>454</v>
      </c>
    </row>
    <row r="133" spans="1:8" ht="19.8" customHeight="1" x14ac:dyDescent="0.3">
      <c r="A133" s="128">
        <v>45996</v>
      </c>
      <c r="B133" s="112" t="s">
        <v>33</v>
      </c>
      <c r="C133" s="113" t="s">
        <v>356</v>
      </c>
      <c r="D133" s="112" t="s">
        <v>353</v>
      </c>
      <c r="E133" s="129">
        <v>1.9722222222222221</v>
      </c>
      <c r="F133" s="112" t="s">
        <v>35</v>
      </c>
      <c r="G133" s="114">
        <v>6</v>
      </c>
      <c r="H133" s="121" t="s">
        <v>435</v>
      </c>
    </row>
    <row r="134" spans="1:8" ht="19.8" customHeight="1" x14ac:dyDescent="0.3">
      <c r="A134" s="128">
        <v>45996</v>
      </c>
      <c r="B134" s="112" t="s">
        <v>28</v>
      </c>
      <c r="C134" s="113" t="s">
        <v>375</v>
      </c>
      <c r="D134" s="112" t="s">
        <v>353</v>
      </c>
      <c r="E134" s="129">
        <v>1.756944444444444</v>
      </c>
      <c r="F134" s="112" t="s">
        <v>178</v>
      </c>
      <c r="G134" s="114">
        <v>5</v>
      </c>
      <c r="H134" s="121" t="s">
        <v>447</v>
      </c>
    </row>
    <row r="135" spans="1:8" ht="19.8" customHeight="1" x14ac:dyDescent="0.3">
      <c r="A135" s="128">
        <v>45996</v>
      </c>
      <c r="B135" s="112" t="s">
        <v>59</v>
      </c>
      <c r="C135" s="113" t="s">
        <v>371</v>
      </c>
      <c r="D135" s="112" t="s">
        <v>353</v>
      </c>
      <c r="E135" s="129">
        <v>1.447916666666667</v>
      </c>
      <c r="F135" s="112" t="s">
        <v>64</v>
      </c>
      <c r="G135" s="114">
        <v>11</v>
      </c>
      <c r="H135" s="121" t="s">
        <v>436</v>
      </c>
    </row>
    <row r="136" spans="1:8" ht="19.8" customHeight="1" x14ac:dyDescent="0.3">
      <c r="A136" s="128">
        <v>45996</v>
      </c>
      <c r="B136" s="112" t="s">
        <v>33</v>
      </c>
      <c r="C136" s="113" t="s">
        <v>356</v>
      </c>
      <c r="D136" s="112" t="s">
        <v>353</v>
      </c>
      <c r="E136" s="129">
        <v>1.9722222222222221</v>
      </c>
      <c r="F136" s="112" t="s">
        <v>38</v>
      </c>
      <c r="G136" s="114">
        <v>6</v>
      </c>
      <c r="H136" s="121" t="s">
        <v>436</v>
      </c>
    </row>
    <row r="137" spans="1:8" ht="19.8" customHeight="1" x14ac:dyDescent="0.3">
      <c r="A137" s="128">
        <v>45996</v>
      </c>
      <c r="B137" s="112" t="s">
        <v>33</v>
      </c>
      <c r="C137" s="113" t="s">
        <v>356</v>
      </c>
      <c r="D137" s="112" t="s">
        <v>353</v>
      </c>
      <c r="E137" s="129">
        <v>1.9722222222222221</v>
      </c>
      <c r="F137" s="112" t="s">
        <v>41</v>
      </c>
      <c r="G137" s="114">
        <v>6</v>
      </c>
      <c r="H137" s="121" t="s">
        <v>437</v>
      </c>
    </row>
    <row r="138" spans="1:8" ht="19.8" customHeight="1" x14ac:dyDescent="0.3">
      <c r="A138" s="128">
        <v>45996</v>
      </c>
      <c r="B138" s="112" t="s">
        <v>43</v>
      </c>
      <c r="C138" s="113" t="s">
        <v>380</v>
      </c>
      <c r="D138" s="112" t="s">
        <v>353</v>
      </c>
      <c r="E138" s="129">
        <v>1.336805555555556</v>
      </c>
      <c r="F138" s="112" t="s">
        <v>45</v>
      </c>
      <c r="G138" s="114">
        <v>9</v>
      </c>
      <c r="H138" s="121" t="s">
        <v>456</v>
      </c>
    </row>
    <row r="139" spans="1:8" ht="19.8" customHeight="1" x14ac:dyDescent="0.3">
      <c r="A139" s="128">
        <v>45996</v>
      </c>
      <c r="B139" s="112" t="s">
        <v>59</v>
      </c>
      <c r="C139" s="113" t="s">
        <v>371</v>
      </c>
      <c r="D139" s="112" t="s">
        <v>353</v>
      </c>
      <c r="E139" s="129">
        <v>1.447916666666667</v>
      </c>
      <c r="F139" s="112" t="s">
        <v>67</v>
      </c>
      <c r="G139" s="114">
        <v>11</v>
      </c>
      <c r="H139" s="121" t="s">
        <v>374</v>
      </c>
    </row>
    <row r="140" spans="1:8" ht="19.8" customHeight="1" x14ac:dyDescent="0.3">
      <c r="A140" s="130">
        <v>45996</v>
      </c>
      <c r="B140" s="117" t="s">
        <v>43</v>
      </c>
      <c r="C140" s="118" t="s">
        <v>362</v>
      </c>
      <c r="D140" s="117" t="s">
        <v>353</v>
      </c>
      <c r="E140" s="131">
        <v>1.6736111111111109</v>
      </c>
      <c r="F140" s="117" t="s">
        <v>45</v>
      </c>
      <c r="G140" s="119">
        <v>9</v>
      </c>
      <c r="H140" s="122" t="s">
        <v>377</v>
      </c>
    </row>
    <row r="141" spans="1:8" ht="19.8" customHeight="1" x14ac:dyDescent="0.3">
      <c r="A141" s="146"/>
      <c r="B141" s="147"/>
      <c r="C141" s="147"/>
      <c r="D141" s="147"/>
      <c r="E141" s="147"/>
      <c r="F141" s="148" t="s">
        <v>658</v>
      </c>
      <c r="G141" s="147"/>
      <c r="H141" s="149"/>
    </row>
    <row r="142" spans="1:8" ht="19.8" customHeight="1" x14ac:dyDescent="0.3">
      <c r="A142" s="128">
        <v>45997</v>
      </c>
      <c r="B142" s="112" t="s">
        <v>76</v>
      </c>
      <c r="C142" s="113" t="s">
        <v>389</v>
      </c>
      <c r="D142" s="112" t="s">
        <v>353</v>
      </c>
      <c r="E142" s="129">
        <v>1.7222222222222221</v>
      </c>
      <c r="F142" s="112" t="s">
        <v>178</v>
      </c>
      <c r="G142" s="114">
        <v>2</v>
      </c>
      <c r="H142" s="121" t="s">
        <v>457</v>
      </c>
    </row>
    <row r="143" spans="1:8" ht="19.8" customHeight="1" x14ac:dyDescent="0.3">
      <c r="A143" s="128">
        <v>45997</v>
      </c>
      <c r="B143" s="112" t="s">
        <v>28</v>
      </c>
      <c r="C143" s="113" t="s">
        <v>386</v>
      </c>
      <c r="D143" s="112" t="s">
        <v>353</v>
      </c>
      <c r="E143" s="129">
        <v>1.694444444444444</v>
      </c>
      <c r="F143" s="112" t="s">
        <v>178</v>
      </c>
      <c r="G143" s="114">
        <v>6</v>
      </c>
      <c r="H143" s="121" t="s">
        <v>447</v>
      </c>
    </row>
    <row r="144" spans="1:8" ht="19.8" customHeight="1" x14ac:dyDescent="0.3">
      <c r="A144" s="128">
        <v>45997</v>
      </c>
      <c r="B144" s="112" t="s">
        <v>43</v>
      </c>
      <c r="C144" s="113" t="s">
        <v>360</v>
      </c>
      <c r="D144" s="112" t="s">
        <v>353</v>
      </c>
      <c r="E144" s="129">
        <v>1.979166666666667</v>
      </c>
      <c r="F144" s="112" t="s">
        <v>45</v>
      </c>
      <c r="G144" s="114">
        <v>9</v>
      </c>
      <c r="H144" s="121" t="s">
        <v>451</v>
      </c>
    </row>
    <row r="145" spans="1:8" ht="19.8" customHeight="1" x14ac:dyDescent="0.3">
      <c r="A145" s="128">
        <v>45997</v>
      </c>
      <c r="B145" s="112" t="s">
        <v>43</v>
      </c>
      <c r="C145" s="113" t="s">
        <v>380</v>
      </c>
      <c r="D145" s="112" t="s">
        <v>353</v>
      </c>
      <c r="E145" s="129">
        <v>1.336805555555556</v>
      </c>
      <c r="F145" s="112" t="s">
        <v>45</v>
      </c>
      <c r="G145" s="114">
        <v>9</v>
      </c>
      <c r="H145" s="121" t="s">
        <v>451</v>
      </c>
    </row>
    <row r="146" spans="1:8" ht="19.8" customHeight="1" x14ac:dyDescent="0.3">
      <c r="A146" s="128">
        <v>45997</v>
      </c>
      <c r="B146" s="112" t="s">
        <v>43</v>
      </c>
      <c r="C146" s="113" t="s">
        <v>362</v>
      </c>
      <c r="D146" s="112" t="s">
        <v>353</v>
      </c>
      <c r="E146" s="129">
        <v>1.6736111111111109</v>
      </c>
      <c r="F146" s="112" t="s">
        <v>45</v>
      </c>
      <c r="G146" s="114">
        <v>9</v>
      </c>
      <c r="H146" s="121" t="s">
        <v>377</v>
      </c>
    </row>
    <row r="147" spans="1:8" ht="19.8" customHeight="1" x14ac:dyDescent="0.3">
      <c r="A147" s="130">
        <v>45997</v>
      </c>
      <c r="B147" s="117" t="s">
        <v>54</v>
      </c>
      <c r="C147" s="118" t="s">
        <v>382</v>
      </c>
      <c r="D147" s="117" t="s">
        <v>353</v>
      </c>
      <c r="E147" s="131">
        <v>1.447916666666667</v>
      </c>
      <c r="F147" s="117" t="s">
        <v>56</v>
      </c>
      <c r="G147" s="119">
        <v>4</v>
      </c>
      <c r="H147" s="122" t="s">
        <v>446</v>
      </c>
    </row>
    <row r="148" spans="1:8" ht="19.8" customHeight="1" x14ac:dyDescent="0.3">
      <c r="A148" s="146"/>
      <c r="B148" s="147"/>
      <c r="C148" s="147"/>
      <c r="D148" s="147"/>
      <c r="E148" s="147"/>
      <c r="F148" s="148" t="s">
        <v>658</v>
      </c>
      <c r="G148" s="147"/>
      <c r="H148" s="149"/>
    </row>
    <row r="149" spans="1:8" ht="19.8" customHeight="1" x14ac:dyDescent="0.3">
      <c r="A149" s="128">
        <v>45998</v>
      </c>
      <c r="B149" s="112" t="s">
        <v>102</v>
      </c>
      <c r="C149" s="113" t="s">
        <v>404</v>
      </c>
      <c r="D149" s="112" t="s">
        <v>353</v>
      </c>
      <c r="E149" s="129">
        <v>1.0138888888888891</v>
      </c>
      <c r="F149" s="112" t="s">
        <v>178</v>
      </c>
      <c r="G149" s="114">
        <v>8</v>
      </c>
      <c r="H149" s="121" t="s">
        <v>459</v>
      </c>
    </row>
    <row r="150" spans="1:8" ht="19.8" customHeight="1" x14ac:dyDescent="0.3">
      <c r="A150" s="128">
        <v>45998</v>
      </c>
      <c r="B150" s="112" t="s">
        <v>28</v>
      </c>
      <c r="C150" s="113" t="s">
        <v>354</v>
      </c>
      <c r="D150" s="112" t="s">
        <v>353</v>
      </c>
      <c r="E150" s="129">
        <v>1.756944444444444</v>
      </c>
      <c r="F150" s="112" t="s">
        <v>178</v>
      </c>
      <c r="G150" s="114">
        <v>3</v>
      </c>
      <c r="H150" s="121" t="s">
        <v>460</v>
      </c>
    </row>
    <row r="151" spans="1:8" ht="19.8" customHeight="1" x14ac:dyDescent="0.3">
      <c r="A151" s="128">
        <v>45998</v>
      </c>
      <c r="B151" s="112" t="s">
        <v>43</v>
      </c>
      <c r="C151" s="113" t="s">
        <v>360</v>
      </c>
      <c r="D151" s="112" t="s">
        <v>353</v>
      </c>
      <c r="E151" s="129">
        <v>1.979166666666667</v>
      </c>
      <c r="F151" s="112" t="s">
        <v>45</v>
      </c>
      <c r="G151" s="114">
        <v>9</v>
      </c>
      <c r="H151" s="121" t="s">
        <v>461</v>
      </c>
    </row>
    <row r="152" spans="1:8" ht="19.8" customHeight="1" x14ac:dyDescent="0.3">
      <c r="A152" s="128">
        <v>45998</v>
      </c>
      <c r="B152" s="112" t="s">
        <v>43</v>
      </c>
      <c r="C152" s="113" t="s">
        <v>380</v>
      </c>
      <c r="D152" s="112" t="s">
        <v>353</v>
      </c>
      <c r="E152" s="129">
        <v>1.336805555555556</v>
      </c>
      <c r="F152" s="112" t="s">
        <v>45</v>
      </c>
      <c r="G152" s="114">
        <v>9</v>
      </c>
      <c r="H152" s="121" t="s">
        <v>461</v>
      </c>
    </row>
    <row r="153" spans="1:8" ht="19.8" customHeight="1" x14ac:dyDescent="0.3">
      <c r="A153" s="128">
        <v>45998</v>
      </c>
      <c r="B153" s="112" t="s">
        <v>43</v>
      </c>
      <c r="C153" s="113" t="s">
        <v>362</v>
      </c>
      <c r="D153" s="112" t="s">
        <v>353</v>
      </c>
      <c r="E153" s="129">
        <v>1.6736111111111109</v>
      </c>
      <c r="F153" s="112" t="s">
        <v>45</v>
      </c>
      <c r="G153" s="114">
        <v>9</v>
      </c>
      <c r="H153" s="121" t="s">
        <v>462</v>
      </c>
    </row>
    <row r="154" spans="1:8" ht="19.8" customHeight="1" x14ac:dyDescent="0.3">
      <c r="A154" s="130">
        <v>45998</v>
      </c>
      <c r="B154" s="117" t="s">
        <v>54</v>
      </c>
      <c r="C154" s="118" t="s">
        <v>382</v>
      </c>
      <c r="D154" s="117" t="s">
        <v>353</v>
      </c>
      <c r="E154" s="131">
        <v>1.447916666666667</v>
      </c>
      <c r="F154" s="117" t="s">
        <v>56</v>
      </c>
      <c r="G154" s="119">
        <v>4</v>
      </c>
      <c r="H154" s="122" t="s">
        <v>463</v>
      </c>
    </row>
    <row r="155" spans="1:8" ht="19.8" customHeight="1" x14ac:dyDescent="0.3">
      <c r="A155" s="132">
        <v>45999</v>
      </c>
      <c r="B155" s="124" t="s">
        <v>76</v>
      </c>
      <c r="C155" s="125" t="s">
        <v>601</v>
      </c>
      <c r="D155" s="124" t="s">
        <v>600</v>
      </c>
      <c r="E155" s="133">
        <v>1.291666666666667</v>
      </c>
      <c r="F155" s="124"/>
      <c r="G155" s="124"/>
      <c r="H155" s="150" t="s">
        <v>297</v>
      </c>
    </row>
    <row r="156" spans="1:8" ht="19.8" customHeight="1" x14ac:dyDescent="0.3">
      <c r="A156" s="146"/>
      <c r="B156" s="147"/>
      <c r="C156" s="147"/>
      <c r="D156" s="147"/>
      <c r="E156" s="147"/>
      <c r="F156" s="148" t="s">
        <v>658</v>
      </c>
      <c r="G156" s="147"/>
      <c r="H156" s="149"/>
    </row>
    <row r="157" spans="1:8" ht="19.8" customHeight="1" x14ac:dyDescent="0.3">
      <c r="A157" s="128">
        <v>45999</v>
      </c>
      <c r="B157" s="112" t="s">
        <v>28</v>
      </c>
      <c r="C157" s="113" t="s">
        <v>375</v>
      </c>
      <c r="D157" s="112" t="s">
        <v>353</v>
      </c>
      <c r="E157" s="129">
        <v>1.756944444444444</v>
      </c>
      <c r="F157" s="112" t="s">
        <v>178</v>
      </c>
      <c r="G157" s="114">
        <v>5</v>
      </c>
      <c r="H157" s="121" t="s">
        <v>460</v>
      </c>
    </row>
    <row r="158" spans="1:8" ht="19.8" customHeight="1" x14ac:dyDescent="0.3">
      <c r="A158" s="128">
        <v>45999</v>
      </c>
      <c r="B158" s="112" t="s">
        <v>43</v>
      </c>
      <c r="C158" s="113" t="s">
        <v>360</v>
      </c>
      <c r="D158" s="112" t="s">
        <v>353</v>
      </c>
      <c r="E158" s="129">
        <v>1.979166666666667</v>
      </c>
      <c r="F158" s="112" t="s">
        <v>45</v>
      </c>
      <c r="G158" s="114">
        <v>9</v>
      </c>
      <c r="H158" s="121" t="s">
        <v>464</v>
      </c>
    </row>
    <row r="159" spans="1:8" ht="19.8" customHeight="1" x14ac:dyDescent="0.3">
      <c r="A159" s="128">
        <v>45999</v>
      </c>
      <c r="B159" s="112" t="s">
        <v>43</v>
      </c>
      <c r="C159" s="113" t="s">
        <v>380</v>
      </c>
      <c r="D159" s="112" t="s">
        <v>353</v>
      </c>
      <c r="E159" s="129">
        <v>1.336805555555556</v>
      </c>
      <c r="F159" s="112" t="s">
        <v>45</v>
      </c>
      <c r="G159" s="114">
        <v>9</v>
      </c>
      <c r="H159" s="121" t="s">
        <v>461</v>
      </c>
    </row>
    <row r="160" spans="1:8" ht="19.8" customHeight="1" x14ac:dyDescent="0.3">
      <c r="A160" s="128">
        <v>45999</v>
      </c>
      <c r="B160" s="112" t="s">
        <v>43</v>
      </c>
      <c r="C160" s="113" t="s">
        <v>362</v>
      </c>
      <c r="D160" s="112" t="s">
        <v>353</v>
      </c>
      <c r="E160" s="129">
        <v>1.6736111111111109</v>
      </c>
      <c r="F160" s="112" t="s">
        <v>45</v>
      </c>
      <c r="G160" s="114">
        <v>9</v>
      </c>
      <c r="H160" s="121" t="s">
        <v>462</v>
      </c>
    </row>
    <row r="161" spans="1:8" ht="19.8" customHeight="1" x14ac:dyDescent="0.3">
      <c r="A161" s="130">
        <v>45999</v>
      </c>
      <c r="B161" s="117" t="s">
        <v>54</v>
      </c>
      <c r="C161" s="118" t="s">
        <v>382</v>
      </c>
      <c r="D161" s="117" t="s">
        <v>353</v>
      </c>
      <c r="E161" s="131">
        <v>1.447916666666667</v>
      </c>
      <c r="F161" s="117" t="s">
        <v>56</v>
      </c>
      <c r="G161" s="119">
        <v>4</v>
      </c>
      <c r="H161" s="122" t="s">
        <v>465</v>
      </c>
    </row>
    <row r="162" spans="1:8" ht="19.8" customHeight="1" x14ac:dyDescent="0.3">
      <c r="A162" s="146"/>
      <c r="B162" s="147"/>
      <c r="C162" s="147"/>
      <c r="D162" s="147"/>
      <c r="E162" s="147"/>
      <c r="F162" s="148" t="s">
        <v>658</v>
      </c>
      <c r="G162" s="147"/>
      <c r="H162" s="149"/>
    </row>
    <row r="163" spans="1:8" ht="19.8" customHeight="1" x14ac:dyDescent="0.3">
      <c r="A163" s="128">
        <v>46000</v>
      </c>
      <c r="B163" s="112" t="s">
        <v>59</v>
      </c>
      <c r="C163" s="113" t="s">
        <v>371</v>
      </c>
      <c r="D163" s="112" t="s">
        <v>353</v>
      </c>
      <c r="E163" s="129">
        <v>1.447916666666667</v>
      </c>
      <c r="F163" s="112" t="s">
        <v>61</v>
      </c>
      <c r="G163" s="114">
        <v>10</v>
      </c>
      <c r="H163" s="121" t="s">
        <v>466</v>
      </c>
    </row>
    <row r="164" spans="1:8" ht="19.8" customHeight="1" x14ac:dyDescent="0.3">
      <c r="A164" s="128">
        <v>46000</v>
      </c>
      <c r="B164" s="112" t="s">
        <v>33</v>
      </c>
      <c r="C164" s="113" t="s">
        <v>356</v>
      </c>
      <c r="D164" s="112" t="s">
        <v>353</v>
      </c>
      <c r="E164" s="129">
        <v>1.9722222222222221</v>
      </c>
      <c r="F164" s="112" t="s">
        <v>35</v>
      </c>
      <c r="G164" s="114">
        <v>6</v>
      </c>
      <c r="H164" s="121" t="s">
        <v>467</v>
      </c>
    </row>
    <row r="165" spans="1:8" ht="19.8" customHeight="1" x14ac:dyDescent="0.3">
      <c r="A165" s="128">
        <v>46000</v>
      </c>
      <c r="B165" s="112" t="s">
        <v>33</v>
      </c>
      <c r="C165" s="113" t="s">
        <v>364</v>
      </c>
      <c r="D165" s="112" t="s">
        <v>353</v>
      </c>
      <c r="E165" s="129">
        <v>1.336805555555556</v>
      </c>
      <c r="F165" s="112" t="s">
        <v>35</v>
      </c>
      <c r="G165" s="114">
        <v>8</v>
      </c>
      <c r="H165" s="121" t="s">
        <v>467</v>
      </c>
    </row>
    <row r="166" spans="1:8" ht="19.8" customHeight="1" x14ac:dyDescent="0.3">
      <c r="A166" s="128">
        <v>46000</v>
      </c>
      <c r="B166" s="112" t="s">
        <v>76</v>
      </c>
      <c r="C166" s="113" t="s">
        <v>389</v>
      </c>
      <c r="D166" s="112" t="s">
        <v>353</v>
      </c>
      <c r="E166" s="129">
        <v>1.069444444444444</v>
      </c>
      <c r="F166" s="112" t="s">
        <v>178</v>
      </c>
      <c r="G166" s="114">
        <v>9</v>
      </c>
      <c r="H166" s="121" t="s">
        <v>470</v>
      </c>
    </row>
    <row r="167" spans="1:8" ht="19.8" customHeight="1" x14ac:dyDescent="0.3">
      <c r="A167" s="128">
        <v>46000</v>
      </c>
      <c r="B167" s="112" t="s">
        <v>102</v>
      </c>
      <c r="C167" s="113" t="s">
        <v>387</v>
      </c>
      <c r="D167" s="112" t="s">
        <v>353</v>
      </c>
      <c r="E167" s="129">
        <v>1.881944444444444</v>
      </c>
      <c r="F167" s="112" t="s">
        <v>178</v>
      </c>
      <c r="G167" s="114">
        <v>3</v>
      </c>
      <c r="H167" s="121" t="s">
        <v>473</v>
      </c>
    </row>
    <row r="168" spans="1:8" ht="19.8" customHeight="1" x14ac:dyDescent="0.3">
      <c r="A168" s="128">
        <v>46000</v>
      </c>
      <c r="B168" s="112" t="s">
        <v>28</v>
      </c>
      <c r="C168" s="113" t="s">
        <v>386</v>
      </c>
      <c r="D168" s="112" t="s">
        <v>353</v>
      </c>
      <c r="E168" s="129">
        <v>1.756944444444444</v>
      </c>
      <c r="F168" s="112" t="s">
        <v>178</v>
      </c>
      <c r="G168" s="114">
        <v>8</v>
      </c>
      <c r="H168" s="121" t="s">
        <v>474</v>
      </c>
    </row>
    <row r="169" spans="1:8" ht="19.8" customHeight="1" x14ac:dyDescent="0.3">
      <c r="A169" s="128">
        <v>46000</v>
      </c>
      <c r="B169" s="112" t="s">
        <v>33</v>
      </c>
      <c r="C169" s="113" t="s">
        <v>356</v>
      </c>
      <c r="D169" s="112" t="s">
        <v>353</v>
      </c>
      <c r="E169" s="129">
        <v>1.9722222222222221</v>
      </c>
      <c r="F169" s="112" t="s">
        <v>38</v>
      </c>
      <c r="G169" s="114">
        <v>6</v>
      </c>
      <c r="H169" s="121" t="s">
        <v>468</v>
      </c>
    </row>
    <row r="170" spans="1:8" ht="19.8" customHeight="1" x14ac:dyDescent="0.3">
      <c r="A170" s="128">
        <v>46000</v>
      </c>
      <c r="B170" s="112" t="s">
        <v>33</v>
      </c>
      <c r="C170" s="113" t="s">
        <v>364</v>
      </c>
      <c r="D170" s="112" t="s">
        <v>353</v>
      </c>
      <c r="E170" s="129">
        <v>1.336805555555556</v>
      </c>
      <c r="F170" s="112" t="s">
        <v>38</v>
      </c>
      <c r="G170" s="114">
        <v>8</v>
      </c>
      <c r="H170" s="121" t="s">
        <v>468</v>
      </c>
    </row>
    <row r="171" spans="1:8" ht="19.8" customHeight="1" x14ac:dyDescent="0.3">
      <c r="A171" s="128">
        <v>46000</v>
      </c>
      <c r="B171" s="112" t="s">
        <v>59</v>
      </c>
      <c r="C171" s="113" t="s">
        <v>371</v>
      </c>
      <c r="D171" s="112" t="s">
        <v>353</v>
      </c>
      <c r="E171" s="129">
        <v>1.447916666666667</v>
      </c>
      <c r="F171" s="112" t="s">
        <v>64</v>
      </c>
      <c r="G171" s="114">
        <v>10</v>
      </c>
      <c r="H171" s="121" t="s">
        <v>453</v>
      </c>
    </row>
    <row r="172" spans="1:8" ht="19.8" customHeight="1" x14ac:dyDescent="0.3">
      <c r="A172" s="130">
        <v>46000</v>
      </c>
      <c r="B172" s="117" t="s">
        <v>43</v>
      </c>
      <c r="C172" s="118" t="s">
        <v>360</v>
      </c>
      <c r="D172" s="117" t="s">
        <v>353</v>
      </c>
      <c r="E172" s="131">
        <v>1.979166666666667</v>
      </c>
      <c r="F172" s="117" t="s">
        <v>45</v>
      </c>
      <c r="G172" s="119">
        <v>9</v>
      </c>
      <c r="H172" s="122" t="s">
        <v>464</v>
      </c>
    </row>
    <row r="173" spans="1:8" ht="19.8" customHeight="1" x14ac:dyDescent="0.3">
      <c r="A173" s="146"/>
      <c r="B173" s="147"/>
      <c r="C173" s="147"/>
      <c r="D173" s="147"/>
      <c r="E173" s="147"/>
      <c r="F173" s="148" t="s">
        <v>658</v>
      </c>
      <c r="G173" s="147"/>
      <c r="H173" s="149"/>
    </row>
    <row r="174" spans="1:8" ht="19.8" customHeight="1" x14ac:dyDescent="0.3">
      <c r="A174" s="128">
        <v>46001</v>
      </c>
      <c r="B174" s="112" t="s">
        <v>59</v>
      </c>
      <c r="C174" s="113" t="s">
        <v>371</v>
      </c>
      <c r="D174" s="112" t="s">
        <v>353</v>
      </c>
      <c r="E174" s="129">
        <v>1.447916666666667</v>
      </c>
      <c r="F174" s="112" t="s">
        <v>61</v>
      </c>
      <c r="G174" s="114">
        <v>8</v>
      </c>
      <c r="H174" s="121" t="s">
        <v>466</v>
      </c>
    </row>
    <row r="175" spans="1:8" ht="19.8" customHeight="1" x14ac:dyDescent="0.3">
      <c r="A175" s="128">
        <v>46001</v>
      </c>
      <c r="B175" s="112" t="s">
        <v>33</v>
      </c>
      <c r="C175" s="113" t="s">
        <v>356</v>
      </c>
      <c r="D175" s="112" t="s">
        <v>353</v>
      </c>
      <c r="E175" s="129">
        <v>1.9722222222222221</v>
      </c>
      <c r="F175" s="112" t="s">
        <v>35</v>
      </c>
      <c r="G175" s="114">
        <v>1</v>
      </c>
      <c r="H175" s="121" t="s">
        <v>467</v>
      </c>
    </row>
    <row r="176" spans="1:8" ht="19.8" customHeight="1" x14ac:dyDescent="0.3">
      <c r="A176" s="128">
        <v>46001</v>
      </c>
      <c r="B176" s="112" t="s">
        <v>120</v>
      </c>
      <c r="C176" s="113" t="s">
        <v>425</v>
      </c>
      <c r="D176" s="112" t="s">
        <v>353</v>
      </c>
      <c r="E176" s="129">
        <v>1.7847222222222221</v>
      </c>
      <c r="F176" s="112" t="s">
        <v>122</v>
      </c>
      <c r="G176" s="114">
        <v>9</v>
      </c>
      <c r="H176" s="121" t="s">
        <v>476</v>
      </c>
    </row>
    <row r="177" spans="1:8" ht="19.8" customHeight="1" x14ac:dyDescent="0.3">
      <c r="A177" s="128">
        <v>46001</v>
      </c>
      <c r="B177" s="112" t="s">
        <v>28</v>
      </c>
      <c r="C177" s="113" t="s">
        <v>375</v>
      </c>
      <c r="D177" s="112" t="s">
        <v>353</v>
      </c>
      <c r="E177" s="129">
        <v>1.694444444444444</v>
      </c>
      <c r="F177" s="112" t="s">
        <v>178</v>
      </c>
      <c r="G177" s="114">
        <v>7</v>
      </c>
      <c r="H177" s="121" t="s">
        <v>474</v>
      </c>
    </row>
    <row r="178" spans="1:8" ht="19.8" customHeight="1" x14ac:dyDescent="0.3">
      <c r="A178" s="128">
        <v>46001</v>
      </c>
      <c r="B178" s="112" t="s">
        <v>33</v>
      </c>
      <c r="C178" s="113" t="s">
        <v>356</v>
      </c>
      <c r="D178" s="112" t="s">
        <v>353</v>
      </c>
      <c r="E178" s="129">
        <v>1.9722222222222221</v>
      </c>
      <c r="F178" s="112" t="s">
        <v>38</v>
      </c>
      <c r="G178" s="114">
        <v>1</v>
      </c>
      <c r="H178" s="121" t="s">
        <v>468</v>
      </c>
    </row>
    <row r="179" spans="1:8" ht="19.8" customHeight="1" x14ac:dyDescent="0.3">
      <c r="A179" s="128">
        <v>46001</v>
      </c>
      <c r="B179" s="112" t="s">
        <v>59</v>
      </c>
      <c r="C179" s="113" t="s">
        <v>371</v>
      </c>
      <c r="D179" s="112" t="s">
        <v>353</v>
      </c>
      <c r="E179" s="129">
        <v>1.447916666666667</v>
      </c>
      <c r="F179" s="112" t="s">
        <v>64</v>
      </c>
      <c r="G179" s="114">
        <v>8</v>
      </c>
      <c r="H179" s="121" t="s">
        <v>453</v>
      </c>
    </row>
    <row r="180" spans="1:8" ht="19.8" customHeight="1" x14ac:dyDescent="0.3">
      <c r="A180" s="128">
        <v>46001</v>
      </c>
      <c r="B180" s="112" t="s">
        <v>43</v>
      </c>
      <c r="C180" s="113" t="s">
        <v>380</v>
      </c>
      <c r="D180" s="112" t="s">
        <v>353</v>
      </c>
      <c r="E180" s="129">
        <v>1.336805555555556</v>
      </c>
      <c r="F180" s="112" t="s">
        <v>45</v>
      </c>
      <c r="G180" s="114">
        <v>9</v>
      </c>
      <c r="H180" s="121" t="s">
        <v>464</v>
      </c>
    </row>
    <row r="181" spans="1:8" ht="19.8" customHeight="1" x14ac:dyDescent="0.3">
      <c r="A181" s="128">
        <v>46001</v>
      </c>
      <c r="B181" s="112" t="s">
        <v>120</v>
      </c>
      <c r="C181" s="113" t="s">
        <v>425</v>
      </c>
      <c r="D181" s="112" t="s">
        <v>353</v>
      </c>
      <c r="E181" s="129">
        <v>1.7847222222222221</v>
      </c>
      <c r="F181" s="112" t="s">
        <v>67</v>
      </c>
      <c r="G181" s="114">
        <v>9</v>
      </c>
      <c r="H181" s="121" t="s">
        <v>477</v>
      </c>
    </row>
    <row r="182" spans="1:8" ht="19.8" customHeight="1" x14ac:dyDescent="0.3">
      <c r="A182" s="128">
        <v>46001</v>
      </c>
      <c r="B182" s="112" t="s">
        <v>43</v>
      </c>
      <c r="C182" s="113" t="s">
        <v>360</v>
      </c>
      <c r="D182" s="112" t="s">
        <v>353</v>
      </c>
      <c r="E182" s="129">
        <v>1.979166666666667</v>
      </c>
      <c r="F182" s="112" t="s">
        <v>45</v>
      </c>
      <c r="G182" s="114">
        <v>9</v>
      </c>
      <c r="H182" s="121" t="s">
        <v>461</v>
      </c>
    </row>
    <row r="183" spans="1:8" ht="19.8" customHeight="1" x14ac:dyDescent="0.3">
      <c r="A183" s="130">
        <v>46001</v>
      </c>
      <c r="B183" s="117" t="s">
        <v>33</v>
      </c>
      <c r="C183" s="118" t="s">
        <v>356</v>
      </c>
      <c r="D183" s="117" t="s">
        <v>353</v>
      </c>
      <c r="E183" s="131">
        <v>1.9722222222222221</v>
      </c>
      <c r="F183" s="117" t="s">
        <v>41</v>
      </c>
      <c r="G183" s="119">
        <v>1</v>
      </c>
      <c r="H183" s="122" t="s">
        <v>469</v>
      </c>
    </row>
    <row r="184" spans="1:8" ht="19.8" customHeight="1" x14ac:dyDescent="0.3">
      <c r="A184" s="132">
        <v>46003</v>
      </c>
      <c r="B184" s="124" t="s">
        <v>76</v>
      </c>
      <c r="C184" s="125" t="s">
        <v>601</v>
      </c>
      <c r="D184" s="124" t="s">
        <v>600</v>
      </c>
      <c r="E184" s="133">
        <v>1.072916666666667</v>
      </c>
      <c r="F184" s="124" t="s">
        <v>178</v>
      </c>
      <c r="G184" s="126">
        <v>4</v>
      </c>
      <c r="H184" s="150" t="s">
        <v>448</v>
      </c>
    </row>
    <row r="185" spans="1:8" ht="19.8" customHeight="1" x14ac:dyDescent="0.3">
      <c r="A185" s="146"/>
      <c r="B185" s="147"/>
      <c r="C185" s="147"/>
      <c r="D185" s="147"/>
      <c r="E185" s="147"/>
      <c r="F185" s="148" t="s">
        <v>658</v>
      </c>
      <c r="G185" s="147"/>
      <c r="H185" s="149"/>
    </row>
    <row r="186" spans="1:8" ht="19.8" customHeight="1" x14ac:dyDescent="0.3">
      <c r="A186" s="128">
        <v>46003</v>
      </c>
      <c r="B186" s="112" t="s">
        <v>59</v>
      </c>
      <c r="C186" s="113" t="s">
        <v>371</v>
      </c>
      <c r="D186" s="112" t="s">
        <v>353</v>
      </c>
      <c r="E186" s="129">
        <v>1.447916666666667</v>
      </c>
      <c r="F186" s="112" t="s">
        <v>61</v>
      </c>
      <c r="G186" s="114">
        <v>11</v>
      </c>
      <c r="H186" s="121" t="s">
        <v>466</v>
      </c>
    </row>
    <row r="187" spans="1:8" ht="19.8" customHeight="1" x14ac:dyDescent="0.3">
      <c r="A187" s="128">
        <v>46003</v>
      </c>
      <c r="B187" s="112" t="s">
        <v>33</v>
      </c>
      <c r="C187" s="113" t="s">
        <v>356</v>
      </c>
      <c r="D187" s="112" t="s">
        <v>353</v>
      </c>
      <c r="E187" s="129">
        <v>1.9722222222222221</v>
      </c>
      <c r="F187" s="112" t="s">
        <v>35</v>
      </c>
      <c r="G187" s="114">
        <v>6</v>
      </c>
      <c r="H187" s="121" t="s">
        <v>480</v>
      </c>
    </row>
    <row r="188" spans="1:8" ht="19.8" customHeight="1" x14ac:dyDescent="0.3">
      <c r="A188" s="128">
        <v>46003</v>
      </c>
      <c r="B188" s="112" t="s">
        <v>76</v>
      </c>
      <c r="C188" s="113" t="s">
        <v>389</v>
      </c>
      <c r="D188" s="112" t="s">
        <v>353</v>
      </c>
      <c r="E188" s="129">
        <v>1.381944444444444</v>
      </c>
      <c r="F188" s="112" t="s">
        <v>178</v>
      </c>
      <c r="G188" s="114">
        <v>8</v>
      </c>
      <c r="H188" s="121" t="s">
        <v>483</v>
      </c>
    </row>
    <row r="189" spans="1:8" ht="19.8" customHeight="1" x14ac:dyDescent="0.3">
      <c r="A189" s="128">
        <v>46003</v>
      </c>
      <c r="B189" s="112" t="s">
        <v>33</v>
      </c>
      <c r="C189" s="113" t="s">
        <v>356</v>
      </c>
      <c r="D189" s="112" t="s">
        <v>353</v>
      </c>
      <c r="E189" s="129">
        <v>1.9722222222222221</v>
      </c>
      <c r="F189" s="112" t="s">
        <v>38</v>
      </c>
      <c r="G189" s="114">
        <v>6</v>
      </c>
      <c r="H189" s="121" t="s">
        <v>481</v>
      </c>
    </row>
    <row r="190" spans="1:8" ht="19.8" customHeight="1" x14ac:dyDescent="0.3">
      <c r="A190" s="128">
        <v>46003</v>
      </c>
      <c r="B190" s="112" t="s">
        <v>59</v>
      </c>
      <c r="C190" s="113" t="s">
        <v>371</v>
      </c>
      <c r="D190" s="112" t="s">
        <v>353</v>
      </c>
      <c r="E190" s="129">
        <v>1.447916666666667</v>
      </c>
      <c r="F190" s="112" t="s">
        <v>64</v>
      </c>
      <c r="G190" s="114">
        <v>11</v>
      </c>
      <c r="H190" s="121" t="s">
        <v>453</v>
      </c>
    </row>
    <row r="191" spans="1:8" ht="19.8" customHeight="1" x14ac:dyDescent="0.3">
      <c r="A191" s="128">
        <v>46003</v>
      </c>
      <c r="B191" s="112" t="s">
        <v>28</v>
      </c>
      <c r="C191" s="113" t="s">
        <v>375</v>
      </c>
      <c r="D191" s="112" t="s">
        <v>353</v>
      </c>
      <c r="E191" s="129">
        <v>1.756944444444444</v>
      </c>
      <c r="F191" s="112" t="s">
        <v>178</v>
      </c>
      <c r="G191" s="114">
        <v>6</v>
      </c>
      <c r="H191" s="121" t="s">
        <v>460</v>
      </c>
    </row>
    <row r="192" spans="1:8" ht="19.8" customHeight="1" x14ac:dyDescent="0.3">
      <c r="A192" s="128">
        <v>46003</v>
      </c>
      <c r="B192" s="112" t="s">
        <v>43</v>
      </c>
      <c r="C192" s="113" t="s">
        <v>380</v>
      </c>
      <c r="D192" s="112" t="s">
        <v>353</v>
      </c>
      <c r="E192" s="129">
        <v>1.336805555555556</v>
      </c>
      <c r="F192" s="112" t="s">
        <v>45</v>
      </c>
      <c r="G192" s="114">
        <v>9</v>
      </c>
      <c r="H192" s="121" t="s">
        <v>485</v>
      </c>
    </row>
    <row r="193" spans="1:8" ht="19.8" customHeight="1" x14ac:dyDescent="0.3">
      <c r="A193" s="128">
        <v>46003</v>
      </c>
      <c r="B193" s="112" t="s">
        <v>33</v>
      </c>
      <c r="C193" s="113" t="s">
        <v>356</v>
      </c>
      <c r="D193" s="112" t="s">
        <v>353</v>
      </c>
      <c r="E193" s="129">
        <v>1.9722222222222221</v>
      </c>
      <c r="F193" s="112" t="s">
        <v>41</v>
      </c>
      <c r="G193" s="114">
        <v>6</v>
      </c>
      <c r="H193" s="121" t="s">
        <v>482</v>
      </c>
    </row>
    <row r="194" spans="1:8" ht="19.8" customHeight="1" x14ac:dyDescent="0.3">
      <c r="A194" s="128">
        <v>46003</v>
      </c>
      <c r="B194" s="112" t="s">
        <v>43</v>
      </c>
      <c r="C194" s="113" t="s">
        <v>360</v>
      </c>
      <c r="D194" s="112" t="s">
        <v>353</v>
      </c>
      <c r="E194" s="129">
        <v>1.979166666666667</v>
      </c>
      <c r="F194" s="112" t="s">
        <v>45</v>
      </c>
      <c r="G194" s="114">
        <v>9</v>
      </c>
      <c r="H194" s="121" t="s">
        <v>461</v>
      </c>
    </row>
    <row r="195" spans="1:8" ht="19.8" customHeight="1" x14ac:dyDescent="0.3">
      <c r="A195" s="130">
        <v>46003</v>
      </c>
      <c r="B195" s="117" t="s">
        <v>43</v>
      </c>
      <c r="C195" s="118" t="s">
        <v>362</v>
      </c>
      <c r="D195" s="117" t="s">
        <v>353</v>
      </c>
      <c r="E195" s="131">
        <v>1.6736111111111109</v>
      </c>
      <c r="F195" s="117" t="s">
        <v>45</v>
      </c>
      <c r="G195" s="119">
        <v>9</v>
      </c>
      <c r="H195" s="122" t="s">
        <v>462</v>
      </c>
    </row>
    <row r="196" spans="1:8" ht="19.8" customHeight="1" x14ac:dyDescent="0.3">
      <c r="A196" s="146"/>
      <c r="B196" s="147"/>
      <c r="C196" s="147"/>
      <c r="D196" s="147"/>
      <c r="E196" s="147"/>
      <c r="F196" s="148" t="s">
        <v>658</v>
      </c>
      <c r="G196" s="147"/>
      <c r="H196" s="149"/>
    </row>
    <row r="197" spans="1:8" ht="19.8" customHeight="1" x14ac:dyDescent="0.3">
      <c r="A197" s="128">
        <v>46004</v>
      </c>
      <c r="B197" s="112" t="s">
        <v>33</v>
      </c>
      <c r="C197" s="113" t="s">
        <v>364</v>
      </c>
      <c r="D197" s="112" t="s">
        <v>353</v>
      </c>
      <c r="E197" s="129">
        <v>1.336805555555556</v>
      </c>
      <c r="F197" s="112" t="s">
        <v>35</v>
      </c>
      <c r="G197" s="114">
        <v>5</v>
      </c>
      <c r="H197" s="121" t="s">
        <v>486</v>
      </c>
    </row>
    <row r="198" spans="1:8" ht="19.8" customHeight="1" x14ac:dyDescent="0.3">
      <c r="A198" s="128">
        <v>46004</v>
      </c>
      <c r="B198" s="112" t="s">
        <v>76</v>
      </c>
      <c r="C198" s="113" t="s">
        <v>389</v>
      </c>
      <c r="D198" s="112" t="s">
        <v>353</v>
      </c>
      <c r="E198" s="129">
        <v>1.7222222222222221</v>
      </c>
      <c r="F198" s="112" t="s">
        <v>178</v>
      </c>
      <c r="G198" s="114">
        <v>9</v>
      </c>
      <c r="H198" s="121" t="s">
        <v>489</v>
      </c>
    </row>
    <row r="199" spans="1:8" ht="19.8" customHeight="1" x14ac:dyDescent="0.3">
      <c r="A199" s="128">
        <v>46004</v>
      </c>
      <c r="B199" s="112" t="s">
        <v>33</v>
      </c>
      <c r="C199" s="113" t="s">
        <v>356</v>
      </c>
      <c r="D199" s="112" t="s">
        <v>353</v>
      </c>
      <c r="E199" s="129">
        <v>1.9722222222222221</v>
      </c>
      <c r="F199" s="112" t="s">
        <v>35</v>
      </c>
      <c r="G199" s="114">
        <v>4</v>
      </c>
      <c r="H199" s="121" t="s">
        <v>468</v>
      </c>
    </row>
    <row r="200" spans="1:8" ht="19.8" customHeight="1" x14ac:dyDescent="0.3">
      <c r="A200" s="128">
        <v>46004</v>
      </c>
      <c r="B200" s="112" t="s">
        <v>33</v>
      </c>
      <c r="C200" s="113" t="s">
        <v>364</v>
      </c>
      <c r="D200" s="112" t="s">
        <v>353</v>
      </c>
      <c r="E200" s="129">
        <v>1.336805555555556</v>
      </c>
      <c r="F200" s="112" t="s">
        <v>38</v>
      </c>
      <c r="G200" s="114">
        <v>5</v>
      </c>
      <c r="H200" s="121" t="s">
        <v>453</v>
      </c>
    </row>
    <row r="201" spans="1:8" ht="19.8" customHeight="1" x14ac:dyDescent="0.3">
      <c r="A201" s="128">
        <v>46004</v>
      </c>
      <c r="B201" s="112" t="s">
        <v>28</v>
      </c>
      <c r="C201" s="113" t="s">
        <v>386</v>
      </c>
      <c r="D201" s="112" t="s">
        <v>353</v>
      </c>
      <c r="E201" s="129">
        <v>1.694444444444444</v>
      </c>
      <c r="F201" s="112" t="s">
        <v>178</v>
      </c>
      <c r="G201" s="114">
        <v>6</v>
      </c>
      <c r="H201" s="121" t="s">
        <v>460</v>
      </c>
    </row>
    <row r="202" spans="1:8" ht="19.8" customHeight="1" x14ac:dyDescent="0.3">
      <c r="A202" s="128">
        <v>46004</v>
      </c>
      <c r="B202" s="112" t="s">
        <v>43</v>
      </c>
      <c r="C202" s="113" t="s">
        <v>360</v>
      </c>
      <c r="D202" s="112" t="s">
        <v>353</v>
      </c>
      <c r="E202" s="129">
        <v>1.979166666666667</v>
      </c>
      <c r="F202" s="112" t="s">
        <v>45</v>
      </c>
      <c r="G202" s="114">
        <v>9</v>
      </c>
      <c r="H202" s="121" t="s">
        <v>461</v>
      </c>
    </row>
    <row r="203" spans="1:8" ht="19.8" customHeight="1" x14ac:dyDescent="0.3">
      <c r="A203" s="128">
        <v>46004</v>
      </c>
      <c r="B203" s="112" t="s">
        <v>43</v>
      </c>
      <c r="C203" s="113" t="s">
        <v>380</v>
      </c>
      <c r="D203" s="112" t="s">
        <v>353</v>
      </c>
      <c r="E203" s="129">
        <v>1.336805555555556</v>
      </c>
      <c r="F203" s="112" t="s">
        <v>45</v>
      </c>
      <c r="G203" s="114">
        <v>9</v>
      </c>
      <c r="H203" s="121" t="s">
        <v>491</v>
      </c>
    </row>
    <row r="204" spans="1:8" ht="19.8" customHeight="1" x14ac:dyDescent="0.3">
      <c r="A204" s="128">
        <v>46004</v>
      </c>
      <c r="B204" s="112" t="s">
        <v>33</v>
      </c>
      <c r="C204" s="113" t="s">
        <v>356</v>
      </c>
      <c r="D204" s="112" t="s">
        <v>353</v>
      </c>
      <c r="E204" s="129">
        <v>1.9722222222222221</v>
      </c>
      <c r="F204" s="112" t="s">
        <v>38</v>
      </c>
      <c r="G204" s="114">
        <v>4</v>
      </c>
      <c r="H204" s="121" t="s">
        <v>487</v>
      </c>
    </row>
    <row r="205" spans="1:8" ht="19.8" customHeight="1" x14ac:dyDescent="0.3">
      <c r="A205" s="128">
        <v>46004</v>
      </c>
      <c r="B205" s="112" t="s">
        <v>33</v>
      </c>
      <c r="C205" s="113" t="s">
        <v>364</v>
      </c>
      <c r="D205" s="112" t="s">
        <v>353</v>
      </c>
      <c r="E205" s="129">
        <v>1.336805555555556</v>
      </c>
      <c r="F205" s="112" t="s">
        <v>41</v>
      </c>
      <c r="G205" s="114">
        <v>5</v>
      </c>
      <c r="H205" s="121" t="s">
        <v>440</v>
      </c>
    </row>
    <row r="206" spans="1:8" ht="19.8" customHeight="1" x14ac:dyDescent="0.3">
      <c r="A206" s="130">
        <v>46004</v>
      </c>
      <c r="B206" s="117" t="s">
        <v>33</v>
      </c>
      <c r="C206" s="118" t="s">
        <v>356</v>
      </c>
      <c r="D206" s="117" t="s">
        <v>353</v>
      </c>
      <c r="E206" s="131">
        <v>1.9722222222222221</v>
      </c>
      <c r="F206" s="117" t="s">
        <v>41</v>
      </c>
      <c r="G206" s="119">
        <v>4</v>
      </c>
      <c r="H206" s="122" t="s">
        <v>488</v>
      </c>
    </row>
    <row r="207" spans="1:8" ht="19.8" customHeight="1" x14ac:dyDescent="0.3">
      <c r="A207" s="146"/>
      <c r="B207" s="147"/>
      <c r="C207" s="147"/>
      <c r="D207" s="147"/>
      <c r="E207" s="147"/>
      <c r="F207" s="148" t="s">
        <v>658</v>
      </c>
      <c r="G207" s="147"/>
      <c r="H207" s="149"/>
    </row>
    <row r="208" spans="1:8" ht="19.8" customHeight="1" x14ac:dyDescent="0.3">
      <c r="A208" s="128">
        <v>46005</v>
      </c>
      <c r="B208" s="112" t="s">
        <v>102</v>
      </c>
      <c r="C208" s="113" t="s">
        <v>404</v>
      </c>
      <c r="D208" s="112" t="s">
        <v>353</v>
      </c>
      <c r="E208" s="129">
        <v>1.0138888888888891</v>
      </c>
      <c r="F208" s="112" t="s">
        <v>178</v>
      </c>
      <c r="G208" s="114">
        <v>7</v>
      </c>
      <c r="H208" s="121" t="s">
        <v>492</v>
      </c>
    </row>
    <row r="209" spans="1:8" ht="19.8" customHeight="1" x14ac:dyDescent="0.3">
      <c r="A209" s="128">
        <v>46005</v>
      </c>
      <c r="B209" s="112" t="s">
        <v>28</v>
      </c>
      <c r="C209" s="113" t="s">
        <v>354</v>
      </c>
      <c r="D209" s="112" t="s">
        <v>353</v>
      </c>
      <c r="E209" s="129">
        <v>1.756944444444444</v>
      </c>
      <c r="F209" s="112" t="s">
        <v>178</v>
      </c>
      <c r="G209" s="114">
        <v>8</v>
      </c>
      <c r="H209" s="121" t="s">
        <v>460</v>
      </c>
    </row>
    <row r="210" spans="1:8" ht="19.8" customHeight="1" x14ac:dyDescent="0.3">
      <c r="A210" s="128">
        <v>46005</v>
      </c>
      <c r="B210" s="112" t="s">
        <v>43</v>
      </c>
      <c r="C210" s="113" t="s">
        <v>360</v>
      </c>
      <c r="D210" s="112" t="s">
        <v>353</v>
      </c>
      <c r="E210" s="129">
        <v>1.979166666666667</v>
      </c>
      <c r="F210" s="112" t="s">
        <v>45</v>
      </c>
      <c r="G210" s="114">
        <v>9</v>
      </c>
      <c r="H210" s="121" t="s">
        <v>461</v>
      </c>
    </row>
    <row r="211" spans="1:8" ht="19.8" customHeight="1" x14ac:dyDescent="0.3">
      <c r="A211" s="128">
        <v>46005</v>
      </c>
      <c r="B211" s="112" t="s">
        <v>54</v>
      </c>
      <c r="C211" s="113" t="s">
        <v>382</v>
      </c>
      <c r="D211" s="112" t="s">
        <v>353</v>
      </c>
      <c r="E211" s="129">
        <v>1.447916666666667</v>
      </c>
      <c r="F211" s="112" t="s">
        <v>56</v>
      </c>
      <c r="G211" s="114">
        <v>4</v>
      </c>
      <c r="H211" s="121" t="s">
        <v>463</v>
      </c>
    </row>
    <row r="212" spans="1:8" ht="19.8" customHeight="1" x14ac:dyDescent="0.3">
      <c r="A212" s="130">
        <v>46005</v>
      </c>
      <c r="B212" s="117" t="s">
        <v>43</v>
      </c>
      <c r="C212" s="118" t="s">
        <v>362</v>
      </c>
      <c r="D212" s="117" t="s">
        <v>353</v>
      </c>
      <c r="E212" s="131">
        <v>1.6736111111111109</v>
      </c>
      <c r="F212" s="117" t="s">
        <v>45</v>
      </c>
      <c r="G212" s="119">
        <v>9</v>
      </c>
      <c r="H212" s="122" t="s">
        <v>493</v>
      </c>
    </row>
    <row r="213" spans="1:8" ht="19.8" customHeight="1" x14ac:dyDescent="0.3">
      <c r="A213" s="132">
        <v>46006</v>
      </c>
      <c r="B213" s="124" t="s">
        <v>76</v>
      </c>
      <c r="C213" s="125" t="s">
        <v>601</v>
      </c>
      <c r="D213" s="124" t="s">
        <v>600</v>
      </c>
      <c r="E213" s="133">
        <v>1.291666666666667</v>
      </c>
      <c r="F213" s="124"/>
      <c r="G213" s="124"/>
      <c r="H213" s="150" t="s">
        <v>317</v>
      </c>
    </row>
    <row r="214" spans="1:8" ht="19.8" customHeight="1" x14ac:dyDescent="0.3">
      <c r="A214" s="146"/>
      <c r="B214" s="147"/>
      <c r="C214" s="147"/>
      <c r="D214" s="147"/>
      <c r="E214" s="147"/>
      <c r="F214" s="148" t="s">
        <v>658</v>
      </c>
      <c r="G214" s="147"/>
      <c r="H214" s="149"/>
    </row>
    <row r="215" spans="1:8" ht="19.8" customHeight="1" x14ac:dyDescent="0.3">
      <c r="A215" s="128">
        <v>46006</v>
      </c>
      <c r="B215" s="112" t="s">
        <v>43</v>
      </c>
      <c r="C215" s="113" t="s">
        <v>360</v>
      </c>
      <c r="D215" s="112" t="s">
        <v>353</v>
      </c>
      <c r="E215" s="129">
        <v>1.979166666666667</v>
      </c>
      <c r="F215" s="112" t="s">
        <v>45</v>
      </c>
      <c r="G215" s="114">
        <v>9</v>
      </c>
      <c r="H215" s="121" t="s">
        <v>464</v>
      </c>
    </row>
    <row r="216" spans="1:8" ht="19.8" customHeight="1" x14ac:dyDescent="0.3">
      <c r="A216" s="128">
        <v>46006</v>
      </c>
      <c r="B216" s="112" t="s">
        <v>43</v>
      </c>
      <c r="C216" s="113" t="s">
        <v>380</v>
      </c>
      <c r="D216" s="112" t="s">
        <v>353</v>
      </c>
      <c r="E216" s="129">
        <v>1.336805555555556</v>
      </c>
      <c r="F216" s="112" t="s">
        <v>45</v>
      </c>
      <c r="G216" s="114">
        <v>9</v>
      </c>
      <c r="H216" s="121" t="s">
        <v>464</v>
      </c>
    </row>
    <row r="217" spans="1:8" ht="19.8" customHeight="1" x14ac:dyDescent="0.3">
      <c r="A217" s="128">
        <v>46006</v>
      </c>
      <c r="B217" s="112" t="s">
        <v>28</v>
      </c>
      <c r="C217" s="113" t="s">
        <v>375</v>
      </c>
      <c r="D217" s="112" t="s">
        <v>353</v>
      </c>
      <c r="E217" s="129">
        <v>1.756944444444444</v>
      </c>
      <c r="F217" s="112" t="s">
        <v>178</v>
      </c>
      <c r="G217" s="114">
        <v>9</v>
      </c>
      <c r="H217" s="121" t="s">
        <v>447</v>
      </c>
    </row>
    <row r="218" spans="1:8" ht="19.8" customHeight="1" x14ac:dyDescent="0.3">
      <c r="A218" s="128">
        <v>46006</v>
      </c>
      <c r="B218" s="112" t="s">
        <v>43</v>
      </c>
      <c r="C218" s="113" t="s">
        <v>362</v>
      </c>
      <c r="D218" s="112" t="s">
        <v>353</v>
      </c>
      <c r="E218" s="129">
        <v>1.6736111111111109</v>
      </c>
      <c r="F218" s="112" t="s">
        <v>45</v>
      </c>
      <c r="G218" s="114">
        <v>9</v>
      </c>
      <c r="H218" s="121" t="s">
        <v>462</v>
      </c>
    </row>
    <row r="219" spans="1:8" ht="19.8" customHeight="1" x14ac:dyDescent="0.3">
      <c r="A219" s="130">
        <v>46006</v>
      </c>
      <c r="B219" s="117" t="s">
        <v>54</v>
      </c>
      <c r="C219" s="118" t="s">
        <v>382</v>
      </c>
      <c r="D219" s="117" t="s">
        <v>353</v>
      </c>
      <c r="E219" s="131">
        <v>1.447916666666667</v>
      </c>
      <c r="F219" s="117" t="s">
        <v>56</v>
      </c>
      <c r="G219" s="119">
        <v>4</v>
      </c>
      <c r="H219" s="122" t="s">
        <v>475</v>
      </c>
    </row>
    <row r="220" spans="1:8" ht="19.8" customHeight="1" x14ac:dyDescent="0.3">
      <c r="A220" s="146"/>
      <c r="B220" s="147"/>
      <c r="C220" s="147"/>
      <c r="D220" s="147"/>
      <c r="E220" s="147"/>
      <c r="F220" s="148" t="s">
        <v>658</v>
      </c>
      <c r="G220" s="147"/>
      <c r="H220" s="149"/>
    </row>
    <row r="221" spans="1:8" ht="19.8" customHeight="1" x14ac:dyDescent="0.3">
      <c r="A221" s="128">
        <v>46007</v>
      </c>
      <c r="B221" s="112" t="s">
        <v>76</v>
      </c>
      <c r="C221" s="113" t="s">
        <v>389</v>
      </c>
      <c r="D221" s="112" t="s">
        <v>353</v>
      </c>
      <c r="E221" s="129">
        <v>1.069444444444444</v>
      </c>
      <c r="F221" s="112" t="s">
        <v>178</v>
      </c>
      <c r="G221" s="114">
        <v>6</v>
      </c>
      <c r="H221" s="121" t="s">
        <v>483</v>
      </c>
    </row>
    <row r="222" spans="1:8" ht="19.8" customHeight="1" x14ac:dyDescent="0.3">
      <c r="A222" s="128">
        <v>46007</v>
      </c>
      <c r="B222" s="112" t="s">
        <v>102</v>
      </c>
      <c r="C222" s="113" t="s">
        <v>387</v>
      </c>
      <c r="D222" s="112" t="s">
        <v>353</v>
      </c>
      <c r="E222" s="129">
        <v>1.881944444444444</v>
      </c>
      <c r="F222" s="112" t="s">
        <v>178</v>
      </c>
      <c r="G222" s="114">
        <v>7</v>
      </c>
      <c r="H222" s="121" t="s">
        <v>473</v>
      </c>
    </row>
    <row r="223" spans="1:8" ht="19.8" customHeight="1" x14ac:dyDescent="0.3">
      <c r="A223" s="128">
        <v>46007</v>
      </c>
      <c r="B223" s="112" t="s">
        <v>28</v>
      </c>
      <c r="C223" s="113" t="s">
        <v>386</v>
      </c>
      <c r="D223" s="112" t="s">
        <v>353</v>
      </c>
      <c r="E223" s="129">
        <v>1.756944444444444</v>
      </c>
      <c r="F223" s="112" t="s">
        <v>178</v>
      </c>
      <c r="G223" s="114">
        <v>7</v>
      </c>
      <c r="H223" s="121" t="s">
        <v>474</v>
      </c>
    </row>
    <row r="224" spans="1:8" ht="19.8" customHeight="1" x14ac:dyDescent="0.3">
      <c r="A224" s="128">
        <v>46007</v>
      </c>
      <c r="B224" s="112" t="s">
        <v>43</v>
      </c>
      <c r="C224" s="113" t="s">
        <v>380</v>
      </c>
      <c r="D224" s="112" t="s">
        <v>353</v>
      </c>
      <c r="E224" s="129">
        <v>1.336805555555556</v>
      </c>
      <c r="F224" s="112" t="s">
        <v>91</v>
      </c>
      <c r="G224" s="114">
        <v>9</v>
      </c>
      <c r="H224" s="121" t="s">
        <v>495</v>
      </c>
    </row>
    <row r="225" spans="1:8" ht="19.8" customHeight="1" x14ac:dyDescent="0.3">
      <c r="A225" s="128">
        <v>46007</v>
      </c>
      <c r="B225" s="112" t="s">
        <v>43</v>
      </c>
      <c r="C225" s="113" t="s">
        <v>360</v>
      </c>
      <c r="D225" s="112" t="s">
        <v>353</v>
      </c>
      <c r="E225" s="129">
        <v>1.979166666666667</v>
      </c>
      <c r="F225" s="112" t="s">
        <v>45</v>
      </c>
      <c r="G225" s="114">
        <v>9</v>
      </c>
      <c r="H225" s="121" t="s">
        <v>496</v>
      </c>
    </row>
    <row r="226" spans="1:8" ht="19.8" customHeight="1" x14ac:dyDescent="0.3">
      <c r="A226" s="128">
        <v>46007</v>
      </c>
      <c r="B226" s="112" t="s">
        <v>43</v>
      </c>
      <c r="C226" s="113" t="s">
        <v>362</v>
      </c>
      <c r="D226" s="112" t="s">
        <v>353</v>
      </c>
      <c r="E226" s="129">
        <v>1.6736111111111109</v>
      </c>
      <c r="F226" s="112" t="s">
        <v>45</v>
      </c>
      <c r="G226" s="114">
        <v>9</v>
      </c>
      <c r="H226" s="121" t="s">
        <v>497</v>
      </c>
    </row>
    <row r="227" spans="1:8" ht="19.8" customHeight="1" x14ac:dyDescent="0.3">
      <c r="A227" s="130">
        <v>46007</v>
      </c>
      <c r="B227" s="117" t="s">
        <v>54</v>
      </c>
      <c r="C227" s="118" t="s">
        <v>382</v>
      </c>
      <c r="D227" s="117" t="s">
        <v>353</v>
      </c>
      <c r="E227" s="131">
        <v>1.447916666666667</v>
      </c>
      <c r="F227" s="117" t="s">
        <v>56</v>
      </c>
      <c r="G227" s="119">
        <v>4</v>
      </c>
      <c r="H227" s="122" t="s">
        <v>475</v>
      </c>
    </row>
    <row r="228" spans="1:8" ht="19.8" customHeight="1" x14ac:dyDescent="0.3">
      <c r="A228" s="146"/>
      <c r="B228" s="147"/>
      <c r="C228" s="147"/>
      <c r="D228" s="147"/>
      <c r="E228" s="147"/>
      <c r="F228" s="148" t="s">
        <v>658</v>
      </c>
      <c r="G228" s="147"/>
      <c r="H228" s="149"/>
    </row>
    <row r="229" spans="1:8" ht="19.8" customHeight="1" x14ac:dyDescent="0.3">
      <c r="A229" s="128">
        <v>46008</v>
      </c>
      <c r="B229" s="112" t="s">
        <v>28</v>
      </c>
      <c r="C229" s="113" t="s">
        <v>375</v>
      </c>
      <c r="D229" s="112" t="s">
        <v>353</v>
      </c>
      <c r="E229" s="129">
        <v>1.694444444444444</v>
      </c>
      <c r="F229" s="112" t="s">
        <v>178</v>
      </c>
      <c r="G229" s="114">
        <v>9</v>
      </c>
      <c r="H229" s="121" t="s">
        <v>474</v>
      </c>
    </row>
    <row r="230" spans="1:8" ht="19.8" customHeight="1" x14ac:dyDescent="0.3">
      <c r="A230" s="128">
        <v>46008</v>
      </c>
      <c r="B230" s="112" t="s">
        <v>43</v>
      </c>
      <c r="C230" s="113" t="s">
        <v>360</v>
      </c>
      <c r="D230" s="112" t="s">
        <v>353</v>
      </c>
      <c r="E230" s="129">
        <v>1.979166666666667</v>
      </c>
      <c r="F230" s="112" t="s">
        <v>45</v>
      </c>
      <c r="G230" s="114">
        <v>9</v>
      </c>
      <c r="H230" s="121" t="s">
        <v>498</v>
      </c>
    </row>
    <row r="231" spans="1:8" ht="19.8" customHeight="1" x14ac:dyDescent="0.3">
      <c r="A231" s="128">
        <v>46008</v>
      </c>
      <c r="B231" s="112" t="s">
        <v>43</v>
      </c>
      <c r="C231" s="113" t="s">
        <v>380</v>
      </c>
      <c r="D231" s="112" t="s">
        <v>353</v>
      </c>
      <c r="E231" s="129">
        <v>1.336805555555556</v>
      </c>
      <c r="F231" s="112" t="s">
        <v>45</v>
      </c>
      <c r="G231" s="114">
        <v>9</v>
      </c>
      <c r="H231" s="121" t="s">
        <v>498</v>
      </c>
    </row>
    <row r="232" spans="1:8" ht="19.8" customHeight="1" x14ac:dyDescent="0.3">
      <c r="A232" s="128">
        <v>46008</v>
      </c>
      <c r="B232" s="112" t="s">
        <v>43</v>
      </c>
      <c r="C232" s="113" t="s">
        <v>362</v>
      </c>
      <c r="D232" s="112" t="s">
        <v>353</v>
      </c>
      <c r="E232" s="129">
        <v>1.6736111111111109</v>
      </c>
      <c r="F232" s="112" t="s">
        <v>45</v>
      </c>
      <c r="G232" s="114">
        <v>9</v>
      </c>
      <c r="H232" s="121" t="s">
        <v>496</v>
      </c>
    </row>
    <row r="233" spans="1:8" ht="19.8" customHeight="1" x14ac:dyDescent="0.3">
      <c r="A233" s="130">
        <v>46008</v>
      </c>
      <c r="B233" s="117" t="s">
        <v>54</v>
      </c>
      <c r="C233" s="118" t="s">
        <v>382</v>
      </c>
      <c r="D233" s="117" t="s">
        <v>353</v>
      </c>
      <c r="E233" s="131">
        <v>1.447916666666667</v>
      </c>
      <c r="F233" s="117" t="s">
        <v>56</v>
      </c>
      <c r="G233" s="119">
        <v>4</v>
      </c>
      <c r="H233" s="122" t="s">
        <v>475</v>
      </c>
    </row>
    <row r="234" spans="1:8" ht="19.8" customHeight="1" x14ac:dyDescent="0.3">
      <c r="A234" s="146"/>
      <c r="B234" s="147"/>
      <c r="C234" s="147"/>
      <c r="D234" s="147"/>
      <c r="E234" s="147"/>
      <c r="F234" s="148" t="s">
        <v>658</v>
      </c>
      <c r="G234" s="147"/>
      <c r="H234" s="149"/>
    </row>
    <row r="235" spans="1:8" ht="19.8" customHeight="1" x14ac:dyDescent="0.3">
      <c r="A235" s="128">
        <v>46009</v>
      </c>
      <c r="B235" s="112" t="s">
        <v>59</v>
      </c>
      <c r="C235" s="113" t="s">
        <v>371</v>
      </c>
      <c r="D235" s="112" t="s">
        <v>353</v>
      </c>
      <c r="E235" s="129">
        <v>1.447916666666667</v>
      </c>
      <c r="F235" s="112" t="s">
        <v>61</v>
      </c>
      <c r="G235" s="114">
        <v>12</v>
      </c>
      <c r="H235" s="121" t="s">
        <v>466</v>
      </c>
    </row>
    <row r="236" spans="1:8" ht="19.8" customHeight="1" x14ac:dyDescent="0.3">
      <c r="A236" s="128">
        <v>46009</v>
      </c>
      <c r="B236" s="112" t="s">
        <v>33</v>
      </c>
      <c r="C236" s="113" t="s">
        <v>364</v>
      </c>
      <c r="D236" s="112" t="s">
        <v>353</v>
      </c>
      <c r="E236" s="129">
        <v>1.336805555555556</v>
      </c>
      <c r="F236" s="112" t="s">
        <v>35</v>
      </c>
      <c r="G236" s="114">
        <v>6</v>
      </c>
      <c r="H236" s="121" t="s">
        <v>466</v>
      </c>
    </row>
    <row r="237" spans="1:8" ht="19.8" customHeight="1" x14ac:dyDescent="0.3">
      <c r="A237" s="128">
        <v>46009</v>
      </c>
      <c r="B237" s="112" t="s">
        <v>33</v>
      </c>
      <c r="C237" s="113" t="s">
        <v>356</v>
      </c>
      <c r="D237" s="112" t="s">
        <v>353</v>
      </c>
      <c r="E237" s="129">
        <v>1.9722222222222221</v>
      </c>
      <c r="F237" s="112" t="s">
        <v>35</v>
      </c>
      <c r="G237" s="114">
        <v>6</v>
      </c>
      <c r="H237" s="121" t="s">
        <v>467</v>
      </c>
    </row>
    <row r="238" spans="1:8" ht="19.8" customHeight="1" x14ac:dyDescent="0.3">
      <c r="A238" s="128">
        <v>46009</v>
      </c>
      <c r="B238" s="112" t="s">
        <v>76</v>
      </c>
      <c r="C238" s="113" t="s">
        <v>389</v>
      </c>
      <c r="D238" s="112" t="s">
        <v>353</v>
      </c>
      <c r="E238" s="129">
        <v>1.7222222222222221</v>
      </c>
      <c r="F238" s="112" t="s">
        <v>178</v>
      </c>
      <c r="G238" s="114">
        <v>9</v>
      </c>
      <c r="H238" s="121" t="s">
        <v>502</v>
      </c>
    </row>
    <row r="239" spans="1:8" ht="19.8" customHeight="1" x14ac:dyDescent="0.3">
      <c r="A239" s="128">
        <v>46009</v>
      </c>
      <c r="B239" s="112" t="s">
        <v>102</v>
      </c>
      <c r="C239" s="113" t="s">
        <v>387</v>
      </c>
      <c r="D239" s="112" t="s">
        <v>353</v>
      </c>
      <c r="E239" s="129">
        <v>1.7048611111111109</v>
      </c>
      <c r="F239" s="112" t="s">
        <v>178</v>
      </c>
      <c r="G239" s="114">
        <v>4</v>
      </c>
      <c r="H239" s="121" t="s">
        <v>473</v>
      </c>
    </row>
    <row r="240" spans="1:8" ht="19.8" customHeight="1" x14ac:dyDescent="0.3">
      <c r="A240" s="128">
        <v>46009</v>
      </c>
      <c r="B240" s="112" t="s">
        <v>28</v>
      </c>
      <c r="C240" s="113" t="s">
        <v>354</v>
      </c>
      <c r="D240" s="112" t="s">
        <v>353</v>
      </c>
      <c r="E240" s="129">
        <v>1.3611111111111109</v>
      </c>
      <c r="F240" s="112" t="s">
        <v>178</v>
      </c>
      <c r="G240" s="114">
        <v>8</v>
      </c>
      <c r="H240" s="121" t="s">
        <v>504</v>
      </c>
    </row>
    <row r="241" spans="1:8" ht="19.8" customHeight="1" x14ac:dyDescent="0.3">
      <c r="A241" s="128">
        <v>46009</v>
      </c>
      <c r="B241" s="112" t="s">
        <v>28</v>
      </c>
      <c r="C241" s="113" t="s">
        <v>386</v>
      </c>
      <c r="D241" s="112" t="s">
        <v>353</v>
      </c>
      <c r="E241" s="129">
        <v>1.756944444444444</v>
      </c>
      <c r="F241" s="112" t="s">
        <v>178</v>
      </c>
      <c r="G241" s="114">
        <v>1</v>
      </c>
      <c r="H241" s="121" t="s">
        <v>504</v>
      </c>
    </row>
    <row r="242" spans="1:8" ht="19.8" customHeight="1" x14ac:dyDescent="0.3">
      <c r="A242" s="128">
        <v>46009</v>
      </c>
      <c r="B242" s="112" t="s">
        <v>33</v>
      </c>
      <c r="C242" s="113" t="s">
        <v>364</v>
      </c>
      <c r="D242" s="112" t="s">
        <v>353</v>
      </c>
      <c r="E242" s="129">
        <v>1.336805555555556</v>
      </c>
      <c r="F242" s="112" t="s">
        <v>38</v>
      </c>
      <c r="G242" s="114">
        <v>6</v>
      </c>
      <c r="H242" s="121" t="s">
        <v>501</v>
      </c>
    </row>
    <row r="243" spans="1:8" ht="19.8" customHeight="1" x14ac:dyDescent="0.3">
      <c r="A243" s="128">
        <v>46009</v>
      </c>
      <c r="B243" s="112" t="s">
        <v>33</v>
      </c>
      <c r="C243" s="113" t="s">
        <v>356</v>
      </c>
      <c r="D243" s="112" t="s">
        <v>353</v>
      </c>
      <c r="E243" s="129">
        <v>1.9722222222222221</v>
      </c>
      <c r="F243" s="112" t="s">
        <v>38</v>
      </c>
      <c r="G243" s="114">
        <v>6</v>
      </c>
      <c r="H243" s="121" t="s">
        <v>468</v>
      </c>
    </row>
    <row r="244" spans="1:8" ht="19.8" customHeight="1" x14ac:dyDescent="0.3">
      <c r="A244" s="130">
        <v>46009</v>
      </c>
      <c r="B244" s="117" t="s">
        <v>59</v>
      </c>
      <c r="C244" s="118" t="s">
        <v>371</v>
      </c>
      <c r="D244" s="117" t="s">
        <v>353</v>
      </c>
      <c r="E244" s="131">
        <v>1.447916666666667</v>
      </c>
      <c r="F244" s="117" t="s">
        <v>64</v>
      </c>
      <c r="G244" s="119">
        <v>12</v>
      </c>
      <c r="H244" s="122" t="s">
        <v>453</v>
      </c>
    </row>
    <row r="245" spans="1:8" ht="19.8" customHeight="1" x14ac:dyDescent="0.3">
      <c r="A245" s="132">
        <v>46010</v>
      </c>
      <c r="B245" s="124" t="s">
        <v>76</v>
      </c>
      <c r="C245" s="125" t="s">
        <v>601</v>
      </c>
      <c r="D245" s="124" t="s">
        <v>600</v>
      </c>
      <c r="E245" s="133">
        <v>1.072916666666667</v>
      </c>
      <c r="F245" s="124"/>
      <c r="G245" s="124"/>
      <c r="H245" s="150" t="s">
        <v>317</v>
      </c>
    </row>
    <row r="246" spans="1:8" ht="19.8" customHeight="1" x14ac:dyDescent="0.3">
      <c r="A246" s="146"/>
      <c r="B246" s="147"/>
      <c r="C246" s="147"/>
      <c r="D246" s="147"/>
      <c r="E246" s="147"/>
      <c r="F246" s="148" t="s">
        <v>658</v>
      </c>
      <c r="G246" s="147"/>
      <c r="H246" s="149"/>
    </row>
    <row r="247" spans="1:8" ht="19.8" customHeight="1" x14ac:dyDescent="0.3">
      <c r="A247" s="128">
        <v>46010</v>
      </c>
      <c r="B247" s="112" t="s">
        <v>59</v>
      </c>
      <c r="C247" s="113" t="s">
        <v>371</v>
      </c>
      <c r="D247" s="112" t="s">
        <v>353</v>
      </c>
      <c r="E247" s="129">
        <v>1.447916666666667</v>
      </c>
      <c r="F247" s="112" t="s">
        <v>61</v>
      </c>
      <c r="G247" s="114">
        <v>12</v>
      </c>
      <c r="H247" s="121" t="s">
        <v>466</v>
      </c>
    </row>
    <row r="248" spans="1:8" ht="19.8" customHeight="1" x14ac:dyDescent="0.3">
      <c r="A248" s="128">
        <v>46010</v>
      </c>
      <c r="B248" s="112" t="s">
        <v>76</v>
      </c>
      <c r="C248" s="113" t="s">
        <v>389</v>
      </c>
      <c r="D248" s="112" t="s">
        <v>353</v>
      </c>
      <c r="E248" s="129">
        <v>1.381944444444444</v>
      </c>
      <c r="F248" s="112" t="s">
        <v>178</v>
      </c>
      <c r="G248" s="114">
        <v>9</v>
      </c>
      <c r="H248" s="121" t="s">
        <v>502</v>
      </c>
    </row>
    <row r="249" spans="1:8" ht="19.8" customHeight="1" x14ac:dyDescent="0.3">
      <c r="A249" s="128">
        <v>46010</v>
      </c>
      <c r="B249" s="112" t="s">
        <v>33</v>
      </c>
      <c r="C249" s="113" t="s">
        <v>356</v>
      </c>
      <c r="D249" s="112" t="s">
        <v>353</v>
      </c>
      <c r="E249" s="129">
        <v>1.9722222222222221</v>
      </c>
      <c r="F249" s="112" t="s">
        <v>35</v>
      </c>
      <c r="G249" s="114">
        <v>5</v>
      </c>
      <c r="H249" s="121" t="s">
        <v>506</v>
      </c>
    </row>
    <row r="250" spans="1:8" ht="19.8" customHeight="1" x14ac:dyDescent="0.3">
      <c r="A250" s="128">
        <v>46010</v>
      </c>
      <c r="B250" s="112" t="s">
        <v>59</v>
      </c>
      <c r="C250" s="113" t="s">
        <v>371</v>
      </c>
      <c r="D250" s="112" t="s">
        <v>353</v>
      </c>
      <c r="E250" s="129">
        <v>1.447916666666667</v>
      </c>
      <c r="F250" s="112" t="s">
        <v>64</v>
      </c>
      <c r="G250" s="114">
        <v>12</v>
      </c>
      <c r="H250" s="121" t="s">
        <v>453</v>
      </c>
    </row>
    <row r="251" spans="1:8" ht="19.8" customHeight="1" x14ac:dyDescent="0.3">
      <c r="A251" s="128">
        <v>46010</v>
      </c>
      <c r="B251" s="112" t="s">
        <v>28</v>
      </c>
      <c r="C251" s="113" t="s">
        <v>375</v>
      </c>
      <c r="D251" s="112" t="s">
        <v>353</v>
      </c>
      <c r="E251" s="129">
        <v>1.756944444444444</v>
      </c>
      <c r="F251" s="112" t="s">
        <v>178</v>
      </c>
      <c r="G251" s="114">
        <v>5</v>
      </c>
      <c r="H251" s="121" t="s">
        <v>460</v>
      </c>
    </row>
    <row r="252" spans="1:8" ht="19.8" customHeight="1" x14ac:dyDescent="0.3">
      <c r="A252" s="128">
        <v>46010</v>
      </c>
      <c r="B252" s="112" t="s">
        <v>33</v>
      </c>
      <c r="C252" s="113" t="s">
        <v>356</v>
      </c>
      <c r="D252" s="112" t="s">
        <v>353</v>
      </c>
      <c r="E252" s="129">
        <v>1.9722222222222221</v>
      </c>
      <c r="F252" s="112" t="s">
        <v>38</v>
      </c>
      <c r="G252" s="114">
        <v>5</v>
      </c>
      <c r="H252" s="121" t="s">
        <v>482</v>
      </c>
    </row>
    <row r="253" spans="1:8" ht="19.8" customHeight="1" x14ac:dyDescent="0.3">
      <c r="A253" s="128">
        <v>46010</v>
      </c>
      <c r="B253" s="112" t="s">
        <v>43</v>
      </c>
      <c r="C253" s="113" t="s">
        <v>360</v>
      </c>
      <c r="D253" s="112" t="s">
        <v>353</v>
      </c>
      <c r="E253" s="129">
        <v>1.979166666666667</v>
      </c>
      <c r="F253" s="112" t="s">
        <v>45</v>
      </c>
      <c r="G253" s="114">
        <v>9</v>
      </c>
      <c r="H253" s="121" t="s">
        <v>496</v>
      </c>
    </row>
    <row r="254" spans="1:8" ht="19.8" customHeight="1" x14ac:dyDescent="0.3">
      <c r="A254" s="128">
        <v>46010</v>
      </c>
      <c r="B254" s="112" t="s">
        <v>43</v>
      </c>
      <c r="C254" s="113" t="s">
        <v>380</v>
      </c>
      <c r="D254" s="112" t="s">
        <v>353</v>
      </c>
      <c r="E254" s="129">
        <v>1.336805555555556</v>
      </c>
      <c r="F254" s="112" t="s">
        <v>45</v>
      </c>
      <c r="G254" s="114">
        <v>9</v>
      </c>
      <c r="H254" s="121" t="s">
        <v>507</v>
      </c>
    </row>
    <row r="255" spans="1:8" ht="19.8" customHeight="1" x14ac:dyDescent="0.3">
      <c r="A255" s="128">
        <v>46010</v>
      </c>
      <c r="B255" s="112" t="s">
        <v>43</v>
      </c>
      <c r="C255" s="113" t="s">
        <v>362</v>
      </c>
      <c r="D255" s="112" t="s">
        <v>353</v>
      </c>
      <c r="E255" s="129">
        <v>1.6736111111111109</v>
      </c>
      <c r="F255" s="112" t="s">
        <v>45</v>
      </c>
      <c r="G255" s="114">
        <v>9</v>
      </c>
      <c r="H255" s="121" t="s">
        <v>497</v>
      </c>
    </row>
    <row r="256" spans="1:8" ht="19.8" customHeight="1" x14ac:dyDescent="0.3">
      <c r="A256" s="130">
        <v>46010</v>
      </c>
      <c r="B256" s="117" t="s">
        <v>33</v>
      </c>
      <c r="C256" s="118" t="s">
        <v>356</v>
      </c>
      <c r="D256" s="117" t="s">
        <v>353</v>
      </c>
      <c r="E256" s="131">
        <v>1.9722222222222221</v>
      </c>
      <c r="F256" s="117" t="s">
        <v>41</v>
      </c>
      <c r="G256" s="119">
        <v>5</v>
      </c>
      <c r="H256" s="122" t="s">
        <v>436</v>
      </c>
    </row>
    <row r="257" spans="1:8" ht="19.8" customHeight="1" x14ac:dyDescent="0.3">
      <c r="A257" s="146"/>
      <c r="B257" s="147"/>
      <c r="C257" s="147"/>
      <c r="D257" s="147"/>
      <c r="E257" s="147"/>
      <c r="F257" s="148" t="s">
        <v>658</v>
      </c>
      <c r="G257" s="147"/>
      <c r="H257" s="149"/>
    </row>
    <row r="258" spans="1:8" ht="19.8" customHeight="1" x14ac:dyDescent="0.3">
      <c r="A258" s="128">
        <v>46011</v>
      </c>
      <c r="B258" s="112" t="s">
        <v>76</v>
      </c>
      <c r="C258" s="113" t="s">
        <v>389</v>
      </c>
      <c r="D258" s="112" t="s">
        <v>353</v>
      </c>
      <c r="E258" s="129">
        <v>1.7222222222222221</v>
      </c>
      <c r="F258" s="112" t="s">
        <v>178</v>
      </c>
      <c r="G258" s="114">
        <v>6</v>
      </c>
      <c r="H258" s="121" t="s">
        <v>489</v>
      </c>
    </row>
    <row r="259" spans="1:8" ht="19.8" customHeight="1" x14ac:dyDescent="0.3">
      <c r="A259" s="128">
        <v>46011</v>
      </c>
      <c r="B259" s="112" t="s">
        <v>28</v>
      </c>
      <c r="C259" s="113" t="s">
        <v>386</v>
      </c>
      <c r="D259" s="112" t="s">
        <v>353</v>
      </c>
      <c r="E259" s="129">
        <v>1.694444444444444</v>
      </c>
      <c r="F259" s="112" t="s">
        <v>178</v>
      </c>
      <c r="G259" s="114">
        <v>4</v>
      </c>
      <c r="H259" s="121" t="s">
        <v>460</v>
      </c>
    </row>
    <row r="260" spans="1:8" ht="19.8" customHeight="1" x14ac:dyDescent="0.3">
      <c r="A260" s="128">
        <v>46011</v>
      </c>
      <c r="B260" s="112" t="s">
        <v>43</v>
      </c>
      <c r="C260" s="113" t="s">
        <v>380</v>
      </c>
      <c r="D260" s="112" t="s">
        <v>353</v>
      </c>
      <c r="E260" s="129">
        <v>1.336805555555556</v>
      </c>
      <c r="F260" s="112" t="s">
        <v>91</v>
      </c>
      <c r="G260" s="114">
        <v>9</v>
      </c>
      <c r="H260" s="121" t="s">
        <v>495</v>
      </c>
    </row>
    <row r="261" spans="1:8" ht="19.8" customHeight="1" x14ac:dyDescent="0.3">
      <c r="A261" s="128">
        <v>46011</v>
      </c>
      <c r="B261" s="112" t="s">
        <v>43</v>
      </c>
      <c r="C261" s="113" t="s">
        <v>360</v>
      </c>
      <c r="D261" s="112" t="s">
        <v>353</v>
      </c>
      <c r="E261" s="129">
        <v>1.979166666666667</v>
      </c>
      <c r="F261" s="112" t="s">
        <v>45</v>
      </c>
      <c r="G261" s="114">
        <v>9</v>
      </c>
      <c r="H261" s="121" t="s">
        <v>496</v>
      </c>
    </row>
    <row r="262" spans="1:8" ht="19.8" customHeight="1" x14ac:dyDescent="0.3">
      <c r="A262" s="128">
        <v>46011</v>
      </c>
      <c r="B262" s="112" t="s">
        <v>43</v>
      </c>
      <c r="C262" s="113" t="s">
        <v>362</v>
      </c>
      <c r="D262" s="112" t="s">
        <v>353</v>
      </c>
      <c r="E262" s="129">
        <v>1.677083333333333</v>
      </c>
      <c r="F262" s="112" t="s">
        <v>45</v>
      </c>
      <c r="G262" s="114">
        <v>9</v>
      </c>
      <c r="H262" s="121" t="s">
        <v>497</v>
      </c>
    </row>
    <row r="263" spans="1:8" ht="19.8" customHeight="1" x14ac:dyDescent="0.3">
      <c r="A263" s="130">
        <v>46011</v>
      </c>
      <c r="B263" s="117" t="s">
        <v>54</v>
      </c>
      <c r="C263" s="118" t="s">
        <v>382</v>
      </c>
      <c r="D263" s="117" t="s">
        <v>353</v>
      </c>
      <c r="E263" s="131">
        <v>1.447916666666667</v>
      </c>
      <c r="F263" s="117" t="s">
        <v>56</v>
      </c>
      <c r="G263" s="119">
        <v>4</v>
      </c>
      <c r="H263" s="122" t="s">
        <v>510</v>
      </c>
    </row>
    <row r="264" spans="1:8" ht="19.8" customHeight="1" x14ac:dyDescent="0.3">
      <c r="A264" s="146"/>
      <c r="B264" s="147"/>
      <c r="C264" s="147"/>
      <c r="D264" s="147"/>
      <c r="E264" s="147"/>
      <c r="F264" s="148" t="s">
        <v>658</v>
      </c>
      <c r="G264" s="147"/>
      <c r="H264" s="149"/>
    </row>
    <row r="265" spans="1:8" ht="19.8" customHeight="1" x14ac:dyDescent="0.3">
      <c r="A265" s="128">
        <v>46012</v>
      </c>
      <c r="B265" s="112" t="s">
        <v>102</v>
      </c>
      <c r="C265" s="113" t="s">
        <v>402</v>
      </c>
      <c r="D265" s="112" t="s">
        <v>353</v>
      </c>
      <c r="E265" s="129">
        <v>1.9201388888888891</v>
      </c>
      <c r="F265" s="112" t="s">
        <v>178</v>
      </c>
      <c r="G265" s="114">
        <v>6</v>
      </c>
      <c r="H265" s="121" t="s">
        <v>473</v>
      </c>
    </row>
    <row r="266" spans="1:8" ht="19.8" customHeight="1" x14ac:dyDescent="0.3">
      <c r="A266" s="128">
        <v>46012</v>
      </c>
      <c r="B266" s="112" t="s">
        <v>28</v>
      </c>
      <c r="C266" s="113" t="s">
        <v>354</v>
      </c>
      <c r="D266" s="112" t="s">
        <v>353</v>
      </c>
      <c r="E266" s="129">
        <v>1.756944444444444</v>
      </c>
      <c r="F266" s="112" t="s">
        <v>178</v>
      </c>
      <c r="G266" s="114">
        <v>9</v>
      </c>
      <c r="H266" s="121" t="s">
        <v>474</v>
      </c>
    </row>
    <row r="267" spans="1:8" ht="19.8" customHeight="1" x14ac:dyDescent="0.3">
      <c r="A267" s="128">
        <v>46012</v>
      </c>
      <c r="B267" s="112" t="s">
        <v>43</v>
      </c>
      <c r="C267" s="113" t="s">
        <v>360</v>
      </c>
      <c r="D267" s="112" t="s">
        <v>353</v>
      </c>
      <c r="E267" s="129">
        <v>1.979166666666667</v>
      </c>
      <c r="F267" s="112" t="s">
        <v>45</v>
      </c>
      <c r="G267" s="114">
        <v>9</v>
      </c>
      <c r="H267" s="121" t="s">
        <v>498</v>
      </c>
    </row>
    <row r="268" spans="1:8" ht="19.8" customHeight="1" x14ac:dyDescent="0.3">
      <c r="A268" s="128">
        <v>46012</v>
      </c>
      <c r="B268" s="112" t="s">
        <v>43</v>
      </c>
      <c r="C268" s="113" t="s">
        <v>380</v>
      </c>
      <c r="D268" s="112" t="s">
        <v>353</v>
      </c>
      <c r="E268" s="129">
        <v>1.336805555555556</v>
      </c>
      <c r="F268" s="112" t="s">
        <v>45</v>
      </c>
      <c r="G268" s="114">
        <v>9</v>
      </c>
      <c r="H268" s="121" t="s">
        <v>498</v>
      </c>
    </row>
    <row r="269" spans="1:8" ht="19.8" customHeight="1" x14ac:dyDescent="0.3">
      <c r="A269" s="128">
        <v>46012</v>
      </c>
      <c r="B269" s="112" t="s">
        <v>43</v>
      </c>
      <c r="C269" s="113" t="s">
        <v>362</v>
      </c>
      <c r="D269" s="112" t="s">
        <v>353</v>
      </c>
      <c r="E269" s="129">
        <v>1.6736111111111109</v>
      </c>
      <c r="F269" s="112" t="s">
        <v>45</v>
      </c>
      <c r="G269" s="114">
        <v>9</v>
      </c>
      <c r="H269" s="121" t="s">
        <v>497</v>
      </c>
    </row>
    <row r="270" spans="1:8" ht="19.8" customHeight="1" x14ac:dyDescent="0.3">
      <c r="A270" s="130">
        <v>46012</v>
      </c>
      <c r="B270" s="117" t="s">
        <v>54</v>
      </c>
      <c r="C270" s="118" t="s">
        <v>382</v>
      </c>
      <c r="D270" s="117" t="s">
        <v>353</v>
      </c>
      <c r="E270" s="131">
        <v>1.447916666666667</v>
      </c>
      <c r="F270" s="117" t="s">
        <v>56</v>
      </c>
      <c r="G270" s="119">
        <v>4</v>
      </c>
      <c r="H270" s="122" t="s">
        <v>475</v>
      </c>
    </row>
    <row r="271" spans="1:8" ht="19.8" customHeight="1" x14ac:dyDescent="0.3">
      <c r="A271" s="132">
        <v>46013</v>
      </c>
      <c r="B271" s="124" t="s">
        <v>76</v>
      </c>
      <c r="C271" s="125" t="s">
        <v>601</v>
      </c>
      <c r="D271" s="124" t="s">
        <v>600</v>
      </c>
      <c r="E271" s="133">
        <v>1.291666666666667</v>
      </c>
      <c r="F271" s="124"/>
      <c r="G271" s="124"/>
      <c r="H271" s="150" t="s">
        <v>317</v>
      </c>
    </row>
    <row r="272" spans="1:8" ht="19.8" customHeight="1" x14ac:dyDescent="0.3">
      <c r="A272" s="146"/>
      <c r="B272" s="147"/>
      <c r="C272" s="147"/>
      <c r="D272" s="147"/>
      <c r="E272" s="147"/>
      <c r="F272" s="148" t="s">
        <v>658</v>
      </c>
      <c r="G272" s="147"/>
      <c r="H272" s="149"/>
    </row>
    <row r="273" spans="1:8" ht="19.8" customHeight="1" x14ac:dyDescent="0.3">
      <c r="A273" s="128">
        <v>46013</v>
      </c>
      <c r="B273" s="112" t="s">
        <v>59</v>
      </c>
      <c r="C273" s="113" t="s">
        <v>371</v>
      </c>
      <c r="D273" s="112" t="s">
        <v>353</v>
      </c>
      <c r="E273" s="129">
        <v>1.447916666666667</v>
      </c>
      <c r="F273" s="112" t="s">
        <v>61</v>
      </c>
      <c r="G273" s="114">
        <v>4</v>
      </c>
      <c r="H273" s="121" t="s">
        <v>511</v>
      </c>
    </row>
    <row r="274" spans="1:8" ht="19.8" customHeight="1" x14ac:dyDescent="0.3">
      <c r="A274" s="128">
        <v>46013</v>
      </c>
      <c r="B274" s="112" t="s">
        <v>33</v>
      </c>
      <c r="C274" s="113" t="s">
        <v>364</v>
      </c>
      <c r="D274" s="112" t="s">
        <v>353</v>
      </c>
      <c r="E274" s="129">
        <v>1.336805555555556</v>
      </c>
      <c r="F274" s="112" t="s">
        <v>35</v>
      </c>
      <c r="G274" s="114">
        <v>6</v>
      </c>
      <c r="H274" s="121" t="s">
        <v>511</v>
      </c>
    </row>
    <row r="275" spans="1:8" ht="19.8" customHeight="1" x14ac:dyDescent="0.3">
      <c r="A275" s="128">
        <v>46013</v>
      </c>
      <c r="B275" s="112" t="s">
        <v>33</v>
      </c>
      <c r="C275" s="113" t="s">
        <v>364</v>
      </c>
      <c r="D275" s="112" t="s">
        <v>353</v>
      </c>
      <c r="E275" s="129">
        <v>1.336805555555556</v>
      </c>
      <c r="F275" s="112" t="s">
        <v>38</v>
      </c>
      <c r="G275" s="114">
        <v>6</v>
      </c>
      <c r="H275" s="121" t="s">
        <v>513</v>
      </c>
    </row>
    <row r="276" spans="1:8" ht="19.8" customHeight="1" x14ac:dyDescent="0.3">
      <c r="A276" s="128">
        <v>46013</v>
      </c>
      <c r="B276" s="112" t="s">
        <v>33</v>
      </c>
      <c r="C276" s="113" t="s">
        <v>356</v>
      </c>
      <c r="D276" s="112" t="s">
        <v>353</v>
      </c>
      <c r="E276" s="129">
        <v>1.9722222222222221</v>
      </c>
      <c r="F276" s="112" t="s">
        <v>35</v>
      </c>
      <c r="G276" s="114">
        <v>6</v>
      </c>
      <c r="H276" s="121" t="s">
        <v>473</v>
      </c>
    </row>
    <row r="277" spans="1:8" ht="19.8" customHeight="1" x14ac:dyDescent="0.3">
      <c r="A277" s="128">
        <v>46013</v>
      </c>
      <c r="B277" s="112" t="s">
        <v>59</v>
      </c>
      <c r="C277" s="113" t="s">
        <v>371</v>
      </c>
      <c r="D277" s="112" t="s">
        <v>353</v>
      </c>
      <c r="E277" s="129">
        <v>1.447916666666667</v>
      </c>
      <c r="F277" s="112" t="s">
        <v>64</v>
      </c>
      <c r="G277" s="114">
        <v>4</v>
      </c>
      <c r="H277" s="121" t="s">
        <v>512</v>
      </c>
    </row>
    <row r="278" spans="1:8" ht="19.8" customHeight="1" x14ac:dyDescent="0.3">
      <c r="A278" s="128">
        <v>46013</v>
      </c>
      <c r="B278" s="112" t="s">
        <v>33</v>
      </c>
      <c r="C278" s="113" t="s">
        <v>364</v>
      </c>
      <c r="D278" s="112" t="s">
        <v>353</v>
      </c>
      <c r="E278" s="129">
        <v>1.336805555555556</v>
      </c>
      <c r="F278" s="112" t="s">
        <v>41</v>
      </c>
      <c r="G278" s="114">
        <v>6</v>
      </c>
      <c r="H278" s="121" t="s">
        <v>468</v>
      </c>
    </row>
    <row r="279" spans="1:8" ht="19.8" customHeight="1" x14ac:dyDescent="0.3">
      <c r="A279" s="128">
        <v>46013</v>
      </c>
      <c r="B279" s="112" t="s">
        <v>28</v>
      </c>
      <c r="C279" s="113" t="s">
        <v>375</v>
      </c>
      <c r="D279" s="112" t="s">
        <v>353</v>
      </c>
      <c r="E279" s="129">
        <v>1.756944444444444</v>
      </c>
      <c r="F279" s="112" t="s">
        <v>178</v>
      </c>
      <c r="G279" s="114">
        <v>8</v>
      </c>
      <c r="H279" s="121" t="s">
        <v>460</v>
      </c>
    </row>
    <row r="280" spans="1:8" ht="19.8" customHeight="1" x14ac:dyDescent="0.3">
      <c r="A280" s="128">
        <v>46013</v>
      </c>
      <c r="B280" s="112" t="s">
        <v>33</v>
      </c>
      <c r="C280" s="113" t="s">
        <v>356</v>
      </c>
      <c r="D280" s="112" t="s">
        <v>353</v>
      </c>
      <c r="E280" s="129">
        <v>1.9722222222222221</v>
      </c>
      <c r="F280" s="112" t="s">
        <v>38</v>
      </c>
      <c r="G280" s="114">
        <v>6</v>
      </c>
      <c r="H280" s="121" t="s">
        <v>514</v>
      </c>
    </row>
    <row r="281" spans="1:8" ht="19.8" customHeight="1" x14ac:dyDescent="0.3">
      <c r="A281" s="128">
        <v>46013</v>
      </c>
      <c r="B281" s="112" t="s">
        <v>43</v>
      </c>
      <c r="C281" s="113" t="s">
        <v>360</v>
      </c>
      <c r="D281" s="112" t="s">
        <v>353</v>
      </c>
      <c r="E281" s="129">
        <v>1.979166666666667</v>
      </c>
      <c r="F281" s="112" t="s">
        <v>45</v>
      </c>
      <c r="G281" s="114">
        <v>9</v>
      </c>
      <c r="H281" s="121" t="s">
        <v>498</v>
      </c>
    </row>
    <row r="282" spans="1:8" ht="19.8" customHeight="1" x14ac:dyDescent="0.3">
      <c r="A282" s="130">
        <v>46013</v>
      </c>
      <c r="B282" s="117" t="s">
        <v>43</v>
      </c>
      <c r="C282" s="118" t="s">
        <v>380</v>
      </c>
      <c r="D282" s="117" t="s">
        <v>353</v>
      </c>
      <c r="E282" s="131">
        <v>1.336805555555556</v>
      </c>
      <c r="F282" s="117" t="s">
        <v>45</v>
      </c>
      <c r="G282" s="119">
        <v>9</v>
      </c>
      <c r="H282" s="122" t="s">
        <v>498</v>
      </c>
    </row>
    <row r="283" spans="1:8" ht="19.8" customHeight="1" x14ac:dyDescent="0.3">
      <c r="A283" s="146"/>
      <c r="B283" s="147"/>
      <c r="C283" s="147"/>
      <c r="D283" s="147"/>
      <c r="E283" s="147"/>
      <c r="F283" s="148" t="s">
        <v>658</v>
      </c>
      <c r="G283" s="147"/>
      <c r="H283" s="149"/>
    </row>
    <row r="284" spans="1:8" ht="19.8" customHeight="1" x14ac:dyDescent="0.3">
      <c r="A284" s="128">
        <v>46014</v>
      </c>
      <c r="B284" s="112" t="s">
        <v>76</v>
      </c>
      <c r="C284" s="113" t="s">
        <v>389</v>
      </c>
      <c r="D284" s="112" t="s">
        <v>353</v>
      </c>
      <c r="E284" s="129">
        <v>1.069444444444444</v>
      </c>
      <c r="F284" s="112" t="s">
        <v>178</v>
      </c>
      <c r="G284" s="114">
        <v>9</v>
      </c>
      <c r="H284" s="121" t="s">
        <v>502</v>
      </c>
    </row>
    <row r="285" spans="1:8" ht="19.8" customHeight="1" x14ac:dyDescent="0.3">
      <c r="A285" s="128">
        <v>46014</v>
      </c>
      <c r="B285" s="112" t="s">
        <v>102</v>
      </c>
      <c r="C285" s="113" t="s">
        <v>387</v>
      </c>
      <c r="D285" s="112" t="s">
        <v>353</v>
      </c>
      <c r="E285" s="129">
        <v>1.881944444444444</v>
      </c>
      <c r="F285" s="112" t="s">
        <v>178</v>
      </c>
      <c r="G285" s="114">
        <v>7</v>
      </c>
      <c r="H285" s="121" t="s">
        <v>473</v>
      </c>
    </row>
    <row r="286" spans="1:8" ht="19.8" customHeight="1" x14ac:dyDescent="0.3">
      <c r="A286" s="128">
        <v>46014</v>
      </c>
      <c r="B286" s="112" t="s">
        <v>28</v>
      </c>
      <c r="C286" s="113" t="s">
        <v>386</v>
      </c>
      <c r="D286" s="112" t="s">
        <v>353</v>
      </c>
      <c r="E286" s="129">
        <v>1.756944444444444</v>
      </c>
      <c r="F286" s="112" t="s">
        <v>178</v>
      </c>
      <c r="G286" s="114">
        <v>8</v>
      </c>
      <c r="H286" s="121" t="s">
        <v>474</v>
      </c>
    </row>
    <row r="287" spans="1:8" ht="19.8" customHeight="1" x14ac:dyDescent="0.3">
      <c r="A287" s="128">
        <v>46014</v>
      </c>
      <c r="B287" s="112" t="s">
        <v>43</v>
      </c>
      <c r="C287" s="113" t="s">
        <v>360</v>
      </c>
      <c r="D287" s="112" t="s">
        <v>353</v>
      </c>
      <c r="E287" s="129">
        <v>1.979166666666667</v>
      </c>
      <c r="F287" s="112" t="s">
        <v>91</v>
      </c>
      <c r="G287" s="114">
        <v>9</v>
      </c>
      <c r="H287" s="121" t="s">
        <v>495</v>
      </c>
    </row>
    <row r="288" spans="1:8" ht="19.8" customHeight="1" x14ac:dyDescent="0.3">
      <c r="A288" s="128">
        <v>46014</v>
      </c>
      <c r="B288" s="112" t="s">
        <v>43</v>
      </c>
      <c r="C288" s="113" t="s">
        <v>362</v>
      </c>
      <c r="D288" s="112" t="s">
        <v>353</v>
      </c>
      <c r="E288" s="129">
        <v>1.6736111111111109</v>
      </c>
      <c r="F288" s="112" t="s">
        <v>45</v>
      </c>
      <c r="G288" s="114">
        <v>9</v>
      </c>
      <c r="H288" s="121" t="s">
        <v>497</v>
      </c>
    </row>
    <row r="289" spans="1:8" ht="19.8" customHeight="1" x14ac:dyDescent="0.3">
      <c r="A289" s="130">
        <v>46014</v>
      </c>
      <c r="B289" s="117" t="s">
        <v>54</v>
      </c>
      <c r="C289" s="118" t="s">
        <v>382</v>
      </c>
      <c r="D289" s="117" t="s">
        <v>353</v>
      </c>
      <c r="E289" s="131">
        <v>1.447916666666667</v>
      </c>
      <c r="F289" s="117" t="s">
        <v>56</v>
      </c>
      <c r="G289" s="119">
        <v>4</v>
      </c>
      <c r="H289" s="122" t="s">
        <v>475</v>
      </c>
    </row>
    <row r="290" spans="1:8" ht="19.8" customHeight="1" x14ac:dyDescent="0.3">
      <c r="A290" s="146"/>
      <c r="B290" s="147"/>
      <c r="C290" s="147"/>
      <c r="D290" s="147"/>
      <c r="E290" s="147"/>
      <c r="F290" s="148" t="s">
        <v>658</v>
      </c>
      <c r="G290" s="147"/>
      <c r="H290" s="149"/>
    </row>
    <row r="291" spans="1:8" ht="19.8" customHeight="1" x14ac:dyDescent="0.3">
      <c r="A291" s="128">
        <v>46015</v>
      </c>
      <c r="B291" s="112" t="s">
        <v>28</v>
      </c>
      <c r="C291" s="113" t="s">
        <v>375</v>
      </c>
      <c r="D291" s="112" t="s">
        <v>353</v>
      </c>
      <c r="E291" s="129">
        <v>1.694444444444444</v>
      </c>
      <c r="F291" s="112" t="s">
        <v>178</v>
      </c>
      <c r="G291" s="114">
        <v>9</v>
      </c>
      <c r="H291" s="121" t="s">
        <v>474</v>
      </c>
    </row>
    <row r="292" spans="1:8" ht="19.8" customHeight="1" x14ac:dyDescent="0.3">
      <c r="A292" s="128">
        <v>46015</v>
      </c>
      <c r="B292" s="112" t="s">
        <v>43</v>
      </c>
      <c r="C292" s="113" t="s">
        <v>380</v>
      </c>
      <c r="D292" s="112" t="s">
        <v>353</v>
      </c>
      <c r="E292" s="129">
        <v>1.336805555555556</v>
      </c>
      <c r="F292" s="112" t="s">
        <v>91</v>
      </c>
      <c r="G292" s="114">
        <v>9</v>
      </c>
      <c r="H292" s="121" t="s">
        <v>495</v>
      </c>
    </row>
    <row r="293" spans="1:8" ht="19.8" customHeight="1" x14ac:dyDescent="0.3">
      <c r="A293" s="128">
        <v>46015</v>
      </c>
      <c r="B293" s="112" t="s">
        <v>43</v>
      </c>
      <c r="C293" s="113" t="s">
        <v>362</v>
      </c>
      <c r="D293" s="112" t="s">
        <v>353</v>
      </c>
      <c r="E293" s="129">
        <v>1.6736111111111109</v>
      </c>
      <c r="F293" s="112" t="s">
        <v>45</v>
      </c>
      <c r="G293" s="114">
        <v>9</v>
      </c>
      <c r="H293" s="121" t="s">
        <v>496</v>
      </c>
    </row>
    <row r="294" spans="1:8" ht="19.8" customHeight="1" x14ac:dyDescent="0.3">
      <c r="A294" s="128">
        <v>46015</v>
      </c>
      <c r="B294" s="112" t="s">
        <v>43</v>
      </c>
      <c r="C294" s="113" t="s">
        <v>360</v>
      </c>
      <c r="D294" s="112" t="s">
        <v>353</v>
      </c>
      <c r="E294" s="129">
        <v>1.979166666666667</v>
      </c>
      <c r="F294" s="112" t="s">
        <v>45</v>
      </c>
      <c r="G294" s="114">
        <v>9</v>
      </c>
      <c r="H294" s="121" t="s">
        <v>496</v>
      </c>
    </row>
    <row r="295" spans="1:8" ht="19.8" customHeight="1" x14ac:dyDescent="0.3">
      <c r="A295" s="130">
        <v>46015</v>
      </c>
      <c r="B295" s="117" t="s">
        <v>54</v>
      </c>
      <c r="C295" s="118" t="s">
        <v>382</v>
      </c>
      <c r="D295" s="117" t="s">
        <v>353</v>
      </c>
      <c r="E295" s="131">
        <v>1.447916666666667</v>
      </c>
      <c r="F295" s="117" t="s">
        <v>56</v>
      </c>
      <c r="G295" s="119">
        <v>4</v>
      </c>
      <c r="H295" s="122" t="s">
        <v>475</v>
      </c>
    </row>
    <row r="296" spans="1:8" ht="19.8" customHeight="1" x14ac:dyDescent="0.3">
      <c r="A296" s="146"/>
      <c r="B296" s="147"/>
      <c r="C296" s="147"/>
      <c r="D296" s="147"/>
      <c r="E296" s="147"/>
      <c r="F296" s="148" t="s">
        <v>658</v>
      </c>
      <c r="G296" s="147"/>
      <c r="H296" s="149"/>
    </row>
    <row r="297" spans="1:8" ht="19.8" customHeight="1" x14ac:dyDescent="0.3">
      <c r="A297" s="128">
        <v>46016</v>
      </c>
      <c r="B297" s="112" t="s">
        <v>33</v>
      </c>
      <c r="C297" s="113" t="s">
        <v>364</v>
      </c>
      <c r="D297" s="112" t="s">
        <v>353</v>
      </c>
      <c r="E297" s="129">
        <v>1.336805555555556</v>
      </c>
      <c r="F297" s="112" t="s">
        <v>35</v>
      </c>
      <c r="G297" s="114">
        <v>1</v>
      </c>
      <c r="H297" s="121" t="s">
        <v>511</v>
      </c>
    </row>
    <row r="298" spans="1:8" ht="19.8" customHeight="1" x14ac:dyDescent="0.3">
      <c r="A298" s="128">
        <v>46016</v>
      </c>
      <c r="B298" s="112" t="s">
        <v>59</v>
      </c>
      <c r="C298" s="113" t="s">
        <v>371</v>
      </c>
      <c r="D298" s="112" t="s">
        <v>353</v>
      </c>
      <c r="E298" s="129">
        <v>1.447916666666667</v>
      </c>
      <c r="F298" s="112" t="s">
        <v>61</v>
      </c>
      <c r="G298" s="114">
        <v>10</v>
      </c>
      <c r="H298" s="121" t="s">
        <v>517</v>
      </c>
    </row>
    <row r="299" spans="1:8" ht="19.8" customHeight="1" x14ac:dyDescent="0.3">
      <c r="A299" s="128">
        <v>46016</v>
      </c>
      <c r="B299" s="112" t="s">
        <v>33</v>
      </c>
      <c r="C299" s="113" t="s">
        <v>356</v>
      </c>
      <c r="D299" s="112" t="s">
        <v>353</v>
      </c>
      <c r="E299" s="129">
        <v>1.9722222222222221</v>
      </c>
      <c r="F299" s="112" t="s">
        <v>35</v>
      </c>
      <c r="G299" s="114">
        <v>6</v>
      </c>
      <c r="H299" s="121" t="s">
        <v>517</v>
      </c>
    </row>
    <row r="300" spans="1:8" ht="19.8" customHeight="1" x14ac:dyDescent="0.3">
      <c r="A300" s="128">
        <v>46016</v>
      </c>
      <c r="B300" s="112" t="s">
        <v>33</v>
      </c>
      <c r="C300" s="113" t="s">
        <v>364</v>
      </c>
      <c r="D300" s="112" t="s">
        <v>353</v>
      </c>
      <c r="E300" s="129">
        <v>1.336805555555556</v>
      </c>
      <c r="F300" s="112" t="s">
        <v>38</v>
      </c>
      <c r="G300" s="114">
        <v>1</v>
      </c>
      <c r="H300" s="121" t="s">
        <v>513</v>
      </c>
    </row>
    <row r="301" spans="1:8" ht="19.8" customHeight="1" x14ac:dyDescent="0.3">
      <c r="A301" s="128">
        <v>46016</v>
      </c>
      <c r="B301" s="112" t="s">
        <v>76</v>
      </c>
      <c r="C301" s="113" t="s">
        <v>389</v>
      </c>
      <c r="D301" s="112" t="s">
        <v>353</v>
      </c>
      <c r="E301" s="129">
        <v>1.7222222222222221</v>
      </c>
      <c r="F301" s="112" t="s">
        <v>178</v>
      </c>
      <c r="G301" s="114">
        <v>9</v>
      </c>
      <c r="H301" s="121" t="s">
        <v>470</v>
      </c>
    </row>
    <row r="302" spans="1:8" ht="19.8" customHeight="1" x14ac:dyDescent="0.3">
      <c r="A302" s="128">
        <v>46016</v>
      </c>
      <c r="B302" s="112" t="s">
        <v>33</v>
      </c>
      <c r="C302" s="113" t="s">
        <v>356</v>
      </c>
      <c r="D302" s="112" t="s">
        <v>353</v>
      </c>
      <c r="E302" s="129">
        <v>1.9722222222222221</v>
      </c>
      <c r="F302" s="112" t="s">
        <v>38</v>
      </c>
      <c r="G302" s="114">
        <v>6</v>
      </c>
      <c r="H302" s="121" t="s">
        <v>473</v>
      </c>
    </row>
    <row r="303" spans="1:8" ht="19.8" customHeight="1" x14ac:dyDescent="0.3">
      <c r="A303" s="128">
        <v>46016</v>
      </c>
      <c r="B303" s="112" t="s">
        <v>102</v>
      </c>
      <c r="C303" s="113" t="s">
        <v>387</v>
      </c>
      <c r="D303" s="112" t="s">
        <v>353</v>
      </c>
      <c r="E303" s="129">
        <v>1.680555555555556</v>
      </c>
      <c r="F303" s="112" t="s">
        <v>178</v>
      </c>
      <c r="G303" s="114">
        <v>6</v>
      </c>
      <c r="H303" s="121" t="s">
        <v>473</v>
      </c>
    </row>
    <row r="304" spans="1:8" ht="19.8" customHeight="1" x14ac:dyDescent="0.3">
      <c r="A304" s="128">
        <v>46016</v>
      </c>
      <c r="B304" s="112" t="s">
        <v>28</v>
      </c>
      <c r="C304" s="113" t="s">
        <v>354</v>
      </c>
      <c r="D304" s="112" t="s">
        <v>353</v>
      </c>
      <c r="E304" s="129">
        <v>1.3611111111111109</v>
      </c>
      <c r="F304" s="112" t="s">
        <v>178</v>
      </c>
      <c r="G304" s="114">
        <v>9</v>
      </c>
      <c r="H304" s="121" t="s">
        <v>474</v>
      </c>
    </row>
    <row r="305" spans="1:8" ht="19.8" customHeight="1" x14ac:dyDescent="0.3">
      <c r="A305" s="128">
        <v>46016</v>
      </c>
      <c r="B305" s="112" t="s">
        <v>28</v>
      </c>
      <c r="C305" s="113" t="s">
        <v>386</v>
      </c>
      <c r="D305" s="112" t="s">
        <v>353</v>
      </c>
      <c r="E305" s="129">
        <v>1.756944444444444</v>
      </c>
      <c r="F305" s="112" t="s">
        <v>178</v>
      </c>
      <c r="G305" s="114">
        <v>8</v>
      </c>
      <c r="H305" s="121" t="s">
        <v>474</v>
      </c>
    </row>
    <row r="306" spans="1:8" ht="19.8" customHeight="1" x14ac:dyDescent="0.3">
      <c r="A306" s="130">
        <v>46016</v>
      </c>
      <c r="B306" s="117" t="s">
        <v>59</v>
      </c>
      <c r="C306" s="118" t="s">
        <v>371</v>
      </c>
      <c r="D306" s="117" t="s">
        <v>353</v>
      </c>
      <c r="E306" s="131">
        <v>1.447916666666667</v>
      </c>
      <c r="F306" s="117" t="s">
        <v>64</v>
      </c>
      <c r="G306" s="119">
        <v>10</v>
      </c>
      <c r="H306" s="122" t="s">
        <v>481</v>
      </c>
    </row>
    <row r="307" spans="1:8" ht="19.8" customHeight="1" x14ac:dyDescent="0.3">
      <c r="A307" s="132">
        <v>46017</v>
      </c>
      <c r="B307" s="124" t="s">
        <v>76</v>
      </c>
      <c r="C307" s="125" t="s">
        <v>601</v>
      </c>
      <c r="D307" s="124" t="s">
        <v>600</v>
      </c>
      <c r="E307" s="133">
        <v>1.072916666666667</v>
      </c>
      <c r="F307" s="124"/>
      <c r="G307" s="124"/>
      <c r="H307" s="150" t="s">
        <v>317</v>
      </c>
    </row>
    <row r="308" spans="1:8" ht="19.8" customHeight="1" x14ac:dyDescent="0.3">
      <c r="A308" s="146"/>
      <c r="B308" s="147"/>
      <c r="C308" s="147"/>
      <c r="D308" s="147"/>
      <c r="E308" s="147"/>
      <c r="F308" s="148" t="s">
        <v>658</v>
      </c>
      <c r="G308" s="147"/>
      <c r="H308" s="149"/>
    </row>
    <row r="309" spans="1:8" ht="19.8" customHeight="1" x14ac:dyDescent="0.3">
      <c r="A309" s="128">
        <v>46017</v>
      </c>
      <c r="B309" s="112" t="s">
        <v>76</v>
      </c>
      <c r="C309" s="113" t="s">
        <v>389</v>
      </c>
      <c r="D309" s="112" t="s">
        <v>353</v>
      </c>
      <c r="E309" s="129">
        <v>1.381944444444444</v>
      </c>
      <c r="F309" s="112" t="s">
        <v>178</v>
      </c>
      <c r="G309" s="114">
        <v>8</v>
      </c>
      <c r="H309" s="121" t="s">
        <v>521</v>
      </c>
    </row>
    <row r="310" spans="1:8" ht="19.8" customHeight="1" x14ac:dyDescent="0.3">
      <c r="A310" s="128">
        <v>46017</v>
      </c>
      <c r="B310" s="112" t="s">
        <v>102</v>
      </c>
      <c r="C310" s="113" t="s">
        <v>404</v>
      </c>
      <c r="D310" s="112" t="s">
        <v>353</v>
      </c>
      <c r="E310" s="129">
        <v>1.0138888888888891</v>
      </c>
      <c r="F310" s="112" t="s">
        <v>178</v>
      </c>
      <c r="G310" s="114">
        <v>5</v>
      </c>
      <c r="H310" s="121" t="s">
        <v>473</v>
      </c>
    </row>
    <row r="311" spans="1:8" ht="19.8" customHeight="1" x14ac:dyDescent="0.3">
      <c r="A311" s="128">
        <v>46017</v>
      </c>
      <c r="B311" s="112" t="s">
        <v>28</v>
      </c>
      <c r="C311" s="113" t="s">
        <v>375</v>
      </c>
      <c r="D311" s="112" t="s">
        <v>353</v>
      </c>
      <c r="E311" s="129">
        <v>1.756944444444444</v>
      </c>
      <c r="F311" s="112" t="s">
        <v>178</v>
      </c>
      <c r="G311" s="114">
        <v>7</v>
      </c>
      <c r="H311" s="121" t="s">
        <v>474</v>
      </c>
    </row>
    <row r="312" spans="1:8" ht="19.8" customHeight="1" x14ac:dyDescent="0.3">
      <c r="A312" s="128">
        <v>46017</v>
      </c>
      <c r="B312" s="112" t="s">
        <v>43</v>
      </c>
      <c r="C312" s="113" t="s">
        <v>380</v>
      </c>
      <c r="D312" s="112" t="s">
        <v>353</v>
      </c>
      <c r="E312" s="129">
        <v>1.336805555555556</v>
      </c>
      <c r="F312" s="112" t="s">
        <v>91</v>
      </c>
      <c r="G312" s="114">
        <v>9</v>
      </c>
      <c r="H312" s="121" t="s">
        <v>524</v>
      </c>
    </row>
    <row r="313" spans="1:8" ht="19.8" customHeight="1" x14ac:dyDescent="0.3">
      <c r="A313" s="128">
        <v>46017</v>
      </c>
      <c r="B313" s="112" t="s">
        <v>43</v>
      </c>
      <c r="C313" s="113" t="s">
        <v>360</v>
      </c>
      <c r="D313" s="112" t="s">
        <v>353</v>
      </c>
      <c r="E313" s="129">
        <v>1.979166666666667</v>
      </c>
      <c r="F313" s="112" t="s">
        <v>45</v>
      </c>
      <c r="G313" s="114">
        <v>9</v>
      </c>
      <c r="H313" s="121" t="s">
        <v>498</v>
      </c>
    </row>
    <row r="314" spans="1:8" ht="19.8" customHeight="1" x14ac:dyDescent="0.3">
      <c r="A314" s="128">
        <v>46017</v>
      </c>
      <c r="B314" s="112" t="s">
        <v>43</v>
      </c>
      <c r="C314" s="113" t="s">
        <v>362</v>
      </c>
      <c r="D314" s="112" t="s">
        <v>353</v>
      </c>
      <c r="E314" s="129">
        <v>1.6736111111111109</v>
      </c>
      <c r="F314" s="112" t="s">
        <v>45</v>
      </c>
      <c r="G314" s="114">
        <v>9</v>
      </c>
      <c r="H314" s="121" t="s">
        <v>497</v>
      </c>
    </row>
    <row r="315" spans="1:8" ht="19.8" customHeight="1" x14ac:dyDescent="0.3">
      <c r="A315" s="130">
        <v>46017</v>
      </c>
      <c r="B315" s="117" t="s">
        <v>54</v>
      </c>
      <c r="C315" s="118" t="s">
        <v>382</v>
      </c>
      <c r="D315" s="117" t="s">
        <v>353</v>
      </c>
      <c r="E315" s="131">
        <v>1.447916666666667</v>
      </c>
      <c r="F315" s="117" t="s">
        <v>56</v>
      </c>
      <c r="G315" s="119">
        <v>4</v>
      </c>
      <c r="H315" s="122" t="s">
        <v>446</v>
      </c>
    </row>
    <row r="316" spans="1:8" ht="19.8" customHeight="1" x14ac:dyDescent="0.3">
      <c r="A316" s="146"/>
      <c r="B316" s="147"/>
      <c r="C316" s="147"/>
      <c r="D316" s="147"/>
      <c r="E316" s="147"/>
      <c r="F316" s="148" t="s">
        <v>658</v>
      </c>
      <c r="G316" s="147"/>
      <c r="H316" s="149"/>
    </row>
    <row r="317" spans="1:8" ht="19.8" customHeight="1" x14ac:dyDescent="0.3">
      <c r="A317" s="128">
        <v>46018</v>
      </c>
      <c r="B317" s="112" t="s">
        <v>33</v>
      </c>
      <c r="C317" s="113" t="s">
        <v>364</v>
      </c>
      <c r="D317" s="112" t="s">
        <v>353</v>
      </c>
      <c r="E317" s="129">
        <v>1.336805555555556</v>
      </c>
      <c r="F317" s="112" t="s">
        <v>35</v>
      </c>
      <c r="G317" s="114">
        <v>6</v>
      </c>
      <c r="H317" s="121" t="s">
        <v>517</v>
      </c>
    </row>
    <row r="318" spans="1:8" ht="19.8" customHeight="1" x14ac:dyDescent="0.3">
      <c r="A318" s="128">
        <v>46018</v>
      </c>
      <c r="B318" s="112" t="s">
        <v>76</v>
      </c>
      <c r="C318" s="113" t="s">
        <v>389</v>
      </c>
      <c r="D318" s="112" t="s">
        <v>353</v>
      </c>
      <c r="E318" s="129">
        <v>1.7222222222222221</v>
      </c>
      <c r="F318" s="112" t="s">
        <v>178</v>
      </c>
      <c r="G318" s="114">
        <v>9</v>
      </c>
      <c r="H318" s="121" t="s">
        <v>483</v>
      </c>
    </row>
    <row r="319" spans="1:8" ht="19.8" customHeight="1" x14ac:dyDescent="0.3">
      <c r="A319" s="128">
        <v>46018</v>
      </c>
      <c r="B319" s="112" t="s">
        <v>33</v>
      </c>
      <c r="C319" s="113" t="s">
        <v>356</v>
      </c>
      <c r="D319" s="112" t="s">
        <v>353</v>
      </c>
      <c r="E319" s="129">
        <v>1.9722222222222221</v>
      </c>
      <c r="F319" s="112" t="s">
        <v>35</v>
      </c>
      <c r="G319" s="114">
        <v>4</v>
      </c>
      <c r="H319" s="121" t="s">
        <v>467</v>
      </c>
    </row>
    <row r="320" spans="1:8" ht="19.8" customHeight="1" x14ac:dyDescent="0.3">
      <c r="A320" s="128">
        <v>46018</v>
      </c>
      <c r="B320" s="112" t="s">
        <v>59</v>
      </c>
      <c r="C320" s="113" t="s">
        <v>371</v>
      </c>
      <c r="D320" s="112" t="s">
        <v>353</v>
      </c>
      <c r="E320" s="129">
        <v>1.447916666666667</v>
      </c>
      <c r="F320" s="112" t="s">
        <v>61</v>
      </c>
      <c r="G320" s="114">
        <v>13</v>
      </c>
      <c r="H320" s="121" t="s">
        <v>528</v>
      </c>
    </row>
    <row r="321" spans="1:8" ht="19.8" customHeight="1" x14ac:dyDescent="0.3">
      <c r="A321" s="128">
        <v>46018</v>
      </c>
      <c r="B321" s="112" t="s">
        <v>33</v>
      </c>
      <c r="C321" s="113" t="s">
        <v>364</v>
      </c>
      <c r="D321" s="112" t="s">
        <v>353</v>
      </c>
      <c r="E321" s="129">
        <v>1.336805555555556</v>
      </c>
      <c r="F321" s="112" t="s">
        <v>38</v>
      </c>
      <c r="G321" s="114">
        <v>6</v>
      </c>
      <c r="H321" s="121" t="s">
        <v>473</v>
      </c>
    </row>
    <row r="322" spans="1:8" ht="19.8" customHeight="1" x14ac:dyDescent="0.3">
      <c r="A322" s="128">
        <v>46018</v>
      </c>
      <c r="B322" s="112" t="s">
        <v>120</v>
      </c>
      <c r="C322" s="113" t="s">
        <v>425</v>
      </c>
      <c r="D322" s="112" t="s">
        <v>353</v>
      </c>
      <c r="E322" s="129">
        <v>1.7847222222222221</v>
      </c>
      <c r="F322" s="112" t="s">
        <v>122</v>
      </c>
      <c r="G322" s="114">
        <v>9</v>
      </c>
      <c r="H322" s="121" t="s">
        <v>530</v>
      </c>
    </row>
    <row r="323" spans="1:8" ht="19.8" customHeight="1" x14ac:dyDescent="0.3">
      <c r="A323" s="128">
        <v>46018</v>
      </c>
      <c r="B323" s="112" t="s">
        <v>28</v>
      </c>
      <c r="C323" s="113" t="s">
        <v>386</v>
      </c>
      <c r="D323" s="112" t="s">
        <v>353</v>
      </c>
      <c r="E323" s="129">
        <v>1.694444444444444</v>
      </c>
      <c r="F323" s="112" t="s">
        <v>178</v>
      </c>
      <c r="G323" s="114">
        <v>7</v>
      </c>
      <c r="H323" s="121" t="s">
        <v>474</v>
      </c>
    </row>
    <row r="324" spans="1:8" ht="19.8" customHeight="1" x14ac:dyDescent="0.3">
      <c r="A324" s="128">
        <v>46018</v>
      </c>
      <c r="B324" s="112" t="s">
        <v>33</v>
      </c>
      <c r="C324" s="113" t="s">
        <v>356</v>
      </c>
      <c r="D324" s="112" t="s">
        <v>353</v>
      </c>
      <c r="E324" s="129">
        <v>1.9722222222222221</v>
      </c>
      <c r="F324" s="112" t="s">
        <v>38</v>
      </c>
      <c r="G324" s="114">
        <v>4</v>
      </c>
      <c r="H324" s="121" t="s">
        <v>468</v>
      </c>
    </row>
    <row r="325" spans="1:8" ht="19.8" customHeight="1" x14ac:dyDescent="0.3">
      <c r="A325" s="128">
        <v>46018</v>
      </c>
      <c r="B325" s="112" t="s">
        <v>33</v>
      </c>
      <c r="C325" s="113" t="s">
        <v>364</v>
      </c>
      <c r="D325" s="112" t="s">
        <v>353</v>
      </c>
      <c r="E325" s="129">
        <v>1.336805555555556</v>
      </c>
      <c r="F325" s="112" t="s">
        <v>41</v>
      </c>
      <c r="G325" s="114">
        <v>6</v>
      </c>
      <c r="H325" s="121" t="s">
        <v>518</v>
      </c>
    </row>
    <row r="326" spans="1:8" ht="19.8" customHeight="1" x14ac:dyDescent="0.3">
      <c r="A326" s="130">
        <v>46018</v>
      </c>
      <c r="B326" s="117" t="s">
        <v>43</v>
      </c>
      <c r="C326" s="118" t="s">
        <v>380</v>
      </c>
      <c r="D326" s="117" t="s">
        <v>353</v>
      </c>
      <c r="E326" s="131">
        <v>1.336805555555556</v>
      </c>
      <c r="F326" s="117" t="s">
        <v>91</v>
      </c>
      <c r="G326" s="119">
        <v>9</v>
      </c>
      <c r="H326" s="122" t="s">
        <v>495</v>
      </c>
    </row>
    <row r="327" spans="1:8" ht="19.8" customHeight="1" x14ac:dyDescent="0.3">
      <c r="A327" s="146"/>
      <c r="B327" s="147"/>
      <c r="C327" s="147"/>
      <c r="D327" s="147"/>
      <c r="E327" s="147"/>
      <c r="F327" s="148" t="s">
        <v>658</v>
      </c>
      <c r="G327" s="147"/>
      <c r="H327" s="149"/>
    </row>
    <row r="328" spans="1:8" ht="19.8" customHeight="1" x14ac:dyDescent="0.3">
      <c r="A328" s="128">
        <v>46019</v>
      </c>
      <c r="B328" s="112" t="s">
        <v>102</v>
      </c>
      <c r="C328" s="113" t="s">
        <v>402</v>
      </c>
      <c r="D328" s="112" t="s">
        <v>353</v>
      </c>
      <c r="E328" s="129">
        <v>1.9201388888888891</v>
      </c>
      <c r="F328" s="112" t="s">
        <v>178</v>
      </c>
      <c r="G328" s="114">
        <v>4</v>
      </c>
      <c r="H328" s="121" t="s">
        <v>533</v>
      </c>
    </row>
    <row r="329" spans="1:8" ht="19.8" customHeight="1" x14ac:dyDescent="0.3">
      <c r="A329" s="128">
        <v>46019</v>
      </c>
      <c r="B329" s="112" t="s">
        <v>28</v>
      </c>
      <c r="C329" s="113" t="s">
        <v>354</v>
      </c>
      <c r="D329" s="112" t="s">
        <v>353</v>
      </c>
      <c r="E329" s="129">
        <v>1.756944444444444</v>
      </c>
      <c r="F329" s="112" t="s">
        <v>178</v>
      </c>
      <c r="G329" s="114">
        <v>8</v>
      </c>
      <c r="H329" s="121" t="s">
        <v>474</v>
      </c>
    </row>
    <row r="330" spans="1:8" ht="19.8" customHeight="1" x14ac:dyDescent="0.3">
      <c r="A330" s="128">
        <v>46019</v>
      </c>
      <c r="B330" s="112" t="s">
        <v>43</v>
      </c>
      <c r="C330" s="113" t="s">
        <v>360</v>
      </c>
      <c r="D330" s="112" t="s">
        <v>353</v>
      </c>
      <c r="E330" s="129">
        <v>1.979166666666667</v>
      </c>
      <c r="F330" s="112" t="s">
        <v>91</v>
      </c>
      <c r="G330" s="114">
        <v>9</v>
      </c>
      <c r="H330" s="121" t="s">
        <v>495</v>
      </c>
    </row>
    <row r="331" spans="1:8" ht="19.8" customHeight="1" x14ac:dyDescent="0.3">
      <c r="A331" s="128">
        <v>46019</v>
      </c>
      <c r="B331" s="112" t="s">
        <v>43</v>
      </c>
      <c r="C331" s="113" t="s">
        <v>380</v>
      </c>
      <c r="D331" s="112" t="s">
        <v>353</v>
      </c>
      <c r="E331" s="129">
        <v>1.336805555555556</v>
      </c>
      <c r="F331" s="112" t="s">
        <v>91</v>
      </c>
      <c r="G331" s="114">
        <v>9</v>
      </c>
      <c r="H331" s="121" t="s">
        <v>495</v>
      </c>
    </row>
    <row r="332" spans="1:8" ht="19.8" customHeight="1" x14ac:dyDescent="0.3">
      <c r="A332" s="128">
        <v>46019</v>
      </c>
      <c r="B332" s="112" t="s">
        <v>43</v>
      </c>
      <c r="C332" s="113" t="s">
        <v>362</v>
      </c>
      <c r="D332" s="112" t="s">
        <v>353</v>
      </c>
      <c r="E332" s="129">
        <v>1.6736111111111109</v>
      </c>
      <c r="F332" s="112" t="s">
        <v>45</v>
      </c>
      <c r="G332" s="114">
        <v>9</v>
      </c>
      <c r="H332" s="121" t="s">
        <v>496</v>
      </c>
    </row>
    <row r="333" spans="1:8" ht="19.8" customHeight="1" x14ac:dyDescent="0.3">
      <c r="A333" s="130">
        <v>46019</v>
      </c>
      <c r="B333" s="117" t="s">
        <v>54</v>
      </c>
      <c r="C333" s="118" t="s">
        <v>382</v>
      </c>
      <c r="D333" s="117" t="s">
        <v>353</v>
      </c>
      <c r="E333" s="131">
        <v>1.447916666666667</v>
      </c>
      <c r="F333" s="117" t="s">
        <v>56</v>
      </c>
      <c r="G333" s="119">
        <v>4</v>
      </c>
      <c r="H333" s="122" t="s">
        <v>475</v>
      </c>
    </row>
    <row r="334" spans="1:8" ht="19.8" customHeight="1" x14ac:dyDescent="0.3">
      <c r="A334" s="163">
        <v>46020</v>
      </c>
      <c r="B334" s="164" t="s">
        <v>76</v>
      </c>
      <c r="C334" s="165" t="s">
        <v>601</v>
      </c>
      <c r="D334" s="164" t="s">
        <v>600</v>
      </c>
      <c r="E334" s="166">
        <v>1.291666666666667</v>
      </c>
      <c r="F334" s="164"/>
      <c r="G334" s="164"/>
      <c r="H334" s="167" t="s">
        <v>317</v>
      </c>
    </row>
    <row r="335" spans="1:8" ht="19.8" customHeight="1" x14ac:dyDescent="0.3">
      <c r="A335" s="146"/>
      <c r="B335" s="147"/>
      <c r="C335" s="147"/>
      <c r="D335" s="147"/>
      <c r="E335" s="147"/>
      <c r="F335" s="148" t="s">
        <v>658</v>
      </c>
      <c r="G335" s="147"/>
      <c r="H335" s="149"/>
    </row>
    <row r="336" spans="1:8" ht="19.8" customHeight="1" x14ac:dyDescent="0.3">
      <c r="A336" s="128">
        <v>46021</v>
      </c>
      <c r="B336" s="112" t="s">
        <v>102</v>
      </c>
      <c r="C336" s="113" t="s">
        <v>387</v>
      </c>
      <c r="D336" s="112" t="s">
        <v>353</v>
      </c>
      <c r="E336" s="129">
        <v>1.881944444444444</v>
      </c>
      <c r="F336" s="112" t="s">
        <v>178</v>
      </c>
      <c r="G336" s="114">
        <v>1</v>
      </c>
      <c r="H336" s="121" t="s">
        <v>533</v>
      </c>
    </row>
    <row r="337" spans="1:8" ht="19.8" customHeight="1" x14ac:dyDescent="0.3">
      <c r="A337" s="128">
        <v>46021</v>
      </c>
      <c r="B337" s="112" t="s">
        <v>76</v>
      </c>
      <c r="C337" s="113" t="s">
        <v>389</v>
      </c>
      <c r="D337" s="112" t="s">
        <v>353</v>
      </c>
      <c r="E337" s="129">
        <v>1.069444444444444</v>
      </c>
      <c r="F337" s="112" t="s">
        <v>178</v>
      </c>
      <c r="G337" s="114">
        <v>8</v>
      </c>
      <c r="H337" s="121" t="s">
        <v>521</v>
      </c>
    </row>
    <row r="338" spans="1:8" ht="19.8" customHeight="1" x14ac:dyDescent="0.3">
      <c r="A338" s="128">
        <v>46021</v>
      </c>
      <c r="B338" s="112" t="s">
        <v>28</v>
      </c>
      <c r="C338" s="113" t="s">
        <v>386</v>
      </c>
      <c r="D338" s="112" t="s">
        <v>353</v>
      </c>
      <c r="E338" s="129">
        <v>1.756944444444444</v>
      </c>
      <c r="F338" s="112" t="s">
        <v>178</v>
      </c>
      <c r="G338" s="114">
        <v>7</v>
      </c>
      <c r="H338" s="121" t="s">
        <v>474</v>
      </c>
    </row>
    <row r="339" spans="1:8" ht="19.8" customHeight="1" x14ac:dyDescent="0.3">
      <c r="A339" s="128">
        <v>46021</v>
      </c>
      <c r="B339" s="112" t="s">
        <v>43</v>
      </c>
      <c r="C339" s="113" t="s">
        <v>380</v>
      </c>
      <c r="D339" s="112" t="s">
        <v>353</v>
      </c>
      <c r="E339" s="129">
        <v>1.336805555555556</v>
      </c>
      <c r="F339" s="112" t="s">
        <v>91</v>
      </c>
      <c r="G339" s="114">
        <v>9</v>
      </c>
      <c r="H339" s="121" t="s">
        <v>495</v>
      </c>
    </row>
    <row r="340" spans="1:8" ht="19.8" customHeight="1" x14ac:dyDescent="0.3">
      <c r="A340" s="128">
        <v>46021</v>
      </c>
      <c r="B340" s="112" t="s">
        <v>43</v>
      </c>
      <c r="C340" s="113" t="s">
        <v>360</v>
      </c>
      <c r="D340" s="112" t="s">
        <v>353</v>
      </c>
      <c r="E340" s="129">
        <v>1.979166666666667</v>
      </c>
      <c r="F340" s="112" t="s">
        <v>45</v>
      </c>
      <c r="G340" s="114">
        <v>9</v>
      </c>
      <c r="H340" s="121" t="s">
        <v>496</v>
      </c>
    </row>
    <row r="341" spans="1:8" ht="19.8" customHeight="1" x14ac:dyDescent="0.3">
      <c r="A341" s="128">
        <v>46021</v>
      </c>
      <c r="B341" s="112" t="s">
        <v>43</v>
      </c>
      <c r="C341" s="113" t="s">
        <v>362</v>
      </c>
      <c r="D341" s="112" t="s">
        <v>353</v>
      </c>
      <c r="E341" s="129">
        <v>1.6736111111111109</v>
      </c>
      <c r="F341" s="112" t="s">
        <v>45</v>
      </c>
      <c r="G341" s="114">
        <v>9</v>
      </c>
      <c r="H341" s="121" t="s">
        <v>497</v>
      </c>
    </row>
    <row r="342" spans="1:8" ht="19.8" customHeight="1" x14ac:dyDescent="0.3">
      <c r="A342" s="130">
        <v>46021</v>
      </c>
      <c r="B342" s="117" t="s">
        <v>54</v>
      </c>
      <c r="C342" s="118" t="s">
        <v>382</v>
      </c>
      <c r="D342" s="117" t="s">
        <v>353</v>
      </c>
      <c r="E342" s="131">
        <v>1.447916666666667</v>
      </c>
      <c r="F342" s="117" t="s">
        <v>56</v>
      </c>
      <c r="G342" s="119">
        <v>4</v>
      </c>
      <c r="H342" s="122" t="s">
        <v>475</v>
      </c>
    </row>
    <row r="343" spans="1:8" ht="19.8" customHeight="1" x14ac:dyDescent="0.3">
      <c r="A343" s="146"/>
      <c r="B343" s="147"/>
      <c r="C343" s="147"/>
      <c r="D343" s="147"/>
      <c r="E343" s="147"/>
      <c r="F343" s="148" t="s">
        <v>658</v>
      </c>
      <c r="G343" s="147"/>
      <c r="H343" s="149"/>
    </row>
    <row r="344" spans="1:8" ht="19.8" customHeight="1" x14ac:dyDescent="0.3">
      <c r="A344" s="128">
        <v>46022</v>
      </c>
      <c r="B344" s="112" t="s">
        <v>28</v>
      </c>
      <c r="C344" s="113" t="s">
        <v>375</v>
      </c>
      <c r="D344" s="112" t="s">
        <v>353</v>
      </c>
      <c r="E344" s="129">
        <v>1.694444444444444</v>
      </c>
      <c r="F344" s="112" t="s">
        <v>178</v>
      </c>
      <c r="G344" s="114">
        <v>8</v>
      </c>
      <c r="H344" s="121" t="s">
        <v>474</v>
      </c>
    </row>
    <row r="345" spans="1:8" ht="19.8" customHeight="1" x14ac:dyDescent="0.3">
      <c r="A345" s="128">
        <v>46022</v>
      </c>
      <c r="B345" s="112" t="s">
        <v>43</v>
      </c>
      <c r="C345" s="113" t="s">
        <v>380</v>
      </c>
      <c r="D345" s="112" t="s">
        <v>353</v>
      </c>
      <c r="E345" s="129">
        <v>1.336805555555556</v>
      </c>
      <c r="F345" s="112" t="s">
        <v>91</v>
      </c>
      <c r="G345" s="114">
        <v>9</v>
      </c>
      <c r="H345" s="121" t="s">
        <v>495</v>
      </c>
    </row>
    <row r="346" spans="1:8" ht="19.8" customHeight="1" x14ac:dyDescent="0.3">
      <c r="A346" s="128">
        <v>46022</v>
      </c>
      <c r="B346" s="112" t="s">
        <v>43</v>
      </c>
      <c r="C346" s="113" t="s">
        <v>360</v>
      </c>
      <c r="D346" s="112" t="s">
        <v>353</v>
      </c>
      <c r="E346" s="129">
        <v>1.979166666666667</v>
      </c>
      <c r="F346" s="112" t="s">
        <v>45</v>
      </c>
      <c r="G346" s="114">
        <v>9</v>
      </c>
      <c r="H346" s="121" t="s">
        <v>498</v>
      </c>
    </row>
    <row r="347" spans="1:8" ht="19.8" customHeight="1" x14ac:dyDescent="0.3">
      <c r="A347" s="128">
        <v>46022</v>
      </c>
      <c r="B347" s="112" t="s">
        <v>43</v>
      </c>
      <c r="C347" s="113" t="s">
        <v>362</v>
      </c>
      <c r="D347" s="112" t="s">
        <v>353</v>
      </c>
      <c r="E347" s="129">
        <v>1.6736111111111109</v>
      </c>
      <c r="F347" s="112" t="s">
        <v>45</v>
      </c>
      <c r="G347" s="114">
        <v>9</v>
      </c>
      <c r="H347" s="121" t="s">
        <v>497</v>
      </c>
    </row>
    <row r="348" spans="1:8" ht="19.8" customHeight="1" x14ac:dyDescent="0.3">
      <c r="A348" s="130">
        <v>46022</v>
      </c>
      <c r="B348" s="117" t="s">
        <v>54</v>
      </c>
      <c r="C348" s="118" t="s">
        <v>382</v>
      </c>
      <c r="D348" s="117" t="s">
        <v>353</v>
      </c>
      <c r="E348" s="131">
        <v>1.447916666666667</v>
      </c>
      <c r="F348" s="117" t="s">
        <v>56</v>
      </c>
      <c r="G348" s="119">
        <v>4</v>
      </c>
      <c r="H348" s="122" t="s">
        <v>475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66"/>
  <sheetViews>
    <sheetView workbookViewId="0">
      <pane ySplit="1" topLeftCell="A2" activePane="bottomLeft" state="frozen"/>
      <selection pane="bottomLeft" activeCell="K14" sqref="K14"/>
    </sheetView>
  </sheetViews>
  <sheetFormatPr defaultRowHeight="14.4" outlineLevelCol="1" x14ac:dyDescent="0.3"/>
  <cols>
    <col min="1" max="1" width="9.88671875" bestFit="1" customWidth="1"/>
    <col min="2" max="2" width="10.21875" bestFit="1" customWidth="1"/>
    <col min="3" max="3" width="7.33203125" bestFit="1" customWidth="1"/>
    <col min="4" max="4" width="6.109375" bestFit="1" customWidth="1"/>
    <col min="5" max="5" width="10.109375" bestFit="1" customWidth="1"/>
    <col min="6" max="6" width="4.33203125" bestFit="1" customWidth="1"/>
    <col min="7" max="7" width="7.5546875" bestFit="1" customWidth="1"/>
    <col min="8" max="8" width="4.5546875" bestFit="1" customWidth="1"/>
    <col min="9" max="10" width="6.88671875" bestFit="1" customWidth="1"/>
    <col min="11" max="11" width="11.777343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21" width="3.6640625" bestFit="1" customWidth="1"/>
    <col min="22" max="32" width="5" bestFit="1" customWidth="1"/>
    <col min="33" max="35" width="2.33203125" bestFit="1" customWidth="1"/>
    <col min="36" max="36" width="2.44140625" bestFit="1" customWidth="1"/>
  </cols>
  <sheetData>
    <row r="1" spans="1:36" x14ac:dyDescent="0.3">
      <c r="A1" s="138" t="s">
        <v>185</v>
      </c>
      <c r="B1" s="138" t="s">
        <v>186</v>
      </c>
      <c r="C1" s="138" t="s">
        <v>187</v>
      </c>
      <c r="D1" s="138" t="s">
        <v>25</v>
      </c>
      <c r="E1" s="138" t="s">
        <v>188</v>
      </c>
      <c r="F1" s="138" t="s">
        <v>189</v>
      </c>
      <c r="G1" s="138" t="s">
        <v>18</v>
      </c>
      <c r="H1" s="138" t="s">
        <v>190</v>
      </c>
      <c r="I1" s="138" t="s">
        <v>191</v>
      </c>
      <c r="J1" s="138" t="s">
        <v>192</v>
      </c>
      <c r="K1" s="138" t="s">
        <v>193</v>
      </c>
      <c r="L1" s="138" t="s">
        <v>20</v>
      </c>
      <c r="M1" s="138" t="s">
        <v>22</v>
      </c>
      <c r="N1" s="138" t="s">
        <v>23</v>
      </c>
      <c r="O1" s="138" t="s">
        <v>21</v>
      </c>
      <c r="P1" s="138" t="s">
        <v>24</v>
      </c>
      <c r="Q1" s="138" t="s">
        <v>194</v>
      </c>
      <c r="R1" s="138" t="s">
        <v>195</v>
      </c>
      <c r="S1" s="138" t="s">
        <v>196</v>
      </c>
      <c r="T1" s="138" t="s">
        <v>197</v>
      </c>
      <c r="U1" s="138" t="s">
        <v>198</v>
      </c>
      <c r="V1" s="138" t="s">
        <v>199</v>
      </c>
      <c r="W1" s="138" t="s">
        <v>200</v>
      </c>
      <c r="X1" s="138" t="s">
        <v>201</v>
      </c>
      <c r="Y1" s="138" t="s">
        <v>202</v>
      </c>
      <c r="Z1" s="138" t="s">
        <v>203</v>
      </c>
      <c r="AA1" s="138" t="s">
        <v>204</v>
      </c>
      <c r="AB1" s="138" t="s">
        <v>205</v>
      </c>
      <c r="AC1" s="138" t="s">
        <v>206</v>
      </c>
      <c r="AD1" s="138" t="s">
        <v>207</v>
      </c>
      <c r="AE1" s="138" t="s">
        <v>208</v>
      </c>
      <c r="AF1" s="138" t="s">
        <v>209</v>
      </c>
      <c r="AG1" s="138" t="s">
        <v>210</v>
      </c>
      <c r="AH1" s="138" t="s">
        <v>211</v>
      </c>
      <c r="AI1" s="138" t="s">
        <v>212</v>
      </c>
      <c r="AJ1" s="138" t="s">
        <v>213</v>
      </c>
    </row>
    <row r="2" spans="1:36" x14ac:dyDescent="0.3">
      <c r="A2" s="180" t="s">
        <v>334</v>
      </c>
      <c r="B2" s="181">
        <v>45985</v>
      </c>
      <c r="C2" s="138" t="s">
        <v>603</v>
      </c>
      <c r="D2" s="182" t="s">
        <v>340</v>
      </c>
      <c r="E2" s="138" t="s">
        <v>600</v>
      </c>
      <c r="F2" s="138" t="s">
        <v>216</v>
      </c>
      <c r="G2" s="183">
        <v>0.99439999999999995</v>
      </c>
      <c r="H2" s="184">
        <v>180</v>
      </c>
      <c r="I2" s="184">
        <v>179</v>
      </c>
      <c r="J2" s="184">
        <v>0</v>
      </c>
      <c r="K2" s="184" t="s">
        <v>217</v>
      </c>
      <c r="L2" s="185">
        <v>45983</v>
      </c>
      <c r="M2" s="184">
        <v>0</v>
      </c>
      <c r="N2" s="184">
        <v>13</v>
      </c>
      <c r="O2" s="184">
        <v>47</v>
      </c>
      <c r="P2" s="184" t="s">
        <v>604</v>
      </c>
      <c r="Q2" s="184">
        <v>0</v>
      </c>
      <c r="R2" s="184">
        <v>0</v>
      </c>
      <c r="S2" s="184">
        <v>0</v>
      </c>
      <c r="T2" s="184">
        <v>0</v>
      </c>
      <c r="U2" s="184">
        <v>9</v>
      </c>
      <c r="V2" s="184">
        <v>15</v>
      </c>
      <c r="W2" s="184">
        <v>15</v>
      </c>
      <c r="X2" s="184">
        <v>15</v>
      </c>
      <c r="Y2" s="184">
        <v>15</v>
      </c>
      <c r="Z2" s="184">
        <v>20</v>
      </c>
      <c r="AA2" s="184">
        <v>14</v>
      </c>
      <c r="AB2" s="184">
        <v>18</v>
      </c>
      <c r="AC2" s="184">
        <v>14</v>
      </c>
      <c r="AD2" s="184">
        <v>15</v>
      </c>
      <c r="AE2" s="184">
        <v>15</v>
      </c>
      <c r="AF2" s="184">
        <v>14</v>
      </c>
      <c r="AG2" s="184">
        <v>0</v>
      </c>
      <c r="AH2" s="184">
        <v>0</v>
      </c>
      <c r="AI2" s="184">
        <v>0</v>
      </c>
      <c r="AJ2" s="184">
        <v>0</v>
      </c>
    </row>
    <row r="3" spans="1:36" x14ac:dyDescent="0.3">
      <c r="A3" s="180" t="s">
        <v>334</v>
      </c>
      <c r="B3" s="181">
        <v>45985</v>
      </c>
      <c r="C3" s="138" t="s">
        <v>298</v>
      </c>
      <c r="D3" s="182" t="s">
        <v>335</v>
      </c>
      <c r="E3" s="138" t="s">
        <v>294</v>
      </c>
      <c r="F3" s="138" t="s">
        <v>216</v>
      </c>
      <c r="G3" s="183">
        <v>0.58330000000000004</v>
      </c>
      <c r="H3" s="184">
        <v>168</v>
      </c>
      <c r="I3" s="184">
        <v>98</v>
      </c>
      <c r="J3" s="184">
        <v>0</v>
      </c>
      <c r="K3" s="184" t="s">
        <v>217</v>
      </c>
      <c r="L3" s="185">
        <v>45984</v>
      </c>
      <c r="M3" s="184">
        <v>3</v>
      </c>
      <c r="N3" s="184">
        <v>9</v>
      </c>
      <c r="O3" s="184">
        <v>39</v>
      </c>
      <c r="P3" s="184" t="s">
        <v>299</v>
      </c>
      <c r="Q3" s="184">
        <v>0</v>
      </c>
      <c r="R3" s="184">
        <v>0</v>
      </c>
      <c r="S3" s="184">
        <v>0</v>
      </c>
      <c r="T3" s="184">
        <v>0</v>
      </c>
      <c r="U3" s="184">
        <v>0</v>
      </c>
      <c r="V3" s="184">
        <v>0</v>
      </c>
      <c r="W3" s="184">
        <v>0</v>
      </c>
      <c r="X3" s="184">
        <v>0</v>
      </c>
      <c r="Y3" s="184">
        <v>0</v>
      </c>
      <c r="Z3" s="184">
        <v>2</v>
      </c>
      <c r="AA3" s="184">
        <v>8</v>
      </c>
      <c r="AB3" s="184">
        <v>28</v>
      </c>
      <c r="AC3" s="184">
        <v>10</v>
      </c>
      <c r="AD3" s="184">
        <v>10</v>
      </c>
      <c r="AE3" s="184">
        <v>23</v>
      </c>
      <c r="AF3" s="184">
        <v>17</v>
      </c>
      <c r="AG3" s="184">
        <v>0</v>
      </c>
      <c r="AH3" s="184">
        <v>0</v>
      </c>
      <c r="AI3" s="184">
        <v>0</v>
      </c>
      <c r="AJ3" s="184">
        <v>0</v>
      </c>
    </row>
    <row r="4" spans="1:36" x14ac:dyDescent="0.3">
      <c r="A4" s="180" t="s">
        <v>214</v>
      </c>
      <c r="B4" s="181">
        <v>45986</v>
      </c>
      <c r="C4" s="138" t="s">
        <v>391</v>
      </c>
      <c r="D4" s="182" t="s">
        <v>535</v>
      </c>
      <c r="E4" s="138" t="s">
        <v>353</v>
      </c>
      <c r="F4" s="138" t="s">
        <v>216</v>
      </c>
      <c r="G4" s="183">
        <v>0.74439999999999995</v>
      </c>
      <c r="H4" s="184">
        <v>180</v>
      </c>
      <c r="I4" s="184">
        <v>134</v>
      </c>
      <c r="J4" s="184">
        <v>0</v>
      </c>
      <c r="K4" s="184" t="s">
        <v>217</v>
      </c>
      <c r="L4" s="185">
        <v>45984</v>
      </c>
      <c r="M4" s="184">
        <v>10</v>
      </c>
      <c r="N4" s="184">
        <v>13</v>
      </c>
      <c r="O4" s="184">
        <v>89</v>
      </c>
      <c r="P4" s="184" t="s">
        <v>392</v>
      </c>
      <c r="Q4" s="184">
        <v>0</v>
      </c>
      <c r="R4" s="184">
        <v>0</v>
      </c>
      <c r="S4" s="184">
        <v>0</v>
      </c>
      <c r="T4" s="184">
        <v>0</v>
      </c>
      <c r="U4" s="184">
        <v>4</v>
      </c>
      <c r="V4" s="184">
        <v>20</v>
      </c>
      <c r="W4" s="184">
        <v>20</v>
      </c>
      <c r="X4" s="184">
        <v>30</v>
      </c>
      <c r="Y4" s="184">
        <v>21</v>
      </c>
      <c r="Z4" s="184">
        <v>7</v>
      </c>
      <c r="AA4" s="184">
        <v>0</v>
      </c>
      <c r="AB4" s="184">
        <v>1</v>
      </c>
      <c r="AC4" s="184">
        <v>1</v>
      </c>
      <c r="AD4" s="184">
        <v>7</v>
      </c>
      <c r="AE4" s="184">
        <v>19</v>
      </c>
      <c r="AF4" s="184">
        <v>4</v>
      </c>
      <c r="AG4" s="184">
        <v>0</v>
      </c>
      <c r="AH4" s="184">
        <v>0</v>
      </c>
      <c r="AI4" s="184">
        <v>0</v>
      </c>
      <c r="AJ4" s="184">
        <v>0</v>
      </c>
    </row>
    <row r="5" spans="1:36" x14ac:dyDescent="0.3">
      <c r="A5" s="180" t="s">
        <v>214</v>
      </c>
      <c r="B5" s="181">
        <v>45986</v>
      </c>
      <c r="C5" s="138" t="s">
        <v>80</v>
      </c>
      <c r="D5" s="182" t="s">
        <v>215</v>
      </c>
      <c r="E5" s="138" t="s">
        <v>1</v>
      </c>
      <c r="F5" s="138" t="s">
        <v>216</v>
      </c>
      <c r="G5" s="183">
        <v>0.41070000000000001</v>
      </c>
      <c r="H5" s="184">
        <v>168</v>
      </c>
      <c r="I5" s="184">
        <v>69</v>
      </c>
      <c r="J5" s="184">
        <v>0</v>
      </c>
      <c r="K5" s="184" t="s">
        <v>217</v>
      </c>
      <c r="L5" s="185">
        <v>45983</v>
      </c>
      <c r="M5" s="184">
        <v>0</v>
      </c>
      <c r="N5" s="184">
        <v>3</v>
      </c>
      <c r="O5" s="184">
        <v>31</v>
      </c>
      <c r="P5" s="184" t="s">
        <v>81</v>
      </c>
      <c r="Q5" s="184">
        <v>0</v>
      </c>
      <c r="R5" s="184">
        <v>0</v>
      </c>
      <c r="S5" s="184">
        <v>0</v>
      </c>
      <c r="T5" s="184">
        <v>0</v>
      </c>
      <c r="U5" s="184">
        <v>0</v>
      </c>
      <c r="V5" s="184">
        <v>0</v>
      </c>
      <c r="W5" s="184">
        <v>0</v>
      </c>
      <c r="X5" s="184">
        <v>0</v>
      </c>
      <c r="Y5" s="184">
        <v>0</v>
      </c>
      <c r="Z5" s="184">
        <v>8</v>
      </c>
      <c r="AA5" s="184">
        <v>5</v>
      </c>
      <c r="AB5" s="184">
        <v>0</v>
      </c>
      <c r="AC5" s="184">
        <v>0</v>
      </c>
      <c r="AD5" s="184">
        <v>2</v>
      </c>
      <c r="AE5" s="184">
        <v>8</v>
      </c>
      <c r="AF5" s="184">
        <v>46</v>
      </c>
      <c r="AG5" s="184">
        <v>0</v>
      </c>
      <c r="AH5" s="184">
        <v>0</v>
      </c>
      <c r="AI5" s="184">
        <v>0</v>
      </c>
      <c r="AJ5" s="184">
        <v>0</v>
      </c>
    </row>
    <row r="6" spans="1:36" x14ac:dyDescent="0.3">
      <c r="A6" s="180" t="s">
        <v>222</v>
      </c>
      <c r="B6" s="181">
        <v>45988</v>
      </c>
      <c r="C6" s="138" t="s">
        <v>391</v>
      </c>
      <c r="D6" s="182" t="s">
        <v>542</v>
      </c>
      <c r="E6" s="138" t="s">
        <v>353</v>
      </c>
      <c r="F6" s="138" t="s">
        <v>216</v>
      </c>
      <c r="G6" s="183">
        <v>0.85</v>
      </c>
      <c r="H6" s="184">
        <v>180</v>
      </c>
      <c r="I6" s="184">
        <v>153</v>
      </c>
      <c r="J6" s="184">
        <v>0</v>
      </c>
      <c r="K6" s="184" t="s">
        <v>217</v>
      </c>
      <c r="L6" s="185">
        <v>45984</v>
      </c>
      <c r="M6" s="184">
        <v>8</v>
      </c>
      <c r="N6" s="184">
        <v>2</v>
      </c>
      <c r="O6" s="184">
        <v>26</v>
      </c>
      <c r="P6" s="184" t="s">
        <v>392</v>
      </c>
      <c r="Q6" s="184">
        <v>0</v>
      </c>
      <c r="R6" s="184">
        <v>0</v>
      </c>
      <c r="S6" s="184">
        <v>0</v>
      </c>
      <c r="T6" s="184">
        <v>2</v>
      </c>
      <c r="U6" s="184">
        <v>44</v>
      </c>
      <c r="V6" s="184">
        <v>18</v>
      </c>
      <c r="W6" s="184">
        <v>7</v>
      </c>
      <c r="X6" s="184">
        <v>10</v>
      </c>
      <c r="Y6" s="184">
        <v>8</v>
      </c>
      <c r="Z6" s="184">
        <v>8</v>
      </c>
      <c r="AA6" s="184">
        <v>17</v>
      </c>
      <c r="AB6" s="184">
        <v>9</v>
      </c>
      <c r="AC6" s="184">
        <v>7</v>
      </c>
      <c r="AD6" s="184">
        <v>9</v>
      </c>
      <c r="AE6" s="184">
        <v>7</v>
      </c>
      <c r="AF6" s="184">
        <v>7</v>
      </c>
      <c r="AG6" s="184">
        <v>0</v>
      </c>
      <c r="AH6" s="184">
        <v>0</v>
      </c>
      <c r="AI6" s="184">
        <v>0</v>
      </c>
      <c r="AJ6" s="184">
        <v>0</v>
      </c>
    </row>
    <row r="7" spans="1:36" x14ac:dyDescent="0.3">
      <c r="A7" s="180" t="s">
        <v>222</v>
      </c>
      <c r="B7" s="181">
        <v>45988</v>
      </c>
      <c r="C7" s="138" t="s">
        <v>80</v>
      </c>
      <c r="D7" s="182" t="s">
        <v>223</v>
      </c>
      <c r="E7" s="138" t="s">
        <v>1</v>
      </c>
      <c r="F7" s="138" t="s">
        <v>216</v>
      </c>
      <c r="G7" s="183">
        <v>0.26790000000000003</v>
      </c>
      <c r="H7" s="184">
        <v>168</v>
      </c>
      <c r="I7" s="184">
        <v>45</v>
      </c>
      <c r="J7" s="184">
        <v>0</v>
      </c>
      <c r="K7" s="184" t="s">
        <v>217</v>
      </c>
      <c r="L7" s="185">
        <v>45983</v>
      </c>
      <c r="M7" s="184">
        <v>0</v>
      </c>
      <c r="N7" s="184">
        <v>2</v>
      </c>
      <c r="O7" s="184">
        <v>14</v>
      </c>
      <c r="P7" s="184" t="s">
        <v>111</v>
      </c>
      <c r="Q7" s="184">
        <v>0</v>
      </c>
      <c r="R7" s="184">
        <v>0</v>
      </c>
      <c r="S7" s="184">
        <v>0</v>
      </c>
      <c r="T7" s="184">
        <v>0</v>
      </c>
      <c r="U7" s="184">
        <v>0</v>
      </c>
      <c r="V7" s="184">
        <v>0</v>
      </c>
      <c r="W7" s="184">
        <v>0</v>
      </c>
      <c r="X7" s="184">
        <v>1</v>
      </c>
      <c r="Y7" s="184">
        <v>0</v>
      </c>
      <c r="Z7" s="184">
        <v>2</v>
      </c>
      <c r="AA7" s="184">
        <v>4</v>
      </c>
      <c r="AB7" s="184">
        <v>0</v>
      </c>
      <c r="AC7" s="184">
        <v>2</v>
      </c>
      <c r="AD7" s="184">
        <v>4</v>
      </c>
      <c r="AE7" s="184">
        <v>1</v>
      </c>
      <c r="AF7" s="184">
        <v>31</v>
      </c>
      <c r="AG7" s="184">
        <v>0</v>
      </c>
      <c r="AH7" s="184">
        <v>0</v>
      </c>
      <c r="AI7" s="184">
        <v>0</v>
      </c>
      <c r="AJ7" s="184">
        <v>0</v>
      </c>
    </row>
    <row r="8" spans="1:36" x14ac:dyDescent="0.3">
      <c r="A8" s="180" t="s">
        <v>231</v>
      </c>
      <c r="B8" s="181">
        <v>45989</v>
      </c>
      <c r="C8" s="138" t="s">
        <v>391</v>
      </c>
      <c r="D8" s="182" t="s">
        <v>551</v>
      </c>
      <c r="E8" s="138" t="s">
        <v>353</v>
      </c>
      <c r="F8" s="138" t="s">
        <v>216</v>
      </c>
      <c r="G8" s="183">
        <v>0.76670000000000005</v>
      </c>
      <c r="H8" s="184">
        <v>180</v>
      </c>
      <c r="I8" s="184">
        <v>138</v>
      </c>
      <c r="J8" s="184">
        <v>0</v>
      </c>
      <c r="K8" s="184" t="s">
        <v>217</v>
      </c>
      <c r="L8" s="185">
        <v>45984</v>
      </c>
      <c r="M8" s="184">
        <v>4</v>
      </c>
      <c r="N8" s="184">
        <v>5</v>
      </c>
      <c r="O8" s="184">
        <v>21</v>
      </c>
      <c r="P8" s="184" t="s">
        <v>411</v>
      </c>
      <c r="Q8" s="184">
        <v>0</v>
      </c>
      <c r="R8" s="184">
        <v>0</v>
      </c>
      <c r="S8" s="184">
        <v>6</v>
      </c>
      <c r="T8" s="184">
        <v>18</v>
      </c>
      <c r="U8" s="184">
        <v>3</v>
      </c>
      <c r="V8" s="184">
        <v>16</v>
      </c>
      <c r="W8" s="184">
        <v>7</v>
      </c>
      <c r="X8" s="184">
        <v>11</v>
      </c>
      <c r="Y8" s="184">
        <v>27</v>
      </c>
      <c r="Z8" s="184">
        <v>13</v>
      </c>
      <c r="AA8" s="184">
        <v>12</v>
      </c>
      <c r="AB8" s="184">
        <v>8</v>
      </c>
      <c r="AC8" s="184">
        <v>5</v>
      </c>
      <c r="AD8" s="184">
        <v>3</v>
      </c>
      <c r="AE8" s="184">
        <v>5</v>
      </c>
      <c r="AF8" s="184">
        <v>4</v>
      </c>
      <c r="AG8" s="184">
        <v>0</v>
      </c>
      <c r="AH8" s="184">
        <v>0</v>
      </c>
      <c r="AI8" s="184">
        <v>0</v>
      </c>
      <c r="AJ8" s="184">
        <v>0</v>
      </c>
    </row>
    <row r="9" spans="1:36" x14ac:dyDescent="0.3">
      <c r="A9" s="180" t="s">
        <v>231</v>
      </c>
      <c r="B9" s="181">
        <v>45989</v>
      </c>
      <c r="C9" s="138" t="s">
        <v>603</v>
      </c>
      <c r="D9" s="182" t="s">
        <v>638</v>
      </c>
      <c r="E9" s="138" t="s">
        <v>600</v>
      </c>
      <c r="F9" s="138" t="s">
        <v>216</v>
      </c>
      <c r="G9" s="183">
        <v>0.94440000000000002</v>
      </c>
      <c r="H9" s="184">
        <v>180</v>
      </c>
      <c r="I9" s="184">
        <v>170</v>
      </c>
      <c r="J9" s="184">
        <v>0</v>
      </c>
      <c r="K9" s="184" t="s">
        <v>217</v>
      </c>
      <c r="L9" s="185">
        <v>45984</v>
      </c>
      <c r="M9" s="184">
        <v>14</v>
      </c>
      <c r="N9" s="184">
        <v>2</v>
      </c>
      <c r="O9" s="184">
        <v>55</v>
      </c>
      <c r="P9" s="184" t="s">
        <v>411</v>
      </c>
      <c r="Q9" s="184">
        <v>2</v>
      </c>
      <c r="R9" s="184">
        <v>0</v>
      </c>
      <c r="S9" s="184">
        <v>1</v>
      </c>
      <c r="T9" s="184">
        <v>2</v>
      </c>
      <c r="U9" s="184">
        <v>10</v>
      </c>
      <c r="V9" s="184">
        <v>15</v>
      </c>
      <c r="W9" s="184">
        <v>10</v>
      </c>
      <c r="X9" s="184">
        <v>15</v>
      </c>
      <c r="Y9" s="184">
        <v>30</v>
      </c>
      <c r="Z9" s="184">
        <v>16</v>
      </c>
      <c r="AA9" s="184">
        <v>19</v>
      </c>
      <c r="AB9" s="184">
        <v>20</v>
      </c>
      <c r="AC9" s="184">
        <v>20</v>
      </c>
      <c r="AD9" s="184">
        <v>5</v>
      </c>
      <c r="AE9" s="184">
        <v>4</v>
      </c>
      <c r="AF9" s="184">
        <v>1</v>
      </c>
      <c r="AG9" s="184">
        <v>0</v>
      </c>
      <c r="AH9" s="184">
        <v>0</v>
      </c>
      <c r="AI9" s="184">
        <v>0</v>
      </c>
      <c r="AJ9" s="184">
        <v>0</v>
      </c>
    </row>
    <row r="10" spans="1:36" x14ac:dyDescent="0.3">
      <c r="A10" s="180" t="s">
        <v>231</v>
      </c>
      <c r="B10" s="181">
        <v>45989</v>
      </c>
      <c r="C10" s="138" t="s">
        <v>80</v>
      </c>
      <c r="D10" s="182" t="s">
        <v>232</v>
      </c>
      <c r="E10" s="138" t="s">
        <v>1</v>
      </c>
      <c r="F10" s="138" t="s">
        <v>216</v>
      </c>
      <c r="G10" s="183">
        <v>0.30359999999999998</v>
      </c>
      <c r="H10" s="184">
        <v>168</v>
      </c>
      <c r="I10" s="184">
        <v>51</v>
      </c>
      <c r="J10" s="184">
        <v>0</v>
      </c>
      <c r="K10" s="184" t="s">
        <v>217</v>
      </c>
      <c r="L10" s="185">
        <v>45983</v>
      </c>
      <c r="M10" s="184">
        <v>0</v>
      </c>
      <c r="N10" s="184">
        <v>1</v>
      </c>
      <c r="O10" s="184">
        <v>16</v>
      </c>
      <c r="P10" s="184" t="s">
        <v>116</v>
      </c>
      <c r="Q10" s="184">
        <v>0</v>
      </c>
      <c r="R10" s="184">
        <v>0</v>
      </c>
      <c r="S10" s="184">
        <v>0</v>
      </c>
      <c r="T10" s="184">
        <v>0</v>
      </c>
      <c r="U10" s="184">
        <v>0</v>
      </c>
      <c r="V10" s="184">
        <v>0</v>
      </c>
      <c r="W10" s="184">
        <v>0</v>
      </c>
      <c r="X10" s="184">
        <v>0</v>
      </c>
      <c r="Y10" s="184">
        <v>3</v>
      </c>
      <c r="Z10" s="184">
        <v>10</v>
      </c>
      <c r="AA10" s="184">
        <v>1</v>
      </c>
      <c r="AB10" s="184">
        <v>0</v>
      </c>
      <c r="AC10" s="184">
        <v>0</v>
      </c>
      <c r="AD10" s="184">
        <v>0</v>
      </c>
      <c r="AE10" s="184">
        <v>7</v>
      </c>
      <c r="AF10" s="184">
        <v>30</v>
      </c>
      <c r="AG10" s="184">
        <v>0</v>
      </c>
      <c r="AH10" s="184">
        <v>0</v>
      </c>
      <c r="AI10" s="184">
        <v>0</v>
      </c>
      <c r="AJ10" s="184">
        <v>0</v>
      </c>
    </row>
    <row r="11" spans="1:36" x14ac:dyDescent="0.3">
      <c r="A11" s="180" t="s">
        <v>231</v>
      </c>
      <c r="B11" s="181">
        <v>45989</v>
      </c>
      <c r="C11" s="138" t="s">
        <v>298</v>
      </c>
      <c r="D11" s="182" t="s">
        <v>340</v>
      </c>
      <c r="E11" s="138" t="s">
        <v>294</v>
      </c>
      <c r="F11" s="138" t="s">
        <v>216</v>
      </c>
      <c r="G11" s="183">
        <v>0.44640000000000002</v>
      </c>
      <c r="H11" s="184">
        <v>168</v>
      </c>
      <c r="I11" s="184">
        <v>75</v>
      </c>
      <c r="J11" s="184">
        <v>0</v>
      </c>
      <c r="K11" s="184" t="s">
        <v>217</v>
      </c>
      <c r="L11" s="185">
        <v>45984</v>
      </c>
      <c r="M11" s="184">
        <v>1</v>
      </c>
      <c r="N11" s="184">
        <v>9</v>
      </c>
      <c r="O11" s="184">
        <v>30</v>
      </c>
      <c r="P11" s="184" t="s">
        <v>270</v>
      </c>
      <c r="Q11" s="184">
        <v>0</v>
      </c>
      <c r="R11" s="184">
        <v>0</v>
      </c>
      <c r="S11" s="184">
        <v>0</v>
      </c>
      <c r="T11" s="184">
        <v>0</v>
      </c>
      <c r="U11" s="184">
        <v>0</v>
      </c>
      <c r="V11" s="184">
        <v>0</v>
      </c>
      <c r="W11" s="184">
        <v>0</v>
      </c>
      <c r="X11" s="184">
        <v>0</v>
      </c>
      <c r="Y11" s="184">
        <v>0</v>
      </c>
      <c r="Z11" s="184">
        <v>2</v>
      </c>
      <c r="AA11" s="184">
        <v>2</v>
      </c>
      <c r="AB11" s="184">
        <v>1</v>
      </c>
      <c r="AC11" s="184">
        <v>3</v>
      </c>
      <c r="AD11" s="184">
        <v>39</v>
      </c>
      <c r="AE11" s="184">
        <v>18</v>
      </c>
      <c r="AF11" s="184">
        <v>10</v>
      </c>
      <c r="AG11" s="184">
        <v>0</v>
      </c>
      <c r="AH11" s="184">
        <v>0</v>
      </c>
      <c r="AI11" s="184">
        <v>0</v>
      </c>
      <c r="AJ11" s="184">
        <v>0</v>
      </c>
    </row>
    <row r="12" spans="1:36" x14ac:dyDescent="0.3">
      <c r="A12" s="180" t="s">
        <v>238</v>
      </c>
      <c r="B12" s="181">
        <v>45990</v>
      </c>
      <c r="C12" s="138" t="s">
        <v>391</v>
      </c>
      <c r="D12" s="182" t="s">
        <v>542</v>
      </c>
      <c r="E12" s="138" t="s">
        <v>353</v>
      </c>
      <c r="F12" s="138" t="s">
        <v>216</v>
      </c>
      <c r="G12" s="183">
        <v>0.69440000000000002</v>
      </c>
      <c r="H12" s="184">
        <v>180</v>
      </c>
      <c r="I12" s="184">
        <v>125</v>
      </c>
      <c r="J12" s="184">
        <v>0</v>
      </c>
      <c r="K12" s="184" t="s">
        <v>217</v>
      </c>
      <c r="L12" s="185">
        <v>45981</v>
      </c>
      <c r="M12" s="184">
        <v>0</v>
      </c>
      <c r="N12" s="184">
        <v>0</v>
      </c>
      <c r="O12" s="184">
        <v>14</v>
      </c>
      <c r="P12" s="184" t="s">
        <v>423</v>
      </c>
      <c r="Q12" s="184">
        <v>0</v>
      </c>
      <c r="R12" s="184">
        <v>1</v>
      </c>
      <c r="S12" s="184">
        <v>21</v>
      </c>
      <c r="T12" s="184">
        <v>21</v>
      </c>
      <c r="U12" s="184">
        <v>9</v>
      </c>
      <c r="V12" s="184">
        <v>0</v>
      </c>
      <c r="W12" s="184">
        <v>12</v>
      </c>
      <c r="X12" s="184">
        <v>12</v>
      </c>
      <c r="Y12" s="184">
        <v>8</v>
      </c>
      <c r="Z12" s="184">
        <v>6</v>
      </c>
      <c r="AA12" s="184">
        <v>9</v>
      </c>
      <c r="AB12" s="184">
        <v>10</v>
      </c>
      <c r="AC12" s="184">
        <v>2</v>
      </c>
      <c r="AD12" s="184">
        <v>4</v>
      </c>
      <c r="AE12" s="184">
        <v>7</v>
      </c>
      <c r="AF12" s="184">
        <v>3</v>
      </c>
      <c r="AG12" s="184">
        <v>0</v>
      </c>
      <c r="AH12" s="184">
        <v>0</v>
      </c>
      <c r="AI12" s="184">
        <v>0</v>
      </c>
      <c r="AJ12" s="184">
        <v>0</v>
      </c>
    </row>
    <row r="13" spans="1:36" x14ac:dyDescent="0.3">
      <c r="A13" s="180" t="s">
        <v>238</v>
      </c>
      <c r="B13" s="181">
        <v>45990</v>
      </c>
      <c r="C13" s="138" t="s">
        <v>80</v>
      </c>
      <c r="D13" s="182" t="s">
        <v>223</v>
      </c>
      <c r="E13" s="138" t="s">
        <v>1</v>
      </c>
      <c r="F13" s="138" t="s">
        <v>216</v>
      </c>
      <c r="G13" s="183">
        <v>0.17860000000000001</v>
      </c>
      <c r="H13" s="184">
        <v>168</v>
      </c>
      <c r="I13" s="184">
        <v>30</v>
      </c>
      <c r="J13" s="184">
        <v>0</v>
      </c>
      <c r="K13" s="184" t="s">
        <v>217</v>
      </c>
      <c r="L13" s="185">
        <v>45979</v>
      </c>
      <c r="M13" s="184">
        <v>0</v>
      </c>
      <c r="N13" s="184">
        <v>0</v>
      </c>
      <c r="O13" s="184">
        <v>1</v>
      </c>
      <c r="P13" s="184" t="s">
        <v>116</v>
      </c>
      <c r="Q13" s="184">
        <v>0</v>
      </c>
      <c r="R13" s="184">
        <v>0</v>
      </c>
      <c r="S13" s="184">
        <v>0</v>
      </c>
      <c r="T13" s="184">
        <v>0</v>
      </c>
      <c r="U13" s="184">
        <v>0</v>
      </c>
      <c r="V13" s="184">
        <v>0</v>
      </c>
      <c r="W13" s="184">
        <v>0</v>
      </c>
      <c r="X13" s="184">
        <v>2</v>
      </c>
      <c r="Y13" s="184">
        <v>1</v>
      </c>
      <c r="Z13" s="184">
        <v>7</v>
      </c>
      <c r="AA13" s="184">
        <v>6</v>
      </c>
      <c r="AB13" s="184">
        <v>0</v>
      </c>
      <c r="AC13" s="184">
        <v>0</v>
      </c>
      <c r="AD13" s="184">
        <v>1</v>
      </c>
      <c r="AE13" s="184">
        <v>0</v>
      </c>
      <c r="AF13" s="184">
        <v>13</v>
      </c>
      <c r="AG13" s="184">
        <v>0</v>
      </c>
      <c r="AH13" s="184">
        <v>0</v>
      </c>
      <c r="AI13" s="184">
        <v>0</v>
      </c>
      <c r="AJ13" s="184">
        <v>0</v>
      </c>
    </row>
    <row r="14" spans="1:36" x14ac:dyDescent="0.3">
      <c r="A14" s="180" t="s">
        <v>334</v>
      </c>
      <c r="B14" s="181">
        <v>45992</v>
      </c>
      <c r="C14" s="138" t="s">
        <v>603</v>
      </c>
      <c r="D14" s="182" t="s">
        <v>340</v>
      </c>
      <c r="E14" s="138" t="s">
        <v>600</v>
      </c>
      <c r="F14" s="138" t="s">
        <v>216</v>
      </c>
      <c r="G14" s="183">
        <v>0.93330000000000002</v>
      </c>
      <c r="H14" s="184">
        <v>180</v>
      </c>
      <c r="I14" s="184">
        <v>168</v>
      </c>
      <c r="J14" s="184">
        <v>0</v>
      </c>
      <c r="K14" s="184" t="s">
        <v>217</v>
      </c>
      <c r="L14" s="185">
        <v>45984</v>
      </c>
      <c r="M14" s="184">
        <v>9</v>
      </c>
      <c r="N14" s="184">
        <v>8</v>
      </c>
      <c r="O14" s="184">
        <v>59</v>
      </c>
      <c r="P14" s="184" t="s">
        <v>611</v>
      </c>
      <c r="Q14" s="184">
        <v>0</v>
      </c>
      <c r="R14" s="184">
        <v>0</v>
      </c>
      <c r="S14" s="184">
        <v>0</v>
      </c>
      <c r="T14" s="184">
        <v>0</v>
      </c>
      <c r="U14" s="184">
        <v>0</v>
      </c>
      <c r="V14" s="184">
        <v>8</v>
      </c>
      <c r="W14" s="184">
        <v>15</v>
      </c>
      <c r="X14" s="184">
        <v>15</v>
      </c>
      <c r="Y14" s="184">
        <v>29</v>
      </c>
      <c r="Z14" s="184">
        <v>8</v>
      </c>
      <c r="AA14" s="184">
        <v>18</v>
      </c>
      <c r="AB14" s="184">
        <v>15</v>
      </c>
      <c r="AC14" s="184">
        <v>15</v>
      </c>
      <c r="AD14" s="184">
        <v>15</v>
      </c>
      <c r="AE14" s="184">
        <v>15</v>
      </c>
      <c r="AF14" s="184">
        <v>15</v>
      </c>
      <c r="AG14" s="184">
        <v>0</v>
      </c>
      <c r="AH14" s="184">
        <v>0</v>
      </c>
      <c r="AI14" s="184">
        <v>0</v>
      </c>
      <c r="AJ14" s="184">
        <v>0</v>
      </c>
    </row>
    <row r="15" spans="1:36" x14ac:dyDescent="0.3">
      <c r="A15" s="180" t="s">
        <v>334</v>
      </c>
      <c r="B15" s="181">
        <v>45992</v>
      </c>
      <c r="C15" s="138" t="s">
        <v>298</v>
      </c>
      <c r="D15" s="182" t="s">
        <v>335</v>
      </c>
      <c r="E15" s="138" t="s">
        <v>294</v>
      </c>
      <c r="F15" s="138" t="s">
        <v>216</v>
      </c>
      <c r="G15" s="183">
        <v>0.46429999999999999</v>
      </c>
      <c r="H15" s="184">
        <v>168</v>
      </c>
      <c r="I15" s="184">
        <v>78</v>
      </c>
      <c r="J15" s="184">
        <v>0</v>
      </c>
      <c r="K15" s="184" t="s">
        <v>217</v>
      </c>
      <c r="L15" s="185">
        <v>45984</v>
      </c>
      <c r="M15" s="184">
        <v>2</v>
      </c>
      <c r="N15" s="184">
        <v>0</v>
      </c>
      <c r="O15" s="184">
        <v>23</v>
      </c>
      <c r="P15" s="184" t="s">
        <v>309</v>
      </c>
      <c r="Q15" s="184">
        <v>0</v>
      </c>
      <c r="R15" s="184">
        <v>0</v>
      </c>
      <c r="S15" s="184">
        <v>0</v>
      </c>
      <c r="T15" s="184">
        <v>0</v>
      </c>
      <c r="U15" s="184">
        <v>0</v>
      </c>
      <c r="V15" s="184">
        <v>0</v>
      </c>
      <c r="W15" s="184">
        <v>0</v>
      </c>
      <c r="X15" s="184">
        <v>0</v>
      </c>
      <c r="Y15" s="184">
        <v>0</v>
      </c>
      <c r="Z15" s="184">
        <v>0</v>
      </c>
      <c r="AA15" s="184">
        <v>0</v>
      </c>
      <c r="AB15" s="184">
        <v>3</v>
      </c>
      <c r="AC15" s="184">
        <v>15</v>
      </c>
      <c r="AD15" s="184">
        <v>30</v>
      </c>
      <c r="AE15" s="184">
        <v>15</v>
      </c>
      <c r="AF15" s="184">
        <v>15</v>
      </c>
      <c r="AG15" s="184">
        <v>0</v>
      </c>
      <c r="AH15" s="184">
        <v>0</v>
      </c>
      <c r="AI15" s="184">
        <v>0</v>
      </c>
      <c r="AJ15" s="184">
        <v>0</v>
      </c>
    </row>
    <row r="16" spans="1:36" x14ac:dyDescent="0.3">
      <c r="A16" s="180" t="s">
        <v>214</v>
      </c>
      <c r="B16" s="181">
        <v>45993</v>
      </c>
      <c r="C16" s="138" t="s">
        <v>391</v>
      </c>
      <c r="D16" s="182" t="s">
        <v>535</v>
      </c>
      <c r="E16" s="138" t="s">
        <v>353</v>
      </c>
      <c r="F16" s="138" t="s">
        <v>216</v>
      </c>
      <c r="G16" s="183">
        <v>0.7</v>
      </c>
      <c r="H16" s="184">
        <v>180</v>
      </c>
      <c r="I16" s="184">
        <v>126</v>
      </c>
      <c r="J16" s="184">
        <v>0</v>
      </c>
      <c r="K16" s="184" t="s">
        <v>217</v>
      </c>
      <c r="L16" s="185">
        <v>45983</v>
      </c>
      <c r="M16" s="184">
        <v>0</v>
      </c>
      <c r="N16" s="184">
        <v>12</v>
      </c>
      <c r="O16" s="184">
        <v>65</v>
      </c>
      <c r="P16" s="184" t="s">
        <v>442</v>
      </c>
      <c r="Q16" s="184">
        <v>0</v>
      </c>
      <c r="R16" s="184">
        <v>0</v>
      </c>
      <c r="S16" s="184">
        <v>0</v>
      </c>
      <c r="T16" s="184">
        <v>0</v>
      </c>
      <c r="U16" s="184">
        <v>0</v>
      </c>
      <c r="V16" s="184">
        <v>0</v>
      </c>
      <c r="W16" s="184">
        <v>6</v>
      </c>
      <c r="X16" s="184">
        <v>10</v>
      </c>
      <c r="Y16" s="184">
        <v>31</v>
      </c>
      <c r="Z16" s="184">
        <v>44</v>
      </c>
      <c r="AA16" s="184">
        <v>4</v>
      </c>
      <c r="AB16" s="184">
        <v>7</v>
      </c>
      <c r="AC16" s="184">
        <v>10</v>
      </c>
      <c r="AD16" s="184">
        <v>10</v>
      </c>
      <c r="AE16" s="184">
        <v>4</v>
      </c>
      <c r="AF16" s="184">
        <v>0</v>
      </c>
      <c r="AG16" s="184">
        <v>0</v>
      </c>
      <c r="AH16" s="184">
        <v>0</v>
      </c>
      <c r="AI16" s="184">
        <v>0</v>
      </c>
      <c r="AJ16" s="184">
        <v>0</v>
      </c>
    </row>
    <row r="17" spans="1:36" x14ac:dyDescent="0.3">
      <c r="A17" s="180" t="s">
        <v>214</v>
      </c>
      <c r="B17" s="181">
        <v>45993</v>
      </c>
      <c r="C17" s="138" t="s">
        <v>80</v>
      </c>
      <c r="D17" s="182" t="s">
        <v>215</v>
      </c>
      <c r="E17" s="138" t="s">
        <v>1</v>
      </c>
      <c r="F17" s="138" t="s">
        <v>216</v>
      </c>
      <c r="G17" s="183">
        <v>0.29759999999999998</v>
      </c>
      <c r="H17" s="184">
        <v>168</v>
      </c>
      <c r="I17" s="184">
        <v>50</v>
      </c>
      <c r="J17" s="184">
        <v>0</v>
      </c>
      <c r="K17" s="184" t="s">
        <v>217</v>
      </c>
      <c r="L17" s="185">
        <v>45982</v>
      </c>
      <c r="M17" s="184">
        <v>0</v>
      </c>
      <c r="N17" s="184">
        <v>0</v>
      </c>
      <c r="O17" s="184">
        <v>14</v>
      </c>
      <c r="P17" s="184" t="s">
        <v>131</v>
      </c>
      <c r="Q17" s="184">
        <v>0</v>
      </c>
      <c r="R17" s="184">
        <v>0</v>
      </c>
      <c r="S17" s="184">
        <v>0</v>
      </c>
      <c r="T17" s="184">
        <v>0</v>
      </c>
      <c r="U17" s="184">
        <v>0</v>
      </c>
      <c r="V17" s="184">
        <v>0</v>
      </c>
      <c r="W17" s="184">
        <v>0</v>
      </c>
      <c r="X17" s="184">
        <v>0</v>
      </c>
      <c r="Y17" s="184">
        <v>0</v>
      </c>
      <c r="Z17" s="184">
        <v>9</v>
      </c>
      <c r="AA17" s="184">
        <v>0</v>
      </c>
      <c r="AB17" s="184">
        <v>2</v>
      </c>
      <c r="AC17" s="184">
        <v>7</v>
      </c>
      <c r="AD17" s="184">
        <v>2</v>
      </c>
      <c r="AE17" s="184">
        <v>4</v>
      </c>
      <c r="AF17" s="184">
        <v>26</v>
      </c>
      <c r="AG17" s="184">
        <v>0</v>
      </c>
      <c r="AH17" s="184">
        <v>0</v>
      </c>
      <c r="AI17" s="184">
        <v>0</v>
      </c>
      <c r="AJ17" s="184">
        <v>0</v>
      </c>
    </row>
    <row r="18" spans="1:36" x14ac:dyDescent="0.3">
      <c r="A18" s="180" t="s">
        <v>222</v>
      </c>
      <c r="B18" s="181">
        <v>45995</v>
      </c>
      <c r="C18" s="138" t="s">
        <v>391</v>
      </c>
      <c r="D18" s="182" t="s">
        <v>542</v>
      </c>
      <c r="E18" s="138" t="s">
        <v>353</v>
      </c>
      <c r="F18" s="138" t="s">
        <v>216</v>
      </c>
      <c r="G18" s="183">
        <v>0.49440000000000001</v>
      </c>
      <c r="H18" s="184">
        <v>180</v>
      </c>
      <c r="I18" s="184">
        <v>89</v>
      </c>
      <c r="J18" s="184">
        <v>0</v>
      </c>
      <c r="K18" s="184" t="s">
        <v>217</v>
      </c>
      <c r="L18" s="185">
        <v>45983</v>
      </c>
      <c r="M18" s="184">
        <v>0</v>
      </c>
      <c r="N18" s="184">
        <v>19</v>
      </c>
      <c r="O18" s="184">
        <v>46</v>
      </c>
      <c r="P18" s="184" t="s">
        <v>224</v>
      </c>
      <c r="Q18" s="184">
        <v>0</v>
      </c>
      <c r="R18" s="184">
        <v>0</v>
      </c>
      <c r="S18" s="184">
        <v>0</v>
      </c>
      <c r="T18" s="184">
        <v>0</v>
      </c>
      <c r="U18" s="184">
        <v>0</v>
      </c>
      <c r="V18" s="184">
        <v>0</v>
      </c>
      <c r="W18" s="184">
        <v>0</v>
      </c>
      <c r="X18" s="184">
        <v>9</v>
      </c>
      <c r="Y18" s="184">
        <v>30</v>
      </c>
      <c r="Z18" s="184">
        <v>21</v>
      </c>
      <c r="AA18" s="184">
        <v>1</v>
      </c>
      <c r="AB18" s="184">
        <v>7</v>
      </c>
      <c r="AC18" s="184">
        <v>9</v>
      </c>
      <c r="AD18" s="184">
        <v>6</v>
      </c>
      <c r="AE18" s="184">
        <v>6</v>
      </c>
      <c r="AF18" s="184">
        <v>0</v>
      </c>
      <c r="AG18" s="184">
        <v>0</v>
      </c>
      <c r="AH18" s="184">
        <v>0</v>
      </c>
      <c r="AI18" s="184">
        <v>0</v>
      </c>
      <c r="AJ18" s="184">
        <v>0</v>
      </c>
    </row>
    <row r="19" spans="1:36" x14ac:dyDescent="0.3">
      <c r="A19" s="180" t="s">
        <v>222</v>
      </c>
      <c r="B19" s="181">
        <v>45995</v>
      </c>
      <c r="C19" s="138" t="s">
        <v>80</v>
      </c>
      <c r="D19" s="182" t="s">
        <v>223</v>
      </c>
      <c r="E19" s="138" t="s">
        <v>1</v>
      </c>
      <c r="F19" s="138" t="s">
        <v>216</v>
      </c>
      <c r="G19" s="183">
        <v>0.29759999999999998</v>
      </c>
      <c r="H19" s="184">
        <v>168</v>
      </c>
      <c r="I19" s="184">
        <v>50</v>
      </c>
      <c r="J19" s="184">
        <v>0</v>
      </c>
      <c r="K19" s="184" t="s">
        <v>217</v>
      </c>
      <c r="L19" s="185">
        <v>45984</v>
      </c>
      <c r="M19" s="184">
        <v>2</v>
      </c>
      <c r="N19" s="184">
        <v>3</v>
      </c>
      <c r="O19" s="184">
        <v>13</v>
      </c>
      <c r="P19" s="184" t="s">
        <v>136</v>
      </c>
      <c r="Q19" s="184">
        <v>0</v>
      </c>
      <c r="R19" s="184">
        <v>0</v>
      </c>
      <c r="S19" s="184">
        <v>0</v>
      </c>
      <c r="T19" s="184">
        <v>0</v>
      </c>
      <c r="U19" s="184">
        <v>0</v>
      </c>
      <c r="V19" s="184">
        <v>0</v>
      </c>
      <c r="W19" s="184">
        <v>0</v>
      </c>
      <c r="X19" s="184">
        <v>0</v>
      </c>
      <c r="Y19" s="184">
        <v>0</v>
      </c>
      <c r="Z19" s="184">
        <v>4</v>
      </c>
      <c r="AA19" s="184">
        <v>2</v>
      </c>
      <c r="AB19" s="184">
        <v>10</v>
      </c>
      <c r="AC19" s="184">
        <v>3</v>
      </c>
      <c r="AD19" s="184">
        <v>4</v>
      </c>
      <c r="AE19" s="184">
        <v>3</v>
      </c>
      <c r="AF19" s="184">
        <v>24</v>
      </c>
      <c r="AG19" s="184">
        <v>0</v>
      </c>
      <c r="AH19" s="184">
        <v>0</v>
      </c>
      <c r="AI19" s="184">
        <v>0</v>
      </c>
      <c r="AJ19" s="184">
        <v>0</v>
      </c>
    </row>
    <row r="20" spans="1:36" x14ac:dyDescent="0.3">
      <c r="A20" s="180" t="s">
        <v>231</v>
      </c>
      <c r="B20" s="181">
        <v>45996</v>
      </c>
      <c r="C20" s="138" t="s">
        <v>391</v>
      </c>
      <c r="D20" s="182" t="s">
        <v>551</v>
      </c>
      <c r="E20" s="138" t="s">
        <v>353</v>
      </c>
      <c r="F20" s="138" t="s">
        <v>216</v>
      </c>
      <c r="G20" s="183">
        <v>0.4778</v>
      </c>
      <c r="H20" s="184">
        <v>180</v>
      </c>
      <c r="I20" s="184">
        <v>86</v>
      </c>
      <c r="J20" s="184">
        <v>0</v>
      </c>
      <c r="K20" s="184" t="s">
        <v>217</v>
      </c>
      <c r="L20" s="185">
        <v>45984</v>
      </c>
      <c r="M20" s="184">
        <v>6</v>
      </c>
      <c r="N20" s="184">
        <v>12</v>
      </c>
      <c r="O20" s="184">
        <v>66</v>
      </c>
      <c r="P20" s="184" t="s">
        <v>240</v>
      </c>
      <c r="Q20" s="184">
        <v>0</v>
      </c>
      <c r="R20" s="184">
        <v>0</v>
      </c>
      <c r="S20" s="184">
        <v>0</v>
      </c>
      <c r="T20" s="184">
        <v>0</v>
      </c>
      <c r="U20" s="184">
        <v>0</v>
      </c>
      <c r="V20" s="184">
        <v>0</v>
      </c>
      <c r="W20" s="184">
        <v>0</v>
      </c>
      <c r="X20" s="184">
        <v>0</v>
      </c>
      <c r="Y20" s="184">
        <v>9</v>
      </c>
      <c r="Z20" s="184">
        <v>17</v>
      </c>
      <c r="AA20" s="184">
        <v>10</v>
      </c>
      <c r="AB20" s="184">
        <v>10</v>
      </c>
      <c r="AC20" s="184">
        <v>10</v>
      </c>
      <c r="AD20" s="184">
        <v>25</v>
      </c>
      <c r="AE20" s="184">
        <v>5</v>
      </c>
      <c r="AF20" s="184">
        <v>0</v>
      </c>
      <c r="AG20" s="184">
        <v>0</v>
      </c>
      <c r="AH20" s="184">
        <v>0</v>
      </c>
      <c r="AI20" s="184">
        <v>0</v>
      </c>
      <c r="AJ20" s="184">
        <v>0</v>
      </c>
    </row>
    <row r="21" spans="1:36" x14ac:dyDescent="0.3">
      <c r="A21" s="180" t="s">
        <v>231</v>
      </c>
      <c r="B21" s="181">
        <v>45996</v>
      </c>
      <c r="C21" s="138" t="s">
        <v>603</v>
      </c>
      <c r="D21" s="182" t="s">
        <v>638</v>
      </c>
      <c r="E21" s="138" t="s">
        <v>600</v>
      </c>
      <c r="F21" s="138" t="s">
        <v>216</v>
      </c>
      <c r="G21" s="183">
        <v>0.5111</v>
      </c>
      <c r="H21" s="184">
        <v>180</v>
      </c>
      <c r="I21" s="184">
        <v>92</v>
      </c>
      <c r="J21" s="184">
        <v>0</v>
      </c>
      <c r="K21" s="184" t="s">
        <v>217</v>
      </c>
      <c r="L21" s="185">
        <v>45984</v>
      </c>
      <c r="M21" s="184">
        <v>6</v>
      </c>
      <c r="N21" s="184">
        <v>11</v>
      </c>
      <c r="O21" s="184">
        <v>51</v>
      </c>
      <c r="P21" s="184" t="s">
        <v>392</v>
      </c>
      <c r="Q21" s="184">
        <v>1</v>
      </c>
      <c r="R21" s="184">
        <v>1</v>
      </c>
      <c r="S21" s="184">
        <v>0</v>
      </c>
      <c r="T21" s="184">
        <v>0</v>
      </c>
      <c r="U21" s="184">
        <v>0</v>
      </c>
      <c r="V21" s="184">
        <v>10</v>
      </c>
      <c r="W21" s="184">
        <v>10</v>
      </c>
      <c r="X21" s="184">
        <v>10</v>
      </c>
      <c r="Y21" s="184">
        <v>28</v>
      </c>
      <c r="Z21" s="184">
        <v>2</v>
      </c>
      <c r="AA21" s="184">
        <v>6</v>
      </c>
      <c r="AB21" s="184">
        <v>8</v>
      </c>
      <c r="AC21" s="184">
        <v>7</v>
      </c>
      <c r="AD21" s="184">
        <v>4</v>
      </c>
      <c r="AE21" s="184">
        <v>1</v>
      </c>
      <c r="AF21" s="184">
        <v>4</v>
      </c>
      <c r="AG21" s="184">
        <v>0</v>
      </c>
      <c r="AH21" s="184">
        <v>0</v>
      </c>
      <c r="AI21" s="184">
        <v>0</v>
      </c>
      <c r="AJ21" s="184">
        <v>0</v>
      </c>
    </row>
    <row r="22" spans="1:36" x14ac:dyDescent="0.3">
      <c r="A22" s="180" t="s">
        <v>231</v>
      </c>
      <c r="B22" s="181">
        <v>45996</v>
      </c>
      <c r="C22" s="138" t="s">
        <v>80</v>
      </c>
      <c r="D22" s="182" t="s">
        <v>232</v>
      </c>
      <c r="E22" s="138" t="s">
        <v>1</v>
      </c>
      <c r="F22" s="138" t="s">
        <v>216</v>
      </c>
      <c r="G22" s="183">
        <v>0.33929999999999999</v>
      </c>
      <c r="H22" s="184">
        <v>168</v>
      </c>
      <c r="I22" s="184">
        <v>57</v>
      </c>
      <c r="J22" s="184">
        <v>0</v>
      </c>
      <c r="K22" s="184" t="s">
        <v>217</v>
      </c>
      <c r="L22" s="185">
        <v>45982</v>
      </c>
      <c r="M22" s="184">
        <v>0</v>
      </c>
      <c r="N22" s="184">
        <v>0</v>
      </c>
      <c r="O22" s="184">
        <v>9</v>
      </c>
      <c r="P22" s="184" t="s">
        <v>138</v>
      </c>
      <c r="Q22" s="184">
        <v>0</v>
      </c>
      <c r="R22" s="184">
        <v>0</v>
      </c>
      <c r="S22" s="184">
        <v>0</v>
      </c>
      <c r="T22" s="184">
        <v>0</v>
      </c>
      <c r="U22" s="184">
        <v>0</v>
      </c>
      <c r="V22" s="184">
        <v>0</v>
      </c>
      <c r="W22" s="184">
        <v>0</v>
      </c>
      <c r="X22" s="184">
        <v>0</v>
      </c>
      <c r="Y22" s="184">
        <v>0</v>
      </c>
      <c r="Z22" s="184">
        <v>6</v>
      </c>
      <c r="AA22" s="184">
        <v>0</v>
      </c>
      <c r="AB22" s="184">
        <v>1</v>
      </c>
      <c r="AC22" s="184">
        <v>8</v>
      </c>
      <c r="AD22" s="184">
        <v>10</v>
      </c>
      <c r="AE22" s="184">
        <v>7</v>
      </c>
      <c r="AF22" s="184">
        <v>25</v>
      </c>
      <c r="AG22" s="184">
        <v>0</v>
      </c>
      <c r="AH22" s="184">
        <v>0</v>
      </c>
      <c r="AI22" s="184">
        <v>0</v>
      </c>
      <c r="AJ22" s="184">
        <v>0</v>
      </c>
    </row>
    <row r="23" spans="1:36" x14ac:dyDescent="0.3">
      <c r="A23" s="180" t="s">
        <v>231</v>
      </c>
      <c r="B23" s="181">
        <v>45996</v>
      </c>
      <c r="C23" s="138" t="s">
        <v>298</v>
      </c>
      <c r="D23" s="182" t="s">
        <v>340</v>
      </c>
      <c r="E23" s="138" t="s">
        <v>294</v>
      </c>
      <c r="F23" s="138" t="s">
        <v>216</v>
      </c>
      <c r="G23" s="183">
        <v>0.24399999999999999</v>
      </c>
      <c r="H23" s="184">
        <v>168</v>
      </c>
      <c r="I23" s="184">
        <v>41</v>
      </c>
      <c r="J23" s="184">
        <v>0</v>
      </c>
      <c r="K23" s="184" t="s">
        <v>217</v>
      </c>
      <c r="L23" s="185">
        <v>45984</v>
      </c>
      <c r="M23" s="184">
        <v>1</v>
      </c>
      <c r="N23" s="184">
        <v>2</v>
      </c>
      <c r="O23" s="184">
        <v>13</v>
      </c>
      <c r="P23" s="184" t="s">
        <v>243</v>
      </c>
      <c r="Q23" s="184">
        <v>0</v>
      </c>
      <c r="R23" s="184">
        <v>0</v>
      </c>
      <c r="S23" s="184">
        <v>0</v>
      </c>
      <c r="T23" s="184">
        <v>0</v>
      </c>
      <c r="U23" s="184">
        <v>0</v>
      </c>
      <c r="V23" s="184">
        <v>0</v>
      </c>
      <c r="W23" s="184">
        <v>0</v>
      </c>
      <c r="X23" s="184">
        <v>0</v>
      </c>
      <c r="Y23" s="184">
        <v>0</v>
      </c>
      <c r="Z23" s="184">
        <v>3</v>
      </c>
      <c r="AA23" s="184">
        <v>0</v>
      </c>
      <c r="AB23" s="184">
        <v>0</v>
      </c>
      <c r="AC23" s="184">
        <v>5</v>
      </c>
      <c r="AD23" s="184">
        <v>30</v>
      </c>
      <c r="AE23" s="184">
        <v>3</v>
      </c>
      <c r="AF23" s="184">
        <v>0</v>
      </c>
      <c r="AG23" s="184">
        <v>0</v>
      </c>
      <c r="AH23" s="184">
        <v>0</v>
      </c>
      <c r="AI23" s="184">
        <v>0</v>
      </c>
      <c r="AJ23" s="184">
        <v>0</v>
      </c>
    </row>
    <row r="24" spans="1:36" x14ac:dyDescent="0.3">
      <c r="A24" s="180" t="s">
        <v>238</v>
      </c>
      <c r="B24" s="181">
        <v>45997</v>
      </c>
      <c r="C24" s="138" t="s">
        <v>391</v>
      </c>
      <c r="D24" s="182" t="s">
        <v>542</v>
      </c>
      <c r="E24" s="138" t="s">
        <v>353</v>
      </c>
      <c r="F24" s="138" t="s">
        <v>216</v>
      </c>
      <c r="G24" s="183">
        <v>0.42780000000000001</v>
      </c>
      <c r="H24" s="184">
        <v>180</v>
      </c>
      <c r="I24" s="184">
        <v>77</v>
      </c>
      <c r="J24" s="184">
        <v>0</v>
      </c>
      <c r="K24" s="184" t="s">
        <v>217</v>
      </c>
      <c r="L24" s="185">
        <v>45984</v>
      </c>
      <c r="M24" s="184">
        <v>5</v>
      </c>
      <c r="N24" s="184">
        <v>3</v>
      </c>
      <c r="O24" s="184">
        <v>45</v>
      </c>
      <c r="P24" s="184" t="s">
        <v>225</v>
      </c>
      <c r="Q24" s="184">
        <v>0</v>
      </c>
      <c r="R24" s="184">
        <v>0</v>
      </c>
      <c r="S24" s="184">
        <v>0</v>
      </c>
      <c r="T24" s="184">
        <v>0</v>
      </c>
      <c r="U24" s="184">
        <v>0</v>
      </c>
      <c r="V24" s="184">
        <v>0</v>
      </c>
      <c r="W24" s="184">
        <v>2</v>
      </c>
      <c r="X24" s="184">
        <v>0</v>
      </c>
      <c r="Y24" s="184">
        <v>10</v>
      </c>
      <c r="Z24" s="184">
        <v>15</v>
      </c>
      <c r="AA24" s="184">
        <v>10</v>
      </c>
      <c r="AB24" s="184">
        <v>10</v>
      </c>
      <c r="AC24" s="184">
        <v>10</v>
      </c>
      <c r="AD24" s="184">
        <v>18</v>
      </c>
      <c r="AE24" s="184">
        <v>2</v>
      </c>
      <c r="AF24" s="184">
        <v>0</v>
      </c>
      <c r="AG24" s="184">
        <v>0</v>
      </c>
      <c r="AH24" s="184">
        <v>0</v>
      </c>
      <c r="AI24" s="184">
        <v>0</v>
      </c>
      <c r="AJ24" s="184">
        <v>0</v>
      </c>
    </row>
    <row r="25" spans="1:36" x14ac:dyDescent="0.3">
      <c r="A25" s="180" t="s">
        <v>238</v>
      </c>
      <c r="B25" s="181">
        <v>45997</v>
      </c>
      <c r="C25" s="138" t="s">
        <v>80</v>
      </c>
      <c r="D25" s="182" t="s">
        <v>223</v>
      </c>
      <c r="E25" s="138" t="s">
        <v>1</v>
      </c>
      <c r="F25" s="138" t="s">
        <v>216</v>
      </c>
      <c r="G25" s="183">
        <v>0.125</v>
      </c>
      <c r="H25" s="184">
        <v>168</v>
      </c>
      <c r="I25" s="184">
        <v>21</v>
      </c>
      <c r="J25" s="184">
        <v>0</v>
      </c>
      <c r="K25" s="184" t="s">
        <v>217</v>
      </c>
      <c r="L25" s="185">
        <v>45982</v>
      </c>
      <c r="M25" s="184">
        <v>0</v>
      </c>
      <c r="N25" s="184">
        <v>0</v>
      </c>
      <c r="O25" s="184">
        <v>1</v>
      </c>
      <c r="P25" s="184" t="s">
        <v>116</v>
      </c>
      <c r="Q25" s="184">
        <v>0</v>
      </c>
      <c r="R25" s="184">
        <v>0</v>
      </c>
      <c r="S25" s="184">
        <v>0</v>
      </c>
      <c r="T25" s="184">
        <v>0</v>
      </c>
      <c r="U25" s="184">
        <v>0</v>
      </c>
      <c r="V25" s="184">
        <v>0</v>
      </c>
      <c r="W25" s="184">
        <v>0</v>
      </c>
      <c r="X25" s="184">
        <v>0</v>
      </c>
      <c r="Y25" s="184">
        <v>0</v>
      </c>
      <c r="Z25" s="184">
        <v>1</v>
      </c>
      <c r="AA25" s="184">
        <v>0</v>
      </c>
      <c r="AB25" s="184">
        <v>0</v>
      </c>
      <c r="AC25" s="184">
        <v>0</v>
      </c>
      <c r="AD25" s="184">
        <v>8</v>
      </c>
      <c r="AE25" s="184">
        <v>2</v>
      </c>
      <c r="AF25" s="184">
        <v>10</v>
      </c>
      <c r="AG25" s="184">
        <v>0</v>
      </c>
      <c r="AH25" s="184">
        <v>0</v>
      </c>
      <c r="AI25" s="184">
        <v>0</v>
      </c>
      <c r="AJ25" s="184">
        <v>0</v>
      </c>
    </row>
    <row r="26" spans="1:36" x14ac:dyDescent="0.3">
      <c r="A26" s="180" t="s">
        <v>334</v>
      </c>
      <c r="B26" s="181">
        <v>45999</v>
      </c>
      <c r="C26" s="138" t="s">
        <v>603</v>
      </c>
      <c r="D26" s="182" t="s">
        <v>340</v>
      </c>
      <c r="E26" s="138" t="s">
        <v>600</v>
      </c>
      <c r="F26" s="138" t="s">
        <v>216</v>
      </c>
      <c r="G26" s="183">
        <v>0.38329999999999997</v>
      </c>
      <c r="H26" s="184">
        <v>180</v>
      </c>
      <c r="I26" s="184">
        <v>69</v>
      </c>
      <c r="J26" s="184">
        <v>0</v>
      </c>
      <c r="K26" s="184" t="s">
        <v>217</v>
      </c>
      <c r="L26" s="185">
        <v>45984</v>
      </c>
      <c r="M26" s="184">
        <v>14</v>
      </c>
      <c r="N26" s="184">
        <v>5</v>
      </c>
      <c r="O26" s="184">
        <v>39</v>
      </c>
      <c r="P26" s="184" t="s">
        <v>616</v>
      </c>
      <c r="Q26" s="184">
        <v>0</v>
      </c>
      <c r="R26" s="184">
        <v>0</v>
      </c>
      <c r="S26" s="184">
        <v>0</v>
      </c>
      <c r="T26" s="184">
        <v>0</v>
      </c>
      <c r="U26" s="184">
        <v>0</v>
      </c>
      <c r="V26" s="184">
        <v>0</v>
      </c>
      <c r="W26" s="184">
        <v>4</v>
      </c>
      <c r="X26" s="184">
        <v>7</v>
      </c>
      <c r="Y26" s="184">
        <v>7</v>
      </c>
      <c r="Z26" s="184">
        <v>17</v>
      </c>
      <c r="AA26" s="184">
        <v>7</v>
      </c>
      <c r="AB26" s="184">
        <v>8</v>
      </c>
      <c r="AC26" s="184">
        <v>7</v>
      </c>
      <c r="AD26" s="184">
        <v>7</v>
      </c>
      <c r="AE26" s="184">
        <v>5</v>
      </c>
      <c r="AF26" s="184">
        <v>0</v>
      </c>
      <c r="AG26" s="184">
        <v>0</v>
      </c>
      <c r="AH26" s="184">
        <v>0</v>
      </c>
      <c r="AI26" s="184">
        <v>0</v>
      </c>
      <c r="AJ26" s="184">
        <v>0</v>
      </c>
    </row>
    <row r="27" spans="1:36" x14ac:dyDescent="0.3">
      <c r="A27" s="180" t="s">
        <v>334</v>
      </c>
      <c r="B27" s="181">
        <v>45999</v>
      </c>
      <c r="C27" s="138" t="s">
        <v>298</v>
      </c>
      <c r="D27" s="182" t="s">
        <v>335</v>
      </c>
      <c r="E27" s="138" t="s">
        <v>294</v>
      </c>
      <c r="F27" s="138" t="s">
        <v>216</v>
      </c>
      <c r="G27" s="183">
        <v>0.28570000000000001</v>
      </c>
      <c r="H27" s="184">
        <v>168</v>
      </c>
      <c r="I27" s="184">
        <v>48</v>
      </c>
      <c r="J27" s="184">
        <v>0</v>
      </c>
      <c r="K27" s="184" t="s">
        <v>217</v>
      </c>
      <c r="L27" s="185">
        <v>45984</v>
      </c>
      <c r="M27" s="184">
        <v>1</v>
      </c>
      <c r="N27" s="184">
        <v>3</v>
      </c>
      <c r="O27" s="184">
        <v>17</v>
      </c>
      <c r="P27" s="184" t="s">
        <v>274</v>
      </c>
      <c r="Q27" s="184">
        <v>0</v>
      </c>
      <c r="R27" s="184">
        <v>0</v>
      </c>
      <c r="S27" s="184">
        <v>0</v>
      </c>
      <c r="T27" s="184">
        <v>0</v>
      </c>
      <c r="U27" s="184">
        <v>0</v>
      </c>
      <c r="V27" s="184">
        <v>0</v>
      </c>
      <c r="W27" s="184">
        <v>0</v>
      </c>
      <c r="X27" s="184">
        <v>0</v>
      </c>
      <c r="Y27" s="184">
        <v>0</v>
      </c>
      <c r="Z27" s="184">
        <v>0</v>
      </c>
      <c r="AA27" s="184">
        <v>0</v>
      </c>
      <c r="AB27" s="184">
        <v>0</v>
      </c>
      <c r="AC27" s="184">
        <v>0</v>
      </c>
      <c r="AD27" s="184">
        <v>8</v>
      </c>
      <c r="AE27" s="184">
        <v>25</v>
      </c>
      <c r="AF27" s="184">
        <v>15</v>
      </c>
      <c r="AG27" s="184">
        <v>0</v>
      </c>
      <c r="AH27" s="184">
        <v>0</v>
      </c>
      <c r="AI27" s="184">
        <v>0</v>
      </c>
      <c r="AJ27" s="184">
        <v>0</v>
      </c>
    </row>
    <row r="28" spans="1:36" x14ac:dyDescent="0.3">
      <c r="A28" s="180" t="s">
        <v>214</v>
      </c>
      <c r="B28" s="181">
        <v>46000</v>
      </c>
      <c r="C28" s="138" t="s">
        <v>391</v>
      </c>
      <c r="D28" s="182" t="s">
        <v>535</v>
      </c>
      <c r="E28" s="138" t="s">
        <v>353</v>
      </c>
      <c r="F28" s="138" t="s">
        <v>216</v>
      </c>
      <c r="G28" s="183">
        <v>0.37780000000000002</v>
      </c>
      <c r="H28" s="184">
        <v>180</v>
      </c>
      <c r="I28" s="184">
        <v>68</v>
      </c>
      <c r="J28" s="184">
        <v>0</v>
      </c>
      <c r="K28" s="184" t="s">
        <v>217</v>
      </c>
      <c r="L28" s="185">
        <v>45984</v>
      </c>
      <c r="M28" s="184">
        <v>1</v>
      </c>
      <c r="N28" s="184">
        <v>7</v>
      </c>
      <c r="O28" s="184">
        <v>38</v>
      </c>
      <c r="P28" s="184" t="s">
        <v>471</v>
      </c>
      <c r="Q28" s="184">
        <v>0</v>
      </c>
      <c r="R28" s="184">
        <v>0</v>
      </c>
      <c r="S28" s="184">
        <v>0</v>
      </c>
      <c r="T28" s="184">
        <v>0</v>
      </c>
      <c r="U28" s="184">
        <v>0</v>
      </c>
      <c r="V28" s="184">
        <v>0</v>
      </c>
      <c r="W28" s="184">
        <v>0</v>
      </c>
      <c r="X28" s="184">
        <v>0</v>
      </c>
      <c r="Y28" s="184">
        <v>0</v>
      </c>
      <c r="Z28" s="184">
        <v>1</v>
      </c>
      <c r="AA28" s="184">
        <v>1</v>
      </c>
      <c r="AB28" s="184">
        <v>0</v>
      </c>
      <c r="AC28" s="184">
        <v>5</v>
      </c>
      <c r="AD28" s="184">
        <v>10</v>
      </c>
      <c r="AE28" s="184">
        <v>28</v>
      </c>
      <c r="AF28" s="184">
        <v>23</v>
      </c>
      <c r="AG28" s="184">
        <v>0</v>
      </c>
      <c r="AH28" s="184">
        <v>0</v>
      </c>
      <c r="AI28" s="184">
        <v>0</v>
      </c>
      <c r="AJ28" s="184">
        <v>0</v>
      </c>
    </row>
    <row r="29" spans="1:36" x14ac:dyDescent="0.3">
      <c r="A29" s="180" t="s">
        <v>214</v>
      </c>
      <c r="B29" s="181">
        <v>46000</v>
      </c>
      <c r="C29" s="138" t="s">
        <v>80</v>
      </c>
      <c r="D29" s="182" t="s">
        <v>215</v>
      </c>
      <c r="E29" s="138" t="s">
        <v>1</v>
      </c>
      <c r="F29" s="138" t="s">
        <v>216</v>
      </c>
      <c r="G29" s="183">
        <v>0.20830000000000001</v>
      </c>
      <c r="H29" s="184">
        <v>168</v>
      </c>
      <c r="I29" s="184">
        <v>35</v>
      </c>
      <c r="J29" s="184">
        <v>0</v>
      </c>
      <c r="K29" s="184" t="s">
        <v>217</v>
      </c>
      <c r="L29" s="185">
        <v>45983</v>
      </c>
      <c r="M29" s="184">
        <v>0</v>
      </c>
      <c r="N29" s="184">
        <v>1</v>
      </c>
      <c r="O29" s="184">
        <v>9</v>
      </c>
      <c r="P29" s="184" t="s">
        <v>116</v>
      </c>
      <c r="Q29" s="184">
        <v>0</v>
      </c>
      <c r="R29" s="184">
        <v>0</v>
      </c>
      <c r="S29" s="184">
        <v>0</v>
      </c>
      <c r="T29" s="184">
        <v>0</v>
      </c>
      <c r="U29" s="184">
        <v>0</v>
      </c>
      <c r="V29" s="184">
        <v>0</v>
      </c>
      <c r="W29" s="184">
        <v>0</v>
      </c>
      <c r="X29" s="184">
        <v>0</v>
      </c>
      <c r="Y29" s="184">
        <v>0</v>
      </c>
      <c r="Z29" s="184">
        <v>7</v>
      </c>
      <c r="AA29" s="184">
        <v>0</v>
      </c>
      <c r="AB29" s="184">
        <v>0</v>
      </c>
      <c r="AC29" s="184">
        <v>7</v>
      </c>
      <c r="AD29" s="184">
        <v>4</v>
      </c>
      <c r="AE29" s="184">
        <v>0</v>
      </c>
      <c r="AF29" s="184">
        <v>17</v>
      </c>
      <c r="AG29" s="184">
        <v>0</v>
      </c>
      <c r="AH29" s="184">
        <v>0</v>
      </c>
      <c r="AI29" s="184">
        <v>0</v>
      </c>
      <c r="AJ29" s="184">
        <v>0</v>
      </c>
    </row>
    <row r="30" spans="1:36" x14ac:dyDescent="0.3">
      <c r="A30" s="180" t="s">
        <v>222</v>
      </c>
      <c r="B30" s="181">
        <v>46002</v>
      </c>
      <c r="C30" s="138" t="s">
        <v>391</v>
      </c>
      <c r="D30" s="182" t="s">
        <v>542</v>
      </c>
      <c r="E30" s="138" t="s">
        <v>353</v>
      </c>
      <c r="F30" s="138" t="s">
        <v>216</v>
      </c>
      <c r="G30" s="183">
        <v>0.42220000000000002</v>
      </c>
      <c r="H30" s="184">
        <v>180</v>
      </c>
      <c r="I30" s="184">
        <v>76</v>
      </c>
      <c r="J30" s="184">
        <v>0</v>
      </c>
      <c r="K30" s="184" t="s">
        <v>217</v>
      </c>
      <c r="L30" s="185">
        <v>45984</v>
      </c>
      <c r="M30" s="184">
        <v>2</v>
      </c>
      <c r="N30" s="184">
        <v>21</v>
      </c>
      <c r="O30" s="184">
        <v>57</v>
      </c>
      <c r="P30" s="184" t="s">
        <v>478</v>
      </c>
      <c r="Q30" s="184">
        <v>0</v>
      </c>
      <c r="R30" s="184">
        <v>0</v>
      </c>
      <c r="S30" s="184">
        <v>0</v>
      </c>
      <c r="T30" s="184">
        <v>0</v>
      </c>
      <c r="U30" s="184">
        <v>0</v>
      </c>
      <c r="V30" s="184">
        <v>0</v>
      </c>
      <c r="W30" s="184">
        <v>0</v>
      </c>
      <c r="X30" s="184">
        <v>0</v>
      </c>
      <c r="Y30" s="184">
        <v>1</v>
      </c>
      <c r="Z30" s="184">
        <v>0</v>
      </c>
      <c r="AA30" s="184">
        <v>3</v>
      </c>
      <c r="AB30" s="184">
        <v>2</v>
      </c>
      <c r="AC30" s="184">
        <v>10</v>
      </c>
      <c r="AD30" s="184">
        <v>10</v>
      </c>
      <c r="AE30" s="184">
        <v>30</v>
      </c>
      <c r="AF30" s="184">
        <v>20</v>
      </c>
      <c r="AG30" s="184">
        <v>0</v>
      </c>
      <c r="AH30" s="184">
        <v>0</v>
      </c>
      <c r="AI30" s="184">
        <v>0</v>
      </c>
      <c r="AJ30" s="184">
        <v>0</v>
      </c>
    </row>
    <row r="31" spans="1:36" x14ac:dyDescent="0.3">
      <c r="A31" s="180" t="s">
        <v>222</v>
      </c>
      <c r="B31" s="181">
        <v>46002</v>
      </c>
      <c r="C31" s="138" t="s">
        <v>80</v>
      </c>
      <c r="D31" s="182" t="s">
        <v>223</v>
      </c>
      <c r="E31" s="138" t="s">
        <v>1</v>
      </c>
      <c r="F31" s="138" t="s">
        <v>216</v>
      </c>
      <c r="G31" s="183">
        <v>0.1429</v>
      </c>
      <c r="H31" s="184">
        <v>168</v>
      </c>
      <c r="I31" s="184">
        <v>24</v>
      </c>
      <c r="J31" s="184">
        <v>0</v>
      </c>
      <c r="K31" s="184" t="s">
        <v>217</v>
      </c>
      <c r="L31" s="185">
        <v>45983</v>
      </c>
      <c r="M31" s="184">
        <v>0</v>
      </c>
      <c r="N31" s="184">
        <v>3</v>
      </c>
      <c r="O31" s="184">
        <v>7</v>
      </c>
      <c r="P31" s="184" t="s">
        <v>111</v>
      </c>
      <c r="Q31" s="184">
        <v>0</v>
      </c>
      <c r="R31" s="184">
        <v>0</v>
      </c>
      <c r="S31" s="184">
        <v>0</v>
      </c>
      <c r="T31" s="184">
        <v>0</v>
      </c>
      <c r="U31" s="184">
        <v>0</v>
      </c>
      <c r="V31" s="184">
        <v>0</v>
      </c>
      <c r="W31" s="184">
        <v>0</v>
      </c>
      <c r="X31" s="184">
        <v>0</v>
      </c>
      <c r="Y31" s="184">
        <v>0</v>
      </c>
      <c r="Z31" s="184">
        <v>1</v>
      </c>
      <c r="AA31" s="184">
        <v>2</v>
      </c>
      <c r="AB31" s="184">
        <v>0</v>
      </c>
      <c r="AC31" s="184">
        <v>0</v>
      </c>
      <c r="AD31" s="184">
        <v>0</v>
      </c>
      <c r="AE31" s="184">
        <v>1</v>
      </c>
      <c r="AF31" s="184">
        <v>20</v>
      </c>
      <c r="AG31" s="184">
        <v>0</v>
      </c>
      <c r="AH31" s="184">
        <v>0</v>
      </c>
      <c r="AI31" s="184">
        <v>0</v>
      </c>
      <c r="AJ31" s="184">
        <v>0</v>
      </c>
    </row>
    <row r="32" spans="1:36" x14ac:dyDescent="0.3">
      <c r="A32" s="180" t="s">
        <v>231</v>
      </c>
      <c r="B32" s="181">
        <v>46003</v>
      </c>
      <c r="C32" s="138" t="s">
        <v>391</v>
      </c>
      <c r="D32" s="182" t="s">
        <v>551</v>
      </c>
      <c r="E32" s="138" t="s">
        <v>353</v>
      </c>
      <c r="F32" s="138" t="s">
        <v>216</v>
      </c>
      <c r="G32" s="183">
        <v>0.31109999999999999</v>
      </c>
      <c r="H32" s="184">
        <v>180</v>
      </c>
      <c r="I32" s="184">
        <v>56</v>
      </c>
      <c r="J32" s="184">
        <v>0</v>
      </c>
      <c r="K32" s="184" t="s">
        <v>217</v>
      </c>
      <c r="L32" s="185">
        <v>45984</v>
      </c>
      <c r="M32" s="184">
        <v>4</v>
      </c>
      <c r="N32" s="184">
        <v>6</v>
      </c>
      <c r="O32" s="184">
        <v>25</v>
      </c>
      <c r="P32" s="184" t="s">
        <v>150</v>
      </c>
      <c r="Q32" s="184">
        <v>0</v>
      </c>
      <c r="R32" s="184">
        <v>0</v>
      </c>
      <c r="S32" s="184">
        <v>0</v>
      </c>
      <c r="T32" s="184">
        <v>0</v>
      </c>
      <c r="U32" s="184">
        <v>0</v>
      </c>
      <c r="V32" s="184">
        <v>0</v>
      </c>
      <c r="W32" s="184">
        <v>0</v>
      </c>
      <c r="X32" s="184">
        <v>0</v>
      </c>
      <c r="Y32" s="184">
        <v>0</v>
      </c>
      <c r="Z32" s="184">
        <v>2</v>
      </c>
      <c r="AA32" s="184">
        <v>3</v>
      </c>
      <c r="AB32" s="184">
        <v>0</v>
      </c>
      <c r="AC32" s="184">
        <v>2</v>
      </c>
      <c r="AD32" s="184">
        <v>7</v>
      </c>
      <c r="AE32" s="184">
        <v>22</v>
      </c>
      <c r="AF32" s="184">
        <v>20</v>
      </c>
      <c r="AG32" s="184">
        <v>0</v>
      </c>
      <c r="AH32" s="184">
        <v>0</v>
      </c>
      <c r="AI32" s="184">
        <v>0</v>
      </c>
      <c r="AJ32" s="184">
        <v>0</v>
      </c>
    </row>
    <row r="33" spans="1:36" x14ac:dyDescent="0.3">
      <c r="A33" s="180" t="s">
        <v>231</v>
      </c>
      <c r="B33" s="181">
        <v>46003</v>
      </c>
      <c r="C33" s="138" t="s">
        <v>603</v>
      </c>
      <c r="D33" s="182" t="s">
        <v>638</v>
      </c>
      <c r="E33" s="138" t="s">
        <v>600</v>
      </c>
      <c r="F33" s="138" t="s">
        <v>216</v>
      </c>
      <c r="G33" s="183">
        <v>0.28889999999999999</v>
      </c>
      <c r="H33" s="184">
        <v>180</v>
      </c>
      <c r="I33" s="184">
        <v>52</v>
      </c>
      <c r="J33" s="184">
        <v>0</v>
      </c>
      <c r="K33" s="184" t="s">
        <v>217</v>
      </c>
      <c r="L33" s="185">
        <v>45984</v>
      </c>
      <c r="M33" s="184">
        <v>4</v>
      </c>
      <c r="N33" s="184">
        <v>7</v>
      </c>
      <c r="O33" s="184">
        <v>29</v>
      </c>
      <c r="P33" s="184" t="s">
        <v>618</v>
      </c>
      <c r="Q33" s="184">
        <v>0</v>
      </c>
      <c r="R33" s="184">
        <v>0</v>
      </c>
      <c r="S33" s="184">
        <v>0</v>
      </c>
      <c r="T33" s="184">
        <v>0</v>
      </c>
      <c r="U33" s="184">
        <v>1</v>
      </c>
      <c r="V33" s="184">
        <v>0</v>
      </c>
      <c r="W33" s="184">
        <v>0</v>
      </c>
      <c r="X33" s="184">
        <v>3</v>
      </c>
      <c r="Y33" s="184">
        <v>7</v>
      </c>
      <c r="Z33" s="184">
        <v>8</v>
      </c>
      <c r="AA33" s="184">
        <v>7</v>
      </c>
      <c r="AB33" s="184">
        <v>8</v>
      </c>
      <c r="AC33" s="184">
        <v>7</v>
      </c>
      <c r="AD33" s="184">
        <v>7</v>
      </c>
      <c r="AE33" s="184">
        <v>4</v>
      </c>
      <c r="AF33" s="184">
        <v>0</v>
      </c>
      <c r="AG33" s="184">
        <v>0</v>
      </c>
      <c r="AH33" s="184">
        <v>0</v>
      </c>
      <c r="AI33" s="184">
        <v>0</v>
      </c>
      <c r="AJ33" s="184">
        <v>0</v>
      </c>
    </row>
    <row r="34" spans="1:36" x14ac:dyDescent="0.3">
      <c r="A34" s="180" t="s">
        <v>231</v>
      </c>
      <c r="B34" s="181">
        <v>46003</v>
      </c>
      <c r="C34" s="138" t="s">
        <v>80</v>
      </c>
      <c r="D34" s="182" t="s">
        <v>232</v>
      </c>
      <c r="E34" s="138" t="s">
        <v>1</v>
      </c>
      <c r="F34" s="138" t="s">
        <v>216</v>
      </c>
      <c r="G34" s="183">
        <v>0.2024</v>
      </c>
      <c r="H34" s="184">
        <v>168</v>
      </c>
      <c r="I34" s="184">
        <v>34</v>
      </c>
      <c r="J34" s="184">
        <v>0</v>
      </c>
      <c r="K34" s="184" t="s">
        <v>217</v>
      </c>
      <c r="L34" s="185">
        <v>45983</v>
      </c>
      <c r="M34" s="184">
        <v>0</v>
      </c>
      <c r="N34" s="184">
        <v>1</v>
      </c>
      <c r="O34" s="184">
        <v>13</v>
      </c>
      <c r="P34" s="184" t="s">
        <v>150</v>
      </c>
      <c r="Q34" s="184">
        <v>0</v>
      </c>
      <c r="R34" s="184">
        <v>0</v>
      </c>
      <c r="S34" s="184">
        <v>0</v>
      </c>
      <c r="T34" s="184">
        <v>0</v>
      </c>
      <c r="U34" s="184">
        <v>0</v>
      </c>
      <c r="V34" s="184">
        <v>0</v>
      </c>
      <c r="W34" s="184">
        <v>0</v>
      </c>
      <c r="X34" s="184">
        <v>0</v>
      </c>
      <c r="Y34" s="184">
        <v>0</v>
      </c>
      <c r="Z34" s="184">
        <v>2</v>
      </c>
      <c r="AA34" s="184">
        <v>6</v>
      </c>
      <c r="AB34" s="184">
        <v>0</v>
      </c>
      <c r="AC34" s="184">
        <v>0</v>
      </c>
      <c r="AD34" s="184">
        <v>0</v>
      </c>
      <c r="AE34" s="184">
        <v>0</v>
      </c>
      <c r="AF34" s="184">
        <v>26</v>
      </c>
      <c r="AG34" s="184">
        <v>0</v>
      </c>
      <c r="AH34" s="184">
        <v>0</v>
      </c>
      <c r="AI34" s="184">
        <v>0</v>
      </c>
      <c r="AJ34" s="184">
        <v>0</v>
      </c>
    </row>
    <row r="35" spans="1:36" x14ac:dyDescent="0.3">
      <c r="A35" s="180" t="s">
        <v>231</v>
      </c>
      <c r="B35" s="181">
        <v>46003</v>
      </c>
      <c r="C35" s="138" t="s">
        <v>298</v>
      </c>
      <c r="D35" s="182" t="s">
        <v>340</v>
      </c>
      <c r="E35" s="138" t="s">
        <v>294</v>
      </c>
      <c r="F35" s="138" t="s">
        <v>216</v>
      </c>
      <c r="G35" s="183">
        <v>0.13100000000000001</v>
      </c>
      <c r="H35" s="184">
        <v>168</v>
      </c>
      <c r="I35" s="184">
        <v>22</v>
      </c>
      <c r="J35" s="184">
        <v>0</v>
      </c>
      <c r="K35" s="184" t="s">
        <v>217</v>
      </c>
      <c r="L35" s="185">
        <v>45984</v>
      </c>
      <c r="M35" s="184">
        <v>2</v>
      </c>
      <c r="N35" s="184">
        <v>0</v>
      </c>
      <c r="O35" s="184">
        <v>7</v>
      </c>
      <c r="P35" s="184" t="s">
        <v>258</v>
      </c>
      <c r="Q35" s="184">
        <v>0</v>
      </c>
      <c r="R35" s="184">
        <v>0</v>
      </c>
      <c r="S35" s="184">
        <v>0</v>
      </c>
      <c r="T35" s="184">
        <v>0</v>
      </c>
      <c r="U35" s="184">
        <v>0</v>
      </c>
      <c r="V35" s="184">
        <v>0</v>
      </c>
      <c r="W35" s="184">
        <v>0</v>
      </c>
      <c r="X35" s="184">
        <v>0</v>
      </c>
      <c r="Y35" s="184">
        <v>0</v>
      </c>
      <c r="Z35" s="184">
        <v>6</v>
      </c>
      <c r="AA35" s="184">
        <v>4</v>
      </c>
      <c r="AB35" s="184">
        <v>0</v>
      </c>
      <c r="AC35" s="184">
        <v>2</v>
      </c>
      <c r="AD35" s="184">
        <v>10</v>
      </c>
      <c r="AE35" s="184">
        <v>0</v>
      </c>
      <c r="AF35" s="184">
        <v>0</v>
      </c>
      <c r="AG35" s="184">
        <v>0</v>
      </c>
      <c r="AH35" s="184">
        <v>0</v>
      </c>
      <c r="AI35" s="184">
        <v>0</v>
      </c>
      <c r="AJ35" s="184">
        <v>0</v>
      </c>
    </row>
    <row r="36" spans="1:36" x14ac:dyDescent="0.3">
      <c r="A36" s="180" t="s">
        <v>238</v>
      </c>
      <c r="B36" s="181">
        <v>46004</v>
      </c>
      <c r="C36" s="138" t="s">
        <v>391</v>
      </c>
      <c r="D36" s="182" t="s">
        <v>542</v>
      </c>
      <c r="E36" s="138" t="s">
        <v>353</v>
      </c>
      <c r="F36" s="138" t="s">
        <v>216</v>
      </c>
      <c r="G36" s="183">
        <v>0.2722</v>
      </c>
      <c r="H36" s="184">
        <v>180</v>
      </c>
      <c r="I36" s="184">
        <v>49</v>
      </c>
      <c r="J36" s="184">
        <v>0</v>
      </c>
      <c r="K36" s="184" t="s">
        <v>217</v>
      </c>
      <c r="L36" s="185">
        <v>45983</v>
      </c>
      <c r="M36" s="184">
        <v>0</v>
      </c>
      <c r="N36" s="184">
        <v>3</v>
      </c>
      <c r="O36" s="184">
        <v>9</v>
      </c>
      <c r="P36" s="184" t="s">
        <v>309</v>
      </c>
      <c r="Q36" s="184">
        <v>0</v>
      </c>
      <c r="R36" s="184">
        <v>0</v>
      </c>
      <c r="S36" s="184">
        <v>0</v>
      </c>
      <c r="T36" s="184">
        <v>0</v>
      </c>
      <c r="U36" s="184">
        <v>0</v>
      </c>
      <c r="V36" s="184">
        <v>0</v>
      </c>
      <c r="W36" s="184">
        <v>0</v>
      </c>
      <c r="X36" s="184">
        <v>0</v>
      </c>
      <c r="Y36" s="184">
        <v>2</v>
      </c>
      <c r="Z36" s="184">
        <v>2</v>
      </c>
      <c r="AA36" s="184">
        <v>0</v>
      </c>
      <c r="AB36" s="184">
        <v>5</v>
      </c>
      <c r="AC36" s="184">
        <v>27</v>
      </c>
      <c r="AD36" s="184">
        <v>8</v>
      </c>
      <c r="AE36" s="184">
        <v>5</v>
      </c>
      <c r="AF36" s="184">
        <v>0</v>
      </c>
      <c r="AG36" s="184">
        <v>0</v>
      </c>
      <c r="AH36" s="184">
        <v>0</v>
      </c>
      <c r="AI36" s="184">
        <v>0</v>
      </c>
      <c r="AJ36" s="184">
        <v>0</v>
      </c>
    </row>
    <row r="37" spans="1:36" x14ac:dyDescent="0.3">
      <c r="A37" s="180" t="s">
        <v>238</v>
      </c>
      <c r="B37" s="181">
        <v>46004</v>
      </c>
      <c r="C37" s="138" t="s">
        <v>80</v>
      </c>
      <c r="D37" s="182" t="s">
        <v>223</v>
      </c>
      <c r="E37" s="138" t="s">
        <v>1</v>
      </c>
      <c r="F37" s="138" t="s">
        <v>216</v>
      </c>
      <c r="G37" s="183">
        <v>0.125</v>
      </c>
      <c r="H37" s="184">
        <v>168</v>
      </c>
      <c r="I37" s="184">
        <v>21</v>
      </c>
      <c r="J37" s="184">
        <v>0</v>
      </c>
      <c r="K37" s="184" t="s">
        <v>217</v>
      </c>
      <c r="L37" s="185">
        <v>45983</v>
      </c>
      <c r="M37" s="184">
        <v>0</v>
      </c>
      <c r="N37" s="184">
        <v>2</v>
      </c>
      <c r="O37" s="184">
        <v>10</v>
      </c>
      <c r="P37" s="184" t="s">
        <v>116</v>
      </c>
      <c r="Q37" s="184">
        <v>0</v>
      </c>
      <c r="R37" s="184">
        <v>0</v>
      </c>
      <c r="S37" s="184">
        <v>0</v>
      </c>
      <c r="T37" s="184">
        <v>0</v>
      </c>
      <c r="U37" s="184">
        <v>0</v>
      </c>
      <c r="V37" s="184">
        <v>0</v>
      </c>
      <c r="W37" s="184">
        <v>0</v>
      </c>
      <c r="X37" s="184">
        <v>0</v>
      </c>
      <c r="Y37" s="184">
        <v>0</v>
      </c>
      <c r="Z37" s="184">
        <v>6</v>
      </c>
      <c r="AA37" s="184">
        <v>1</v>
      </c>
      <c r="AB37" s="184">
        <v>0</v>
      </c>
      <c r="AC37" s="184">
        <v>0</v>
      </c>
      <c r="AD37" s="184">
        <v>0</v>
      </c>
      <c r="AE37" s="184">
        <v>0</v>
      </c>
      <c r="AF37" s="184">
        <v>14</v>
      </c>
      <c r="AG37" s="184">
        <v>0</v>
      </c>
      <c r="AH37" s="184">
        <v>0</v>
      </c>
      <c r="AI37" s="184">
        <v>0</v>
      </c>
      <c r="AJ37" s="184">
        <v>0</v>
      </c>
    </row>
    <row r="38" spans="1:36" x14ac:dyDescent="0.3">
      <c r="A38" s="180" t="s">
        <v>334</v>
      </c>
      <c r="B38" s="181">
        <v>46006</v>
      </c>
      <c r="C38" s="138" t="s">
        <v>603</v>
      </c>
      <c r="D38" s="182" t="s">
        <v>340</v>
      </c>
      <c r="E38" s="138" t="s">
        <v>600</v>
      </c>
      <c r="F38" s="138" t="s">
        <v>216</v>
      </c>
      <c r="G38" s="183">
        <v>0.23330000000000001</v>
      </c>
      <c r="H38" s="184">
        <v>180</v>
      </c>
      <c r="I38" s="184">
        <v>42</v>
      </c>
      <c r="J38" s="184">
        <v>0</v>
      </c>
      <c r="K38" s="184" t="s">
        <v>217</v>
      </c>
      <c r="L38" s="185">
        <v>45984</v>
      </c>
      <c r="M38" s="184">
        <v>5</v>
      </c>
      <c r="N38" s="184">
        <v>8</v>
      </c>
      <c r="O38" s="184">
        <v>25</v>
      </c>
      <c r="P38" s="184" t="s">
        <v>233</v>
      </c>
      <c r="Q38" s="184">
        <v>0</v>
      </c>
      <c r="R38" s="184">
        <v>0</v>
      </c>
      <c r="S38" s="184">
        <v>0</v>
      </c>
      <c r="T38" s="184">
        <v>0</v>
      </c>
      <c r="U38" s="184">
        <v>0</v>
      </c>
      <c r="V38" s="184">
        <v>0</v>
      </c>
      <c r="W38" s="184">
        <v>0</v>
      </c>
      <c r="X38" s="184">
        <v>0</v>
      </c>
      <c r="Y38" s="184">
        <v>3</v>
      </c>
      <c r="Z38" s="184">
        <v>7</v>
      </c>
      <c r="AA38" s="184">
        <v>7</v>
      </c>
      <c r="AB38" s="184">
        <v>6</v>
      </c>
      <c r="AC38" s="184">
        <v>7</v>
      </c>
      <c r="AD38" s="184">
        <v>7</v>
      </c>
      <c r="AE38" s="184">
        <v>5</v>
      </c>
      <c r="AF38" s="184">
        <v>0</v>
      </c>
      <c r="AG38" s="184">
        <v>0</v>
      </c>
      <c r="AH38" s="184">
        <v>0</v>
      </c>
      <c r="AI38" s="184">
        <v>0</v>
      </c>
      <c r="AJ38" s="184">
        <v>0</v>
      </c>
    </row>
    <row r="39" spans="1:36" x14ac:dyDescent="0.3">
      <c r="A39" s="180" t="s">
        <v>334</v>
      </c>
      <c r="B39" s="181">
        <v>46006</v>
      </c>
      <c r="C39" s="138" t="s">
        <v>298</v>
      </c>
      <c r="D39" s="182" t="s">
        <v>335</v>
      </c>
      <c r="E39" s="138" t="s">
        <v>294</v>
      </c>
      <c r="F39" s="138" t="s">
        <v>216</v>
      </c>
      <c r="G39" s="183">
        <v>0.13689999999999999</v>
      </c>
      <c r="H39" s="184">
        <v>168</v>
      </c>
      <c r="I39" s="184">
        <v>23</v>
      </c>
      <c r="J39" s="184">
        <v>0</v>
      </c>
      <c r="K39" s="184" t="s">
        <v>217</v>
      </c>
      <c r="L39" s="185">
        <v>45983</v>
      </c>
      <c r="M39" s="184">
        <v>0</v>
      </c>
      <c r="N39" s="184">
        <v>11</v>
      </c>
      <c r="O39" s="184">
        <v>14</v>
      </c>
      <c r="P39" s="184" t="s">
        <v>243</v>
      </c>
      <c r="Q39" s="184">
        <v>0</v>
      </c>
      <c r="R39" s="184">
        <v>0</v>
      </c>
      <c r="S39" s="184">
        <v>0</v>
      </c>
      <c r="T39" s="184">
        <v>0</v>
      </c>
      <c r="U39" s="184">
        <v>0</v>
      </c>
      <c r="V39" s="184">
        <v>0</v>
      </c>
      <c r="W39" s="184">
        <v>0</v>
      </c>
      <c r="X39" s="184">
        <v>0</v>
      </c>
      <c r="Y39" s="184">
        <v>0</v>
      </c>
      <c r="Z39" s="184">
        <v>3</v>
      </c>
      <c r="AA39" s="184">
        <v>1</v>
      </c>
      <c r="AB39" s="184">
        <v>0</v>
      </c>
      <c r="AC39" s="184">
        <v>0</v>
      </c>
      <c r="AD39" s="184">
        <v>19</v>
      </c>
      <c r="AE39" s="184">
        <v>0</v>
      </c>
      <c r="AF39" s="184">
        <v>0</v>
      </c>
      <c r="AG39" s="184">
        <v>0</v>
      </c>
      <c r="AH39" s="184">
        <v>0</v>
      </c>
      <c r="AI39" s="184">
        <v>0</v>
      </c>
      <c r="AJ39" s="184">
        <v>0</v>
      </c>
    </row>
    <row r="40" spans="1:36" x14ac:dyDescent="0.3">
      <c r="A40" s="180" t="s">
        <v>214</v>
      </c>
      <c r="B40" s="181">
        <v>46007</v>
      </c>
      <c r="C40" s="138" t="s">
        <v>391</v>
      </c>
      <c r="D40" s="182" t="s">
        <v>535</v>
      </c>
      <c r="E40" s="138" t="s">
        <v>353</v>
      </c>
      <c r="F40" s="138" t="s">
        <v>216</v>
      </c>
      <c r="G40" s="183">
        <v>0.1444</v>
      </c>
      <c r="H40" s="184">
        <v>180</v>
      </c>
      <c r="I40" s="184">
        <v>26</v>
      </c>
      <c r="J40" s="184">
        <v>0</v>
      </c>
      <c r="K40" s="184" t="s">
        <v>217</v>
      </c>
      <c r="L40" s="185">
        <v>45983</v>
      </c>
      <c r="M40" s="184">
        <v>0</v>
      </c>
      <c r="N40" s="184">
        <v>5</v>
      </c>
      <c r="O40" s="184">
        <v>15</v>
      </c>
      <c r="P40" s="184" t="s">
        <v>131</v>
      </c>
      <c r="Q40" s="184">
        <v>0</v>
      </c>
      <c r="R40" s="184">
        <v>0</v>
      </c>
      <c r="S40" s="184">
        <v>0</v>
      </c>
      <c r="T40" s="184">
        <v>0</v>
      </c>
      <c r="U40" s="184">
        <v>0</v>
      </c>
      <c r="V40" s="184">
        <v>0</v>
      </c>
      <c r="W40" s="184">
        <v>0</v>
      </c>
      <c r="X40" s="184">
        <v>0</v>
      </c>
      <c r="Y40" s="184">
        <v>0</v>
      </c>
      <c r="Z40" s="184">
        <v>1</v>
      </c>
      <c r="AA40" s="184">
        <v>0</v>
      </c>
      <c r="AB40" s="184">
        <v>0</v>
      </c>
      <c r="AC40" s="184">
        <v>0</v>
      </c>
      <c r="AD40" s="184">
        <v>1</v>
      </c>
      <c r="AE40" s="184">
        <v>14</v>
      </c>
      <c r="AF40" s="184">
        <v>10</v>
      </c>
      <c r="AG40" s="184">
        <v>0</v>
      </c>
      <c r="AH40" s="184">
        <v>0</v>
      </c>
      <c r="AI40" s="184">
        <v>0</v>
      </c>
      <c r="AJ40" s="184">
        <v>0</v>
      </c>
    </row>
    <row r="41" spans="1:36" x14ac:dyDescent="0.3">
      <c r="A41" s="180" t="s">
        <v>214</v>
      </c>
      <c r="B41" s="181">
        <v>46007</v>
      </c>
      <c r="C41" s="138" t="s">
        <v>80</v>
      </c>
      <c r="D41" s="182" t="s">
        <v>215</v>
      </c>
      <c r="E41" s="138" t="s">
        <v>1</v>
      </c>
      <c r="F41" s="138" t="s">
        <v>216</v>
      </c>
      <c r="G41" s="183">
        <v>0.16669999999999999</v>
      </c>
      <c r="H41" s="184">
        <v>168</v>
      </c>
      <c r="I41" s="184">
        <v>28</v>
      </c>
      <c r="J41" s="184">
        <v>0</v>
      </c>
      <c r="K41" s="184" t="s">
        <v>217</v>
      </c>
      <c r="L41" s="185">
        <v>45983</v>
      </c>
      <c r="M41" s="184">
        <v>0</v>
      </c>
      <c r="N41" s="184">
        <v>1</v>
      </c>
      <c r="O41" s="184">
        <v>3</v>
      </c>
      <c r="P41" s="184" t="s">
        <v>116</v>
      </c>
      <c r="Q41" s="184">
        <v>0</v>
      </c>
      <c r="R41" s="184">
        <v>0</v>
      </c>
      <c r="S41" s="184">
        <v>0</v>
      </c>
      <c r="T41" s="184">
        <v>0</v>
      </c>
      <c r="U41" s="184">
        <v>0</v>
      </c>
      <c r="V41" s="184">
        <v>0</v>
      </c>
      <c r="W41" s="184">
        <v>0</v>
      </c>
      <c r="X41" s="184">
        <v>0</v>
      </c>
      <c r="Y41" s="184">
        <v>0</v>
      </c>
      <c r="Z41" s="184">
        <v>3</v>
      </c>
      <c r="AA41" s="184">
        <v>0</v>
      </c>
      <c r="AB41" s="184">
        <v>0</v>
      </c>
      <c r="AC41" s="184">
        <v>6</v>
      </c>
      <c r="AD41" s="184">
        <v>3</v>
      </c>
      <c r="AE41" s="184">
        <v>5</v>
      </c>
      <c r="AF41" s="184">
        <v>11</v>
      </c>
      <c r="AG41" s="184">
        <v>0</v>
      </c>
      <c r="AH41" s="184">
        <v>0</v>
      </c>
      <c r="AI41" s="184">
        <v>0</v>
      </c>
      <c r="AJ41" s="184">
        <v>0</v>
      </c>
    </row>
    <row r="42" spans="1:36" x14ac:dyDescent="0.3">
      <c r="A42" s="180" t="s">
        <v>222</v>
      </c>
      <c r="B42" s="181">
        <v>46009</v>
      </c>
      <c r="C42" s="138" t="s">
        <v>391</v>
      </c>
      <c r="D42" s="182" t="s">
        <v>542</v>
      </c>
      <c r="E42" s="138" t="s">
        <v>353</v>
      </c>
      <c r="F42" s="138" t="s">
        <v>216</v>
      </c>
      <c r="G42" s="183">
        <v>0.1444</v>
      </c>
      <c r="H42" s="184">
        <v>180</v>
      </c>
      <c r="I42" s="184">
        <v>26</v>
      </c>
      <c r="J42" s="184">
        <v>0</v>
      </c>
      <c r="K42" s="184" t="s">
        <v>217</v>
      </c>
      <c r="L42" s="185">
        <v>45983</v>
      </c>
      <c r="M42" s="184">
        <v>0</v>
      </c>
      <c r="N42" s="184">
        <v>10</v>
      </c>
      <c r="O42" s="184">
        <v>12</v>
      </c>
      <c r="P42" s="184" t="s">
        <v>276</v>
      </c>
      <c r="Q42" s="184">
        <v>0</v>
      </c>
      <c r="R42" s="184">
        <v>0</v>
      </c>
      <c r="S42" s="184">
        <v>0</v>
      </c>
      <c r="T42" s="184">
        <v>0</v>
      </c>
      <c r="U42" s="184">
        <v>0</v>
      </c>
      <c r="V42" s="184">
        <v>0</v>
      </c>
      <c r="W42" s="184">
        <v>0</v>
      </c>
      <c r="X42" s="184">
        <v>0</v>
      </c>
      <c r="Y42" s="184">
        <v>0</v>
      </c>
      <c r="Z42" s="184">
        <v>0</v>
      </c>
      <c r="AA42" s="184">
        <v>0</v>
      </c>
      <c r="AB42" s="184">
        <v>0</v>
      </c>
      <c r="AC42" s="184">
        <v>0</v>
      </c>
      <c r="AD42" s="184">
        <v>11</v>
      </c>
      <c r="AE42" s="184">
        <v>10</v>
      </c>
      <c r="AF42" s="184">
        <v>5</v>
      </c>
      <c r="AG42" s="184">
        <v>0</v>
      </c>
      <c r="AH42" s="184">
        <v>0</v>
      </c>
      <c r="AI42" s="184">
        <v>0</v>
      </c>
      <c r="AJ42" s="184">
        <v>0</v>
      </c>
    </row>
    <row r="43" spans="1:36" x14ac:dyDescent="0.3">
      <c r="A43" s="180" t="s">
        <v>222</v>
      </c>
      <c r="B43" s="181">
        <v>46009</v>
      </c>
      <c r="C43" s="138" t="s">
        <v>80</v>
      </c>
      <c r="D43" s="182" t="s">
        <v>223</v>
      </c>
      <c r="E43" s="138" t="s">
        <v>1</v>
      </c>
      <c r="F43" s="138" t="s">
        <v>216</v>
      </c>
      <c r="G43" s="183">
        <v>0.2321</v>
      </c>
      <c r="H43" s="184">
        <v>168</v>
      </c>
      <c r="I43" s="184">
        <v>39</v>
      </c>
      <c r="J43" s="184">
        <v>0</v>
      </c>
      <c r="K43" s="184" t="s">
        <v>217</v>
      </c>
      <c r="L43" s="185">
        <v>45980</v>
      </c>
      <c r="M43" s="184">
        <v>0</v>
      </c>
      <c r="N43" s="184">
        <v>0</v>
      </c>
      <c r="O43" s="184">
        <v>10</v>
      </c>
      <c r="P43" s="184" t="s">
        <v>163</v>
      </c>
      <c r="Q43" s="184">
        <v>0</v>
      </c>
      <c r="R43" s="184">
        <v>0</v>
      </c>
      <c r="S43" s="184">
        <v>0</v>
      </c>
      <c r="T43" s="184">
        <v>0</v>
      </c>
      <c r="U43" s="184">
        <v>0</v>
      </c>
      <c r="V43" s="184">
        <v>0</v>
      </c>
      <c r="W43" s="184">
        <v>0</v>
      </c>
      <c r="X43" s="184">
        <v>0</v>
      </c>
      <c r="Y43" s="184">
        <v>0</v>
      </c>
      <c r="Z43" s="184">
        <v>1</v>
      </c>
      <c r="AA43" s="184">
        <v>0</v>
      </c>
      <c r="AB43" s="184">
        <v>0</v>
      </c>
      <c r="AC43" s="184">
        <v>5</v>
      </c>
      <c r="AD43" s="184">
        <v>7</v>
      </c>
      <c r="AE43" s="184">
        <v>3</v>
      </c>
      <c r="AF43" s="184">
        <v>23</v>
      </c>
      <c r="AG43" s="184">
        <v>0</v>
      </c>
      <c r="AH43" s="184">
        <v>0</v>
      </c>
      <c r="AI43" s="184">
        <v>0</v>
      </c>
      <c r="AJ43" s="184">
        <v>0</v>
      </c>
    </row>
    <row r="44" spans="1:36" x14ac:dyDescent="0.3">
      <c r="A44" s="180" t="s">
        <v>231</v>
      </c>
      <c r="B44" s="181">
        <v>46010</v>
      </c>
      <c r="C44" s="138" t="s">
        <v>391</v>
      </c>
      <c r="D44" s="182" t="s">
        <v>551</v>
      </c>
      <c r="E44" s="138" t="s">
        <v>353</v>
      </c>
      <c r="F44" s="138" t="s">
        <v>216</v>
      </c>
      <c r="G44" s="183">
        <v>9.4399999999999998E-2</v>
      </c>
      <c r="H44" s="184">
        <v>180</v>
      </c>
      <c r="I44" s="184">
        <v>17</v>
      </c>
      <c r="J44" s="184">
        <v>0</v>
      </c>
      <c r="K44" s="184" t="s">
        <v>217</v>
      </c>
      <c r="L44" s="185">
        <v>45981</v>
      </c>
      <c r="M44" s="184">
        <v>0</v>
      </c>
      <c r="N44" s="184">
        <v>0</v>
      </c>
      <c r="O44" s="184">
        <v>2</v>
      </c>
      <c r="P44" s="184" t="s">
        <v>276</v>
      </c>
      <c r="Q44" s="184">
        <v>0</v>
      </c>
      <c r="R44" s="184">
        <v>0</v>
      </c>
      <c r="S44" s="184">
        <v>0</v>
      </c>
      <c r="T44" s="184">
        <v>0</v>
      </c>
      <c r="U44" s="184">
        <v>0</v>
      </c>
      <c r="V44" s="184">
        <v>0</v>
      </c>
      <c r="W44" s="184">
        <v>0</v>
      </c>
      <c r="X44" s="184">
        <v>0</v>
      </c>
      <c r="Y44" s="184">
        <v>0</v>
      </c>
      <c r="Z44" s="184">
        <v>0</v>
      </c>
      <c r="AA44" s="184">
        <v>0</v>
      </c>
      <c r="AB44" s="184">
        <v>0</v>
      </c>
      <c r="AC44" s="184">
        <v>0</v>
      </c>
      <c r="AD44" s="184">
        <v>10</v>
      </c>
      <c r="AE44" s="184">
        <v>7</v>
      </c>
      <c r="AF44" s="184">
        <v>0</v>
      </c>
      <c r="AG44" s="184">
        <v>0</v>
      </c>
      <c r="AH44" s="184">
        <v>0</v>
      </c>
      <c r="AI44" s="184">
        <v>0</v>
      </c>
      <c r="AJ44" s="184">
        <v>0</v>
      </c>
    </row>
    <row r="45" spans="1:36" x14ac:dyDescent="0.3">
      <c r="A45" s="180" t="s">
        <v>231</v>
      </c>
      <c r="B45" s="181">
        <v>46010</v>
      </c>
      <c r="C45" s="138" t="s">
        <v>603</v>
      </c>
      <c r="D45" s="182" t="s">
        <v>638</v>
      </c>
      <c r="E45" s="138" t="s">
        <v>600</v>
      </c>
      <c r="F45" s="138" t="s">
        <v>216</v>
      </c>
      <c r="G45" s="183">
        <v>0.17780000000000001</v>
      </c>
      <c r="H45" s="184">
        <v>180</v>
      </c>
      <c r="I45" s="184">
        <v>32</v>
      </c>
      <c r="J45" s="184">
        <v>0</v>
      </c>
      <c r="K45" s="184" t="s">
        <v>217</v>
      </c>
      <c r="L45" s="185">
        <v>45984</v>
      </c>
      <c r="M45" s="184">
        <v>6</v>
      </c>
      <c r="N45" s="184">
        <v>2</v>
      </c>
      <c r="O45" s="184">
        <v>21</v>
      </c>
      <c r="P45" s="184" t="s">
        <v>241</v>
      </c>
      <c r="Q45" s="184">
        <v>0</v>
      </c>
      <c r="R45" s="184">
        <v>0</v>
      </c>
      <c r="S45" s="184">
        <v>0</v>
      </c>
      <c r="T45" s="184">
        <v>0</v>
      </c>
      <c r="U45" s="184">
        <v>0</v>
      </c>
      <c r="V45" s="184">
        <v>0</v>
      </c>
      <c r="W45" s="184">
        <v>0</v>
      </c>
      <c r="X45" s="184">
        <v>0</v>
      </c>
      <c r="Y45" s="184">
        <v>0</v>
      </c>
      <c r="Z45" s="184">
        <v>1</v>
      </c>
      <c r="AA45" s="184">
        <v>7</v>
      </c>
      <c r="AB45" s="184">
        <v>6</v>
      </c>
      <c r="AC45" s="184">
        <v>7</v>
      </c>
      <c r="AD45" s="184">
        <v>7</v>
      </c>
      <c r="AE45" s="184">
        <v>4</v>
      </c>
      <c r="AF45" s="184">
        <v>0</v>
      </c>
      <c r="AG45" s="184">
        <v>0</v>
      </c>
      <c r="AH45" s="184">
        <v>0</v>
      </c>
      <c r="AI45" s="184">
        <v>0</v>
      </c>
      <c r="AJ45" s="184">
        <v>0</v>
      </c>
    </row>
    <row r="46" spans="1:36" x14ac:dyDescent="0.3">
      <c r="A46" s="180" t="s">
        <v>231</v>
      </c>
      <c r="B46" s="181">
        <v>46010</v>
      </c>
      <c r="C46" s="138" t="s">
        <v>80</v>
      </c>
      <c r="D46" s="182" t="s">
        <v>232</v>
      </c>
      <c r="E46" s="138" t="s">
        <v>1</v>
      </c>
      <c r="F46" s="138" t="s">
        <v>216</v>
      </c>
      <c r="G46" s="183">
        <v>0.1726</v>
      </c>
      <c r="H46" s="184">
        <v>168</v>
      </c>
      <c r="I46" s="184">
        <v>29</v>
      </c>
      <c r="J46" s="184">
        <v>0</v>
      </c>
      <c r="K46" s="184" t="s">
        <v>217</v>
      </c>
      <c r="L46" s="185">
        <v>45983</v>
      </c>
      <c r="M46" s="184">
        <v>0</v>
      </c>
      <c r="N46" s="184">
        <v>4</v>
      </c>
      <c r="O46" s="184">
        <v>8</v>
      </c>
      <c r="P46" s="184" t="s">
        <v>116</v>
      </c>
      <c r="Q46" s="184">
        <v>0</v>
      </c>
      <c r="R46" s="184">
        <v>0</v>
      </c>
      <c r="S46" s="184">
        <v>0</v>
      </c>
      <c r="T46" s="184">
        <v>0</v>
      </c>
      <c r="U46" s="184">
        <v>0</v>
      </c>
      <c r="V46" s="184">
        <v>0</v>
      </c>
      <c r="W46" s="184">
        <v>0</v>
      </c>
      <c r="X46" s="184">
        <v>0</v>
      </c>
      <c r="Y46" s="184">
        <v>0</v>
      </c>
      <c r="Z46" s="184">
        <v>1</v>
      </c>
      <c r="AA46" s="184">
        <v>0</v>
      </c>
      <c r="AB46" s="184">
        <v>0</v>
      </c>
      <c r="AC46" s="184">
        <v>0</v>
      </c>
      <c r="AD46" s="184">
        <v>9</v>
      </c>
      <c r="AE46" s="184">
        <v>3</v>
      </c>
      <c r="AF46" s="184">
        <v>16</v>
      </c>
      <c r="AG46" s="184">
        <v>0</v>
      </c>
      <c r="AH46" s="184">
        <v>0</v>
      </c>
      <c r="AI46" s="184">
        <v>0</v>
      </c>
      <c r="AJ46" s="184">
        <v>0</v>
      </c>
    </row>
    <row r="47" spans="1:36" x14ac:dyDescent="0.3">
      <c r="A47" s="180" t="s">
        <v>231</v>
      </c>
      <c r="B47" s="181">
        <v>46010</v>
      </c>
      <c r="C47" s="138" t="s">
        <v>298</v>
      </c>
      <c r="D47" s="182" t="s">
        <v>340</v>
      </c>
      <c r="E47" s="138" t="s">
        <v>294</v>
      </c>
      <c r="F47" s="138" t="s">
        <v>216</v>
      </c>
      <c r="G47" s="183">
        <v>8.3299999999999999E-2</v>
      </c>
      <c r="H47" s="184">
        <v>168</v>
      </c>
      <c r="I47" s="184">
        <v>14</v>
      </c>
      <c r="J47" s="184">
        <v>0</v>
      </c>
      <c r="K47" s="184" t="s">
        <v>217</v>
      </c>
      <c r="L47" s="185">
        <v>45984</v>
      </c>
      <c r="M47" s="184">
        <v>2</v>
      </c>
      <c r="N47" s="184">
        <v>0</v>
      </c>
      <c r="O47" s="184">
        <v>4</v>
      </c>
      <c r="P47" s="184" t="s">
        <v>269</v>
      </c>
      <c r="Q47" s="184">
        <v>0</v>
      </c>
      <c r="R47" s="184">
        <v>0</v>
      </c>
      <c r="S47" s="184">
        <v>0</v>
      </c>
      <c r="T47" s="184">
        <v>0</v>
      </c>
      <c r="U47" s="184">
        <v>0</v>
      </c>
      <c r="V47" s="184">
        <v>0</v>
      </c>
      <c r="W47" s="184">
        <v>0</v>
      </c>
      <c r="X47" s="184">
        <v>0</v>
      </c>
      <c r="Y47" s="184">
        <v>0</v>
      </c>
      <c r="Z47" s="184">
        <v>1</v>
      </c>
      <c r="AA47" s="184">
        <v>0</v>
      </c>
      <c r="AB47" s="184">
        <v>0</v>
      </c>
      <c r="AC47" s="184">
        <v>1</v>
      </c>
      <c r="AD47" s="184">
        <v>7</v>
      </c>
      <c r="AE47" s="184">
        <v>5</v>
      </c>
      <c r="AF47" s="184">
        <v>0</v>
      </c>
      <c r="AG47" s="184">
        <v>0</v>
      </c>
      <c r="AH47" s="184">
        <v>0</v>
      </c>
      <c r="AI47" s="184">
        <v>0</v>
      </c>
      <c r="AJ47" s="184">
        <v>0</v>
      </c>
    </row>
    <row r="48" spans="1:36" x14ac:dyDescent="0.3">
      <c r="A48" s="180" t="s">
        <v>238</v>
      </c>
      <c r="B48" s="181">
        <v>46011</v>
      </c>
      <c r="C48" s="138" t="s">
        <v>391</v>
      </c>
      <c r="D48" s="182" t="s">
        <v>542</v>
      </c>
      <c r="E48" s="138" t="s">
        <v>353</v>
      </c>
      <c r="F48" s="138" t="s">
        <v>216</v>
      </c>
      <c r="G48" s="183">
        <v>0.32779999999999998</v>
      </c>
      <c r="H48" s="184">
        <v>180</v>
      </c>
      <c r="I48" s="184">
        <v>59</v>
      </c>
      <c r="J48" s="184">
        <v>0</v>
      </c>
      <c r="K48" s="184" t="s">
        <v>217</v>
      </c>
      <c r="L48" s="185">
        <v>45984</v>
      </c>
      <c r="M48" s="184">
        <v>1</v>
      </c>
      <c r="N48" s="184">
        <v>2</v>
      </c>
      <c r="O48" s="184">
        <v>25</v>
      </c>
      <c r="P48" s="184" t="s">
        <v>508</v>
      </c>
      <c r="Q48" s="184">
        <v>0</v>
      </c>
      <c r="R48" s="184">
        <v>0</v>
      </c>
      <c r="S48" s="184">
        <v>0</v>
      </c>
      <c r="T48" s="184">
        <v>0</v>
      </c>
      <c r="U48" s="184">
        <v>0</v>
      </c>
      <c r="V48" s="184">
        <v>0</v>
      </c>
      <c r="W48" s="184">
        <v>0</v>
      </c>
      <c r="X48" s="184">
        <v>0</v>
      </c>
      <c r="Y48" s="184">
        <v>1</v>
      </c>
      <c r="Z48" s="184">
        <v>2</v>
      </c>
      <c r="AA48" s="184">
        <v>2</v>
      </c>
      <c r="AB48" s="184">
        <v>14</v>
      </c>
      <c r="AC48" s="184">
        <v>30</v>
      </c>
      <c r="AD48" s="184">
        <v>6</v>
      </c>
      <c r="AE48" s="184">
        <v>4</v>
      </c>
      <c r="AF48" s="184">
        <v>0</v>
      </c>
      <c r="AG48" s="184">
        <v>0</v>
      </c>
      <c r="AH48" s="184">
        <v>0</v>
      </c>
      <c r="AI48" s="184">
        <v>0</v>
      </c>
      <c r="AJ48" s="184">
        <v>0</v>
      </c>
    </row>
    <row r="49" spans="1:36" x14ac:dyDescent="0.3">
      <c r="A49" s="180" t="s">
        <v>238</v>
      </c>
      <c r="B49" s="181">
        <v>46011</v>
      </c>
      <c r="C49" s="138" t="s">
        <v>80</v>
      </c>
      <c r="D49" s="182" t="s">
        <v>223</v>
      </c>
      <c r="E49" s="138" t="s">
        <v>1</v>
      </c>
      <c r="F49" s="138" t="s">
        <v>216</v>
      </c>
      <c r="G49" s="183">
        <v>0.1726</v>
      </c>
      <c r="H49" s="184">
        <v>168</v>
      </c>
      <c r="I49" s="184">
        <v>29</v>
      </c>
      <c r="J49" s="184">
        <v>0</v>
      </c>
      <c r="K49" s="184" t="s">
        <v>217</v>
      </c>
      <c r="L49" s="185">
        <v>45980</v>
      </c>
      <c r="M49" s="184">
        <v>0</v>
      </c>
      <c r="N49" s="184">
        <v>0</v>
      </c>
      <c r="O49" s="184">
        <v>2</v>
      </c>
      <c r="P49" s="184" t="s">
        <v>116</v>
      </c>
      <c r="Q49" s="184">
        <v>0</v>
      </c>
      <c r="R49" s="184">
        <v>0</v>
      </c>
      <c r="S49" s="184">
        <v>0</v>
      </c>
      <c r="T49" s="184">
        <v>0</v>
      </c>
      <c r="U49" s="184">
        <v>0</v>
      </c>
      <c r="V49" s="184">
        <v>0</v>
      </c>
      <c r="W49" s="184">
        <v>0</v>
      </c>
      <c r="X49" s="184">
        <v>0</v>
      </c>
      <c r="Y49" s="184">
        <v>1</v>
      </c>
      <c r="Z49" s="184">
        <v>1</v>
      </c>
      <c r="AA49" s="184">
        <v>0</v>
      </c>
      <c r="AB49" s="184">
        <v>0</v>
      </c>
      <c r="AC49" s="184">
        <v>15</v>
      </c>
      <c r="AD49" s="184">
        <v>5</v>
      </c>
      <c r="AE49" s="184">
        <v>1</v>
      </c>
      <c r="AF49" s="184">
        <v>6</v>
      </c>
      <c r="AG49" s="184">
        <v>0</v>
      </c>
      <c r="AH49" s="184">
        <v>0</v>
      </c>
      <c r="AI49" s="184">
        <v>0</v>
      </c>
      <c r="AJ49" s="184">
        <v>0</v>
      </c>
    </row>
    <row r="50" spans="1:36" x14ac:dyDescent="0.3">
      <c r="A50" s="180" t="s">
        <v>334</v>
      </c>
      <c r="B50" s="181">
        <v>46013</v>
      </c>
      <c r="C50" s="138" t="s">
        <v>603</v>
      </c>
      <c r="D50" s="182" t="s">
        <v>340</v>
      </c>
      <c r="E50" s="138" t="s">
        <v>600</v>
      </c>
      <c r="F50" s="138" t="s">
        <v>216</v>
      </c>
      <c r="G50" s="183">
        <v>0.21110000000000001</v>
      </c>
      <c r="H50" s="184">
        <v>180</v>
      </c>
      <c r="I50" s="184">
        <v>38</v>
      </c>
      <c r="J50" s="184">
        <v>0</v>
      </c>
      <c r="K50" s="184" t="s">
        <v>217</v>
      </c>
      <c r="L50" s="185">
        <v>45984</v>
      </c>
      <c r="M50" s="184">
        <v>5</v>
      </c>
      <c r="N50" s="184">
        <v>1</v>
      </c>
      <c r="O50" s="184">
        <v>13</v>
      </c>
      <c r="P50" s="184" t="s">
        <v>623</v>
      </c>
      <c r="Q50" s="184">
        <v>0</v>
      </c>
      <c r="R50" s="184">
        <v>0</v>
      </c>
      <c r="S50" s="184">
        <v>0</v>
      </c>
      <c r="T50" s="184">
        <v>0</v>
      </c>
      <c r="U50" s="184">
        <v>0</v>
      </c>
      <c r="V50" s="184">
        <v>0</v>
      </c>
      <c r="W50" s="184">
        <v>0</v>
      </c>
      <c r="X50" s="184">
        <v>0</v>
      </c>
      <c r="Y50" s="184">
        <v>0</v>
      </c>
      <c r="Z50" s="184">
        <v>7</v>
      </c>
      <c r="AA50" s="184">
        <v>7</v>
      </c>
      <c r="AB50" s="184">
        <v>7</v>
      </c>
      <c r="AC50" s="184">
        <v>7</v>
      </c>
      <c r="AD50" s="184">
        <v>7</v>
      </c>
      <c r="AE50" s="184">
        <v>2</v>
      </c>
      <c r="AF50" s="184">
        <v>1</v>
      </c>
      <c r="AG50" s="184">
        <v>0</v>
      </c>
      <c r="AH50" s="184">
        <v>0</v>
      </c>
      <c r="AI50" s="184">
        <v>0</v>
      </c>
      <c r="AJ50" s="184">
        <v>0</v>
      </c>
    </row>
    <row r="51" spans="1:36" x14ac:dyDescent="0.3">
      <c r="A51" s="180" t="s">
        <v>334</v>
      </c>
      <c r="B51" s="181">
        <v>46013</v>
      </c>
      <c r="C51" s="138" t="s">
        <v>298</v>
      </c>
      <c r="D51" s="182" t="s">
        <v>335</v>
      </c>
      <c r="E51" s="138" t="s">
        <v>294</v>
      </c>
      <c r="F51" s="138" t="s">
        <v>216</v>
      </c>
      <c r="G51" s="183">
        <v>8.3299999999999999E-2</v>
      </c>
      <c r="H51" s="184">
        <v>168</v>
      </c>
      <c r="I51" s="184">
        <v>14</v>
      </c>
      <c r="J51" s="184">
        <v>0</v>
      </c>
      <c r="K51" s="184" t="s">
        <v>217</v>
      </c>
      <c r="L51" s="185">
        <v>45977</v>
      </c>
      <c r="M51" s="184">
        <v>0</v>
      </c>
      <c r="N51" s="184">
        <v>0</v>
      </c>
      <c r="O51" s="184">
        <v>1</v>
      </c>
      <c r="P51" s="184" t="s">
        <v>325</v>
      </c>
      <c r="Q51" s="184">
        <v>0</v>
      </c>
      <c r="R51" s="184">
        <v>0</v>
      </c>
      <c r="S51" s="184">
        <v>0</v>
      </c>
      <c r="T51" s="184">
        <v>0</v>
      </c>
      <c r="U51" s="184">
        <v>0</v>
      </c>
      <c r="V51" s="184">
        <v>0</v>
      </c>
      <c r="W51" s="184">
        <v>0</v>
      </c>
      <c r="X51" s="184">
        <v>0</v>
      </c>
      <c r="Y51" s="184">
        <v>0</v>
      </c>
      <c r="Z51" s="184">
        <v>4</v>
      </c>
      <c r="AA51" s="184">
        <v>0</v>
      </c>
      <c r="AB51" s="184">
        <v>0</v>
      </c>
      <c r="AC51" s="184">
        <v>2</v>
      </c>
      <c r="AD51" s="184">
        <v>5</v>
      </c>
      <c r="AE51" s="184">
        <v>3</v>
      </c>
      <c r="AF51" s="184">
        <v>0</v>
      </c>
      <c r="AG51" s="184">
        <v>0</v>
      </c>
      <c r="AH51" s="184">
        <v>0</v>
      </c>
      <c r="AI51" s="184">
        <v>0</v>
      </c>
      <c r="AJ51" s="184">
        <v>0</v>
      </c>
    </row>
    <row r="52" spans="1:36" x14ac:dyDescent="0.3">
      <c r="A52" s="180" t="s">
        <v>214</v>
      </c>
      <c r="B52" s="181">
        <v>46014</v>
      </c>
      <c r="C52" s="138" t="s">
        <v>391</v>
      </c>
      <c r="D52" s="182" t="s">
        <v>535</v>
      </c>
      <c r="E52" s="138" t="s">
        <v>353</v>
      </c>
      <c r="F52" s="138" t="s">
        <v>216</v>
      </c>
      <c r="G52" s="183">
        <v>7.7799999999999994E-2</v>
      </c>
      <c r="H52" s="184">
        <v>180</v>
      </c>
      <c r="I52" s="184">
        <v>14</v>
      </c>
      <c r="J52" s="184">
        <v>0</v>
      </c>
      <c r="K52" s="184" t="s">
        <v>217</v>
      </c>
      <c r="L52" s="185">
        <v>45978</v>
      </c>
      <c r="M52" s="184">
        <v>0</v>
      </c>
      <c r="N52" s="184">
        <v>0</v>
      </c>
      <c r="O52" s="184">
        <v>3</v>
      </c>
      <c r="P52" s="184" t="s">
        <v>276</v>
      </c>
      <c r="Q52" s="184">
        <v>0</v>
      </c>
      <c r="R52" s="184">
        <v>0</v>
      </c>
      <c r="S52" s="184">
        <v>0</v>
      </c>
      <c r="T52" s="184">
        <v>0</v>
      </c>
      <c r="U52" s="184">
        <v>0</v>
      </c>
      <c r="V52" s="184">
        <v>0</v>
      </c>
      <c r="W52" s="184">
        <v>0</v>
      </c>
      <c r="X52" s="184">
        <v>0</v>
      </c>
      <c r="Y52" s="184">
        <v>0</v>
      </c>
      <c r="Z52" s="184">
        <v>0</v>
      </c>
      <c r="AA52" s="184">
        <v>0</v>
      </c>
      <c r="AB52" s="184">
        <v>0</v>
      </c>
      <c r="AC52" s="184">
        <v>4</v>
      </c>
      <c r="AD52" s="184">
        <v>8</v>
      </c>
      <c r="AE52" s="184">
        <v>2</v>
      </c>
      <c r="AF52" s="184">
        <v>0</v>
      </c>
      <c r="AG52" s="184">
        <v>0</v>
      </c>
      <c r="AH52" s="184">
        <v>0</v>
      </c>
      <c r="AI52" s="184">
        <v>0</v>
      </c>
      <c r="AJ52" s="184">
        <v>0</v>
      </c>
    </row>
    <row r="53" spans="1:36" x14ac:dyDescent="0.3">
      <c r="A53" s="180" t="s">
        <v>214</v>
      </c>
      <c r="B53" s="181">
        <v>46014</v>
      </c>
      <c r="C53" s="138" t="s">
        <v>80</v>
      </c>
      <c r="D53" s="182" t="s">
        <v>215</v>
      </c>
      <c r="E53" s="138" t="s">
        <v>1</v>
      </c>
      <c r="F53" s="138" t="s">
        <v>216</v>
      </c>
      <c r="G53" s="183">
        <v>7.1400000000000005E-2</v>
      </c>
      <c r="H53" s="184">
        <v>168</v>
      </c>
      <c r="I53" s="184">
        <v>12</v>
      </c>
      <c r="J53" s="184">
        <v>0</v>
      </c>
      <c r="K53" s="184" t="s">
        <v>217</v>
      </c>
      <c r="L53" s="185">
        <v>45980</v>
      </c>
      <c r="M53" s="184">
        <v>0</v>
      </c>
      <c r="N53" s="184">
        <v>0</v>
      </c>
      <c r="O53" s="184">
        <v>2</v>
      </c>
      <c r="P53" s="184" t="s">
        <v>116</v>
      </c>
      <c r="Q53" s="184">
        <v>0</v>
      </c>
      <c r="R53" s="184">
        <v>0</v>
      </c>
      <c r="S53" s="184">
        <v>0</v>
      </c>
      <c r="T53" s="184">
        <v>0</v>
      </c>
      <c r="U53" s="184">
        <v>0</v>
      </c>
      <c r="V53" s="184">
        <v>0</v>
      </c>
      <c r="W53" s="184">
        <v>0</v>
      </c>
      <c r="X53" s="184">
        <v>0</v>
      </c>
      <c r="Y53" s="184">
        <v>0</v>
      </c>
      <c r="Z53" s="184">
        <v>0</v>
      </c>
      <c r="AA53" s="184">
        <v>0</v>
      </c>
      <c r="AB53" s="184">
        <v>0</v>
      </c>
      <c r="AC53" s="184">
        <v>0</v>
      </c>
      <c r="AD53" s="184">
        <v>3</v>
      </c>
      <c r="AE53" s="184">
        <v>5</v>
      </c>
      <c r="AF53" s="184">
        <v>4</v>
      </c>
      <c r="AG53" s="184">
        <v>0</v>
      </c>
      <c r="AH53" s="184">
        <v>0</v>
      </c>
      <c r="AI53" s="184">
        <v>0</v>
      </c>
      <c r="AJ53" s="184">
        <v>0</v>
      </c>
    </row>
    <row r="54" spans="1:36" x14ac:dyDescent="0.3">
      <c r="A54" s="180" t="s">
        <v>222</v>
      </c>
      <c r="B54" s="181">
        <v>46016</v>
      </c>
      <c r="C54" s="138" t="s">
        <v>391</v>
      </c>
      <c r="D54" s="182" t="s">
        <v>542</v>
      </c>
      <c r="E54" s="138" t="s">
        <v>353</v>
      </c>
      <c r="F54" s="138" t="s">
        <v>216</v>
      </c>
      <c r="G54" s="183">
        <v>0.15</v>
      </c>
      <c r="H54" s="184">
        <v>180</v>
      </c>
      <c r="I54" s="184">
        <v>27</v>
      </c>
      <c r="J54" s="184">
        <v>0</v>
      </c>
      <c r="K54" s="184" t="s">
        <v>217</v>
      </c>
      <c r="L54" s="185">
        <v>45982</v>
      </c>
      <c r="M54" s="184">
        <v>0</v>
      </c>
      <c r="N54" s="184">
        <v>0</v>
      </c>
      <c r="O54" s="184">
        <v>8</v>
      </c>
      <c r="P54" s="184" t="s">
        <v>471</v>
      </c>
      <c r="Q54" s="184">
        <v>0</v>
      </c>
      <c r="R54" s="184">
        <v>0</v>
      </c>
      <c r="S54" s="184">
        <v>0</v>
      </c>
      <c r="T54" s="184">
        <v>0</v>
      </c>
      <c r="U54" s="184">
        <v>0</v>
      </c>
      <c r="V54" s="184">
        <v>0</v>
      </c>
      <c r="W54" s="184">
        <v>0</v>
      </c>
      <c r="X54" s="184">
        <v>0</v>
      </c>
      <c r="Y54" s="184">
        <v>0</v>
      </c>
      <c r="Z54" s="184">
        <v>0</v>
      </c>
      <c r="AA54" s="184">
        <v>0</v>
      </c>
      <c r="AB54" s="184">
        <v>0</v>
      </c>
      <c r="AC54" s="184">
        <v>16</v>
      </c>
      <c r="AD54" s="184">
        <v>8</v>
      </c>
      <c r="AE54" s="184">
        <v>3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</row>
    <row r="55" spans="1:36" x14ac:dyDescent="0.3">
      <c r="A55" s="180" t="s">
        <v>222</v>
      </c>
      <c r="B55" s="181">
        <v>46016</v>
      </c>
      <c r="C55" s="138" t="s">
        <v>80</v>
      </c>
      <c r="D55" s="182" t="s">
        <v>223</v>
      </c>
      <c r="E55" s="138" t="s">
        <v>1</v>
      </c>
      <c r="F55" s="138" t="s">
        <v>216</v>
      </c>
      <c r="G55" s="183">
        <v>0.22620000000000001</v>
      </c>
      <c r="H55" s="184">
        <v>168</v>
      </c>
      <c r="I55" s="184">
        <v>38</v>
      </c>
      <c r="J55" s="184">
        <v>0</v>
      </c>
      <c r="K55" s="184" t="s">
        <v>217</v>
      </c>
      <c r="L55" s="185">
        <v>45983</v>
      </c>
      <c r="M55" s="184">
        <v>0</v>
      </c>
      <c r="N55" s="184">
        <v>2</v>
      </c>
      <c r="O55" s="184">
        <v>13</v>
      </c>
      <c r="P55" s="184" t="s">
        <v>138</v>
      </c>
      <c r="Q55" s="184">
        <v>0</v>
      </c>
      <c r="R55" s="184">
        <v>0</v>
      </c>
      <c r="S55" s="184">
        <v>0</v>
      </c>
      <c r="T55" s="184">
        <v>0</v>
      </c>
      <c r="U55" s="184">
        <v>0</v>
      </c>
      <c r="V55" s="184">
        <v>0</v>
      </c>
      <c r="W55" s="184">
        <v>0</v>
      </c>
      <c r="X55" s="184">
        <v>0</v>
      </c>
      <c r="Y55" s="184">
        <v>0</v>
      </c>
      <c r="Z55" s="184">
        <v>1</v>
      </c>
      <c r="AA55" s="184">
        <v>0</v>
      </c>
      <c r="AB55" s="184">
        <v>0</v>
      </c>
      <c r="AC55" s="184">
        <v>2</v>
      </c>
      <c r="AD55" s="184">
        <v>6</v>
      </c>
      <c r="AE55" s="184">
        <v>4</v>
      </c>
      <c r="AF55" s="184">
        <v>25</v>
      </c>
      <c r="AG55" s="184">
        <v>0</v>
      </c>
      <c r="AH55" s="184">
        <v>0</v>
      </c>
      <c r="AI55" s="184">
        <v>0</v>
      </c>
      <c r="AJ55" s="184">
        <v>0</v>
      </c>
    </row>
    <row r="56" spans="1:36" x14ac:dyDescent="0.3">
      <c r="A56" s="180" t="s">
        <v>231</v>
      </c>
      <c r="B56" s="181">
        <v>46017</v>
      </c>
      <c r="C56" s="138" t="s">
        <v>391</v>
      </c>
      <c r="D56" s="182" t="s">
        <v>551</v>
      </c>
      <c r="E56" s="138" t="s">
        <v>353</v>
      </c>
      <c r="F56" s="138" t="s">
        <v>216</v>
      </c>
      <c r="G56" s="183">
        <v>3.8899999999999997E-2</v>
      </c>
      <c r="H56" s="184">
        <v>180</v>
      </c>
      <c r="I56" s="184">
        <v>7</v>
      </c>
      <c r="J56" s="184">
        <v>0</v>
      </c>
      <c r="K56" s="184" t="s">
        <v>217</v>
      </c>
      <c r="L56" s="185">
        <v>45983</v>
      </c>
      <c r="M56" s="184">
        <v>0</v>
      </c>
      <c r="N56" s="184">
        <v>1</v>
      </c>
      <c r="O56" s="184">
        <v>3</v>
      </c>
      <c r="P56" s="184" t="s">
        <v>522</v>
      </c>
      <c r="Q56" s="184">
        <v>0</v>
      </c>
      <c r="R56" s="184">
        <v>0</v>
      </c>
      <c r="S56" s="184">
        <v>0</v>
      </c>
      <c r="T56" s="184">
        <v>0</v>
      </c>
      <c r="U56" s="184">
        <v>0</v>
      </c>
      <c r="V56" s="184">
        <v>0</v>
      </c>
      <c r="W56" s="184">
        <v>0</v>
      </c>
      <c r="X56" s="184">
        <v>0</v>
      </c>
      <c r="Y56" s="184">
        <v>0</v>
      </c>
      <c r="Z56" s="184">
        <v>0</v>
      </c>
      <c r="AA56" s="184">
        <v>0</v>
      </c>
      <c r="AB56" s="184">
        <v>0</v>
      </c>
      <c r="AC56" s="184">
        <v>0</v>
      </c>
      <c r="AD56" s="184">
        <v>0</v>
      </c>
      <c r="AE56" s="184">
        <v>5</v>
      </c>
      <c r="AF56" s="184">
        <v>2</v>
      </c>
      <c r="AG56" s="184">
        <v>0</v>
      </c>
      <c r="AH56" s="184">
        <v>0</v>
      </c>
      <c r="AI56" s="184">
        <v>0</v>
      </c>
      <c r="AJ56" s="184">
        <v>0</v>
      </c>
    </row>
    <row r="57" spans="1:36" x14ac:dyDescent="0.3">
      <c r="A57" s="180" t="s">
        <v>231</v>
      </c>
      <c r="B57" s="181">
        <v>46017</v>
      </c>
      <c r="C57" s="138" t="s">
        <v>603</v>
      </c>
      <c r="D57" s="182" t="s">
        <v>638</v>
      </c>
      <c r="E57" s="138" t="s">
        <v>600</v>
      </c>
      <c r="F57" s="138" t="s">
        <v>216</v>
      </c>
      <c r="G57" s="183">
        <v>0.16669999999999999</v>
      </c>
      <c r="H57" s="184">
        <v>180</v>
      </c>
      <c r="I57" s="184">
        <v>30</v>
      </c>
      <c r="J57" s="184">
        <v>0</v>
      </c>
      <c r="K57" s="184" t="s">
        <v>217</v>
      </c>
      <c r="L57" s="185">
        <v>45984</v>
      </c>
      <c r="M57" s="184">
        <v>4</v>
      </c>
      <c r="N57" s="184">
        <v>7</v>
      </c>
      <c r="O57" s="184">
        <v>15</v>
      </c>
      <c r="P57" s="184" t="s">
        <v>256</v>
      </c>
      <c r="Q57" s="184">
        <v>0</v>
      </c>
      <c r="R57" s="184">
        <v>0</v>
      </c>
      <c r="S57" s="184">
        <v>0</v>
      </c>
      <c r="T57" s="184">
        <v>0</v>
      </c>
      <c r="U57" s="184">
        <v>0</v>
      </c>
      <c r="V57" s="184">
        <v>0</v>
      </c>
      <c r="W57" s="184">
        <v>0</v>
      </c>
      <c r="X57" s="184">
        <v>0</v>
      </c>
      <c r="Y57" s="184">
        <v>0</v>
      </c>
      <c r="Z57" s="184">
        <v>0</v>
      </c>
      <c r="AA57" s="184">
        <v>7</v>
      </c>
      <c r="AB57" s="184">
        <v>5</v>
      </c>
      <c r="AC57" s="184">
        <v>8</v>
      </c>
      <c r="AD57" s="184">
        <v>5</v>
      </c>
      <c r="AE57" s="184">
        <v>5</v>
      </c>
      <c r="AF57" s="184">
        <v>0</v>
      </c>
      <c r="AG57" s="184">
        <v>0</v>
      </c>
      <c r="AH57" s="184">
        <v>0</v>
      </c>
      <c r="AI57" s="184">
        <v>0</v>
      </c>
      <c r="AJ57" s="184">
        <v>0</v>
      </c>
    </row>
    <row r="58" spans="1:36" x14ac:dyDescent="0.3">
      <c r="A58" s="180" t="s">
        <v>231</v>
      </c>
      <c r="B58" s="181">
        <v>46017</v>
      </c>
      <c r="C58" s="138" t="s">
        <v>80</v>
      </c>
      <c r="D58" s="182" t="s">
        <v>232</v>
      </c>
      <c r="E58" s="138" t="s">
        <v>1</v>
      </c>
      <c r="F58" s="138" t="s">
        <v>216</v>
      </c>
      <c r="G58" s="183">
        <v>0.1905</v>
      </c>
      <c r="H58" s="184">
        <v>168</v>
      </c>
      <c r="I58" s="184">
        <v>32</v>
      </c>
      <c r="J58" s="184">
        <v>0</v>
      </c>
      <c r="K58" s="184" t="s">
        <v>217</v>
      </c>
      <c r="L58" s="185">
        <v>45981</v>
      </c>
      <c r="M58" s="184">
        <v>0</v>
      </c>
      <c r="N58" s="184">
        <v>0</v>
      </c>
      <c r="O58" s="184">
        <v>2</v>
      </c>
      <c r="P58" s="184" t="s">
        <v>116</v>
      </c>
      <c r="Q58" s="184">
        <v>0</v>
      </c>
      <c r="R58" s="184">
        <v>0</v>
      </c>
      <c r="S58" s="184">
        <v>0</v>
      </c>
      <c r="T58" s="184">
        <v>0</v>
      </c>
      <c r="U58" s="184">
        <v>0</v>
      </c>
      <c r="V58" s="184">
        <v>0</v>
      </c>
      <c r="W58" s="184">
        <v>0</v>
      </c>
      <c r="X58" s="184">
        <v>0</v>
      </c>
      <c r="Y58" s="184">
        <v>0</v>
      </c>
      <c r="Z58" s="184">
        <v>1</v>
      </c>
      <c r="AA58" s="184">
        <v>1</v>
      </c>
      <c r="AB58" s="184">
        <v>0</v>
      </c>
      <c r="AC58" s="184">
        <v>8</v>
      </c>
      <c r="AD58" s="184">
        <v>6</v>
      </c>
      <c r="AE58" s="184">
        <v>2</v>
      </c>
      <c r="AF58" s="184">
        <v>14</v>
      </c>
      <c r="AG58" s="184">
        <v>0</v>
      </c>
      <c r="AH58" s="184">
        <v>0</v>
      </c>
      <c r="AI58" s="184">
        <v>0</v>
      </c>
      <c r="AJ58" s="184">
        <v>0</v>
      </c>
    </row>
    <row r="59" spans="1:36" x14ac:dyDescent="0.3">
      <c r="A59" s="180" t="s">
        <v>231</v>
      </c>
      <c r="B59" s="181">
        <v>46017</v>
      </c>
      <c r="C59" s="138" t="s">
        <v>298</v>
      </c>
      <c r="D59" s="182" t="s">
        <v>340</v>
      </c>
      <c r="E59" s="138" t="s">
        <v>294</v>
      </c>
      <c r="F59" s="138" t="s">
        <v>216</v>
      </c>
      <c r="G59" s="183">
        <v>0.13689999999999999</v>
      </c>
      <c r="H59" s="184">
        <v>168</v>
      </c>
      <c r="I59" s="184">
        <v>23</v>
      </c>
      <c r="J59" s="184">
        <v>0</v>
      </c>
      <c r="K59" s="184" t="s">
        <v>217</v>
      </c>
      <c r="L59" s="185">
        <v>45983</v>
      </c>
      <c r="M59" s="184">
        <v>0</v>
      </c>
      <c r="N59" s="184">
        <v>4</v>
      </c>
      <c r="O59" s="184">
        <v>7</v>
      </c>
      <c r="P59" s="184" t="s">
        <v>329</v>
      </c>
      <c r="Q59" s="184">
        <v>0</v>
      </c>
      <c r="R59" s="184">
        <v>0</v>
      </c>
      <c r="S59" s="184">
        <v>0</v>
      </c>
      <c r="T59" s="184">
        <v>0</v>
      </c>
      <c r="U59" s="184">
        <v>0</v>
      </c>
      <c r="V59" s="184">
        <v>0</v>
      </c>
      <c r="W59" s="184">
        <v>0</v>
      </c>
      <c r="X59" s="184">
        <v>0</v>
      </c>
      <c r="Y59" s="184">
        <v>0</v>
      </c>
      <c r="Z59" s="184">
        <v>4</v>
      </c>
      <c r="AA59" s="184">
        <v>6</v>
      </c>
      <c r="AB59" s="184">
        <v>0</v>
      </c>
      <c r="AC59" s="184">
        <v>7</v>
      </c>
      <c r="AD59" s="184">
        <v>6</v>
      </c>
      <c r="AE59" s="184">
        <v>0</v>
      </c>
      <c r="AF59" s="184">
        <v>0</v>
      </c>
      <c r="AG59" s="184">
        <v>0</v>
      </c>
      <c r="AH59" s="184">
        <v>0</v>
      </c>
      <c r="AI59" s="184">
        <v>0</v>
      </c>
      <c r="AJ59" s="184">
        <v>0</v>
      </c>
    </row>
    <row r="60" spans="1:36" x14ac:dyDescent="0.3">
      <c r="A60" s="180" t="s">
        <v>238</v>
      </c>
      <c r="B60" s="181">
        <v>46018</v>
      </c>
      <c r="C60" s="138" t="s">
        <v>391</v>
      </c>
      <c r="D60" s="182" t="s">
        <v>542</v>
      </c>
      <c r="E60" s="138" t="s">
        <v>353</v>
      </c>
      <c r="F60" s="138" t="s">
        <v>216</v>
      </c>
      <c r="G60" s="183">
        <v>0.1278</v>
      </c>
      <c r="H60" s="184">
        <v>180</v>
      </c>
      <c r="I60" s="184">
        <v>23</v>
      </c>
      <c r="J60" s="184">
        <v>0</v>
      </c>
      <c r="K60" s="184" t="s">
        <v>217</v>
      </c>
      <c r="L60" s="185">
        <v>45983</v>
      </c>
      <c r="M60" s="184">
        <v>0</v>
      </c>
      <c r="N60" s="184">
        <v>1</v>
      </c>
      <c r="O60" s="184">
        <v>6</v>
      </c>
      <c r="P60" s="184" t="s">
        <v>525</v>
      </c>
      <c r="Q60" s="184">
        <v>0</v>
      </c>
      <c r="R60" s="184">
        <v>0</v>
      </c>
      <c r="S60" s="184">
        <v>0</v>
      </c>
      <c r="T60" s="184">
        <v>0</v>
      </c>
      <c r="U60" s="184">
        <v>0</v>
      </c>
      <c r="V60" s="184">
        <v>0</v>
      </c>
      <c r="W60" s="184">
        <v>0</v>
      </c>
      <c r="X60" s="184">
        <v>0</v>
      </c>
      <c r="Y60" s="184">
        <v>0</v>
      </c>
      <c r="Z60" s="184">
        <v>1</v>
      </c>
      <c r="AA60" s="184">
        <v>0</v>
      </c>
      <c r="AB60" s="184">
        <v>0</v>
      </c>
      <c r="AC60" s="184">
        <v>0</v>
      </c>
      <c r="AD60" s="184">
        <v>4</v>
      </c>
      <c r="AE60" s="184">
        <v>18</v>
      </c>
      <c r="AF60" s="184">
        <v>0</v>
      </c>
      <c r="AG60" s="184">
        <v>0</v>
      </c>
      <c r="AH60" s="184">
        <v>0</v>
      </c>
      <c r="AI60" s="184">
        <v>0</v>
      </c>
      <c r="AJ60" s="184">
        <v>0</v>
      </c>
    </row>
    <row r="61" spans="1:36" x14ac:dyDescent="0.3">
      <c r="A61" s="180" t="s">
        <v>238</v>
      </c>
      <c r="B61" s="181">
        <v>46018</v>
      </c>
      <c r="C61" s="138" t="s">
        <v>80</v>
      </c>
      <c r="D61" s="182" t="s">
        <v>223</v>
      </c>
      <c r="E61" s="138" t="s">
        <v>1</v>
      </c>
      <c r="F61" s="138" t="s">
        <v>216</v>
      </c>
      <c r="G61" s="183">
        <v>7.7399999999999997E-2</v>
      </c>
      <c r="H61" s="184">
        <v>168</v>
      </c>
      <c r="I61" s="184">
        <v>13</v>
      </c>
      <c r="J61" s="184">
        <v>0</v>
      </c>
      <c r="K61" s="184" t="s">
        <v>217</v>
      </c>
      <c r="L61" s="185">
        <v>45979</v>
      </c>
      <c r="M61" s="184">
        <v>0</v>
      </c>
      <c r="N61" s="184">
        <v>0</v>
      </c>
      <c r="O61" s="184">
        <v>1</v>
      </c>
      <c r="P61" s="184" t="s">
        <v>116</v>
      </c>
      <c r="Q61" s="184">
        <v>0</v>
      </c>
      <c r="R61" s="184">
        <v>0</v>
      </c>
      <c r="S61" s="184">
        <v>0</v>
      </c>
      <c r="T61" s="184">
        <v>0</v>
      </c>
      <c r="U61" s="184">
        <v>0</v>
      </c>
      <c r="V61" s="184">
        <v>0</v>
      </c>
      <c r="W61" s="184">
        <v>0</v>
      </c>
      <c r="X61" s="184">
        <v>0</v>
      </c>
      <c r="Y61" s="184">
        <v>0</v>
      </c>
      <c r="Z61" s="184">
        <v>0</v>
      </c>
      <c r="AA61" s="184">
        <v>0</v>
      </c>
      <c r="AB61" s="184">
        <v>0</v>
      </c>
      <c r="AC61" s="184">
        <v>0</v>
      </c>
      <c r="AD61" s="184">
        <v>5</v>
      </c>
      <c r="AE61" s="184">
        <v>3</v>
      </c>
      <c r="AF61" s="184">
        <v>5</v>
      </c>
      <c r="AG61" s="184">
        <v>0</v>
      </c>
      <c r="AH61" s="184">
        <v>0</v>
      </c>
      <c r="AI61" s="184">
        <v>0</v>
      </c>
      <c r="AJ61" s="184">
        <v>0</v>
      </c>
    </row>
    <row r="62" spans="1:36" x14ac:dyDescent="0.3">
      <c r="A62" s="180" t="s">
        <v>334</v>
      </c>
      <c r="B62" s="181">
        <v>46020</v>
      </c>
      <c r="C62" s="138" t="s">
        <v>603</v>
      </c>
      <c r="D62" s="182" t="s">
        <v>340</v>
      </c>
      <c r="E62" s="138" t="s">
        <v>600</v>
      </c>
      <c r="F62" s="138" t="s">
        <v>216</v>
      </c>
      <c r="G62" s="183">
        <v>0.1278</v>
      </c>
      <c r="H62" s="184">
        <v>180</v>
      </c>
      <c r="I62" s="184">
        <v>23</v>
      </c>
      <c r="J62" s="184">
        <v>0</v>
      </c>
      <c r="K62" s="184" t="s">
        <v>217</v>
      </c>
      <c r="L62" s="185">
        <v>45984</v>
      </c>
      <c r="M62" s="184">
        <v>4</v>
      </c>
      <c r="N62" s="184">
        <v>0</v>
      </c>
      <c r="O62" s="184">
        <v>9</v>
      </c>
      <c r="P62" s="184" t="s">
        <v>627</v>
      </c>
      <c r="Q62" s="184">
        <v>0</v>
      </c>
      <c r="R62" s="184">
        <v>0</v>
      </c>
      <c r="S62" s="184">
        <v>0</v>
      </c>
      <c r="T62" s="184">
        <v>0</v>
      </c>
      <c r="U62" s="184">
        <v>0</v>
      </c>
      <c r="V62" s="184">
        <v>0</v>
      </c>
      <c r="W62" s="184">
        <v>0</v>
      </c>
      <c r="X62" s="184">
        <v>0</v>
      </c>
      <c r="Y62" s="184">
        <v>0</v>
      </c>
      <c r="Z62" s="184">
        <v>0</v>
      </c>
      <c r="AA62" s="184">
        <v>0</v>
      </c>
      <c r="AB62" s="184">
        <v>5</v>
      </c>
      <c r="AC62" s="184">
        <v>8</v>
      </c>
      <c r="AD62" s="184">
        <v>6</v>
      </c>
      <c r="AE62" s="184">
        <v>2</v>
      </c>
      <c r="AF62" s="184">
        <v>2</v>
      </c>
      <c r="AG62" s="184">
        <v>0</v>
      </c>
      <c r="AH62" s="184">
        <v>0</v>
      </c>
      <c r="AI62" s="184">
        <v>0</v>
      </c>
      <c r="AJ62" s="184">
        <v>0</v>
      </c>
    </row>
    <row r="63" spans="1:36" x14ac:dyDescent="0.3">
      <c r="A63" s="180" t="s">
        <v>334</v>
      </c>
      <c r="B63" s="181">
        <v>46020</v>
      </c>
      <c r="C63" s="138" t="s">
        <v>298</v>
      </c>
      <c r="D63" s="182" t="s">
        <v>335</v>
      </c>
      <c r="E63" s="138" t="s">
        <v>294</v>
      </c>
      <c r="F63" s="138" t="s">
        <v>216</v>
      </c>
      <c r="G63" s="183">
        <v>0.11310000000000001</v>
      </c>
      <c r="H63" s="184">
        <v>168</v>
      </c>
      <c r="I63" s="184">
        <v>19</v>
      </c>
      <c r="J63" s="184">
        <v>0</v>
      </c>
      <c r="K63" s="184" t="s">
        <v>217</v>
      </c>
      <c r="L63" s="185">
        <v>45980</v>
      </c>
      <c r="M63" s="184">
        <v>0</v>
      </c>
      <c r="N63" s="184">
        <v>0</v>
      </c>
      <c r="O63" s="184">
        <v>6</v>
      </c>
      <c r="P63" s="184" t="s">
        <v>257</v>
      </c>
      <c r="Q63" s="184">
        <v>0</v>
      </c>
      <c r="R63" s="184">
        <v>0</v>
      </c>
      <c r="S63" s="184">
        <v>0</v>
      </c>
      <c r="T63" s="184">
        <v>0</v>
      </c>
      <c r="U63" s="184">
        <v>0</v>
      </c>
      <c r="V63" s="184">
        <v>0</v>
      </c>
      <c r="W63" s="184">
        <v>0</v>
      </c>
      <c r="X63" s="184">
        <v>0</v>
      </c>
      <c r="Y63" s="184">
        <v>0</v>
      </c>
      <c r="Z63" s="184">
        <v>5</v>
      </c>
      <c r="AA63" s="184">
        <v>0</v>
      </c>
      <c r="AB63" s="184">
        <v>4</v>
      </c>
      <c r="AC63" s="184">
        <v>4</v>
      </c>
      <c r="AD63" s="184">
        <v>3</v>
      </c>
      <c r="AE63" s="184">
        <v>3</v>
      </c>
      <c r="AF63" s="184">
        <v>0</v>
      </c>
      <c r="AG63" s="184">
        <v>0</v>
      </c>
      <c r="AH63" s="184">
        <v>0</v>
      </c>
      <c r="AI63" s="184">
        <v>0</v>
      </c>
      <c r="AJ63" s="184">
        <v>0</v>
      </c>
    </row>
    <row r="64" spans="1:36" x14ac:dyDescent="0.3">
      <c r="A64" s="180" t="s">
        <v>214</v>
      </c>
      <c r="B64" s="181">
        <v>46021</v>
      </c>
      <c r="C64" s="138" t="s">
        <v>391</v>
      </c>
      <c r="D64" s="182" t="s">
        <v>535</v>
      </c>
      <c r="E64" s="138" t="s">
        <v>353</v>
      </c>
      <c r="F64" s="138" t="s">
        <v>216</v>
      </c>
      <c r="G64" s="183">
        <v>7.7799999999999994E-2</v>
      </c>
      <c r="H64" s="184">
        <v>180</v>
      </c>
      <c r="I64" s="184">
        <v>14</v>
      </c>
      <c r="J64" s="184">
        <v>0</v>
      </c>
      <c r="K64" s="184" t="s">
        <v>217</v>
      </c>
      <c r="L64" s="185">
        <v>45982</v>
      </c>
      <c r="M64" s="184">
        <v>0</v>
      </c>
      <c r="N64" s="184">
        <v>0</v>
      </c>
      <c r="O64" s="184">
        <v>4</v>
      </c>
      <c r="P64" s="184" t="s">
        <v>522</v>
      </c>
      <c r="Q64" s="184">
        <v>0</v>
      </c>
      <c r="R64" s="184">
        <v>0</v>
      </c>
      <c r="S64" s="184">
        <v>0</v>
      </c>
      <c r="T64" s="184">
        <v>0</v>
      </c>
      <c r="U64" s="184">
        <v>0</v>
      </c>
      <c r="V64" s="184">
        <v>0</v>
      </c>
      <c r="W64" s="184">
        <v>0</v>
      </c>
      <c r="X64" s="184">
        <v>0</v>
      </c>
      <c r="Y64" s="184">
        <v>0</v>
      </c>
      <c r="Z64" s="184">
        <v>2</v>
      </c>
      <c r="AA64" s="184">
        <v>0</v>
      </c>
      <c r="AB64" s="184">
        <v>0</v>
      </c>
      <c r="AC64" s="184">
        <v>0</v>
      </c>
      <c r="AD64" s="184">
        <v>3</v>
      </c>
      <c r="AE64" s="184">
        <v>7</v>
      </c>
      <c r="AF64" s="184">
        <v>2</v>
      </c>
      <c r="AG64" s="184">
        <v>0</v>
      </c>
      <c r="AH64" s="184">
        <v>0</v>
      </c>
      <c r="AI64" s="184">
        <v>0</v>
      </c>
      <c r="AJ64" s="184">
        <v>0</v>
      </c>
    </row>
    <row r="65" spans="1:36" ht="15.6" x14ac:dyDescent="0.3">
      <c r="A65" s="186" t="s">
        <v>214</v>
      </c>
      <c r="B65" s="187">
        <v>46021</v>
      </c>
      <c r="C65" s="188" t="s">
        <v>80</v>
      </c>
      <c r="D65" s="189" t="s">
        <v>215</v>
      </c>
      <c r="E65" s="188" t="s">
        <v>1</v>
      </c>
      <c r="F65" s="188" t="s">
        <v>216</v>
      </c>
      <c r="G65" s="190">
        <v>0.17860000000000001</v>
      </c>
      <c r="H65" s="191" t="str">
        <f ca="1">SUBTOTAL(109,LF_ALL_ROUTES[CAP])</f>
        <v/>
      </c>
      <c r="I65" s="191" t="str">
        <f ca="1">SUBTOTAL(109,LF_ALL_ROUTES[BKG(Y)])</f>
        <v/>
      </c>
      <c r="J65" s="191" t="str">
        <f ca="1">SUBTOTAL(109,LF_ALL_ROUTES[GRP(Y)])</f>
        <v/>
      </c>
      <c r="K65" s="191" t="s">
        <v>217</v>
      </c>
      <c r="L65" s="192">
        <v>45983</v>
      </c>
      <c r="M65" s="191" t="str">
        <f ca="1">SUBTOTAL(109,LF_ALL_ROUTES[TO-DAY])</f>
        <v/>
      </c>
      <c r="N65" s="191" t="str">
        <f ca="1">SUBTOTAL(109,LF_ALL_ROUTES[Y-DAY])</f>
        <v/>
      </c>
      <c r="O65" s="191" t="str">
        <f ca="1">SUBTOTAL(109,LF_ALL_ROUTES[WEEKLY])</f>
        <v/>
      </c>
      <c r="P65" s="191" t="s">
        <v>138</v>
      </c>
      <c r="Q65" s="191">
        <v>0</v>
      </c>
      <c r="R65" s="191">
        <v>0</v>
      </c>
      <c r="S65" s="191">
        <v>0</v>
      </c>
      <c r="T65" s="191">
        <v>0</v>
      </c>
      <c r="U65" s="191">
        <v>0</v>
      </c>
      <c r="V65" s="191">
        <v>0</v>
      </c>
      <c r="W65" s="191">
        <v>0</v>
      </c>
      <c r="X65" s="191">
        <v>0</v>
      </c>
      <c r="Y65" s="191">
        <v>0</v>
      </c>
      <c r="Z65" s="191">
        <v>4</v>
      </c>
      <c r="AA65" s="191">
        <v>0</v>
      </c>
      <c r="AB65" s="191">
        <v>0</v>
      </c>
      <c r="AC65" s="191">
        <v>0</v>
      </c>
      <c r="AD65" s="191">
        <v>0</v>
      </c>
      <c r="AE65" s="191">
        <v>1</v>
      </c>
      <c r="AF65" s="191">
        <v>25</v>
      </c>
      <c r="AG65" s="191">
        <v>0</v>
      </c>
      <c r="AH65" s="191">
        <v>0</v>
      </c>
      <c r="AI65" s="191">
        <v>0</v>
      </c>
      <c r="AJ65" s="191">
        <v>0</v>
      </c>
    </row>
    <row r="66" spans="1:36" ht="18" x14ac:dyDescent="0.35">
      <c r="A66" s="207" t="s">
        <v>659</v>
      </c>
      <c r="B66" s="208"/>
      <c r="C66" s="207">
        <f>SUBTOTAL(103,LF_ALL_ROUTES[Flt])</f>
        <v>64</v>
      </c>
      <c r="D66" s="207"/>
      <c r="E66" s="207">
        <f>SUBTOTAL(103,LF_ALL_ROUTES[Brd-Off])</f>
        <v>64</v>
      </c>
      <c r="F66" s="207"/>
      <c r="G66" s="209">
        <f>SUBTOTAL(101,LF_ALL_ROUTES[LF%])</f>
        <v>0.30920937499999995</v>
      </c>
      <c r="H66" s="210">
        <f ca="1">SUBTOTAL(109,LF_ALL_ROUTES[CAP])</f>
        <v>0</v>
      </c>
      <c r="I66" s="210">
        <f ca="1">SUBTOTAL(109,LF_ALL_ROUTES[BKG(Y)])</f>
        <v>0</v>
      </c>
      <c r="J66" s="210">
        <f ca="1">SUBTOTAL(109,LF_ALL_ROUTES[GRP(Y)])</f>
        <v>0</v>
      </c>
      <c r="K66" s="207"/>
      <c r="L66" s="208"/>
      <c r="M66" s="210">
        <f ca="1">SUBTOTAL(109,LF_ALL_ROUTES[TO-DAY])</f>
        <v>0</v>
      </c>
      <c r="N66" s="210">
        <f ca="1">SUBTOTAL(109,LF_ALL_ROUTES[Y-DAY])</f>
        <v>0</v>
      </c>
      <c r="O66" s="210">
        <f ca="1">SUBTOTAL(109,LF_ALL_ROUTES[WEEKLY])</f>
        <v>0</v>
      </c>
      <c r="P66" s="210"/>
      <c r="Q66" s="210">
        <f>SUBTOTAL(109,LF_ALL_ROUTES[Y])</f>
        <v>3</v>
      </c>
      <c r="R66" s="210">
        <f>SUBTOTAL(109,LF_ALL_ROUTES[B])</f>
        <v>2</v>
      </c>
      <c r="S66" s="210">
        <f>SUBTOTAL(109,LF_ALL_ROUTES[M])</f>
        <v>28</v>
      </c>
      <c r="T66" s="210">
        <f>SUBTOTAL(109,LF_ALL_ROUTES[H])</f>
        <v>43</v>
      </c>
      <c r="U66" s="210">
        <f>SUBTOTAL(109,LF_ALL_ROUTES[Q])</f>
        <v>80</v>
      </c>
      <c r="V66" s="210">
        <f>SUBTOTAL(109,LF_ALL_ROUTES[K])</f>
        <v>102</v>
      </c>
      <c r="W66" s="210">
        <f>SUBTOTAL(109,LF_ALL_ROUTES[V])</f>
        <v>108</v>
      </c>
      <c r="X66" s="210">
        <f>SUBTOTAL(109,LF_ALL_ROUTES[L])</f>
        <v>150</v>
      </c>
      <c r="Y66" s="210">
        <f>SUBTOTAL(109,LF_ALL_ROUTES[G])</f>
        <v>272</v>
      </c>
      <c r="Z66" s="210">
        <f>SUBTOTAL(109,LF_ALL_ROUTES[S])</f>
        <v>333</v>
      </c>
      <c r="AA66" s="210">
        <f>SUBTOTAL(109,LF_ALL_ROUTES[W])</f>
        <v>220</v>
      </c>
      <c r="AB66" s="210">
        <f>SUBTOTAL(109,LF_ALL_ROUTES[T])</f>
        <v>238</v>
      </c>
      <c r="AC66" s="210">
        <f>SUBTOTAL(109,LF_ALL_ROUTES[X])</f>
        <v>367</v>
      </c>
      <c r="AD66" s="210">
        <f>SUBTOTAL(109,LF_ALL_ROUTES[U])</f>
        <v>499</v>
      </c>
      <c r="AE66" s="210">
        <f>SUBTOTAL(109,LF_ALL_ROUTES[O])</f>
        <v>427</v>
      </c>
      <c r="AF66" s="210">
        <f>SUBTOTAL(109,LF_ALL_ROUTES[I])</f>
        <v>605</v>
      </c>
      <c r="AG66" s="210">
        <f>SUBTOTAL(109,LF_ALL_ROUTES[E])</f>
        <v>0</v>
      </c>
      <c r="AH66" s="210">
        <f>SUBTOTAL(109,LF_ALL_ROUTES[A])</f>
        <v>0</v>
      </c>
      <c r="AI66" s="210">
        <f>SUBTOTAL(109,LF_ALL_ROUTES[P])</f>
        <v>0</v>
      </c>
      <c r="AJ66" s="210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DMM-CAI</vt:lpstr>
      <vt:lpstr>DMM-CAI LF LEGACY</vt:lpstr>
      <vt:lpstr>DMM-CAI - FOCUS MODE</vt:lpstr>
      <vt:lpstr>DMM-ATZ</vt:lpstr>
      <vt:lpstr>DMM-ATZ LF LEGACY</vt:lpstr>
      <vt:lpstr>DMM-ATZ - FOCUS MODE</vt:lpstr>
      <vt:lpstr>CAI-DMM</vt:lpstr>
      <vt:lpstr>CAI-DMM LF LEGACY</vt:lpstr>
      <vt:lpstr>CAI-DMM - FOCUS MODE</vt:lpstr>
      <vt:lpstr>ATZ-DMM</vt:lpstr>
      <vt:lpstr>ATZ-DMM LF LEGACY</vt:lpstr>
      <vt:lpstr>ATZ-DMM -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2025-11-23T10:19:21Z</dcterms:created>
  <dcterms:modified xsi:type="dcterms:W3CDTF">2025-11-23T10:48:51Z</dcterms:modified>
</cp:coreProperties>
</file>