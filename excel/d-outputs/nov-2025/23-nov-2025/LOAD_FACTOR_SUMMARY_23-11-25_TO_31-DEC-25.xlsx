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D3333964-BE7C-4B1D-AB40-8FD8B95467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6" i="1" l="1"/>
  <c r="E66" i="1"/>
  <c r="C66" i="1"/>
  <c r="AJ66" i="1"/>
</calcChain>
</file>

<file path=xl/sharedStrings.xml><?xml version="1.0" encoding="utf-8"?>
<sst xmlns="http://schemas.openxmlformats.org/spreadsheetml/2006/main" count="485" uniqueCount="101">
  <si>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</si>
  <si>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</si>
  <si>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</si>
  <si>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</si>
  <si>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</si>
  <si>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</si>
  <si>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</si>
  <si>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</si>
  <si>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</si>
  <si>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</si>
  <si>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</si>
  <si>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</si>
  <si>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</si>
  <si>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</si>
  <si>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</si>
  <si>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</si>
  <si>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</si>
  <si>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</si>
  <si>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</si>
  <si>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</si>
  <si>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</si>
  <si>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</si>
  <si>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</si>
  <si>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</si>
  <si>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</si>
  <si>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</si>
  <si>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</si>
  <si>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</si>
  <si>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</si>
  <si>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</si>
  <si>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</si>
  <si>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</si>
  <si>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</si>
  <si>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</si>
  <si>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</si>
  <si>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</si>
  <si>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</si>
  <si>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SM437</t>
  </si>
  <si>
    <t>07:00</t>
  </si>
  <si>
    <t>ATZ-DMM</t>
  </si>
  <si>
    <t>320</t>
  </si>
  <si>
    <t>UPCOMING</t>
  </si>
  <si>
    <t>CLOSED</t>
  </si>
  <si>
    <t>SM438</t>
  </si>
  <si>
    <t>12:15</t>
  </si>
  <si>
    <t>DMM-ATZ</t>
  </si>
  <si>
    <t>W9</t>
  </si>
  <si>
    <t>TUESDAY</t>
  </si>
  <si>
    <t>SM433</t>
  </si>
  <si>
    <t>01:40</t>
  </si>
  <si>
    <t>CAI-DMM</t>
  </si>
  <si>
    <t>Q9</t>
  </si>
  <si>
    <t>SM434</t>
  </si>
  <si>
    <t>06:30</t>
  </si>
  <si>
    <t>DMM-CAI</t>
  </si>
  <si>
    <t>U6</t>
  </si>
  <si>
    <t>THURSDAY</t>
  </si>
  <si>
    <t>17:20</t>
  </si>
  <si>
    <t>22:10</t>
  </si>
  <si>
    <t>I6</t>
  </si>
  <si>
    <t>FRIDAY</t>
  </si>
  <si>
    <t>09:10</t>
  </si>
  <si>
    <t>H8</t>
  </si>
  <si>
    <t>01:45</t>
  </si>
  <si>
    <t>13:55</t>
  </si>
  <si>
    <t>I9</t>
  </si>
  <si>
    <t>U3</t>
  </si>
  <si>
    <t>SATURDAY</t>
  </si>
  <si>
    <t>M9</t>
  </si>
  <si>
    <t>K2</t>
  </si>
  <si>
    <t>T9</t>
  </si>
  <si>
    <t>V4</t>
  </si>
  <si>
    <t>O6</t>
  </si>
  <si>
    <t>L1</t>
  </si>
  <si>
    <t>I2</t>
  </si>
  <si>
    <t>G1</t>
  </si>
  <si>
    <t>I1</t>
  </si>
  <si>
    <t>U1</t>
  </si>
  <si>
    <t>S2</t>
  </si>
  <si>
    <t>V3</t>
  </si>
  <si>
    <t>U7</t>
  </si>
  <si>
    <t>X9</t>
  </si>
  <si>
    <t>T8</t>
  </si>
  <si>
    <t>O8</t>
  </si>
  <si>
    <t>L4</t>
  </si>
  <si>
    <t>X8</t>
  </si>
  <si>
    <t>G3</t>
  </si>
  <si>
    <t>U9</t>
  </si>
  <si>
    <t>I3</t>
  </si>
  <si>
    <t>S7</t>
  </si>
  <si>
    <t>X6</t>
  </si>
  <si>
    <t>T6</t>
  </si>
  <si>
    <t>G6</t>
  </si>
  <si>
    <t>X1</t>
  </si>
  <si>
    <t>I8</t>
  </si>
  <si>
    <t>S6</t>
  </si>
  <si>
    <t>T7</t>
  </si>
  <si>
    <t>O9</t>
  </si>
  <si>
    <t>W7</t>
  </si>
  <si>
    <t>T1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</si>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</sst>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727594-9176-48A1-B95C-1D8623A41658}" name="LF_ALL_ROUTES" displayName="LF_ALL_ROUTES" ref="A1:AJ66" totalsRowCount="1" headerRowDxfId="37" totalsRowDxfId="0">
  <autoFilter ref="A1:AJ65" xr:uid="{50727594-9176-48A1-B95C-1D8623A41658}"/>
  <tableColumns count="36">
    <tableColumn id="1" xr3:uid="{95893E59-BA41-4B28-85D7-A36E086FAE25}" name="Day" totalsRowLabel="TOTAL" totalsRowDxfId="36"/>
    <tableColumn id="2" xr3:uid="{26D4BC08-383B-4322-B257-21F351726DB9}" name="Flt Dt" dataDxfId="39" totalsRowDxfId="35"/>
    <tableColumn id="3" xr3:uid="{CCA3ED60-14C0-4192-A354-80E39367CEC1}" name="Flt" totalsRowFunction="count" totalsRowDxfId="34"/>
    <tableColumn id="4" xr3:uid="{672170DF-47C6-4018-A7EB-A26DEFD618B8}" name="DEP" totalsRowDxfId="33"/>
    <tableColumn id="5" xr3:uid="{E4640E64-0AD5-4AC2-8B0E-1486104B2D72}" name="Brd-Off" totalsRowFunction="count" totalsRowDxfId="32"/>
    <tableColumn id="6" xr3:uid="{F1325B70-A7F4-4F8B-90C4-3093504FEC00}" name="Eqp" totalsRowDxfId="31"/>
    <tableColumn id="7" xr3:uid="{EBB11130-677D-4097-9B69-FC1812C06FDE}" name="LF%" totalsRowFunction="average" totalsRowDxfId="30"/>
    <tableColumn id="8" xr3:uid="{2F04714A-DBD2-4CEA-983C-BE5247903B21}" name="CAP" totalsRowDxfId="29"/>
    <tableColumn id="9" xr3:uid="{DBAEF12D-DD1B-4CD8-8C0D-FF133C071E2B}" name="BKG(Y)" totalsRowDxfId="28"/>
    <tableColumn id="10" xr3:uid="{982A3471-4A5D-45A1-A6E3-EE632583A756}" name="GRP(Y)" totalsRowDxfId="27"/>
    <tableColumn id="11" xr3:uid="{64B962E9-BD1E-44AD-A7FB-84B596CC3952}" name="FLT ST" totalsRowDxfId="26"/>
    <tableColumn id="12" xr3:uid="{41C4B619-58AC-480A-B7FE-BD8E0CAF40B0}" name="LST-SOLD" dataDxfId="38" totalsRowDxfId="25"/>
    <tableColumn id="13" xr3:uid="{9C36579E-05A8-4D35-9370-9DA9EAF140CE}" name="TO-DAY" totalsRowDxfId="24"/>
    <tableColumn id="14" xr3:uid="{033A5427-D02B-4E3B-8B5B-EED5707BB7FD}" name="Y-DAY" totalsRowDxfId="23"/>
    <tableColumn id="15" xr3:uid="{6C98724C-0AF8-48C8-B3F0-1D688A0772C6}" name="WEEKLY" totalsRowDxfId="22"/>
    <tableColumn id="16" xr3:uid="{516B7600-A3FE-4CE8-B648-3A4CD0AFE0A0}" name="LOWEST AVAIL" totalsRowDxfId="21"/>
    <tableColumn id="17" xr3:uid="{F33A7FF5-E16A-434E-B100-157AC8DEE60A}" name="Y" totalsRowDxfId="20"/>
    <tableColumn id="18" xr3:uid="{A8C8DFDE-49FE-41A0-9A2E-75E15E2AA832}" name="B" totalsRowDxfId="19"/>
    <tableColumn id="19" xr3:uid="{96353A62-1F1D-4D12-AE94-28F7AF4A47C8}" name="M" totalsRowDxfId="18"/>
    <tableColumn id="20" xr3:uid="{5EF15994-B19A-4A38-AA58-39E0AB30CF63}" name="H" totalsRowDxfId="17"/>
    <tableColumn id="21" xr3:uid="{F7C59640-80B8-4454-B397-61F5B45366CC}" name="Q" totalsRowDxfId="16"/>
    <tableColumn id="22" xr3:uid="{58374832-1816-45BA-BA98-008B63FBDDE2}" name="K" totalsRowDxfId="15"/>
    <tableColumn id="23" xr3:uid="{DFEFA8DE-F466-4C9F-864D-4DC1735366BC}" name="V" totalsRowDxfId="14"/>
    <tableColumn id="24" xr3:uid="{0E332B68-CE9D-4C88-BA4D-C4BC2AC029BA}" name="L" totalsRowDxfId="13"/>
    <tableColumn id="25" xr3:uid="{64F8BC49-C862-425B-BD2A-F163F1005A73}" name="G" totalsRowDxfId="12"/>
    <tableColumn id="26" xr3:uid="{D0A0D706-8445-48D8-A545-A17458D3DB21}" name="S" totalsRowDxfId="11"/>
    <tableColumn id="27" xr3:uid="{BCED9547-7F75-4CAB-8ABD-103669BF12CB}" name="W" totalsRowDxfId="10"/>
    <tableColumn id="28" xr3:uid="{86C58220-BA61-4AEF-9FAD-A016AAC509F0}" name="T" totalsRowDxfId="9"/>
    <tableColumn id="29" xr3:uid="{503EF4AA-AABA-4F7C-A228-35CFAA657485}" name="X" totalsRowDxfId="8"/>
    <tableColumn id="30" xr3:uid="{3A149AC3-1CDE-4667-A4FA-ADA1B742F2E3}" name="U" totalsRowDxfId="7"/>
    <tableColumn id="31" xr3:uid="{D947726F-DC20-4911-B9D3-B6DF5E3B3F5F}" name="O" totalsRowDxfId="6"/>
    <tableColumn id="32" xr3:uid="{B19DCB30-FA59-463A-9376-F0F4BBE2797E}" name="I" totalsRowDxfId="5"/>
    <tableColumn id="33" xr3:uid="{C6C34083-C8EB-43E6-B19F-5A120ECDBBB2}" name="E" totalsRowDxfId="4"/>
    <tableColumn id="34" xr3:uid="{795E0D30-71C1-4C3B-AF27-CC120471A7CC}" name="A" totalsRowDxfId="3"/>
    <tableColumn id="35" xr3:uid="{606D03B9-599F-4974-B971-728D6DA41DA1}" name="P" totalsRowDxfId="2"/>
    <tableColumn id="36" xr3:uid="{937476D9-C720-4310-B73F-E85772A7A91B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6"/>
  <sheetViews>
    <sheetView tabSelected="1" topLeftCell="A48" workbookViewId="0"/>
  </sheetViews>
  <sheetFormatPr defaultRowHeight="14.4" outlineLevelCol="1" x14ac:dyDescent="0.3"/>
  <cols>
    <col min="1" max="1" width="9.88671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45985</v>
      </c>
      <c r="C2" t="s">
        <v>37</v>
      </c>
      <c r="D2" t="s">
        <v>38</v>
      </c>
      <c r="E2" t="s">
        <v>39</v>
      </c>
      <c r="F2" t="s">
        <v>40</v>
      </c>
      <c r="G2">
        <v>0.99439999999999995</v>
      </c>
      <c r="H2">
        <v>180</v>
      </c>
      <c r="I2">
        <v>179</v>
      </c>
      <c r="J2">
        <v>0</v>
      </c>
      <c r="K2" t="s">
        <v>41</v>
      </c>
      <c r="L2" s="2">
        <v>45983</v>
      </c>
      <c r="M2">
        <v>0</v>
      </c>
      <c r="N2">
        <v>13</v>
      </c>
      <c r="O2">
        <v>47</v>
      </c>
      <c r="P2" t="s">
        <v>42</v>
      </c>
      <c r="Q2">
        <v>0</v>
      </c>
      <c r="R2">
        <v>0</v>
      </c>
      <c r="S2">
        <v>0</v>
      </c>
      <c r="T2">
        <v>0</v>
      </c>
      <c r="U2">
        <v>9</v>
      </c>
      <c r="V2">
        <v>15</v>
      </c>
      <c r="W2">
        <v>15</v>
      </c>
      <c r="X2">
        <v>15</v>
      </c>
      <c r="Y2">
        <v>15</v>
      </c>
      <c r="Z2">
        <v>20</v>
      </c>
      <c r="AA2">
        <v>14</v>
      </c>
      <c r="AB2">
        <v>18</v>
      </c>
      <c r="AC2">
        <v>14</v>
      </c>
      <c r="AD2">
        <v>15</v>
      </c>
      <c r="AE2">
        <v>15</v>
      </c>
      <c r="AF2">
        <v>14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45985</v>
      </c>
      <c r="C3" t="s">
        <v>43</v>
      </c>
      <c r="D3" t="s">
        <v>44</v>
      </c>
      <c r="E3" t="s">
        <v>45</v>
      </c>
      <c r="F3" t="s">
        <v>40</v>
      </c>
      <c r="G3">
        <v>0.58330000000000004</v>
      </c>
      <c r="H3">
        <v>168</v>
      </c>
      <c r="I3">
        <v>98</v>
      </c>
      <c r="J3">
        <v>0</v>
      </c>
      <c r="K3" t="s">
        <v>41</v>
      </c>
      <c r="L3" s="2">
        <v>45984</v>
      </c>
      <c r="M3">
        <v>3</v>
      </c>
      <c r="N3">
        <v>9</v>
      </c>
      <c r="O3">
        <v>39</v>
      </c>
      <c r="P3" t="s">
        <v>46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2</v>
      </c>
      <c r="AA3">
        <v>8</v>
      </c>
      <c r="AB3">
        <v>28</v>
      </c>
      <c r="AC3">
        <v>10</v>
      </c>
      <c r="AD3">
        <v>10</v>
      </c>
      <c r="AE3">
        <v>23</v>
      </c>
      <c r="AF3">
        <v>17</v>
      </c>
      <c r="AG3">
        <v>0</v>
      </c>
      <c r="AH3">
        <v>0</v>
      </c>
      <c r="AI3">
        <v>0</v>
      </c>
      <c r="AJ3">
        <v>0</v>
      </c>
    </row>
    <row r="4" spans="1:36" x14ac:dyDescent="0.3">
      <c r="A4" t="s">
        <v>47</v>
      </c>
      <c r="B4" s="2">
        <v>45986</v>
      </c>
      <c r="C4" t="s">
        <v>48</v>
      </c>
      <c r="D4" t="s">
        <v>49</v>
      </c>
      <c r="E4" t="s">
        <v>50</v>
      </c>
      <c r="F4" t="s">
        <v>40</v>
      </c>
      <c r="G4">
        <v>0.74439999999999995</v>
      </c>
      <c r="H4">
        <v>180</v>
      </c>
      <c r="I4">
        <v>134</v>
      </c>
      <c r="J4">
        <v>0</v>
      </c>
      <c r="K4" t="s">
        <v>41</v>
      </c>
      <c r="L4" s="2">
        <v>45984</v>
      </c>
      <c r="M4">
        <v>10</v>
      </c>
      <c r="N4">
        <v>13</v>
      </c>
      <c r="O4">
        <v>89</v>
      </c>
      <c r="P4" t="s">
        <v>51</v>
      </c>
      <c r="Q4">
        <v>0</v>
      </c>
      <c r="R4">
        <v>0</v>
      </c>
      <c r="S4">
        <v>0</v>
      </c>
      <c r="T4">
        <v>0</v>
      </c>
      <c r="U4">
        <v>4</v>
      </c>
      <c r="V4">
        <v>20</v>
      </c>
      <c r="W4">
        <v>20</v>
      </c>
      <c r="X4">
        <v>30</v>
      </c>
      <c r="Y4">
        <v>21</v>
      </c>
      <c r="Z4">
        <v>7</v>
      </c>
      <c r="AA4">
        <v>0</v>
      </c>
      <c r="AB4">
        <v>1</v>
      </c>
      <c r="AC4">
        <v>1</v>
      </c>
      <c r="AD4">
        <v>7</v>
      </c>
      <c r="AE4">
        <v>19</v>
      </c>
      <c r="AF4">
        <v>4</v>
      </c>
      <c r="AG4">
        <v>0</v>
      </c>
      <c r="AH4">
        <v>0</v>
      </c>
      <c r="AI4">
        <v>0</v>
      </c>
      <c r="AJ4">
        <v>0</v>
      </c>
    </row>
    <row r="5" spans="1:36" x14ac:dyDescent="0.3">
      <c r="A5" t="s">
        <v>47</v>
      </c>
      <c r="B5" s="2">
        <v>45986</v>
      </c>
      <c r="C5" t="s">
        <v>52</v>
      </c>
      <c r="D5" t="s">
        <v>53</v>
      </c>
      <c r="E5" t="s">
        <v>54</v>
      </c>
      <c r="F5" t="s">
        <v>40</v>
      </c>
      <c r="G5">
        <v>0.41070000000000001</v>
      </c>
      <c r="H5">
        <v>168</v>
      </c>
      <c r="I5">
        <v>69</v>
      </c>
      <c r="J5">
        <v>0</v>
      </c>
      <c r="K5" t="s">
        <v>41</v>
      </c>
      <c r="L5" s="2">
        <v>45983</v>
      </c>
      <c r="M5">
        <v>0</v>
      </c>
      <c r="N5">
        <v>3</v>
      </c>
      <c r="O5">
        <v>31</v>
      </c>
      <c r="P5" t="s">
        <v>55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8</v>
      </c>
      <c r="AA5">
        <v>5</v>
      </c>
      <c r="AB5">
        <v>0</v>
      </c>
      <c r="AC5">
        <v>0</v>
      </c>
      <c r="AD5">
        <v>2</v>
      </c>
      <c r="AE5">
        <v>8</v>
      </c>
      <c r="AF5">
        <v>46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56</v>
      </c>
      <c r="B6" s="2">
        <v>45988</v>
      </c>
      <c r="C6" t="s">
        <v>48</v>
      </c>
      <c r="D6" t="s">
        <v>57</v>
      </c>
      <c r="E6" t="s">
        <v>50</v>
      </c>
      <c r="F6" t="s">
        <v>40</v>
      </c>
      <c r="G6">
        <v>0.85</v>
      </c>
      <c r="H6">
        <v>180</v>
      </c>
      <c r="I6">
        <v>153</v>
      </c>
      <c r="J6">
        <v>0</v>
      </c>
      <c r="K6" t="s">
        <v>41</v>
      </c>
      <c r="L6" s="2">
        <v>45984</v>
      </c>
      <c r="M6">
        <v>8</v>
      </c>
      <c r="N6">
        <v>2</v>
      </c>
      <c r="O6">
        <v>26</v>
      </c>
      <c r="P6" t="s">
        <v>51</v>
      </c>
      <c r="Q6">
        <v>0</v>
      </c>
      <c r="R6">
        <v>0</v>
      </c>
      <c r="S6">
        <v>0</v>
      </c>
      <c r="T6">
        <v>2</v>
      </c>
      <c r="U6">
        <v>44</v>
      </c>
      <c r="V6">
        <v>18</v>
      </c>
      <c r="W6">
        <v>7</v>
      </c>
      <c r="X6">
        <v>10</v>
      </c>
      <c r="Y6">
        <v>8</v>
      </c>
      <c r="Z6">
        <v>8</v>
      </c>
      <c r="AA6">
        <v>17</v>
      </c>
      <c r="AB6">
        <v>9</v>
      </c>
      <c r="AC6">
        <v>7</v>
      </c>
      <c r="AD6">
        <v>9</v>
      </c>
      <c r="AE6">
        <v>7</v>
      </c>
      <c r="AF6">
        <v>7</v>
      </c>
      <c r="AG6">
        <v>0</v>
      </c>
      <c r="AH6">
        <v>0</v>
      </c>
      <c r="AI6">
        <v>0</v>
      </c>
      <c r="AJ6">
        <v>0</v>
      </c>
    </row>
    <row r="7" spans="1:36" x14ac:dyDescent="0.3">
      <c r="A7" t="s">
        <v>56</v>
      </c>
      <c r="B7" s="2">
        <v>45988</v>
      </c>
      <c r="C7" t="s">
        <v>52</v>
      </c>
      <c r="D7" t="s">
        <v>58</v>
      </c>
      <c r="E7" t="s">
        <v>54</v>
      </c>
      <c r="F7" t="s">
        <v>40</v>
      </c>
      <c r="G7">
        <v>0.26790000000000003</v>
      </c>
      <c r="H7">
        <v>168</v>
      </c>
      <c r="I7">
        <v>45</v>
      </c>
      <c r="J7">
        <v>0</v>
      </c>
      <c r="K7" t="s">
        <v>41</v>
      </c>
      <c r="L7" s="2">
        <v>45983</v>
      </c>
      <c r="M7">
        <v>0</v>
      </c>
      <c r="N7">
        <v>2</v>
      </c>
      <c r="O7">
        <v>14</v>
      </c>
      <c r="P7" t="s">
        <v>59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2</v>
      </c>
      <c r="AA7">
        <v>4</v>
      </c>
      <c r="AB7">
        <v>0</v>
      </c>
      <c r="AC7">
        <v>2</v>
      </c>
      <c r="AD7">
        <v>4</v>
      </c>
      <c r="AE7">
        <v>1</v>
      </c>
      <c r="AF7">
        <v>31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60</v>
      </c>
      <c r="B8" s="2">
        <v>45989</v>
      </c>
      <c r="C8" t="s">
        <v>48</v>
      </c>
      <c r="D8" t="s">
        <v>61</v>
      </c>
      <c r="E8" t="s">
        <v>50</v>
      </c>
      <c r="F8" t="s">
        <v>40</v>
      </c>
      <c r="G8">
        <v>0.76670000000000005</v>
      </c>
      <c r="H8">
        <v>180</v>
      </c>
      <c r="I8">
        <v>138</v>
      </c>
      <c r="J8">
        <v>0</v>
      </c>
      <c r="K8" t="s">
        <v>41</v>
      </c>
      <c r="L8" s="2">
        <v>45984</v>
      </c>
      <c r="M8">
        <v>4</v>
      </c>
      <c r="N8">
        <v>5</v>
      </c>
      <c r="O8">
        <v>21</v>
      </c>
      <c r="P8" t="s">
        <v>62</v>
      </c>
      <c r="Q8">
        <v>0</v>
      </c>
      <c r="R8">
        <v>0</v>
      </c>
      <c r="S8">
        <v>6</v>
      </c>
      <c r="T8">
        <v>18</v>
      </c>
      <c r="U8">
        <v>3</v>
      </c>
      <c r="V8">
        <v>16</v>
      </c>
      <c r="W8">
        <v>7</v>
      </c>
      <c r="X8">
        <v>11</v>
      </c>
      <c r="Y8">
        <v>27</v>
      </c>
      <c r="Z8">
        <v>13</v>
      </c>
      <c r="AA8">
        <v>12</v>
      </c>
      <c r="AB8">
        <v>8</v>
      </c>
      <c r="AC8">
        <v>5</v>
      </c>
      <c r="AD8">
        <v>3</v>
      </c>
      <c r="AE8">
        <v>5</v>
      </c>
      <c r="AF8">
        <v>4</v>
      </c>
      <c r="AG8">
        <v>0</v>
      </c>
      <c r="AH8">
        <v>0</v>
      </c>
      <c r="AI8">
        <v>0</v>
      </c>
      <c r="AJ8">
        <v>0</v>
      </c>
    </row>
    <row r="9" spans="1:36" x14ac:dyDescent="0.3">
      <c r="A9" t="s">
        <v>60</v>
      </c>
      <c r="B9" s="2">
        <v>45989</v>
      </c>
      <c r="C9" t="s">
        <v>37</v>
      </c>
      <c r="D9" t="s">
        <v>63</v>
      </c>
      <c r="E9" t="s">
        <v>39</v>
      </c>
      <c r="F9" t="s">
        <v>40</v>
      </c>
      <c r="G9">
        <v>0.94440000000000002</v>
      </c>
      <c r="H9">
        <v>180</v>
      </c>
      <c r="I9">
        <v>170</v>
      </c>
      <c r="J9">
        <v>0</v>
      </c>
      <c r="K9" t="s">
        <v>41</v>
      </c>
      <c r="L9" s="2">
        <v>45984</v>
      </c>
      <c r="M9">
        <v>14</v>
      </c>
      <c r="N9">
        <v>2</v>
      </c>
      <c r="O9">
        <v>55</v>
      </c>
      <c r="P9" t="s">
        <v>62</v>
      </c>
      <c r="Q9">
        <v>2</v>
      </c>
      <c r="R9">
        <v>0</v>
      </c>
      <c r="S9">
        <v>1</v>
      </c>
      <c r="T9">
        <v>2</v>
      </c>
      <c r="U9">
        <v>10</v>
      </c>
      <c r="V9">
        <v>15</v>
      </c>
      <c r="W9">
        <v>10</v>
      </c>
      <c r="X9">
        <v>15</v>
      </c>
      <c r="Y9">
        <v>30</v>
      </c>
      <c r="Z9">
        <v>16</v>
      </c>
      <c r="AA9">
        <v>19</v>
      </c>
      <c r="AB9">
        <v>20</v>
      </c>
      <c r="AC9">
        <v>20</v>
      </c>
      <c r="AD9">
        <v>5</v>
      </c>
      <c r="AE9">
        <v>4</v>
      </c>
      <c r="AF9">
        <v>1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60</v>
      </c>
      <c r="B10" s="2">
        <v>45989</v>
      </c>
      <c r="C10" t="s">
        <v>52</v>
      </c>
      <c r="D10" t="s">
        <v>64</v>
      </c>
      <c r="E10" t="s">
        <v>54</v>
      </c>
      <c r="F10" t="s">
        <v>40</v>
      </c>
      <c r="G10">
        <v>0.30359999999999998</v>
      </c>
      <c r="H10">
        <v>168</v>
      </c>
      <c r="I10">
        <v>51</v>
      </c>
      <c r="J10">
        <v>0</v>
      </c>
      <c r="K10" t="s">
        <v>41</v>
      </c>
      <c r="L10" s="2">
        <v>45983</v>
      </c>
      <c r="M10">
        <v>0</v>
      </c>
      <c r="N10">
        <v>1</v>
      </c>
      <c r="O10">
        <v>16</v>
      </c>
      <c r="P10" t="s">
        <v>65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</v>
      </c>
      <c r="Z10">
        <v>10</v>
      </c>
      <c r="AA10">
        <v>1</v>
      </c>
      <c r="AB10">
        <v>0</v>
      </c>
      <c r="AC10">
        <v>0</v>
      </c>
      <c r="AD10">
        <v>0</v>
      </c>
      <c r="AE10">
        <v>7</v>
      </c>
      <c r="AF10">
        <v>30</v>
      </c>
      <c r="AG10">
        <v>0</v>
      </c>
      <c r="AH10">
        <v>0</v>
      </c>
      <c r="AI10">
        <v>0</v>
      </c>
      <c r="AJ10">
        <v>0</v>
      </c>
    </row>
    <row r="11" spans="1:36" x14ac:dyDescent="0.3">
      <c r="A11" t="s">
        <v>60</v>
      </c>
      <c r="B11" s="2">
        <v>45989</v>
      </c>
      <c r="C11" t="s">
        <v>43</v>
      </c>
      <c r="D11" t="s">
        <v>38</v>
      </c>
      <c r="E11" t="s">
        <v>45</v>
      </c>
      <c r="F11" t="s">
        <v>40</v>
      </c>
      <c r="G11">
        <v>0.44640000000000002</v>
      </c>
      <c r="H11">
        <v>168</v>
      </c>
      <c r="I11">
        <v>75</v>
      </c>
      <c r="J11">
        <v>0</v>
      </c>
      <c r="K11" t="s">
        <v>41</v>
      </c>
      <c r="L11" s="2">
        <v>45984</v>
      </c>
      <c r="M11">
        <v>1</v>
      </c>
      <c r="N11">
        <v>9</v>
      </c>
      <c r="O11">
        <v>30</v>
      </c>
      <c r="P11" t="s">
        <v>66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</v>
      </c>
      <c r="AA11">
        <v>2</v>
      </c>
      <c r="AB11">
        <v>1</v>
      </c>
      <c r="AC11">
        <v>3</v>
      </c>
      <c r="AD11">
        <v>39</v>
      </c>
      <c r="AE11">
        <v>18</v>
      </c>
      <c r="AF11">
        <v>10</v>
      </c>
      <c r="AG11">
        <v>0</v>
      </c>
      <c r="AH11">
        <v>0</v>
      </c>
      <c r="AI11">
        <v>0</v>
      </c>
      <c r="AJ11">
        <v>0</v>
      </c>
    </row>
    <row r="12" spans="1:36" x14ac:dyDescent="0.3">
      <c r="A12" t="s">
        <v>67</v>
      </c>
      <c r="B12" s="2">
        <v>45990</v>
      </c>
      <c r="C12" t="s">
        <v>48</v>
      </c>
      <c r="D12" t="s">
        <v>57</v>
      </c>
      <c r="E12" t="s">
        <v>50</v>
      </c>
      <c r="F12" t="s">
        <v>40</v>
      </c>
      <c r="G12">
        <v>0.69440000000000002</v>
      </c>
      <c r="H12">
        <v>180</v>
      </c>
      <c r="I12">
        <v>125</v>
      </c>
      <c r="J12">
        <v>0</v>
      </c>
      <c r="K12" t="s">
        <v>41</v>
      </c>
      <c r="L12" s="2">
        <v>45981</v>
      </c>
      <c r="M12">
        <v>0</v>
      </c>
      <c r="N12">
        <v>0</v>
      </c>
      <c r="O12">
        <v>14</v>
      </c>
      <c r="P12" t="s">
        <v>68</v>
      </c>
      <c r="Q12">
        <v>0</v>
      </c>
      <c r="R12">
        <v>1</v>
      </c>
      <c r="S12">
        <v>21</v>
      </c>
      <c r="T12">
        <v>21</v>
      </c>
      <c r="U12">
        <v>9</v>
      </c>
      <c r="V12">
        <v>0</v>
      </c>
      <c r="W12">
        <v>12</v>
      </c>
      <c r="X12">
        <v>12</v>
      </c>
      <c r="Y12">
        <v>8</v>
      </c>
      <c r="Z12">
        <v>6</v>
      </c>
      <c r="AA12">
        <v>9</v>
      </c>
      <c r="AB12">
        <v>10</v>
      </c>
      <c r="AC12">
        <v>2</v>
      </c>
      <c r="AD12">
        <v>4</v>
      </c>
      <c r="AE12">
        <v>7</v>
      </c>
      <c r="AF12">
        <v>3</v>
      </c>
      <c r="AG12">
        <v>0</v>
      </c>
      <c r="AH12">
        <v>0</v>
      </c>
      <c r="AI12">
        <v>0</v>
      </c>
      <c r="AJ12">
        <v>0</v>
      </c>
    </row>
    <row r="13" spans="1:36" x14ac:dyDescent="0.3">
      <c r="A13" t="s">
        <v>67</v>
      </c>
      <c r="B13" s="2">
        <v>45990</v>
      </c>
      <c r="C13" t="s">
        <v>52</v>
      </c>
      <c r="D13" t="s">
        <v>58</v>
      </c>
      <c r="E13" t="s">
        <v>54</v>
      </c>
      <c r="F13" t="s">
        <v>40</v>
      </c>
      <c r="G13">
        <v>0.17860000000000001</v>
      </c>
      <c r="H13">
        <v>168</v>
      </c>
      <c r="I13">
        <v>30</v>
      </c>
      <c r="J13">
        <v>0</v>
      </c>
      <c r="K13" t="s">
        <v>41</v>
      </c>
      <c r="L13" s="2">
        <v>45979</v>
      </c>
      <c r="M13">
        <v>0</v>
      </c>
      <c r="N13">
        <v>0</v>
      </c>
      <c r="O13">
        <v>1</v>
      </c>
      <c r="P13" t="s">
        <v>65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</v>
      </c>
      <c r="Y13">
        <v>1</v>
      </c>
      <c r="Z13">
        <v>7</v>
      </c>
      <c r="AA13">
        <v>6</v>
      </c>
      <c r="AB13">
        <v>0</v>
      </c>
      <c r="AC13">
        <v>0</v>
      </c>
      <c r="AD13">
        <v>1</v>
      </c>
      <c r="AE13">
        <v>0</v>
      </c>
      <c r="AF13">
        <v>13</v>
      </c>
      <c r="AG13">
        <v>0</v>
      </c>
      <c r="AH13">
        <v>0</v>
      </c>
      <c r="AI13">
        <v>0</v>
      </c>
      <c r="AJ13">
        <v>0</v>
      </c>
    </row>
    <row r="14" spans="1:36" x14ac:dyDescent="0.3">
      <c r="A14" t="s">
        <v>36</v>
      </c>
      <c r="B14" s="2">
        <v>45992</v>
      </c>
      <c r="C14" t="s">
        <v>37</v>
      </c>
      <c r="D14" t="s">
        <v>38</v>
      </c>
      <c r="E14" t="s">
        <v>39</v>
      </c>
      <c r="F14" t="s">
        <v>40</v>
      </c>
      <c r="G14">
        <v>0.93330000000000002</v>
      </c>
      <c r="H14">
        <v>180</v>
      </c>
      <c r="I14">
        <v>168</v>
      </c>
      <c r="J14">
        <v>0</v>
      </c>
      <c r="K14" t="s">
        <v>41</v>
      </c>
      <c r="L14" s="2">
        <v>45984</v>
      </c>
      <c r="M14">
        <v>9</v>
      </c>
      <c r="N14">
        <v>8</v>
      </c>
      <c r="O14">
        <v>59</v>
      </c>
      <c r="P14" t="s">
        <v>69</v>
      </c>
      <c r="Q14">
        <v>0</v>
      </c>
      <c r="R14">
        <v>0</v>
      </c>
      <c r="S14">
        <v>0</v>
      </c>
      <c r="T14">
        <v>0</v>
      </c>
      <c r="U14">
        <v>0</v>
      </c>
      <c r="V14">
        <v>8</v>
      </c>
      <c r="W14">
        <v>15</v>
      </c>
      <c r="X14">
        <v>15</v>
      </c>
      <c r="Y14">
        <v>29</v>
      </c>
      <c r="Z14">
        <v>8</v>
      </c>
      <c r="AA14">
        <v>18</v>
      </c>
      <c r="AB14">
        <v>15</v>
      </c>
      <c r="AC14">
        <v>15</v>
      </c>
      <c r="AD14">
        <v>15</v>
      </c>
      <c r="AE14">
        <v>15</v>
      </c>
      <c r="AF14">
        <v>15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 t="s">
        <v>36</v>
      </c>
      <c r="B15" s="2">
        <v>45992</v>
      </c>
      <c r="C15" t="s">
        <v>43</v>
      </c>
      <c r="D15" t="s">
        <v>44</v>
      </c>
      <c r="E15" t="s">
        <v>45</v>
      </c>
      <c r="F15" t="s">
        <v>40</v>
      </c>
      <c r="G15">
        <v>0.46429999999999999</v>
      </c>
      <c r="H15">
        <v>168</v>
      </c>
      <c r="I15">
        <v>78</v>
      </c>
      <c r="J15">
        <v>0</v>
      </c>
      <c r="K15" t="s">
        <v>41</v>
      </c>
      <c r="L15" s="2">
        <v>45984</v>
      </c>
      <c r="M15">
        <v>2</v>
      </c>
      <c r="N15">
        <v>0</v>
      </c>
      <c r="O15">
        <v>23</v>
      </c>
      <c r="P15" t="s">
        <v>70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</v>
      </c>
      <c r="AC15">
        <v>15</v>
      </c>
      <c r="AD15">
        <v>30</v>
      </c>
      <c r="AE15">
        <v>15</v>
      </c>
      <c r="AF15">
        <v>15</v>
      </c>
      <c r="AG15">
        <v>0</v>
      </c>
      <c r="AH15">
        <v>0</v>
      </c>
      <c r="AI15">
        <v>0</v>
      </c>
      <c r="AJ15">
        <v>0</v>
      </c>
    </row>
    <row r="16" spans="1:36" x14ac:dyDescent="0.3">
      <c r="A16" t="s">
        <v>47</v>
      </c>
      <c r="B16" s="2">
        <v>45993</v>
      </c>
      <c r="C16" t="s">
        <v>48</v>
      </c>
      <c r="D16" t="s">
        <v>49</v>
      </c>
      <c r="E16" t="s">
        <v>50</v>
      </c>
      <c r="F16" t="s">
        <v>40</v>
      </c>
      <c r="G16">
        <v>0.7</v>
      </c>
      <c r="H16">
        <v>180</v>
      </c>
      <c r="I16">
        <v>126</v>
      </c>
      <c r="J16">
        <v>0</v>
      </c>
      <c r="K16" t="s">
        <v>41</v>
      </c>
      <c r="L16" s="2">
        <v>45983</v>
      </c>
      <c r="M16">
        <v>0</v>
      </c>
      <c r="N16">
        <v>12</v>
      </c>
      <c r="O16">
        <v>65</v>
      </c>
      <c r="P16" t="s">
        <v>71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6</v>
      </c>
      <c r="X16">
        <v>10</v>
      </c>
      <c r="Y16">
        <v>31</v>
      </c>
      <c r="Z16">
        <v>44</v>
      </c>
      <c r="AA16">
        <v>4</v>
      </c>
      <c r="AB16">
        <v>7</v>
      </c>
      <c r="AC16">
        <v>10</v>
      </c>
      <c r="AD16">
        <v>10</v>
      </c>
      <c r="AE16">
        <v>4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3">
      <c r="A17" t="s">
        <v>47</v>
      </c>
      <c r="B17" s="2">
        <v>45993</v>
      </c>
      <c r="C17" t="s">
        <v>52</v>
      </c>
      <c r="D17" t="s">
        <v>53</v>
      </c>
      <c r="E17" t="s">
        <v>54</v>
      </c>
      <c r="F17" t="s">
        <v>40</v>
      </c>
      <c r="G17">
        <v>0.29759999999999998</v>
      </c>
      <c r="H17">
        <v>168</v>
      </c>
      <c r="I17">
        <v>50</v>
      </c>
      <c r="J17">
        <v>0</v>
      </c>
      <c r="K17" t="s">
        <v>41</v>
      </c>
      <c r="L17" s="2">
        <v>45982</v>
      </c>
      <c r="M17">
        <v>0</v>
      </c>
      <c r="N17">
        <v>0</v>
      </c>
      <c r="O17">
        <v>14</v>
      </c>
      <c r="P17" t="s">
        <v>72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9</v>
      </c>
      <c r="AA17">
        <v>0</v>
      </c>
      <c r="AB17">
        <v>2</v>
      </c>
      <c r="AC17">
        <v>7</v>
      </c>
      <c r="AD17">
        <v>2</v>
      </c>
      <c r="AE17">
        <v>4</v>
      </c>
      <c r="AF17">
        <v>26</v>
      </c>
      <c r="AG17">
        <v>0</v>
      </c>
      <c r="AH17">
        <v>0</v>
      </c>
      <c r="AI17">
        <v>0</v>
      </c>
      <c r="AJ17">
        <v>0</v>
      </c>
    </row>
    <row r="18" spans="1:36" x14ac:dyDescent="0.3">
      <c r="A18" t="s">
        <v>56</v>
      </c>
      <c r="B18" s="2">
        <v>45995</v>
      </c>
      <c r="C18" t="s">
        <v>48</v>
      </c>
      <c r="D18" t="s">
        <v>57</v>
      </c>
      <c r="E18" t="s">
        <v>50</v>
      </c>
      <c r="F18" t="s">
        <v>40</v>
      </c>
      <c r="G18">
        <v>0.49440000000000001</v>
      </c>
      <c r="H18">
        <v>180</v>
      </c>
      <c r="I18">
        <v>89</v>
      </c>
      <c r="J18">
        <v>0</v>
      </c>
      <c r="K18" t="s">
        <v>41</v>
      </c>
      <c r="L18" s="2">
        <v>45983</v>
      </c>
      <c r="M18">
        <v>0</v>
      </c>
      <c r="N18">
        <v>19</v>
      </c>
      <c r="O18">
        <v>46</v>
      </c>
      <c r="P18" t="s">
        <v>73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9</v>
      </c>
      <c r="Y18">
        <v>30</v>
      </c>
      <c r="Z18">
        <v>21</v>
      </c>
      <c r="AA18">
        <v>1</v>
      </c>
      <c r="AB18">
        <v>7</v>
      </c>
      <c r="AC18">
        <v>9</v>
      </c>
      <c r="AD18">
        <v>6</v>
      </c>
      <c r="AE18">
        <v>6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3">
      <c r="A19" t="s">
        <v>56</v>
      </c>
      <c r="B19" s="2">
        <v>45995</v>
      </c>
      <c r="C19" t="s">
        <v>52</v>
      </c>
      <c r="D19" t="s">
        <v>58</v>
      </c>
      <c r="E19" t="s">
        <v>54</v>
      </c>
      <c r="F19" t="s">
        <v>40</v>
      </c>
      <c r="G19">
        <v>0.29759999999999998</v>
      </c>
      <c r="H19">
        <v>168</v>
      </c>
      <c r="I19">
        <v>50</v>
      </c>
      <c r="J19">
        <v>0</v>
      </c>
      <c r="K19" t="s">
        <v>41</v>
      </c>
      <c r="L19" s="2">
        <v>45984</v>
      </c>
      <c r="M19">
        <v>2</v>
      </c>
      <c r="N19">
        <v>3</v>
      </c>
      <c r="O19">
        <v>13</v>
      </c>
      <c r="P19" t="s">
        <v>74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4</v>
      </c>
      <c r="AA19">
        <v>2</v>
      </c>
      <c r="AB19">
        <v>10</v>
      </c>
      <c r="AC19">
        <v>3</v>
      </c>
      <c r="AD19">
        <v>4</v>
      </c>
      <c r="AE19">
        <v>3</v>
      </c>
      <c r="AF19">
        <v>24</v>
      </c>
      <c r="AG19">
        <v>0</v>
      </c>
      <c r="AH19">
        <v>0</v>
      </c>
      <c r="AI19">
        <v>0</v>
      </c>
      <c r="AJ19">
        <v>0</v>
      </c>
    </row>
    <row r="20" spans="1:36" x14ac:dyDescent="0.3">
      <c r="A20" t="s">
        <v>60</v>
      </c>
      <c r="B20" s="2">
        <v>45996</v>
      </c>
      <c r="C20" t="s">
        <v>48</v>
      </c>
      <c r="D20" t="s">
        <v>61</v>
      </c>
      <c r="E20" t="s">
        <v>50</v>
      </c>
      <c r="F20" t="s">
        <v>40</v>
      </c>
      <c r="G20">
        <v>0.4778</v>
      </c>
      <c r="H20">
        <v>180</v>
      </c>
      <c r="I20">
        <v>86</v>
      </c>
      <c r="J20">
        <v>0</v>
      </c>
      <c r="K20" t="s">
        <v>41</v>
      </c>
      <c r="L20" s="2">
        <v>45984</v>
      </c>
      <c r="M20">
        <v>6</v>
      </c>
      <c r="N20">
        <v>12</v>
      </c>
      <c r="O20">
        <v>66</v>
      </c>
      <c r="P20" t="s">
        <v>75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9</v>
      </c>
      <c r="Z20">
        <v>17</v>
      </c>
      <c r="AA20">
        <v>10</v>
      </c>
      <c r="AB20">
        <v>10</v>
      </c>
      <c r="AC20">
        <v>10</v>
      </c>
      <c r="AD20">
        <v>25</v>
      </c>
      <c r="AE20">
        <v>5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3">
      <c r="A21" t="s">
        <v>60</v>
      </c>
      <c r="B21" s="2">
        <v>45996</v>
      </c>
      <c r="C21" t="s">
        <v>37</v>
      </c>
      <c r="D21" t="s">
        <v>63</v>
      </c>
      <c r="E21" t="s">
        <v>39</v>
      </c>
      <c r="F21" t="s">
        <v>40</v>
      </c>
      <c r="G21">
        <v>0.5111</v>
      </c>
      <c r="H21">
        <v>180</v>
      </c>
      <c r="I21">
        <v>92</v>
      </c>
      <c r="J21">
        <v>0</v>
      </c>
      <c r="K21" t="s">
        <v>41</v>
      </c>
      <c r="L21" s="2">
        <v>45984</v>
      </c>
      <c r="M21">
        <v>6</v>
      </c>
      <c r="N21">
        <v>11</v>
      </c>
      <c r="O21">
        <v>51</v>
      </c>
      <c r="P21" t="s">
        <v>51</v>
      </c>
      <c r="Q21">
        <v>1</v>
      </c>
      <c r="R21">
        <v>1</v>
      </c>
      <c r="S21">
        <v>0</v>
      </c>
      <c r="T21">
        <v>0</v>
      </c>
      <c r="U21">
        <v>0</v>
      </c>
      <c r="V21">
        <v>10</v>
      </c>
      <c r="W21">
        <v>10</v>
      </c>
      <c r="X21">
        <v>10</v>
      </c>
      <c r="Y21">
        <v>28</v>
      </c>
      <c r="Z21">
        <v>2</v>
      </c>
      <c r="AA21">
        <v>6</v>
      </c>
      <c r="AB21">
        <v>8</v>
      </c>
      <c r="AC21">
        <v>7</v>
      </c>
      <c r="AD21">
        <v>4</v>
      </c>
      <c r="AE21">
        <v>1</v>
      </c>
      <c r="AF21">
        <v>4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60</v>
      </c>
      <c r="B22" s="2">
        <v>45996</v>
      </c>
      <c r="C22" t="s">
        <v>52</v>
      </c>
      <c r="D22" t="s">
        <v>64</v>
      </c>
      <c r="E22" t="s">
        <v>54</v>
      </c>
      <c r="F22" t="s">
        <v>40</v>
      </c>
      <c r="G22">
        <v>0.33929999999999999</v>
      </c>
      <c r="H22">
        <v>168</v>
      </c>
      <c r="I22">
        <v>57</v>
      </c>
      <c r="J22">
        <v>0</v>
      </c>
      <c r="K22" t="s">
        <v>41</v>
      </c>
      <c r="L22" s="2">
        <v>45982</v>
      </c>
      <c r="M22">
        <v>0</v>
      </c>
      <c r="N22">
        <v>0</v>
      </c>
      <c r="O22">
        <v>9</v>
      </c>
      <c r="P22" t="s">
        <v>76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6</v>
      </c>
      <c r="AA22">
        <v>0</v>
      </c>
      <c r="AB22">
        <v>1</v>
      </c>
      <c r="AC22">
        <v>8</v>
      </c>
      <c r="AD22">
        <v>10</v>
      </c>
      <c r="AE22">
        <v>7</v>
      </c>
      <c r="AF22">
        <v>25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60</v>
      </c>
      <c r="B23" s="2">
        <v>45996</v>
      </c>
      <c r="C23" t="s">
        <v>43</v>
      </c>
      <c r="D23" t="s">
        <v>38</v>
      </c>
      <c r="E23" t="s">
        <v>45</v>
      </c>
      <c r="F23" t="s">
        <v>40</v>
      </c>
      <c r="G23">
        <v>0.24399999999999999</v>
      </c>
      <c r="H23">
        <v>168</v>
      </c>
      <c r="I23">
        <v>41</v>
      </c>
      <c r="J23">
        <v>0</v>
      </c>
      <c r="K23" t="s">
        <v>41</v>
      </c>
      <c r="L23" s="2">
        <v>45984</v>
      </c>
      <c r="M23">
        <v>1</v>
      </c>
      <c r="N23">
        <v>2</v>
      </c>
      <c r="O23">
        <v>13</v>
      </c>
      <c r="P23" t="s">
        <v>77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3</v>
      </c>
      <c r="AA23">
        <v>0</v>
      </c>
      <c r="AB23">
        <v>0</v>
      </c>
      <c r="AC23">
        <v>5</v>
      </c>
      <c r="AD23">
        <v>30</v>
      </c>
      <c r="AE23">
        <v>3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 t="s">
        <v>67</v>
      </c>
      <c r="B24" s="2">
        <v>45997</v>
      </c>
      <c r="C24" t="s">
        <v>48</v>
      </c>
      <c r="D24" t="s">
        <v>57</v>
      </c>
      <c r="E24" t="s">
        <v>50</v>
      </c>
      <c r="F24" t="s">
        <v>40</v>
      </c>
      <c r="G24">
        <v>0.42780000000000001</v>
      </c>
      <c r="H24">
        <v>180</v>
      </c>
      <c r="I24">
        <v>77</v>
      </c>
      <c r="J24">
        <v>0</v>
      </c>
      <c r="K24" t="s">
        <v>41</v>
      </c>
      <c r="L24" s="2">
        <v>45984</v>
      </c>
      <c r="M24">
        <v>5</v>
      </c>
      <c r="N24">
        <v>3</v>
      </c>
      <c r="O24">
        <v>45</v>
      </c>
      <c r="P24" t="s">
        <v>78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</v>
      </c>
      <c r="X24">
        <v>0</v>
      </c>
      <c r="Y24">
        <v>10</v>
      </c>
      <c r="Z24">
        <v>15</v>
      </c>
      <c r="AA24">
        <v>10</v>
      </c>
      <c r="AB24">
        <v>10</v>
      </c>
      <c r="AC24">
        <v>10</v>
      </c>
      <c r="AD24">
        <v>18</v>
      </c>
      <c r="AE24">
        <v>2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3">
      <c r="A25" t="s">
        <v>67</v>
      </c>
      <c r="B25" s="2">
        <v>45997</v>
      </c>
      <c r="C25" t="s">
        <v>52</v>
      </c>
      <c r="D25" t="s">
        <v>58</v>
      </c>
      <c r="E25" t="s">
        <v>54</v>
      </c>
      <c r="F25" t="s">
        <v>40</v>
      </c>
      <c r="G25">
        <v>0.125</v>
      </c>
      <c r="H25">
        <v>168</v>
      </c>
      <c r="I25">
        <v>21</v>
      </c>
      <c r="J25">
        <v>0</v>
      </c>
      <c r="K25" t="s">
        <v>41</v>
      </c>
      <c r="L25" s="2">
        <v>45982</v>
      </c>
      <c r="M25">
        <v>0</v>
      </c>
      <c r="N25">
        <v>0</v>
      </c>
      <c r="O25">
        <v>1</v>
      </c>
      <c r="P25" t="s">
        <v>65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8</v>
      </c>
      <c r="AE25">
        <v>2</v>
      </c>
      <c r="AF25">
        <v>10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 t="s">
        <v>36</v>
      </c>
      <c r="B26" s="2">
        <v>45999</v>
      </c>
      <c r="C26" t="s">
        <v>37</v>
      </c>
      <c r="D26" t="s">
        <v>38</v>
      </c>
      <c r="E26" t="s">
        <v>39</v>
      </c>
      <c r="F26" t="s">
        <v>40</v>
      </c>
      <c r="G26">
        <v>0.38329999999999997</v>
      </c>
      <c r="H26">
        <v>180</v>
      </c>
      <c r="I26">
        <v>69</v>
      </c>
      <c r="J26">
        <v>0</v>
      </c>
      <c r="K26" t="s">
        <v>41</v>
      </c>
      <c r="L26" s="2">
        <v>45984</v>
      </c>
      <c r="M26">
        <v>14</v>
      </c>
      <c r="N26">
        <v>5</v>
      </c>
      <c r="O26">
        <v>39</v>
      </c>
      <c r="P26" t="s">
        <v>79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4</v>
      </c>
      <c r="X26">
        <v>7</v>
      </c>
      <c r="Y26">
        <v>7</v>
      </c>
      <c r="Z26">
        <v>17</v>
      </c>
      <c r="AA26">
        <v>7</v>
      </c>
      <c r="AB26">
        <v>8</v>
      </c>
      <c r="AC26">
        <v>7</v>
      </c>
      <c r="AD26">
        <v>7</v>
      </c>
      <c r="AE26">
        <v>5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t="s">
        <v>36</v>
      </c>
      <c r="B27" s="2">
        <v>45999</v>
      </c>
      <c r="C27" t="s">
        <v>43</v>
      </c>
      <c r="D27" t="s">
        <v>44</v>
      </c>
      <c r="E27" t="s">
        <v>45</v>
      </c>
      <c r="F27" t="s">
        <v>40</v>
      </c>
      <c r="G27">
        <v>0.28570000000000001</v>
      </c>
      <c r="H27">
        <v>168</v>
      </c>
      <c r="I27">
        <v>48</v>
      </c>
      <c r="J27">
        <v>0</v>
      </c>
      <c r="K27" t="s">
        <v>41</v>
      </c>
      <c r="L27" s="2">
        <v>45984</v>
      </c>
      <c r="M27">
        <v>1</v>
      </c>
      <c r="N27">
        <v>3</v>
      </c>
      <c r="O27">
        <v>17</v>
      </c>
      <c r="P27" t="s">
        <v>80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8</v>
      </c>
      <c r="AE27">
        <v>25</v>
      </c>
      <c r="AF27">
        <v>15</v>
      </c>
      <c r="AG27">
        <v>0</v>
      </c>
      <c r="AH27">
        <v>0</v>
      </c>
      <c r="AI27">
        <v>0</v>
      </c>
      <c r="AJ27">
        <v>0</v>
      </c>
    </row>
    <row r="28" spans="1:36" x14ac:dyDescent="0.3">
      <c r="A28" t="s">
        <v>47</v>
      </c>
      <c r="B28" s="2">
        <v>46000</v>
      </c>
      <c r="C28" t="s">
        <v>48</v>
      </c>
      <c r="D28" t="s">
        <v>49</v>
      </c>
      <c r="E28" t="s">
        <v>50</v>
      </c>
      <c r="F28" t="s">
        <v>40</v>
      </c>
      <c r="G28">
        <v>0.37780000000000002</v>
      </c>
      <c r="H28">
        <v>180</v>
      </c>
      <c r="I28">
        <v>68</v>
      </c>
      <c r="J28">
        <v>0</v>
      </c>
      <c r="K28" t="s">
        <v>41</v>
      </c>
      <c r="L28" s="2">
        <v>45984</v>
      </c>
      <c r="M28">
        <v>1</v>
      </c>
      <c r="N28">
        <v>7</v>
      </c>
      <c r="O28">
        <v>38</v>
      </c>
      <c r="P28" t="s">
        <v>81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1</v>
      </c>
      <c r="AB28">
        <v>0</v>
      </c>
      <c r="AC28">
        <v>5</v>
      </c>
      <c r="AD28">
        <v>10</v>
      </c>
      <c r="AE28">
        <v>28</v>
      </c>
      <c r="AF28">
        <v>23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 t="s">
        <v>47</v>
      </c>
      <c r="B29" s="2">
        <v>46000</v>
      </c>
      <c r="C29" t="s">
        <v>52</v>
      </c>
      <c r="D29" t="s">
        <v>53</v>
      </c>
      <c r="E29" t="s">
        <v>54</v>
      </c>
      <c r="F29" t="s">
        <v>40</v>
      </c>
      <c r="G29">
        <v>0.20830000000000001</v>
      </c>
      <c r="H29">
        <v>168</v>
      </c>
      <c r="I29">
        <v>35</v>
      </c>
      <c r="J29">
        <v>0</v>
      </c>
      <c r="K29" t="s">
        <v>41</v>
      </c>
      <c r="L29" s="2">
        <v>45983</v>
      </c>
      <c r="M29">
        <v>0</v>
      </c>
      <c r="N29">
        <v>1</v>
      </c>
      <c r="O29">
        <v>9</v>
      </c>
      <c r="P29" t="s">
        <v>65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7</v>
      </c>
      <c r="AA29">
        <v>0</v>
      </c>
      <c r="AB29">
        <v>0</v>
      </c>
      <c r="AC29">
        <v>7</v>
      </c>
      <c r="AD29">
        <v>4</v>
      </c>
      <c r="AE29">
        <v>0</v>
      </c>
      <c r="AF29">
        <v>17</v>
      </c>
      <c r="AG29">
        <v>0</v>
      </c>
      <c r="AH29">
        <v>0</v>
      </c>
      <c r="AI29">
        <v>0</v>
      </c>
      <c r="AJ29">
        <v>0</v>
      </c>
    </row>
    <row r="30" spans="1:36" x14ac:dyDescent="0.3">
      <c r="A30" t="s">
        <v>56</v>
      </c>
      <c r="B30" s="2">
        <v>46002</v>
      </c>
      <c r="C30" t="s">
        <v>48</v>
      </c>
      <c r="D30" t="s">
        <v>57</v>
      </c>
      <c r="E30" t="s">
        <v>50</v>
      </c>
      <c r="F30" t="s">
        <v>40</v>
      </c>
      <c r="G30">
        <v>0.42220000000000002</v>
      </c>
      <c r="H30">
        <v>180</v>
      </c>
      <c r="I30">
        <v>76</v>
      </c>
      <c r="J30">
        <v>0</v>
      </c>
      <c r="K30" t="s">
        <v>41</v>
      </c>
      <c r="L30" s="2">
        <v>45984</v>
      </c>
      <c r="M30">
        <v>2</v>
      </c>
      <c r="N30">
        <v>21</v>
      </c>
      <c r="O30">
        <v>57</v>
      </c>
      <c r="P30" t="s">
        <v>82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3</v>
      </c>
      <c r="AB30">
        <v>2</v>
      </c>
      <c r="AC30">
        <v>10</v>
      </c>
      <c r="AD30">
        <v>10</v>
      </c>
      <c r="AE30">
        <v>30</v>
      </c>
      <c r="AF30">
        <v>20</v>
      </c>
      <c r="AG30">
        <v>0</v>
      </c>
      <c r="AH30">
        <v>0</v>
      </c>
      <c r="AI30">
        <v>0</v>
      </c>
      <c r="AJ30">
        <v>0</v>
      </c>
    </row>
    <row r="31" spans="1:36" x14ac:dyDescent="0.3">
      <c r="A31" t="s">
        <v>56</v>
      </c>
      <c r="B31" s="2">
        <v>46002</v>
      </c>
      <c r="C31" t="s">
        <v>52</v>
      </c>
      <c r="D31" t="s">
        <v>58</v>
      </c>
      <c r="E31" t="s">
        <v>54</v>
      </c>
      <c r="F31" t="s">
        <v>40</v>
      </c>
      <c r="G31">
        <v>0.1429</v>
      </c>
      <c r="H31">
        <v>168</v>
      </c>
      <c r="I31">
        <v>24</v>
      </c>
      <c r="J31">
        <v>0</v>
      </c>
      <c r="K31" t="s">
        <v>41</v>
      </c>
      <c r="L31" s="2">
        <v>45983</v>
      </c>
      <c r="M31">
        <v>0</v>
      </c>
      <c r="N31">
        <v>3</v>
      </c>
      <c r="O31">
        <v>7</v>
      </c>
      <c r="P31" t="s">
        <v>59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2</v>
      </c>
      <c r="AB31">
        <v>0</v>
      </c>
      <c r="AC31">
        <v>0</v>
      </c>
      <c r="AD31">
        <v>0</v>
      </c>
      <c r="AE31">
        <v>1</v>
      </c>
      <c r="AF31">
        <v>20</v>
      </c>
      <c r="AG31">
        <v>0</v>
      </c>
      <c r="AH31">
        <v>0</v>
      </c>
      <c r="AI31">
        <v>0</v>
      </c>
      <c r="AJ31">
        <v>0</v>
      </c>
    </row>
    <row r="32" spans="1:36" x14ac:dyDescent="0.3">
      <c r="A32" t="s">
        <v>60</v>
      </c>
      <c r="B32" s="2">
        <v>46003</v>
      </c>
      <c r="C32" t="s">
        <v>48</v>
      </c>
      <c r="D32" t="s">
        <v>61</v>
      </c>
      <c r="E32" t="s">
        <v>50</v>
      </c>
      <c r="F32" t="s">
        <v>40</v>
      </c>
      <c r="G32">
        <v>0.31109999999999999</v>
      </c>
      <c r="H32">
        <v>180</v>
      </c>
      <c r="I32">
        <v>56</v>
      </c>
      <c r="J32">
        <v>0</v>
      </c>
      <c r="K32" t="s">
        <v>41</v>
      </c>
      <c r="L32" s="2">
        <v>45984</v>
      </c>
      <c r="M32">
        <v>4</v>
      </c>
      <c r="N32">
        <v>6</v>
      </c>
      <c r="O32">
        <v>25</v>
      </c>
      <c r="P32" t="s">
        <v>83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</v>
      </c>
      <c r="AA32">
        <v>3</v>
      </c>
      <c r="AB32">
        <v>0</v>
      </c>
      <c r="AC32">
        <v>2</v>
      </c>
      <c r="AD32">
        <v>7</v>
      </c>
      <c r="AE32">
        <v>22</v>
      </c>
      <c r="AF32">
        <v>20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60</v>
      </c>
      <c r="B33" s="2">
        <v>46003</v>
      </c>
      <c r="C33" t="s">
        <v>37</v>
      </c>
      <c r="D33" t="s">
        <v>63</v>
      </c>
      <c r="E33" t="s">
        <v>39</v>
      </c>
      <c r="F33" t="s">
        <v>40</v>
      </c>
      <c r="G33">
        <v>0.28889999999999999</v>
      </c>
      <c r="H33">
        <v>180</v>
      </c>
      <c r="I33">
        <v>52</v>
      </c>
      <c r="J33">
        <v>0</v>
      </c>
      <c r="K33" t="s">
        <v>41</v>
      </c>
      <c r="L33" s="2">
        <v>45984</v>
      </c>
      <c r="M33">
        <v>4</v>
      </c>
      <c r="N33">
        <v>7</v>
      </c>
      <c r="O33">
        <v>29</v>
      </c>
      <c r="P33" t="s">
        <v>84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3</v>
      </c>
      <c r="Y33">
        <v>7</v>
      </c>
      <c r="Z33">
        <v>8</v>
      </c>
      <c r="AA33">
        <v>7</v>
      </c>
      <c r="AB33">
        <v>8</v>
      </c>
      <c r="AC33">
        <v>7</v>
      </c>
      <c r="AD33">
        <v>7</v>
      </c>
      <c r="AE33">
        <v>4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3">
      <c r="A34" t="s">
        <v>60</v>
      </c>
      <c r="B34" s="2">
        <v>46003</v>
      </c>
      <c r="C34" t="s">
        <v>52</v>
      </c>
      <c r="D34" t="s">
        <v>64</v>
      </c>
      <c r="E34" t="s">
        <v>54</v>
      </c>
      <c r="F34" t="s">
        <v>40</v>
      </c>
      <c r="G34">
        <v>0.2024</v>
      </c>
      <c r="H34">
        <v>168</v>
      </c>
      <c r="I34">
        <v>34</v>
      </c>
      <c r="J34">
        <v>0</v>
      </c>
      <c r="K34" t="s">
        <v>41</v>
      </c>
      <c r="L34" s="2">
        <v>45983</v>
      </c>
      <c r="M34">
        <v>0</v>
      </c>
      <c r="N34">
        <v>1</v>
      </c>
      <c r="O34">
        <v>13</v>
      </c>
      <c r="P34" t="s">
        <v>83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2</v>
      </c>
      <c r="AA34">
        <v>6</v>
      </c>
      <c r="AB34">
        <v>0</v>
      </c>
      <c r="AC34">
        <v>0</v>
      </c>
      <c r="AD34">
        <v>0</v>
      </c>
      <c r="AE34">
        <v>0</v>
      </c>
      <c r="AF34">
        <v>26</v>
      </c>
      <c r="AG34">
        <v>0</v>
      </c>
      <c r="AH34">
        <v>0</v>
      </c>
      <c r="AI34">
        <v>0</v>
      </c>
      <c r="AJ34">
        <v>0</v>
      </c>
    </row>
    <row r="35" spans="1:36" x14ac:dyDescent="0.3">
      <c r="A35" t="s">
        <v>60</v>
      </c>
      <c r="B35" s="2">
        <v>46003</v>
      </c>
      <c r="C35" t="s">
        <v>43</v>
      </c>
      <c r="D35" t="s">
        <v>38</v>
      </c>
      <c r="E35" t="s">
        <v>45</v>
      </c>
      <c r="F35" t="s">
        <v>40</v>
      </c>
      <c r="G35">
        <v>0.13100000000000001</v>
      </c>
      <c r="H35">
        <v>168</v>
      </c>
      <c r="I35">
        <v>22</v>
      </c>
      <c r="J35">
        <v>0</v>
      </c>
      <c r="K35" t="s">
        <v>41</v>
      </c>
      <c r="L35" s="2">
        <v>45984</v>
      </c>
      <c r="M35">
        <v>2</v>
      </c>
      <c r="N35">
        <v>0</v>
      </c>
      <c r="O35">
        <v>7</v>
      </c>
      <c r="P35" t="s">
        <v>85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6</v>
      </c>
      <c r="AA35">
        <v>4</v>
      </c>
      <c r="AB35">
        <v>0</v>
      </c>
      <c r="AC35">
        <v>2</v>
      </c>
      <c r="AD35">
        <v>10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3">
      <c r="A36" t="s">
        <v>67</v>
      </c>
      <c r="B36" s="2">
        <v>46004</v>
      </c>
      <c r="C36" t="s">
        <v>48</v>
      </c>
      <c r="D36" t="s">
        <v>57</v>
      </c>
      <c r="E36" t="s">
        <v>50</v>
      </c>
      <c r="F36" t="s">
        <v>40</v>
      </c>
      <c r="G36">
        <v>0.2722</v>
      </c>
      <c r="H36">
        <v>180</v>
      </c>
      <c r="I36">
        <v>49</v>
      </c>
      <c r="J36">
        <v>0</v>
      </c>
      <c r="K36" t="s">
        <v>41</v>
      </c>
      <c r="L36" s="2">
        <v>45983</v>
      </c>
      <c r="M36">
        <v>0</v>
      </c>
      <c r="N36">
        <v>3</v>
      </c>
      <c r="O36">
        <v>9</v>
      </c>
      <c r="P36" t="s">
        <v>70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2</v>
      </c>
      <c r="AA36">
        <v>0</v>
      </c>
      <c r="AB36">
        <v>5</v>
      </c>
      <c r="AC36">
        <v>27</v>
      </c>
      <c r="AD36">
        <v>8</v>
      </c>
      <c r="AE36">
        <v>5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3">
      <c r="A37" t="s">
        <v>67</v>
      </c>
      <c r="B37" s="2">
        <v>46004</v>
      </c>
      <c r="C37" t="s">
        <v>52</v>
      </c>
      <c r="D37" t="s">
        <v>58</v>
      </c>
      <c r="E37" t="s">
        <v>54</v>
      </c>
      <c r="F37" t="s">
        <v>40</v>
      </c>
      <c r="G37">
        <v>0.125</v>
      </c>
      <c r="H37">
        <v>168</v>
      </c>
      <c r="I37">
        <v>21</v>
      </c>
      <c r="J37">
        <v>0</v>
      </c>
      <c r="K37" t="s">
        <v>41</v>
      </c>
      <c r="L37" s="2">
        <v>45983</v>
      </c>
      <c r="M37">
        <v>0</v>
      </c>
      <c r="N37">
        <v>2</v>
      </c>
      <c r="O37">
        <v>10</v>
      </c>
      <c r="P37" t="s">
        <v>65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6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14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 t="s">
        <v>36</v>
      </c>
      <c r="B38" s="2">
        <v>46006</v>
      </c>
      <c r="C38" t="s">
        <v>37</v>
      </c>
      <c r="D38" t="s">
        <v>38</v>
      </c>
      <c r="E38" t="s">
        <v>39</v>
      </c>
      <c r="F38" t="s">
        <v>40</v>
      </c>
      <c r="G38">
        <v>0.23330000000000001</v>
      </c>
      <c r="H38">
        <v>180</v>
      </c>
      <c r="I38">
        <v>42</v>
      </c>
      <c r="J38">
        <v>0</v>
      </c>
      <c r="K38" t="s">
        <v>41</v>
      </c>
      <c r="L38" s="2">
        <v>45984</v>
      </c>
      <c r="M38">
        <v>5</v>
      </c>
      <c r="N38">
        <v>8</v>
      </c>
      <c r="O38">
        <v>25</v>
      </c>
      <c r="P38" t="s">
        <v>86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3</v>
      </c>
      <c r="Z38">
        <v>7</v>
      </c>
      <c r="AA38">
        <v>7</v>
      </c>
      <c r="AB38">
        <v>6</v>
      </c>
      <c r="AC38">
        <v>7</v>
      </c>
      <c r="AD38">
        <v>7</v>
      </c>
      <c r="AE38">
        <v>5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3">
      <c r="A39" t="s">
        <v>36</v>
      </c>
      <c r="B39" s="2">
        <v>46006</v>
      </c>
      <c r="C39" t="s">
        <v>43</v>
      </c>
      <c r="D39" t="s">
        <v>44</v>
      </c>
      <c r="E39" t="s">
        <v>45</v>
      </c>
      <c r="F39" t="s">
        <v>40</v>
      </c>
      <c r="G39">
        <v>0.13689999999999999</v>
      </c>
      <c r="H39">
        <v>168</v>
      </c>
      <c r="I39">
        <v>23</v>
      </c>
      <c r="J39">
        <v>0</v>
      </c>
      <c r="K39" t="s">
        <v>41</v>
      </c>
      <c r="L39" s="2">
        <v>45983</v>
      </c>
      <c r="M39">
        <v>0</v>
      </c>
      <c r="N39">
        <v>11</v>
      </c>
      <c r="O39">
        <v>14</v>
      </c>
      <c r="P39" t="s">
        <v>77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3</v>
      </c>
      <c r="AA39">
        <v>1</v>
      </c>
      <c r="AB39">
        <v>0</v>
      </c>
      <c r="AC39">
        <v>0</v>
      </c>
      <c r="AD39">
        <v>19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 t="s">
        <v>47</v>
      </c>
      <c r="B40" s="2">
        <v>46007</v>
      </c>
      <c r="C40" t="s">
        <v>48</v>
      </c>
      <c r="D40" t="s">
        <v>49</v>
      </c>
      <c r="E40" t="s">
        <v>50</v>
      </c>
      <c r="F40" t="s">
        <v>40</v>
      </c>
      <c r="G40">
        <v>0.1444</v>
      </c>
      <c r="H40">
        <v>180</v>
      </c>
      <c r="I40">
        <v>26</v>
      </c>
      <c r="J40">
        <v>0</v>
      </c>
      <c r="K40" t="s">
        <v>41</v>
      </c>
      <c r="L40" s="2">
        <v>45983</v>
      </c>
      <c r="M40">
        <v>0</v>
      </c>
      <c r="N40">
        <v>5</v>
      </c>
      <c r="O40">
        <v>15</v>
      </c>
      <c r="P40" t="s">
        <v>72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1</v>
      </c>
      <c r="AE40">
        <v>14</v>
      </c>
      <c r="AF40">
        <v>10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 t="s">
        <v>47</v>
      </c>
      <c r="B41" s="2">
        <v>46007</v>
      </c>
      <c r="C41" t="s">
        <v>52</v>
      </c>
      <c r="D41" t="s">
        <v>53</v>
      </c>
      <c r="E41" t="s">
        <v>54</v>
      </c>
      <c r="F41" t="s">
        <v>40</v>
      </c>
      <c r="G41">
        <v>0.16669999999999999</v>
      </c>
      <c r="H41">
        <v>168</v>
      </c>
      <c r="I41">
        <v>28</v>
      </c>
      <c r="J41">
        <v>0</v>
      </c>
      <c r="K41" t="s">
        <v>41</v>
      </c>
      <c r="L41" s="2">
        <v>45983</v>
      </c>
      <c r="M41">
        <v>0</v>
      </c>
      <c r="N41">
        <v>1</v>
      </c>
      <c r="O41">
        <v>3</v>
      </c>
      <c r="P41" t="s">
        <v>65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3</v>
      </c>
      <c r="AA41">
        <v>0</v>
      </c>
      <c r="AB41">
        <v>0</v>
      </c>
      <c r="AC41">
        <v>6</v>
      </c>
      <c r="AD41">
        <v>3</v>
      </c>
      <c r="AE41">
        <v>5</v>
      </c>
      <c r="AF41">
        <v>11</v>
      </c>
      <c r="AG41">
        <v>0</v>
      </c>
      <c r="AH41">
        <v>0</v>
      </c>
      <c r="AI41">
        <v>0</v>
      </c>
      <c r="AJ41">
        <v>0</v>
      </c>
    </row>
    <row r="42" spans="1:36" x14ac:dyDescent="0.3">
      <c r="A42" t="s">
        <v>56</v>
      </c>
      <c r="B42" s="2">
        <v>46009</v>
      </c>
      <c r="C42" t="s">
        <v>48</v>
      </c>
      <c r="D42" t="s">
        <v>57</v>
      </c>
      <c r="E42" t="s">
        <v>50</v>
      </c>
      <c r="F42" t="s">
        <v>40</v>
      </c>
      <c r="G42">
        <v>0.1444</v>
      </c>
      <c r="H42">
        <v>180</v>
      </c>
      <c r="I42">
        <v>26</v>
      </c>
      <c r="J42">
        <v>0</v>
      </c>
      <c r="K42" t="s">
        <v>41</v>
      </c>
      <c r="L42" s="2">
        <v>45983</v>
      </c>
      <c r="M42">
        <v>0</v>
      </c>
      <c r="N42">
        <v>10</v>
      </c>
      <c r="O42">
        <v>12</v>
      </c>
      <c r="P42" t="s">
        <v>87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11</v>
      </c>
      <c r="AE42">
        <v>10</v>
      </c>
      <c r="AF42">
        <v>5</v>
      </c>
      <c r="AG42">
        <v>0</v>
      </c>
      <c r="AH42">
        <v>0</v>
      </c>
      <c r="AI42">
        <v>0</v>
      </c>
      <c r="AJ42">
        <v>0</v>
      </c>
    </row>
    <row r="43" spans="1:36" x14ac:dyDescent="0.3">
      <c r="A43" t="s">
        <v>56</v>
      </c>
      <c r="B43" s="2">
        <v>46009</v>
      </c>
      <c r="C43" t="s">
        <v>52</v>
      </c>
      <c r="D43" t="s">
        <v>58</v>
      </c>
      <c r="E43" t="s">
        <v>54</v>
      </c>
      <c r="F43" t="s">
        <v>40</v>
      </c>
      <c r="G43">
        <v>0.2321</v>
      </c>
      <c r="H43">
        <v>168</v>
      </c>
      <c r="I43">
        <v>39</v>
      </c>
      <c r="J43">
        <v>0</v>
      </c>
      <c r="K43" t="s">
        <v>41</v>
      </c>
      <c r="L43" s="2">
        <v>45980</v>
      </c>
      <c r="M43">
        <v>0</v>
      </c>
      <c r="N43">
        <v>0</v>
      </c>
      <c r="O43">
        <v>10</v>
      </c>
      <c r="P43" t="s">
        <v>88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5</v>
      </c>
      <c r="AD43">
        <v>7</v>
      </c>
      <c r="AE43">
        <v>3</v>
      </c>
      <c r="AF43">
        <v>23</v>
      </c>
      <c r="AG43">
        <v>0</v>
      </c>
      <c r="AH43">
        <v>0</v>
      </c>
      <c r="AI43">
        <v>0</v>
      </c>
      <c r="AJ43">
        <v>0</v>
      </c>
    </row>
    <row r="44" spans="1:36" x14ac:dyDescent="0.3">
      <c r="A44" t="s">
        <v>60</v>
      </c>
      <c r="B44" s="2">
        <v>46010</v>
      </c>
      <c r="C44" t="s">
        <v>48</v>
      </c>
      <c r="D44" t="s">
        <v>61</v>
      </c>
      <c r="E44" t="s">
        <v>50</v>
      </c>
      <c r="F44" t="s">
        <v>40</v>
      </c>
      <c r="G44">
        <v>9.4399999999999998E-2</v>
      </c>
      <c r="H44">
        <v>180</v>
      </c>
      <c r="I44">
        <v>17</v>
      </c>
      <c r="J44">
        <v>0</v>
      </c>
      <c r="K44" t="s">
        <v>41</v>
      </c>
      <c r="L44" s="2">
        <v>45981</v>
      </c>
      <c r="M44">
        <v>0</v>
      </c>
      <c r="N44">
        <v>0</v>
      </c>
      <c r="O44">
        <v>2</v>
      </c>
      <c r="P44" t="s">
        <v>87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10</v>
      </c>
      <c r="AE44">
        <v>7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3">
      <c r="A45" t="s">
        <v>60</v>
      </c>
      <c r="B45" s="2">
        <v>46010</v>
      </c>
      <c r="C45" t="s">
        <v>37</v>
      </c>
      <c r="D45" t="s">
        <v>63</v>
      </c>
      <c r="E45" t="s">
        <v>39</v>
      </c>
      <c r="F45" t="s">
        <v>40</v>
      </c>
      <c r="G45">
        <v>0.17780000000000001</v>
      </c>
      <c r="H45">
        <v>180</v>
      </c>
      <c r="I45">
        <v>32</v>
      </c>
      <c r="J45">
        <v>0</v>
      </c>
      <c r="K45" t="s">
        <v>41</v>
      </c>
      <c r="L45" s="2">
        <v>45984</v>
      </c>
      <c r="M45">
        <v>6</v>
      </c>
      <c r="N45">
        <v>2</v>
      </c>
      <c r="O45">
        <v>21</v>
      </c>
      <c r="P45" t="s">
        <v>89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7</v>
      </c>
      <c r="AB45">
        <v>6</v>
      </c>
      <c r="AC45">
        <v>7</v>
      </c>
      <c r="AD45">
        <v>7</v>
      </c>
      <c r="AE45">
        <v>4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3">
      <c r="A46" t="s">
        <v>60</v>
      </c>
      <c r="B46" s="2">
        <v>46010</v>
      </c>
      <c r="C46" t="s">
        <v>52</v>
      </c>
      <c r="D46" t="s">
        <v>64</v>
      </c>
      <c r="E46" t="s">
        <v>54</v>
      </c>
      <c r="F46" t="s">
        <v>40</v>
      </c>
      <c r="G46">
        <v>0.1726</v>
      </c>
      <c r="H46">
        <v>168</v>
      </c>
      <c r="I46">
        <v>29</v>
      </c>
      <c r="J46">
        <v>0</v>
      </c>
      <c r="K46" t="s">
        <v>41</v>
      </c>
      <c r="L46" s="2">
        <v>45983</v>
      </c>
      <c r="M46">
        <v>0</v>
      </c>
      <c r="N46">
        <v>4</v>
      </c>
      <c r="O46">
        <v>8</v>
      </c>
      <c r="P46" t="s">
        <v>65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9</v>
      </c>
      <c r="AE46">
        <v>3</v>
      </c>
      <c r="AF46">
        <v>16</v>
      </c>
      <c r="AG46">
        <v>0</v>
      </c>
      <c r="AH46">
        <v>0</v>
      </c>
      <c r="AI46">
        <v>0</v>
      </c>
      <c r="AJ46">
        <v>0</v>
      </c>
    </row>
    <row r="47" spans="1:36" x14ac:dyDescent="0.3">
      <c r="A47" t="s">
        <v>60</v>
      </c>
      <c r="B47" s="2">
        <v>46010</v>
      </c>
      <c r="C47" t="s">
        <v>43</v>
      </c>
      <c r="D47" t="s">
        <v>38</v>
      </c>
      <c r="E47" t="s">
        <v>45</v>
      </c>
      <c r="F47" t="s">
        <v>40</v>
      </c>
      <c r="G47">
        <v>8.3299999999999999E-2</v>
      </c>
      <c r="H47">
        <v>168</v>
      </c>
      <c r="I47">
        <v>14</v>
      </c>
      <c r="J47">
        <v>0</v>
      </c>
      <c r="K47" t="s">
        <v>41</v>
      </c>
      <c r="L47" s="2">
        <v>45984</v>
      </c>
      <c r="M47">
        <v>2</v>
      </c>
      <c r="N47">
        <v>0</v>
      </c>
      <c r="O47">
        <v>4</v>
      </c>
      <c r="P47" t="s">
        <v>90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1</v>
      </c>
      <c r="AD47">
        <v>7</v>
      </c>
      <c r="AE47">
        <v>5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3">
      <c r="A48" t="s">
        <v>67</v>
      </c>
      <c r="B48" s="2">
        <v>46011</v>
      </c>
      <c r="C48" t="s">
        <v>48</v>
      </c>
      <c r="D48" t="s">
        <v>57</v>
      </c>
      <c r="E48" t="s">
        <v>50</v>
      </c>
      <c r="F48" t="s">
        <v>40</v>
      </c>
      <c r="G48">
        <v>0.32779999999999998</v>
      </c>
      <c r="H48">
        <v>180</v>
      </c>
      <c r="I48">
        <v>59</v>
      </c>
      <c r="J48">
        <v>0</v>
      </c>
      <c r="K48" t="s">
        <v>41</v>
      </c>
      <c r="L48" s="2">
        <v>45984</v>
      </c>
      <c r="M48">
        <v>1</v>
      </c>
      <c r="N48">
        <v>2</v>
      </c>
      <c r="O48">
        <v>25</v>
      </c>
      <c r="P48" t="s">
        <v>91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2</v>
      </c>
      <c r="AA48">
        <v>2</v>
      </c>
      <c r="AB48">
        <v>14</v>
      </c>
      <c r="AC48">
        <v>30</v>
      </c>
      <c r="AD48">
        <v>6</v>
      </c>
      <c r="AE48">
        <v>4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3">
      <c r="A49" t="s">
        <v>67</v>
      </c>
      <c r="B49" s="2">
        <v>46011</v>
      </c>
      <c r="C49" t="s">
        <v>52</v>
      </c>
      <c r="D49" t="s">
        <v>58</v>
      </c>
      <c r="E49" t="s">
        <v>54</v>
      </c>
      <c r="F49" t="s">
        <v>40</v>
      </c>
      <c r="G49">
        <v>0.1726</v>
      </c>
      <c r="H49">
        <v>168</v>
      </c>
      <c r="I49">
        <v>29</v>
      </c>
      <c r="J49">
        <v>0</v>
      </c>
      <c r="K49" t="s">
        <v>41</v>
      </c>
      <c r="L49" s="2">
        <v>45980</v>
      </c>
      <c r="M49">
        <v>0</v>
      </c>
      <c r="N49">
        <v>0</v>
      </c>
      <c r="O49">
        <v>2</v>
      </c>
      <c r="P49" t="s">
        <v>65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>
        <v>15</v>
      </c>
      <c r="AD49">
        <v>5</v>
      </c>
      <c r="AE49">
        <v>1</v>
      </c>
      <c r="AF49">
        <v>6</v>
      </c>
      <c r="AG49">
        <v>0</v>
      </c>
      <c r="AH49">
        <v>0</v>
      </c>
      <c r="AI49">
        <v>0</v>
      </c>
      <c r="AJ49">
        <v>0</v>
      </c>
    </row>
    <row r="50" spans="1:36" x14ac:dyDescent="0.3">
      <c r="A50" t="s">
        <v>36</v>
      </c>
      <c r="B50" s="2">
        <v>46013</v>
      </c>
      <c r="C50" t="s">
        <v>37</v>
      </c>
      <c r="D50" t="s">
        <v>38</v>
      </c>
      <c r="E50" t="s">
        <v>39</v>
      </c>
      <c r="F50" t="s">
        <v>40</v>
      </c>
      <c r="G50">
        <v>0.21110000000000001</v>
      </c>
      <c r="H50">
        <v>180</v>
      </c>
      <c r="I50">
        <v>38</v>
      </c>
      <c r="J50">
        <v>0</v>
      </c>
      <c r="K50" t="s">
        <v>41</v>
      </c>
      <c r="L50" s="2">
        <v>45984</v>
      </c>
      <c r="M50">
        <v>5</v>
      </c>
      <c r="N50">
        <v>1</v>
      </c>
      <c r="O50">
        <v>13</v>
      </c>
      <c r="P50" t="s">
        <v>92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7</v>
      </c>
      <c r="AA50">
        <v>7</v>
      </c>
      <c r="AB50">
        <v>7</v>
      </c>
      <c r="AC50">
        <v>7</v>
      </c>
      <c r="AD50">
        <v>7</v>
      </c>
      <c r="AE50">
        <v>2</v>
      </c>
      <c r="AF50">
        <v>1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 t="s">
        <v>36</v>
      </c>
      <c r="B51" s="2">
        <v>46013</v>
      </c>
      <c r="C51" t="s">
        <v>43</v>
      </c>
      <c r="D51" t="s">
        <v>44</v>
      </c>
      <c r="E51" t="s">
        <v>45</v>
      </c>
      <c r="F51" t="s">
        <v>40</v>
      </c>
      <c r="G51">
        <v>8.3299999999999999E-2</v>
      </c>
      <c r="H51">
        <v>168</v>
      </c>
      <c r="I51">
        <v>14</v>
      </c>
      <c r="J51">
        <v>0</v>
      </c>
      <c r="K51" t="s">
        <v>41</v>
      </c>
      <c r="L51" s="2">
        <v>45977</v>
      </c>
      <c r="M51">
        <v>0</v>
      </c>
      <c r="N51">
        <v>0</v>
      </c>
      <c r="O51">
        <v>1</v>
      </c>
      <c r="P51" t="s">
        <v>93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4</v>
      </c>
      <c r="AA51">
        <v>0</v>
      </c>
      <c r="AB51">
        <v>0</v>
      </c>
      <c r="AC51">
        <v>2</v>
      </c>
      <c r="AD51">
        <v>5</v>
      </c>
      <c r="AE51">
        <v>3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3">
      <c r="A52" t="s">
        <v>47</v>
      </c>
      <c r="B52" s="2">
        <v>46014</v>
      </c>
      <c r="C52" t="s">
        <v>48</v>
      </c>
      <c r="D52" t="s">
        <v>49</v>
      </c>
      <c r="E52" t="s">
        <v>50</v>
      </c>
      <c r="F52" t="s">
        <v>40</v>
      </c>
      <c r="G52">
        <v>7.7799999999999994E-2</v>
      </c>
      <c r="H52">
        <v>180</v>
      </c>
      <c r="I52">
        <v>14</v>
      </c>
      <c r="J52">
        <v>0</v>
      </c>
      <c r="K52" t="s">
        <v>41</v>
      </c>
      <c r="L52" s="2">
        <v>45978</v>
      </c>
      <c r="M52">
        <v>0</v>
      </c>
      <c r="N52">
        <v>0</v>
      </c>
      <c r="O52">
        <v>3</v>
      </c>
      <c r="P52" t="s">
        <v>87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</v>
      </c>
      <c r="AD52">
        <v>8</v>
      </c>
      <c r="AE52">
        <v>2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3">
      <c r="A53" t="s">
        <v>47</v>
      </c>
      <c r="B53" s="2">
        <v>46014</v>
      </c>
      <c r="C53" t="s">
        <v>52</v>
      </c>
      <c r="D53" t="s">
        <v>53</v>
      </c>
      <c r="E53" t="s">
        <v>54</v>
      </c>
      <c r="F53" t="s">
        <v>40</v>
      </c>
      <c r="G53">
        <v>7.1400000000000005E-2</v>
      </c>
      <c r="H53">
        <v>168</v>
      </c>
      <c r="I53">
        <v>12</v>
      </c>
      <c r="J53">
        <v>0</v>
      </c>
      <c r="K53" t="s">
        <v>41</v>
      </c>
      <c r="L53" s="2">
        <v>45980</v>
      </c>
      <c r="M53">
        <v>0</v>
      </c>
      <c r="N53">
        <v>0</v>
      </c>
      <c r="O53">
        <v>2</v>
      </c>
      <c r="P53" t="s">
        <v>65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</v>
      </c>
      <c r="AE53">
        <v>5</v>
      </c>
      <c r="AF53">
        <v>4</v>
      </c>
      <c r="AG53">
        <v>0</v>
      </c>
      <c r="AH53">
        <v>0</v>
      </c>
      <c r="AI53">
        <v>0</v>
      </c>
      <c r="AJ53">
        <v>0</v>
      </c>
    </row>
    <row r="54" spans="1:36" x14ac:dyDescent="0.3">
      <c r="A54" t="s">
        <v>56</v>
      </c>
      <c r="B54" s="2">
        <v>46016</v>
      </c>
      <c r="C54" t="s">
        <v>48</v>
      </c>
      <c r="D54" t="s">
        <v>57</v>
      </c>
      <c r="E54" t="s">
        <v>50</v>
      </c>
      <c r="F54" t="s">
        <v>40</v>
      </c>
      <c r="G54">
        <v>0.15</v>
      </c>
      <c r="H54">
        <v>180</v>
      </c>
      <c r="I54">
        <v>27</v>
      </c>
      <c r="J54">
        <v>0</v>
      </c>
      <c r="K54" t="s">
        <v>41</v>
      </c>
      <c r="L54" s="2">
        <v>45982</v>
      </c>
      <c r="M54">
        <v>0</v>
      </c>
      <c r="N54">
        <v>0</v>
      </c>
      <c r="O54">
        <v>8</v>
      </c>
      <c r="P54" t="s">
        <v>81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16</v>
      </c>
      <c r="AD54">
        <v>8</v>
      </c>
      <c r="AE54">
        <v>3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3">
      <c r="A55" t="s">
        <v>56</v>
      </c>
      <c r="B55" s="2">
        <v>46016</v>
      </c>
      <c r="C55" t="s">
        <v>52</v>
      </c>
      <c r="D55" t="s">
        <v>58</v>
      </c>
      <c r="E55" t="s">
        <v>54</v>
      </c>
      <c r="F55" t="s">
        <v>40</v>
      </c>
      <c r="G55">
        <v>0.22620000000000001</v>
      </c>
      <c r="H55">
        <v>168</v>
      </c>
      <c r="I55">
        <v>38</v>
      </c>
      <c r="J55">
        <v>0</v>
      </c>
      <c r="K55" t="s">
        <v>41</v>
      </c>
      <c r="L55" s="2">
        <v>45983</v>
      </c>
      <c r="M55">
        <v>0</v>
      </c>
      <c r="N55">
        <v>2</v>
      </c>
      <c r="O55">
        <v>13</v>
      </c>
      <c r="P55" t="s">
        <v>76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2</v>
      </c>
      <c r="AD55">
        <v>6</v>
      </c>
      <c r="AE55">
        <v>4</v>
      </c>
      <c r="AF55">
        <v>25</v>
      </c>
      <c r="AG55">
        <v>0</v>
      </c>
      <c r="AH55">
        <v>0</v>
      </c>
      <c r="AI55">
        <v>0</v>
      </c>
      <c r="AJ55">
        <v>0</v>
      </c>
    </row>
    <row r="56" spans="1:36" x14ac:dyDescent="0.3">
      <c r="A56" t="s">
        <v>60</v>
      </c>
      <c r="B56" s="2">
        <v>46017</v>
      </c>
      <c r="C56" t="s">
        <v>48</v>
      </c>
      <c r="D56" t="s">
        <v>61</v>
      </c>
      <c r="E56" t="s">
        <v>50</v>
      </c>
      <c r="F56" t="s">
        <v>40</v>
      </c>
      <c r="G56">
        <v>3.8899999999999997E-2</v>
      </c>
      <c r="H56">
        <v>180</v>
      </c>
      <c r="I56">
        <v>7</v>
      </c>
      <c r="J56">
        <v>0</v>
      </c>
      <c r="K56" t="s">
        <v>41</v>
      </c>
      <c r="L56" s="2">
        <v>45983</v>
      </c>
      <c r="M56">
        <v>0</v>
      </c>
      <c r="N56">
        <v>1</v>
      </c>
      <c r="O56">
        <v>3</v>
      </c>
      <c r="P56" t="s">
        <v>94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5</v>
      </c>
      <c r="AF56">
        <v>2</v>
      </c>
      <c r="AG56">
        <v>0</v>
      </c>
      <c r="AH56">
        <v>0</v>
      </c>
      <c r="AI56">
        <v>0</v>
      </c>
      <c r="AJ56">
        <v>0</v>
      </c>
    </row>
    <row r="57" spans="1:36" x14ac:dyDescent="0.3">
      <c r="A57" t="s">
        <v>60</v>
      </c>
      <c r="B57" s="2">
        <v>46017</v>
      </c>
      <c r="C57" t="s">
        <v>37</v>
      </c>
      <c r="D57" t="s">
        <v>63</v>
      </c>
      <c r="E57" t="s">
        <v>39</v>
      </c>
      <c r="F57" t="s">
        <v>40</v>
      </c>
      <c r="G57">
        <v>0.16669999999999999</v>
      </c>
      <c r="H57">
        <v>180</v>
      </c>
      <c r="I57">
        <v>30</v>
      </c>
      <c r="J57">
        <v>0</v>
      </c>
      <c r="K57" t="s">
        <v>41</v>
      </c>
      <c r="L57" s="2">
        <v>45984</v>
      </c>
      <c r="M57">
        <v>4</v>
      </c>
      <c r="N57">
        <v>7</v>
      </c>
      <c r="O57">
        <v>15</v>
      </c>
      <c r="P57" t="s">
        <v>95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7</v>
      </c>
      <c r="AB57">
        <v>5</v>
      </c>
      <c r="AC57">
        <v>8</v>
      </c>
      <c r="AD57">
        <v>5</v>
      </c>
      <c r="AE57">
        <v>5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3">
      <c r="A58" t="s">
        <v>60</v>
      </c>
      <c r="B58" s="2">
        <v>46017</v>
      </c>
      <c r="C58" t="s">
        <v>52</v>
      </c>
      <c r="D58" t="s">
        <v>64</v>
      </c>
      <c r="E58" t="s">
        <v>54</v>
      </c>
      <c r="F58" t="s">
        <v>40</v>
      </c>
      <c r="G58">
        <v>0.1905</v>
      </c>
      <c r="H58">
        <v>168</v>
      </c>
      <c r="I58">
        <v>32</v>
      </c>
      <c r="J58">
        <v>0</v>
      </c>
      <c r="K58" t="s">
        <v>41</v>
      </c>
      <c r="L58" s="2">
        <v>45981</v>
      </c>
      <c r="M58">
        <v>0</v>
      </c>
      <c r="N58">
        <v>0</v>
      </c>
      <c r="O58">
        <v>2</v>
      </c>
      <c r="P58" t="s">
        <v>65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1</v>
      </c>
      <c r="AB58">
        <v>0</v>
      </c>
      <c r="AC58">
        <v>8</v>
      </c>
      <c r="AD58">
        <v>6</v>
      </c>
      <c r="AE58">
        <v>2</v>
      </c>
      <c r="AF58">
        <v>14</v>
      </c>
      <c r="AG58">
        <v>0</v>
      </c>
      <c r="AH58">
        <v>0</v>
      </c>
      <c r="AI58">
        <v>0</v>
      </c>
      <c r="AJ58">
        <v>0</v>
      </c>
    </row>
    <row r="59" spans="1:36" x14ac:dyDescent="0.3">
      <c r="A59" t="s">
        <v>60</v>
      </c>
      <c r="B59" s="2">
        <v>46017</v>
      </c>
      <c r="C59" t="s">
        <v>43</v>
      </c>
      <c r="D59" t="s">
        <v>38</v>
      </c>
      <c r="E59" t="s">
        <v>45</v>
      </c>
      <c r="F59" t="s">
        <v>40</v>
      </c>
      <c r="G59">
        <v>0.13689999999999999</v>
      </c>
      <c r="H59">
        <v>168</v>
      </c>
      <c r="I59">
        <v>23</v>
      </c>
      <c r="J59">
        <v>0</v>
      </c>
      <c r="K59" t="s">
        <v>41</v>
      </c>
      <c r="L59" s="2">
        <v>45983</v>
      </c>
      <c r="M59">
        <v>0</v>
      </c>
      <c r="N59">
        <v>4</v>
      </c>
      <c r="O59">
        <v>7</v>
      </c>
      <c r="P59" t="s">
        <v>96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4</v>
      </c>
      <c r="AA59">
        <v>6</v>
      </c>
      <c r="AB59">
        <v>0</v>
      </c>
      <c r="AC59">
        <v>7</v>
      </c>
      <c r="AD59">
        <v>6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3">
      <c r="A60" t="s">
        <v>67</v>
      </c>
      <c r="B60" s="2">
        <v>46018</v>
      </c>
      <c r="C60" t="s">
        <v>48</v>
      </c>
      <c r="D60" t="s">
        <v>57</v>
      </c>
      <c r="E60" t="s">
        <v>50</v>
      </c>
      <c r="F60" t="s">
        <v>40</v>
      </c>
      <c r="G60">
        <v>0.1278</v>
      </c>
      <c r="H60">
        <v>180</v>
      </c>
      <c r="I60">
        <v>23</v>
      </c>
      <c r="J60">
        <v>0</v>
      </c>
      <c r="K60" t="s">
        <v>41</v>
      </c>
      <c r="L60" s="2">
        <v>45983</v>
      </c>
      <c r="M60">
        <v>0</v>
      </c>
      <c r="N60">
        <v>1</v>
      </c>
      <c r="O60">
        <v>6</v>
      </c>
      <c r="P60" t="s">
        <v>97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4</v>
      </c>
      <c r="AE60">
        <v>18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3">
      <c r="A61" t="s">
        <v>67</v>
      </c>
      <c r="B61" s="2">
        <v>46018</v>
      </c>
      <c r="C61" t="s">
        <v>52</v>
      </c>
      <c r="D61" t="s">
        <v>58</v>
      </c>
      <c r="E61" t="s">
        <v>54</v>
      </c>
      <c r="F61" t="s">
        <v>40</v>
      </c>
      <c r="G61">
        <v>7.7399999999999997E-2</v>
      </c>
      <c r="H61">
        <v>168</v>
      </c>
      <c r="I61">
        <v>13</v>
      </c>
      <c r="J61">
        <v>0</v>
      </c>
      <c r="K61" t="s">
        <v>41</v>
      </c>
      <c r="L61" s="2">
        <v>45979</v>
      </c>
      <c r="M61">
        <v>0</v>
      </c>
      <c r="N61">
        <v>0</v>
      </c>
      <c r="O61">
        <v>1</v>
      </c>
      <c r="P61" t="s">
        <v>65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</v>
      </c>
      <c r="AE61">
        <v>3</v>
      </c>
      <c r="AF61">
        <v>5</v>
      </c>
      <c r="AG61">
        <v>0</v>
      </c>
      <c r="AH61">
        <v>0</v>
      </c>
      <c r="AI61">
        <v>0</v>
      </c>
      <c r="AJ61">
        <v>0</v>
      </c>
    </row>
    <row r="62" spans="1:36" x14ac:dyDescent="0.3">
      <c r="A62" t="s">
        <v>36</v>
      </c>
      <c r="B62" s="2">
        <v>46020</v>
      </c>
      <c r="C62" t="s">
        <v>37</v>
      </c>
      <c r="D62" t="s">
        <v>38</v>
      </c>
      <c r="E62" t="s">
        <v>39</v>
      </c>
      <c r="F62" t="s">
        <v>40</v>
      </c>
      <c r="G62">
        <v>0.1278</v>
      </c>
      <c r="H62">
        <v>180</v>
      </c>
      <c r="I62">
        <v>23</v>
      </c>
      <c r="J62">
        <v>0</v>
      </c>
      <c r="K62" t="s">
        <v>41</v>
      </c>
      <c r="L62" s="2">
        <v>45984</v>
      </c>
      <c r="M62">
        <v>4</v>
      </c>
      <c r="N62">
        <v>0</v>
      </c>
      <c r="O62">
        <v>9</v>
      </c>
      <c r="P62" t="s">
        <v>98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5</v>
      </c>
      <c r="AC62">
        <v>8</v>
      </c>
      <c r="AD62">
        <v>6</v>
      </c>
      <c r="AE62">
        <v>2</v>
      </c>
      <c r="AF62">
        <v>2</v>
      </c>
      <c r="AG62">
        <v>0</v>
      </c>
      <c r="AH62">
        <v>0</v>
      </c>
      <c r="AI62">
        <v>0</v>
      </c>
      <c r="AJ62">
        <v>0</v>
      </c>
    </row>
    <row r="63" spans="1:36" x14ac:dyDescent="0.3">
      <c r="A63" t="s">
        <v>36</v>
      </c>
      <c r="B63" s="2">
        <v>46020</v>
      </c>
      <c r="C63" t="s">
        <v>43</v>
      </c>
      <c r="D63" t="s">
        <v>44</v>
      </c>
      <c r="E63" t="s">
        <v>45</v>
      </c>
      <c r="F63" t="s">
        <v>40</v>
      </c>
      <c r="G63">
        <v>0.11310000000000001</v>
      </c>
      <c r="H63">
        <v>168</v>
      </c>
      <c r="I63">
        <v>19</v>
      </c>
      <c r="J63">
        <v>0</v>
      </c>
      <c r="K63" t="s">
        <v>41</v>
      </c>
      <c r="L63" s="2">
        <v>45980</v>
      </c>
      <c r="M63">
        <v>0</v>
      </c>
      <c r="N63">
        <v>0</v>
      </c>
      <c r="O63">
        <v>6</v>
      </c>
      <c r="P63" t="s">
        <v>99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5</v>
      </c>
      <c r="AA63">
        <v>0</v>
      </c>
      <c r="AB63">
        <v>4</v>
      </c>
      <c r="AC63">
        <v>4</v>
      </c>
      <c r="AD63">
        <v>3</v>
      </c>
      <c r="AE63">
        <v>3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3">
      <c r="A64" t="s">
        <v>47</v>
      </c>
      <c r="B64" s="2">
        <v>46021</v>
      </c>
      <c r="C64" t="s">
        <v>48</v>
      </c>
      <c r="D64" t="s">
        <v>49</v>
      </c>
      <c r="E64" t="s">
        <v>50</v>
      </c>
      <c r="F64" t="s">
        <v>40</v>
      </c>
      <c r="G64">
        <v>7.7799999999999994E-2</v>
      </c>
      <c r="H64">
        <v>180</v>
      </c>
      <c r="I64">
        <v>14</v>
      </c>
      <c r="J64">
        <v>0</v>
      </c>
      <c r="K64" t="s">
        <v>41</v>
      </c>
      <c r="L64" s="2">
        <v>45982</v>
      </c>
      <c r="M64">
        <v>0</v>
      </c>
      <c r="N64">
        <v>0</v>
      </c>
      <c r="O64">
        <v>4</v>
      </c>
      <c r="P64" t="s">
        <v>94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3</v>
      </c>
      <c r="AE64">
        <v>7</v>
      </c>
      <c r="AF64">
        <v>2</v>
      </c>
      <c r="AG64">
        <v>0</v>
      </c>
      <c r="AH64">
        <v>0</v>
      </c>
      <c r="AI64">
        <v>0</v>
      </c>
      <c r="AJ64">
        <v>0</v>
      </c>
    </row>
    <row r="65" spans="1:36" x14ac:dyDescent="0.3">
      <c r="A65" t="s">
        <v>47</v>
      </c>
      <c r="B65" s="2">
        <v>46021</v>
      </c>
      <c r="C65" t="s">
        <v>52</v>
      </c>
      <c r="D65" t="s">
        <v>53</v>
      </c>
      <c r="E65" t="s">
        <v>54</v>
      </c>
      <c r="F65" t="s">
        <v>40</v>
      </c>
      <c r="G65">
        <v>0.17860000000000001</v>
      </c>
      <c r="H65">
        <v>168</v>
      </c>
      <c r="I65">
        <v>30</v>
      </c>
      <c r="J65">
        <v>0</v>
      </c>
      <c r="K65" t="s">
        <v>41</v>
      </c>
      <c r="L65" s="2">
        <v>45983</v>
      </c>
      <c r="M65">
        <v>0</v>
      </c>
      <c r="N65">
        <v>1</v>
      </c>
      <c r="O65">
        <v>15</v>
      </c>
      <c r="P65" t="s">
        <v>76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4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25</v>
      </c>
      <c r="AG65">
        <v>0</v>
      </c>
      <c r="AH65">
        <v>0</v>
      </c>
      <c r="AI65">
        <v>0</v>
      </c>
      <c r="AJ65">
        <v>0</v>
      </c>
    </row>
    <row r="66" spans="1:36" ht="18" x14ac:dyDescent="0.35">
      <c r="A66" s="3" t="s">
        <v>100</v>
      </c>
      <c r="B66" s="4"/>
      <c r="C66" s="3">
        <f>SUBTOTAL(103,LF_ALL_ROUTES[Flt])</f>
        <v>64</v>
      </c>
      <c r="D66" s="3"/>
      <c r="E66" s="3">
        <f>SUBTOTAL(103,LF_ALL_ROUTES[Brd-Off])</f>
        <v>64</v>
      </c>
      <c r="F66" s="3"/>
      <c r="G66" s="5">
        <f>SUBTOTAL(101,LF_ALL_ROUTES[LF%])</f>
        <v>0.30920937499999995</v>
      </c>
      <c r="H66" s="3"/>
      <c r="I66" s="3"/>
      <c r="J66" s="3"/>
      <c r="K66" s="3"/>
      <c r="L66" s="4"/>
      <c r="M66" s="3"/>
      <c r="N66" s="3"/>
      <c r="O66" s="3"/>
      <c r="P66" s="3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>
        <f>SUBTOTAL(109,LF_ALL_ROUTES[N])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2025-11-23T10:19:58Z</dcterms:created>
  <dcterms:modified xsi:type="dcterms:W3CDTF">2025-11-23T10:19:59Z</dcterms:modified>
</cp:coreProperties>
</file>