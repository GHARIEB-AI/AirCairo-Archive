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E39D437-49EA-4883-8C18-2687D616C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2" l="1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7" authorId="0" shapeId="0" xr:uid="{7DB0D0D9-D058-4E06-A2D9-C2A6754C50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V4 &amp; G16 &amp; S17 &amp; W21 &amp; T10 &amp; X9 &amp; U17 &amp; O16 &amp; I16 &amp; P50</t>
        </r>
      </text>
    </comment>
    <comment ref="F18" authorId="0" shapeId="0" xr:uid="{FEDBDD40-C1C3-480A-9D25-AECF4DEA28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G3 &amp; S3 &amp; W4 &amp; T10 &amp; X12 &amp; U5 &amp; O6 &amp; I4 &amp; E45 &amp; P82 &amp; N1</t>
        </r>
      </text>
    </comment>
    <comment ref="F47" authorId="0" shapeId="0" xr:uid="{EA2830CF-0F5F-412C-9469-B6167A5643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L6 &amp; S24 &amp; W5 &amp; P135 &amp; N4</t>
        </r>
      </text>
    </comment>
    <comment ref="F64" authorId="0" shapeId="0" xr:uid="{E3D0EDD3-6AB3-4E41-A922-DACF7A6267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S19 &amp; W17 &amp; T33 &amp; X4 &amp; U5 &amp; O4 &amp; I4 &amp; P28 &amp; N2</t>
        </r>
      </text>
    </comment>
    <comment ref="F65" authorId="0" shapeId="0" xr:uid="{D85DF856-7941-4371-9BBF-BCA87AAE85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S10 &amp; W23 &amp; T18 &amp; X9 &amp; U20 &amp; O4 &amp; I5 &amp; P62</t>
        </r>
      </text>
    </comment>
    <comment ref="F66" authorId="0" shapeId="0" xr:uid="{8E66DAAC-7F05-454A-BCDC-A1BDEFB5F6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S32 &amp; W23 &amp; T16 &amp; X9 &amp; U5 &amp; O5 &amp; I5</t>
        </r>
      </text>
    </comment>
    <comment ref="F87" authorId="0" shapeId="0" xr:uid="{EB77AA86-C6BF-4149-A4F6-1E7F749490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L8 &amp; G1 &amp; S13 &amp; U3 &amp; O5 &amp; I7 &amp; P129</t>
        </r>
      </text>
    </comment>
    <comment ref="F118" authorId="0" shapeId="0" xr:uid="{DFD11621-D3C8-4F61-B5B3-FD9C415FEE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G4 &amp; S11 &amp; T7 &amp; X12 &amp; U5 &amp; O5 &amp; I7 &amp; P129</t>
        </r>
      </text>
    </comment>
    <comment ref="F127" authorId="0" shapeId="0" xr:uid="{5AE04798-3A9E-4E2F-8590-ECBD60409A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S5 &amp; W1 &amp; T3 &amp; X34 &amp; U10 &amp; O10 &amp; I5 &amp; P93</t>
        </r>
      </text>
    </comment>
    <comment ref="F128" authorId="0" shapeId="0" xr:uid="{10EBB978-6CBD-433B-B5D0-DE9FF7EECA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T5 &amp; X24 &amp; U25 &amp; O10 &amp; I10</t>
        </r>
      </text>
    </comment>
    <comment ref="F136" authorId="0" shapeId="0" xr:uid="{0C01FE0E-89F1-41B2-8467-E09370702C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T4 &amp; X17 &amp; U10 &amp; O10 &amp; I15 &amp; P108</t>
        </r>
      </text>
    </comment>
    <comment ref="F192" authorId="0" shapeId="0" xr:uid="{E8A0716F-8C85-4213-B3AA-117D84354B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T9 &amp; X10 &amp; U17 &amp; O30 &amp; I11 &amp; P84 &amp; N4</t>
        </r>
      </text>
    </comment>
    <comment ref="F200" authorId="0" shapeId="0" xr:uid="{7ACDCC19-4C60-4ACF-85A5-5784AD69D7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O10 &amp; I15 &amp; P86</t>
        </r>
      </text>
    </comment>
    <comment ref="F201" authorId="0" shapeId="0" xr:uid="{4DB0DA10-5BBF-4921-8843-1B0A0D81E7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X3 &amp; U10 &amp; O13 &amp; I30</t>
        </r>
      </text>
    </comment>
    <comment ref="F202" authorId="0" shapeId="0" xr:uid="{E83A409C-53AD-42F7-844E-6F0641DFDF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O18 &amp; I30 &amp; P46</t>
        </r>
      </text>
    </comment>
    <comment ref="F203" authorId="0" shapeId="0" xr:uid="{54D12FE8-E334-47AA-830C-164E563D10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U13 &amp; O26 &amp; I15 &amp; P82</t>
        </r>
      </text>
    </comment>
    <comment ref="F208" authorId="0" shapeId="0" xr:uid="{694F9260-7EE3-4241-90E1-FF951098AA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264" authorId="0" shapeId="0" xr:uid="{12DACA2D-E424-4D05-A676-479E6E9663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</commentList>
</comments>
</file>

<file path=xl/sharedStrings.xml><?xml version="1.0" encoding="utf-8"?>
<sst xmlns="http://schemas.openxmlformats.org/spreadsheetml/2006/main" count="3481" uniqueCount="447">
  <si>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</si>
  <si>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</si>
  <si>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</si>
  <si>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</si>
  <si>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</si>
  <si>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</si>
  <si>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</si>
  <si>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</si>
  <si>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</si>
  <si>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</si>
  <si>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</si>
  <si>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</si>
  <si>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</si>
  <si>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</si>
  <si>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</si>
  <si>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</si>
  <si>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</si>
  <si>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</si>
  <si>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</si>
  <si>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</si>
  <si>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</si>
  <si>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</si>
  <si>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</si>
  <si>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</si>
  <si>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</si>
  <si>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</si>
  <si>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</si>
  <si>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</si>
  <si>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Cabin: 0 KG | Check-in: 15 KG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</si>
  <si>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</si>
  <si>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</si>
  <si>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t>F3-763</t>
  </si>
  <si>
    <r>
      <rPr>
        <b/>
        <i/>
        <sz val="13"/>
        <rFont val="Calibri"/>
        <family val="2"/>
      </rPr>
      <t>21</t>
    </r>
    <r>
      <rPr>
        <b/>
        <i/>
        <sz val="10"/>
        <rFont val="Calibri"/>
        <family val="2"/>
      </rPr>
      <t xml:space="preserve"> FOR SAME CLASS</t>
    </r>
  </si>
  <si>
    <t>F3-753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</si>
  <si>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</si>
  <si>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689 SAR</t>
  </si>
  <si>
    <t>F3-761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</si>
  <si>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</si>
  <si>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flynas</t>
  </si>
  <si>
    <t>XY-565</t>
  </si>
  <si>
    <t>Cabin: 7 KG | Check-in: 20 KG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</si>
  <si>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</si>
  <si>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669 SAR</t>
  </si>
  <si>
    <t>XY-567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</si>
  <si>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</si>
  <si>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XY-573</t>
  </si>
  <si>
    <t>XY-589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</si>
  <si>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</si>
  <si>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XY-569</t>
  </si>
  <si>
    <t>719 SAR</t>
  </si>
  <si>
    <t>XY-571</t>
  </si>
  <si>
    <t>XY-577</t>
  </si>
  <si>
    <t>Air Arabia Egypt</t>
  </si>
  <si>
    <t>E5-362</t>
  </si>
  <si>
    <t>Cabin: 10 KG |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</si>
  <si>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</si>
  <si>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671 SAR</t>
  </si>
  <si>
    <t>E5-328</t>
  </si>
  <si>
    <t>679 SAR</t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</si>
  <si>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</si>
  <si>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</si>
  <si>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</si>
  <si>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</si>
  <si>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691 SAR</t>
  </si>
  <si>
    <t>Nesma Airlines</t>
  </si>
  <si>
    <t>NE-171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</si>
  <si>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</si>
  <si>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835 SAR</t>
  </si>
  <si>
    <t>Air Cairo</t>
  </si>
  <si>
    <t>SM-450</t>
  </si>
  <si>
    <t>Cabin: 7 KG | Check-in: 40 KG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</si>
  <si>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</si>
  <si>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952 SAR</t>
  </si>
  <si>
    <t>SM450</t>
  </si>
  <si>
    <t>V3</t>
  </si>
  <si>
    <t>V4 &amp; G16 &amp; S17 &amp; W21 &amp; T10 &amp; X9 &amp; U17 &amp; O16 &amp; I16 &amp; P50</t>
  </si>
  <si>
    <t>SM-478</t>
  </si>
  <si>
    <t>1,066 SAR</t>
  </si>
  <si>
    <t>SM478</t>
  </si>
  <si>
    <t>K1</t>
  </si>
  <si>
    <t>K3 &amp; G3 &amp; S3 &amp; W4 &amp; T10 &amp; X12 &amp; U5 &amp; O6 &amp; I4 &amp; E45 &amp; P82 &amp; N1</t>
  </si>
  <si>
    <t>SM476</t>
  </si>
  <si>
    <t>30KG + 7KG CABIN</t>
  </si>
  <si>
    <t>FULLY BOOKED</t>
  </si>
  <si>
    <t>CLOSED</t>
  </si>
  <si>
    <t>K5 &amp; L6 &amp; S24 &amp; W5 &amp; P135 &amp; N4</t>
  </si>
  <si>
    <t>Saudia</t>
  </si>
  <si>
    <t>SV-301</t>
  </si>
  <si>
    <t>Cabin: 7 KG / Check-in: 23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</si>
  <si>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</si>
  <si>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1,193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</si>
  <si>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</si>
  <si>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</si>
  <si>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1,326 SAR</t>
  </si>
  <si>
    <t>SV-303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</si>
  <si>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</si>
  <si>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SV-309</t>
  </si>
  <si>
    <t>SV-383</t>
  </si>
  <si>
    <t>SV-387</t>
  </si>
  <si>
    <t>SV-335</t>
  </si>
  <si>
    <t>1,586 SAR</t>
  </si>
  <si>
    <t>1,719 SAR</t>
  </si>
  <si>
    <t>SV-6664</t>
  </si>
  <si>
    <t>1,721 SAR</t>
  </si>
  <si>
    <t>SV-305</t>
  </si>
  <si>
    <t>1,828 SAR</t>
  </si>
  <si>
    <t>1,961 SAR</t>
  </si>
  <si>
    <t>SV-389</t>
  </si>
  <si>
    <t>SV-6891</t>
  </si>
  <si>
    <t>1,944 SAR</t>
  </si>
  <si>
    <t>SV-6893</t>
  </si>
  <si>
    <t>SV-6895</t>
  </si>
  <si>
    <t>EgyptAir</t>
  </si>
  <si>
    <t>MS-666</t>
  </si>
  <si>
    <t>Cabin: 7 KG | Check-in: 2 PIECE</t>
  </si>
  <si>
    <t>1,260 SAR</t>
  </si>
  <si>
    <t>MS-674</t>
  </si>
  <si>
    <t>MS-644</t>
  </si>
  <si>
    <t>1,264 SAR</t>
  </si>
  <si>
    <t>MS-662</t>
  </si>
  <si>
    <t>1,642 SAR</t>
  </si>
  <si>
    <t>MS-664</t>
  </si>
  <si>
    <t>MS-668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</si>
  <si>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</si>
  <si>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MS-670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</si>
  <si>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</si>
  <si>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MS-672</t>
  </si>
  <si>
    <t>1,844 SAR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</si>
  <si>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</si>
  <si>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401 SAR</t>
  </si>
  <si>
    <t>NP-228</t>
  </si>
  <si>
    <t>599 SAR</t>
  </si>
  <si>
    <t>Check-in: 15 KG</t>
  </si>
  <si>
    <t>539 SAR</t>
  </si>
  <si>
    <t>Cabin: 10 KG / Check-in: 25 KG</t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</si>
  <si>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</si>
  <si>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Cabin: 10 KG / Check-in: 2 x 40 KG</t>
  </si>
  <si>
    <t>1,099 SAR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</si>
  <si>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</si>
  <si>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</si>
  <si>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</si>
  <si>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789 SAR</t>
  </si>
  <si>
    <r>
      <rPr>
        <b/>
        <i/>
        <sz val="13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</si>
  <si>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</si>
  <si>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839 SAR</t>
  </si>
  <si>
    <t>Cabin: 7 KG / Check-in: 20 KG</t>
  </si>
  <si>
    <t>549 SAR</t>
  </si>
  <si>
    <t>Cabin: 7 KG / Check-in: 30 KG</t>
  </si>
  <si>
    <t>649 SAR</t>
  </si>
  <si>
    <t>Cabin: 7 KG / Check-in: 2 x 40 KG</t>
  </si>
  <si>
    <t>739 SAR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</si>
  <si>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</si>
  <si>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</si>
  <si>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</si>
  <si>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589 SAR</t>
  </si>
  <si>
    <t>779 SAR</t>
  </si>
  <si>
    <t>XY-583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</si>
  <si>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</si>
  <si>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595 SAR</t>
  </si>
  <si>
    <t>NE-177</t>
  </si>
  <si>
    <t>645 SAR</t>
  </si>
  <si>
    <t>Cabin: 10 KG / Check-in: 30 KG</t>
  </si>
  <si>
    <t>617 SAR</t>
  </si>
  <si>
    <t>740 SAR</t>
  </si>
  <si>
    <t>SM-424</t>
  </si>
  <si>
    <t>646 SAR</t>
  </si>
  <si>
    <t>SM424</t>
  </si>
  <si>
    <t>W9</t>
  </si>
  <si>
    <t>S19 &amp; W17 &amp; T33 &amp; X4 &amp; U5 &amp; O4 &amp; I4 &amp; P28 &amp; N2</t>
  </si>
  <si>
    <t>SM-432</t>
  </si>
  <si>
    <t>SM432</t>
  </si>
  <si>
    <t>G1 &amp; S10 &amp; W23 &amp; T18 &amp; X9 &amp; U20 &amp; O4 &amp; I5 &amp; P62</t>
  </si>
  <si>
    <t>SM-476</t>
  </si>
  <si>
    <t>G5 &amp; S32 &amp; W23 &amp; T16 &amp; X9 &amp; U5 &amp; O5 &amp; I5</t>
  </si>
  <si>
    <t>SM-460</t>
  </si>
  <si>
    <t>781 SAR</t>
  </si>
  <si>
    <t>SM460</t>
  </si>
  <si>
    <t>G7</t>
  </si>
  <si>
    <t>L8 &amp; G1 &amp; S13 &amp; U3 &amp; O5 &amp; I7 &amp; P129</t>
  </si>
  <si>
    <t>L1 &amp; G4 &amp; S11 &amp; T7 &amp; X12 &amp; U5 &amp; O5 &amp; I7 &amp; P129</t>
  </si>
  <si>
    <t>1,276 SAR</t>
  </si>
  <si>
    <t>1,321 SAR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</si>
  <si>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</si>
  <si>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1,524 SAR</t>
  </si>
  <si>
    <t>1,728 SAR</t>
  </si>
  <si>
    <t>1,773 SAR</t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</si>
  <si>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</si>
  <si>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2,005 SAR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</si>
  <si>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</si>
  <si>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2,050 SAR</t>
  </si>
  <si>
    <r>
      <rPr>
        <b/>
        <i/>
        <sz val="13"/>
        <color rgb="FFBC0000"/>
        <rFont val="Calibri"/>
        <family val="2"/>
      </rPr>
      <t>11</t>
    </r>
    <r>
      <rPr>
        <b/>
        <i/>
        <sz val="10"/>
        <color rgb="FFBC0000"/>
        <rFont val="Calibri"/>
        <family val="2"/>
      </rPr>
      <t xml:space="preserve"> FOR SAME CLASS</t>
    </r>
  </si>
  <si>
    <t>459 SAR</t>
  </si>
  <si>
    <t>609 SAR</t>
  </si>
  <si>
    <t>499 SAR</t>
  </si>
  <si>
    <t>509 SAR</t>
  </si>
  <si>
    <t>699 SAR</t>
  </si>
  <si>
    <t>526 SAR</t>
  </si>
  <si>
    <t>X6</t>
  </si>
  <si>
    <t>L1 &amp; S5 &amp; W1 &amp; T3 &amp; X34 &amp; U10 &amp; O10 &amp; I5 &amp; P93</t>
  </si>
  <si>
    <t>SM-480</t>
  </si>
  <si>
    <t>SM480</t>
  </si>
  <si>
    <t>X9</t>
  </si>
  <si>
    <t>S2 &amp; T5 &amp; X24 &amp; U25 &amp; O10 &amp; I10</t>
  </si>
  <si>
    <t>586 SAR</t>
  </si>
  <si>
    <t>T3</t>
  </si>
  <si>
    <t>S1 &amp; T4 &amp; X17 &amp; U10 &amp; O10 &amp; I15 &amp; P108</t>
  </si>
  <si>
    <t>S3 &amp; T9 &amp; X10 &amp; U17 &amp; O30 &amp; I11 &amp; P84 &amp; N4</t>
  </si>
  <si>
    <t>537 SAR</t>
  </si>
  <si>
    <t>615 SAR</t>
  </si>
  <si>
    <t>765 SAR</t>
  </si>
  <si>
    <t>970 SAR</t>
  </si>
  <si>
    <t>576 SAR</t>
  </si>
  <si>
    <t>600 SAR</t>
  </si>
  <si>
    <t>723 SAR</t>
  </si>
  <si>
    <t>NE-173</t>
  </si>
  <si>
    <t>935 SAR</t>
  </si>
  <si>
    <t>980 SAR</t>
  </si>
  <si>
    <t>1,349 SAR</t>
  </si>
  <si>
    <t>1,486 SAR</t>
  </si>
  <si>
    <t>1,531 SAR</t>
  </si>
  <si>
    <t>NP-328</t>
  </si>
  <si>
    <t>419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</si>
  <si>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</si>
  <si>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569 SAR</t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</si>
  <si>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</si>
  <si>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</si>
  <si>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436 SAR</t>
  </si>
  <si>
    <t>O9</t>
  </si>
  <si>
    <t>S2 &amp; X4 &amp; U5 &amp; O10 &amp; I15 &amp; P86</t>
  </si>
  <si>
    <t>SM-472</t>
  </si>
  <si>
    <t>SM472</t>
  </si>
  <si>
    <t>S8 &amp; X3 &amp; U10 &amp; O13 &amp; I30</t>
  </si>
  <si>
    <t>X1 &amp; U10 &amp; O18 &amp; I30 &amp; P46</t>
  </si>
  <si>
    <t>S5 &amp; X7 &amp; U13 &amp; O26 &amp; I15 &amp; P82</t>
  </si>
  <si>
    <t>471 SAR</t>
  </si>
  <si>
    <t>U1</t>
  </si>
  <si>
    <t>S1 &amp; W2 &amp; X4 &amp; U16 &amp; O15 &amp; I9 &amp; P116</t>
  </si>
  <si>
    <t>S2 &amp; X1 &amp; U15 &amp; O15 &amp; I15 &amp; P117 &amp; N3</t>
  </si>
  <si>
    <t>449 SAR</t>
  </si>
  <si>
    <t>489 SAR</t>
  </si>
  <si>
    <t>536 SAR</t>
  </si>
  <si>
    <t>660 SAR</t>
  </si>
  <si>
    <t>1,093 SAR</t>
  </si>
  <si>
    <t>1,138 SAR</t>
  </si>
  <si>
    <t>1,080 SAR</t>
  </si>
  <si>
    <t>1,407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</si>
  <si>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</si>
  <si>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</si>
  <si>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</si>
  <si>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</si>
  <si>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</si>
  <si>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</si>
  <si>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</si>
  <si>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</si>
  <si>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</si>
  <si>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</si>
  <si>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</si>
  <si>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</si>
  <si>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</si>
  <si>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</si>
  <si>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</si>
  <si>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</si>
  <si>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</si>
  <si>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</si>
  <si>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</si>
  <si>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</si>
  <si>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</si>
  <si>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</si>
  <si>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</si>
  <si>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</si>
  <si>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</si>
  <si>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</si>
  <si>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</si>
  <si>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</si>
  <si>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</si>
  <si>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</si>
  <si>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05:40</t>
  </si>
  <si>
    <t>320</t>
  </si>
  <si>
    <t>UPCOMING</t>
  </si>
  <si>
    <t>V4</t>
  </si>
  <si>
    <t>G16</t>
  </si>
  <si>
    <t>S17</t>
  </si>
  <si>
    <t>W21</t>
  </si>
  <si>
    <t>T10</t>
  </si>
  <si>
    <t>U17</t>
  </si>
  <si>
    <t>O16</t>
  </si>
  <si>
    <t>I16</t>
  </si>
  <si>
    <t>P50</t>
  </si>
  <si>
    <t>08:00</t>
  </si>
  <si>
    <t>K5</t>
  </si>
  <si>
    <t>L6</t>
  </si>
  <si>
    <t>S24</t>
  </si>
  <si>
    <t>W5</t>
  </si>
  <si>
    <t>P135</t>
  </si>
  <si>
    <t>N4</t>
  </si>
  <si>
    <t>16:20</t>
  </si>
  <si>
    <t>K3</t>
  </si>
  <si>
    <t>G3</t>
  </si>
  <si>
    <t>S3</t>
  </si>
  <si>
    <t>W4</t>
  </si>
  <si>
    <t>X12</t>
  </si>
  <si>
    <t>U5</t>
  </si>
  <si>
    <t>O6</t>
  </si>
  <si>
    <t>I4</t>
  </si>
  <si>
    <t>E45</t>
  </si>
  <si>
    <t>P82</t>
  </si>
  <si>
    <t>N1</t>
  </si>
  <si>
    <t>SUNDAY</t>
  </si>
  <si>
    <t>02:00</t>
  </si>
  <si>
    <t>S19</t>
  </si>
  <si>
    <t>W17</t>
  </si>
  <si>
    <t>T33</t>
  </si>
  <si>
    <t>X4</t>
  </si>
  <si>
    <t>O4</t>
  </si>
  <si>
    <t>P28</t>
  </si>
  <si>
    <t>N2</t>
  </si>
  <si>
    <t>07:40</t>
  </si>
  <si>
    <t>G5</t>
  </si>
  <si>
    <t>S32</t>
  </si>
  <si>
    <t>W23</t>
  </si>
  <si>
    <t>T16</t>
  </si>
  <si>
    <t>O5</t>
  </si>
  <si>
    <t>I5</t>
  </si>
  <si>
    <t>G1</t>
  </si>
  <si>
    <t>S10</t>
  </si>
  <si>
    <t>T18</t>
  </si>
  <si>
    <t>U20</t>
  </si>
  <si>
    <t>P62</t>
  </si>
  <si>
    <t>12:15</t>
  </si>
  <si>
    <t>L8</t>
  </si>
  <si>
    <t>S13</t>
  </si>
  <si>
    <t>U3</t>
  </si>
  <si>
    <t>I7</t>
  </si>
  <si>
    <t>P129</t>
  </si>
  <si>
    <t>15:10</t>
  </si>
  <si>
    <t>L1</t>
  </si>
  <si>
    <t>G4</t>
  </si>
  <si>
    <t>S11</t>
  </si>
  <si>
    <t>T7</t>
  </si>
  <si>
    <t>MONDAY</t>
  </si>
  <si>
    <t>00:10</t>
  </si>
  <si>
    <t>S2</t>
  </si>
  <si>
    <t>T5</t>
  </si>
  <si>
    <t>X24</t>
  </si>
  <si>
    <t>U25</t>
  </si>
  <si>
    <t>O10</t>
  </si>
  <si>
    <t>I10</t>
  </si>
  <si>
    <t>10:10</t>
  </si>
  <si>
    <t>T9</t>
  </si>
  <si>
    <t>X10</t>
  </si>
  <si>
    <t>O30</t>
  </si>
  <si>
    <t>I11</t>
  </si>
  <si>
    <t>P84</t>
  </si>
  <si>
    <t>14:45</t>
  </si>
  <si>
    <t>S5</t>
  </si>
  <si>
    <t>W1</t>
  </si>
  <si>
    <t>X34</t>
  </si>
  <si>
    <t>U10</t>
  </si>
  <si>
    <t>P93</t>
  </si>
  <si>
    <t>23:30</t>
  </si>
  <si>
    <t>S1</t>
  </si>
  <si>
    <t>T4</t>
  </si>
  <si>
    <t>X17</t>
  </si>
  <si>
    <t>I15</t>
  </si>
  <si>
    <t>P108</t>
  </si>
  <si>
    <t>TUESDAY</t>
  </si>
  <si>
    <t>05:30</t>
  </si>
  <si>
    <t>S8</t>
  </si>
  <si>
    <t>X3</t>
  </si>
  <si>
    <t>O13</t>
  </si>
  <si>
    <t>I30</t>
  </si>
  <si>
    <t>13:25</t>
  </si>
  <si>
    <t>X1</t>
  </si>
  <si>
    <t>U15</t>
  </si>
  <si>
    <t>O15</t>
  </si>
  <si>
    <t>P117</t>
  </si>
  <si>
    <t>N3</t>
  </si>
  <si>
    <t>X7</t>
  </si>
  <si>
    <t>U13</t>
  </si>
  <si>
    <t>O26</t>
  </si>
  <si>
    <t>17:30</t>
  </si>
  <si>
    <t>W2</t>
  </si>
  <si>
    <t>U16</t>
  </si>
  <si>
    <t>I9</t>
  </si>
  <si>
    <t>P116</t>
  </si>
  <si>
    <t>22:25</t>
  </si>
  <si>
    <t>P86</t>
  </si>
  <si>
    <t>23:15</t>
  </si>
  <si>
    <t>O18</t>
  </si>
  <si>
    <t>P46</t>
  </si>
  <si>
    <t>DATE</t>
  </si>
  <si>
    <t>ROUTE</t>
  </si>
  <si>
    <t>2025-11-22</t>
  </si>
  <si>
    <t>03:05</t>
  </si>
  <si>
    <t>21:20</t>
  </si>
  <si>
    <t>06:10</t>
  </si>
  <si>
    <t>21:40</t>
  </si>
  <si>
    <t>20:30</t>
  </si>
  <si>
    <t>19:10</t>
  </si>
  <si>
    <t>05:10</t>
  </si>
  <si>
    <t>06:55</t>
  </si>
  <si>
    <t>07:15</t>
  </si>
  <si>
    <t>18:55</t>
  </si>
  <si>
    <t>16:00</t>
  </si>
  <si>
    <t>15:50</t>
  </si>
  <si>
    <t>12:25</t>
  </si>
  <si>
    <t>09:30</t>
  </si>
  <si>
    <t>06:30</t>
  </si>
  <si>
    <t>Date</t>
  </si>
  <si>
    <t>Time</t>
  </si>
  <si>
    <t>Competitor</t>
  </si>
  <si>
    <t>Flight</t>
  </si>
  <si>
    <t>Price</t>
  </si>
  <si>
    <t>Curr</t>
  </si>
  <si>
    <t>Weight (kg)</t>
  </si>
  <si>
    <t>Fare NUC (-)</t>
  </si>
  <si>
    <t>Weight NUC (+)</t>
  </si>
  <si>
    <t>Total NUC</t>
  </si>
  <si>
    <t>AC Flight</t>
  </si>
  <si>
    <t>AC NUC</t>
  </si>
  <si>
    <t>Delta (C-AC)</t>
  </si>
  <si>
    <t>Threat Status</t>
  </si>
  <si>
    <t>SAR</t>
  </si>
  <si>
    <t>CLOSE (WATCH)</t>
  </si>
  <si>
    <t>AHEAD</t>
  </si>
  <si>
    <t>WINNER (THREAT)</t>
  </si>
  <si>
    <t>17:15</t>
  </si>
  <si>
    <t>03:25</t>
  </si>
  <si>
    <t>22:20</t>
  </si>
  <si>
    <t>05:50</t>
  </si>
  <si>
    <t>2025-11-23</t>
  </si>
  <si>
    <t>06:35</t>
  </si>
  <si>
    <t>09:20</t>
  </si>
  <si>
    <t>15:30</t>
  </si>
  <si>
    <t>2025-11-24</t>
  </si>
  <si>
    <t>03:30</t>
  </si>
  <si>
    <t>00:20</t>
  </si>
  <si>
    <t>04:10</t>
  </si>
  <si>
    <t>09:25</t>
  </si>
  <si>
    <t>11:15</t>
  </si>
  <si>
    <t>2025-11-25</t>
  </si>
  <si>
    <t>01:05</t>
  </si>
  <si>
    <t>05:20</t>
  </si>
  <si>
    <t>09:05</t>
  </si>
  <si>
    <t>05:45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</si>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</sst>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i/>
      <sz val="12"/>
      <name val="Calibri"/>
      <family val="2"/>
    </font>
    <font>
      <sz val="12"/>
      <color theme="1"/>
      <name val="Calibri"/>
      <family val="2"/>
    </font>
    <font>
      <b/>
      <i/>
      <sz val="18"/>
      <name val="Calibri"/>
      <family val="2"/>
    </font>
    <font>
      <i/>
      <sz val="18"/>
      <color rgb="FFFF0000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/>
    </fill>
    <fill>
      <patternFill patternType="solid">
        <fgColor rgb="FFFFD700"/>
        <bgColor rgb="FFFFD7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168" fontId="13" fillId="0" borderId="1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4" fillId="8" borderId="13" xfId="0" applyNumberFormat="1" applyFont="1" applyFill="1" applyBorder="1" applyAlignment="1">
      <alignment horizontal="center" vertical="center"/>
    </xf>
    <xf numFmtId="169" fontId="15" fillId="8" borderId="14" xfId="0" applyNumberFormat="1" applyFont="1" applyFill="1" applyBorder="1" applyAlignment="1">
      <alignment horizontal="center" vertical="center"/>
    </xf>
    <xf numFmtId="1" fontId="14" fillId="8" borderId="14" xfId="0" applyNumberFormat="1" applyFont="1" applyFill="1" applyBorder="1" applyAlignment="1">
      <alignment horizontal="center" vertical="center"/>
    </xf>
    <xf numFmtId="16" fontId="14" fillId="8" borderId="14" xfId="0" applyNumberFormat="1" applyFont="1" applyFill="1" applyBorder="1" applyAlignment="1">
      <alignment horizontal="center" vertical="center"/>
    </xf>
    <xf numFmtId="49" fontId="16" fillId="8" borderId="14" xfId="0" applyNumberFormat="1" applyFont="1" applyFill="1" applyBorder="1" applyAlignment="1">
      <alignment horizontal="center" vertical="center"/>
    </xf>
    <xf numFmtId="168" fontId="14" fillId="8" borderId="14" xfId="0" applyNumberFormat="1" applyFont="1" applyFill="1" applyBorder="1" applyAlignment="1">
      <alignment horizontal="center" vertical="center"/>
    </xf>
    <xf numFmtId="49" fontId="14" fillId="8" borderId="15" xfId="0" applyNumberFormat="1" applyFont="1" applyFill="1" applyBorder="1" applyAlignment="1">
      <alignment horizontal="center" vertical="center"/>
    </xf>
    <xf numFmtId="49" fontId="13" fillId="9" borderId="2" xfId="0" applyNumberFormat="1" applyFont="1" applyFill="1" applyBorder="1" applyAlignment="1">
      <alignment horizontal="center" vertical="center"/>
    </xf>
    <xf numFmtId="168" fontId="13" fillId="9" borderId="2" xfId="0" applyNumberFormat="1" applyFont="1" applyFill="1" applyBorder="1" applyAlignment="1">
      <alignment horizontal="center" vertical="center"/>
    </xf>
    <xf numFmtId="49" fontId="14" fillId="9" borderId="13" xfId="0" applyNumberFormat="1" applyFont="1" applyFill="1" applyBorder="1" applyAlignment="1">
      <alignment horizontal="center" vertical="center"/>
    </xf>
    <xf numFmtId="169" fontId="15" fillId="9" borderId="14" xfId="0" applyNumberFormat="1" applyFont="1" applyFill="1" applyBorder="1" applyAlignment="1">
      <alignment horizontal="center" vertical="center"/>
    </xf>
    <xf numFmtId="1" fontId="14" fillId="9" borderId="14" xfId="0" applyNumberFormat="1" applyFont="1" applyFill="1" applyBorder="1" applyAlignment="1">
      <alignment horizontal="center" vertical="center"/>
    </xf>
    <xf numFmtId="16" fontId="14" fillId="9" borderId="14" xfId="0" applyNumberFormat="1" applyFont="1" applyFill="1" applyBorder="1" applyAlignment="1">
      <alignment horizontal="center" vertical="center"/>
    </xf>
    <xf numFmtId="49" fontId="16" fillId="9" borderId="14" xfId="0" applyNumberFormat="1" applyFont="1" applyFill="1" applyBorder="1" applyAlignment="1">
      <alignment horizontal="center" vertical="center"/>
    </xf>
    <xf numFmtId="168" fontId="14" fillId="9" borderId="14" xfId="0" applyNumberFormat="1" applyFont="1" applyFill="1" applyBorder="1" applyAlignment="1">
      <alignment horizontal="center" vertical="center"/>
    </xf>
    <xf numFmtId="49" fontId="14" fillId="9" borderId="15" xfId="0" applyNumberFormat="1" applyFont="1" applyFill="1" applyBorder="1" applyAlignment="1">
      <alignment horizontal="center" vertical="center"/>
    </xf>
    <xf numFmtId="49" fontId="13" fillId="10" borderId="2" xfId="0" applyNumberFormat="1" applyFont="1" applyFill="1" applyBorder="1" applyAlignment="1">
      <alignment horizontal="center" vertical="center"/>
    </xf>
    <xf numFmtId="168" fontId="13" fillId="10" borderId="2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49" fontId="14" fillId="10" borderId="13" xfId="0" applyNumberFormat="1" applyFont="1" applyFill="1" applyBorder="1" applyAlignment="1">
      <alignment horizontal="center" vertical="center"/>
    </xf>
    <xf numFmtId="169" fontId="15" fillId="10" borderId="14" xfId="0" applyNumberFormat="1" applyFont="1" applyFill="1" applyBorder="1" applyAlignment="1">
      <alignment horizontal="center" vertical="center"/>
    </xf>
    <xf numFmtId="1" fontId="14" fillId="10" borderId="14" xfId="0" applyNumberFormat="1" applyFont="1" applyFill="1" applyBorder="1" applyAlignment="1">
      <alignment horizontal="center" vertical="center"/>
    </xf>
    <xf numFmtId="16" fontId="14" fillId="10" borderId="14" xfId="0" applyNumberFormat="1" applyFont="1" applyFill="1" applyBorder="1" applyAlignment="1">
      <alignment horizontal="center" vertical="center"/>
    </xf>
    <xf numFmtId="49" fontId="16" fillId="10" borderId="14" xfId="0" applyNumberFormat="1" applyFont="1" applyFill="1" applyBorder="1" applyAlignment="1">
      <alignment horizontal="center" vertical="center"/>
    </xf>
    <xf numFmtId="168" fontId="14" fillId="10" borderId="14" xfId="0" applyNumberFormat="1" applyFont="1" applyFill="1" applyBorder="1" applyAlignment="1">
      <alignment horizontal="center" vertical="center"/>
    </xf>
    <xf numFmtId="49" fontId="14" fillId="10" borderId="15" xfId="0" applyNumberFormat="1" applyFont="1" applyFill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168" fontId="17" fillId="0" borderId="11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168" fontId="13" fillId="0" borderId="16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7" fontId="19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2" borderId="2" xfId="0" applyNumberFormat="1" applyFont="1" applyFill="1" applyBorder="1" applyAlignment="1">
      <alignment horizontal="center" vertical="center"/>
    </xf>
    <xf numFmtId="168" fontId="10" fillId="12" borderId="2" xfId="0" applyNumberFormat="1" applyFont="1" applyFill="1" applyBorder="1" applyAlignment="1">
      <alignment horizontal="center" vertical="center"/>
    </xf>
    <xf numFmtId="49" fontId="14" fillId="12" borderId="13" xfId="0" applyNumberFormat="1" applyFont="1" applyFill="1" applyBorder="1" applyAlignment="1">
      <alignment horizontal="center" vertical="center"/>
    </xf>
    <xf numFmtId="169" fontId="14" fillId="12" borderId="14" xfId="0" applyNumberFormat="1" applyFont="1" applyFill="1" applyBorder="1" applyAlignment="1">
      <alignment horizontal="center" vertical="center"/>
    </xf>
    <xf numFmtId="1" fontId="14" fillId="12" borderId="14" xfId="0" applyNumberFormat="1" applyFont="1" applyFill="1" applyBorder="1" applyAlignment="1">
      <alignment horizontal="center" vertical="center"/>
    </xf>
    <xf numFmtId="16" fontId="14" fillId="12" borderId="14" xfId="0" applyNumberFormat="1" applyFont="1" applyFill="1" applyBorder="1" applyAlignment="1">
      <alignment horizontal="center" vertical="center"/>
    </xf>
    <xf numFmtId="49" fontId="16" fillId="12" borderId="14" xfId="0" applyNumberFormat="1" applyFont="1" applyFill="1" applyBorder="1" applyAlignment="1">
      <alignment horizontal="center" vertical="center"/>
    </xf>
    <xf numFmtId="168" fontId="14" fillId="12" borderId="14" xfId="0" applyNumberFormat="1" applyFont="1" applyFill="1" applyBorder="1" applyAlignment="1">
      <alignment horizontal="center" vertical="center"/>
    </xf>
    <xf numFmtId="49" fontId="14" fillId="12" borderId="15" xfId="0" applyNumberFormat="1" applyFont="1" applyFill="1" applyBorder="1" applyAlignment="1">
      <alignment horizontal="center" vertical="center"/>
    </xf>
    <xf numFmtId="49" fontId="13" fillId="13" borderId="2" xfId="0" applyNumberFormat="1" applyFont="1" applyFill="1" applyBorder="1" applyAlignment="1">
      <alignment horizontal="center" vertical="center"/>
    </xf>
    <xf numFmtId="168" fontId="13" fillId="13" borderId="2" xfId="0" applyNumberFormat="1" applyFont="1" applyFill="1" applyBorder="1" applyAlignment="1">
      <alignment horizontal="center" vertical="center"/>
    </xf>
    <xf numFmtId="49" fontId="14" fillId="13" borderId="13" xfId="0" applyNumberFormat="1" applyFont="1" applyFill="1" applyBorder="1" applyAlignment="1">
      <alignment horizontal="center" vertical="center"/>
    </xf>
    <xf numFmtId="169" fontId="15" fillId="13" borderId="14" xfId="0" applyNumberFormat="1" applyFont="1" applyFill="1" applyBorder="1" applyAlignment="1">
      <alignment horizontal="center" vertical="center"/>
    </xf>
    <xf numFmtId="1" fontId="14" fillId="13" borderId="14" xfId="0" applyNumberFormat="1" applyFont="1" applyFill="1" applyBorder="1" applyAlignment="1">
      <alignment horizontal="center" vertical="center"/>
    </xf>
    <xf numFmtId="16" fontId="14" fillId="13" borderId="14" xfId="0" applyNumberFormat="1" applyFont="1" applyFill="1" applyBorder="1" applyAlignment="1">
      <alignment horizontal="center" vertical="center"/>
    </xf>
    <xf numFmtId="49" fontId="16" fillId="13" borderId="14" xfId="0" applyNumberFormat="1" applyFont="1" applyFill="1" applyBorder="1" applyAlignment="1">
      <alignment horizontal="center" vertical="center"/>
    </xf>
    <xf numFmtId="168" fontId="14" fillId="13" borderId="14" xfId="0" applyNumberFormat="1" applyFont="1" applyFill="1" applyBorder="1" applyAlignment="1">
      <alignment horizontal="center" vertical="center"/>
    </xf>
    <xf numFmtId="49" fontId="14" fillId="13" borderId="15" xfId="0" applyNumberFormat="1" applyFont="1" applyFill="1" applyBorder="1" applyAlignment="1">
      <alignment horizontal="center" vertical="center"/>
    </xf>
    <xf numFmtId="49" fontId="13" fillId="14" borderId="2" xfId="0" applyNumberFormat="1" applyFont="1" applyFill="1" applyBorder="1" applyAlignment="1">
      <alignment horizontal="center" vertical="center"/>
    </xf>
    <xf numFmtId="168" fontId="13" fillId="14" borderId="2" xfId="0" applyNumberFormat="1" applyFont="1" applyFill="1" applyBorder="1" applyAlignment="1">
      <alignment horizontal="center" vertical="center"/>
    </xf>
    <xf numFmtId="49" fontId="14" fillId="14" borderId="13" xfId="0" applyNumberFormat="1" applyFont="1" applyFill="1" applyBorder="1" applyAlignment="1">
      <alignment horizontal="center" vertical="center"/>
    </xf>
    <xf numFmtId="169" fontId="14" fillId="14" borderId="14" xfId="0" applyNumberFormat="1" applyFont="1" applyFill="1" applyBorder="1" applyAlignment="1">
      <alignment horizontal="center" vertical="center"/>
    </xf>
    <xf numFmtId="1" fontId="14" fillId="14" borderId="14" xfId="0" applyNumberFormat="1" applyFont="1" applyFill="1" applyBorder="1" applyAlignment="1">
      <alignment horizontal="center" vertical="center"/>
    </xf>
    <xf numFmtId="16" fontId="14" fillId="14" borderId="14" xfId="0" applyNumberFormat="1" applyFont="1" applyFill="1" applyBorder="1" applyAlignment="1">
      <alignment horizontal="center" vertical="center"/>
    </xf>
    <xf numFmtId="49" fontId="16" fillId="14" borderId="14" xfId="0" applyNumberFormat="1" applyFont="1" applyFill="1" applyBorder="1" applyAlignment="1">
      <alignment horizontal="center" vertical="center"/>
    </xf>
    <xf numFmtId="168" fontId="14" fillId="14" borderId="14" xfId="0" applyNumberFormat="1" applyFont="1" applyFill="1" applyBorder="1" applyAlignment="1">
      <alignment horizontal="center" vertical="center"/>
    </xf>
    <xf numFmtId="49" fontId="14" fillId="14" borderId="15" xfId="0" applyNumberFormat="1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169" fontId="15" fillId="14" borderId="14" xfId="0" applyNumberFormat="1" applyFont="1" applyFill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168" fontId="17" fillId="0" borderId="16" xfId="0" applyNumberFormat="1" applyFont="1" applyBorder="1" applyAlignment="1">
      <alignment horizontal="center" vertical="center"/>
    </xf>
    <xf numFmtId="49" fontId="10" fillId="15" borderId="2" xfId="0" applyNumberFormat="1" applyFont="1" applyFill="1" applyBorder="1" applyAlignment="1">
      <alignment horizontal="center" vertical="center"/>
    </xf>
    <xf numFmtId="168" fontId="10" fillId="15" borderId="2" xfId="0" applyNumberFormat="1" applyFont="1" applyFill="1" applyBorder="1" applyAlignment="1">
      <alignment horizontal="center" vertical="center"/>
    </xf>
    <xf numFmtId="49" fontId="14" fillId="15" borderId="13" xfId="0" applyNumberFormat="1" applyFont="1" applyFill="1" applyBorder="1" applyAlignment="1">
      <alignment horizontal="center" vertical="center"/>
    </xf>
    <xf numFmtId="169" fontId="15" fillId="15" borderId="14" xfId="0" applyNumberFormat="1" applyFont="1" applyFill="1" applyBorder="1" applyAlignment="1">
      <alignment horizontal="center" vertical="center"/>
    </xf>
    <xf numFmtId="1" fontId="14" fillId="15" borderId="14" xfId="0" applyNumberFormat="1" applyFont="1" applyFill="1" applyBorder="1" applyAlignment="1">
      <alignment horizontal="center" vertical="center"/>
    </xf>
    <xf numFmtId="16" fontId="14" fillId="15" borderId="14" xfId="0" applyNumberFormat="1" applyFont="1" applyFill="1" applyBorder="1" applyAlignment="1">
      <alignment horizontal="center" vertical="center"/>
    </xf>
    <xf numFmtId="49" fontId="16" fillId="15" borderId="14" xfId="0" applyNumberFormat="1" applyFont="1" applyFill="1" applyBorder="1" applyAlignment="1">
      <alignment horizontal="center" vertical="center"/>
    </xf>
    <xf numFmtId="168" fontId="14" fillId="15" borderId="14" xfId="0" applyNumberFormat="1" applyFont="1" applyFill="1" applyBorder="1" applyAlignment="1">
      <alignment horizontal="center" vertical="center"/>
    </xf>
    <xf numFmtId="49" fontId="14" fillId="15" borderId="15" xfId="0" applyNumberFormat="1" applyFont="1" applyFill="1" applyBorder="1" applyAlignment="1">
      <alignment horizontal="center" vertical="center"/>
    </xf>
    <xf numFmtId="169" fontId="21" fillId="14" borderId="14" xfId="0" applyNumberFormat="1" applyFont="1" applyFill="1" applyBorder="1" applyAlignment="1">
      <alignment horizontal="center" vertical="center"/>
    </xf>
    <xf numFmtId="49" fontId="13" fillId="15" borderId="2" xfId="0" applyNumberFormat="1" applyFont="1" applyFill="1" applyBorder="1" applyAlignment="1">
      <alignment horizontal="center" vertical="center"/>
    </xf>
    <xf numFmtId="168" fontId="13" fillId="15" borderId="2" xfId="0" applyNumberFormat="1" applyFont="1" applyFill="1" applyBorder="1" applyAlignment="1">
      <alignment horizontal="center" vertical="center"/>
    </xf>
    <xf numFmtId="49" fontId="10" fillId="9" borderId="2" xfId="0" applyNumberFormat="1" applyFont="1" applyFill="1" applyBorder="1" applyAlignment="1">
      <alignment horizontal="center" vertical="center"/>
    </xf>
    <xf numFmtId="168" fontId="10" fillId="9" borderId="2" xfId="0" applyNumberFormat="1" applyFont="1" applyFill="1" applyBorder="1" applyAlignment="1">
      <alignment horizontal="center" vertical="center"/>
    </xf>
    <xf numFmtId="169" fontId="14" fillId="9" borderId="14" xfId="0" applyNumberFormat="1" applyFont="1" applyFill="1" applyBorder="1" applyAlignment="1">
      <alignment horizontal="center" vertical="center"/>
    </xf>
    <xf numFmtId="49" fontId="13" fillId="8" borderId="2" xfId="0" applyNumberFormat="1" applyFont="1" applyFill="1" applyBorder="1" applyAlignment="1">
      <alignment horizontal="center" vertical="center"/>
    </xf>
    <xf numFmtId="168" fontId="13" fillId="8" borderId="2" xfId="0" applyNumberFormat="1" applyFont="1" applyFill="1" applyBorder="1" applyAlignment="1">
      <alignment horizontal="center" vertical="center"/>
    </xf>
    <xf numFmtId="169" fontId="21" fillId="8" borderId="14" xfId="0" applyNumberFormat="1" applyFont="1" applyFill="1" applyBorder="1" applyAlignment="1">
      <alignment horizontal="center" vertical="center"/>
    </xf>
    <xf numFmtId="169" fontId="14" fillId="15" borderId="14" xfId="0" applyNumberFormat="1" applyFont="1" applyFill="1" applyBorder="1" applyAlignment="1">
      <alignment horizontal="center" vertical="center"/>
    </xf>
    <xf numFmtId="49" fontId="13" fillId="12" borderId="2" xfId="0" applyNumberFormat="1" applyFont="1" applyFill="1" applyBorder="1" applyAlignment="1">
      <alignment horizontal="center" vertical="center"/>
    </xf>
    <xf numFmtId="168" fontId="13" fillId="12" borderId="2" xfId="0" applyNumberFormat="1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171" fontId="23" fillId="0" borderId="2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2" fontId="24" fillId="0" borderId="24" xfId="0" applyNumberFormat="1" applyFont="1" applyBorder="1" applyAlignment="1">
      <alignment horizontal="center" vertical="center"/>
    </xf>
    <xf numFmtId="173" fontId="24" fillId="0" borderId="25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172" fontId="23" fillId="0" borderId="24" xfId="0" applyNumberFormat="1" applyFont="1" applyBorder="1" applyAlignment="1">
      <alignment horizontal="center" vertical="center"/>
    </xf>
    <xf numFmtId="173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6" fillId="0" borderId="0" xfId="0" applyFont="1"/>
    <xf numFmtId="0" fontId="26" fillId="18" borderId="0" xfId="0" applyFont="1" applyFill="1"/>
    <xf numFmtId="0" fontId="26" fillId="19" borderId="0" xfId="0" applyFont="1" applyFill="1"/>
    <xf numFmtId="0" fontId="27" fillId="20" borderId="0" xfId="0" applyFont="1" applyFill="1"/>
    <xf numFmtId="49" fontId="7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12" xfId="0" applyBorder="1"/>
    <xf numFmtId="0" fontId="0" fillId="0" borderId="17" xfId="0" applyBorder="1"/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5" fillId="4" borderId="2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20" fillId="0" borderId="7" xfId="0" applyFont="1" applyBorder="1"/>
    <xf numFmtId="0" fontId="32" fillId="0" borderId="0" xfId="0" applyFont="1" applyAlignment="1">
      <alignment horizontal="center" vertical="center"/>
    </xf>
    <xf numFmtId="0" fontId="32" fillId="0" borderId="0" xfId="0" applyFont="1"/>
    <xf numFmtId="170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15" fontId="33" fillId="21" borderId="0" xfId="0" applyNumberFormat="1" applyFont="1" applyFill="1" applyAlignment="1">
      <alignment horizontal="center" vertical="center"/>
    </xf>
    <xf numFmtId="169" fontId="33" fillId="21" borderId="0" xfId="0" applyNumberFormat="1" applyFont="1" applyFill="1" applyAlignment="1">
      <alignment horizontal="center" vertical="center"/>
    </xf>
    <xf numFmtId="1" fontId="33" fillId="21" borderId="0" xfId="0" applyNumberFormat="1" applyFont="1" applyFill="1" applyAlignment="1">
      <alignment horizontal="center" vertical="center"/>
    </xf>
    <xf numFmtId="0" fontId="33" fillId="21" borderId="0" xfId="0" applyNumberFormat="1" applyFont="1" applyFill="1" applyAlignment="1">
      <alignment horizontal="center" vertical="center"/>
    </xf>
    <xf numFmtId="0" fontId="18" fillId="11" borderId="30" xfId="0" applyFont="1" applyFill="1" applyBorder="1" applyAlignment="1">
      <alignment horizontal="center" vertical="center"/>
    </xf>
    <xf numFmtId="0" fontId="18" fillId="11" borderId="31" xfId="0" applyFont="1" applyFill="1" applyBorder="1" applyAlignment="1">
      <alignment horizontal="center" vertical="center"/>
    </xf>
    <xf numFmtId="0" fontId="18" fillId="11" borderId="32" xfId="0" applyFont="1" applyFill="1" applyBorder="1" applyAlignment="1">
      <alignment horizontal="center" vertical="center"/>
    </xf>
  </cellXfs>
  <cellStyles count="1">
    <cellStyle name="Normal" xfId="0" builtinId="0"/>
  </cellStyles>
  <dxfs count="76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0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64" totalsRowShown="0">
  <autoFilter ref="A1:H26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1B36F3-5E09-46E0-A482-0EB475648018}" name="JED_CAI___OAL_Threats_Alert" displayName="JED_CAI___OAL_Threats_Alert" ref="A1:H76" totalsRowShown="0" headerRowDxfId="75">
  <autoFilter ref="A1:H76" xr:uid="{5B1B36F3-5E09-46E0-A482-0EB475648018}"/>
  <tableColumns count="8">
    <tableColumn id="1" xr3:uid="{D75E272E-0CA3-44ED-8B3C-783C7835F77A}" name="Date"/>
    <tableColumn id="2" xr3:uid="{E29CEC3B-BE9B-43DF-81DF-0A0294F6C287}" name="Time"/>
    <tableColumn id="3" xr3:uid="{D6593EDD-0FAE-4B40-B9F2-3A15205FBB05}" name="Competitor"/>
    <tableColumn id="4" xr3:uid="{7C396A04-C48F-4894-BA91-C0DAA41BEB54}" name="Flight"/>
    <tableColumn id="5" xr3:uid="{DFA11014-77FD-4FE2-9468-3118F9D9E5F7}" name="Price"/>
    <tableColumn id="6" xr3:uid="{025D87BA-6583-4146-909B-50184C0E830A}" name="Curr"/>
    <tableColumn id="7" xr3:uid="{5A4099C5-FCC8-4592-B76C-52CD76DF4EEA}" name="Weight (kg)"/>
    <tableColumn id="8" xr3:uid="{91109B30-598A-4506-8D6C-4BFA51F67B92}" name="Fare NUC (-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7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1.6640625" bestFit="1" customWidth="1"/>
  </cols>
  <sheetData>
    <row r="1" spans="1:92" ht="28.8" customHeight="1" x14ac:dyDescent="0.3">
      <c r="A1" s="150" t="s">
        <v>0</v>
      </c>
      <c r="B1" s="149"/>
      <c r="C1" s="149"/>
      <c r="D1" s="149"/>
      <c r="E1" s="149"/>
      <c r="F1" s="1" t="s">
        <v>1</v>
      </c>
      <c r="G1" s="2" t="s">
        <v>2</v>
      </c>
      <c r="H1" s="148">
        <v>45983</v>
      </c>
      <c r="I1" s="149"/>
      <c r="J1" s="149"/>
      <c r="K1" s="149"/>
      <c r="L1" s="149"/>
      <c r="M1" s="1" t="s">
        <v>3</v>
      </c>
      <c r="N1" s="160">
        <v>45986</v>
      </c>
      <c r="O1" s="149"/>
      <c r="P1" s="149"/>
      <c r="Q1" s="149"/>
      <c r="R1" s="14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5" t="s">
        <v>4</v>
      </c>
      <c r="B2" s="149"/>
      <c r="C2" s="149"/>
      <c r="D2" s="149"/>
      <c r="E2" s="149"/>
      <c r="F2" s="149"/>
      <c r="G2" s="158">
        <v>45981.928361293227</v>
      </c>
      <c r="H2" s="149"/>
      <c r="I2" s="149"/>
      <c r="J2" s="149"/>
      <c r="K2" s="161">
        <v>45981.928361293547</v>
      </c>
      <c r="L2" s="149"/>
      <c r="M2" s="149"/>
      <c r="N2" s="149"/>
      <c r="O2" s="149"/>
      <c r="P2" s="149"/>
      <c r="Q2" s="149"/>
      <c r="R2" s="1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56" t="s">
        <v>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59" t="s">
        <v>6</v>
      </c>
      <c r="B4" s="146"/>
      <c r="C4" s="146"/>
      <c r="D4" s="146"/>
      <c r="E4" s="146"/>
      <c r="F4" s="147"/>
      <c r="G4" s="4">
        <v>45983</v>
      </c>
      <c r="H4" s="154" t="s">
        <v>7</v>
      </c>
      <c r="I4" s="146"/>
      <c r="J4" s="146"/>
      <c r="K4" s="146"/>
      <c r="L4" s="146"/>
      <c r="M4" s="146"/>
      <c r="N4" s="146"/>
      <c r="O4" s="146"/>
      <c r="P4" s="146"/>
      <c r="Q4" s="146"/>
      <c r="R4" s="1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0.12847222222222221</v>
      </c>
      <c r="D6" s="8" t="s">
        <v>28</v>
      </c>
      <c r="E6" s="8" t="s">
        <v>29</v>
      </c>
      <c r="F6" s="8" t="s">
        <v>30</v>
      </c>
      <c r="G6" s="15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31</v>
      </c>
      <c r="C7" s="16">
        <v>0.88888888888888884</v>
      </c>
      <c r="D7" s="15" t="s">
        <v>28</v>
      </c>
      <c r="E7" s="15" t="s">
        <v>32</v>
      </c>
      <c r="F7" s="15" t="s">
        <v>30</v>
      </c>
      <c r="G7" s="15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33</v>
      </c>
      <c r="C8" s="16">
        <v>0.30208333333333331</v>
      </c>
      <c r="D8" s="15" t="s">
        <v>28</v>
      </c>
      <c r="E8" s="15" t="s">
        <v>34</v>
      </c>
      <c r="F8" s="15" t="s">
        <v>35</v>
      </c>
      <c r="G8" s="15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26</v>
      </c>
      <c r="B9" s="15" t="s">
        <v>36</v>
      </c>
      <c r="C9" s="16">
        <v>0.78819444444444453</v>
      </c>
      <c r="D9" s="15" t="s">
        <v>28</v>
      </c>
      <c r="E9" s="15" t="s">
        <v>37</v>
      </c>
      <c r="F9" s="15" t="s">
        <v>35</v>
      </c>
      <c r="G9" s="15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38</v>
      </c>
      <c r="B10" s="17" t="s">
        <v>39</v>
      </c>
      <c r="C10" s="18">
        <v>0.25694444444444448</v>
      </c>
      <c r="D10" s="17" t="s">
        <v>40</v>
      </c>
      <c r="E10" s="17" t="s">
        <v>41</v>
      </c>
      <c r="F10" s="17" t="s">
        <v>42</v>
      </c>
      <c r="G10" s="15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38</v>
      </c>
      <c r="B11" s="15" t="s">
        <v>43</v>
      </c>
      <c r="C11" s="16">
        <v>0.90277777777777779</v>
      </c>
      <c r="D11" s="15" t="s">
        <v>40</v>
      </c>
      <c r="E11" s="15" t="s">
        <v>44</v>
      </c>
      <c r="F11" s="15" t="s">
        <v>42</v>
      </c>
      <c r="G11" s="15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38</v>
      </c>
      <c r="B12" s="15" t="s">
        <v>45</v>
      </c>
      <c r="C12" s="16">
        <v>0.85416666666666663</v>
      </c>
      <c r="D12" s="15" t="s">
        <v>40</v>
      </c>
      <c r="E12" s="15" t="s">
        <v>44</v>
      </c>
      <c r="F12" s="15" t="s">
        <v>42</v>
      </c>
      <c r="G12" s="15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38</v>
      </c>
      <c r="B13" s="15" t="s">
        <v>46</v>
      </c>
      <c r="C13" s="16">
        <v>0.79861111111111116</v>
      </c>
      <c r="D13" s="15" t="s">
        <v>40</v>
      </c>
      <c r="E13" s="15" t="s">
        <v>47</v>
      </c>
      <c r="F13" s="15" t="s">
        <v>42</v>
      </c>
      <c r="G13" s="15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38</v>
      </c>
      <c r="B14" s="15" t="s">
        <v>48</v>
      </c>
      <c r="C14" s="16">
        <v>0.65972222222222221</v>
      </c>
      <c r="D14" s="15" t="s">
        <v>40</v>
      </c>
      <c r="E14" s="15" t="s">
        <v>44</v>
      </c>
      <c r="F14" s="15" t="s">
        <v>49</v>
      </c>
      <c r="G14" s="15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5" t="s">
        <v>38</v>
      </c>
      <c r="B15" s="15" t="s">
        <v>50</v>
      </c>
      <c r="C15" s="16">
        <v>0.51736111111111105</v>
      </c>
      <c r="D15" s="15" t="s">
        <v>40</v>
      </c>
      <c r="E15" s="15" t="s">
        <v>44</v>
      </c>
      <c r="F15" s="15" t="s">
        <v>49</v>
      </c>
      <c r="G15" s="15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38</v>
      </c>
      <c r="B16" s="15" t="s">
        <v>51</v>
      </c>
      <c r="C16" s="16">
        <v>0.39583333333333331</v>
      </c>
      <c r="D16" s="15" t="s">
        <v>40</v>
      </c>
      <c r="E16" s="15" t="s">
        <v>34</v>
      </c>
      <c r="F16" s="15" t="s">
        <v>49</v>
      </c>
      <c r="G16" s="15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52</v>
      </c>
      <c r="B17" s="17" t="s">
        <v>53</v>
      </c>
      <c r="C17" s="18">
        <v>0.21527777777777779</v>
      </c>
      <c r="D17" s="17" t="s">
        <v>54</v>
      </c>
      <c r="E17" s="17" t="s">
        <v>55</v>
      </c>
      <c r="F17" s="17" t="s">
        <v>56</v>
      </c>
      <c r="G17" s="15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52</v>
      </c>
      <c r="B18" s="15" t="s">
        <v>57</v>
      </c>
      <c r="C18" s="16">
        <v>0.28819444444444448</v>
      </c>
      <c r="D18" s="15" t="s">
        <v>54</v>
      </c>
      <c r="E18" s="15" t="s">
        <v>44</v>
      </c>
      <c r="F18" s="15" t="s">
        <v>58</v>
      </c>
      <c r="G18" s="15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7" t="s">
        <v>59</v>
      </c>
      <c r="B19" s="17" t="s">
        <v>60</v>
      </c>
      <c r="C19" s="18">
        <v>0.66666666666666663</v>
      </c>
      <c r="D19" s="17" t="s">
        <v>61</v>
      </c>
      <c r="E19" s="17" t="s">
        <v>62</v>
      </c>
      <c r="F19" s="17" t="s">
        <v>63</v>
      </c>
      <c r="G19" s="15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7" t="s">
        <v>64</v>
      </c>
      <c r="B20" s="17" t="s">
        <v>65</v>
      </c>
      <c r="C20" s="18">
        <v>0.27083333333333331</v>
      </c>
      <c r="D20" s="17" t="s">
        <v>61</v>
      </c>
      <c r="E20" s="17" t="s">
        <v>66</v>
      </c>
      <c r="F20" s="17" t="s">
        <v>67</v>
      </c>
      <c r="G20" s="15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68</v>
      </c>
      <c r="B21" s="19" t="s">
        <v>69</v>
      </c>
      <c r="C21" s="20">
        <v>0.2361111111111111</v>
      </c>
      <c r="D21" s="19" t="s">
        <v>70</v>
      </c>
      <c r="E21" s="19" t="s">
        <v>71</v>
      </c>
      <c r="F21" s="19" t="s">
        <v>72</v>
      </c>
      <c r="G21" s="152"/>
      <c r="H21" s="21" t="s">
        <v>73</v>
      </c>
      <c r="I21" s="22">
        <v>0.98319999999999996</v>
      </c>
      <c r="J21" s="23">
        <v>176</v>
      </c>
      <c r="K21" s="24">
        <v>45981</v>
      </c>
      <c r="L21" s="23">
        <v>6</v>
      </c>
      <c r="M21" s="23">
        <v>6</v>
      </c>
      <c r="N21" s="23">
        <v>0</v>
      </c>
      <c r="O21" s="25" t="s">
        <v>74</v>
      </c>
      <c r="P21" s="26">
        <v>0.2361111111111111</v>
      </c>
      <c r="Q21" s="23">
        <v>179</v>
      </c>
      <c r="R21" s="27" t="s">
        <v>75</v>
      </c>
    </row>
    <row r="22" spans="1:18" ht="15" customHeight="1" x14ac:dyDescent="0.3">
      <c r="A22" s="28" t="s">
        <v>68</v>
      </c>
      <c r="B22" s="28" t="s">
        <v>76</v>
      </c>
      <c r="C22" s="29">
        <v>0.68055555555555547</v>
      </c>
      <c r="D22" s="28" t="s">
        <v>70</v>
      </c>
      <c r="E22" s="28" t="s">
        <v>47</v>
      </c>
      <c r="F22" s="28" t="s">
        <v>77</v>
      </c>
      <c r="G22" s="152"/>
      <c r="H22" s="30" t="s">
        <v>78</v>
      </c>
      <c r="I22" s="31">
        <v>0.99439999999999995</v>
      </c>
      <c r="J22" s="32">
        <v>178</v>
      </c>
      <c r="K22" s="33">
        <v>45981</v>
      </c>
      <c r="L22" s="32">
        <v>6</v>
      </c>
      <c r="M22" s="32">
        <v>3</v>
      </c>
      <c r="N22" s="32">
        <v>0</v>
      </c>
      <c r="O22" s="34" t="s">
        <v>79</v>
      </c>
      <c r="P22" s="35">
        <v>0.68055555555555547</v>
      </c>
      <c r="Q22" s="32">
        <v>179</v>
      </c>
      <c r="R22" s="36" t="s">
        <v>80</v>
      </c>
    </row>
    <row r="23" spans="1:18" ht="15" customHeight="1" x14ac:dyDescent="0.3">
      <c r="A23" s="37" t="s">
        <v>68</v>
      </c>
      <c r="B23" s="37" t="s">
        <v>81</v>
      </c>
      <c r="C23" s="38">
        <v>0.33333333333333331</v>
      </c>
      <c r="D23" s="37" t="s">
        <v>82</v>
      </c>
      <c r="E23" s="39"/>
      <c r="F23" s="37" t="s">
        <v>83</v>
      </c>
      <c r="G23" s="152"/>
      <c r="H23" s="40" t="s">
        <v>81</v>
      </c>
      <c r="I23" s="41">
        <v>1</v>
      </c>
      <c r="J23" s="42">
        <v>179</v>
      </c>
      <c r="K23" s="43">
        <v>45979</v>
      </c>
      <c r="L23" s="42">
        <v>4</v>
      </c>
      <c r="M23" s="42">
        <v>0</v>
      </c>
      <c r="N23" s="42">
        <v>0</v>
      </c>
      <c r="O23" s="44" t="s">
        <v>84</v>
      </c>
      <c r="P23" s="45">
        <v>0.33333333333333331</v>
      </c>
      <c r="Q23" s="42">
        <v>179</v>
      </c>
      <c r="R23" s="46" t="s">
        <v>85</v>
      </c>
    </row>
    <row r="24" spans="1:18" ht="15" customHeight="1" x14ac:dyDescent="0.3">
      <c r="A24" s="17" t="s">
        <v>86</v>
      </c>
      <c r="B24" s="17" t="s">
        <v>87</v>
      </c>
      <c r="C24" s="18">
        <v>0.37847222222222232</v>
      </c>
      <c r="D24" s="17" t="s">
        <v>88</v>
      </c>
      <c r="E24" s="17" t="s">
        <v>89</v>
      </c>
      <c r="F24" s="17" t="s">
        <v>90</v>
      </c>
      <c r="G24" s="15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47" t="s">
        <v>86</v>
      </c>
      <c r="B25" s="47" t="s">
        <v>87</v>
      </c>
      <c r="C25" s="48">
        <v>0.37847222222222232</v>
      </c>
      <c r="D25" s="47" t="s">
        <v>91</v>
      </c>
      <c r="E25" s="47" t="s">
        <v>92</v>
      </c>
      <c r="F25" s="47" t="s">
        <v>93</v>
      </c>
      <c r="G25" s="15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86</v>
      </c>
      <c r="B26" s="15" t="s">
        <v>94</v>
      </c>
      <c r="C26" s="16">
        <v>0.71875</v>
      </c>
      <c r="D26" s="15" t="s">
        <v>88</v>
      </c>
      <c r="E26" s="15" t="s">
        <v>95</v>
      </c>
      <c r="F26" s="15" t="s">
        <v>90</v>
      </c>
      <c r="G26" s="15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47" t="s">
        <v>86</v>
      </c>
      <c r="B27" s="47" t="s">
        <v>94</v>
      </c>
      <c r="C27" s="48">
        <v>0.71875</v>
      </c>
      <c r="D27" s="47" t="s">
        <v>91</v>
      </c>
      <c r="E27" s="47" t="s">
        <v>92</v>
      </c>
      <c r="F27" s="47" t="s">
        <v>93</v>
      </c>
      <c r="G27" s="152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86</v>
      </c>
      <c r="B28" s="15" t="s">
        <v>96</v>
      </c>
      <c r="C28" s="16">
        <v>6.9444444444444441E-3</v>
      </c>
      <c r="D28" s="15" t="s">
        <v>88</v>
      </c>
      <c r="E28" s="15" t="s">
        <v>95</v>
      </c>
      <c r="F28" s="15" t="s">
        <v>90</v>
      </c>
      <c r="G28" s="152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47" t="s">
        <v>86</v>
      </c>
      <c r="B29" s="47" t="s">
        <v>96</v>
      </c>
      <c r="C29" s="48">
        <v>6.9444444444444441E-3</v>
      </c>
      <c r="D29" s="47" t="s">
        <v>91</v>
      </c>
      <c r="E29" s="47" t="s">
        <v>92</v>
      </c>
      <c r="F29" s="47" t="s">
        <v>93</v>
      </c>
      <c r="G29" s="152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5" t="s">
        <v>86</v>
      </c>
      <c r="B30" s="15" t="s">
        <v>97</v>
      </c>
      <c r="C30" s="16">
        <v>0.1423611111111111</v>
      </c>
      <c r="D30" s="15" t="s">
        <v>88</v>
      </c>
      <c r="E30" s="15" t="s">
        <v>95</v>
      </c>
      <c r="F30" s="15" t="s">
        <v>90</v>
      </c>
      <c r="G30" s="152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47" t="s">
        <v>86</v>
      </c>
      <c r="B31" s="47" t="s">
        <v>97</v>
      </c>
      <c r="C31" s="48">
        <v>0.1423611111111111</v>
      </c>
      <c r="D31" s="47" t="s">
        <v>91</v>
      </c>
      <c r="E31" s="47" t="s">
        <v>92</v>
      </c>
      <c r="F31" s="47" t="s">
        <v>93</v>
      </c>
      <c r="G31" s="15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86</v>
      </c>
      <c r="B32" s="15" t="s">
        <v>98</v>
      </c>
      <c r="C32" s="16">
        <v>0.93055555555555547</v>
      </c>
      <c r="D32" s="15" t="s">
        <v>88</v>
      </c>
      <c r="E32" s="15" t="s">
        <v>95</v>
      </c>
      <c r="F32" s="15" t="s">
        <v>90</v>
      </c>
      <c r="G32" s="15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47" t="s">
        <v>86</v>
      </c>
      <c r="B33" s="47" t="s">
        <v>98</v>
      </c>
      <c r="C33" s="48">
        <v>0.93055555555555547</v>
      </c>
      <c r="D33" s="47" t="s">
        <v>91</v>
      </c>
      <c r="E33" s="47" t="s">
        <v>92</v>
      </c>
      <c r="F33" s="47" t="s">
        <v>93</v>
      </c>
      <c r="G33" s="15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86</v>
      </c>
      <c r="B34" s="15" t="s">
        <v>99</v>
      </c>
      <c r="C34" s="16">
        <v>0.24305555555555561</v>
      </c>
      <c r="D34" s="15" t="s">
        <v>88</v>
      </c>
      <c r="E34" s="15" t="s">
        <v>95</v>
      </c>
      <c r="F34" s="15" t="s">
        <v>100</v>
      </c>
      <c r="G34" s="15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47" t="s">
        <v>86</v>
      </c>
      <c r="B35" s="47" t="s">
        <v>99</v>
      </c>
      <c r="C35" s="48">
        <v>0.24305555555555561</v>
      </c>
      <c r="D35" s="47" t="s">
        <v>91</v>
      </c>
      <c r="E35" s="47" t="s">
        <v>92</v>
      </c>
      <c r="F35" s="47" t="s">
        <v>101</v>
      </c>
      <c r="G35" s="15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5" t="s">
        <v>86</v>
      </c>
      <c r="B36" s="15" t="s">
        <v>102</v>
      </c>
      <c r="C36" s="16">
        <v>0.88888888888888884</v>
      </c>
      <c r="D36" s="15" t="s">
        <v>91</v>
      </c>
      <c r="E36" s="15" t="s">
        <v>34</v>
      </c>
      <c r="F36" s="15" t="s">
        <v>103</v>
      </c>
      <c r="G36" s="15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86</v>
      </c>
      <c r="B37" s="15" t="s">
        <v>104</v>
      </c>
      <c r="C37" s="16">
        <v>0.61111111111111105</v>
      </c>
      <c r="D37" s="15" t="s">
        <v>88</v>
      </c>
      <c r="E37" s="15" t="s">
        <v>95</v>
      </c>
      <c r="F37" s="15" t="s">
        <v>105</v>
      </c>
      <c r="G37" s="15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47" t="s">
        <v>86</v>
      </c>
      <c r="B38" s="47" t="s">
        <v>104</v>
      </c>
      <c r="C38" s="48">
        <v>0.61111111111111105</v>
      </c>
      <c r="D38" s="47" t="s">
        <v>91</v>
      </c>
      <c r="E38" s="47" t="s">
        <v>92</v>
      </c>
      <c r="F38" s="47" t="s">
        <v>106</v>
      </c>
      <c r="G38" s="15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86</v>
      </c>
      <c r="B39" s="15" t="s">
        <v>107</v>
      </c>
      <c r="C39" s="16">
        <v>0.82986111111111116</v>
      </c>
      <c r="D39" s="15" t="s">
        <v>88</v>
      </c>
      <c r="E39" s="15" t="s">
        <v>95</v>
      </c>
      <c r="F39" s="15" t="s">
        <v>105</v>
      </c>
      <c r="G39" s="152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47" t="s">
        <v>86</v>
      </c>
      <c r="B40" s="47" t="s">
        <v>107</v>
      </c>
      <c r="C40" s="48">
        <v>0.82986111111111116</v>
      </c>
      <c r="D40" s="47" t="s">
        <v>91</v>
      </c>
      <c r="E40" s="47" t="s">
        <v>92</v>
      </c>
      <c r="F40" s="47" t="s">
        <v>106</v>
      </c>
      <c r="G40" s="152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86</v>
      </c>
      <c r="B41" s="15" t="s">
        <v>108</v>
      </c>
      <c r="C41" s="16">
        <v>0.30208333333333331</v>
      </c>
      <c r="D41" s="15" t="s">
        <v>91</v>
      </c>
      <c r="E41" s="15" t="s">
        <v>34</v>
      </c>
      <c r="F41" s="15" t="s">
        <v>109</v>
      </c>
      <c r="G41" s="152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86</v>
      </c>
      <c r="B42" s="15" t="s">
        <v>110</v>
      </c>
      <c r="C42" s="16">
        <v>0.12847222222222221</v>
      </c>
      <c r="D42" s="15" t="s">
        <v>91</v>
      </c>
      <c r="E42" s="15" t="s">
        <v>34</v>
      </c>
      <c r="F42" s="15" t="s">
        <v>109</v>
      </c>
      <c r="G42" s="152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86</v>
      </c>
      <c r="B43" s="15" t="s">
        <v>111</v>
      </c>
      <c r="C43" s="16">
        <v>0.78819444444444453</v>
      </c>
      <c r="D43" s="15" t="s">
        <v>91</v>
      </c>
      <c r="E43" s="15" t="s">
        <v>34</v>
      </c>
      <c r="F43" s="15" t="s">
        <v>109</v>
      </c>
      <c r="G43" s="152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7" t="s">
        <v>112</v>
      </c>
      <c r="B44" s="17" t="s">
        <v>113</v>
      </c>
      <c r="C44" s="18">
        <v>0.27777777777777779</v>
      </c>
      <c r="D44" s="17" t="s">
        <v>114</v>
      </c>
      <c r="E44" s="17" t="s">
        <v>89</v>
      </c>
      <c r="F44" s="17" t="s">
        <v>115</v>
      </c>
      <c r="G44" s="152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5" t="s">
        <v>112</v>
      </c>
      <c r="B45" s="15" t="s">
        <v>116</v>
      </c>
      <c r="C45" s="16">
        <v>0.22916666666666671</v>
      </c>
      <c r="D45" s="15" t="s">
        <v>114</v>
      </c>
      <c r="E45" s="15" t="s">
        <v>95</v>
      </c>
      <c r="F45" s="15" t="s">
        <v>115</v>
      </c>
      <c r="G45" s="152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5" t="s">
        <v>112</v>
      </c>
      <c r="B46" s="15" t="s">
        <v>117</v>
      </c>
      <c r="C46" s="16">
        <v>2.0833333333333329E-2</v>
      </c>
      <c r="D46" s="15" t="s">
        <v>114</v>
      </c>
      <c r="E46" s="15" t="s">
        <v>95</v>
      </c>
      <c r="F46" s="15" t="s">
        <v>118</v>
      </c>
      <c r="G46" s="152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5" t="s">
        <v>112</v>
      </c>
      <c r="B47" s="15" t="s">
        <v>119</v>
      </c>
      <c r="C47" s="16">
        <v>0.4861111111111111</v>
      </c>
      <c r="D47" s="15" t="s">
        <v>114</v>
      </c>
      <c r="E47" s="15" t="s">
        <v>34</v>
      </c>
      <c r="F47" s="15" t="s">
        <v>120</v>
      </c>
      <c r="G47" s="152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5" t="s">
        <v>112</v>
      </c>
      <c r="B48" s="15" t="s">
        <v>121</v>
      </c>
      <c r="C48" s="16">
        <v>0.14583333333333329</v>
      </c>
      <c r="D48" s="15" t="s">
        <v>114</v>
      </c>
      <c r="E48" s="15" t="s">
        <v>34</v>
      </c>
      <c r="F48" s="15" t="s">
        <v>120</v>
      </c>
      <c r="G48" s="15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112</v>
      </c>
      <c r="B49" s="15" t="s">
        <v>122</v>
      </c>
      <c r="C49" s="16">
        <v>0.54166666666666663</v>
      </c>
      <c r="D49" s="15" t="s">
        <v>114</v>
      </c>
      <c r="E49" s="15" t="s">
        <v>123</v>
      </c>
      <c r="F49" s="15" t="s">
        <v>120</v>
      </c>
      <c r="G49" s="15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5" t="s">
        <v>112</v>
      </c>
      <c r="B50" s="15" t="s">
        <v>124</v>
      </c>
      <c r="C50" s="16">
        <v>0.95833333333333337</v>
      </c>
      <c r="D50" s="15" t="s">
        <v>114</v>
      </c>
      <c r="E50" s="15" t="s">
        <v>125</v>
      </c>
      <c r="F50" s="15" t="s">
        <v>120</v>
      </c>
      <c r="G50" s="15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thickBot="1" x14ac:dyDescent="0.35">
      <c r="A51" s="49" t="s">
        <v>112</v>
      </c>
      <c r="B51" s="49" t="s">
        <v>126</v>
      </c>
      <c r="C51" s="50">
        <v>0.77083333333333337</v>
      </c>
      <c r="D51" s="49" t="s">
        <v>114</v>
      </c>
      <c r="E51" s="49" t="s">
        <v>125</v>
      </c>
      <c r="F51" s="49" t="s">
        <v>127</v>
      </c>
      <c r="G51" s="153"/>
      <c r="H51" s="51"/>
      <c r="I51" s="52"/>
      <c r="J51" s="52"/>
      <c r="K51" s="52"/>
      <c r="L51" s="52"/>
      <c r="M51" s="52"/>
      <c r="N51" s="52"/>
      <c r="O51" s="53"/>
      <c r="P51" s="52"/>
      <c r="Q51" s="54"/>
      <c r="R51" s="55"/>
    </row>
    <row r="52" spans="1:18" ht="17.399999999999999" customHeight="1" thickBot="1" x14ac:dyDescent="0.35">
      <c r="A52" s="177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9"/>
    </row>
    <row r="53" spans="1:18" ht="22.05" customHeight="1" thickTop="1" thickBot="1" x14ac:dyDescent="0.35">
      <c r="A53" s="157" t="s">
        <v>6</v>
      </c>
      <c r="B53" s="146"/>
      <c r="C53" s="146"/>
      <c r="D53" s="146"/>
      <c r="E53" s="146"/>
      <c r="F53" s="147"/>
      <c r="G53" s="56">
        <v>45984</v>
      </c>
      <c r="H53" s="145" t="s">
        <v>7</v>
      </c>
      <c r="I53" s="146"/>
      <c r="J53" s="146"/>
      <c r="K53" s="146"/>
      <c r="L53" s="146"/>
      <c r="M53" s="146"/>
      <c r="N53" s="146"/>
      <c r="O53" s="146"/>
      <c r="P53" s="146"/>
      <c r="Q53" s="146"/>
      <c r="R53" s="147"/>
    </row>
    <row r="54" spans="1:18" ht="24" customHeight="1" x14ac:dyDescent="0.3">
      <c r="A54" s="57" t="s">
        <v>8</v>
      </c>
      <c r="B54" s="57" t="s">
        <v>9</v>
      </c>
      <c r="C54" s="58" t="s">
        <v>10</v>
      </c>
      <c r="D54" s="57" t="s">
        <v>11</v>
      </c>
      <c r="E54" s="57" t="s">
        <v>12</v>
      </c>
      <c r="F54" s="59" t="s">
        <v>13</v>
      </c>
      <c r="G54" s="60" t="s">
        <v>14</v>
      </c>
      <c r="H54" s="57" t="s">
        <v>15</v>
      </c>
      <c r="I54" s="61" t="s">
        <v>16</v>
      </c>
      <c r="J54" s="62" t="s">
        <v>17</v>
      </c>
      <c r="K54" s="63" t="s">
        <v>18</v>
      </c>
      <c r="L54" s="62" t="s">
        <v>19</v>
      </c>
      <c r="M54" s="62" t="s">
        <v>20</v>
      </c>
      <c r="N54" s="62" t="s">
        <v>21</v>
      </c>
      <c r="O54" s="57" t="s">
        <v>22</v>
      </c>
      <c r="P54" s="58" t="s">
        <v>23</v>
      </c>
      <c r="Q54" s="62" t="s">
        <v>24</v>
      </c>
      <c r="R54" s="57" t="s">
        <v>25</v>
      </c>
    </row>
    <row r="55" spans="1:18" ht="15" customHeight="1" x14ac:dyDescent="0.3">
      <c r="A55" s="8" t="s">
        <v>59</v>
      </c>
      <c r="B55" s="8" t="s">
        <v>60</v>
      </c>
      <c r="C55" s="9">
        <v>0.66666666666666663</v>
      </c>
      <c r="D55" s="8" t="s">
        <v>61</v>
      </c>
      <c r="E55" s="8" t="s">
        <v>128</v>
      </c>
      <c r="F55" s="8" t="s">
        <v>129</v>
      </c>
      <c r="G55" s="151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59</v>
      </c>
      <c r="B56" s="15" t="s">
        <v>130</v>
      </c>
      <c r="C56" s="16">
        <v>0.38194444444444442</v>
      </c>
      <c r="D56" s="15" t="s">
        <v>61</v>
      </c>
      <c r="E56" s="15" t="s">
        <v>95</v>
      </c>
      <c r="F56" s="15" t="s">
        <v>131</v>
      </c>
      <c r="G56" s="15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26</v>
      </c>
      <c r="B57" s="17" t="s">
        <v>36</v>
      </c>
      <c r="C57" s="18">
        <v>0.78819444444444453</v>
      </c>
      <c r="D57" s="17" t="s">
        <v>132</v>
      </c>
      <c r="E57" s="17" t="s">
        <v>29</v>
      </c>
      <c r="F57" s="17" t="s">
        <v>133</v>
      </c>
      <c r="G57" s="15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47" t="s">
        <v>26</v>
      </c>
      <c r="B58" s="47" t="s">
        <v>36</v>
      </c>
      <c r="C58" s="48">
        <v>0.78819444444444453</v>
      </c>
      <c r="D58" s="47" t="s">
        <v>134</v>
      </c>
      <c r="E58" s="47" t="s">
        <v>135</v>
      </c>
      <c r="F58" s="47" t="s">
        <v>35</v>
      </c>
      <c r="G58" s="15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47" t="s">
        <v>26</v>
      </c>
      <c r="B59" s="47" t="s">
        <v>36</v>
      </c>
      <c r="C59" s="48">
        <v>0.78819444444444453</v>
      </c>
      <c r="D59" s="47" t="s">
        <v>136</v>
      </c>
      <c r="E59" s="47" t="s">
        <v>135</v>
      </c>
      <c r="F59" s="47" t="s">
        <v>137</v>
      </c>
      <c r="G59" s="152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5" t="s">
        <v>26</v>
      </c>
      <c r="B60" s="15" t="s">
        <v>31</v>
      </c>
      <c r="C60" s="16">
        <v>0.88888888888888884</v>
      </c>
      <c r="D60" s="15" t="s">
        <v>132</v>
      </c>
      <c r="E60" s="15" t="s">
        <v>138</v>
      </c>
      <c r="F60" s="15" t="s">
        <v>133</v>
      </c>
      <c r="G60" s="152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47" t="s">
        <v>26</v>
      </c>
      <c r="B61" s="47" t="s">
        <v>31</v>
      </c>
      <c r="C61" s="48">
        <v>0.88888888888888884</v>
      </c>
      <c r="D61" s="47" t="s">
        <v>134</v>
      </c>
      <c r="E61" s="47" t="s">
        <v>139</v>
      </c>
      <c r="F61" s="47" t="s">
        <v>35</v>
      </c>
      <c r="G61" s="152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47" t="s">
        <v>26</v>
      </c>
      <c r="B62" s="47" t="s">
        <v>31</v>
      </c>
      <c r="C62" s="48">
        <v>0.88888888888888884</v>
      </c>
      <c r="D62" s="47" t="s">
        <v>136</v>
      </c>
      <c r="E62" s="47" t="s">
        <v>139</v>
      </c>
      <c r="F62" s="47" t="s">
        <v>137</v>
      </c>
      <c r="G62" s="152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26</v>
      </c>
      <c r="B63" s="15" t="s">
        <v>27</v>
      </c>
      <c r="C63" s="16">
        <v>0.12847222222222221</v>
      </c>
      <c r="D63" s="15" t="s">
        <v>132</v>
      </c>
      <c r="E63" s="15" t="s">
        <v>37</v>
      </c>
      <c r="F63" s="15" t="s">
        <v>30</v>
      </c>
      <c r="G63" s="15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47" t="s">
        <v>26</v>
      </c>
      <c r="B64" s="47" t="s">
        <v>27</v>
      </c>
      <c r="C64" s="48">
        <v>0.12847222222222221</v>
      </c>
      <c r="D64" s="47" t="s">
        <v>134</v>
      </c>
      <c r="E64" s="47" t="s">
        <v>140</v>
      </c>
      <c r="F64" s="47" t="s">
        <v>141</v>
      </c>
      <c r="G64" s="152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47" t="s">
        <v>26</v>
      </c>
      <c r="B65" s="47" t="s">
        <v>27</v>
      </c>
      <c r="C65" s="48">
        <v>0.12847222222222221</v>
      </c>
      <c r="D65" s="47" t="s">
        <v>136</v>
      </c>
      <c r="E65" s="47" t="s">
        <v>140</v>
      </c>
      <c r="F65" s="47" t="s">
        <v>137</v>
      </c>
      <c r="G65" s="152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5" t="s">
        <v>26</v>
      </c>
      <c r="B66" s="15" t="s">
        <v>33</v>
      </c>
      <c r="C66" s="16">
        <v>0.30208333333333331</v>
      </c>
      <c r="D66" s="15" t="s">
        <v>132</v>
      </c>
      <c r="E66" s="15" t="s">
        <v>142</v>
      </c>
      <c r="F66" s="15" t="s">
        <v>35</v>
      </c>
      <c r="G66" s="152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47" t="s">
        <v>26</v>
      </c>
      <c r="B67" s="47" t="s">
        <v>33</v>
      </c>
      <c r="C67" s="48">
        <v>0.30208333333333331</v>
      </c>
      <c r="D67" s="47" t="s">
        <v>134</v>
      </c>
      <c r="E67" s="47" t="s">
        <v>143</v>
      </c>
      <c r="F67" s="47" t="s">
        <v>144</v>
      </c>
      <c r="G67" s="152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47" t="s">
        <v>26</v>
      </c>
      <c r="B68" s="47" t="s">
        <v>33</v>
      </c>
      <c r="C68" s="48">
        <v>0.30208333333333331</v>
      </c>
      <c r="D68" s="47" t="s">
        <v>136</v>
      </c>
      <c r="E68" s="47" t="s">
        <v>143</v>
      </c>
      <c r="F68" s="47" t="s">
        <v>137</v>
      </c>
      <c r="G68" s="152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38</v>
      </c>
      <c r="B69" s="17" t="s">
        <v>39</v>
      </c>
      <c r="C69" s="18">
        <v>0.25694444444444448</v>
      </c>
      <c r="D69" s="17" t="s">
        <v>145</v>
      </c>
      <c r="E69" s="17" t="s">
        <v>29</v>
      </c>
      <c r="F69" s="17" t="s">
        <v>146</v>
      </c>
      <c r="G69" s="152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47" t="s">
        <v>38</v>
      </c>
      <c r="B70" s="47" t="s">
        <v>39</v>
      </c>
      <c r="C70" s="48">
        <v>0.25694444444444448</v>
      </c>
      <c r="D70" s="47" t="s">
        <v>147</v>
      </c>
      <c r="E70" s="47" t="s">
        <v>135</v>
      </c>
      <c r="F70" s="47" t="s">
        <v>148</v>
      </c>
      <c r="G70" s="15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47" t="s">
        <v>38</v>
      </c>
      <c r="B71" s="47" t="s">
        <v>39</v>
      </c>
      <c r="C71" s="48">
        <v>0.25694444444444448</v>
      </c>
      <c r="D71" s="47" t="s">
        <v>149</v>
      </c>
      <c r="E71" s="47" t="s">
        <v>135</v>
      </c>
      <c r="F71" s="47" t="s">
        <v>150</v>
      </c>
      <c r="G71" s="15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38</v>
      </c>
      <c r="B72" s="15" t="s">
        <v>43</v>
      </c>
      <c r="C72" s="16">
        <v>0.90277777777777779</v>
      </c>
      <c r="D72" s="15" t="s">
        <v>145</v>
      </c>
      <c r="E72" s="15" t="s">
        <v>151</v>
      </c>
      <c r="F72" s="15" t="s">
        <v>146</v>
      </c>
      <c r="G72" s="15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47" t="s">
        <v>38</v>
      </c>
      <c r="B73" s="47" t="s">
        <v>43</v>
      </c>
      <c r="C73" s="48">
        <v>0.90277777777777779</v>
      </c>
      <c r="D73" s="47" t="s">
        <v>147</v>
      </c>
      <c r="E73" s="47" t="s">
        <v>152</v>
      </c>
      <c r="F73" s="47" t="s">
        <v>148</v>
      </c>
      <c r="G73" s="15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47" t="s">
        <v>38</v>
      </c>
      <c r="B74" s="47" t="s">
        <v>43</v>
      </c>
      <c r="C74" s="48">
        <v>0.90277777777777779</v>
      </c>
      <c r="D74" s="47" t="s">
        <v>149</v>
      </c>
      <c r="E74" s="47" t="s">
        <v>152</v>
      </c>
      <c r="F74" s="47" t="s">
        <v>150</v>
      </c>
      <c r="G74" s="15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38</v>
      </c>
      <c r="B75" s="15" t="s">
        <v>45</v>
      </c>
      <c r="C75" s="16">
        <v>0.85416666666666663</v>
      </c>
      <c r="D75" s="15" t="s">
        <v>145</v>
      </c>
      <c r="E75" s="15" t="s">
        <v>44</v>
      </c>
      <c r="F75" s="15" t="s">
        <v>146</v>
      </c>
      <c r="G75" s="15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47" t="s">
        <v>38</v>
      </c>
      <c r="B76" s="47" t="s">
        <v>45</v>
      </c>
      <c r="C76" s="48">
        <v>0.85416666666666663</v>
      </c>
      <c r="D76" s="47" t="s">
        <v>147</v>
      </c>
      <c r="E76" s="47" t="s">
        <v>153</v>
      </c>
      <c r="F76" s="47" t="s">
        <v>148</v>
      </c>
      <c r="G76" s="15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47" t="s">
        <v>38</v>
      </c>
      <c r="B77" s="47" t="s">
        <v>45</v>
      </c>
      <c r="C77" s="48">
        <v>0.85416666666666663</v>
      </c>
      <c r="D77" s="47" t="s">
        <v>149</v>
      </c>
      <c r="E77" s="47" t="s">
        <v>153</v>
      </c>
      <c r="F77" s="47" t="s">
        <v>150</v>
      </c>
      <c r="G77" s="152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38</v>
      </c>
      <c r="B78" s="15" t="s">
        <v>46</v>
      </c>
      <c r="C78" s="16">
        <v>0.79861111111111116</v>
      </c>
      <c r="D78" s="15" t="s">
        <v>145</v>
      </c>
      <c r="E78" s="15" t="s">
        <v>44</v>
      </c>
      <c r="F78" s="15" t="s">
        <v>146</v>
      </c>
      <c r="G78" s="15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47" t="s">
        <v>38</v>
      </c>
      <c r="B79" s="47" t="s">
        <v>46</v>
      </c>
      <c r="C79" s="48">
        <v>0.79861111111111116</v>
      </c>
      <c r="D79" s="47" t="s">
        <v>147</v>
      </c>
      <c r="E79" s="47" t="s">
        <v>153</v>
      </c>
      <c r="F79" s="47" t="s">
        <v>148</v>
      </c>
      <c r="G79" s="15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47" t="s">
        <v>38</v>
      </c>
      <c r="B80" s="47" t="s">
        <v>46</v>
      </c>
      <c r="C80" s="48">
        <v>0.79861111111111116</v>
      </c>
      <c r="D80" s="47" t="s">
        <v>149</v>
      </c>
      <c r="E80" s="47" t="s">
        <v>153</v>
      </c>
      <c r="F80" s="47" t="s">
        <v>150</v>
      </c>
      <c r="G80" s="15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38</v>
      </c>
      <c r="B81" s="15" t="s">
        <v>48</v>
      </c>
      <c r="C81" s="16">
        <v>0.64583333333333337</v>
      </c>
      <c r="D81" s="15" t="s">
        <v>145</v>
      </c>
      <c r="E81" s="15" t="s">
        <v>44</v>
      </c>
      <c r="F81" s="15" t="s">
        <v>154</v>
      </c>
      <c r="G81" s="152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47" t="s">
        <v>38</v>
      </c>
      <c r="B82" s="47" t="s">
        <v>48</v>
      </c>
      <c r="C82" s="48">
        <v>0.64583333333333337</v>
      </c>
      <c r="D82" s="47" t="s">
        <v>147</v>
      </c>
      <c r="E82" s="47" t="s">
        <v>153</v>
      </c>
      <c r="F82" s="47" t="s">
        <v>35</v>
      </c>
      <c r="G82" s="152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47" t="s">
        <v>38</v>
      </c>
      <c r="B83" s="47" t="s">
        <v>48</v>
      </c>
      <c r="C83" s="48">
        <v>0.64583333333333337</v>
      </c>
      <c r="D83" s="47" t="s">
        <v>149</v>
      </c>
      <c r="E83" s="47" t="s">
        <v>153</v>
      </c>
      <c r="F83" s="47" t="s">
        <v>155</v>
      </c>
      <c r="G83" s="152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38</v>
      </c>
      <c r="B84" s="15" t="s">
        <v>50</v>
      </c>
      <c r="C84" s="16">
        <v>0.51736111111111105</v>
      </c>
      <c r="D84" s="15" t="s">
        <v>145</v>
      </c>
      <c r="E84" s="15" t="s">
        <v>44</v>
      </c>
      <c r="F84" s="15" t="s">
        <v>154</v>
      </c>
      <c r="G84" s="152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47" t="s">
        <v>38</v>
      </c>
      <c r="B85" s="47" t="s">
        <v>50</v>
      </c>
      <c r="C85" s="48">
        <v>0.51736111111111105</v>
      </c>
      <c r="D85" s="47" t="s">
        <v>147</v>
      </c>
      <c r="E85" s="47" t="s">
        <v>153</v>
      </c>
      <c r="F85" s="47" t="s">
        <v>35</v>
      </c>
      <c r="G85" s="152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47" t="s">
        <v>38</v>
      </c>
      <c r="B86" s="47" t="s">
        <v>50</v>
      </c>
      <c r="C86" s="48">
        <v>0.51736111111111105</v>
      </c>
      <c r="D86" s="47" t="s">
        <v>149</v>
      </c>
      <c r="E86" s="47" t="s">
        <v>153</v>
      </c>
      <c r="F86" s="47" t="s">
        <v>155</v>
      </c>
      <c r="G86" s="152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38</v>
      </c>
      <c r="B87" s="15" t="s">
        <v>51</v>
      </c>
      <c r="C87" s="16">
        <v>0.39583333333333331</v>
      </c>
      <c r="D87" s="15" t="s">
        <v>145</v>
      </c>
      <c r="E87" s="15" t="s">
        <v>44</v>
      </c>
      <c r="F87" s="15" t="s">
        <v>154</v>
      </c>
      <c r="G87" s="152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47" t="s">
        <v>38</v>
      </c>
      <c r="B88" s="47" t="s">
        <v>51</v>
      </c>
      <c r="C88" s="48">
        <v>0.39583333333333331</v>
      </c>
      <c r="D88" s="47" t="s">
        <v>147</v>
      </c>
      <c r="E88" s="47" t="s">
        <v>153</v>
      </c>
      <c r="F88" s="47" t="s">
        <v>35</v>
      </c>
      <c r="G88" s="152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7" t="s">
        <v>38</v>
      </c>
      <c r="B89" s="47" t="s">
        <v>51</v>
      </c>
      <c r="C89" s="48">
        <v>0.39583333333333331</v>
      </c>
      <c r="D89" s="47" t="s">
        <v>149</v>
      </c>
      <c r="E89" s="47" t="s">
        <v>153</v>
      </c>
      <c r="F89" s="47" t="s">
        <v>155</v>
      </c>
      <c r="G89" s="152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38</v>
      </c>
      <c r="B90" s="15" t="s">
        <v>156</v>
      </c>
      <c r="C90" s="16">
        <v>0.30208333333333331</v>
      </c>
      <c r="D90" s="15" t="s">
        <v>145</v>
      </c>
      <c r="E90" s="15" t="s">
        <v>44</v>
      </c>
      <c r="F90" s="15" t="s">
        <v>154</v>
      </c>
      <c r="G90" s="152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47" t="s">
        <v>38</v>
      </c>
      <c r="B91" s="47" t="s">
        <v>156</v>
      </c>
      <c r="C91" s="48">
        <v>0.30208333333333331</v>
      </c>
      <c r="D91" s="47" t="s">
        <v>147</v>
      </c>
      <c r="E91" s="47" t="s">
        <v>153</v>
      </c>
      <c r="F91" s="47" t="s">
        <v>35</v>
      </c>
      <c r="G91" s="152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47" t="s">
        <v>38</v>
      </c>
      <c r="B92" s="47" t="s">
        <v>156</v>
      </c>
      <c r="C92" s="48">
        <v>0.30208333333333331</v>
      </c>
      <c r="D92" s="47" t="s">
        <v>149</v>
      </c>
      <c r="E92" s="47" t="s">
        <v>153</v>
      </c>
      <c r="F92" s="47" t="s">
        <v>155</v>
      </c>
      <c r="G92" s="152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7" t="s">
        <v>64</v>
      </c>
      <c r="B93" s="17" t="s">
        <v>65</v>
      </c>
      <c r="C93" s="18">
        <v>0.27430555555555552</v>
      </c>
      <c r="D93" s="17" t="s">
        <v>61</v>
      </c>
      <c r="E93" s="17" t="s">
        <v>157</v>
      </c>
      <c r="F93" s="17" t="s">
        <v>158</v>
      </c>
      <c r="G93" s="152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64</v>
      </c>
      <c r="B94" s="15" t="s">
        <v>159</v>
      </c>
      <c r="C94" s="16">
        <v>0.34722222222222232</v>
      </c>
      <c r="D94" s="15" t="s">
        <v>61</v>
      </c>
      <c r="E94" s="15" t="s">
        <v>37</v>
      </c>
      <c r="F94" s="15" t="s">
        <v>160</v>
      </c>
      <c r="G94" s="152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52</v>
      </c>
      <c r="B95" s="17" t="s">
        <v>57</v>
      </c>
      <c r="C95" s="18">
        <v>0.3888888888888889</v>
      </c>
      <c r="D95" s="17" t="s">
        <v>161</v>
      </c>
      <c r="E95" s="17" t="s">
        <v>55</v>
      </c>
      <c r="F95" s="17" t="s">
        <v>162</v>
      </c>
      <c r="G95" s="152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47" t="s">
        <v>52</v>
      </c>
      <c r="B96" s="47" t="s">
        <v>57</v>
      </c>
      <c r="C96" s="48">
        <v>0.3888888888888889</v>
      </c>
      <c r="D96" s="47" t="s">
        <v>136</v>
      </c>
      <c r="E96" s="47" t="s">
        <v>153</v>
      </c>
      <c r="F96" s="47" t="s">
        <v>163</v>
      </c>
      <c r="G96" s="152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64" t="s">
        <v>68</v>
      </c>
      <c r="B97" s="64" t="s">
        <v>164</v>
      </c>
      <c r="C97" s="65">
        <v>8.3333333333333329E-2</v>
      </c>
      <c r="D97" s="64" t="s">
        <v>70</v>
      </c>
      <c r="E97" s="64" t="s">
        <v>89</v>
      </c>
      <c r="F97" s="64" t="s">
        <v>165</v>
      </c>
      <c r="G97" s="152"/>
      <c r="H97" s="66" t="s">
        <v>166</v>
      </c>
      <c r="I97" s="67">
        <v>0.64800000000000002</v>
      </c>
      <c r="J97" s="68">
        <v>116</v>
      </c>
      <c r="K97" s="69">
        <v>45981</v>
      </c>
      <c r="L97" s="68">
        <v>55</v>
      </c>
      <c r="M97" s="68">
        <v>5</v>
      </c>
      <c r="N97" s="68">
        <v>7</v>
      </c>
      <c r="O97" s="70" t="s">
        <v>167</v>
      </c>
      <c r="P97" s="71">
        <v>8.3333333333333329E-2</v>
      </c>
      <c r="Q97" s="68">
        <v>179</v>
      </c>
      <c r="R97" s="72" t="s">
        <v>168</v>
      </c>
    </row>
    <row r="98" spans="1:18" ht="15" customHeight="1" x14ac:dyDescent="0.3">
      <c r="A98" s="73" t="s">
        <v>68</v>
      </c>
      <c r="B98" s="73" t="s">
        <v>169</v>
      </c>
      <c r="C98" s="74">
        <v>0.33333333333333331</v>
      </c>
      <c r="D98" s="73" t="s">
        <v>70</v>
      </c>
      <c r="E98" s="73" t="s">
        <v>95</v>
      </c>
      <c r="F98" s="73" t="s">
        <v>165</v>
      </c>
      <c r="G98" s="152"/>
      <c r="H98" s="75" t="s">
        <v>170</v>
      </c>
      <c r="I98" s="76">
        <v>0.90480000000000005</v>
      </c>
      <c r="J98" s="77">
        <v>152</v>
      </c>
      <c r="K98" s="78">
        <v>45981</v>
      </c>
      <c r="L98" s="77">
        <v>37</v>
      </c>
      <c r="M98" s="77">
        <v>9</v>
      </c>
      <c r="N98" s="77">
        <v>4</v>
      </c>
      <c r="O98" s="79" t="s">
        <v>167</v>
      </c>
      <c r="P98" s="80">
        <v>0.33333333333333331</v>
      </c>
      <c r="Q98" s="77">
        <v>168</v>
      </c>
      <c r="R98" s="81" t="s">
        <v>171</v>
      </c>
    </row>
    <row r="99" spans="1:18" ht="15" customHeight="1" x14ac:dyDescent="0.3">
      <c r="A99" s="82" t="s">
        <v>68</v>
      </c>
      <c r="B99" s="82" t="s">
        <v>172</v>
      </c>
      <c r="C99" s="83">
        <v>0.31944444444444448</v>
      </c>
      <c r="D99" s="82" t="s">
        <v>70</v>
      </c>
      <c r="E99" s="82" t="s">
        <v>95</v>
      </c>
      <c r="F99" s="82" t="s">
        <v>165</v>
      </c>
      <c r="G99" s="152"/>
      <c r="H99" s="84" t="s">
        <v>81</v>
      </c>
      <c r="I99" s="85">
        <v>0.55869999999999997</v>
      </c>
      <c r="J99" s="86">
        <v>100</v>
      </c>
      <c r="K99" s="87">
        <v>45981</v>
      </c>
      <c r="L99" s="86">
        <v>37</v>
      </c>
      <c r="M99" s="86">
        <v>3</v>
      </c>
      <c r="N99" s="86">
        <v>0</v>
      </c>
      <c r="O99" s="88" t="s">
        <v>167</v>
      </c>
      <c r="P99" s="89">
        <v>0.31944444444444448</v>
      </c>
      <c r="Q99" s="86">
        <v>179</v>
      </c>
      <c r="R99" s="90" t="s">
        <v>173</v>
      </c>
    </row>
    <row r="100" spans="1:18" ht="15" customHeight="1" x14ac:dyDescent="0.3">
      <c r="A100" s="28" t="s">
        <v>68</v>
      </c>
      <c r="B100" s="28" t="s">
        <v>174</v>
      </c>
      <c r="C100" s="29">
        <v>0.51041666666666663</v>
      </c>
      <c r="D100" s="28" t="s">
        <v>70</v>
      </c>
      <c r="E100" s="28" t="s">
        <v>138</v>
      </c>
      <c r="F100" s="28" t="s">
        <v>175</v>
      </c>
      <c r="G100" s="152"/>
      <c r="H100" s="30" t="s">
        <v>176</v>
      </c>
      <c r="I100" s="31">
        <v>0.9274</v>
      </c>
      <c r="J100" s="32">
        <v>166</v>
      </c>
      <c r="K100" s="33">
        <v>45981</v>
      </c>
      <c r="L100" s="32">
        <v>9</v>
      </c>
      <c r="M100" s="32">
        <v>3</v>
      </c>
      <c r="N100" s="32">
        <v>1</v>
      </c>
      <c r="O100" s="34" t="s">
        <v>177</v>
      </c>
      <c r="P100" s="35">
        <v>0.51041666666666663</v>
      </c>
      <c r="Q100" s="32">
        <v>179</v>
      </c>
      <c r="R100" s="36" t="s">
        <v>178</v>
      </c>
    </row>
    <row r="101" spans="1:18" ht="15" customHeight="1" x14ac:dyDescent="0.3">
      <c r="A101" s="82" t="s">
        <v>68</v>
      </c>
      <c r="B101" s="82" t="s">
        <v>78</v>
      </c>
      <c r="C101" s="83">
        <v>0.63194444444444442</v>
      </c>
      <c r="D101" s="82" t="s">
        <v>82</v>
      </c>
      <c r="E101" s="91"/>
      <c r="F101" s="82" t="s">
        <v>83</v>
      </c>
      <c r="G101" s="152"/>
      <c r="H101" s="84" t="s">
        <v>78</v>
      </c>
      <c r="I101" s="92">
        <v>1.0112000000000001</v>
      </c>
      <c r="J101" s="86">
        <v>181</v>
      </c>
      <c r="K101" s="87">
        <v>45980</v>
      </c>
      <c r="L101" s="86">
        <v>12</v>
      </c>
      <c r="M101" s="86">
        <v>0</v>
      </c>
      <c r="N101" s="86">
        <v>3</v>
      </c>
      <c r="O101" s="88" t="s">
        <v>84</v>
      </c>
      <c r="P101" s="89">
        <v>0.63194444444444442</v>
      </c>
      <c r="Q101" s="86">
        <v>179</v>
      </c>
      <c r="R101" s="90" t="s">
        <v>179</v>
      </c>
    </row>
    <row r="102" spans="1:18" ht="15" customHeight="1" x14ac:dyDescent="0.3">
      <c r="A102" s="17" t="s">
        <v>112</v>
      </c>
      <c r="B102" s="17" t="s">
        <v>119</v>
      </c>
      <c r="C102" s="18">
        <v>0.4861111111111111</v>
      </c>
      <c r="D102" s="17" t="s">
        <v>114</v>
      </c>
      <c r="E102" s="17" t="s">
        <v>89</v>
      </c>
      <c r="F102" s="17" t="s">
        <v>115</v>
      </c>
      <c r="G102" s="152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5" t="s">
        <v>112</v>
      </c>
      <c r="B103" s="15" t="s">
        <v>113</v>
      </c>
      <c r="C103" s="16">
        <v>0.2638888888888889</v>
      </c>
      <c r="D103" s="15" t="s">
        <v>114</v>
      </c>
      <c r="E103" s="15" t="s">
        <v>95</v>
      </c>
      <c r="F103" s="15" t="s">
        <v>115</v>
      </c>
      <c r="G103" s="152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112</v>
      </c>
      <c r="B104" s="15" t="s">
        <v>124</v>
      </c>
      <c r="C104" s="16">
        <v>0.97569444444444453</v>
      </c>
      <c r="D104" s="15" t="s">
        <v>114</v>
      </c>
      <c r="E104" s="15" t="s">
        <v>95</v>
      </c>
      <c r="F104" s="15" t="s">
        <v>115</v>
      </c>
      <c r="G104" s="152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5" t="s">
        <v>112</v>
      </c>
      <c r="B105" s="15" t="s">
        <v>126</v>
      </c>
      <c r="C105" s="16">
        <v>0.77430555555555547</v>
      </c>
      <c r="D105" s="15" t="s">
        <v>114</v>
      </c>
      <c r="E105" s="15" t="s">
        <v>95</v>
      </c>
      <c r="F105" s="15" t="s">
        <v>115</v>
      </c>
      <c r="G105" s="152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5" t="s">
        <v>112</v>
      </c>
      <c r="B106" s="15" t="s">
        <v>116</v>
      </c>
      <c r="C106" s="16">
        <v>0.22222222222222221</v>
      </c>
      <c r="D106" s="15" t="s">
        <v>114</v>
      </c>
      <c r="E106" s="15" t="s">
        <v>95</v>
      </c>
      <c r="F106" s="15" t="s">
        <v>115</v>
      </c>
      <c r="G106" s="152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112</v>
      </c>
      <c r="B107" s="15" t="s">
        <v>121</v>
      </c>
      <c r="C107" s="16">
        <v>0.14583333333333329</v>
      </c>
      <c r="D107" s="15" t="s">
        <v>114</v>
      </c>
      <c r="E107" s="15" t="s">
        <v>151</v>
      </c>
      <c r="F107" s="15" t="s">
        <v>120</v>
      </c>
      <c r="G107" s="152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7" t="s">
        <v>86</v>
      </c>
      <c r="B108" s="17" t="s">
        <v>96</v>
      </c>
      <c r="C108" s="18">
        <v>6.9444444444444441E-3</v>
      </c>
      <c r="D108" s="17" t="s">
        <v>88</v>
      </c>
      <c r="E108" s="17" t="s">
        <v>89</v>
      </c>
      <c r="F108" s="17" t="s">
        <v>180</v>
      </c>
      <c r="G108" s="152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47" t="s">
        <v>86</v>
      </c>
      <c r="B109" s="47" t="s">
        <v>96</v>
      </c>
      <c r="C109" s="48">
        <v>6.9444444444444441E-3</v>
      </c>
      <c r="D109" s="47" t="s">
        <v>91</v>
      </c>
      <c r="E109" s="47" t="s">
        <v>92</v>
      </c>
      <c r="F109" s="47" t="s">
        <v>181</v>
      </c>
      <c r="G109" s="152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5" t="s">
        <v>86</v>
      </c>
      <c r="B110" s="15" t="s">
        <v>97</v>
      </c>
      <c r="C110" s="16">
        <v>0.1423611111111111</v>
      </c>
      <c r="D110" s="15" t="s">
        <v>88</v>
      </c>
      <c r="E110" s="15" t="s">
        <v>95</v>
      </c>
      <c r="F110" s="15" t="s">
        <v>180</v>
      </c>
      <c r="G110" s="152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47" t="s">
        <v>86</v>
      </c>
      <c r="B111" s="47" t="s">
        <v>97</v>
      </c>
      <c r="C111" s="48">
        <v>0.1423611111111111</v>
      </c>
      <c r="D111" s="47" t="s">
        <v>91</v>
      </c>
      <c r="E111" s="47" t="s">
        <v>92</v>
      </c>
      <c r="F111" s="47" t="s">
        <v>181</v>
      </c>
      <c r="G111" s="152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5" t="s">
        <v>86</v>
      </c>
      <c r="B112" s="15" t="s">
        <v>98</v>
      </c>
      <c r="C112" s="16">
        <v>0.93055555555555547</v>
      </c>
      <c r="D112" s="15" t="s">
        <v>88</v>
      </c>
      <c r="E112" s="15" t="s">
        <v>182</v>
      </c>
      <c r="F112" s="15" t="s">
        <v>180</v>
      </c>
      <c r="G112" s="152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47" t="s">
        <v>86</v>
      </c>
      <c r="B113" s="47" t="s">
        <v>98</v>
      </c>
      <c r="C113" s="48">
        <v>0.93055555555555547</v>
      </c>
      <c r="D113" s="47" t="s">
        <v>91</v>
      </c>
      <c r="E113" s="47" t="s">
        <v>135</v>
      </c>
      <c r="F113" s="47" t="s">
        <v>181</v>
      </c>
      <c r="G113" s="152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86</v>
      </c>
      <c r="B114" s="15" t="s">
        <v>111</v>
      </c>
      <c r="C114" s="16">
        <v>0.78819444444444453</v>
      </c>
      <c r="D114" s="15" t="s">
        <v>91</v>
      </c>
      <c r="E114" s="15" t="s">
        <v>34</v>
      </c>
      <c r="F114" s="15" t="s">
        <v>183</v>
      </c>
      <c r="G114" s="152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5" t="s">
        <v>86</v>
      </c>
      <c r="B115" s="15" t="s">
        <v>102</v>
      </c>
      <c r="C115" s="16">
        <v>0.88888888888888884</v>
      </c>
      <c r="D115" s="15" t="s">
        <v>91</v>
      </c>
      <c r="E115" s="15" t="s">
        <v>34</v>
      </c>
      <c r="F115" s="15" t="s">
        <v>103</v>
      </c>
      <c r="G115" s="152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5" t="s">
        <v>86</v>
      </c>
      <c r="B116" s="15" t="s">
        <v>110</v>
      </c>
      <c r="C116" s="16">
        <v>0.12847222222222221</v>
      </c>
      <c r="D116" s="15" t="s">
        <v>91</v>
      </c>
      <c r="E116" s="15" t="s">
        <v>34</v>
      </c>
      <c r="F116" s="15" t="s">
        <v>103</v>
      </c>
      <c r="G116" s="152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5" t="s">
        <v>86</v>
      </c>
      <c r="B117" s="15" t="s">
        <v>104</v>
      </c>
      <c r="C117" s="16">
        <v>0.61111111111111105</v>
      </c>
      <c r="D117" s="15" t="s">
        <v>88</v>
      </c>
      <c r="E117" s="15" t="s">
        <v>95</v>
      </c>
      <c r="F117" s="15" t="s">
        <v>184</v>
      </c>
      <c r="G117" s="152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47" t="s">
        <v>86</v>
      </c>
      <c r="B118" s="47" t="s">
        <v>104</v>
      </c>
      <c r="C118" s="48">
        <v>0.61111111111111105</v>
      </c>
      <c r="D118" s="47" t="s">
        <v>91</v>
      </c>
      <c r="E118" s="47" t="s">
        <v>92</v>
      </c>
      <c r="F118" s="47" t="s">
        <v>185</v>
      </c>
      <c r="G118" s="152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5" t="s">
        <v>86</v>
      </c>
      <c r="B119" s="15" t="s">
        <v>99</v>
      </c>
      <c r="C119" s="16">
        <v>0.23958333333333329</v>
      </c>
      <c r="D119" s="15" t="s">
        <v>88</v>
      </c>
      <c r="E119" s="15" t="s">
        <v>123</v>
      </c>
      <c r="F119" s="15" t="s">
        <v>184</v>
      </c>
      <c r="G119" s="152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47" t="s">
        <v>86</v>
      </c>
      <c r="B120" s="47" t="s">
        <v>99</v>
      </c>
      <c r="C120" s="48">
        <v>0.23958333333333329</v>
      </c>
      <c r="D120" s="47" t="s">
        <v>91</v>
      </c>
      <c r="E120" s="47" t="s">
        <v>186</v>
      </c>
      <c r="F120" s="47" t="s">
        <v>185</v>
      </c>
      <c r="G120" s="152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86</v>
      </c>
      <c r="B121" s="15" t="s">
        <v>107</v>
      </c>
      <c r="C121" s="16">
        <v>0.82986111111111116</v>
      </c>
      <c r="D121" s="15" t="s">
        <v>88</v>
      </c>
      <c r="E121" s="15" t="s">
        <v>95</v>
      </c>
      <c r="F121" s="15" t="s">
        <v>184</v>
      </c>
      <c r="G121" s="152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47" t="s">
        <v>86</v>
      </c>
      <c r="B122" s="47" t="s">
        <v>107</v>
      </c>
      <c r="C122" s="48">
        <v>0.82986111111111116</v>
      </c>
      <c r="D122" s="47" t="s">
        <v>91</v>
      </c>
      <c r="E122" s="47" t="s">
        <v>92</v>
      </c>
      <c r="F122" s="47" t="s">
        <v>185</v>
      </c>
      <c r="G122" s="152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5" t="s">
        <v>86</v>
      </c>
      <c r="B123" s="15" t="s">
        <v>108</v>
      </c>
      <c r="C123" s="16">
        <v>0.30208333333333331</v>
      </c>
      <c r="D123" s="15" t="s">
        <v>91</v>
      </c>
      <c r="E123" s="15" t="s">
        <v>34</v>
      </c>
      <c r="F123" s="15" t="s">
        <v>109</v>
      </c>
      <c r="G123" s="152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5" t="s">
        <v>86</v>
      </c>
      <c r="B124" s="15" t="s">
        <v>94</v>
      </c>
      <c r="C124" s="16">
        <v>0.71875</v>
      </c>
      <c r="D124" s="15" t="s">
        <v>88</v>
      </c>
      <c r="E124" s="15" t="s">
        <v>47</v>
      </c>
      <c r="F124" s="15" t="s">
        <v>187</v>
      </c>
      <c r="G124" s="152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thickBot="1" x14ac:dyDescent="0.35">
      <c r="A125" s="93" t="s">
        <v>86</v>
      </c>
      <c r="B125" s="93" t="s">
        <v>94</v>
      </c>
      <c r="C125" s="94">
        <v>0.71875</v>
      </c>
      <c r="D125" s="93" t="s">
        <v>91</v>
      </c>
      <c r="E125" s="93" t="s">
        <v>188</v>
      </c>
      <c r="F125" s="93" t="s">
        <v>189</v>
      </c>
      <c r="G125" s="153"/>
      <c r="H125" s="51"/>
      <c r="I125" s="52"/>
      <c r="J125" s="52"/>
      <c r="K125" s="52"/>
      <c r="L125" s="52"/>
      <c r="M125" s="52"/>
      <c r="N125" s="52"/>
      <c r="O125" s="53"/>
      <c r="P125" s="52"/>
      <c r="Q125" s="54"/>
      <c r="R125" s="55"/>
    </row>
    <row r="126" spans="1:18" ht="17.399999999999999" customHeight="1" thickBot="1" x14ac:dyDescent="0.35">
      <c r="A126" s="177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9"/>
    </row>
    <row r="127" spans="1:18" ht="22.05" customHeight="1" thickTop="1" thickBot="1" x14ac:dyDescent="0.35">
      <c r="A127" s="157" t="s">
        <v>6</v>
      </c>
      <c r="B127" s="146"/>
      <c r="C127" s="146"/>
      <c r="D127" s="146"/>
      <c r="E127" s="146"/>
      <c r="F127" s="147"/>
      <c r="G127" s="56">
        <v>45985</v>
      </c>
      <c r="H127" s="145" t="s">
        <v>7</v>
      </c>
      <c r="I127" s="146"/>
      <c r="J127" s="146"/>
      <c r="K127" s="146"/>
      <c r="L127" s="146"/>
      <c r="M127" s="146"/>
      <c r="N127" s="146"/>
      <c r="O127" s="146"/>
      <c r="P127" s="146"/>
      <c r="Q127" s="146"/>
      <c r="R127" s="147"/>
    </row>
    <row r="128" spans="1:18" ht="24" customHeight="1" x14ac:dyDescent="0.3">
      <c r="A128" s="57" t="s">
        <v>8</v>
      </c>
      <c r="B128" s="57" t="s">
        <v>9</v>
      </c>
      <c r="C128" s="58" t="s">
        <v>10</v>
      </c>
      <c r="D128" s="57" t="s">
        <v>11</v>
      </c>
      <c r="E128" s="57" t="s">
        <v>12</v>
      </c>
      <c r="F128" s="59" t="s">
        <v>13</v>
      </c>
      <c r="G128" s="60" t="s">
        <v>14</v>
      </c>
      <c r="H128" s="57" t="s">
        <v>15</v>
      </c>
      <c r="I128" s="61" t="s">
        <v>16</v>
      </c>
      <c r="J128" s="62" t="s">
        <v>17</v>
      </c>
      <c r="K128" s="63" t="s">
        <v>18</v>
      </c>
      <c r="L128" s="62" t="s">
        <v>19</v>
      </c>
      <c r="M128" s="62" t="s">
        <v>20</v>
      </c>
      <c r="N128" s="62" t="s">
        <v>21</v>
      </c>
      <c r="O128" s="57" t="s">
        <v>22</v>
      </c>
      <c r="P128" s="58" t="s">
        <v>23</v>
      </c>
      <c r="Q128" s="62" t="s">
        <v>24</v>
      </c>
      <c r="R128" s="57" t="s">
        <v>25</v>
      </c>
    </row>
    <row r="129" spans="1:18" ht="15" customHeight="1" x14ac:dyDescent="0.3">
      <c r="A129" s="8" t="s">
        <v>59</v>
      </c>
      <c r="B129" s="8" t="s">
        <v>60</v>
      </c>
      <c r="C129" s="9">
        <v>0.66666666666666663</v>
      </c>
      <c r="D129" s="8" t="s">
        <v>61</v>
      </c>
      <c r="E129" s="8" t="s">
        <v>29</v>
      </c>
      <c r="F129" s="8" t="s">
        <v>129</v>
      </c>
      <c r="G129" s="162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5" t="s">
        <v>59</v>
      </c>
      <c r="B130" s="15" t="s">
        <v>130</v>
      </c>
      <c r="C130" s="16">
        <v>0.3125</v>
      </c>
      <c r="D130" s="15" t="s">
        <v>61</v>
      </c>
      <c r="E130" s="15" t="s">
        <v>95</v>
      </c>
      <c r="F130" s="15" t="s">
        <v>129</v>
      </c>
      <c r="G130" s="152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7" t="s">
        <v>26</v>
      </c>
      <c r="B131" s="17" t="s">
        <v>27</v>
      </c>
      <c r="C131" s="18">
        <v>0.12847222222222221</v>
      </c>
      <c r="D131" s="17" t="s">
        <v>132</v>
      </c>
      <c r="E131" s="17" t="s">
        <v>190</v>
      </c>
      <c r="F131" s="17" t="s">
        <v>191</v>
      </c>
      <c r="G131" s="152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47" t="s">
        <v>26</v>
      </c>
      <c r="B132" s="47" t="s">
        <v>27</v>
      </c>
      <c r="C132" s="48">
        <v>0.12847222222222221</v>
      </c>
      <c r="D132" s="47" t="s">
        <v>134</v>
      </c>
      <c r="E132" s="47" t="s">
        <v>143</v>
      </c>
      <c r="F132" s="47" t="s">
        <v>192</v>
      </c>
      <c r="G132" s="152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47" t="s">
        <v>26</v>
      </c>
      <c r="B133" s="47" t="s">
        <v>27</v>
      </c>
      <c r="C133" s="48">
        <v>0.12847222222222221</v>
      </c>
      <c r="D133" s="47" t="s">
        <v>136</v>
      </c>
      <c r="E133" s="47" t="s">
        <v>143</v>
      </c>
      <c r="F133" s="47" t="s">
        <v>137</v>
      </c>
      <c r="G133" s="152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26</v>
      </c>
      <c r="B134" s="15" t="s">
        <v>33</v>
      </c>
      <c r="C134" s="16">
        <v>0.30208333333333331</v>
      </c>
      <c r="D134" s="15" t="s">
        <v>132</v>
      </c>
      <c r="E134" s="15" t="s">
        <v>151</v>
      </c>
      <c r="F134" s="15" t="s">
        <v>193</v>
      </c>
      <c r="G134" s="152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47" t="s">
        <v>26</v>
      </c>
      <c r="B135" s="47" t="s">
        <v>33</v>
      </c>
      <c r="C135" s="48">
        <v>0.30208333333333331</v>
      </c>
      <c r="D135" s="47" t="s">
        <v>134</v>
      </c>
      <c r="E135" s="47" t="s">
        <v>152</v>
      </c>
      <c r="F135" s="47" t="s">
        <v>148</v>
      </c>
      <c r="G135" s="152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47" t="s">
        <v>26</v>
      </c>
      <c r="B136" s="47" t="s">
        <v>33</v>
      </c>
      <c r="C136" s="48">
        <v>0.30208333333333331</v>
      </c>
      <c r="D136" s="47" t="s">
        <v>136</v>
      </c>
      <c r="E136" s="47" t="s">
        <v>152</v>
      </c>
      <c r="F136" s="47" t="s">
        <v>137</v>
      </c>
      <c r="G136" s="152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26</v>
      </c>
      <c r="B137" s="15" t="s">
        <v>31</v>
      </c>
      <c r="C137" s="16">
        <v>0.88888888888888884</v>
      </c>
      <c r="D137" s="15" t="s">
        <v>132</v>
      </c>
      <c r="E137" s="15" t="s">
        <v>182</v>
      </c>
      <c r="F137" s="15" t="s">
        <v>193</v>
      </c>
      <c r="G137" s="152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47" t="s">
        <v>26</v>
      </c>
      <c r="B138" s="47" t="s">
        <v>31</v>
      </c>
      <c r="C138" s="48">
        <v>0.88888888888888884</v>
      </c>
      <c r="D138" s="47" t="s">
        <v>134</v>
      </c>
      <c r="E138" s="47" t="s">
        <v>135</v>
      </c>
      <c r="F138" s="47" t="s">
        <v>148</v>
      </c>
      <c r="G138" s="152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47" t="s">
        <v>26</v>
      </c>
      <c r="B139" s="47" t="s">
        <v>31</v>
      </c>
      <c r="C139" s="48">
        <v>0.88888888888888884</v>
      </c>
      <c r="D139" s="47" t="s">
        <v>136</v>
      </c>
      <c r="E139" s="47" t="s">
        <v>135</v>
      </c>
      <c r="F139" s="47" t="s">
        <v>137</v>
      </c>
      <c r="G139" s="152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5" t="s">
        <v>26</v>
      </c>
      <c r="B140" s="15" t="s">
        <v>36</v>
      </c>
      <c r="C140" s="16">
        <v>0.78819444444444453</v>
      </c>
      <c r="D140" s="15" t="s">
        <v>132</v>
      </c>
      <c r="E140" s="15" t="s">
        <v>123</v>
      </c>
      <c r="F140" s="15" t="s">
        <v>30</v>
      </c>
      <c r="G140" s="152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47" t="s">
        <v>26</v>
      </c>
      <c r="B141" s="47" t="s">
        <v>36</v>
      </c>
      <c r="C141" s="48">
        <v>0.78819444444444453</v>
      </c>
      <c r="D141" s="47" t="s">
        <v>134</v>
      </c>
      <c r="E141" s="47" t="s">
        <v>186</v>
      </c>
      <c r="F141" s="47" t="s">
        <v>141</v>
      </c>
      <c r="G141" s="152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47" t="s">
        <v>26</v>
      </c>
      <c r="B142" s="47" t="s">
        <v>36</v>
      </c>
      <c r="C142" s="48">
        <v>0.78819444444444453</v>
      </c>
      <c r="D142" s="47" t="s">
        <v>136</v>
      </c>
      <c r="E142" s="47" t="s">
        <v>186</v>
      </c>
      <c r="F142" s="47" t="s">
        <v>137</v>
      </c>
      <c r="G142" s="152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7" t="s">
        <v>38</v>
      </c>
      <c r="B143" s="17" t="s">
        <v>43</v>
      </c>
      <c r="C143" s="18">
        <v>0.90277777777777779</v>
      </c>
      <c r="D143" s="17" t="s">
        <v>145</v>
      </c>
      <c r="E143" s="17" t="s">
        <v>71</v>
      </c>
      <c r="F143" s="17" t="s">
        <v>194</v>
      </c>
      <c r="G143" s="152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47" t="s">
        <v>38</v>
      </c>
      <c r="B144" s="47" t="s">
        <v>43</v>
      </c>
      <c r="C144" s="48">
        <v>0.90277777777777779</v>
      </c>
      <c r="D144" s="47" t="s">
        <v>147</v>
      </c>
      <c r="E144" s="47" t="s">
        <v>152</v>
      </c>
      <c r="F144" s="47" t="s">
        <v>192</v>
      </c>
      <c r="G144" s="152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47" t="s">
        <v>38</v>
      </c>
      <c r="B145" s="47" t="s">
        <v>43</v>
      </c>
      <c r="C145" s="48">
        <v>0.90277777777777779</v>
      </c>
      <c r="D145" s="47" t="s">
        <v>149</v>
      </c>
      <c r="E145" s="47" t="s">
        <v>152</v>
      </c>
      <c r="F145" s="47" t="s">
        <v>195</v>
      </c>
      <c r="G145" s="152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38</v>
      </c>
      <c r="B146" s="15" t="s">
        <v>45</v>
      </c>
      <c r="C146" s="16">
        <v>0.85416666666666663</v>
      </c>
      <c r="D146" s="15" t="s">
        <v>145</v>
      </c>
      <c r="E146" s="15" t="s">
        <v>47</v>
      </c>
      <c r="F146" s="15" t="s">
        <v>194</v>
      </c>
      <c r="G146" s="152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47" t="s">
        <v>38</v>
      </c>
      <c r="B147" s="47" t="s">
        <v>45</v>
      </c>
      <c r="C147" s="48">
        <v>0.85416666666666663</v>
      </c>
      <c r="D147" s="47" t="s">
        <v>147</v>
      </c>
      <c r="E147" s="47" t="s">
        <v>188</v>
      </c>
      <c r="F147" s="47" t="s">
        <v>192</v>
      </c>
      <c r="G147" s="152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47" t="s">
        <v>38</v>
      </c>
      <c r="B148" s="47" t="s">
        <v>45</v>
      </c>
      <c r="C148" s="48">
        <v>0.85416666666666663</v>
      </c>
      <c r="D148" s="47" t="s">
        <v>149</v>
      </c>
      <c r="E148" s="47" t="s">
        <v>188</v>
      </c>
      <c r="F148" s="47" t="s">
        <v>195</v>
      </c>
      <c r="G148" s="152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38</v>
      </c>
      <c r="B149" s="15" t="s">
        <v>46</v>
      </c>
      <c r="C149" s="16">
        <v>0.79861111111111116</v>
      </c>
      <c r="D149" s="15" t="s">
        <v>145</v>
      </c>
      <c r="E149" s="15" t="s">
        <v>47</v>
      </c>
      <c r="F149" s="15" t="s">
        <v>194</v>
      </c>
      <c r="G149" s="152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47" t="s">
        <v>38</v>
      </c>
      <c r="B150" s="47" t="s">
        <v>46</v>
      </c>
      <c r="C150" s="48">
        <v>0.79861111111111116</v>
      </c>
      <c r="D150" s="47" t="s">
        <v>147</v>
      </c>
      <c r="E150" s="47" t="s">
        <v>188</v>
      </c>
      <c r="F150" s="47" t="s">
        <v>192</v>
      </c>
      <c r="G150" s="152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47" t="s">
        <v>38</v>
      </c>
      <c r="B151" s="47" t="s">
        <v>46</v>
      </c>
      <c r="C151" s="48">
        <v>0.79861111111111116</v>
      </c>
      <c r="D151" s="47" t="s">
        <v>149</v>
      </c>
      <c r="E151" s="47" t="s">
        <v>188</v>
      </c>
      <c r="F151" s="47" t="s">
        <v>195</v>
      </c>
      <c r="G151" s="152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5" t="s">
        <v>38</v>
      </c>
      <c r="B152" s="15" t="s">
        <v>39</v>
      </c>
      <c r="C152" s="16">
        <v>0.25694444444444448</v>
      </c>
      <c r="D152" s="15" t="s">
        <v>145</v>
      </c>
      <c r="E152" s="15" t="s">
        <v>44</v>
      </c>
      <c r="F152" s="15" t="s">
        <v>146</v>
      </c>
      <c r="G152" s="152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47" t="s">
        <v>38</v>
      </c>
      <c r="B153" s="47" t="s">
        <v>39</v>
      </c>
      <c r="C153" s="48">
        <v>0.25694444444444448</v>
      </c>
      <c r="D153" s="47" t="s">
        <v>147</v>
      </c>
      <c r="E153" s="47" t="s">
        <v>153</v>
      </c>
      <c r="F153" s="47" t="s">
        <v>148</v>
      </c>
      <c r="G153" s="152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47" t="s">
        <v>38</v>
      </c>
      <c r="B154" s="47" t="s">
        <v>39</v>
      </c>
      <c r="C154" s="48">
        <v>0.25694444444444448</v>
      </c>
      <c r="D154" s="47" t="s">
        <v>149</v>
      </c>
      <c r="E154" s="47" t="s">
        <v>153</v>
      </c>
      <c r="F154" s="47" t="s">
        <v>150</v>
      </c>
      <c r="G154" s="152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5" t="s">
        <v>38</v>
      </c>
      <c r="B155" s="15" t="s">
        <v>48</v>
      </c>
      <c r="C155" s="16">
        <v>0.64583333333333337</v>
      </c>
      <c r="D155" s="15" t="s">
        <v>145</v>
      </c>
      <c r="E155" s="15" t="s">
        <v>44</v>
      </c>
      <c r="F155" s="15" t="s">
        <v>146</v>
      </c>
      <c r="G155" s="152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47" t="s">
        <v>38</v>
      </c>
      <c r="B156" s="47" t="s">
        <v>48</v>
      </c>
      <c r="C156" s="48">
        <v>0.64583333333333337</v>
      </c>
      <c r="D156" s="47" t="s">
        <v>147</v>
      </c>
      <c r="E156" s="47" t="s">
        <v>153</v>
      </c>
      <c r="F156" s="47" t="s">
        <v>148</v>
      </c>
      <c r="G156" s="152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47" t="s">
        <v>38</v>
      </c>
      <c r="B157" s="47" t="s">
        <v>48</v>
      </c>
      <c r="C157" s="48">
        <v>0.64583333333333337</v>
      </c>
      <c r="D157" s="47" t="s">
        <v>149</v>
      </c>
      <c r="E157" s="47" t="s">
        <v>153</v>
      </c>
      <c r="F157" s="47" t="s">
        <v>150</v>
      </c>
      <c r="G157" s="152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38</v>
      </c>
      <c r="B158" s="15" t="s">
        <v>50</v>
      </c>
      <c r="C158" s="16">
        <v>0.51736111111111105</v>
      </c>
      <c r="D158" s="15" t="s">
        <v>145</v>
      </c>
      <c r="E158" s="15" t="s">
        <v>44</v>
      </c>
      <c r="F158" s="15" t="s">
        <v>146</v>
      </c>
      <c r="G158" s="152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47" t="s">
        <v>38</v>
      </c>
      <c r="B159" s="47" t="s">
        <v>50</v>
      </c>
      <c r="C159" s="48">
        <v>0.51736111111111105</v>
      </c>
      <c r="D159" s="47" t="s">
        <v>147</v>
      </c>
      <c r="E159" s="47" t="s">
        <v>153</v>
      </c>
      <c r="F159" s="47" t="s">
        <v>148</v>
      </c>
      <c r="G159" s="152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47" t="s">
        <v>38</v>
      </c>
      <c r="B160" s="47" t="s">
        <v>50</v>
      </c>
      <c r="C160" s="48">
        <v>0.51736111111111105</v>
      </c>
      <c r="D160" s="47" t="s">
        <v>149</v>
      </c>
      <c r="E160" s="47" t="s">
        <v>153</v>
      </c>
      <c r="F160" s="47" t="s">
        <v>150</v>
      </c>
      <c r="G160" s="152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38</v>
      </c>
      <c r="B161" s="15" t="s">
        <v>51</v>
      </c>
      <c r="C161" s="16">
        <v>0.39583333333333331</v>
      </c>
      <c r="D161" s="15" t="s">
        <v>145</v>
      </c>
      <c r="E161" s="15" t="s">
        <v>44</v>
      </c>
      <c r="F161" s="15" t="s">
        <v>146</v>
      </c>
      <c r="G161" s="152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47" t="s">
        <v>38</v>
      </c>
      <c r="B162" s="47" t="s">
        <v>51</v>
      </c>
      <c r="C162" s="48">
        <v>0.39583333333333331</v>
      </c>
      <c r="D162" s="47" t="s">
        <v>147</v>
      </c>
      <c r="E162" s="47" t="s">
        <v>153</v>
      </c>
      <c r="F162" s="47" t="s">
        <v>148</v>
      </c>
      <c r="G162" s="152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47" t="s">
        <v>38</v>
      </c>
      <c r="B163" s="47" t="s">
        <v>51</v>
      </c>
      <c r="C163" s="48">
        <v>0.39583333333333331</v>
      </c>
      <c r="D163" s="47" t="s">
        <v>149</v>
      </c>
      <c r="E163" s="47" t="s">
        <v>153</v>
      </c>
      <c r="F163" s="47" t="s">
        <v>150</v>
      </c>
      <c r="G163" s="152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38</v>
      </c>
      <c r="B164" s="15" t="s">
        <v>156</v>
      </c>
      <c r="C164" s="16">
        <v>0.46875</v>
      </c>
      <c r="D164" s="15" t="s">
        <v>145</v>
      </c>
      <c r="E164" s="15" t="s">
        <v>44</v>
      </c>
      <c r="F164" s="15" t="s">
        <v>146</v>
      </c>
      <c r="G164" s="152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47" t="s">
        <v>38</v>
      </c>
      <c r="B165" s="47" t="s">
        <v>156</v>
      </c>
      <c r="C165" s="48">
        <v>0.46875</v>
      </c>
      <c r="D165" s="47" t="s">
        <v>147</v>
      </c>
      <c r="E165" s="47" t="s">
        <v>153</v>
      </c>
      <c r="F165" s="47" t="s">
        <v>148</v>
      </c>
      <c r="G165" s="152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47" t="s">
        <v>38</v>
      </c>
      <c r="B166" s="47" t="s">
        <v>156</v>
      </c>
      <c r="C166" s="48">
        <v>0.46875</v>
      </c>
      <c r="D166" s="47" t="s">
        <v>149</v>
      </c>
      <c r="E166" s="47" t="s">
        <v>153</v>
      </c>
      <c r="F166" s="47" t="s">
        <v>150</v>
      </c>
      <c r="G166" s="152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95" t="s">
        <v>68</v>
      </c>
      <c r="B167" s="95" t="s">
        <v>76</v>
      </c>
      <c r="C167" s="96">
        <v>0.61458333333333337</v>
      </c>
      <c r="D167" s="95" t="s">
        <v>70</v>
      </c>
      <c r="E167" s="95" t="s">
        <v>29</v>
      </c>
      <c r="F167" s="95" t="s">
        <v>196</v>
      </c>
      <c r="G167" s="152"/>
      <c r="H167" s="97" t="s">
        <v>78</v>
      </c>
      <c r="I167" s="98">
        <v>0.90500000000000003</v>
      </c>
      <c r="J167" s="99">
        <v>162</v>
      </c>
      <c r="K167" s="100">
        <v>45981</v>
      </c>
      <c r="L167" s="99">
        <v>44</v>
      </c>
      <c r="M167" s="99">
        <v>14</v>
      </c>
      <c r="N167" s="99">
        <v>7</v>
      </c>
      <c r="O167" s="101" t="s">
        <v>197</v>
      </c>
      <c r="P167" s="102">
        <v>0.61458333333333337</v>
      </c>
      <c r="Q167" s="99">
        <v>179</v>
      </c>
      <c r="R167" s="103" t="s">
        <v>198</v>
      </c>
    </row>
    <row r="168" spans="1:18" ht="15" customHeight="1" x14ac:dyDescent="0.3">
      <c r="A168" s="82" t="s">
        <v>68</v>
      </c>
      <c r="B168" s="82" t="s">
        <v>199</v>
      </c>
      <c r="C168" s="83">
        <v>6.9444444444444441E-3</v>
      </c>
      <c r="D168" s="82" t="s">
        <v>70</v>
      </c>
      <c r="E168" s="82" t="s">
        <v>95</v>
      </c>
      <c r="F168" s="82" t="s">
        <v>196</v>
      </c>
      <c r="G168" s="152"/>
      <c r="H168" s="84" t="s">
        <v>200</v>
      </c>
      <c r="I168" s="104">
        <v>0.42459999999999998</v>
      </c>
      <c r="J168" s="86">
        <v>76</v>
      </c>
      <c r="K168" s="87">
        <v>45981</v>
      </c>
      <c r="L168" s="86">
        <v>49</v>
      </c>
      <c r="M168" s="86">
        <v>7</v>
      </c>
      <c r="N168" s="86">
        <v>6</v>
      </c>
      <c r="O168" s="88" t="s">
        <v>201</v>
      </c>
      <c r="P168" s="89">
        <v>6.9444444444444441E-3</v>
      </c>
      <c r="Q168" s="86">
        <v>179</v>
      </c>
      <c r="R168" s="90" t="s">
        <v>202</v>
      </c>
    </row>
    <row r="169" spans="1:18" ht="15" customHeight="1" x14ac:dyDescent="0.3">
      <c r="A169" s="105" t="s">
        <v>68</v>
      </c>
      <c r="B169" s="105" t="s">
        <v>174</v>
      </c>
      <c r="C169" s="106">
        <v>0.97916666666666663</v>
      </c>
      <c r="D169" s="105" t="s">
        <v>70</v>
      </c>
      <c r="E169" s="105" t="s">
        <v>151</v>
      </c>
      <c r="F169" s="105" t="s">
        <v>203</v>
      </c>
      <c r="G169" s="152"/>
      <c r="H169" s="97" t="s">
        <v>176</v>
      </c>
      <c r="I169" s="98">
        <v>0.92179999999999995</v>
      </c>
      <c r="J169" s="99">
        <v>165</v>
      </c>
      <c r="K169" s="100">
        <v>45981</v>
      </c>
      <c r="L169" s="99">
        <v>24</v>
      </c>
      <c r="M169" s="99">
        <v>1</v>
      </c>
      <c r="N169" s="99">
        <v>8</v>
      </c>
      <c r="O169" s="101" t="s">
        <v>204</v>
      </c>
      <c r="P169" s="102">
        <v>0.97916666666666663</v>
      </c>
      <c r="Q169" s="99">
        <v>179</v>
      </c>
      <c r="R169" s="103" t="s">
        <v>205</v>
      </c>
    </row>
    <row r="170" spans="1:18" ht="15" customHeight="1" x14ac:dyDescent="0.3">
      <c r="A170" s="82" t="s">
        <v>68</v>
      </c>
      <c r="B170" s="82" t="s">
        <v>81</v>
      </c>
      <c r="C170" s="83">
        <v>0.4236111111111111</v>
      </c>
      <c r="D170" s="82" t="s">
        <v>82</v>
      </c>
      <c r="E170" s="91"/>
      <c r="F170" s="82" t="s">
        <v>83</v>
      </c>
      <c r="G170" s="152"/>
      <c r="H170" s="84" t="s">
        <v>81</v>
      </c>
      <c r="I170" s="92">
        <v>0.9385</v>
      </c>
      <c r="J170" s="86">
        <v>168</v>
      </c>
      <c r="K170" s="87">
        <v>45981</v>
      </c>
      <c r="L170" s="86">
        <v>47</v>
      </c>
      <c r="M170" s="86">
        <v>18</v>
      </c>
      <c r="N170" s="86">
        <v>6</v>
      </c>
      <c r="O170" s="88" t="s">
        <v>84</v>
      </c>
      <c r="P170" s="89">
        <v>0.4236111111111111</v>
      </c>
      <c r="Q170" s="86">
        <v>179</v>
      </c>
      <c r="R170" s="90" t="s">
        <v>206</v>
      </c>
    </row>
    <row r="171" spans="1:18" ht="15" customHeight="1" x14ac:dyDescent="0.3">
      <c r="A171" s="17" t="s">
        <v>112</v>
      </c>
      <c r="B171" s="17" t="s">
        <v>121</v>
      </c>
      <c r="C171" s="18">
        <v>0.14583333333333329</v>
      </c>
      <c r="D171" s="17" t="s">
        <v>114</v>
      </c>
      <c r="E171" s="17" t="s">
        <v>89</v>
      </c>
      <c r="F171" s="17" t="s">
        <v>207</v>
      </c>
      <c r="G171" s="152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5" t="s">
        <v>112</v>
      </c>
      <c r="B172" s="15" t="s">
        <v>117</v>
      </c>
      <c r="C172" s="16">
        <v>1.388888888888889E-2</v>
      </c>
      <c r="D172" s="15" t="s">
        <v>114</v>
      </c>
      <c r="E172" s="15" t="s">
        <v>95</v>
      </c>
      <c r="F172" s="15" t="s">
        <v>208</v>
      </c>
      <c r="G172" s="152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5" t="s">
        <v>112</v>
      </c>
      <c r="B173" s="15" t="s">
        <v>116</v>
      </c>
      <c r="C173" s="16">
        <v>0.22916666666666671</v>
      </c>
      <c r="D173" s="15" t="s">
        <v>114</v>
      </c>
      <c r="E173" s="15" t="s">
        <v>95</v>
      </c>
      <c r="F173" s="15" t="s">
        <v>208</v>
      </c>
      <c r="G173" s="152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5" t="s">
        <v>112</v>
      </c>
      <c r="B174" s="15" t="s">
        <v>122</v>
      </c>
      <c r="C174" s="16">
        <v>0.55208333333333337</v>
      </c>
      <c r="D174" s="15" t="s">
        <v>114</v>
      </c>
      <c r="E174" s="15" t="s">
        <v>95</v>
      </c>
      <c r="F174" s="15" t="s">
        <v>209</v>
      </c>
      <c r="G174" s="152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5" t="s">
        <v>112</v>
      </c>
      <c r="B175" s="15" t="s">
        <v>113</v>
      </c>
      <c r="C175" s="16">
        <v>0.27777777777777779</v>
      </c>
      <c r="D175" s="15" t="s">
        <v>114</v>
      </c>
      <c r="E175" s="15" t="s">
        <v>95</v>
      </c>
      <c r="F175" s="15" t="s">
        <v>210</v>
      </c>
      <c r="G175" s="152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5" t="s">
        <v>112</v>
      </c>
      <c r="B176" s="15" t="s">
        <v>126</v>
      </c>
      <c r="C176" s="16">
        <v>0.77430555555555547</v>
      </c>
      <c r="D176" s="15" t="s">
        <v>114</v>
      </c>
      <c r="E176" s="15" t="s">
        <v>95</v>
      </c>
      <c r="F176" s="15" t="s">
        <v>115</v>
      </c>
      <c r="G176" s="152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5" t="s">
        <v>112</v>
      </c>
      <c r="B177" s="15" t="s">
        <v>124</v>
      </c>
      <c r="C177" s="16">
        <v>0.95833333333333337</v>
      </c>
      <c r="D177" s="15" t="s">
        <v>114</v>
      </c>
      <c r="E177" s="15" t="s">
        <v>34</v>
      </c>
      <c r="F177" s="15" t="s">
        <v>120</v>
      </c>
      <c r="G177" s="152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7" t="s">
        <v>52</v>
      </c>
      <c r="B178" s="17" t="s">
        <v>53</v>
      </c>
      <c r="C178" s="18">
        <v>0.1736111111111111</v>
      </c>
      <c r="D178" s="17" t="s">
        <v>161</v>
      </c>
      <c r="E178" s="17" t="s">
        <v>55</v>
      </c>
      <c r="F178" s="17" t="s">
        <v>211</v>
      </c>
      <c r="G178" s="152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47" t="s">
        <v>52</v>
      </c>
      <c r="B179" s="47" t="s">
        <v>53</v>
      </c>
      <c r="C179" s="48">
        <v>0.1736111111111111</v>
      </c>
      <c r="D179" s="47" t="s">
        <v>136</v>
      </c>
      <c r="E179" s="47" t="s">
        <v>153</v>
      </c>
      <c r="F179" s="47" t="s">
        <v>195</v>
      </c>
      <c r="G179" s="152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5" t="s">
        <v>52</v>
      </c>
      <c r="B180" s="15" t="s">
        <v>57</v>
      </c>
      <c r="C180" s="16">
        <v>0.3923611111111111</v>
      </c>
      <c r="D180" s="15" t="s">
        <v>161</v>
      </c>
      <c r="E180" s="15" t="s">
        <v>138</v>
      </c>
      <c r="F180" s="15" t="s">
        <v>212</v>
      </c>
      <c r="G180" s="152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47" t="s">
        <v>52</v>
      </c>
      <c r="B181" s="47" t="s">
        <v>57</v>
      </c>
      <c r="C181" s="48">
        <v>0.3923611111111111</v>
      </c>
      <c r="D181" s="47" t="s">
        <v>136</v>
      </c>
      <c r="E181" s="47" t="s">
        <v>139</v>
      </c>
      <c r="F181" s="47" t="s">
        <v>213</v>
      </c>
      <c r="G181" s="152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64</v>
      </c>
      <c r="B182" s="17" t="s">
        <v>214</v>
      </c>
      <c r="C182" s="18">
        <v>0.20833333333333329</v>
      </c>
      <c r="D182" s="17" t="s">
        <v>61</v>
      </c>
      <c r="E182" s="17" t="s">
        <v>89</v>
      </c>
      <c r="F182" s="17" t="s">
        <v>158</v>
      </c>
      <c r="G182" s="152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7" t="s">
        <v>86</v>
      </c>
      <c r="B183" s="17" t="s">
        <v>98</v>
      </c>
      <c r="C183" s="18">
        <v>0.93055555555555547</v>
      </c>
      <c r="D183" s="17" t="s">
        <v>88</v>
      </c>
      <c r="E183" s="17" t="s">
        <v>89</v>
      </c>
      <c r="F183" s="17" t="s">
        <v>215</v>
      </c>
      <c r="G183" s="152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47" t="s">
        <v>86</v>
      </c>
      <c r="B184" s="47" t="s">
        <v>98</v>
      </c>
      <c r="C184" s="48">
        <v>0.93055555555555547</v>
      </c>
      <c r="D184" s="47" t="s">
        <v>91</v>
      </c>
      <c r="E184" s="47" t="s">
        <v>92</v>
      </c>
      <c r="F184" s="47" t="s">
        <v>216</v>
      </c>
      <c r="G184" s="152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86</v>
      </c>
      <c r="B185" s="15" t="s">
        <v>87</v>
      </c>
      <c r="C185" s="16">
        <v>0.37847222222222232</v>
      </c>
      <c r="D185" s="15" t="s">
        <v>88</v>
      </c>
      <c r="E185" s="15" t="s">
        <v>95</v>
      </c>
      <c r="F185" s="15" t="s">
        <v>180</v>
      </c>
      <c r="G185" s="152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47" t="s">
        <v>86</v>
      </c>
      <c r="B186" s="47" t="s">
        <v>87</v>
      </c>
      <c r="C186" s="48">
        <v>0.37847222222222232</v>
      </c>
      <c r="D186" s="47" t="s">
        <v>91</v>
      </c>
      <c r="E186" s="47" t="s">
        <v>92</v>
      </c>
      <c r="F186" s="47" t="s">
        <v>181</v>
      </c>
      <c r="G186" s="152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5" t="s">
        <v>86</v>
      </c>
      <c r="B187" s="15" t="s">
        <v>96</v>
      </c>
      <c r="C187" s="16">
        <v>6.9444444444444441E-3</v>
      </c>
      <c r="D187" s="15" t="s">
        <v>88</v>
      </c>
      <c r="E187" s="15" t="s">
        <v>95</v>
      </c>
      <c r="F187" s="15" t="s">
        <v>180</v>
      </c>
      <c r="G187" s="152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47" t="s">
        <v>86</v>
      </c>
      <c r="B188" s="47" t="s">
        <v>96</v>
      </c>
      <c r="C188" s="48">
        <v>6.9444444444444441E-3</v>
      </c>
      <c r="D188" s="47" t="s">
        <v>91</v>
      </c>
      <c r="E188" s="47" t="s">
        <v>92</v>
      </c>
      <c r="F188" s="47" t="s">
        <v>181</v>
      </c>
      <c r="G188" s="152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86</v>
      </c>
      <c r="B189" s="15" t="s">
        <v>99</v>
      </c>
      <c r="C189" s="16">
        <v>0.23958333333333329</v>
      </c>
      <c r="D189" s="15" t="s">
        <v>88</v>
      </c>
      <c r="E189" s="15" t="s">
        <v>95</v>
      </c>
      <c r="F189" s="15" t="s">
        <v>180</v>
      </c>
      <c r="G189" s="152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47" t="s">
        <v>86</v>
      </c>
      <c r="B190" s="47" t="s">
        <v>99</v>
      </c>
      <c r="C190" s="48">
        <v>0.23958333333333329</v>
      </c>
      <c r="D190" s="47" t="s">
        <v>91</v>
      </c>
      <c r="E190" s="47" t="s">
        <v>92</v>
      </c>
      <c r="F190" s="47" t="s">
        <v>181</v>
      </c>
      <c r="G190" s="152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86</v>
      </c>
      <c r="B191" s="15" t="s">
        <v>97</v>
      </c>
      <c r="C191" s="16">
        <v>0.1423611111111111</v>
      </c>
      <c r="D191" s="15" t="s">
        <v>88</v>
      </c>
      <c r="E191" s="15" t="s">
        <v>95</v>
      </c>
      <c r="F191" s="15" t="s">
        <v>180</v>
      </c>
      <c r="G191" s="152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47" t="s">
        <v>86</v>
      </c>
      <c r="B192" s="47" t="s">
        <v>97</v>
      </c>
      <c r="C192" s="48">
        <v>0.1423611111111111</v>
      </c>
      <c r="D192" s="47" t="s">
        <v>91</v>
      </c>
      <c r="E192" s="47" t="s">
        <v>92</v>
      </c>
      <c r="F192" s="47" t="s">
        <v>181</v>
      </c>
      <c r="G192" s="152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5" t="s">
        <v>86</v>
      </c>
      <c r="B193" s="15" t="s">
        <v>110</v>
      </c>
      <c r="C193" s="16">
        <v>0.12847222222222221</v>
      </c>
      <c r="D193" s="15" t="s">
        <v>91</v>
      </c>
      <c r="E193" s="15" t="s">
        <v>34</v>
      </c>
      <c r="F193" s="15" t="s">
        <v>217</v>
      </c>
      <c r="G193" s="152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5" t="s">
        <v>86</v>
      </c>
      <c r="B194" s="15" t="s">
        <v>94</v>
      </c>
      <c r="C194" s="16">
        <v>0.71875</v>
      </c>
      <c r="D194" s="15" t="s">
        <v>88</v>
      </c>
      <c r="E194" s="15" t="s">
        <v>95</v>
      </c>
      <c r="F194" s="15" t="s">
        <v>218</v>
      </c>
      <c r="G194" s="152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47" t="s">
        <v>86</v>
      </c>
      <c r="B195" s="47" t="s">
        <v>94</v>
      </c>
      <c r="C195" s="48">
        <v>0.71875</v>
      </c>
      <c r="D195" s="47" t="s">
        <v>91</v>
      </c>
      <c r="E195" s="47" t="s">
        <v>92</v>
      </c>
      <c r="F195" s="47" t="s">
        <v>219</v>
      </c>
      <c r="G195" s="152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5" t="s">
        <v>86</v>
      </c>
      <c r="B196" s="15" t="s">
        <v>104</v>
      </c>
      <c r="C196" s="16">
        <v>0.61111111111111105</v>
      </c>
      <c r="D196" s="15" t="s">
        <v>88</v>
      </c>
      <c r="E196" s="15" t="s">
        <v>95</v>
      </c>
      <c r="F196" s="15" t="s">
        <v>218</v>
      </c>
      <c r="G196" s="152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47" t="s">
        <v>86</v>
      </c>
      <c r="B197" s="47" t="s">
        <v>104</v>
      </c>
      <c r="C197" s="48">
        <v>0.61111111111111105</v>
      </c>
      <c r="D197" s="47" t="s">
        <v>91</v>
      </c>
      <c r="E197" s="47" t="s">
        <v>92</v>
      </c>
      <c r="F197" s="47" t="s">
        <v>219</v>
      </c>
      <c r="G197" s="152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86</v>
      </c>
      <c r="B198" s="15" t="s">
        <v>102</v>
      </c>
      <c r="C198" s="16">
        <v>0.88888888888888884</v>
      </c>
      <c r="D198" s="15" t="s">
        <v>91</v>
      </c>
      <c r="E198" s="15" t="s">
        <v>34</v>
      </c>
      <c r="F198" s="15" t="s">
        <v>183</v>
      </c>
      <c r="G198" s="152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5" t="s">
        <v>86</v>
      </c>
      <c r="B199" s="15" t="s">
        <v>108</v>
      </c>
      <c r="C199" s="16">
        <v>0.30208333333333331</v>
      </c>
      <c r="D199" s="15" t="s">
        <v>91</v>
      </c>
      <c r="E199" s="15" t="s">
        <v>34</v>
      </c>
      <c r="F199" s="15" t="s">
        <v>183</v>
      </c>
      <c r="G199" s="152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15" t="s">
        <v>86</v>
      </c>
      <c r="B200" s="15" t="s">
        <v>111</v>
      </c>
      <c r="C200" s="16">
        <v>0.78819444444444453</v>
      </c>
      <c r="D200" s="15" t="s">
        <v>91</v>
      </c>
      <c r="E200" s="15" t="s">
        <v>34</v>
      </c>
      <c r="F200" s="15" t="s">
        <v>103</v>
      </c>
      <c r="G200" s="152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86</v>
      </c>
      <c r="B201" s="15" t="s">
        <v>107</v>
      </c>
      <c r="C201" s="16">
        <v>0.82986111111111116</v>
      </c>
      <c r="D201" s="15" t="s">
        <v>88</v>
      </c>
      <c r="E201" s="15" t="s">
        <v>95</v>
      </c>
      <c r="F201" s="15" t="s">
        <v>184</v>
      </c>
      <c r="G201" s="152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thickBot="1" x14ac:dyDescent="0.35">
      <c r="A202" s="93" t="s">
        <v>86</v>
      </c>
      <c r="B202" s="93" t="s">
        <v>107</v>
      </c>
      <c r="C202" s="94">
        <v>0.82986111111111116</v>
      </c>
      <c r="D202" s="93" t="s">
        <v>91</v>
      </c>
      <c r="E202" s="93" t="s">
        <v>92</v>
      </c>
      <c r="F202" s="93" t="s">
        <v>185</v>
      </c>
      <c r="G202" s="153"/>
      <c r="H202" s="51"/>
      <c r="I202" s="52"/>
      <c r="J202" s="52"/>
      <c r="K202" s="52"/>
      <c r="L202" s="52"/>
      <c r="M202" s="52"/>
      <c r="N202" s="52"/>
      <c r="O202" s="53"/>
      <c r="P202" s="52"/>
      <c r="Q202" s="54"/>
      <c r="R202" s="55"/>
    </row>
    <row r="203" spans="1:18" ht="17.399999999999999" customHeight="1" thickBot="1" x14ac:dyDescent="0.35">
      <c r="A203" s="177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9"/>
    </row>
    <row r="204" spans="1:18" ht="22.05" customHeight="1" thickTop="1" thickBot="1" x14ac:dyDescent="0.35">
      <c r="A204" s="157" t="s">
        <v>6</v>
      </c>
      <c r="B204" s="146"/>
      <c r="C204" s="146"/>
      <c r="D204" s="146"/>
      <c r="E204" s="146"/>
      <c r="F204" s="147"/>
      <c r="G204" s="56">
        <v>45986</v>
      </c>
      <c r="H204" s="145" t="s">
        <v>7</v>
      </c>
      <c r="I204" s="146"/>
      <c r="J204" s="146"/>
      <c r="K204" s="146"/>
      <c r="L204" s="146"/>
      <c r="M204" s="146"/>
      <c r="N204" s="146"/>
      <c r="O204" s="146"/>
      <c r="P204" s="146"/>
      <c r="Q204" s="146"/>
      <c r="R204" s="147"/>
    </row>
    <row r="205" spans="1:18" ht="24" customHeight="1" x14ac:dyDescent="0.3">
      <c r="A205" s="57" t="s">
        <v>8</v>
      </c>
      <c r="B205" s="57" t="s">
        <v>9</v>
      </c>
      <c r="C205" s="58" t="s">
        <v>10</v>
      </c>
      <c r="D205" s="57" t="s">
        <v>11</v>
      </c>
      <c r="E205" s="57" t="s">
        <v>12</v>
      </c>
      <c r="F205" s="59" t="s">
        <v>13</v>
      </c>
      <c r="G205" s="60" t="s">
        <v>14</v>
      </c>
      <c r="H205" s="57" t="s">
        <v>15</v>
      </c>
      <c r="I205" s="61" t="s">
        <v>16</v>
      </c>
      <c r="J205" s="62" t="s">
        <v>17</v>
      </c>
      <c r="K205" s="63" t="s">
        <v>18</v>
      </c>
      <c r="L205" s="62" t="s">
        <v>19</v>
      </c>
      <c r="M205" s="62" t="s">
        <v>20</v>
      </c>
      <c r="N205" s="62" t="s">
        <v>21</v>
      </c>
      <c r="O205" s="57" t="s">
        <v>22</v>
      </c>
      <c r="P205" s="58" t="s">
        <v>23</v>
      </c>
      <c r="Q205" s="62" t="s">
        <v>24</v>
      </c>
      <c r="R205" s="57" t="s">
        <v>25</v>
      </c>
    </row>
    <row r="206" spans="1:18" ht="15" customHeight="1" x14ac:dyDescent="0.3">
      <c r="A206" s="8" t="s">
        <v>59</v>
      </c>
      <c r="B206" s="8" t="s">
        <v>60</v>
      </c>
      <c r="C206" s="9">
        <v>0.66666666666666663</v>
      </c>
      <c r="D206" s="8" t="s">
        <v>61</v>
      </c>
      <c r="E206" s="8" t="s">
        <v>41</v>
      </c>
      <c r="F206" s="8" t="s">
        <v>129</v>
      </c>
      <c r="G206" s="162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59</v>
      </c>
      <c r="B207" s="15" t="s">
        <v>130</v>
      </c>
      <c r="C207" s="16">
        <v>0.36458333333333331</v>
      </c>
      <c r="D207" s="15" t="s">
        <v>61</v>
      </c>
      <c r="E207" s="15" t="s">
        <v>95</v>
      </c>
      <c r="F207" s="15" t="s">
        <v>129</v>
      </c>
      <c r="G207" s="152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5" t="s">
        <v>59</v>
      </c>
      <c r="B208" s="15" t="s">
        <v>220</v>
      </c>
      <c r="C208" s="16">
        <v>4.5138888888888888E-2</v>
      </c>
      <c r="D208" s="15" t="s">
        <v>61</v>
      </c>
      <c r="E208" s="15" t="s">
        <v>95</v>
      </c>
      <c r="F208" s="15" t="s">
        <v>129</v>
      </c>
      <c r="G208" s="152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7" t="s">
        <v>26</v>
      </c>
      <c r="B209" s="17" t="s">
        <v>33</v>
      </c>
      <c r="C209" s="18">
        <v>0.30208333333333331</v>
      </c>
      <c r="D209" s="17" t="s">
        <v>132</v>
      </c>
      <c r="E209" s="17" t="s">
        <v>128</v>
      </c>
      <c r="F209" s="17" t="s">
        <v>221</v>
      </c>
      <c r="G209" s="152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47" t="s">
        <v>26</v>
      </c>
      <c r="B210" s="47" t="s">
        <v>33</v>
      </c>
      <c r="C210" s="48">
        <v>0.30208333333333331</v>
      </c>
      <c r="D210" s="47" t="s">
        <v>134</v>
      </c>
      <c r="E210" s="47" t="s">
        <v>222</v>
      </c>
      <c r="F210" s="47" t="s">
        <v>223</v>
      </c>
      <c r="G210" s="152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47" t="s">
        <v>26</v>
      </c>
      <c r="B211" s="47" t="s">
        <v>33</v>
      </c>
      <c r="C211" s="48">
        <v>0.30208333333333331</v>
      </c>
      <c r="D211" s="47" t="s">
        <v>136</v>
      </c>
      <c r="E211" s="47" t="s">
        <v>222</v>
      </c>
      <c r="F211" s="47" t="s">
        <v>137</v>
      </c>
      <c r="G211" s="152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5" t="s">
        <v>26</v>
      </c>
      <c r="B212" s="15" t="s">
        <v>27</v>
      </c>
      <c r="C212" s="16">
        <v>0.12847222222222221</v>
      </c>
      <c r="D212" s="15" t="s">
        <v>132</v>
      </c>
      <c r="E212" s="15" t="s">
        <v>224</v>
      </c>
      <c r="F212" s="15" t="s">
        <v>221</v>
      </c>
      <c r="G212" s="152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47" t="s">
        <v>26</v>
      </c>
      <c r="B213" s="47" t="s">
        <v>27</v>
      </c>
      <c r="C213" s="48">
        <v>0.12847222222222221</v>
      </c>
      <c r="D213" s="47" t="s">
        <v>134</v>
      </c>
      <c r="E213" s="47" t="s">
        <v>225</v>
      </c>
      <c r="F213" s="47" t="s">
        <v>223</v>
      </c>
      <c r="G213" s="152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47" t="s">
        <v>26</v>
      </c>
      <c r="B214" s="47" t="s">
        <v>27</v>
      </c>
      <c r="C214" s="48">
        <v>0.12847222222222221</v>
      </c>
      <c r="D214" s="47" t="s">
        <v>136</v>
      </c>
      <c r="E214" s="47" t="s">
        <v>225</v>
      </c>
      <c r="F214" s="47" t="s">
        <v>137</v>
      </c>
      <c r="G214" s="152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5" t="s">
        <v>26</v>
      </c>
      <c r="B215" s="15" t="s">
        <v>36</v>
      </c>
      <c r="C215" s="16">
        <v>0.78819444444444453</v>
      </c>
      <c r="D215" s="15" t="s">
        <v>132</v>
      </c>
      <c r="E215" s="15" t="s">
        <v>125</v>
      </c>
      <c r="F215" s="15" t="s">
        <v>221</v>
      </c>
      <c r="G215" s="152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47" t="s">
        <v>26</v>
      </c>
      <c r="B216" s="47" t="s">
        <v>36</v>
      </c>
      <c r="C216" s="48">
        <v>0.78819444444444453</v>
      </c>
      <c r="D216" s="47" t="s">
        <v>134</v>
      </c>
      <c r="E216" s="47" t="s">
        <v>222</v>
      </c>
      <c r="F216" s="47" t="s">
        <v>223</v>
      </c>
      <c r="G216" s="152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47" t="s">
        <v>26</v>
      </c>
      <c r="B217" s="47" t="s">
        <v>36</v>
      </c>
      <c r="C217" s="48">
        <v>0.78819444444444453</v>
      </c>
      <c r="D217" s="47" t="s">
        <v>136</v>
      </c>
      <c r="E217" s="47" t="s">
        <v>222</v>
      </c>
      <c r="F217" s="47" t="s">
        <v>137</v>
      </c>
      <c r="G217" s="152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5" t="s">
        <v>26</v>
      </c>
      <c r="B218" s="15" t="s">
        <v>31</v>
      </c>
      <c r="C218" s="16">
        <v>0.88888888888888884</v>
      </c>
      <c r="D218" s="15" t="s">
        <v>132</v>
      </c>
      <c r="E218" s="15" t="s">
        <v>123</v>
      </c>
      <c r="F218" s="15" t="s">
        <v>221</v>
      </c>
      <c r="G218" s="152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47" t="s">
        <v>26</v>
      </c>
      <c r="B219" s="47" t="s">
        <v>31</v>
      </c>
      <c r="C219" s="48">
        <v>0.88888888888888884</v>
      </c>
      <c r="D219" s="47" t="s">
        <v>134</v>
      </c>
      <c r="E219" s="47" t="s">
        <v>186</v>
      </c>
      <c r="F219" s="47" t="s">
        <v>223</v>
      </c>
      <c r="G219" s="152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47" t="s">
        <v>26</v>
      </c>
      <c r="B220" s="47" t="s">
        <v>31</v>
      </c>
      <c r="C220" s="48">
        <v>0.88888888888888884</v>
      </c>
      <c r="D220" s="47" t="s">
        <v>136</v>
      </c>
      <c r="E220" s="47" t="s">
        <v>186</v>
      </c>
      <c r="F220" s="47" t="s">
        <v>137</v>
      </c>
      <c r="G220" s="152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07" t="s">
        <v>68</v>
      </c>
      <c r="B221" s="107" t="s">
        <v>164</v>
      </c>
      <c r="C221" s="108">
        <v>0.93402777777777779</v>
      </c>
      <c r="D221" s="107" t="s">
        <v>70</v>
      </c>
      <c r="E221" s="107" t="s">
        <v>89</v>
      </c>
      <c r="F221" s="107" t="s">
        <v>226</v>
      </c>
      <c r="G221" s="152"/>
      <c r="H221" s="30" t="s">
        <v>166</v>
      </c>
      <c r="I221" s="109">
        <v>0.68159999999999998</v>
      </c>
      <c r="J221" s="32">
        <v>122</v>
      </c>
      <c r="K221" s="33">
        <v>45981</v>
      </c>
      <c r="L221" s="32">
        <v>26</v>
      </c>
      <c r="M221" s="32">
        <v>2</v>
      </c>
      <c r="N221" s="32">
        <v>2</v>
      </c>
      <c r="O221" s="34" t="s">
        <v>227</v>
      </c>
      <c r="P221" s="35">
        <v>0.93402777777777779</v>
      </c>
      <c r="Q221" s="32">
        <v>179</v>
      </c>
      <c r="R221" s="36" t="s">
        <v>228</v>
      </c>
    </row>
    <row r="222" spans="1:18" ht="15" customHeight="1" x14ac:dyDescent="0.3">
      <c r="A222" s="110" t="s">
        <v>68</v>
      </c>
      <c r="B222" s="110" t="s">
        <v>229</v>
      </c>
      <c r="C222" s="111">
        <v>0.22916666666666671</v>
      </c>
      <c r="D222" s="110" t="s">
        <v>70</v>
      </c>
      <c r="E222" s="110" t="s">
        <v>95</v>
      </c>
      <c r="F222" s="110" t="s">
        <v>226</v>
      </c>
      <c r="G222" s="152"/>
      <c r="H222" s="21" t="s">
        <v>230</v>
      </c>
      <c r="I222" s="112">
        <v>0.35749999999999998</v>
      </c>
      <c r="J222" s="23">
        <v>64</v>
      </c>
      <c r="K222" s="24">
        <v>45981</v>
      </c>
      <c r="L222" s="23">
        <v>47</v>
      </c>
      <c r="M222" s="23">
        <v>9</v>
      </c>
      <c r="N222" s="23">
        <v>1</v>
      </c>
      <c r="O222" s="25" t="s">
        <v>227</v>
      </c>
      <c r="P222" s="26">
        <v>0.22916666666666671</v>
      </c>
      <c r="Q222" s="23">
        <v>179</v>
      </c>
      <c r="R222" s="27" t="s">
        <v>231</v>
      </c>
    </row>
    <row r="223" spans="1:18" ht="15" customHeight="1" x14ac:dyDescent="0.3">
      <c r="A223" s="105" t="s">
        <v>68</v>
      </c>
      <c r="B223" s="105" t="s">
        <v>172</v>
      </c>
      <c r="C223" s="106">
        <v>0.96875</v>
      </c>
      <c r="D223" s="105" t="s">
        <v>70</v>
      </c>
      <c r="E223" s="105" t="s">
        <v>95</v>
      </c>
      <c r="F223" s="105" t="s">
        <v>226</v>
      </c>
      <c r="G223" s="152"/>
      <c r="H223" s="97" t="s">
        <v>81</v>
      </c>
      <c r="I223" s="113">
        <v>0.58660000000000001</v>
      </c>
      <c r="J223" s="99">
        <v>105</v>
      </c>
      <c r="K223" s="100">
        <v>45981</v>
      </c>
      <c r="L223" s="99">
        <v>36</v>
      </c>
      <c r="M223" s="99">
        <v>5</v>
      </c>
      <c r="N223" s="99">
        <v>7</v>
      </c>
      <c r="O223" s="101" t="s">
        <v>227</v>
      </c>
      <c r="P223" s="102">
        <v>0.96875</v>
      </c>
      <c r="Q223" s="99">
        <v>179</v>
      </c>
      <c r="R223" s="103" t="s">
        <v>232</v>
      </c>
    </row>
    <row r="224" spans="1:18" ht="15" customHeight="1" x14ac:dyDescent="0.3">
      <c r="A224" s="114" t="s">
        <v>68</v>
      </c>
      <c r="B224" s="114" t="s">
        <v>76</v>
      </c>
      <c r="C224" s="115">
        <v>0.61458333333333337</v>
      </c>
      <c r="D224" s="114" t="s">
        <v>70</v>
      </c>
      <c r="E224" s="114" t="s">
        <v>95</v>
      </c>
      <c r="F224" s="114" t="s">
        <v>226</v>
      </c>
      <c r="G224" s="152"/>
      <c r="H224" s="66" t="s">
        <v>78</v>
      </c>
      <c r="I224" s="67">
        <v>0.82679999999999998</v>
      </c>
      <c r="J224" s="68">
        <v>148</v>
      </c>
      <c r="K224" s="69">
        <v>45981</v>
      </c>
      <c r="L224" s="68">
        <v>37</v>
      </c>
      <c r="M224" s="68">
        <v>12</v>
      </c>
      <c r="N224" s="68">
        <v>3</v>
      </c>
      <c r="O224" s="70" t="s">
        <v>227</v>
      </c>
      <c r="P224" s="71">
        <v>0.61458333333333337</v>
      </c>
      <c r="Q224" s="68">
        <v>179</v>
      </c>
      <c r="R224" s="72" t="s">
        <v>233</v>
      </c>
    </row>
    <row r="225" spans="1:18" ht="15" customHeight="1" x14ac:dyDescent="0.3">
      <c r="A225" s="82" t="s">
        <v>68</v>
      </c>
      <c r="B225" s="82" t="s">
        <v>174</v>
      </c>
      <c r="C225" s="83">
        <v>0.72916666666666663</v>
      </c>
      <c r="D225" s="82" t="s">
        <v>70</v>
      </c>
      <c r="E225" s="82" t="s">
        <v>47</v>
      </c>
      <c r="F225" s="82" t="s">
        <v>234</v>
      </c>
      <c r="G225" s="152"/>
      <c r="H225" s="84" t="s">
        <v>176</v>
      </c>
      <c r="I225" s="92">
        <v>0.91059999999999997</v>
      </c>
      <c r="J225" s="86">
        <v>163</v>
      </c>
      <c r="K225" s="87">
        <v>45980</v>
      </c>
      <c r="L225" s="86">
        <v>23</v>
      </c>
      <c r="M225" s="86">
        <v>0</v>
      </c>
      <c r="N225" s="86">
        <v>3</v>
      </c>
      <c r="O225" s="88" t="s">
        <v>235</v>
      </c>
      <c r="P225" s="89">
        <v>0.72916666666666663</v>
      </c>
      <c r="Q225" s="86">
        <v>179</v>
      </c>
      <c r="R225" s="90" t="s">
        <v>236</v>
      </c>
    </row>
    <row r="226" spans="1:18" ht="15" customHeight="1" x14ac:dyDescent="0.3">
      <c r="A226" s="37" t="s">
        <v>68</v>
      </c>
      <c r="B226" s="37" t="s">
        <v>200</v>
      </c>
      <c r="C226" s="38">
        <v>0.55902777777777779</v>
      </c>
      <c r="D226" s="37" t="s">
        <v>82</v>
      </c>
      <c r="E226" s="39"/>
      <c r="F226" s="37" t="s">
        <v>83</v>
      </c>
      <c r="G226" s="152"/>
      <c r="H226" s="40" t="s">
        <v>200</v>
      </c>
      <c r="I226" s="41">
        <v>0.9385</v>
      </c>
      <c r="J226" s="42">
        <v>168</v>
      </c>
      <c r="K226" s="43">
        <v>45979</v>
      </c>
      <c r="L226" s="42">
        <v>27</v>
      </c>
      <c r="M226" s="42">
        <v>0</v>
      </c>
      <c r="N226" s="42">
        <v>0</v>
      </c>
      <c r="O226" s="44" t="s">
        <v>84</v>
      </c>
      <c r="P226" s="45">
        <v>0.55902777777777779</v>
      </c>
      <c r="Q226" s="42">
        <v>179</v>
      </c>
      <c r="R226" s="46" t="s">
        <v>237</v>
      </c>
    </row>
    <row r="227" spans="1:18" ht="15" customHeight="1" x14ac:dyDescent="0.3">
      <c r="A227" s="17" t="s">
        <v>38</v>
      </c>
      <c r="B227" s="17" t="s">
        <v>43</v>
      </c>
      <c r="C227" s="18">
        <v>0.90277777777777779</v>
      </c>
      <c r="D227" s="17" t="s">
        <v>145</v>
      </c>
      <c r="E227" s="17" t="s">
        <v>128</v>
      </c>
      <c r="F227" s="17" t="s">
        <v>238</v>
      </c>
      <c r="G227" s="152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47" t="s">
        <v>38</v>
      </c>
      <c r="B228" s="47" t="s">
        <v>43</v>
      </c>
      <c r="C228" s="48">
        <v>0.90277777777777779</v>
      </c>
      <c r="D228" s="47" t="s">
        <v>147</v>
      </c>
      <c r="E228" s="47" t="s">
        <v>222</v>
      </c>
      <c r="F228" s="47" t="s">
        <v>146</v>
      </c>
      <c r="G228" s="152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47" t="s">
        <v>38</v>
      </c>
      <c r="B229" s="47" t="s">
        <v>43</v>
      </c>
      <c r="C229" s="48">
        <v>0.90277777777777779</v>
      </c>
      <c r="D229" s="47" t="s">
        <v>149</v>
      </c>
      <c r="E229" s="47" t="s">
        <v>222</v>
      </c>
      <c r="F229" s="47" t="s">
        <v>30</v>
      </c>
      <c r="G229" s="152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15" t="s">
        <v>38</v>
      </c>
      <c r="B230" s="15" t="s">
        <v>50</v>
      </c>
      <c r="C230" s="16">
        <v>0.51736111111111105</v>
      </c>
      <c r="D230" s="15" t="s">
        <v>145</v>
      </c>
      <c r="E230" s="15" t="s">
        <v>47</v>
      </c>
      <c r="F230" s="15" t="s">
        <v>238</v>
      </c>
      <c r="G230" s="152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47" t="s">
        <v>38</v>
      </c>
      <c r="B231" s="47" t="s">
        <v>50</v>
      </c>
      <c r="C231" s="48">
        <v>0.51736111111111105</v>
      </c>
      <c r="D231" s="47" t="s">
        <v>147</v>
      </c>
      <c r="E231" s="47" t="s">
        <v>188</v>
      </c>
      <c r="F231" s="47" t="s">
        <v>146</v>
      </c>
      <c r="G231" s="152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47" t="s">
        <v>38</v>
      </c>
      <c r="B232" s="47" t="s">
        <v>50</v>
      </c>
      <c r="C232" s="48">
        <v>0.51736111111111105</v>
      </c>
      <c r="D232" s="47" t="s">
        <v>149</v>
      </c>
      <c r="E232" s="47" t="s">
        <v>188</v>
      </c>
      <c r="F232" s="47" t="s">
        <v>30</v>
      </c>
      <c r="G232" s="152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5" t="s">
        <v>38</v>
      </c>
      <c r="B233" s="15" t="s">
        <v>45</v>
      </c>
      <c r="C233" s="16">
        <v>0.85416666666666663</v>
      </c>
      <c r="D233" s="15" t="s">
        <v>145</v>
      </c>
      <c r="E233" s="15" t="s">
        <v>151</v>
      </c>
      <c r="F233" s="15" t="s">
        <v>238</v>
      </c>
      <c r="G233" s="152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47" t="s">
        <v>38</v>
      </c>
      <c r="B234" s="47" t="s">
        <v>45</v>
      </c>
      <c r="C234" s="48">
        <v>0.85416666666666663</v>
      </c>
      <c r="D234" s="47" t="s">
        <v>147</v>
      </c>
      <c r="E234" s="47" t="s">
        <v>152</v>
      </c>
      <c r="F234" s="47" t="s">
        <v>146</v>
      </c>
      <c r="G234" s="152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47" t="s">
        <v>38</v>
      </c>
      <c r="B235" s="47" t="s">
        <v>45</v>
      </c>
      <c r="C235" s="48">
        <v>0.85416666666666663</v>
      </c>
      <c r="D235" s="47" t="s">
        <v>149</v>
      </c>
      <c r="E235" s="47" t="s">
        <v>152</v>
      </c>
      <c r="F235" s="47" t="s">
        <v>30</v>
      </c>
      <c r="G235" s="152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5" t="s">
        <v>38</v>
      </c>
      <c r="B236" s="15" t="s">
        <v>46</v>
      </c>
      <c r="C236" s="16">
        <v>0.79861111111111116</v>
      </c>
      <c r="D236" s="15" t="s">
        <v>145</v>
      </c>
      <c r="E236" s="15" t="s">
        <v>151</v>
      </c>
      <c r="F236" s="15" t="s">
        <v>238</v>
      </c>
      <c r="G236" s="152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47" t="s">
        <v>38</v>
      </c>
      <c r="B237" s="47" t="s">
        <v>46</v>
      </c>
      <c r="C237" s="48">
        <v>0.79861111111111116</v>
      </c>
      <c r="D237" s="47" t="s">
        <v>147</v>
      </c>
      <c r="E237" s="47" t="s">
        <v>152</v>
      </c>
      <c r="F237" s="47" t="s">
        <v>146</v>
      </c>
      <c r="G237" s="152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47" t="s">
        <v>38</v>
      </c>
      <c r="B238" s="47" t="s">
        <v>46</v>
      </c>
      <c r="C238" s="48">
        <v>0.79861111111111116</v>
      </c>
      <c r="D238" s="47" t="s">
        <v>149</v>
      </c>
      <c r="E238" s="47" t="s">
        <v>152</v>
      </c>
      <c r="F238" s="47" t="s">
        <v>30</v>
      </c>
      <c r="G238" s="152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5" t="s">
        <v>38</v>
      </c>
      <c r="B239" s="15" t="s">
        <v>39</v>
      </c>
      <c r="C239" s="16">
        <v>0.25694444444444448</v>
      </c>
      <c r="D239" s="15" t="s">
        <v>145</v>
      </c>
      <c r="E239" s="15" t="s">
        <v>44</v>
      </c>
      <c r="F239" s="15" t="s">
        <v>239</v>
      </c>
      <c r="G239" s="152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47" t="s">
        <v>38</v>
      </c>
      <c r="B240" s="47" t="s">
        <v>39</v>
      </c>
      <c r="C240" s="48">
        <v>0.25694444444444448</v>
      </c>
      <c r="D240" s="47" t="s">
        <v>147</v>
      </c>
      <c r="E240" s="47" t="s">
        <v>153</v>
      </c>
      <c r="F240" s="47" t="s">
        <v>154</v>
      </c>
      <c r="G240" s="152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47" t="s">
        <v>38</v>
      </c>
      <c r="B241" s="47" t="s">
        <v>39</v>
      </c>
      <c r="C241" s="48">
        <v>0.25694444444444448</v>
      </c>
      <c r="D241" s="47" t="s">
        <v>149</v>
      </c>
      <c r="E241" s="47" t="s">
        <v>153</v>
      </c>
      <c r="F241" s="47" t="s">
        <v>58</v>
      </c>
      <c r="G241" s="152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5" t="s">
        <v>38</v>
      </c>
      <c r="B242" s="15" t="s">
        <v>48</v>
      </c>
      <c r="C242" s="16">
        <v>0.64583333333333337</v>
      </c>
      <c r="D242" s="15" t="s">
        <v>145</v>
      </c>
      <c r="E242" s="15" t="s">
        <v>44</v>
      </c>
      <c r="F242" s="15" t="s">
        <v>239</v>
      </c>
      <c r="G242" s="152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47" t="s">
        <v>38</v>
      </c>
      <c r="B243" s="47" t="s">
        <v>48</v>
      </c>
      <c r="C243" s="48">
        <v>0.64583333333333337</v>
      </c>
      <c r="D243" s="47" t="s">
        <v>147</v>
      </c>
      <c r="E243" s="47" t="s">
        <v>153</v>
      </c>
      <c r="F243" s="47" t="s">
        <v>154</v>
      </c>
      <c r="G243" s="152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47" t="s">
        <v>38</v>
      </c>
      <c r="B244" s="47" t="s">
        <v>48</v>
      </c>
      <c r="C244" s="48">
        <v>0.64583333333333337</v>
      </c>
      <c r="D244" s="47" t="s">
        <v>149</v>
      </c>
      <c r="E244" s="47" t="s">
        <v>153</v>
      </c>
      <c r="F244" s="47" t="s">
        <v>58</v>
      </c>
      <c r="G244" s="152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15" t="s">
        <v>38</v>
      </c>
      <c r="B245" s="15" t="s">
        <v>51</v>
      </c>
      <c r="C245" s="16">
        <v>0.39583333333333331</v>
      </c>
      <c r="D245" s="15" t="s">
        <v>145</v>
      </c>
      <c r="E245" s="15" t="s">
        <v>47</v>
      </c>
      <c r="F245" s="15" t="s">
        <v>239</v>
      </c>
      <c r="G245" s="152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47" t="s">
        <v>38</v>
      </c>
      <c r="B246" s="47" t="s">
        <v>51</v>
      </c>
      <c r="C246" s="48">
        <v>0.39583333333333331</v>
      </c>
      <c r="D246" s="47" t="s">
        <v>147</v>
      </c>
      <c r="E246" s="47" t="s">
        <v>188</v>
      </c>
      <c r="F246" s="47" t="s">
        <v>154</v>
      </c>
      <c r="G246" s="152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47" t="s">
        <v>38</v>
      </c>
      <c r="B247" s="47" t="s">
        <v>51</v>
      </c>
      <c r="C247" s="48">
        <v>0.39583333333333331</v>
      </c>
      <c r="D247" s="47" t="s">
        <v>149</v>
      </c>
      <c r="E247" s="47" t="s">
        <v>188</v>
      </c>
      <c r="F247" s="47" t="s">
        <v>58</v>
      </c>
      <c r="G247" s="152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</row>
    <row r="248" spans="1:18" ht="15" customHeight="1" x14ac:dyDescent="0.3">
      <c r="A248" s="15" t="s">
        <v>38</v>
      </c>
      <c r="B248" s="15" t="s">
        <v>156</v>
      </c>
      <c r="C248" s="16">
        <v>0.30208333333333331</v>
      </c>
      <c r="D248" s="15" t="s">
        <v>145</v>
      </c>
      <c r="E248" s="15" t="s">
        <v>44</v>
      </c>
      <c r="F248" s="15" t="s">
        <v>239</v>
      </c>
      <c r="G248" s="152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x14ac:dyDescent="0.3">
      <c r="A249" s="47" t="s">
        <v>38</v>
      </c>
      <c r="B249" s="47" t="s">
        <v>156</v>
      </c>
      <c r="C249" s="48">
        <v>0.30208333333333331</v>
      </c>
      <c r="D249" s="47" t="s">
        <v>147</v>
      </c>
      <c r="E249" s="47" t="s">
        <v>153</v>
      </c>
      <c r="F249" s="47" t="s">
        <v>154</v>
      </c>
      <c r="G249" s="152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</row>
    <row r="250" spans="1:18" ht="15" customHeight="1" x14ac:dyDescent="0.3">
      <c r="A250" s="47" t="s">
        <v>38</v>
      </c>
      <c r="B250" s="47" t="s">
        <v>156</v>
      </c>
      <c r="C250" s="48">
        <v>0.30208333333333331</v>
      </c>
      <c r="D250" s="47" t="s">
        <v>149</v>
      </c>
      <c r="E250" s="47" t="s">
        <v>153</v>
      </c>
      <c r="F250" s="47" t="s">
        <v>58</v>
      </c>
      <c r="G250" s="152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</row>
    <row r="251" spans="1:18" ht="15" customHeight="1" x14ac:dyDescent="0.3">
      <c r="A251" s="17" t="s">
        <v>52</v>
      </c>
      <c r="B251" s="17" t="s">
        <v>53</v>
      </c>
      <c r="C251" s="18">
        <v>0.22222222222222221</v>
      </c>
      <c r="D251" s="17" t="s">
        <v>161</v>
      </c>
      <c r="E251" s="17" t="s">
        <v>55</v>
      </c>
      <c r="F251" s="17" t="s">
        <v>240</v>
      </c>
      <c r="G251" s="152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</row>
    <row r="252" spans="1:18" ht="15" customHeight="1" x14ac:dyDescent="0.3">
      <c r="A252" s="47" t="s">
        <v>52</v>
      </c>
      <c r="B252" s="47" t="s">
        <v>53</v>
      </c>
      <c r="C252" s="48">
        <v>0.22222222222222221</v>
      </c>
      <c r="D252" s="47" t="s">
        <v>136</v>
      </c>
      <c r="E252" s="47" t="s">
        <v>153</v>
      </c>
      <c r="F252" s="47" t="s">
        <v>241</v>
      </c>
      <c r="G252" s="152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</row>
    <row r="253" spans="1:18" ht="15" customHeight="1" x14ac:dyDescent="0.3">
      <c r="A253" s="17" t="s">
        <v>64</v>
      </c>
      <c r="B253" s="17" t="s">
        <v>65</v>
      </c>
      <c r="C253" s="18">
        <v>0.27430555555555552</v>
      </c>
      <c r="D253" s="17" t="s">
        <v>61</v>
      </c>
      <c r="E253" s="17" t="s">
        <v>89</v>
      </c>
      <c r="F253" s="17" t="s">
        <v>158</v>
      </c>
      <c r="G253" s="152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5" t="s">
        <v>64</v>
      </c>
      <c r="B254" s="15" t="s">
        <v>214</v>
      </c>
      <c r="C254" s="16">
        <v>0.73958333333333337</v>
      </c>
      <c r="D254" s="15" t="s">
        <v>61</v>
      </c>
      <c r="E254" s="15" t="s">
        <v>95</v>
      </c>
      <c r="F254" s="15" t="s">
        <v>160</v>
      </c>
      <c r="G254" s="152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17" t="s">
        <v>86</v>
      </c>
      <c r="B255" s="17" t="s">
        <v>87</v>
      </c>
      <c r="C255" s="18">
        <v>0.37847222222222232</v>
      </c>
      <c r="D255" s="17" t="s">
        <v>88</v>
      </c>
      <c r="E255" s="17" t="s">
        <v>89</v>
      </c>
      <c r="F255" s="17" t="s">
        <v>215</v>
      </c>
      <c r="G255" s="152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47" t="s">
        <v>86</v>
      </c>
      <c r="B256" s="47" t="s">
        <v>87</v>
      </c>
      <c r="C256" s="48">
        <v>0.37847222222222232</v>
      </c>
      <c r="D256" s="47" t="s">
        <v>91</v>
      </c>
      <c r="E256" s="47" t="s">
        <v>92</v>
      </c>
      <c r="F256" s="47" t="s">
        <v>216</v>
      </c>
      <c r="G256" s="152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5" t="s">
        <v>86</v>
      </c>
      <c r="B257" s="15" t="s">
        <v>96</v>
      </c>
      <c r="C257" s="16">
        <v>6.9444444444444441E-3</v>
      </c>
      <c r="D257" s="15" t="s">
        <v>88</v>
      </c>
      <c r="E257" s="15" t="s">
        <v>95</v>
      </c>
      <c r="F257" s="15" t="s">
        <v>215</v>
      </c>
      <c r="G257" s="152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47" t="s">
        <v>86</v>
      </c>
      <c r="B258" s="47" t="s">
        <v>96</v>
      </c>
      <c r="C258" s="48">
        <v>6.9444444444444441E-3</v>
      </c>
      <c r="D258" s="47" t="s">
        <v>91</v>
      </c>
      <c r="E258" s="47" t="s">
        <v>92</v>
      </c>
      <c r="F258" s="47" t="s">
        <v>216</v>
      </c>
      <c r="G258" s="152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5" t="s">
        <v>86</v>
      </c>
      <c r="B259" s="15" t="s">
        <v>99</v>
      </c>
      <c r="C259" s="16">
        <v>0.23958333333333329</v>
      </c>
      <c r="D259" s="15" t="s">
        <v>88</v>
      </c>
      <c r="E259" s="15" t="s">
        <v>95</v>
      </c>
      <c r="F259" s="15" t="s">
        <v>215</v>
      </c>
      <c r="G259" s="152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47" t="s">
        <v>86</v>
      </c>
      <c r="B260" s="47" t="s">
        <v>99</v>
      </c>
      <c r="C260" s="48">
        <v>0.23958333333333329</v>
      </c>
      <c r="D260" s="47" t="s">
        <v>91</v>
      </c>
      <c r="E260" s="47" t="s">
        <v>92</v>
      </c>
      <c r="F260" s="47" t="s">
        <v>216</v>
      </c>
      <c r="G260" s="152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86</v>
      </c>
      <c r="B261" s="15" t="s">
        <v>97</v>
      </c>
      <c r="C261" s="16">
        <v>0.1423611111111111</v>
      </c>
      <c r="D261" s="15" t="s">
        <v>88</v>
      </c>
      <c r="E261" s="15" t="s">
        <v>95</v>
      </c>
      <c r="F261" s="15" t="s">
        <v>215</v>
      </c>
      <c r="G261" s="152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47" t="s">
        <v>86</v>
      </c>
      <c r="B262" s="47" t="s">
        <v>97</v>
      </c>
      <c r="C262" s="48">
        <v>0.1423611111111111</v>
      </c>
      <c r="D262" s="47" t="s">
        <v>91</v>
      </c>
      <c r="E262" s="47" t="s">
        <v>92</v>
      </c>
      <c r="F262" s="47" t="s">
        <v>216</v>
      </c>
      <c r="G262" s="152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5" t="s">
        <v>86</v>
      </c>
      <c r="B263" s="15" t="s">
        <v>98</v>
      </c>
      <c r="C263" s="16">
        <v>0.93055555555555547</v>
      </c>
      <c r="D263" s="15" t="s">
        <v>88</v>
      </c>
      <c r="E263" s="15" t="s">
        <v>95</v>
      </c>
      <c r="F263" s="15" t="s">
        <v>215</v>
      </c>
      <c r="G263" s="152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47" t="s">
        <v>86</v>
      </c>
      <c r="B264" s="47" t="s">
        <v>98</v>
      </c>
      <c r="C264" s="48">
        <v>0.93055555555555547</v>
      </c>
      <c r="D264" s="47" t="s">
        <v>91</v>
      </c>
      <c r="E264" s="47" t="s">
        <v>92</v>
      </c>
      <c r="F264" s="47" t="s">
        <v>216</v>
      </c>
      <c r="G264" s="152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5" t="s">
        <v>86</v>
      </c>
      <c r="B265" s="15" t="s">
        <v>94</v>
      </c>
      <c r="C265" s="16">
        <v>0.71875</v>
      </c>
      <c r="D265" s="15" t="s">
        <v>88</v>
      </c>
      <c r="E265" s="15" t="s">
        <v>95</v>
      </c>
      <c r="F265" s="15" t="s">
        <v>242</v>
      </c>
      <c r="G265" s="152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47" t="s">
        <v>86</v>
      </c>
      <c r="B266" s="47" t="s">
        <v>94</v>
      </c>
      <c r="C266" s="48">
        <v>0.71875</v>
      </c>
      <c r="D266" s="47" t="s">
        <v>91</v>
      </c>
      <c r="E266" s="47" t="s">
        <v>92</v>
      </c>
      <c r="F266" s="47" t="s">
        <v>243</v>
      </c>
      <c r="G266" s="152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5" t="s">
        <v>86</v>
      </c>
      <c r="B267" s="15" t="s">
        <v>107</v>
      </c>
      <c r="C267" s="16">
        <v>0.82986111111111116</v>
      </c>
      <c r="D267" s="15" t="s">
        <v>88</v>
      </c>
      <c r="E267" s="15" t="s">
        <v>95</v>
      </c>
      <c r="F267" s="15" t="s">
        <v>242</v>
      </c>
      <c r="G267" s="152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47" t="s">
        <v>86</v>
      </c>
      <c r="B268" s="47" t="s">
        <v>107</v>
      </c>
      <c r="C268" s="48">
        <v>0.82986111111111116</v>
      </c>
      <c r="D268" s="47" t="s">
        <v>91</v>
      </c>
      <c r="E268" s="47" t="s">
        <v>92</v>
      </c>
      <c r="F268" s="47" t="s">
        <v>243</v>
      </c>
      <c r="G268" s="152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5" t="s">
        <v>86</v>
      </c>
      <c r="B269" s="15" t="s">
        <v>102</v>
      </c>
      <c r="C269" s="16">
        <v>0.88888888888888884</v>
      </c>
      <c r="D269" s="15" t="s">
        <v>91</v>
      </c>
      <c r="E269" s="15" t="s">
        <v>34</v>
      </c>
      <c r="F269" s="15" t="s">
        <v>217</v>
      </c>
      <c r="G269" s="152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5" t="s">
        <v>86</v>
      </c>
      <c r="B270" s="15" t="s">
        <v>108</v>
      </c>
      <c r="C270" s="16">
        <v>0.30208333333333331</v>
      </c>
      <c r="D270" s="15" t="s">
        <v>91</v>
      </c>
      <c r="E270" s="15" t="s">
        <v>34</v>
      </c>
      <c r="F270" s="15" t="s">
        <v>217</v>
      </c>
      <c r="G270" s="152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5" t="s">
        <v>86</v>
      </c>
      <c r="B271" s="15" t="s">
        <v>110</v>
      </c>
      <c r="C271" s="16">
        <v>0.12847222222222221</v>
      </c>
      <c r="D271" s="15" t="s">
        <v>91</v>
      </c>
      <c r="E271" s="15" t="s">
        <v>34</v>
      </c>
      <c r="F271" s="15" t="s">
        <v>217</v>
      </c>
      <c r="G271" s="152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5" t="s">
        <v>86</v>
      </c>
      <c r="B272" s="15" t="s">
        <v>111</v>
      </c>
      <c r="C272" s="16">
        <v>0.78819444444444453</v>
      </c>
      <c r="D272" s="15" t="s">
        <v>91</v>
      </c>
      <c r="E272" s="15" t="s">
        <v>34</v>
      </c>
      <c r="F272" s="15" t="s">
        <v>217</v>
      </c>
      <c r="G272" s="152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7" t="s">
        <v>112</v>
      </c>
      <c r="B273" s="17" t="s">
        <v>119</v>
      </c>
      <c r="C273" s="18">
        <v>0.4861111111111111</v>
      </c>
      <c r="D273" s="17" t="s">
        <v>114</v>
      </c>
      <c r="E273" s="17" t="s">
        <v>89</v>
      </c>
      <c r="F273" s="17" t="s">
        <v>210</v>
      </c>
      <c r="G273" s="152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5" t="s">
        <v>112</v>
      </c>
      <c r="B274" s="15" t="s">
        <v>122</v>
      </c>
      <c r="C274" s="16">
        <v>0.51388888888888895</v>
      </c>
      <c r="D274" s="15" t="s">
        <v>114</v>
      </c>
      <c r="E274" s="15" t="s">
        <v>95</v>
      </c>
      <c r="F274" s="15" t="s">
        <v>210</v>
      </c>
      <c r="G274" s="152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5" t="s">
        <v>112</v>
      </c>
      <c r="B275" s="15" t="s">
        <v>116</v>
      </c>
      <c r="C275" s="16">
        <v>0.22222222222222221</v>
      </c>
      <c r="D275" s="15" t="s">
        <v>114</v>
      </c>
      <c r="E275" s="15" t="s">
        <v>95</v>
      </c>
      <c r="F275" s="15" t="s">
        <v>244</v>
      </c>
      <c r="G275" s="152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5" t="s">
        <v>112</v>
      </c>
      <c r="B276" s="15" t="s">
        <v>113</v>
      </c>
      <c r="C276" s="16">
        <v>0.27777777777777779</v>
      </c>
      <c r="D276" s="15" t="s">
        <v>114</v>
      </c>
      <c r="E276" s="15" t="s">
        <v>95</v>
      </c>
      <c r="F276" s="15" t="s">
        <v>245</v>
      </c>
      <c r="G276" s="152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49" t="s">
        <v>112</v>
      </c>
      <c r="B277" s="49" t="s">
        <v>126</v>
      </c>
      <c r="C277" s="50">
        <v>0.77430555555555547</v>
      </c>
      <c r="D277" s="49" t="s">
        <v>114</v>
      </c>
      <c r="E277" s="49" t="s">
        <v>95</v>
      </c>
      <c r="F277" s="49" t="s">
        <v>127</v>
      </c>
      <c r="G277" s="153"/>
      <c r="H277" s="51"/>
      <c r="I277" s="52"/>
      <c r="J277" s="52"/>
      <c r="K277" s="52"/>
      <c r="L277" s="52"/>
      <c r="M277" s="52"/>
      <c r="N277" s="52"/>
      <c r="O277" s="53"/>
      <c r="P277" s="52"/>
      <c r="Q277" s="54"/>
      <c r="R277" s="55"/>
    </row>
  </sheetData>
  <mergeCells count="22">
    <mergeCell ref="G206:G277"/>
    <mergeCell ref="H204:R204"/>
    <mergeCell ref="H127:R127"/>
    <mergeCell ref="A2:F2"/>
    <mergeCell ref="A3:R3"/>
    <mergeCell ref="G6:G51"/>
    <mergeCell ref="A204:F204"/>
    <mergeCell ref="A203:R203"/>
    <mergeCell ref="G2:J2"/>
    <mergeCell ref="A4:F4"/>
    <mergeCell ref="A126:R126"/>
    <mergeCell ref="A53:F53"/>
    <mergeCell ref="A52:R52"/>
    <mergeCell ref="K2:R2"/>
    <mergeCell ref="A127:F127"/>
    <mergeCell ref="G129:G202"/>
    <mergeCell ref="H53:R53"/>
    <mergeCell ref="H1:L1"/>
    <mergeCell ref="A1:E1"/>
    <mergeCell ref="G55:G125"/>
    <mergeCell ref="H4:R4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1" x14ac:dyDescent="0.3"/>
  <cols>
    <col min="1" max="1" width="9.77734375" style="164" bestFit="1" customWidth="1"/>
    <col min="2" max="2" width="10.44140625" style="164" bestFit="1" customWidth="1"/>
    <col min="3" max="3" width="6.77734375" style="164" bestFit="1" customWidth="1"/>
    <col min="4" max="4" width="5.5546875" style="164" bestFit="1" customWidth="1"/>
    <col min="5" max="5" width="7.5546875" style="164" bestFit="1" customWidth="1"/>
    <col min="6" max="6" width="4.21875" style="164" bestFit="1" customWidth="1"/>
    <col min="7" max="7" width="10" style="164" bestFit="1" customWidth="1"/>
    <col min="8" max="10" width="8.5546875" style="164" bestFit="1" customWidth="1"/>
    <col min="11" max="11" width="10.5546875" style="164" bestFit="1" customWidth="1"/>
    <col min="12" max="12" width="9.109375" style="164" bestFit="1" customWidth="1"/>
    <col min="13" max="13" width="7.6640625" style="164" bestFit="1" customWidth="1" outlineLevel="1"/>
    <col min="14" max="14" width="6.33203125" style="164" bestFit="1" customWidth="1" outlineLevel="1"/>
    <col min="15" max="15" width="8" style="164" bestFit="1" customWidth="1" outlineLevel="1"/>
    <col min="16" max="16" width="13.6640625" style="164" bestFit="1" customWidth="1"/>
    <col min="17" max="24" width="3.88671875" style="164" bestFit="1" customWidth="1"/>
    <col min="25" max="25" width="4.44140625" style="164" bestFit="1" customWidth="1"/>
    <col min="26" max="26" width="4.109375" style="164" bestFit="1" customWidth="1"/>
    <col min="27" max="27" width="5" style="164" bestFit="1" customWidth="1"/>
    <col min="28" max="29" width="4.21875" style="164" bestFit="1" customWidth="1"/>
    <col min="30" max="31" width="4.5546875" style="164" bestFit="1" customWidth="1"/>
    <col min="32" max="32" width="3.88671875" style="164" bestFit="1" customWidth="1"/>
    <col min="33" max="33" width="4.21875" style="164" bestFit="1" customWidth="1"/>
    <col min="34" max="34" width="3.88671875" style="164" bestFit="1" customWidth="1"/>
    <col min="35" max="35" width="5.21875" style="164" bestFit="1" customWidth="1"/>
    <col min="36" max="36" width="3.88671875" style="164" bestFit="1" customWidth="1"/>
    <col min="37" max="16384" width="8.88671875" style="164"/>
  </cols>
  <sheetData>
    <row r="1" spans="1:36" x14ac:dyDescent="0.3">
      <c r="A1" s="163" t="s">
        <v>246</v>
      </c>
      <c r="B1" s="163" t="s">
        <v>247</v>
      </c>
      <c r="C1" s="163" t="s">
        <v>248</v>
      </c>
      <c r="D1" s="163" t="s">
        <v>23</v>
      </c>
      <c r="E1" s="163" t="s">
        <v>249</v>
      </c>
      <c r="F1" s="163" t="s">
        <v>250</v>
      </c>
      <c r="G1" s="163" t="s">
        <v>16</v>
      </c>
      <c r="H1" s="163" t="s">
        <v>251</v>
      </c>
      <c r="I1" s="163" t="s">
        <v>252</v>
      </c>
      <c r="J1" s="163" t="s">
        <v>253</v>
      </c>
      <c r="K1" s="163" t="s">
        <v>254</v>
      </c>
      <c r="L1" s="163" t="s">
        <v>18</v>
      </c>
      <c r="M1" s="163" t="s">
        <v>20</v>
      </c>
      <c r="N1" s="163" t="s">
        <v>21</v>
      </c>
      <c r="O1" s="163" t="s">
        <v>19</v>
      </c>
      <c r="P1" s="163" t="s">
        <v>22</v>
      </c>
      <c r="Q1" s="163" t="s">
        <v>255</v>
      </c>
      <c r="R1" s="163" t="s">
        <v>256</v>
      </c>
      <c r="S1" s="163" t="s">
        <v>257</v>
      </c>
      <c r="T1" s="163" t="s">
        <v>258</v>
      </c>
      <c r="U1" s="163" t="s">
        <v>259</v>
      </c>
      <c r="V1" s="163" t="s">
        <v>260</v>
      </c>
      <c r="W1" s="163" t="s">
        <v>261</v>
      </c>
      <c r="X1" s="163" t="s">
        <v>262</v>
      </c>
      <c r="Y1" s="163" t="s">
        <v>263</v>
      </c>
      <c r="Z1" s="163" t="s">
        <v>264</v>
      </c>
      <c r="AA1" s="163" t="s">
        <v>265</v>
      </c>
      <c r="AB1" s="163" t="s">
        <v>266</v>
      </c>
      <c r="AC1" s="163" t="s">
        <v>267</v>
      </c>
      <c r="AD1" s="163" t="s">
        <v>268</v>
      </c>
      <c r="AE1" s="163" t="s">
        <v>269</v>
      </c>
      <c r="AF1" s="163" t="s">
        <v>270</v>
      </c>
      <c r="AG1" s="163" t="s">
        <v>271</v>
      </c>
      <c r="AH1" s="163" t="s">
        <v>272</v>
      </c>
      <c r="AI1" s="163" t="s">
        <v>273</v>
      </c>
      <c r="AJ1" s="163" t="s">
        <v>274</v>
      </c>
    </row>
    <row r="2" spans="1:36" x14ac:dyDescent="0.3">
      <c r="A2" s="165" t="s">
        <v>275</v>
      </c>
      <c r="B2" s="166">
        <v>45983</v>
      </c>
      <c r="C2" s="167" t="s">
        <v>73</v>
      </c>
      <c r="D2" s="168" t="s">
        <v>276</v>
      </c>
      <c r="E2" s="167" t="s">
        <v>1</v>
      </c>
      <c r="F2" s="167" t="s">
        <v>277</v>
      </c>
      <c r="G2" s="169">
        <v>0.98319999999999996</v>
      </c>
      <c r="H2" s="170">
        <v>179</v>
      </c>
      <c r="I2" s="170">
        <v>176</v>
      </c>
      <c r="J2" s="170">
        <v>50</v>
      </c>
      <c r="K2" s="167" t="s">
        <v>278</v>
      </c>
      <c r="L2" s="171">
        <v>45981</v>
      </c>
      <c r="M2" s="170">
        <v>6</v>
      </c>
      <c r="N2" s="170">
        <v>0</v>
      </c>
      <c r="O2" s="170">
        <v>6</v>
      </c>
      <c r="P2" s="167" t="s">
        <v>74</v>
      </c>
      <c r="Q2" s="163"/>
      <c r="R2" s="163"/>
      <c r="S2" s="163"/>
      <c r="T2" s="163"/>
      <c r="U2" s="163"/>
      <c r="V2" s="163"/>
      <c r="W2" s="170" t="s">
        <v>279</v>
      </c>
      <c r="X2" s="163"/>
      <c r="Y2" s="170" t="s">
        <v>280</v>
      </c>
      <c r="Z2" s="170" t="s">
        <v>281</v>
      </c>
      <c r="AA2" s="170" t="s">
        <v>282</v>
      </c>
      <c r="AB2" s="170" t="s">
        <v>283</v>
      </c>
      <c r="AC2" s="170" t="s">
        <v>201</v>
      </c>
      <c r="AD2" s="170" t="s">
        <v>284</v>
      </c>
      <c r="AE2" s="170" t="s">
        <v>285</v>
      </c>
      <c r="AF2" s="170" t="s">
        <v>286</v>
      </c>
      <c r="AG2" s="163"/>
      <c r="AH2" s="163"/>
      <c r="AI2" s="170" t="s">
        <v>287</v>
      </c>
      <c r="AJ2" s="163"/>
    </row>
    <row r="3" spans="1:36" x14ac:dyDescent="0.3">
      <c r="A3" s="165" t="s">
        <v>275</v>
      </c>
      <c r="B3" s="166">
        <v>45983</v>
      </c>
      <c r="C3" s="167" t="s">
        <v>81</v>
      </c>
      <c r="D3" s="168" t="s">
        <v>288</v>
      </c>
      <c r="E3" s="167" t="s">
        <v>1</v>
      </c>
      <c r="F3" s="167" t="s">
        <v>277</v>
      </c>
      <c r="G3" s="169">
        <v>1</v>
      </c>
      <c r="H3" s="170">
        <v>179</v>
      </c>
      <c r="I3" s="170">
        <v>179</v>
      </c>
      <c r="J3" s="170">
        <v>134</v>
      </c>
      <c r="K3" s="167" t="s">
        <v>278</v>
      </c>
      <c r="L3" s="171">
        <v>45979</v>
      </c>
      <c r="M3" s="170">
        <v>0</v>
      </c>
      <c r="N3" s="170">
        <v>0</v>
      </c>
      <c r="O3" s="170">
        <v>4</v>
      </c>
      <c r="P3" s="167" t="s">
        <v>84</v>
      </c>
      <c r="Q3" s="163"/>
      <c r="R3" s="163"/>
      <c r="S3" s="163"/>
      <c r="T3" s="163"/>
      <c r="U3" s="163"/>
      <c r="V3" s="170" t="s">
        <v>289</v>
      </c>
      <c r="W3" s="163"/>
      <c r="X3" s="170" t="s">
        <v>290</v>
      </c>
      <c r="Y3" s="163"/>
      <c r="Z3" s="170" t="s">
        <v>291</v>
      </c>
      <c r="AA3" s="170" t="s">
        <v>292</v>
      </c>
      <c r="AB3" s="163"/>
      <c r="AC3" s="163"/>
      <c r="AD3" s="163"/>
      <c r="AE3" s="163"/>
      <c r="AF3" s="163"/>
      <c r="AG3" s="163"/>
      <c r="AH3" s="163"/>
      <c r="AI3" s="170" t="s">
        <v>293</v>
      </c>
      <c r="AJ3" s="170" t="s">
        <v>294</v>
      </c>
    </row>
    <row r="4" spans="1:36" x14ac:dyDescent="0.3">
      <c r="A4" s="165" t="s">
        <v>275</v>
      </c>
      <c r="B4" s="166">
        <v>45983</v>
      </c>
      <c r="C4" s="167" t="s">
        <v>78</v>
      </c>
      <c r="D4" s="168" t="s">
        <v>295</v>
      </c>
      <c r="E4" s="167" t="s">
        <v>1</v>
      </c>
      <c r="F4" s="167" t="s">
        <v>277</v>
      </c>
      <c r="G4" s="169">
        <v>0.99439999999999995</v>
      </c>
      <c r="H4" s="170">
        <v>179</v>
      </c>
      <c r="I4" s="170">
        <v>178</v>
      </c>
      <c r="J4" s="170">
        <v>127</v>
      </c>
      <c r="K4" s="167" t="s">
        <v>278</v>
      </c>
      <c r="L4" s="171">
        <v>45981</v>
      </c>
      <c r="M4" s="170">
        <v>3</v>
      </c>
      <c r="N4" s="170">
        <v>0</v>
      </c>
      <c r="O4" s="170">
        <v>6</v>
      </c>
      <c r="P4" s="167" t="s">
        <v>79</v>
      </c>
      <c r="Q4" s="163"/>
      <c r="R4" s="163"/>
      <c r="S4" s="163"/>
      <c r="T4" s="163"/>
      <c r="U4" s="163"/>
      <c r="V4" s="170" t="s">
        <v>296</v>
      </c>
      <c r="W4" s="163"/>
      <c r="X4" s="163"/>
      <c r="Y4" s="170" t="s">
        <v>297</v>
      </c>
      <c r="Z4" s="170" t="s">
        <v>298</v>
      </c>
      <c r="AA4" s="170" t="s">
        <v>299</v>
      </c>
      <c r="AB4" s="170" t="s">
        <v>283</v>
      </c>
      <c r="AC4" s="170" t="s">
        <v>300</v>
      </c>
      <c r="AD4" s="170" t="s">
        <v>301</v>
      </c>
      <c r="AE4" s="170" t="s">
        <v>302</v>
      </c>
      <c r="AF4" s="170" t="s">
        <v>303</v>
      </c>
      <c r="AG4" s="170" t="s">
        <v>304</v>
      </c>
      <c r="AH4" s="163"/>
      <c r="AI4" s="170" t="s">
        <v>305</v>
      </c>
      <c r="AJ4" s="170" t="s">
        <v>306</v>
      </c>
    </row>
    <row r="5" spans="1:36" x14ac:dyDescent="0.3">
      <c r="A5" s="165" t="s">
        <v>307</v>
      </c>
      <c r="B5" s="166">
        <v>45984</v>
      </c>
      <c r="C5" s="167" t="s">
        <v>166</v>
      </c>
      <c r="D5" s="168" t="s">
        <v>308</v>
      </c>
      <c r="E5" s="167" t="s">
        <v>1</v>
      </c>
      <c r="F5" s="167" t="s">
        <v>277</v>
      </c>
      <c r="G5" s="169">
        <v>0.64800000000000002</v>
      </c>
      <c r="H5" s="170">
        <v>179</v>
      </c>
      <c r="I5" s="170">
        <v>116</v>
      </c>
      <c r="J5" s="170">
        <v>28</v>
      </c>
      <c r="K5" s="167" t="s">
        <v>278</v>
      </c>
      <c r="L5" s="171">
        <v>45981</v>
      </c>
      <c r="M5" s="170">
        <v>5</v>
      </c>
      <c r="N5" s="170">
        <v>7</v>
      </c>
      <c r="O5" s="170">
        <v>55</v>
      </c>
      <c r="P5" s="167" t="s">
        <v>167</v>
      </c>
      <c r="Q5" s="163"/>
      <c r="R5" s="163"/>
      <c r="S5" s="163"/>
      <c r="T5" s="163"/>
      <c r="U5" s="163"/>
      <c r="V5" s="163"/>
      <c r="W5" s="163"/>
      <c r="X5" s="163"/>
      <c r="Y5" s="163"/>
      <c r="Z5" s="170" t="s">
        <v>309</v>
      </c>
      <c r="AA5" s="170" t="s">
        <v>310</v>
      </c>
      <c r="AB5" s="170" t="s">
        <v>311</v>
      </c>
      <c r="AC5" s="170" t="s">
        <v>312</v>
      </c>
      <c r="AD5" s="170" t="s">
        <v>301</v>
      </c>
      <c r="AE5" s="170" t="s">
        <v>313</v>
      </c>
      <c r="AF5" s="170" t="s">
        <v>303</v>
      </c>
      <c r="AG5" s="163"/>
      <c r="AH5" s="163"/>
      <c r="AI5" s="170" t="s">
        <v>314</v>
      </c>
      <c r="AJ5" s="170" t="s">
        <v>315</v>
      </c>
    </row>
    <row r="6" spans="1:36" x14ac:dyDescent="0.3">
      <c r="A6" s="165" t="s">
        <v>307</v>
      </c>
      <c r="B6" s="166">
        <v>45984</v>
      </c>
      <c r="C6" s="167" t="s">
        <v>81</v>
      </c>
      <c r="D6" s="168" t="s">
        <v>316</v>
      </c>
      <c r="E6" s="167" t="s">
        <v>1</v>
      </c>
      <c r="F6" s="167" t="s">
        <v>277</v>
      </c>
      <c r="G6" s="169">
        <v>0.55869999999999997</v>
      </c>
      <c r="H6" s="170">
        <v>179</v>
      </c>
      <c r="I6" s="170">
        <v>100</v>
      </c>
      <c r="J6" s="170">
        <v>0</v>
      </c>
      <c r="K6" s="167" t="s">
        <v>278</v>
      </c>
      <c r="L6" s="171">
        <v>45981</v>
      </c>
      <c r="M6" s="170">
        <v>3</v>
      </c>
      <c r="N6" s="170">
        <v>0</v>
      </c>
      <c r="O6" s="170">
        <v>37</v>
      </c>
      <c r="P6" s="167" t="s">
        <v>167</v>
      </c>
      <c r="Q6" s="163"/>
      <c r="R6" s="163"/>
      <c r="S6" s="163"/>
      <c r="T6" s="163"/>
      <c r="U6" s="163"/>
      <c r="V6" s="163"/>
      <c r="W6" s="163"/>
      <c r="X6" s="163"/>
      <c r="Y6" s="170" t="s">
        <v>317</v>
      </c>
      <c r="Z6" s="170" t="s">
        <v>318</v>
      </c>
      <c r="AA6" s="170" t="s">
        <v>319</v>
      </c>
      <c r="AB6" s="170" t="s">
        <v>320</v>
      </c>
      <c r="AC6" s="170" t="s">
        <v>201</v>
      </c>
      <c r="AD6" s="170" t="s">
        <v>301</v>
      </c>
      <c r="AE6" s="170" t="s">
        <v>321</v>
      </c>
      <c r="AF6" s="170" t="s">
        <v>322</v>
      </c>
      <c r="AG6" s="163"/>
      <c r="AH6" s="163"/>
      <c r="AI6" s="163"/>
      <c r="AJ6" s="163"/>
    </row>
    <row r="7" spans="1:36" x14ac:dyDescent="0.3">
      <c r="A7" s="165" t="s">
        <v>307</v>
      </c>
      <c r="B7" s="166">
        <v>45984</v>
      </c>
      <c r="C7" s="167" t="s">
        <v>170</v>
      </c>
      <c r="D7" s="168" t="s">
        <v>288</v>
      </c>
      <c r="E7" s="167" t="s">
        <v>1</v>
      </c>
      <c r="F7" s="167" t="s">
        <v>277</v>
      </c>
      <c r="G7" s="169">
        <v>0.90480000000000005</v>
      </c>
      <c r="H7" s="170">
        <v>168</v>
      </c>
      <c r="I7" s="170">
        <v>152</v>
      </c>
      <c r="J7" s="170">
        <v>62</v>
      </c>
      <c r="K7" s="167" t="s">
        <v>278</v>
      </c>
      <c r="L7" s="171">
        <v>45981</v>
      </c>
      <c r="M7" s="170">
        <v>9</v>
      </c>
      <c r="N7" s="170">
        <v>4</v>
      </c>
      <c r="O7" s="170">
        <v>37</v>
      </c>
      <c r="P7" s="167" t="s">
        <v>167</v>
      </c>
      <c r="Q7" s="163"/>
      <c r="R7" s="163"/>
      <c r="S7" s="163"/>
      <c r="T7" s="163"/>
      <c r="U7" s="163"/>
      <c r="V7" s="163"/>
      <c r="W7" s="163"/>
      <c r="X7" s="163"/>
      <c r="Y7" s="170" t="s">
        <v>323</v>
      </c>
      <c r="Z7" s="170" t="s">
        <v>324</v>
      </c>
      <c r="AA7" s="170" t="s">
        <v>319</v>
      </c>
      <c r="AB7" s="170" t="s">
        <v>325</v>
      </c>
      <c r="AC7" s="170" t="s">
        <v>201</v>
      </c>
      <c r="AD7" s="170" t="s">
        <v>326</v>
      </c>
      <c r="AE7" s="170" t="s">
        <v>313</v>
      </c>
      <c r="AF7" s="170" t="s">
        <v>322</v>
      </c>
      <c r="AG7" s="163"/>
      <c r="AH7" s="163"/>
      <c r="AI7" s="170" t="s">
        <v>327</v>
      </c>
      <c r="AJ7" s="163"/>
    </row>
    <row r="8" spans="1:36" x14ac:dyDescent="0.3">
      <c r="A8" s="165" t="s">
        <v>307</v>
      </c>
      <c r="B8" s="166">
        <v>45984</v>
      </c>
      <c r="C8" s="167" t="s">
        <v>176</v>
      </c>
      <c r="D8" s="168" t="s">
        <v>328</v>
      </c>
      <c r="E8" s="167" t="s">
        <v>1</v>
      </c>
      <c r="F8" s="167" t="s">
        <v>277</v>
      </c>
      <c r="G8" s="169">
        <v>0.9274</v>
      </c>
      <c r="H8" s="170">
        <v>179</v>
      </c>
      <c r="I8" s="170">
        <v>166</v>
      </c>
      <c r="J8" s="170">
        <v>128</v>
      </c>
      <c r="K8" s="167" t="s">
        <v>278</v>
      </c>
      <c r="L8" s="171">
        <v>45981</v>
      </c>
      <c r="M8" s="170">
        <v>3</v>
      </c>
      <c r="N8" s="170">
        <v>1</v>
      </c>
      <c r="O8" s="170">
        <v>9</v>
      </c>
      <c r="P8" s="167" t="s">
        <v>177</v>
      </c>
      <c r="Q8" s="163"/>
      <c r="R8" s="163"/>
      <c r="S8" s="163"/>
      <c r="T8" s="163"/>
      <c r="U8" s="163"/>
      <c r="V8" s="163"/>
      <c r="W8" s="163"/>
      <c r="X8" s="170" t="s">
        <v>329</v>
      </c>
      <c r="Y8" s="170" t="s">
        <v>323</v>
      </c>
      <c r="Z8" s="170" t="s">
        <v>330</v>
      </c>
      <c r="AA8" s="163"/>
      <c r="AB8" s="163"/>
      <c r="AC8" s="163"/>
      <c r="AD8" s="170" t="s">
        <v>331</v>
      </c>
      <c r="AE8" s="170" t="s">
        <v>321</v>
      </c>
      <c r="AF8" s="170" t="s">
        <v>332</v>
      </c>
      <c r="AG8" s="163"/>
      <c r="AH8" s="163"/>
      <c r="AI8" s="170" t="s">
        <v>333</v>
      </c>
      <c r="AJ8" s="163"/>
    </row>
    <row r="9" spans="1:36" x14ac:dyDescent="0.3">
      <c r="A9" s="165" t="s">
        <v>307</v>
      </c>
      <c r="B9" s="166">
        <v>45984</v>
      </c>
      <c r="C9" s="167" t="s">
        <v>78</v>
      </c>
      <c r="D9" s="168" t="s">
        <v>334</v>
      </c>
      <c r="E9" s="167" t="s">
        <v>1</v>
      </c>
      <c r="F9" s="167" t="s">
        <v>277</v>
      </c>
      <c r="G9" s="169">
        <v>1.0112000000000001</v>
      </c>
      <c r="H9" s="170">
        <v>179</v>
      </c>
      <c r="I9" s="170">
        <v>181</v>
      </c>
      <c r="J9" s="170">
        <v>128</v>
      </c>
      <c r="K9" s="167" t="s">
        <v>278</v>
      </c>
      <c r="L9" s="171">
        <v>45980</v>
      </c>
      <c r="M9" s="170">
        <v>0</v>
      </c>
      <c r="N9" s="170">
        <v>3</v>
      </c>
      <c r="O9" s="170">
        <v>12</v>
      </c>
      <c r="P9" s="167" t="s">
        <v>84</v>
      </c>
      <c r="Q9" s="163"/>
      <c r="R9" s="163"/>
      <c r="S9" s="163"/>
      <c r="T9" s="163"/>
      <c r="U9" s="163"/>
      <c r="V9" s="163"/>
      <c r="W9" s="163"/>
      <c r="X9" s="170" t="s">
        <v>335</v>
      </c>
      <c r="Y9" s="170" t="s">
        <v>336</v>
      </c>
      <c r="Z9" s="170" t="s">
        <v>337</v>
      </c>
      <c r="AA9" s="163"/>
      <c r="AB9" s="170" t="s">
        <v>338</v>
      </c>
      <c r="AC9" s="170" t="s">
        <v>300</v>
      </c>
      <c r="AD9" s="170" t="s">
        <v>301</v>
      </c>
      <c r="AE9" s="170" t="s">
        <v>321</v>
      </c>
      <c r="AF9" s="170" t="s">
        <v>332</v>
      </c>
      <c r="AG9" s="163"/>
      <c r="AH9" s="163"/>
      <c r="AI9" s="170" t="s">
        <v>333</v>
      </c>
      <c r="AJ9" s="163"/>
    </row>
    <row r="10" spans="1:36" x14ac:dyDescent="0.3">
      <c r="A10" s="165" t="s">
        <v>339</v>
      </c>
      <c r="B10" s="166">
        <v>45985</v>
      </c>
      <c r="C10" s="167" t="s">
        <v>200</v>
      </c>
      <c r="D10" s="168" t="s">
        <v>340</v>
      </c>
      <c r="E10" s="167" t="s">
        <v>1</v>
      </c>
      <c r="F10" s="167" t="s">
        <v>277</v>
      </c>
      <c r="G10" s="169">
        <v>0.42459999999999998</v>
      </c>
      <c r="H10" s="170">
        <v>179</v>
      </c>
      <c r="I10" s="170">
        <v>76</v>
      </c>
      <c r="J10" s="170">
        <v>0</v>
      </c>
      <c r="K10" s="167" t="s">
        <v>278</v>
      </c>
      <c r="L10" s="171">
        <v>45981</v>
      </c>
      <c r="M10" s="170">
        <v>7</v>
      </c>
      <c r="N10" s="170">
        <v>6</v>
      </c>
      <c r="O10" s="170">
        <v>49</v>
      </c>
      <c r="P10" s="167" t="s">
        <v>201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70" t="s">
        <v>341</v>
      </c>
      <c r="AA10" s="163"/>
      <c r="AB10" s="170" t="s">
        <v>342</v>
      </c>
      <c r="AC10" s="170" t="s">
        <v>343</v>
      </c>
      <c r="AD10" s="170" t="s">
        <v>344</v>
      </c>
      <c r="AE10" s="170" t="s">
        <v>345</v>
      </c>
      <c r="AF10" s="170" t="s">
        <v>346</v>
      </c>
      <c r="AG10" s="163"/>
      <c r="AH10" s="163"/>
      <c r="AI10" s="163"/>
      <c r="AJ10" s="163"/>
    </row>
    <row r="11" spans="1:36" x14ac:dyDescent="0.3">
      <c r="A11" s="165" t="s">
        <v>339</v>
      </c>
      <c r="B11" s="166">
        <v>45985</v>
      </c>
      <c r="C11" s="167" t="s">
        <v>81</v>
      </c>
      <c r="D11" s="168" t="s">
        <v>347</v>
      </c>
      <c r="E11" s="167" t="s">
        <v>1</v>
      </c>
      <c r="F11" s="167" t="s">
        <v>277</v>
      </c>
      <c r="G11" s="169">
        <v>0.9385</v>
      </c>
      <c r="H11" s="170">
        <v>179</v>
      </c>
      <c r="I11" s="170">
        <v>168</v>
      </c>
      <c r="J11" s="170">
        <v>84</v>
      </c>
      <c r="K11" s="167" t="s">
        <v>278</v>
      </c>
      <c r="L11" s="171">
        <v>45981</v>
      </c>
      <c r="M11" s="170">
        <v>18</v>
      </c>
      <c r="N11" s="170">
        <v>6</v>
      </c>
      <c r="O11" s="170">
        <v>47</v>
      </c>
      <c r="P11" s="167" t="s">
        <v>84</v>
      </c>
      <c r="Q11" s="163"/>
      <c r="R11" s="163"/>
      <c r="S11" s="163"/>
      <c r="T11" s="163"/>
      <c r="U11" s="163"/>
      <c r="V11" s="163"/>
      <c r="W11" s="163"/>
      <c r="X11" s="163"/>
      <c r="Y11" s="163"/>
      <c r="Z11" s="170" t="s">
        <v>298</v>
      </c>
      <c r="AA11" s="163"/>
      <c r="AB11" s="170" t="s">
        <v>348</v>
      </c>
      <c r="AC11" s="170" t="s">
        <v>349</v>
      </c>
      <c r="AD11" s="170" t="s">
        <v>284</v>
      </c>
      <c r="AE11" s="170" t="s">
        <v>350</v>
      </c>
      <c r="AF11" s="170" t="s">
        <v>351</v>
      </c>
      <c r="AG11" s="163"/>
      <c r="AH11" s="163"/>
      <c r="AI11" s="170" t="s">
        <v>352</v>
      </c>
      <c r="AJ11" s="170" t="s">
        <v>294</v>
      </c>
    </row>
    <row r="12" spans="1:36" x14ac:dyDescent="0.3">
      <c r="A12" s="165" t="s">
        <v>339</v>
      </c>
      <c r="B12" s="166">
        <v>45985</v>
      </c>
      <c r="C12" s="167" t="s">
        <v>78</v>
      </c>
      <c r="D12" s="168" t="s">
        <v>353</v>
      </c>
      <c r="E12" s="167" t="s">
        <v>1</v>
      </c>
      <c r="F12" s="167" t="s">
        <v>277</v>
      </c>
      <c r="G12" s="169">
        <v>0.90500000000000003</v>
      </c>
      <c r="H12" s="170">
        <v>179</v>
      </c>
      <c r="I12" s="170">
        <v>162</v>
      </c>
      <c r="J12" s="170">
        <v>93</v>
      </c>
      <c r="K12" s="167" t="s">
        <v>278</v>
      </c>
      <c r="L12" s="171">
        <v>45981</v>
      </c>
      <c r="M12" s="170">
        <v>14</v>
      </c>
      <c r="N12" s="170">
        <v>7</v>
      </c>
      <c r="O12" s="170">
        <v>44</v>
      </c>
      <c r="P12" s="167" t="s">
        <v>197</v>
      </c>
      <c r="Q12" s="163"/>
      <c r="R12" s="163"/>
      <c r="S12" s="163"/>
      <c r="T12" s="163"/>
      <c r="U12" s="163"/>
      <c r="V12" s="163"/>
      <c r="W12" s="163"/>
      <c r="X12" s="170" t="s">
        <v>335</v>
      </c>
      <c r="Y12" s="163"/>
      <c r="Z12" s="170" t="s">
        <v>354</v>
      </c>
      <c r="AA12" s="170" t="s">
        <v>355</v>
      </c>
      <c r="AB12" s="170" t="s">
        <v>204</v>
      </c>
      <c r="AC12" s="170" t="s">
        <v>356</v>
      </c>
      <c r="AD12" s="170" t="s">
        <v>357</v>
      </c>
      <c r="AE12" s="170" t="s">
        <v>345</v>
      </c>
      <c r="AF12" s="170" t="s">
        <v>322</v>
      </c>
      <c r="AG12" s="163"/>
      <c r="AH12" s="163"/>
      <c r="AI12" s="170" t="s">
        <v>358</v>
      </c>
      <c r="AJ12" s="163"/>
    </row>
    <row r="13" spans="1:36" x14ac:dyDescent="0.3">
      <c r="A13" s="165" t="s">
        <v>339</v>
      </c>
      <c r="B13" s="166">
        <v>45985</v>
      </c>
      <c r="C13" s="167" t="s">
        <v>176</v>
      </c>
      <c r="D13" s="168" t="s">
        <v>359</v>
      </c>
      <c r="E13" s="167" t="s">
        <v>1</v>
      </c>
      <c r="F13" s="167" t="s">
        <v>277</v>
      </c>
      <c r="G13" s="169">
        <v>0.92179999999999995</v>
      </c>
      <c r="H13" s="170">
        <v>179</v>
      </c>
      <c r="I13" s="170">
        <v>165</v>
      </c>
      <c r="J13" s="170">
        <v>108</v>
      </c>
      <c r="K13" s="167" t="s">
        <v>278</v>
      </c>
      <c r="L13" s="171">
        <v>45981</v>
      </c>
      <c r="M13" s="170">
        <v>1</v>
      </c>
      <c r="N13" s="170">
        <v>8</v>
      </c>
      <c r="O13" s="170">
        <v>24</v>
      </c>
      <c r="P13" s="167" t="s">
        <v>204</v>
      </c>
      <c r="Q13" s="163"/>
      <c r="R13" s="163"/>
      <c r="S13" s="163"/>
      <c r="T13" s="163"/>
      <c r="U13" s="163"/>
      <c r="V13" s="163"/>
      <c r="W13" s="163"/>
      <c r="X13" s="163"/>
      <c r="Y13" s="163"/>
      <c r="Z13" s="170" t="s">
        <v>360</v>
      </c>
      <c r="AA13" s="163"/>
      <c r="AB13" s="170" t="s">
        <v>361</v>
      </c>
      <c r="AC13" s="170" t="s">
        <v>362</v>
      </c>
      <c r="AD13" s="170" t="s">
        <v>357</v>
      </c>
      <c r="AE13" s="170" t="s">
        <v>345</v>
      </c>
      <c r="AF13" s="170" t="s">
        <v>363</v>
      </c>
      <c r="AG13" s="163"/>
      <c r="AH13" s="163"/>
      <c r="AI13" s="170" t="s">
        <v>364</v>
      </c>
      <c r="AJ13" s="163"/>
    </row>
    <row r="14" spans="1:36" x14ac:dyDescent="0.3">
      <c r="A14" s="165" t="s">
        <v>365</v>
      </c>
      <c r="B14" s="166">
        <v>45986</v>
      </c>
      <c r="C14" s="167" t="s">
        <v>230</v>
      </c>
      <c r="D14" s="168" t="s">
        <v>366</v>
      </c>
      <c r="E14" s="167" t="s">
        <v>1</v>
      </c>
      <c r="F14" s="167" t="s">
        <v>277</v>
      </c>
      <c r="G14" s="169">
        <v>0.35749999999999998</v>
      </c>
      <c r="H14" s="170">
        <v>179</v>
      </c>
      <c r="I14" s="170">
        <v>64</v>
      </c>
      <c r="J14" s="170">
        <v>0</v>
      </c>
      <c r="K14" s="167" t="s">
        <v>278</v>
      </c>
      <c r="L14" s="171">
        <v>45981</v>
      </c>
      <c r="M14" s="170">
        <v>9</v>
      </c>
      <c r="N14" s="170">
        <v>1</v>
      </c>
      <c r="O14" s="170">
        <v>47</v>
      </c>
      <c r="P14" s="167" t="s">
        <v>227</v>
      </c>
      <c r="Q14" s="163"/>
      <c r="R14" s="163"/>
      <c r="S14" s="163"/>
      <c r="T14" s="163"/>
      <c r="U14" s="163"/>
      <c r="V14" s="163"/>
      <c r="W14" s="163"/>
      <c r="X14" s="163"/>
      <c r="Y14" s="163"/>
      <c r="Z14" s="170" t="s">
        <v>367</v>
      </c>
      <c r="AA14" s="163"/>
      <c r="AB14" s="163"/>
      <c r="AC14" s="170" t="s">
        <v>368</v>
      </c>
      <c r="AD14" s="170" t="s">
        <v>357</v>
      </c>
      <c r="AE14" s="170" t="s">
        <v>369</v>
      </c>
      <c r="AF14" s="170" t="s">
        <v>370</v>
      </c>
      <c r="AG14" s="163"/>
      <c r="AH14" s="163"/>
      <c r="AI14" s="163"/>
      <c r="AJ14" s="163"/>
    </row>
    <row r="15" spans="1:36" x14ac:dyDescent="0.3">
      <c r="A15" s="165" t="s">
        <v>365</v>
      </c>
      <c r="B15" s="166">
        <v>45986</v>
      </c>
      <c r="C15" s="167" t="s">
        <v>200</v>
      </c>
      <c r="D15" s="168" t="s">
        <v>371</v>
      </c>
      <c r="E15" s="167" t="s">
        <v>1</v>
      </c>
      <c r="F15" s="167" t="s">
        <v>277</v>
      </c>
      <c r="G15" s="169">
        <v>0.9385</v>
      </c>
      <c r="H15" s="170">
        <v>179</v>
      </c>
      <c r="I15" s="170">
        <v>168</v>
      </c>
      <c r="J15" s="170">
        <v>117</v>
      </c>
      <c r="K15" s="167" t="s">
        <v>278</v>
      </c>
      <c r="L15" s="171">
        <v>45979</v>
      </c>
      <c r="M15" s="170">
        <v>0</v>
      </c>
      <c r="N15" s="170">
        <v>0</v>
      </c>
      <c r="O15" s="170">
        <v>27</v>
      </c>
      <c r="P15" s="167" t="s">
        <v>84</v>
      </c>
      <c r="Q15" s="163"/>
      <c r="R15" s="163"/>
      <c r="S15" s="163"/>
      <c r="T15" s="163"/>
      <c r="U15" s="163"/>
      <c r="V15" s="163"/>
      <c r="W15" s="163"/>
      <c r="X15" s="163"/>
      <c r="Y15" s="163"/>
      <c r="Z15" s="170" t="s">
        <v>341</v>
      </c>
      <c r="AA15" s="163"/>
      <c r="AB15" s="163"/>
      <c r="AC15" s="170" t="s">
        <v>372</v>
      </c>
      <c r="AD15" s="170" t="s">
        <v>373</v>
      </c>
      <c r="AE15" s="170" t="s">
        <v>374</v>
      </c>
      <c r="AF15" s="170" t="s">
        <v>363</v>
      </c>
      <c r="AG15" s="163"/>
      <c r="AH15" s="163"/>
      <c r="AI15" s="170" t="s">
        <v>375</v>
      </c>
      <c r="AJ15" s="170" t="s">
        <v>376</v>
      </c>
    </row>
    <row r="16" spans="1:36" x14ac:dyDescent="0.3">
      <c r="A16" s="165" t="s">
        <v>365</v>
      </c>
      <c r="B16" s="166">
        <v>45986</v>
      </c>
      <c r="C16" s="167" t="s">
        <v>78</v>
      </c>
      <c r="D16" s="168" t="s">
        <v>353</v>
      </c>
      <c r="E16" s="167" t="s">
        <v>1</v>
      </c>
      <c r="F16" s="167" t="s">
        <v>277</v>
      </c>
      <c r="G16" s="169">
        <v>0.82679999999999998</v>
      </c>
      <c r="H16" s="170">
        <v>179</v>
      </c>
      <c r="I16" s="170">
        <v>148</v>
      </c>
      <c r="J16" s="170">
        <v>82</v>
      </c>
      <c r="K16" s="167" t="s">
        <v>278</v>
      </c>
      <c r="L16" s="171">
        <v>45981</v>
      </c>
      <c r="M16" s="170">
        <v>12</v>
      </c>
      <c r="N16" s="170">
        <v>3</v>
      </c>
      <c r="O16" s="170">
        <v>37</v>
      </c>
      <c r="P16" s="167" t="s">
        <v>227</v>
      </c>
      <c r="Q16" s="163"/>
      <c r="R16" s="163"/>
      <c r="S16" s="163"/>
      <c r="T16" s="163"/>
      <c r="U16" s="163"/>
      <c r="V16" s="163"/>
      <c r="W16" s="163"/>
      <c r="X16" s="163"/>
      <c r="Y16" s="163"/>
      <c r="Z16" s="170" t="s">
        <v>354</v>
      </c>
      <c r="AA16" s="163"/>
      <c r="AB16" s="163"/>
      <c r="AC16" s="170" t="s">
        <v>377</v>
      </c>
      <c r="AD16" s="170" t="s">
        <v>378</v>
      </c>
      <c r="AE16" s="170" t="s">
        <v>379</v>
      </c>
      <c r="AF16" s="170" t="s">
        <v>363</v>
      </c>
      <c r="AG16" s="163"/>
      <c r="AH16" s="163"/>
      <c r="AI16" s="170" t="s">
        <v>305</v>
      </c>
      <c r="AJ16" s="163"/>
    </row>
    <row r="17" spans="1:36" x14ac:dyDescent="0.3">
      <c r="A17" s="165" t="s">
        <v>365</v>
      </c>
      <c r="B17" s="166">
        <v>45986</v>
      </c>
      <c r="C17" s="167" t="s">
        <v>176</v>
      </c>
      <c r="D17" s="168" t="s">
        <v>380</v>
      </c>
      <c r="E17" s="167" t="s">
        <v>1</v>
      </c>
      <c r="F17" s="167" t="s">
        <v>277</v>
      </c>
      <c r="G17" s="169">
        <v>0.91059999999999997</v>
      </c>
      <c r="H17" s="170">
        <v>179</v>
      </c>
      <c r="I17" s="170">
        <v>163</v>
      </c>
      <c r="J17" s="170">
        <v>116</v>
      </c>
      <c r="K17" s="167" t="s">
        <v>278</v>
      </c>
      <c r="L17" s="171">
        <v>45980</v>
      </c>
      <c r="M17" s="170">
        <v>0</v>
      </c>
      <c r="N17" s="170">
        <v>3</v>
      </c>
      <c r="O17" s="170">
        <v>23</v>
      </c>
      <c r="P17" s="167" t="s">
        <v>235</v>
      </c>
      <c r="Q17" s="163"/>
      <c r="R17" s="163"/>
      <c r="S17" s="163"/>
      <c r="T17" s="163"/>
      <c r="U17" s="163"/>
      <c r="V17" s="163"/>
      <c r="W17" s="163"/>
      <c r="X17" s="163"/>
      <c r="Y17" s="163"/>
      <c r="Z17" s="170" t="s">
        <v>360</v>
      </c>
      <c r="AA17" s="170" t="s">
        <v>381</v>
      </c>
      <c r="AB17" s="163"/>
      <c r="AC17" s="170" t="s">
        <v>312</v>
      </c>
      <c r="AD17" s="170" t="s">
        <v>382</v>
      </c>
      <c r="AE17" s="170" t="s">
        <v>374</v>
      </c>
      <c r="AF17" s="170" t="s">
        <v>383</v>
      </c>
      <c r="AG17" s="163"/>
      <c r="AH17" s="163"/>
      <c r="AI17" s="170" t="s">
        <v>384</v>
      </c>
      <c r="AJ17" s="163"/>
    </row>
    <row r="18" spans="1:36" x14ac:dyDescent="0.3">
      <c r="A18" s="165" t="s">
        <v>365</v>
      </c>
      <c r="B18" s="166">
        <v>45986</v>
      </c>
      <c r="C18" s="167" t="s">
        <v>166</v>
      </c>
      <c r="D18" s="168" t="s">
        <v>385</v>
      </c>
      <c r="E18" s="167" t="s">
        <v>1</v>
      </c>
      <c r="F18" s="167" t="s">
        <v>277</v>
      </c>
      <c r="G18" s="169">
        <v>0.68159999999999998</v>
      </c>
      <c r="H18" s="170">
        <v>179</v>
      </c>
      <c r="I18" s="170">
        <v>122</v>
      </c>
      <c r="J18" s="170">
        <v>86</v>
      </c>
      <c r="K18" s="167" t="s">
        <v>278</v>
      </c>
      <c r="L18" s="171">
        <v>45981</v>
      </c>
      <c r="M18" s="170">
        <v>2</v>
      </c>
      <c r="N18" s="170">
        <v>2</v>
      </c>
      <c r="O18" s="170">
        <v>26</v>
      </c>
      <c r="P18" s="167" t="s">
        <v>227</v>
      </c>
      <c r="Q18" s="163"/>
      <c r="R18" s="163"/>
      <c r="S18" s="163"/>
      <c r="T18" s="163"/>
      <c r="U18" s="163"/>
      <c r="V18" s="163"/>
      <c r="W18" s="163"/>
      <c r="X18" s="163"/>
      <c r="Y18" s="163"/>
      <c r="Z18" s="170" t="s">
        <v>341</v>
      </c>
      <c r="AA18" s="163"/>
      <c r="AB18" s="163"/>
      <c r="AC18" s="170" t="s">
        <v>312</v>
      </c>
      <c r="AD18" s="170" t="s">
        <v>301</v>
      </c>
      <c r="AE18" s="170" t="s">
        <v>345</v>
      </c>
      <c r="AF18" s="170" t="s">
        <v>363</v>
      </c>
      <c r="AG18" s="163"/>
      <c r="AH18" s="163"/>
      <c r="AI18" s="170" t="s">
        <v>386</v>
      </c>
      <c r="AJ18" s="163"/>
    </row>
    <row r="19" spans="1:36" x14ac:dyDescent="0.3">
      <c r="A19" s="165" t="s">
        <v>365</v>
      </c>
      <c r="B19" s="166">
        <v>45986</v>
      </c>
      <c r="C19" s="167" t="s">
        <v>81</v>
      </c>
      <c r="D19" s="168" t="s">
        <v>387</v>
      </c>
      <c r="E19" s="167" t="s">
        <v>1</v>
      </c>
      <c r="F19" s="167" t="s">
        <v>277</v>
      </c>
      <c r="G19" s="169">
        <v>0.58660000000000001</v>
      </c>
      <c r="H19" s="170">
        <v>179</v>
      </c>
      <c r="I19" s="170">
        <v>105</v>
      </c>
      <c r="J19" s="170">
        <v>46</v>
      </c>
      <c r="K19" s="167" t="s">
        <v>278</v>
      </c>
      <c r="L19" s="171">
        <v>45981</v>
      </c>
      <c r="M19" s="170">
        <v>5</v>
      </c>
      <c r="N19" s="170">
        <v>7</v>
      </c>
      <c r="O19" s="170">
        <v>36</v>
      </c>
      <c r="P19" s="167" t="s">
        <v>227</v>
      </c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70" t="s">
        <v>372</v>
      </c>
      <c r="AD19" s="170" t="s">
        <v>357</v>
      </c>
      <c r="AE19" s="170" t="s">
        <v>388</v>
      </c>
      <c r="AF19" s="170" t="s">
        <v>370</v>
      </c>
      <c r="AG19" s="163"/>
      <c r="AH19" s="163"/>
      <c r="AI19" s="170" t="s">
        <v>389</v>
      </c>
      <c r="AJ19" s="163"/>
    </row>
    <row r="20" spans="1:36" ht="21" x14ac:dyDescent="0.3">
      <c r="A20" s="172" t="s">
        <v>446</v>
      </c>
      <c r="B20" s="173"/>
      <c r="C20" s="172">
        <f>SUBTOTAL(103,JED_CAI_LF_LEGACY[Flt])</f>
        <v>18</v>
      </c>
      <c r="D20" s="172"/>
      <c r="E20" s="172">
        <f>SUBTOTAL(103,JED_CAI_LF_LEGACY[Brd-Off])</f>
        <v>18</v>
      </c>
      <c r="F20" s="172"/>
      <c r="G20" s="174">
        <f>SUBTOTAL(101,JED_CAI_LF_LEGACY[LF%])</f>
        <v>0.80662222222222224</v>
      </c>
      <c r="H20" s="175">
        <f>SUBTOTAL(109,JED_CAI_LF_LEGACY[CAP])</f>
        <v>3211</v>
      </c>
      <c r="I20" s="175">
        <f>SUBTOTAL(109,JED_CAI_LF_LEGACY[BKG(Y)])</f>
        <v>2589</v>
      </c>
      <c r="J20" s="175">
        <f>SUBTOTAL(109,JED_CAI_LF_LEGACY[GRP(Y)])</f>
        <v>1389</v>
      </c>
      <c r="K20" s="172"/>
      <c r="L20" s="173"/>
      <c r="M20" s="175">
        <f>SUBTOTAL(109,JED_CAI_LF_LEGACY[TO-DAY])</f>
        <v>97</v>
      </c>
      <c r="N20" s="175">
        <f>SUBTOTAL(109,JED_CAI_LF_LEGACY[Y-DAY])</f>
        <v>58</v>
      </c>
      <c r="O20" s="175">
        <f>SUBTOTAL(109,JED_CAI_LF_LEGACY[WEEKLY])</f>
        <v>526</v>
      </c>
      <c r="P20" s="176"/>
      <c r="Q20" s="175">
        <f>SUBTOTAL(109,JED_CAI_LF_LEGACY[Y])</f>
        <v>0</v>
      </c>
      <c r="R20" s="175">
        <f>SUBTOTAL(109,JED_CAI_LF_LEGACY[B])</f>
        <v>0</v>
      </c>
      <c r="S20" s="175">
        <f>SUBTOTAL(109,JED_CAI_LF_LEGACY[M])</f>
        <v>0</v>
      </c>
      <c r="T20" s="175">
        <f>SUBTOTAL(109,JED_CAI_LF_LEGACY[H])</f>
        <v>0</v>
      </c>
      <c r="U20" s="175">
        <f>SUBTOTAL(109,JED_CAI_LF_LEGACY[Q])</f>
        <v>0</v>
      </c>
      <c r="V20" s="175">
        <f>SUBTOTAL(109,JED_CAI_LF_LEGACY[K])</f>
        <v>0</v>
      </c>
      <c r="W20" s="175">
        <f>SUBTOTAL(109,JED_CAI_LF_LEGACY[V])</f>
        <v>0</v>
      </c>
      <c r="X20" s="175">
        <f>SUBTOTAL(109,JED_CAI_LF_LEGACY[L])</f>
        <v>0</v>
      </c>
      <c r="Y20" s="175">
        <f>SUBTOTAL(109,JED_CAI_LF_LEGACY[G])</f>
        <v>0</v>
      </c>
      <c r="Z20" s="175">
        <f>SUBTOTAL(109,JED_CAI_LF_LEGACY[S])</f>
        <v>0</v>
      </c>
      <c r="AA20" s="175">
        <f>SUBTOTAL(109,JED_CAI_LF_LEGACY[W])</f>
        <v>0</v>
      </c>
      <c r="AB20" s="175">
        <f>SUBTOTAL(109,JED_CAI_LF_LEGACY[T])</f>
        <v>0</v>
      </c>
      <c r="AC20" s="175">
        <f>SUBTOTAL(109,JED_CAI_LF_LEGACY[X])</f>
        <v>0</v>
      </c>
      <c r="AD20" s="175">
        <f>SUBTOTAL(109,JED_CAI_LF_LEGACY[U])</f>
        <v>0</v>
      </c>
      <c r="AE20" s="175">
        <f>SUBTOTAL(109,JED_CAI_LF_LEGACY[O])</f>
        <v>0</v>
      </c>
      <c r="AF20" s="175">
        <f>SUBTOTAL(109,JED_CAI_LF_LEGACY[I])</f>
        <v>0</v>
      </c>
      <c r="AG20" s="175">
        <f>SUBTOTAL(109,JED_CAI_LF_LEGACY[E])</f>
        <v>0</v>
      </c>
      <c r="AH20" s="175">
        <f>SUBTOTAL(109,JED_CAI_LF_LEGACY[A])</f>
        <v>0</v>
      </c>
      <c r="AI20" s="175">
        <f>SUBTOTAL(109,JED_CAI_LF_LEGACY[P])</f>
        <v>0</v>
      </c>
      <c r="AJ20" s="175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44140625" hidden="1" customWidth="1"/>
  </cols>
  <sheetData>
    <row r="1" spans="1:8" ht="18" x14ac:dyDescent="0.3">
      <c r="A1" s="116" t="s">
        <v>390</v>
      </c>
      <c r="B1" s="117" t="s">
        <v>8</v>
      </c>
      <c r="C1" s="117" t="s">
        <v>9</v>
      </c>
      <c r="D1" s="117" t="s">
        <v>391</v>
      </c>
      <c r="E1" s="117" t="s">
        <v>10</v>
      </c>
      <c r="F1" s="117" t="s">
        <v>11</v>
      </c>
      <c r="G1" s="117" t="s">
        <v>12</v>
      </c>
      <c r="H1" s="118" t="s">
        <v>13</v>
      </c>
    </row>
    <row r="2" spans="1:8" ht="19.8" customHeight="1" x14ac:dyDescent="0.3">
      <c r="A2" s="119" t="s">
        <v>392</v>
      </c>
      <c r="B2" s="120" t="s">
        <v>26</v>
      </c>
      <c r="C2" s="121" t="s">
        <v>27</v>
      </c>
      <c r="D2" s="120" t="s">
        <v>1</v>
      </c>
      <c r="E2" s="120" t="s">
        <v>393</v>
      </c>
      <c r="F2" s="120" t="s">
        <v>28</v>
      </c>
      <c r="G2" s="122">
        <v>6</v>
      </c>
      <c r="H2" s="123">
        <v>639</v>
      </c>
    </row>
    <row r="3" spans="1:8" ht="19.8" customHeight="1" x14ac:dyDescent="0.3">
      <c r="A3" s="119" t="s">
        <v>392</v>
      </c>
      <c r="B3" s="120" t="s">
        <v>26</v>
      </c>
      <c r="C3" s="121" t="s">
        <v>31</v>
      </c>
      <c r="D3" s="120" t="s">
        <v>1</v>
      </c>
      <c r="E3" s="120" t="s">
        <v>394</v>
      </c>
      <c r="F3" s="120" t="s">
        <v>28</v>
      </c>
      <c r="G3" s="122">
        <v>21</v>
      </c>
      <c r="H3" s="123">
        <v>639</v>
      </c>
    </row>
    <row r="4" spans="1:8" ht="19.8" customHeight="1" x14ac:dyDescent="0.3">
      <c r="A4" s="119" t="s">
        <v>392</v>
      </c>
      <c r="B4" s="120" t="s">
        <v>38</v>
      </c>
      <c r="C4" s="121" t="s">
        <v>39</v>
      </c>
      <c r="D4" s="120" t="s">
        <v>1</v>
      </c>
      <c r="E4" s="120" t="s">
        <v>395</v>
      </c>
      <c r="F4" s="120" t="s">
        <v>40</v>
      </c>
      <c r="G4" s="122">
        <v>4</v>
      </c>
      <c r="H4" s="123">
        <v>669</v>
      </c>
    </row>
    <row r="5" spans="1:8" ht="19.8" customHeight="1" x14ac:dyDescent="0.3">
      <c r="A5" s="119" t="s">
        <v>392</v>
      </c>
      <c r="B5" s="120" t="s">
        <v>38</v>
      </c>
      <c r="C5" s="121" t="s">
        <v>43</v>
      </c>
      <c r="D5" s="120" t="s">
        <v>1</v>
      </c>
      <c r="E5" s="120" t="s">
        <v>396</v>
      </c>
      <c r="F5" s="120" t="s">
        <v>40</v>
      </c>
      <c r="G5" s="122">
        <v>9</v>
      </c>
      <c r="H5" s="123">
        <v>669</v>
      </c>
    </row>
    <row r="6" spans="1:8" ht="19.8" customHeight="1" x14ac:dyDescent="0.3">
      <c r="A6" s="119" t="s">
        <v>392</v>
      </c>
      <c r="B6" s="120" t="s">
        <v>38</v>
      </c>
      <c r="C6" s="121" t="s">
        <v>45</v>
      </c>
      <c r="D6" s="120" t="s">
        <v>1</v>
      </c>
      <c r="E6" s="120" t="s">
        <v>397</v>
      </c>
      <c r="F6" s="120" t="s">
        <v>40</v>
      </c>
      <c r="G6" s="122">
        <v>9</v>
      </c>
      <c r="H6" s="123">
        <v>669</v>
      </c>
    </row>
    <row r="7" spans="1:8" ht="19.8" customHeight="1" x14ac:dyDescent="0.3">
      <c r="A7" s="119" t="s">
        <v>392</v>
      </c>
      <c r="B7" s="120" t="s">
        <v>38</v>
      </c>
      <c r="C7" s="121" t="s">
        <v>46</v>
      </c>
      <c r="D7" s="120" t="s">
        <v>1</v>
      </c>
      <c r="E7" s="120" t="s">
        <v>398</v>
      </c>
      <c r="F7" s="120" t="s">
        <v>40</v>
      </c>
      <c r="G7" s="122">
        <v>1</v>
      </c>
      <c r="H7" s="123">
        <v>669</v>
      </c>
    </row>
    <row r="8" spans="1:8" ht="19.8" customHeight="1" x14ac:dyDescent="0.3">
      <c r="A8" s="119" t="s">
        <v>392</v>
      </c>
      <c r="B8" s="120" t="s">
        <v>52</v>
      </c>
      <c r="C8" s="121" t="s">
        <v>53</v>
      </c>
      <c r="D8" s="120" t="s">
        <v>1</v>
      </c>
      <c r="E8" s="120" t="s">
        <v>399</v>
      </c>
      <c r="F8" s="120" t="s">
        <v>54</v>
      </c>
      <c r="G8" s="122">
        <v>9</v>
      </c>
      <c r="H8" s="123">
        <v>671</v>
      </c>
    </row>
    <row r="9" spans="1:8" ht="19.8" customHeight="1" x14ac:dyDescent="0.3">
      <c r="A9" s="119" t="s">
        <v>392</v>
      </c>
      <c r="B9" s="120" t="s">
        <v>52</v>
      </c>
      <c r="C9" s="121" t="s">
        <v>57</v>
      </c>
      <c r="D9" s="120" t="s">
        <v>1</v>
      </c>
      <c r="E9" s="120" t="s">
        <v>400</v>
      </c>
      <c r="F9" s="120" t="s">
        <v>54</v>
      </c>
      <c r="G9" s="122">
        <v>9</v>
      </c>
      <c r="H9" s="123">
        <v>679</v>
      </c>
    </row>
    <row r="10" spans="1:8" ht="19.8" customHeight="1" x14ac:dyDescent="0.3">
      <c r="A10" s="119" t="s">
        <v>392</v>
      </c>
      <c r="B10" s="120" t="s">
        <v>26</v>
      </c>
      <c r="C10" s="121" t="s">
        <v>33</v>
      </c>
      <c r="D10" s="120" t="s">
        <v>1</v>
      </c>
      <c r="E10" s="120" t="s">
        <v>401</v>
      </c>
      <c r="F10" s="120" t="s">
        <v>28</v>
      </c>
      <c r="G10" s="122">
        <v>4</v>
      </c>
      <c r="H10" s="123">
        <v>689</v>
      </c>
    </row>
    <row r="11" spans="1:8" ht="19.8" customHeight="1" x14ac:dyDescent="0.3">
      <c r="A11" s="119" t="s">
        <v>392</v>
      </c>
      <c r="B11" s="120" t="s">
        <v>26</v>
      </c>
      <c r="C11" s="121" t="s">
        <v>36</v>
      </c>
      <c r="D11" s="120" t="s">
        <v>1</v>
      </c>
      <c r="E11" s="120" t="s">
        <v>402</v>
      </c>
      <c r="F11" s="120" t="s">
        <v>28</v>
      </c>
      <c r="G11" s="122">
        <v>8</v>
      </c>
      <c r="H11" s="123">
        <v>689</v>
      </c>
    </row>
    <row r="12" spans="1:8" ht="19.8" customHeight="1" x14ac:dyDescent="0.3">
      <c r="A12" s="119" t="s">
        <v>392</v>
      </c>
      <c r="B12" s="120" t="s">
        <v>59</v>
      </c>
      <c r="C12" s="121" t="s">
        <v>60</v>
      </c>
      <c r="D12" s="120" t="s">
        <v>1</v>
      </c>
      <c r="E12" s="120" t="s">
        <v>403</v>
      </c>
      <c r="F12" s="120" t="s">
        <v>61</v>
      </c>
      <c r="G12" s="122">
        <v>8</v>
      </c>
      <c r="H12" s="123">
        <v>691</v>
      </c>
    </row>
    <row r="13" spans="1:8" ht="19.8" customHeight="1" x14ac:dyDescent="0.3">
      <c r="A13" s="119" t="s">
        <v>392</v>
      </c>
      <c r="B13" s="120" t="s">
        <v>38</v>
      </c>
      <c r="C13" s="121" t="s">
        <v>48</v>
      </c>
      <c r="D13" s="120" t="s">
        <v>1</v>
      </c>
      <c r="E13" s="120" t="s">
        <v>404</v>
      </c>
      <c r="F13" s="120" t="s">
        <v>40</v>
      </c>
      <c r="G13" s="122">
        <v>9</v>
      </c>
      <c r="H13" s="123">
        <v>719</v>
      </c>
    </row>
    <row r="14" spans="1:8" ht="19.8" customHeight="1" x14ac:dyDescent="0.3">
      <c r="A14" s="119" t="s">
        <v>392</v>
      </c>
      <c r="B14" s="120" t="s">
        <v>38</v>
      </c>
      <c r="C14" s="121" t="s">
        <v>50</v>
      </c>
      <c r="D14" s="120" t="s">
        <v>1</v>
      </c>
      <c r="E14" s="120" t="s">
        <v>405</v>
      </c>
      <c r="F14" s="120" t="s">
        <v>40</v>
      </c>
      <c r="G14" s="122">
        <v>9</v>
      </c>
      <c r="H14" s="123">
        <v>719</v>
      </c>
    </row>
    <row r="15" spans="1:8" ht="19.8" customHeight="1" x14ac:dyDescent="0.3">
      <c r="A15" s="119" t="s">
        <v>392</v>
      </c>
      <c r="B15" s="120" t="s">
        <v>38</v>
      </c>
      <c r="C15" s="121" t="s">
        <v>51</v>
      </c>
      <c r="D15" s="120" t="s">
        <v>1</v>
      </c>
      <c r="E15" s="120" t="s">
        <v>406</v>
      </c>
      <c r="F15" s="120" t="s">
        <v>40</v>
      </c>
      <c r="G15" s="122">
        <v>4</v>
      </c>
      <c r="H15" s="123">
        <v>719</v>
      </c>
    </row>
    <row r="16" spans="1:8" ht="19.8" customHeight="1" x14ac:dyDescent="0.3">
      <c r="A16" s="119" t="s">
        <v>392</v>
      </c>
      <c r="B16" s="120" t="s">
        <v>64</v>
      </c>
      <c r="C16" s="121" t="s">
        <v>65</v>
      </c>
      <c r="D16" s="120" t="s">
        <v>1</v>
      </c>
      <c r="E16" s="120" t="s">
        <v>407</v>
      </c>
      <c r="F16" s="120" t="s">
        <v>61</v>
      </c>
      <c r="G16" s="122">
        <v>1</v>
      </c>
      <c r="H16" s="123">
        <v>835</v>
      </c>
    </row>
    <row r="17" spans="1:8" ht="19.8" customHeight="1" x14ac:dyDescent="0.3">
      <c r="A17" s="124" t="s">
        <v>392</v>
      </c>
      <c r="B17" s="125" t="s">
        <v>68</v>
      </c>
      <c r="C17" s="126" t="s">
        <v>69</v>
      </c>
      <c r="D17" s="125" t="s">
        <v>1</v>
      </c>
      <c r="E17" s="125" t="s">
        <v>276</v>
      </c>
      <c r="F17" s="125" t="s">
        <v>70</v>
      </c>
      <c r="G17" s="127">
        <v>3</v>
      </c>
      <c r="H17" s="128">
        <v>952</v>
      </c>
    </row>
    <row r="18" spans="1:8" ht="19.8" customHeight="1" x14ac:dyDescent="0.3">
      <c r="A18" s="129">
        <v>45983</v>
      </c>
      <c r="B18" s="125" t="s">
        <v>68</v>
      </c>
      <c r="C18" s="126" t="s">
        <v>76</v>
      </c>
      <c r="D18" s="125" t="s">
        <v>1</v>
      </c>
      <c r="E18" s="130">
        <v>1.680555555555556</v>
      </c>
      <c r="F18" s="125" t="s">
        <v>70</v>
      </c>
      <c r="G18" s="127">
        <v>1</v>
      </c>
      <c r="H18" s="131" t="s">
        <v>77</v>
      </c>
    </row>
    <row r="19" spans="1:8" ht="19.8" customHeight="1" x14ac:dyDescent="0.3">
      <c r="A19" s="132">
        <v>45983</v>
      </c>
      <c r="B19" s="120" t="s">
        <v>86</v>
      </c>
      <c r="C19" s="121" t="s">
        <v>87</v>
      </c>
      <c r="D19" s="120" t="s">
        <v>1</v>
      </c>
      <c r="E19" s="133">
        <v>1.3784722222222221</v>
      </c>
      <c r="F19" s="120" t="s">
        <v>88</v>
      </c>
      <c r="G19" s="122">
        <v>9</v>
      </c>
      <c r="H19" s="134" t="s">
        <v>90</v>
      </c>
    </row>
    <row r="20" spans="1:8" ht="19.8" customHeight="1" x14ac:dyDescent="0.3">
      <c r="A20" s="132">
        <v>45983</v>
      </c>
      <c r="B20" s="120" t="s">
        <v>86</v>
      </c>
      <c r="C20" s="121" t="s">
        <v>94</v>
      </c>
      <c r="D20" s="120" t="s">
        <v>1</v>
      </c>
      <c r="E20" s="133">
        <v>1.71875</v>
      </c>
      <c r="F20" s="120" t="s">
        <v>88</v>
      </c>
      <c r="G20" s="122">
        <v>9</v>
      </c>
      <c r="H20" s="134" t="s">
        <v>90</v>
      </c>
    </row>
    <row r="21" spans="1:8" ht="19.8" customHeight="1" x14ac:dyDescent="0.3">
      <c r="A21" s="132">
        <v>45983</v>
      </c>
      <c r="B21" s="120" t="s">
        <v>86</v>
      </c>
      <c r="C21" s="121" t="s">
        <v>96</v>
      </c>
      <c r="D21" s="120" t="s">
        <v>1</v>
      </c>
      <c r="E21" s="133">
        <v>1.006944444444444</v>
      </c>
      <c r="F21" s="120" t="s">
        <v>88</v>
      </c>
      <c r="G21" s="122">
        <v>9</v>
      </c>
      <c r="H21" s="134" t="s">
        <v>90</v>
      </c>
    </row>
    <row r="22" spans="1:8" ht="19.8" customHeight="1" x14ac:dyDescent="0.3">
      <c r="A22" s="132">
        <v>45983</v>
      </c>
      <c r="B22" s="120" t="s">
        <v>86</v>
      </c>
      <c r="C22" s="121" t="s">
        <v>97</v>
      </c>
      <c r="D22" s="120" t="s">
        <v>1</v>
      </c>
      <c r="E22" s="133">
        <v>1.1423611111111109</v>
      </c>
      <c r="F22" s="120" t="s">
        <v>88</v>
      </c>
      <c r="G22" s="122">
        <v>9</v>
      </c>
      <c r="H22" s="134" t="s">
        <v>90</v>
      </c>
    </row>
    <row r="23" spans="1:8" ht="19.8" customHeight="1" x14ac:dyDescent="0.3">
      <c r="A23" s="132">
        <v>45983</v>
      </c>
      <c r="B23" s="120" t="s">
        <v>86</v>
      </c>
      <c r="C23" s="121" t="s">
        <v>98</v>
      </c>
      <c r="D23" s="120" t="s">
        <v>1</v>
      </c>
      <c r="E23" s="133">
        <v>1.930555555555556</v>
      </c>
      <c r="F23" s="120" t="s">
        <v>88</v>
      </c>
      <c r="G23" s="122">
        <v>9</v>
      </c>
      <c r="H23" s="134" t="s">
        <v>90</v>
      </c>
    </row>
    <row r="24" spans="1:8" ht="19.8" customHeight="1" x14ac:dyDescent="0.3">
      <c r="A24" s="132">
        <v>45983</v>
      </c>
      <c r="B24" s="120" t="s">
        <v>112</v>
      </c>
      <c r="C24" s="121" t="s">
        <v>113</v>
      </c>
      <c r="D24" s="120" t="s">
        <v>1</v>
      </c>
      <c r="E24" s="133">
        <v>1.2777777777777779</v>
      </c>
      <c r="F24" s="120" t="s">
        <v>114</v>
      </c>
      <c r="G24" s="122">
        <v>9</v>
      </c>
      <c r="H24" s="134" t="s">
        <v>115</v>
      </c>
    </row>
    <row r="25" spans="1:8" ht="19.8" customHeight="1" x14ac:dyDescent="0.3">
      <c r="A25" s="132">
        <v>45983</v>
      </c>
      <c r="B25" s="120" t="s">
        <v>112</v>
      </c>
      <c r="C25" s="121" t="s">
        <v>116</v>
      </c>
      <c r="D25" s="120" t="s">
        <v>1</v>
      </c>
      <c r="E25" s="133">
        <v>1.229166666666667</v>
      </c>
      <c r="F25" s="120" t="s">
        <v>114</v>
      </c>
      <c r="G25" s="122">
        <v>9</v>
      </c>
      <c r="H25" s="134" t="s">
        <v>115</v>
      </c>
    </row>
    <row r="26" spans="1:8" ht="19.8" customHeight="1" x14ac:dyDescent="0.3">
      <c r="A26" s="132">
        <v>45983</v>
      </c>
      <c r="B26" s="120" t="s">
        <v>112</v>
      </c>
      <c r="C26" s="121" t="s">
        <v>117</v>
      </c>
      <c r="D26" s="120" t="s">
        <v>1</v>
      </c>
      <c r="E26" s="133">
        <v>1.020833333333333</v>
      </c>
      <c r="F26" s="120" t="s">
        <v>114</v>
      </c>
      <c r="G26" s="122">
        <v>9</v>
      </c>
      <c r="H26" s="134" t="s">
        <v>118</v>
      </c>
    </row>
    <row r="27" spans="1:8" ht="19.8" customHeight="1" x14ac:dyDescent="0.3">
      <c r="A27" s="132">
        <v>45983</v>
      </c>
      <c r="B27" s="120" t="s">
        <v>86</v>
      </c>
      <c r="C27" s="121" t="s">
        <v>87</v>
      </c>
      <c r="D27" s="120" t="s">
        <v>1</v>
      </c>
      <c r="E27" s="133">
        <v>1.3784722222222221</v>
      </c>
      <c r="F27" s="120" t="s">
        <v>91</v>
      </c>
      <c r="G27" s="122">
        <v>9</v>
      </c>
      <c r="H27" s="134" t="s">
        <v>93</v>
      </c>
    </row>
    <row r="28" spans="1:8" ht="19.8" customHeight="1" x14ac:dyDescent="0.3">
      <c r="A28" s="132">
        <v>45983</v>
      </c>
      <c r="B28" s="120" t="s">
        <v>86</v>
      </c>
      <c r="C28" s="121" t="s">
        <v>94</v>
      </c>
      <c r="D28" s="120" t="s">
        <v>1</v>
      </c>
      <c r="E28" s="133">
        <v>1.71875</v>
      </c>
      <c r="F28" s="120" t="s">
        <v>91</v>
      </c>
      <c r="G28" s="122">
        <v>9</v>
      </c>
      <c r="H28" s="134" t="s">
        <v>93</v>
      </c>
    </row>
    <row r="29" spans="1:8" ht="19.8" customHeight="1" x14ac:dyDescent="0.3">
      <c r="A29" s="132">
        <v>45983</v>
      </c>
      <c r="B29" s="120" t="s">
        <v>86</v>
      </c>
      <c r="C29" s="121" t="s">
        <v>96</v>
      </c>
      <c r="D29" s="120" t="s">
        <v>1</v>
      </c>
      <c r="E29" s="133">
        <v>1.006944444444444</v>
      </c>
      <c r="F29" s="120" t="s">
        <v>91</v>
      </c>
      <c r="G29" s="122">
        <v>9</v>
      </c>
      <c r="H29" s="134" t="s">
        <v>93</v>
      </c>
    </row>
    <row r="30" spans="1:8" ht="19.8" customHeight="1" x14ac:dyDescent="0.3">
      <c r="A30" s="132">
        <v>45983</v>
      </c>
      <c r="B30" s="120" t="s">
        <v>86</v>
      </c>
      <c r="C30" s="121" t="s">
        <v>97</v>
      </c>
      <c r="D30" s="120" t="s">
        <v>1</v>
      </c>
      <c r="E30" s="133">
        <v>1.1423611111111109</v>
      </c>
      <c r="F30" s="120" t="s">
        <v>91</v>
      </c>
      <c r="G30" s="122">
        <v>9</v>
      </c>
      <c r="H30" s="134" t="s">
        <v>93</v>
      </c>
    </row>
    <row r="31" spans="1:8" ht="19.8" customHeight="1" x14ac:dyDescent="0.3">
      <c r="A31" s="132">
        <v>45983</v>
      </c>
      <c r="B31" s="120" t="s">
        <v>86</v>
      </c>
      <c r="C31" s="121" t="s">
        <v>98</v>
      </c>
      <c r="D31" s="120" t="s">
        <v>1</v>
      </c>
      <c r="E31" s="133">
        <v>1.930555555555556</v>
      </c>
      <c r="F31" s="120" t="s">
        <v>91</v>
      </c>
      <c r="G31" s="122">
        <v>9</v>
      </c>
      <c r="H31" s="134" t="s">
        <v>93</v>
      </c>
    </row>
    <row r="32" spans="1:8" ht="19.8" customHeight="1" x14ac:dyDescent="0.3">
      <c r="A32" s="132">
        <v>45983</v>
      </c>
      <c r="B32" s="120" t="s">
        <v>86</v>
      </c>
      <c r="C32" s="121" t="s">
        <v>99</v>
      </c>
      <c r="D32" s="120" t="s">
        <v>1</v>
      </c>
      <c r="E32" s="133">
        <v>1.243055555555556</v>
      </c>
      <c r="F32" s="120" t="s">
        <v>88</v>
      </c>
      <c r="G32" s="122">
        <v>9</v>
      </c>
      <c r="H32" s="134" t="s">
        <v>100</v>
      </c>
    </row>
    <row r="33" spans="1:8" ht="19.8" customHeight="1" x14ac:dyDescent="0.3">
      <c r="A33" s="132">
        <v>45983</v>
      </c>
      <c r="B33" s="120" t="s">
        <v>112</v>
      </c>
      <c r="C33" s="121" t="s">
        <v>119</v>
      </c>
      <c r="D33" s="120" t="s">
        <v>1</v>
      </c>
      <c r="E33" s="133">
        <v>1.4861111111111109</v>
      </c>
      <c r="F33" s="120" t="s">
        <v>114</v>
      </c>
      <c r="G33" s="122">
        <v>4</v>
      </c>
      <c r="H33" s="134" t="s">
        <v>120</v>
      </c>
    </row>
    <row r="34" spans="1:8" ht="19.8" customHeight="1" x14ac:dyDescent="0.3">
      <c r="A34" s="132">
        <v>45983</v>
      </c>
      <c r="B34" s="120" t="s">
        <v>112</v>
      </c>
      <c r="C34" s="121" t="s">
        <v>121</v>
      </c>
      <c r="D34" s="120" t="s">
        <v>1</v>
      </c>
      <c r="E34" s="133">
        <v>1.145833333333333</v>
      </c>
      <c r="F34" s="120" t="s">
        <v>114</v>
      </c>
      <c r="G34" s="122">
        <v>4</v>
      </c>
      <c r="H34" s="134" t="s">
        <v>120</v>
      </c>
    </row>
    <row r="35" spans="1:8" ht="19.8" customHeight="1" x14ac:dyDescent="0.3">
      <c r="A35" s="132">
        <v>45983</v>
      </c>
      <c r="B35" s="120" t="s">
        <v>112</v>
      </c>
      <c r="C35" s="121" t="s">
        <v>122</v>
      </c>
      <c r="D35" s="120" t="s">
        <v>1</v>
      </c>
      <c r="E35" s="133">
        <v>1.541666666666667</v>
      </c>
      <c r="F35" s="120" t="s">
        <v>114</v>
      </c>
      <c r="G35" s="122">
        <v>5</v>
      </c>
      <c r="H35" s="134" t="s">
        <v>120</v>
      </c>
    </row>
    <row r="36" spans="1:8" ht="19.8" customHeight="1" x14ac:dyDescent="0.3">
      <c r="A36" s="132">
        <v>45983</v>
      </c>
      <c r="B36" s="120" t="s">
        <v>112</v>
      </c>
      <c r="C36" s="121" t="s">
        <v>124</v>
      </c>
      <c r="D36" s="120" t="s">
        <v>1</v>
      </c>
      <c r="E36" s="133">
        <v>1.958333333333333</v>
      </c>
      <c r="F36" s="120" t="s">
        <v>114</v>
      </c>
      <c r="G36" s="122">
        <v>2</v>
      </c>
      <c r="H36" s="134" t="s">
        <v>120</v>
      </c>
    </row>
    <row r="37" spans="1:8" ht="19.8" customHeight="1" x14ac:dyDescent="0.3">
      <c r="A37" s="132">
        <v>45983</v>
      </c>
      <c r="B37" s="120" t="s">
        <v>86</v>
      </c>
      <c r="C37" s="121" t="s">
        <v>99</v>
      </c>
      <c r="D37" s="120" t="s">
        <v>1</v>
      </c>
      <c r="E37" s="133">
        <v>1.243055555555556</v>
      </c>
      <c r="F37" s="120" t="s">
        <v>91</v>
      </c>
      <c r="G37" s="122">
        <v>9</v>
      </c>
      <c r="H37" s="134" t="s">
        <v>101</v>
      </c>
    </row>
    <row r="38" spans="1:8" ht="19.8" customHeight="1" x14ac:dyDescent="0.3">
      <c r="A38" s="132">
        <v>45983</v>
      </c>
      <c r="B38" s="120" t="s">
        <v>86</v>
      </c>
      <c r="C38" s="121" t="s">
        <v>102</v>
      </c>
      <c r="D38" s="120" t="s">
        <v>1</v>
      </c>
      <c r="E38" s="133">
        <v>1.8888888888888891</v>
      </c>
      <c r="F38" s="120" t="s">
        <v>91</v>
      </c>
      <c r="G38" s="122">
        <v>4</v>
      </c>
      <c r="H38" s="134" t="s">
        <v>103</v>
      </c>
    </row>
    <row r="39" spans="1:8" ht="19.8" customHeight="1" x14ac:dyDescent="0.3">
      <c r="A39" s="132">
        <v>45983</v>
      </c>
      <c r="B39" s="120" t="s">
        <v>86</v>
      </c>
      <c r="C39" s="121" t="s">
        <v>104</v>
      </c>
      <c r="D39" s="120" t="s">
        <v>1</v>
      </c>
      <c r="E39" s="133">
        <v>1.6111111111111109</v>
      </c>
      <c r="F39" s="120" t="s">
        <v>88</v>
      </c>
      <c r="G39" s="122">
        <v>9</v>
      </c>
      <c r="H39" s="134" t="s">
        <v>105</v>
      </c>
    </row>
    <row r="40" spans="1:8" ht="19.8" customHeight="1" x14ac:dyDescent="0.3">
      <c r="A40" s="132">
        <v>45983</v>
      </c>
      <c r="B40" s="120" t="s">
        <v>86</v>
      </c>
      <c r="C40" s="121" t="s">
        <v>107</v>
      </c>
      <c r="D40" s="120" t="s">
        <v>1</v>
      </c>
      <c r="E40" s="133">
        <v>1.8298611111111109</v>
      </c>
      <c r="F40" s="120" t="s">
        <v>88</v>
      </c>
      <c r="G40" s="122">
        <v>9</v>
      </c>
      <c r="H40" s="134" t="s">
        <v>105</v>
      </c>
    </row>
    <row r="41" spans="1:8" ht="19.8" customHeight="1" x14ac:dyDescent="0.3">
      <c r="A41" s="132">
        <v>45983</v>
      </c>
      <c r="B41" s="120" t="s">
        <v>112</v>
      </c>
      <c r="C41" s="121" t="s">
        <v>126</v>
      </c>
      <c r="D41" s="120" t="s">
        <v>1</v>
      </c>
      <c r="E41" s="133">
        <v>1.770833333333333</v>
      </c>
      <c r="F41" s="120" t="s">
        <v>114</v>
      </c>
      <c r="G41" s="122">
        <v>2</v>
      </c>
      <c r="H41" s="134" t="s">
        <v>127</v>
      </c>
    </row>
    <row r="42" spans="1:8" ht="19.8" customHeight="1" x14ac:dyDescent="0.3">
      <c r="A42" s="132">
        <v>45983</v>
      </c>
      <c r="B42" s="120" t="s">
        <v>86</v>
      </c>
      <c r="C42" s="121" t="s">
        <v>108</v>
      </c>
      <c r="D42" s="120" t="s">
        <v>1</v>
      </c>
      <c r="E42" s="133">
        <v>1.302083333333333</v>
      </c>
      <c r="F42" s="120" t="s">
        <v>91</v>
      </c>
      <c r="G42" s="122">
        <v>4</v>
      </c>
      <c r="H42" s="134" t="s">
        <v>109</v>
      </c>
    </row>
    <row r="43" spans="1:8" ht="19.8" customHeight="1" x14ac:dyDescent="0.3">
      <c r="A43" s="132">
        <v>45983</v>
      </c>
      <c r="B43" s="120" t="s">
        <v>86</v>
      </c>
      <c r="C43" s="121" t="s">
        <v>110</v>
      </c>
      <c r="D43" s="120" t="s">
        <v>1</v>
      </c>
      <c r="E43" s="133">
        <v>1.1284722222222221</v>
      </c>
      <c r="F43" s="120" t="s">
        <v>91</v>
      </c>
      <c r="G43" s="122">
        <v>4</v>
      </c>
      <c r="H43" s="134" t="s">
        <v>109</v>
      </c>
    </row>
    <row r="44" spans="1:8" ht="19.8" customHeight="1" x14ac:dyDescent="0.3">
      <c r="A44" s="132">
        <v>45983</v>
      </c>
      <c r="B44" s="120" t="s">
        <v>86</v>
      </c>
      <c r="C44" s="121" t="s">
        <v>111</v>
      </c>
      <c r="D44" s="120" t="s">
        <v>1</v>
      </c>
      <c r="E44" s="133">
        <v>1.788194444444444</v>
      </c>
      <c r="F44" s="120" t="s">
        <v>91</v>
      </c>
      <c r="G44" s="122">
        <v>4</v>
      </c>
      <c r="H44" s="134" t="s">
        <v>109</v>
      </c>
    </row>
    <row r="45" spans="1:8" ht="19.8" customHeight="1" x14ac:dyDescent="0.3">
      <c r="A45" s="132">
        <v>45983</v>
      </c>
      <c r="B45" s="120" t="s">
        <v>86</v>
      </c>
      <c r="C45" s="121" t="s">
        <v>104</v>
      </c>
      <c r="D45" s="120" t="s">
        <v>1</v>
      </c>
      <c r="E45" s="133">
        <v>1.6111111111111109</v>
      </c>
      <c r="F45" s="120" t="s">
        <v>91</v>
      </c>
      <c r="G45" s="122">
        <v>9</v>
      </c>
      <c r="H45" s="134" t="s">
        <v>106</v>
      </c>
    </row>
    <row r="46" spans="1:8" ht="19.8" customHeight="1" x14ac:dyDescent="0.3">
      <c r="A46" s="132">
        <v>45983</v>
      </c>
      <c r="B46" s="120" t="s">
        <v>86</v>
      </c>
      <c r="C46" s="121" t="s">
        <v>107</v>
      </c>
      <c r="D46" s="120" t="s">
        <v>1</v>
      </c>
      <c r="E46" s="133">
        <v>1.8298611111111109</v>
      </c>
      <c r="F46" s="120" t="s">
        <v>91</v>
      </c>
      <c r="G46" s="122">
        <v>9</v>
      </c>
      <c r="H46" s="134" t="s">
        <v>106</v>
      </c>
    </row>
    <row r="47" spans="1:8" ht="19.8" customHeight="1" x14ac:dyDescent="0.3">
      <c r="A47" s="135">
        <v>45983</v>
      </c>
      <c r="B47" s="136" t="s">
        <v>68</v>
      </c>
      <c r="C47" s="137" t="s">
        <v>81</v>
      </c>
      <c r="D47" s="136" t="s">
        <v>1</v>
      </c>
      <c r="E47" s="138">
        <v>1.333333333333333</v>
      </c>
      <c r="F47" s="136" t="s">
        <v>82</v>
      </c>
      <c r="G47" s="136"/>
      <c r="H47" s="139" t="s">
        <v>83</v>
      </c>
    </row>
    <row r="48" spans="1:8" ht="19.8" customHeight="1" x14ac:dyDescent="0.3">
      <c r="A48" s="132">
        <v>45984</v>
      </c>
      <c r="B48" s="120" t="s">
        <v>59</v>
      </c>
      <c r="C48" s="121" t="s">
        <v>60</v>
      </c>
      <c r="D48" s="120" t="s">
        <v>1</v>
      </c>
      <c r="E48" s="133">
        <v>1.666666666666667</v>
      </c>
      <c r="F48" s="120" t="s">
        <v>61</v>
      </c>
      <c r="G48" s="122">
        <v>2</v>
      </c>
      <c r="H48" s="123">
        <v>401</v>
      </c>
    </row>
    <row r="49" spans="1:8" ht="19.8" customHeight="1" x14ac:dyDescent="0.3">
      <c r="A49" s="132">
        <v>45984</v>
      </c>
      <c r="B49" s="120" t="s">
        <v>26</v>
      </c>
      <c r="C49" s="121" t="s">
        <v>36</v>
      </c>
      <c r="D49" s="120" t="s">
        <v>1</v>
      </c>
      <c r="E49" s="133">
        <v>1.788194444444444</v>
      </c>
      <c r="F49" s="120" t="s">
        <v>132</v>
      </c>
      <c r="G49" s="122">
        <v>6</v>
      </c>
      <c r="H49" s="123">
        <v>539</v>
      </c>
    </row>
    <row r="50" spans="1:8" ht="19.8" customHeight="1" x14ac:dyDescent="0.3">
      <c r="A50" s="132">
        <v>45984</v>
      </c>
      <c r="B50" s="120" t="s">
        <v>26</v>
      </c>
      <c r="C50" s="121" t="s">
        <v>31</v>
      </c>
      <c r="D50" s="120" t="s">
        <v>1</v>
      </c>
      <c r="E50" s="133">
        <v>1.8888888888888891</v>
      </c>
      <c r="F50" s="120" t="s">
        <v>132</v>
      </c>
      <c r="G50" s="122">
        <v>7</v>
      </c>
      <c r="H50" s="123">
        <v>539</v>
      </c>
    </row>
    <row r="51" spans="1:8" ht="19.8" customHeight="1" x14ac:dyDescent="0.3">
      <c r="A51" s="132">
        <v>45984</v>
      </c>
      <c r="B51" s="120" t="s">
        <v>38</v>
      </c>
      <c r="C51" s="121" t="s">
        <v>39</v>
      </c>
      <c r="D51" s="120" t="s">
        <v>1</v>
      </c>
      <c r="E51" s="133">
        <v>1.256944444444444</v>
      </c>
      <c r="F51" s="120" t="s">
        <v>145</v>
      </c>
      <c r="G51" s="122">
        <v>6</v>
      </c>
      <c r="H51" s="123">
        <v>549</v>
      </c>
    </row>
    <row r="52" spans="1:8" ht="19.8" customHeight="1" x14ac:dyDescent="0.3">
      <c r="A52" s="132">
        <v>45984</v>
      </c>
      <c r="B52" s="120" t="s">
        <v>38</v>
      </c>
      <c r="C52" s="121" t="s">
        <v>43</v>
      </c>
      <c r="D52" s="120" t="s">
        <v>1</v>
      </c>
      <c r="E52" s="133">
        <v>1.9027777777777779</v>
      </c>
      <c r="F52" s="120" t="s">
        <v>145</v>
      </c>
      <c r="G52" s="122">
        <v>3</v>
      </c>
      <c r="H52" s="123">
        <v>549</v>
      </c>
    </row>
    <row r="53" spans="1:8" ht="19.8" customHeight="1" x14ac:dyDescent="0.3">
      <c r="A53" s="132">
        <v>45984</v>
      </c>
      <c r="B53" s="120" t="s">
        <v>38</v>
      </c>
      <c r="C53" s="121" t="s">
        <v>45</v>
      </c>
      <c r="D53" s="120" t="s">
        <v>1</v>
      </c>
      <c r="E53" s="133">
        <v>1.854166666666667</v>
      </c>
      <c r="F53" s="120" t="s">
        <v>145</v>
      </c>
      <c r="G53" s="122">
        <v>9</v>
      </c>
      <c r="H53" s="123">
        <v>549</v>
      </c>
    </row>
    <row r="54" spans="1:8" ht="19.8" customHeight="1" x14ac:dyDescent="0.3">
      <c r="A54" s="132">
        <v>45984</v>
      </c>
      <c r="B54" s="120" t="s">
        <v>38</v>
      </c>
      <c r="C54" s="121" t="s">
        <v>46</v>
      </c>
      <c r="D54" s="120" t="s">
        <v>1</v>
      </c>
      <c r="E54" s="133">
        <v>1.7986111111111109</v>
      </c>
      <c r="F54" s="120" t="s">
        <v>145</v>
      </c>
      <c r="G54" s="122">
        <v>9</v>
      </c>
      <c r="H54" s="123">
        <v>549</v>
      </c>
    </row>
    <row r="55" spans="1:8" ht="19.8" customHeight="1" x14ac:dyDescent="0.3">
      <c r="A55" s="132">
        <v>45984</v>
      </c>
      <c r="B55" s="120" t="s">
        <v>38</v>
      </c>
      <c r="C55" s="121" t="s">
        <v>48</v>
      </c>
      <c r="D55" s="120" t="s">
        <v>1</v>
      </c>
      <c r="E55" s="133">
        <v>1.645833333333333</v>
      </c>
      <c r="F55" s="120" t="s">
        <v>145</v>
      </c>
      <c r="G55" s="122">
        <v>9</v>
      </c>
      <c r="H55" s="123">
        <v>589</v>
      </c>
    </row>
    <row r="56" spans="1:8" ht="19.8" customHeight="1" x14ac:dyDescent="0.3">
      <c r="A56" s="132">
        <v>45984</v>
      </c>
      <c r="B56" s="120" t="s">
        <v>38</v>
      </c>
      <c r="C56" s="121" t="s">
        <v>50</v>
      </c>
      <c r="D56" s="120" t="s">
        <v>1</v>
      </c>
      <c r="E56" s="133">
        <v>1.5173611111111109</v>
      </c>
      <c r="F56" s="120" t="s">
        <v>145</v>
      </c>
      <c r="G56" s="122">
        <v>9</v>
      </c>
      <c r="H56" s="123">
        <v>589</v>
      </c>
    </row>
    <row r="57" spans="1:8" ht="19.8" customHeight="1" x14ac:dyDescent="0.3">
      <c r="A57" s="132">
        <v>45984</v>
      </c>
      <c r="B57" s="120" t="s">
        <v>38</v>
      </c>
      <c r="C57" s="121" t="s">
        <v>51</v>
      </c>
      <c r="D57" s="120" t="s">
        <v>1</v>
      </c>
      <c r="E57" s="133">
        <v>1.395833333333333</v>
      </c>
      <c r="F57" s="120" t="s">
        <v>145</v>
      </c>
      <c r="G57" s="122">
        <v>9</v>
      </c>
      <c r="H57" s="123">
        <v>589</v>
      </c>
    </row>
    <row r="58" spans="1:8" ht="19.8" customHeight="1" x14ac:dyDescent="0.3">
      <c r="A58" s="132">
        <v>45984</v>
      </c>
      <c r="B58" s="120" t="s">
        <v>38</v>
      </c>
      <c r="C58" s="121" t="s">
        <v>156</v>
      </c>
      <c r="D58" s="120" t="s">
        <v>1</v>
      </c>
      <c r="E58" s="133">
        <v>1.302083333333333</v>
      </c>
      <c r="F58" s="120" t="s">
        <v>145</v>
      </c>
      <c r="G58" s="122">
        <v>9</v>
      </c>
      <c r="H58" s="123">
        <v>589</v>
      </c>
    </row>
    <row r="59" spans="1:8" ht="19.8" customHeight="1" x14ac:dyDescent="0.3">
      <c r="A59" s="132">
        <v>45984</v>
      </c>
      <c r="B59" s="120" t="s">
        <v>64</v>
      </c>
      <c r="C59" s="121" t="s">
        <v>65</v>
      </c>
      <c r="D59" s="120" t="s">
        <v>1</v>
      </c>
      <c r="E59" s="133">
        <v>1.274305555555556</v>
      </c>
      <c r="F59" s="120" t="s">
        <v>61</v>
      </c>
      <c r="G59" s="122">
        <v>5</v>
      </c>
      <c r="H59" s="123">
        <v>595</v>
      </c>
    </row>
    <row r="60" spans="1:8" ht="19.8" customHeight="1" x14ac:dyDescent="0.3">
      <c r="A60" s="132">
        <v>45984</v>
      </c>
      <c r="B60" s="120" t="s">
        <v>59</v>
      </c>
      <c r="C60" s="121" t="s">
        <v>130</v>
      </c>
      <c r="D60" s="120" t="s">
        <v>1</v>
      </c>
      <c r="E60" s="133">
        <v>1.381944444444444</v>
      </c>
      <c r="F60" s="120" t="s">
        <v>61</v>
      </c>
      <c r="G60" s="122">
        <v>9</v>
      </c>
      <c r="H60" s="123">
        <v>599</v>
      </c>
    </row>
    <row r="61" spans="1:8" ht="19.8" customHeight="1" x14ac:dyDescent="0.3">
      <c r="A61" s="132">
        <v>45984</v>
      </c>
      <c r="B61" s="120" t="s">
        <v>52</v>
      </c>
      <c r="C61" s="121" t="s">
        <v>57</v>
      </c>
      <c r="D61" s="120" t="s">
        <v>1</v>
      </c>
      <c r="E61" s="133">
        <v>1.3888888888888891</v>
      </c>
      <c r="F61" s="120" t="s">
        <v>161</v>
      </c>
      <c r="G61" s="122">
        <v>9</v>
      </c>
      <c r="H61" s="123">
        <v>617</v>
      </c>
    </row>
    <row r="62" spans="1:8" ht="19.8" customHeight="1" x14ac:dyDescent="0.3">
      <c r="A62" s="132">
        <v>45984</v>
      </c>
      <c r="B62" s="120" t="s">
        <v>26</v>
      </c>
      <c r="C62" s="121" t="s">
        <v>27</v>
      </c>
      <c r="D62" s="120" t="s">
        <v>1</v>
      </c>
      <c r="E62" s="133">
        <v>1.1284722222222221</v>
      </c>
      <c r="F62" s="120" t="s">
        <v>132</v>
      </c>
      <c r="G62" s="122">
        <v>8</v>
      </c>
      <c r="H62" s="123">
        <v>639</v>
      </c>
    </row>
    <row r="63" spans="1:8" ht="19.8" customHeight="1" x14ac:dyDescent="0.3">
      <c r="A63" s="132">
        <v>45984</v>
      </c>
      <c r="B63" s="120" t="s">
        <v>64</v>
      </c>
      <c r="C63" s="121" t="s">
        <v>159</v>
      </c>
      <c r="D63" s="120" t="s">
        <v>1</v>
      </c>
      <c r="E63" s="133">
        <v>1.3472222222222221</v>
      </c>
      <c r="F63" s="120" t="s">
        <v>61</v>
      </c>
      <c r="G63" s="122">
        <v>8</v>
      </c>
      <c r="H63" s="123">
        <v>645</v>
      </c>
    </row>
    <row r="64" spans="1:8" ht="19.8" customHeight="1" x14ac:dyDescent="0.3">
      <c r="A64" s="129">
        <v>45984</v>
      </c>
      <c r="B64" s="125" t="s">
        <v>68</v>
      </c>
      <c r="C64" s="126" t="s">
        <v>164</v>
      </c>
      <c r="D64" s="125" t="s">
        <v>1</v>
      </c>
      <c r="E64" s="130">
        <v>1.083333333333333</v>
      </c>
      <c r="F64" s="125" t="s">
        <v>70</v>
      </c>
      <c r="G64" s="127">
        <v>9</v>
      </c>
      <c r="H64" s="128">
        <v>646</v>
      </c>
    </row>
    <row r="65" spans="1:8" ht="19.8" customHeight="1" x14ac:dyDescent="0.3">
      <c r="A65" s="129">
        <v>45984</v>
      </c>
      <c r="B65" s="125" t="s">
        <v>68</v>
      </c>
      <c r="C65" s="126" t="s">
        <v>169</v>
      </c>
      <c r="D65" s="125" t="s">
        <v>1</v>
      </c>
      <c r="E65" s="130">
        <v>1.333333333333333</v>
      </c>
      <c r="F65" s="125" t="s">
        <v>70</v>
      </c>
      <c r="G65" s="127">
        <v>9</v>
      </c>
      <c r="H65" s="128">
        <v>646</v>
      </c>
    </row>
    <row r="66" spans="1:8" ht="19.8" customHeight="1" x14ac:dyDescent="0.3">
      <c r="A66" s="129">
        <v>45984</v>
      </c>
      <c r="B66" s="125" t="s">
        <v>68</v>
      </c>
      <c r="C66" s="126" t="s">
        <v>172</v>
      </c>
      <c r="D66" s="125" t="s">
        <v>1</v>
      </c>
      <c r="E66" s="130">
        <v>1.319444444444444</v>
      </c>
      <c r="F66" s="125" t="s">
        <v>70</v>
      </c>
      <c r="G66" s="127">
        <v>9</v>
      </c>
      <c r="H66" s="128">
        <v>646</v>
      </c>
    </row>
    <row r="67" spans="1:8" ht="19.8" customHeight="1" x14ac:dyDescent="0.3">
      <c r="A67" s="132">
        <v>45984</v>
      </c>
      <c r="B67" s="120" t="s">
        <v>38</v>
      </c>
      <c r="C67" s="121" t="s">
        <v>39</v>
      </c>
      <c r="D67" s="120" t="s">
        <v>1</v>
      </c>
      <c r="E67" s="133">
        <v>1.256944444444444</v>
      </c>
      <c r="F67" s="120" t="s">
        <v>147</v>
      </c>
      <c r="G67" s="122">
        <v>6</v>
      </c>
      <c r="H67" s="123">
        <v>649</v>
      </c>
    </row>
    <row r="68" spans="1:8" ht="19.8" customHeight="1" x14ac:dyDescent="0.3">
      <c r="A68" s="132">
        <v>45984</v>
      </c>
      <c r="B68" s="120" t="s">
        <v>38</v>
      </c>
      <c r="C68" s="121" t="s">
        <v>43</v>
      </c>
      <c r="D68" s="120" t="s">
        <v>1</v>
      </c>
      <c r="E68" s="133">
        <v>1.9027777777777779</v>
      </c>
      <c r="F68" s="120" t="s">
        <v>147</v>
      </c>
      <c r="G68" s="122">
        <v>3</v>
      </c>
      <c r="H68" s="123">
        <v>649</v>
      </c>
    </row>
    <row r="69" spans="1:8" ht="19.8" customHeight="1" x14ac:dyDescent="0.3">
      <c r="A69" s="132">
        <v>45984</v>
      </c>
      <c r="B69" s="120" t="s">
        <v>38</v>
      </c>
      <c r="C69" s="121" t="s">
        <v>45</v>
      </c>
      <c r="D69" s="120" t="s">
        <v>1</v>
      </c>
      <c r="E69" s="133">
        <v>1.854166666666667</v>
      </c>
      <c r="F69" s="120" t="s">
        <v>147</v>
      </c>
      <c r="G69" s="122">
        <v>9</v>
      </c>
      <c r="H69" s="123">
        <v>649</v>
      </c>
    </row>
    <row r="70" spans="1:8" ht="19.8" customHeight="1" x14ac:dyDescent="0.3">
      <c r="A70" s="132">
        <v>45984</v>
      </c>
      <c r="B70" s="120" t="s">
        <v>38</v>
      </c>
      <c r="C70" s="121" t="s">
        <v>46</v>
      </c>
      <c r="D70" s="120" t="s">
        <v>1</v>
      </c>
      <c r="E70" s="133">
        <v>1.7986111111111109</v>
      </c>
      <c r="F70" s="120" t="s">
        <v>147</v>
      </c>
      <c r="G70" s="122">
        <v>9</v>
      </c>
      <c r="H70" s="123">
        <v>649</v>
      </c>
    </row>
    <row r="71" spans="1:8" ht="19.8" customHeight="1" x14ac:dyDescent="0.3">
      <c r="A71" s="132">
        <v>45984</v>
      </c>
      <c r="B71" s="120" t="s">
        <v>26</v>
      </c>
      <c r="C71" s="121" t="s">
        <v>33</v>
      </c>
      <c r="D71" s="120" t="s">
        <v>1</v>
      </c>
      <c r="E71" s="133">
        <v>1.302083333333333</v>
      </c>
      <c r="F71" s="120" t="s">
        <v>132</v>
      </c>
      <c r="G71" s="122">
        <v>11</v>
      </c>
      <c r="H71" s="123">
        <v>689</v>
      </c>
    </row>
    <row r="72" spans="1:8" ht="19.8" customHeight="1" x14ac:dyDescent="0.3">
      <c r="A72" s="132">
        <v>45984</v>
      </c>
      <c r="B72" s="120" t="s">
        <v>26</v>
      </c>
      <c r="C72" s="121" t="s">
        <v>36</v>
      </c>
      <c r="D72" s="120" t="s">
        <v>1</v>
      </c>
      <c r="E72" s="133">
        <v>1.788194444444444</v>
      </c>
      <c r="F72" s="120" t="s">
        <v>134</v>
      </c>
      <c r="G72" s="122">
        <v>6</v>
      </c>
      <c r="H72" s="123">
        <v>689</v>
      </c>
    </row>
    <row r="73" spans="1:8" ht="19.8" customHeight="1" x14ac:dyDescent="0.3">
      <c r="A73" s="132">
        <v>45984</v>
      </c>
      <c r="B73" s="120" t="s">
        <v>26</v>
      </c>
      <c r="C73" s="121" t="s">
        <v>31</v>
      </c>
      <c r="D73" s="120" t="s">
        <v>1</v>
      </c>
      <c r="E73" s="133">
        <v>1.8888888888888891</v>
      </c>
      <c r="F73" s="120" t="s">
        <v>134</v>
      </c>
      <c r="G73" s="122">
        <v>7</v>
      </c>
      <c r="H73" s="123">
        <v>689</v>
      </c>
    </row>
    <row r="74" spans="1:8" ht="19.8" customHeight="1" x14ac:dyDescent="0.3">
      <c r="A74" s="132">
        <v>45984</v>
      </c>
      <c r="B74" s="120" t="s">
        <v>38</v>
      </c>
      <c r="C74" s="121" t="s">
        <v>48</v>
      </c>
      <c r="D74" s="120" t="s">
        <v>1</v>
      </c>
      <c r="E74" s="133">
        <v>1.645833333333333</v>
      </c>
      <c r="F74" s="120" t="s">
        <v>147</v>
      </c>
      <c r="G74" s="122">
        <v>9</v>
      </c>
      <c r="H74" s="123">
        <v>689</v>
      </c>
    </row>
    <row r="75" spans="1:8" ht="19.8" customHeight="1" x14ac:dyDescent="0.3">
      <c r="A75" s="132">
        <v>45984</v>
      </c>
      <c r="B75" s="120" t="s">
        <v>38</v>
      </c>
      <c r="C75" s="121" t="s">
        <v>50</v>
      </c>
      <c r="D75" s="120" t="s">
        <v>1</v>
      </c>
      <c r="E75" s="133">
        <v>1.5173611111111109</v>
      </c>
      <c r="F75" s="120" t="s">
        <v>147</v>
      </c>
      <c r="G75" s="122">
        <v>9</v>
      </c>
      <c r="H75" s="123">
        <v>689</v>
      </c>
    </row>
    <row r="76" spans="1:8" ht="19.8" customHeight="1" x14ac:dyDescent="0.3">
      <c r="A76" s="132">
        <v>45984</v>
      </c>
      <c r="B76" s="120" t="s">
        <v>38</v>
      </c>
      <c r="C76" s="121" t="s">
        <v>51</v>
      </c>
      <c r="D76" s="120" t="s">
        <v>1</v>
      </c>
      <c r="E76" s="133">
        <v>1.395833333333333</v>
      </c>
      <c r="F76" s="120" t="s">
        <v>147</v>
      </c>
      <c r="G76" s="122">
        <v>9</v>
      </c>
      <c r="H76" s="123">
        <v>689</v>
      </c>
    </row>
    <row r="77" spans="1:8" ht="19.8" customHeight="1" x14ac:dyDescent="0.3">
      <c r="A77" s="132">
        <v>45984</v>
      </c>
      <c r="B77" s="120" t="s">
        <v>38</v>
      </c>
      <c r="C77" s="121" t="s">
        <v>156</v>
      </c>
      <c r="D77" s="120" t="s">
        <v>1</v>
      </c>
      <c r="E77" s="133">
        <v>1.302083333333333</v>
      </c>
      <c r="F77" s="120" t="s">
        <v>147</v>
      </c>
      <c r="G77" s="122">
        <v>9</v>
      </c>
      <c r="H77" s="123">
        <v>689</v>
      </c>
    </row>
    <row r="78" spans="1:8" ht="19.8" customHeight="1" x14ac:dyDescent="0.3">
      <c r="A78" s="132">
        <v>45984</v>
      </c>
      <c r="B78" s="120" t="s">
        <v>38</v>
      </c>
      <c r="C78" s="121" t="s">
        <v>39</v>
      </c>
      <c r="D78" s="120" t="s">
        <v>1</v>
      </c>
      <c r="E78" s="133">
        <v>1.256944444444444</v>
      </c>
      <c r="F78" s="120" t="s">
        <v>149</v>
      </c>
      <c r="G78" s="122">
        <v>6</v>
      </c>
      <c r="H78" s="123">
        <v>739</v>
      </c>
    </row>
    <row r="79" spans="1:8" ht="19.8" customHeight="1" x14ac:dyDescent="0.3">
      <c r="A79" s="132">
        <v>45984</v>
      </c>
      <c r="B79" s="120" t="s">
        <v>38</v>
      </c>
      <c r="C79" s="121" t="s">
        <v>43</v>
      </c>
      <c r="D79" s="120" t="s">
        <v>1</v>
      </c>
      <c r="E79" s="133">
        <v>1.9027777777777779</v>
      </c>
      <c r="F79" s="120" t="s">
        <v>149</v>
      </c>
      <c r="G79" s="122">
        <v>3</v>
      </c>
      <c r="H79" s="123">
        <v>739</v>
      </c>
    </row>
    <row r="80" spans="1:8" ht="19.8" customHeight="1" x14ac:dyDescent="0.3">
      <c r="A80" s="132">
        <v>45984</v>
      </c>
      <c r="B80" s="120" t="s">
        <v>38</v>
      </c>
      <c r="C80" s="121" t="s">
        <v>45</v>
      </c>
      <c r="D80" s="120" t="s">
        <v>1</v>
      </c>
      <c r="E80" s="133">
        <v>1.854166666666667</v>
      </c>
      <c r="F80" s="120" t="s">
        <v>149</v>
      </c>
      <c r="G80" s="122">
        <v>9</v>
      </c>
      <c r="H80" s="123">
        <v>739</v>
      </c>
    </row>
    <row r="81" spans="1:8" ht="19.8" customHeight="1" x14ac:dyDescent="0.3">
      <c r="A81" s="132">
        <v>45984</v>
      </c>
      <c r="B81" s="120" t="s">
        <v>38</v>
      </c>
      <c r="C81" s="121" t="s">
        <v>46</v>
      </c>
      <c r="D81" s="120" t="s">
        <v>1</v>
      </c>
      <c r="E81" s="133">
        <v>1.7986111111111109</v>
      </c>
      <c r="F81" s="120" t="s">
        <v>149</v>
      </c>
      <c r="G81" s="122">
        <v>9</v>
      </c>
      <c r="H81" s="123">
        <v>739</v>
      </c>
    </row>
    <row r="82" spans="1:8" ht="19.8" customHeight="1" x14ac:dyDescent="0.3">
      <c r="A82" s="132">
        <v>45984</v>
      </c>
      <c r="B82" s="120" t="s">
        <v>52</v>
      </c>
      <c r="C82" s="121" t="s">
        <v>57</v>
      </c>
      <c r="D82" s="120" t="s">
        <v>1</v>
      </c>
      <c r="E82" s="133">
        <v>1.3888888888888891</v>
      </c>
      <c r="F82" s="120" t="s">
        <v>136</v>
      </c>
      <c r="G82" s="122">
        <v>9</v>
      </c>
      <c r="H82" s="123">
        <v>740</v>
      </c>
    </row>
    <row r="83" spans="1:8" ht="19.8" customHeight="1" x14ac:dyDescent="0.3">
      <c r="A83" s="132">
        <v>45984</v>
      </c>
      <c r="B83" s="120" t="s">
        <v>38</v>
      </c>
      <c r="C83" s="121" t="s">
        <v>48</v>
      </c>
      <c r="D83" s="120" t="s">
        <v>1</v>
      </c>
      <c r="E83" s="133">
        <v>1.645833333333333</v>
      </c>
      <c r="F83" s="120" t="s">
        <v>149</v>
      </c>
      <c r="G83" s="122">
        <v>9</v>
      </c>
      <c r="H83" s="123">
        <v>779</v>
      </c>
    </row>
    <row r="84" spans="1:8" ht="19.8" customHeight="1" x14ac:dyDescent="0.3">
      <c r="A84" s="132">
        <v>45984</v>
      </c>
      <c r="B84" s="120" t="s">
        <v>38</v>
      </c>
      <c r="C84" s="121" t="s">
        <v>50</v>
      </c>
      <c r="D84" s="120" t="s">
        <v>1</v>
      </c>
      <c r="E84" s="133">
        <v>1.5173611111111109</v>
      </c>
      <c r="F84" s="120" t="s">
        <v>149</v>
      </c>
      <c r="G84" s="122">
        <v>9</v>
      </c>
      <c r="H84" s="123">
        <v>779</v>
      </c>
    </row>
    <row r="85" spans="1:8" ht="19.8" customHeight="1" x14ac:dyDescent="0.3">
      <c r="A85" s="132">
        <v>45984</v>
      </c>
      <c r="B85" s="120" t="s">
        <v>38</v>
      </c>
      <c r="C85" s="121" t="s">
        <v>51</v>
      </c>
      <c r="D85" s="120" t="s">
        <v>1</v>
      </c>
      <c r="E85" s="133">
        <v>1.395833333333333</v>
      </c>
      <c r="F85" s="120" t="s">
        <v>149</v>
      </c>
      <c r="G85" s="122">
        <v>9</v>
      </c>
      <c r="H85" s="123">
        <v>779</v>
      </c>
    </row>
    <row r="86" spans="1:8" ht="19.8" customHeight="1" x14ac:dyDescent="0.3">
      <c r="A86" s="132">
        <v>45984</v>
      </c>
      <c r="B86" s="120" t="s">
        <v>38</v>
      </c>
      <c r="C86" s="121" t="s">
        <v>156</v>
      </c>
      <c r="D86" s="120" t="s">
        <v>1</v>
      </c>
      <c r="E86" s="133">
        <v>1.302083333333333</v>
      </c>
      <c r="F86" s="120" t="s">
        <v>149</v>
      </c>
      <c r="G86" s="122">
        <v>9</v>
      </c>
      <c r="H86" s="123">
        <v>779</v>
      </c>
    </row>
    <row r="87" spans="1:8" ht="19.8" customHeight="1" x14ac:dyDescent="0.3">
      <c r="A87" s="129">
        <v>45984</v>
      </c>
      <c r="B87" s="125" t="s">
        <v>68</v>
      </c>
      <c r="C87" s="126" t="s">
        <v>174</v>
      </c>
      <c r="D87" s="125" t="s">
        <v>1</v>
      </c>
      <c r="E87" s="130">
        <v>1.510416666666667</v>
      </c>
      <c r="F87" s="125" t="s">
        <v>70</v>
      </c>
      <c r="G87" s="127">
        <v>7</v>
      </c>
      <c r="H87" s="128">
        <v>781</v>
      </c>
    </row>
    <row r="88" spans="1:8" ht="19.8" customHeight="1" x14ac:dyDescent="0.3">
      <c r="A88" s="132">
        <v>45984</v>
      </c>
      <c r="B88" s="120" t="s">
        <v>26</v>
      </c>
      <c r="C88" s="121" t="s">
        <v>27</v>
      </c>
      <c r="D88" s="120" t="s">
        <v>1</v>
      </c>
      <c r="E88" s="133">
        <v>1.1284722222222221</v>
      </c>
      <c r="F88" s="120" t="s">
        <v>134</v>
      </c>
      <c r="G88" s="122">
        <v>8</v>
      </c>
      <c r="H88" s="123">
        <v>789</v>
      </c>
    </row>
    <row r="89" spans="1:8" ht="19.8" customHeight="1" x14ac:dyDescent="0.3">
      <c r="A89" s="132">
        <v>45984</v>
      </c>
      <c r="B89" s="120" t="s">
        <v>26</v>
      </c>
      <c r="C89" s="121" t="s">
        <v>33</v>
      </c>
      <c r="D89" s="120" t="s">
        <v>1</v>
      </c>
      <c r="E89" s="133">
        <v>1.302083333333333</v>
      </c>
      <c r="F89" s="120" t="s">
        <v>134</v>
      </c>
      <c r="G89" s="122">
        <v>11</v>
      </c>
      <c r="H89" s="123">
        <v>839</v>
      </c>
    </row>
    <row r="90" spans="1:8" ht="19.8" customHeight="1" x14ac:dyDescent="0.3">
      <c r="A90" s="132">
        <v>45984</v>
      </c>
      <c r="B90" s="120" t="s">
        <v>26</v>
      </c>
      <c r="C90" s="121" t="s">
        <v>33</v>
      </c>
      <c r="D90" s="120" t="s">
        <v>1</v>
      </c>
      <c r="E90" s="133">
        <v>1.302083333333333</v>
      </c>
      <c r="F90" s="120" t="s">
        <v>136</v>
      </c>
      <c r="G90" s="122">
        <v>11</v>
      </c>
      <c r="H90" s="134" t="s">
        <v>137</v>
      </c>
    </row>
    <row r="91" spans="1:8" ht="19.8" customHeight="1" x14ac:dyDescent="0.3">
      <c r="A91" s="132">
        <v>45984</v>
      </c>
      <c r="B91" s="120" t="s">
        <v>26</v>
      </c>
      <c r="C91" s="121" t="s">
        <v>27</v>
      </c>
      <c r="D91" s="120" t="s">
        <v>1</v>
      </c>
      <c r="E91" s="133">
        <v>1.1284722222222221</v>
      </c>
      <c r="F91" s="120" t="s">
        <v>136</v>
      </c>
      <c r="G91" s="122">
        <v>8</v>
      </c>
      <c r="H91" s="134" t="s">
        <v>137</v>
      </c>
    </row>
    <row r="92" spans="1:8" ht="19.8" customHeight="1" x14ac:dyDescent="0.3">
      <c r="A92" s="132">
        <v>45984</v>
      </c>
      <c r="B92" s="120" t="s">
        <v>26</v>
      </c>
      <c r="C92" s="121" t="s">
        <v>36</v>
      </c>
      <c r="D92" s="120" t="s">
        <v>1</v>
      </c>
      <c r="E92" s="133">
        <v>1.788194444444444</v>
      </c>
      <c r="F92" s="120" t="s">
        <v>136</v>
      </c>
      <c r="G92" s="122">
        <v>6</v>
      </c>
      <c r="H92" s="134" t="s">
        <v>137</v>
      </c>
    </row>
    <row r="93" spans="1:8" ht="19.8" customHeight="1" x14ac:dyDescent="0.3">
      <c r="A93" s="132">
        <v>45984</v>
      </c>
      <c r="B93" s="120" t="s">
        <v>26</v>
      </c>
      <c r="C93" s="121" t="s">
        <v>31</v>
      </c>
      <c r="D93" s="120" t="s">
        <v>1</v>
      </c>
      <c r="E93" s="133">
        <v>1.8888888888888891</v>
      </c>
      <c r="F93" s="120" t="s">
        <v>136</v>
      </c>
      <c r="G93" s="122">
        <v>7</v>
      </c>
      <c r="H93" s="134" t="s">
        <v>137</v>
      </c>
    </row>
    <row r="94" spans="1:8" ht="19.8" customHeight="1" x14ac:dyDescent="0.3">
      <c r="A94" s="132">
        <v>45984</v>
      </c>
      <c r="B94" s="120" t="s">
        <v>112</v>
      </c>
      <c r="C94" s="121" t="s">
        <v>119</v>
      </c>
      <c r="D94" s="120" t="s">
        <v>1</v>
      </c>
      <c r="E94" s="133">
        <v>1.4861111111111109</v>
      </c>
      <c r="F94" s="120" t="s">
        <v>114</v>
      </c>
      <c r="G94" s="122">
        <v>9</v>
      </c>
      <c r="H94" s="134" t="s">
        <v>115</v>
      </c>
    </row>
    <row r="95" spans="1:8" ht="19.8" customHeight="1" x14ac:dyDescent="0.3">
      <c r="A95" s="132">
        <v>45984</v>
      </c>
      <c r="B95" s="120" t="s">
        <v>112</v>
      </c>
      <c r="C95" s="121" t="s">
        <v>113</v>
      </c>
      <c r="D95" s="120" t="s">
        <v>1</v>
      </c>
      <c r="E95" s="133">
        <v>1.2638888888888891</v>
      </c>
      <c r="F95" s="120" t="s">
        <v>114</v>
      </c>
      <c r="G95" s="122">
        <v>9</v>
      </c>
      <c r="H95" s="134" t="s">
        <v>115</v>
      </c>
    </row>
    <row r="96" spans="1:8" ht="19.8" customHeight="1" x14ac:dyDescent="0.3">
      <c r="A96" s="132">
        <v>45984</v>
      </c>
      <c r="B96" s="120" t="s">
        <v>112</v>
      </c>
      <c r="C96" s="121" t="s">
        <v>124</v>
      </c>
      <c r="D96" s="120" t="s">
        <v>1</v>
      </c>
      <c r="E96" s="133">
        <v>1.975694444444444</v>
      </c>
      <c r="F96" s="120" t="s">
        <v>114</v>
      </c>
      <c r="G96" s="122">
        <v>9</v>
      </c>
      <c r="H96" s="134" t="s">
        <v>115</v>
      </c>
    </row>
    <row r="97" spans="1:8" ht="19.8" customHeight="1" x14ac:dyDescent="0.3">
      <c r="A97" s="132">
        <v>45984</v>
      </c>
      <c r="B97" s="120" t="s">
        <v>112</v>
      </c>
      <c r="C97" s="121" t="s">
        <v>126</v>
      </c>
      <c r="D97" s="120" t="s">
        <v>1</v>
      </c>
      <c r="E97" s="133">
        <v>1.774305555555556</v>
      </c>
      <c r="F97" s="120" t="s">
        <v>114</v>
      </c>
      <c r="G97" s="122">
        <v>9</v>
      </c>
      <c r="H97" s="134" t="s">
        <v>115</v>
      </c>
    </row>
    <row r="98" spans="1:8" ht="19.8" customHeight="1" x14ac:dyDescent="0.3">
      <c r="A98" s="132">
        <v>45984</v>
      </c>
      <c r="B98" s="120" t="s">
        <v>112</v>
      </c>
      <c r="C98" s="121" t="s">
        <v>116</v>
      </c>
      <c r="D98" s="120" t="s">
        <v>1</v>
      </c>
      <c r="E98" s="133">
        <v>1.2222222222222221</v>
      </c>
      <c r="F98" s="120" t="s">
        <v>114</v>
      </c>
      <c r="G98" s="122">
        <v>9</v>
      </c>
      <c r="H98" s="134" t="s">
        <v>115</v>
      </c>
    </row>
    <row r="99" spans="1:8" ht="19.8" customHeight="1" x14ac:dyDescent="0.3">
      <c r="A99" s="132">
        <v>45984</v>
      </c>
      <c r="B99" s="120" t="s">
        <v>86</v>
      </c>
      <c r="C99" s="121" t="s">
        <v>96</v>
      </c>
      <c r="D99" s="120" t="s">
        <v>1</v>
      </c>
      <c r="E99" s="133">
        <v>1.006944444444444</v>
      </c>
      <c r="F99" s="120" t="s">
        <v>88</v>
      </c>
      <c r="G99" s="122">
        <v>9</v>
      </c>
      <c r="H99" s="134" t="s">
        <v>180</v>
      </c>
    </row>
    <row r="100" spans="1:8" ht="19.8" customHeight="1" x14ac:dyDescent="0.3">
      <c r="A100" s="132">
        <v>45984</v>
      </c>
      <c r="B100" s="120" t="s">
        <v>86</v>
      </c>
      <c r="C100" s="121" t="s">
        <v>97</v>
      </c>
      <c r="D100" s="120" t="s">
        <v>1</v>
      </c>
      <c r="E100" s="133">
        <v>1.1423611111111109</v>
      </c>
      <c r="F100" s="120" t="s">
        <v>88</v>
      </c>
      <c r="G100" s="122">
        <v>9</v>
      </c>
      <c r="H100" s="134" t="s">
        <v>180</v>
      </c>
    </row>
    <row r="101" spans="1:8" ht="19.8" customHeight="1" x14ac:dyDescent="0.3">
      <c r="A101" s="132">
        <v>45984</v>
      </c>
      <c r="B101" s="120" t="s">
        <v>86</v>
      </c>
      <c r="C101" s="121" t="s">
        <v>98</v>
      </c>
      <c r="D101" s="120" t="s">
        <v>1</v>
      </c>
      <c r="E101" s="133">
        <v>1.930555555555556</v>
      </c>
      <c r="F101" s="120" t="s">
        <v>88</v>
      </c>
      <c r="G101" s="122">
        <v>6</v>
      </c>
      <c r="H101" s="134" t="s">
        <v>180</v>
      </c>
    </row>
    <row r="102" spans="1:8" ht="19.8" customHeight="1" x14ac:dyDescent="0.3">
      <c r="A102" s="132">
        <v>45984</v>
      </c>
      <c r="B102" s="120" t="s">
        <v>86</v>
      </c>
      <c r="C102" s="121" t="s">
        <v>96</v>
      </c>
      <c r="D102" s="120" t="s">
        <v>1</v>
      </c>
      <c r="E102" s="133">
        <v>1.006944444444444</v>
      </c>
      <c r="F102" s="120" t="s">
        <v>91</v>
      </c>
      <c r="G102" s="122">
        <v>9</v>
      </c>
      <c r="H102" s="134" t="s">
        <v>181</v>
      </c>
    </row>
    <row r="103" spans="1:8" ht="19.8" customHeight="1" x14ac:dyDescent="0.3">
      <c r="A103" s="132">
        <v>45984</v>
      </c>
      <c r="B103" s="120" t="s">
        <v>86</v>
      </c>
      <c r="C103" s="121" t="s">
        <v>97</v>
      </c>
      <c r="D103" s="120" t="s">
        <v>1</v>
      </c>
      <c r="E103" s="133">
        <v>1.1423611111111109</v>
      </c>
      <c r="F103" s="120" t="s">
        <v>91</v>
      </c>
      <c r="G103" s="122">
        <v>9</v>
      </c>
      <c r="H103" s="134" t="s">
        <v>181</v>
      </c>
    </row>
    <row r="104" spans="1:8" ht="19.8" customHeight="1" x14ac:dyDescent="0.3">
      <c r="A104" s="132">
        <v>45984</v>
      </c>
      <c r="B104" s="120" t="s">
        <v>86</v>
      </c>
      <c r="C104" s="121" t="s">
        <v>98</v>
      </c>
      <c r="D104" s="120" t="s">
        <v>1</v>
      </c>
      <c r="E104" s="133">
        <v>1.930555555555556</v>
      </c>
      <c r="F104" s="120" t="s">
        <v>91</v>
      </c>
      <c r="G104" s="122">
        <v>6</v>
      </c>
      <c r="H104" s="134" t="s">
        <v>181</v>
      </c>
    </row>
    <row r="105" spans="1:8" ht="19.8" customHeight="1" x14ac:dyDescent="0.3">
      <c r="A105" s="132">
        <v>45984</v>
      </c>
      <c r="B105" s="120" t="s">
        <v>86</v>
      </c>
      <c r="C105" s="121" t="s">
        <v>111</v>
      </c>
      <c r="D105" s="120" t="s">
        <v>1</v>
      </c>
      <c r="E105" s="133">
        <v>1.788194444444444</v>
      </c>
      <c r="F105" s="120" t="s">
        <v>91</v>
      </c>
      <c r="G105" s="122">
        <v>4</v>
      </c>
      <c r="H105" s="134" t="s">
        <v>183</v>
      </c>
    </row>
    <row r="106" spans="1:8" ht="19.8" customHeight="1" x14ac:dyDescent="0.3">
      <c r="A106" s="132">
        <v>45984</v>
      </c>
      <c r="B106" s="120" t="s">
        <v>112</v>
      </c>
      <c r="C106" s="121" t="s">
        <v>121</v>
      </c>
      <c r="D106" s="120" t="s">
        <v>1</v>
      </c>
      <c r="E106" s="133">
        <v>1.145833333333333</v>
      </c>
      <c r="F106" s="120" t="s">
        <v>114</v>
      </c>
      <c r="G106" s="122">
        <v>3</v>
      </c>
      <c r="H106" s="134" t="s">
        <v>120</v>
      </c>
    </row>
    <row r="107" spans="1:8" ht="19.8" customHeight="1" x14ac:dyDescent="0.3">
      <c r="A107" s="132">
        <v>45984</v>
      </c>
      <c r="B107" s="120" t="s">
        <v>86</v>
      </c>
      <c r="C107" s="121" t="s">
        <v>102</v>
      </c>
      <c r="D107" s="120" t="s">
        <v>1</v>
      </c>
      <c r="E107" s="133">
        <v>1.8888888888888891</v>
      </c>
      <c r="F107" s="120" t="s">
        <v>91</v>
      </c>
      <c r="G107" s="122">
        <v>4</v>
      </c>
      <c r="H107" s="134" t="s">
        <v>103</v>
      </c>
    </row>
    <row r="108" spans="1:8" ht="19.8" customHeight="1" x14ac:dyDescent="0.3">
      <c r="A108" s="132">
        <v>45984</v>
      </c>
      <c r="B108" s="120" t="s">
        <v>86</v>
      </c>
      <c r="C108" s="121" t="s">
        <v>110</v>
      </c>
      <c r="D108" s="120" t="s">
        <v>1</v>
      </c>
      <c r="E108" s="133">
        <v>1.1284722222222221</v>
      </c>
      <c r="F108" s="120" t="s">
        <v>91</v>
      </c>
      <c r="G108" s="122">
        <v>4</v>
      </c>
      <c r="H108" s="134" t="s">
        <v>103</v>
      </c>
    </row>
    <row r="109" spans="1:8" ht="19.8" customHeight="1" x14ac:dyDescent="0.3">
      <c r="A109" s="132">
        <v>45984</v>
      </c>
      <c r="B109" s="120" t="s">
        <v>86</v>
      </c>
      <c r="C109" s="121" t="s">
        <v>104</v>
      </c>
      <c r="D109" s="120" t="s">
        <v>1</v>
      </c>
      <c r="E109" s="133">
        <v>1.6111111111111109</v>
      </c>
      <c r="F109" s="120" t="s">
        <v>88</v>
      </c>
      <c r="G109" s="122">
        <v>9</v>
      </c>
      <c r="H109" s="134" t="s">
        <v>184</v>
      </c>
    </row>
    <row r="110" spans="1:8" ht="19.8" customHeight="1" x14ac:dyDescent="0.3">
      <c r="A110" s="132">
        <v>45984</v>
      </c>
      <c r="B110" s="120" t="s">
        <v>86</v>
      </c>
      <c r="C110" s="121" t="s">
        <v>99</v>
      </c>
      <c r="D110" s="120" t="s">
        <v>1</v>
      </c>
      <c r="E110" s="133">
        <v>1.239583333333333</v>
      </c>
      <c r="F110" s="120" t="s">
        <v>88</v>
      </c>
      <c r="G110" s="122">
        <v>5</v>
      </c>
      <c r="H110" s="134" t="s">
        <v>184</v>
      </c>
    </row>
    <row r="111" spans="1:8" ht="19.8" customHeight="1" x14ac:dyDescent="0.3">
      <c r="A111" s="132">
        <v>45984</v>
      </c>
      <c r="B111" s="120" t="s">
        <v>86</v>
      </c>
      <c r="C111" s="121" t="s">
        <v>107</v>
      </c>
      <c r="D111" s="120" t="s">
        <v>1</v>
      </c>
      <c r="E111" s="133">
        <v>1.8298611111111109</v>
      </c>
      <c r="F111" s="120" t="s">
        <v>88</v>
      </c>
      <c r="G111" s="122">
        <v>9</v>
      </c>
      <c r="H111" s="134" t="s">
        <v>184</v>
      </c>
    </row>
    <row r="112" spans="1:8" ht="19.8" customHeight="1" x14ac:dyDescent="0.3">
      <c r="A112" s="132">
        <v>45984</v>
      </c>
      <c r="B112" s="120" t="s">
        <v>86</v>
      </c>
      <c r="C112" s="121" t="s">
        <v>104</v>
      </c>
      <c r="D112" s="120" t="s">
        <v>1</v>
      </c>
      <c r="E112" s="133">
        <v>1.6111111111111109</v>
      </c>
      <c r="F112" s="120" t="s">
        <v>91</v>
      </c>
      <c r="G112" s="122">
        <v>9</v>
      </c>
      <c r="H112" s="134" t="s">
        <v>185</v>
      </c>
    </row>
    <row r="113" spans="1:8" ht="19.8" customHeight="1" x14ac:dyDescent="0.3">
      <c r="A113" s="132">
        <v>45984</v>
      </c>
      <c r="B113" s="120" t="s">
        <v>86</v>
      </c>
      <c r="C113" s="121" t="s">
        <v>99</v>
      </c>
      <c r="D113" s="120" t="s">
        <v>1</v>
      </c>
      <c r="E113" s="133">
        <v>1.239583333333333</v>
      </c>
      <c r="F113" s="120" t="s">
        <v>91</v>
      </c>
      <c r="G113" s="122">
        <v>5</v>
      </c>
      <c r="H113" s="134" t="s">
        <v>185</v>
      </c>
    </row>
    <row r="114" spans="1:8" ht="19.8" customHeight="1" x14ac:dyDescent="0.3">
      <c r="A114" s="132">
        <v>45984</v>
      </c>
      <c r="B114" s="120" t="s">
        <v>86</v>
      </c>
      <c r="C114" s="121" t="s">
        <v>107</v>
      </c>
      <c r="D114" s="120" t="s">
        <v>1</v>
      </c>
      <c r="E114" s="133">
        <v>1.8298611111111109</v>
      </c>
      <c r="F114" s="120" t="s">
        <v>91</v>
      </c>
      <c r="G114" s="122">
        <v>9</v>
      </c>
      <c r="H114" s="134" t="s">
        <v>185</v>
      </c>
    </row>
    <row r="115" spans="1:8" ht="19.8" customHeight="1" x14ac:dyDescent="0.3">
      <c r="A115" s="132">
        <v>45984</v>
      </c>
      <c r="B115" s="120" t="s">
        <v>86</v>
      </c>
      <c r="C115" s="121" t="s">
        <v>108</v>
      </c>
      <c r="D115" s="120" t="s">
        <v>1</v>
      </c>
      <c r="E115" s="133">
        <v>1.302083333333333</v>
      </c>
      <c r="F115" s="120" t="s">
        <v>91</v>
      </c>
      <c r="G115" s="122">
        <v>4</v>
      </c>
      <c r="H115" s="134" t="s">
        <v>109</v>
      </c>
    </row>
    <row r="116" spans="1:8" ht="19.8" customHeight="1" x14ac:dyDescent="0.3">
      <c r="A116" s="132">
        <v>45984</v>
      </c>
      <c r="B116" s="120" t="s">
        <v>86</v>
      </c>
      <c r="C116" s="121" t="s">
        <v>94</v>
      </c>
      <c r="D116" s="120" t="s">
        <v>1</v>
      </c>
      <c r="E116" s="133">
        <v>1.71875</v>
      </c>
      <c r="F116" s="120" t="s">
        <v>88</v>
      </c>
      <c r="G116" s="122">
        <v>1</v>
      </c>
      <c r="H116" s="134" t="s">
        <v>187</v>
      </c>
    </row>
    <row r="117" spans="1:8" ht="19.8" customHeight="1" x14ac:dyDescent="0.3">
      <c r="A117" s="132">
        <v>45984</v>
      </c>
      <c r="B117" s="120" t="s">
        <v>86</v>
      </c>
      <c r="C117" s="121" t="s">
        <v>94</v>
      </c>
      <c r="D117" s="120" t="s">
        <v>1</v>
      </c>
      <c r="E117" s="133">
        <v>1.71875</v>
      </c>
      <c r="F117" s="120" t="s">
        <v>91</v>
      </c>
      <c r="G117" s="122">
        <v>1</v>
      </c>
      <c r="H117" s="134" t="s">
        <v>189</v>
      </c>
    </row>
    <row r="118" spans="1:8" ht="19.8" customHeight="1" x14ac:dyDescent="0.3">
      <c r="A118" s="135">
        <v>45984</v>
      </c>
      <c r="B118" s="136" t="s">
        <v>68</v>
      </c>
      <c r="C118" s="137" t="s">
        <v>78</v>
      </c>
      <c r="D118" s="136" t="s">
        <v>1</v>
      </c>
      <c r="E118" s="138">
        <v>1.631944444444444</v>
      </c>
      <c r="F118" s="136" t="s">
        <v>82</v>
      </c>
      <c r="G118" s="136"/>
      <c r="H118" s="139" t="s">
        <v>83</v>
      </c>
    </row>
    <row r="119" spans="1:8" ht="19.8" customHeight="1" x14ac:dyDescent="0.3">
      <c r="A119" s="132">
        <v>45985</v>
      </c>
      <c r="B119" s="120" t="s">
        <v>59</v>
      </c>
      <c r="C119" s="121" t="s">
        <v>60</v>
      </c>
      <c r="D119" s="120" t="s">
        <v>1</v>
      </c>
      <c r="E119" s="133">
        <v>1.666666666666667</v>
      </c>
      <c r="F119" s="120" t="s">
        <v>61</v>
      </c>
      <c r="G119" s="122">
        <v>6</v>
      </c>
      <c r="H119" s="123">
        <v>401</v>
      </c>
    </row>
    <row r="120" spans="1:8" ht="19.8" customHeight="1" x14ac:dyDescent="0.3">
      <c r="A120" s="132">
        <v>45985</v>
      </c>
      <c r="B120" s="120" t="s">
        <v>59</v>
      </c>
      <c r="C120" s="121" t="s">
        <v>130</v>
      </c>
      <c r="D120" s="120" t="s">
        <v>1</v>
      </c>
      <c r="E120" s="133">
        <v>1.3125</v>
      </c>
      <c r="F120" s="120" t="s">
        <v>61</v>
      </c>
      <c r="G120" s="122">
        <v>9</v>
      </c>
      <c r="H120" s="123">
        <v>401</v>
      </c>
    </row>
    <row r="121" spans="1:8" ht="19.8" customHeight="1" x14ac:dyDescent="0.3">
      <c r="A121" s="132">
        <v>45985</v>
      </c>
      <c r="B121" s="120" t="s">
        <v>26</v>
      </c>
      <c r="C121" s="121" t="s">
        <v>27</v>
      </c>
      <c r="D121" s="120" t="s">
        <v>1</v>
      </c>
      <c r="E121" s="133">
        <v>1.1284722222222221</v>
      </c>
      <c r="F121" s="120" t="s">
        <v>132</v>
      </c>
      <c r="G121" s="122">
        <v>11</v>
      </c>
      <c r="H121" s="123">
        <v>459</v>
      </c>
    </row>
    <row r="122" spans="1:8" ht="19.8" customHeight="1" x14ac:dyDescent="0.3">
      <c r="A122" s="132">
        <v>45985</v>
      </c>
      <c r="B122" s="120" t="s">
        <v>26</v>
      </c>
      <c r="C122" s="121" t="s">
        <v>33</v>
      </c>
      <c r="D122" s="120" t="s">
        <v>1</v>
      </c>
      <c r="E122" s="133">
        <v>1.302083333333333</v>
      </c>
      <c r="F122" s="120" t="s">
        <v>132</v>
      </c>
      <c r="G122" s="122">
        <v>3</v>
      </c>
      <c r="H122" s="123">
        <v>499</v>
      </c>
    </row>
    <row r="123" spans="1:8" ht="19.8" customHeight="1" x14ac:dyDescent="0.3">
      <c r="A123" s="132">
        <v>45985</v>
      </c>
      <c r="B123" s="120" t="s">
        <v>26</v>
      </c>
      <c r="C123" s="121" t="s">
        <v>31</v>
      </c>
      <c r="D123" s="120" t="s">
        <v>1</v>
      </c>
      <c r="E123" s="133">
        <v>1.8888888888888891</v>
      </c>
      <c r="F123" s="120" t="s">
        <v>132</v>
      </c>
      <c r="G123" s="122">
        <v>6</v>
      </c>
      <c r="H123" s="123">
        <v>499</v>
      </c>
    </row>
    <row r="124" spans="1:8" ht="19.8" customHeight="1" x14ac:dyDescent="0.3">
      <c r="A124" s="132">
        <v>45985</v>
      </c>
      <c r="B124" s="120" t="s">
        <v>38</v>
      </c>
      <c r="C124" s="121" t="s">
        <v>43</v>
      </c>
      <c r="D124" s="120" t="s">
        <v>1</v>
      </c>
      <c r="E124" s="133">
        <v>1.9027777777777779</v>
      </c>
      <c r="F124" s="120" t="s">
        <v>145</v>
      </c>
      <c r="G124" s="122">
        <v>3</v>
      </c>
      <c r="H124" s="123">
        <v>509</v>
      </c>
    </row>
    <row r="125" spans="1:8" ht="19.8" customHeight="1" x14ac:dyDescent="0.3">
      <c r="A125" s="132">
        <v>45985</v>
      </c>
      <c r="B125" s="120" t="s">
        <v>38</v>
      </c>
      <c r="C125" s="121" t="s">
        <v>45</v>
      </c>
      <c r="D125" s="120" t="s">
        <v>1</v>
      </c>
      <c r="E125" s="133">
        <v>1.854166666666667</v>
      </c>
      <c r="F125" s="120" t="s">
        <v>145</v>
      </c>
      <c r="G125" s="122">
        <v>1</v>
      </c>
      <c r="H125" s="123">
        <v>509</v>
      </c>
    </row>
    <row r="126" spans="1:8" ht="19.8" customHeight="1" x14ac:dyDescent="0.3">
      <c r="A126" s="132">
        <v>45985</v>
      </c>
      <c r="B126" s="120" t="s">
        <v>38</v>
      </c>
      <c r="C126" s="121" t="s">
        <v>46</v>
      </c>
      <c r="D126" s="120" t="s">
        <v>1</v>
      </c>
      <c r="E126" s="133">
        <v>1.7986111111111109</v>
      </c>
      <c r="F126" s="120" t="s">
        <v>145</v>
      </c>
      <c r="G126" s="122">
        <v>1</v>
      </c>
      <c r="H126" s="123">
        <v>509</v>
      </c>
    </row>
    <row r="127" spans="1:8" ht="19.8" customHeight="1" x14ac:dyDescent="0.3">
      <c r="A127" s="129">
        <v>45985</v>
      </c>
      <c r="B127" s="125" t="s">
        <v>68</v>
      </c>
      <c r="C127" s="126" t="s">
        <v>76</v>
      </c>
      <c r="D127" s="125" t="s">
        <v>1</v>
      </c>
      <c r="E127" s="130">
        <v>1.614583333333333</v>
      </c>
      <c r="F127" s="125" t="s">
        <v>70</v>
      </c>
      <c r="G127" s="127">
        <v>6</v>
      </c>
      <c r="H127" s="128">
        <v>526</v>
      </c>
    </row>
    <row r="128" spans="1:8" ht="19.8" customHeight="1" x14ac:dyDescent="0.3">
      <c r="A128" s="129">
        <v>45985</v>
      </c>
      <c r="B128" s="125" t="s">
        <v>68</v>
      </c>
      <c r="C128" s="126" t="s">
        <v>199</v>
      </c>
      <c r="D128" s="125" t="s">
        <v>1</v>
      </c>
      <c r="E128" s="130">
        <v>1.006944444444444</v>
      </c>
      <c r="F128" s="125" t="s">
        <v>70</v>
      </c>
      <c r="G128" s="127">
        <v>9</v>
      </c>
      <c r="H128" s="128">
        <v>526</v>
      </c>
    </row>
    <row r="129" spans="1:8" ht="19.8" customHeight="1" x14ac:dyDescent="0.3">
      <c r="A129" s="132">
        <v>45985</v>
      </c>
      <c r="B129" s="120" t="s">
        <v>112</v>
      </c>
      <c r="C129" s="121" t="s">
        <v>121</v>
      </c>
      <c r="D129" s="120" t="s">
        <v>1</v>
      </c>
      <c r="E129" s="133">
        <v>1.145833333333333</v>
      </c>
      <c r="F129" s="120" t="s">
        <v>114</v>
      </c>
      <c r="G129" s="122">
        <v>9</v>
      </c>
      <c r="H129" s="123">
        <v>537</v>
      </c>
    </row>
    <row r="130" spans="1:8" ht="19.8" customHeight="1" x14ac:dyDescent="0.3">
      <c r="A130" s="132">
        <v>45985</v>
      </c>
      <c r="B130" s="120" t="s">
        <v>38</v>
      </c>
      <c r="C130" s="121" t="s">
        <v>39</v>
      </c>
      <c r="D130" s="120" t="s">
        <v>1</v>
      </c>
      <c r="E130" s="133">
        <v>1.256944444444444</v>
      </c>
      <c r="F130" s="120" t="s">
        <v>145</v>
      </c>
      <c r="G130" s="122">
        <v>9</v>
      </c>
      <c r="H130" s="123">
        <v>549</v>
      </c>
    </row>
    <row r="131" spans="1:8" ht="19.8" customHeight="1" x14ac:dyDescent="0.3">
      <c r="A131" s="132">
        <v>45985</v>
      </c>
      <c r="B131" s="120" t="s">
        <v>38</v>
      </c>
      <c r="C131" s="121" t="s">
        <v>48</v>
      </c>
      <c r="D131" s="120" t="s">
        <v>1</v>
      </c>
      <c r="E131" s="133">
        <v>1.645833333333333</v>
      </c>
      <c r="F131" s="120" t="s">
        <v>145</v>
      </c>
      <c r="G131" s="122">
        <v>9</v>
      </c>
      <c r="H131" s="123">
        <v>549</v>
      </c>
    </row>
    <row r="132" spans="1:8" ht="19.8" customHeight="1" x14ac:dyDescent="0.3">
      <c r="A132" s="132">
        <v>45985</v>
      </c>
      <c r="B132" s="120" t="s">
        <v>38</v>
      </c>
      <c r="C132" s="121" t="s">
        <v>50</v>
      </c>
      <c r="D132" s="120" t="s">
        <v>1</v>
      </c>
      <c r="E132" s="133">
        <v>1.5173611111111109</v>
      </c>
      <c r="F132" s="120" t="s">
        <v>145</v>
      </c>
      <c r="G132" s="122">
        <v>9</v>
      </c>
      <c r="H132" s="123">
        <v>549</v>
      </c>
    </row>
    <row r="133" spans="1:8" ht="19.8" customHeight="1" x14ac:dyDescent="0.3">
      <c r="A133" s="132">
        <v>45985</v>
      </c>
      <c r="B133" s="120" t="s">
        <v>38</v>
      </c>
      <c r="C133" s="121" t="s">
        <v>51</v>
      </c>
      <c r="D133" s="120" t="s">
        <v>1</v>
      </c>
      <c r="E133" s="133">
        <v>1.395833333333333</v>
      </c>
      <c r="F133" s="120" t="s">
        <v>145</v>
      </c>
      <c r="G133" s="122">
        <v>9</v>
      </c>
      <c r="H133" s="123">
        <v>549</v>
      </c>
    </row>
    <row r="134" spans="1:8" ht="19.8" customHeight="1" x14ac:dyDescent="0.3">
      <c r="A134" s="132">
        <v>45985</v>
      </c>
      <c r="B134" s="120" t="s">
        <v>38</v>
      </c>
      <c r="C134" s="121" t="s">
        <v>156</v>
      </c>
      <c r="D134" s="120" t="s">
        <v>1</v>
      </c>
      <c r="E134" s="133">
        <v>1.46875</v>
      </c>
      <c r="F134" s="120" t="s">
        <v>145</v>
      </c>
      <c r="G134" s="122">
        <v>9</v>
      </c>
      <c r="H134" s="123">
        <v>549</v>
      </c>
    </row>
    <row r="135" spans="1:8" ht="19.8" customHeight="1" x14ac:dyDescent="0.3">
      <c r="A135" s="132">
        <v>45985</v>
      </c>
      <c r="B135" s="120" t="s">
        <v>52</v>
      </c>
      <c r="C135" s="121" t="s">
        <v>53</v>
      </c>
      <c r="D135" s="120" t="s">
        <v>1</v>
      </c>
      <c r="E135" s="133">
        <v>1.1736111111111109</v>
      </c>
      <c r="F135" s="120" t="s">
        <v>161</v>
      </c>
      <c r="G135" s="122">
        <v>9</v>
      </c>
      <c r="H135" s="123">
        <v>576</v>
      </c>
    </row>
    <row r="136" spans="1:8" ht="19.8" customHeight="1" x14ac:dyDescent="0.3">
      <c r="A136" s="129">
        <v>45985</v>
      </c>
      <c r="B136" s="125" t="s">
        <v>68</v>
      </c>
      <c r="C136" s="126" t="s">
        <v>174</v>
      </c>
      <c r="D136" s="125" t="s">
        <v>1</v>
      </c>
      <c r="E136" s="130">
        <v>1.979166666666667</v>
      </c>
      <c r="F136" s="125" t="s">
        <v>70</v>
      </c>
      <c r="G136" s="127">
        <v>3</v>
      </c>
      <c r="H136" s="128">
        <v>586</v>
      </c>
    </row>
    <row r="137" spans="1:8" ht="19.8" customHeight="1" x14ac:dyDescent="0.3">
      <c r="A137" s="132">
        <v>45985</v>
      </c>
      <c r="B137" s="120" t="s">
        <v>64</v>
      </c>
      <c r="C137" s="121" t="s">
        <v>214</v>
      </c>
      <c r="D137" s="120" t="s">
        <v>1</v>
      </c>
      <c r="E137" s="133">
        <v>1.208333333333333</v>
      </c>
      <c r="F137" s="120" t="s">
        <v>61</v>
      </c>
      <c r="G137" s="122">
        <v>9</v>
      </c>
      <c r="H137" s="123">
        <v>595</v>
      </c>
    </row>
    <row r="138" spans="1:8" ht="19.8" customHeight="1" x14ac:dyDescent="0.3">
      <c r="A138" s="132">
        <v>45985</v>
      </c>
      <c r="B138" s="120" t="s">
        <v>52</v>
      </c>
      <c r="C138" s="121" t="s">
        <v>57</v>
      </c>
      <c r="D138" s="120" t="s">
        <v>1</v>
      </c>
      <c r="E138" s="133">
        <v>1.3923611111111109</v>
      </c>
      <c r="F138" s="120" t="s">
        <v>161</v>
      </c>
      <c r="G138" s="122">
        <v>7</v>
      </c>
      <c r="H138" s="123">
        <v>600</v>
      </c>
    </row>
    <row r="139" spans="1:8" ht="19.8" customHeight="1" x14ac:dyDescent="0.3">
      <c r="A139" s="132">
        <v>45985</v>
      </c>
      <c r="B139" s="120" t="s">
        <v>26</v>
      </c>
      <c r="C139" s="121" t="s">
        <v>27</v>
      </c>
      <c r="D139" s="120" t="s">
        <v>1</v>
      </c>
      <c r="E139" s="133">
        <v>1.1284722222222221</v>
      </c>
      <c r="F139" s="120" t="s">
        <v>134</v>
      </c>
      <c r="G139" s="122">
        <v>11</v>
      </c>
      <c r="H139" s="123">
        <v>609</v>
      </c>
    </row>
    <row r="140" spans="1:8" ht="19.8" customHeight="1" x14ac:dyDescent="0.3">
      <c r="A140" s="132">
        <v>45985</v>
      </c>
      <c r="B140" s="120" t="s">
        <v>38</v>
      </c>
      <c r="C140" s="121" t="s">
        <v>43</v>
      </c>
      <c r="D140" s="120" t="s">
        <v>1</v>
      </c>
      <c r="E140" s="133">
        <v>1.9027777777777779</v>
      </c>
      <c r="F140" s="120" t="s">
        <v>147</v>
      </c>
      <c r="G140" s="122">
        <v>3</v>
      </c>
      <c r="H140" s="123">
        <v>609</v>
      </c>
    </row>
    <row r="141" spans="1:8" ht="19.8" customHeight="1" x14ac:dyDescent="0.3">
      <c r="A141" s="132">
        <v>45985</v>
      </c>
      <c r="B141" s="120" t="s">
        <v>38</v>
      </c>
      <c r="C141" s="121" t="s">
        <v>45</v>
      </c>
      <c r="D141" s="120" t="s">
        <v>1</v>
      </c>
      <c r="E141" s="133">
        <v>1.854166666666667</v>
      </c>
      <c r="F141" s="120" t="s">
        <v>147</v>
      </c>
      <c r="G141" s="122">
        <v>1</v>
      </c>
      <c r="H141" s="123">
        <v>609</v>
      </c>
    </row>
    <row r="142" spans="1:8" ht="19.8" customHeight="1" x14ac:dyDescent="0.3">
      <c r="A142" s="132">
        <v>45985</v>
      </c>
      <c r="B142" s="120" t="s">
        <v>38</v>
      </c>
      <c r="C142" s="121" t="s">
        <v>46</v>
      </c>
      <c r="D142" s="120" t="s">
        <v>1</v>
      </c>
      <c r="E142" s="133">
        <v>1.7986111111111109</v>
      </c>
      <c r="F142" s="120" t="s">
        <v>147</v>
      </c>
      <c r="G142" s="122">
        <v>1</v>
      </c>
      <c r="H142" s="123">
        <v>609</v>
      </c>
    </row>
    <row r="143" spans="1:8" ht="19.8" customHeight="1" x14ac:dyDescent="0.3">
      <c r="A143" s="132">
        <v>45985</v>
      </c>
      <c r="B143" s="120" t="s">
        <v>112</v>
      </c>
      <c r="C143" s="121" t="s">
        <v>117</v>
      </c>
      <c r="D143" s="120" t="s">
        <v>1</v>
      </c>
      <c r="E143" s="133">
        <v>1.0138888888888891</v>
      </c>
      <c r="F143" s="120" t="s">
        <v>114</v>
      </c>
      <c r="G143" s="122">
        <v>9</v>
      </c>
      <c r="H143" s="123">
        <v>615</v>
      </c>
    </row>
    <row r="144" spans="1:8" ht="19.8" customHeight="1" x14ac:dyDescent="0.3">
      <c r="A144" s="132">
        <v>45985</v>
      </c>
      <c r="B144" s="120" t="s">
        <v>112</v>
      </c>
      <c r="C144" s="121" t="s">
        <v>116</v>
      </c>
      <c r="D144" s="120" t="s">
        <v>1</v>
      </c>
      <c r="E144" s="133">
        <v>1.229166666666667</v>
      </c>
      <c r="F144" s="120" t="s">
        <v>114</v>
      </c>
      <c r="G144" s="122">
        <v>9</v>
      </c>
      <c r="H144" s="123">
        <v>615</v>
      </c>
    </row>
    <row r="145" spans="1:8" ht="19.8" customHeight="1" x14ac:dyDescent="0.3">
      <c r="A145" s="132">
        <v>45985</v>
      </c>
      <c r="B145" s="120" t="s">
        <v>26</v>
      </c>
      <c r="C145" s="121" t="s">
        <v>36</v>
      </c>
      <c r="D145" s="120" t="s">
        <v>1</v>
      </c>
      <c r="E145" s="133">
        <v>1.788194444444444</v>
      </c>
      <c r="F145" s="120" t="s">
        <v>132</v>
      </c>
      <c r="G145" s="122">
        <v>5</v>
      </c>
      <c r="H145" s="123">
        <v>639</v>
      </c>
    </row>
    <row r="146" spans="1:8" ht="19.8" customHeight="1" x14ac:dyDescent="0.3">
      <c r="A146" s="132">
        <v>45985</v>
      </c>
      <c r="B146" s="120" t="s">
        <v>26</v>
      </c>
      <c r="C146" s="121" t="s">
        <v>33</v>
      </c>
      <c r="D146" s="120" t="s">
        <v>1</v>
      </c>
      <c r="E146" s="133">
        <v>1.302083333333333</v>
      </c>
      <c r="F146" s="120" t="s">
        <v>134</v>
      </c>
      <c r="G146" s="122">
        <v>3</v>
      </c>
      <c r="H146" s="123">
        <v>649</v>
      </c>
    </row>
    <row r="147" spans="1:8" ht="19.8" customHeight="1" x14ac:dyDescent="0.3">
      <c r="A147" s="132">
        <v>45985</v>
      </c>
      <c r="B147" s="120" t="s">
        <v>26</v>
      </c>
      <c r="C147" s="121" t="s">
        <v>31</v>
      </c>
      <c r="D147" s="120" t="s">
        <v>1</v>
      </c>
      <c r="E147" s="133">
        <v>1.8888888888888891</v>
      </c>
      <c r="F147" s="120" t="s">
        <v>134</v>
      </c>
      <c r="G147" s="122">
        <v>6</v>
      </c>
      <c r="H147" s="123">
        <v>649</v>
      </c>
    </row>
    <row r="148" spans="1:8" ht="19.8" customHeight="1" x14ac:dyDescent="0.3">
      <c r="A148" s="132">
        <v>45985</v>
      </c>
      <c r="B148" s="120" t="s">
        <v>38</v>
      </c>
      <c r="C148" s="121" t="s">
        <v>39</v>
      </c>
      <c r="D148" s="120" t="s">
        <v>1</v>
      </c>
      <c r="E148" s="133">
        <v>1.256944444444444</v>
      </c>
      <c r="F148" s="120" t="s">
        <v>147</v>
      </c>
      <c r="G148" s="122">
        <v>9</v>
      </c>
      <c r="H148" s="123">
        <v>649</v>
      </c>
    </row>
    <row r="149" spans="1:8" ht="19.8" customHeight="1" x14ac:dyDescent="0.3">
      <c r="A149" s="132">
        <v>45985</v>
      </c>
      <c r="B149" s="120" t="s">
        <v>38</v>
      </c>
      <c r="C149" s="121" t="s">
        <v>48</v>
      </c>
      <c r="D149" s="120" t="s">
        <v>1</v>
      </c>
      <c r="E149" s="133">
        <v>1.645833333333333</v>
      </c>
      <c r="F149" s="120" t="s">
        <v>147</v>
      </c>
      <c r="G149" s="122">
        <v>9</v>
      </c>
      <c r="H149" s="123">
        <v>649</v>
      </c>
    </row>
    <row r="150" spans="1:8" ht="19.8" customHeight="1" x14ac:dyDescent="0.3">
      <c r="A150" s="132">
        <v>45985</v>
      </c>
      <c r="B150" s="120" t="s">
        <v>38</v>
      </c>
      <c r="C150" s="121" t="s">
        <v>50</v>
      </c>
      <c r="D150" s="120" t="s">
        <v>1</v>
      </c>
      <c r="E150" s="133">
        <v>1.5173611111111109</v>
      </c>
      <c r="F150" s="120" t="s">
        <v>147</v>
      </c>
      <c r="G150" s="122">
        <v>9</v>
      </c>
      <c r="H150" s="123">
        <v>649</v>
      </c>
    </row>
    <row r="151" spans="1:8" ht="19.8" customHeight="1" x14ac:dyDescent="0.3">
      <c r="A151" s="132">
        <v>45985</v>
      </c>
      <c r="B151" s="120" t="s">
        <v>38</v>
      </c>
      <c r="C151" s="121" t="s">
        <v>51</v>
      </c>
      <c r="D151" s="120" t="s">
        <v>1</v>
      </c>
      <c r="E151" s="133">
        <v>1.395833333333333</v>
      </c>
      <c r="F151" s="120" t="s">
        <v>147</v>
      </c>
      <c r="G151" s="122">
        <v>9</v>
      </c>
      <c r="H151" s="123">
        <v>649</v>
      </c>
    </row>
    <row r="152" spans="1:8" ht="19.8" customHeight="1" x14ac:dyDescent="0.3">
      <c r="A152" s="132">
        <v>45985</v>
      </c>
      <c r="B152" s="120" t="s">
        <v>38</v>
      </c>
      <c r="C152" s="121" t="s">
        <v>156</v>
      </c>
      <c r="D152" s="120" t="s">
        <v>1</v>
      </c>
      <c r="E152" s="133">
        <v>1.46875</v>
      </c>
      <c r="F152" s="120" t="s">
        <v>147</v>
      </c>
      <c r="G152" s="122">
        <v>9</v>
      </c>
      <c r="H152" s="123">
        <v>649</v>
      </c>
    </row>
    <row r="153" spans="1:8" ht="19.8" customHeight="1" x14ac:dyDescent="0.3">
      <c r="A153" s="132">
        <v>45985</v>
      </c>
      <c r="B153" s="120" t="s">
        <v>38</v>
      </c>
      <c r="C153" s="121" t="s">
        <v>43</v>
      </c>
      <c r="D153" s="120" t="s">
        <v>1</v>
      </c>
      <c r="E153" s="133">
        <v>1.9027777777777779</v>
      </c>
      <c r="F153" s="120" t="s">
        <v>149</v>
      </c>
      <c r="G153" s="122">
        <v>3</v>
      </c>
      <c r="H153" s="123">
        <v>699</v>
      </c>
    </row>
    <row r="154" spans="1:8" ht="19.8" customHeight="1" x14ac:dyDescent="0.3">
      <c r="A154" s="132">
        <v>45985</v>
      </c>
      <c r="B154" s="120" t="s">
        <v>38</v>
      </c>
      <c r="C154" s="121" t="s">
        <v>45</v>
      </c>
      <c r="D154" s="120" t="s">
        <v>1</v>
      </c>
      <c r="E154" s="133">
        <v>1.854166666666667</v>
      </c>
      <c r="F154" s="120" t="s">
        <v>149</v>
      </c>
      <c r="G154" s="122">
        <v>1</v>
      </c>
      <c r="H154" s="123">
        <v>699</v>
      </c>
    </row>
    <row r="155" spans="1:8" ht="19.8" customHeight="1" x14ac:dyDescent="0.3">
      <c r="A155" s="132">
        <v>45985</v>
      </c>
      <c r="B155" s="120" t="s">
        <v>38</v>
      </c>
      <c r="C155" s="121" t="s">
        <v>46</v>
      </c>
      <c r="D155" s="120" t="s">
        <v>1</v>
      </c>
      <c r="E155" s="133">
        <v>1.7986111111111109</v>
      </c>
      <c r="F155" s="120" t="s">
        <v>149</v>
      </c>
      <c r="G155" s="122">
        <v>1</v>
      </c>
      <c r="H155" s="123">
        <v>699</v>
      </c>
    </row>
    <row r="156" spans="1:8" ht="19.8" customHeight="1" x14ac:dyDescent="0.3">
      <c r="A156" s="132">
        <v>45985</v>
      </c>
      <c r="B156" s="120" t="s">
        <v>52</v>
      </c>
      <c r="C156" s="121" t="s">
        <v>53</v>
      </c>
      <c r="D156" s="120" t="s">
        <v>1</v>
      </c>
      <c r="E156" s="133">
        <v>1.1736111111111109</v>
      </c>
      <c r="F156" s="120" t="s">
        <v>136</v>
      </c>
      <c r="G156" s="122">
        <v>9</v>
      </c>
      <c r="H156" s="123">
        <v>699</v>
      </c>
    </row>
    <row r="157" spans="1:8" ht="19.8" customHeight="1" x14ac:dyDescent="0.3">
      <c r="A157" s="132">
        <v>45985</v>
      </c>
      <c r="B157" s="120" t="s">
        <v>52</v>
      </c>
      <c r="C157" s="121" t="s">
        <v>57</v>
      </c>
      <c r="D157" s="120" t="s">
        <v>1</v>
      </c>
      <c r="E157" s="133">
        <v>1.3923611111111109</v>
      </c>
      <c r="F157" s="120" t="s">
        <v>136</v>
      </c>
      <c r="G157" s="122">
        <v>7</v>
      </c>
      <c r="H157" s="123">
        <v>723</v>
      </c>
    </row>
    <row r="158" spans="1:8" ht="19.8" customHeight="1" x14ac:dyDescent="0.3">
      <c r="A158" s="132">
        <v>45985</v>
      </c>
      <c r="B158" s="120" t="s">
        <v>38</v>
      </c>
      <c r="C158" s="121" t="s">
        <v>39</v>
      </c>
      <c r="D158" s="120" t="s">
        <v>1</v>
      </c>
      <c r="E158" s="133">
        <v>1.256944444444444</v>
      </c>
      <c r="F158" s="120" t="s">
        <v>149</v>
      </c>
      <c r="G158" s="122">
        <v>9</v>
      </c>
      <c r="H158" s="123">
        <v>739</v>
      </c>
    </row>
    <row r="159" spans="1:8" ht="19.8" customHeight="1" x14ac:dyDescent="0.3">
      <c r="A159" s="132">
        <v>45985</v>
      </c>
      <c r="B159" s="120" t="s">
        <v>38</v>
      </c>
      <c r="C159" s="121" t="s">
        <v>48</v>
      </c>
      <c r="D159" s="120" t="s">
        <v>1</v>
      </c>
      <c r="E159" s="133">
        <v>1.645833333333333</v>
      </c>
      <c r="F159" s="120" t="s">
        <v>149</v>
      </c>
      <c r="G159" s="122">
        <v>9</v>
      </c>
      <c r="H159" s="123">
        <v>739</v>
      </c>
    </row>
    <row r="160" spans="1:8" ht="19.8" customHeight="1" x14ac:dyDescent="0.3">
      <c r="A160" s="132">
        <v>45985</v>
      </c>
      <c r="B160" s="120" t="s">
        <v>38</v>
      </c>
      <c r="C160" s="121" t="s">
        <v>50</v>
      </c>
      <c r="D160" s="120" t="s">
        <v>1</v>
      </c>
      <c r="E160" s="133">
        <v>1.5173611111111109</v>
      </c>
      <c r="F160" s="120" t="s">
        <v>149</v>
      </c>
      <c r="G160" s="122">
        <v>9</v>
      </c>
      <c r="H160" s="123">
        <v>739</v>
      </c>
    </row>
    <row r="161" spans="1:8" ht="19.8" customHeight="1" x14ac:dyDescent="0.3">
      <c r="A161" s="132">
        <v>45985</v>
      </c>
      <c r="B161" s="120" t="s">
        <v>38</v>
      </c>
      <c r="C161" s="121" t="s">
        <v>51</v>
      </c>
      <c r="D161" s="120" t="s">
        <v>1</v>
      </c>
      <c r="E161" s="133">
        <v>1.395833333333333</v>
      </c>
      <c r="F161" s="120" t="s">
        <v>149</v>
      </c>
      <c r="G161" s="122">
        <v>9</v>
      </c>
      <c r="H161" s="123">
        <v>739</v>
      </c>
    </row>
    <row r="162" spans="1:8" ht="19.8" customHeight="1" x14ac:dyDescent="0.3">
      <c r="A162" s="132">
        <v>45985</v>
      </c>
      <c r="B162" s="120" t="s">
        <v>38</v>
      </c>
      <c r="C162" s="121" t="s">
        <v>156</v>
      </c>
      <c r="D162" s="120" t="s">
        <v>1</v>
      </c>
      <c r="E162" s="133">
        <v>1.46875</v>
      </c>
      <c r="F162" s="120" t="s">
        <v>149</v>
      </c>
      <c r="G162" s="122">
        <v>9</v>
      </c>
      <c r="H162" s="123">
        <v>739</v>
      </c>
    </row>
    <row r="163" spans="1:8" ht="19.8" customHeight="1" x14ac:dyDescent="0.3">
      <c r="A163" s="132">
        <v>45985</v>
      </c>
      <c r="B163" s="120" t="s">
        <v>112</v>
      </c>
      <c r="C163" s="121" t="s">
        <v>122</v>
      </c>
      <c r="D163" s="120" t="s">
        <v>1</v>
      </c>
      <c r="E163" s="133">
        <v>1.552083333333333</v>
      </c>
      <c r="F163" s="120" t="s">
        <v>114</v>
      </c>
      <c r="G163" s="122">
        <v>9</v>
      </c>
      <c r="H163" s="123">
        <v>765</v>
      </c>
    </row>
    <row r="164" spans="1:8" ht="19.8" customHeight="1" x14ac:dyDescent="0.3">
      <c r="A164" s="132">
        <v>45985</v>
      </c>
      <c r="B164" s="120" t="s">
        <v>26</v>
      </c>
      <c r="C164" s="121" t="s">
        <v>36</v>
      </c>
      <c r="D164" s="120" t="s">
        <v>1</v>
      </c>
      <c r="E164" s="133">
        <v>1.788194444444444</v>
      </c>
      <c r="F164" s="120" t="s">
        <v>134</v>
      </c>
      <c r="G164" s="122">
        <v>5</v>
      </c>
      <c r="H164" s="123">
        <v>789</v>
      </c>
    </row>
    <row r="165" spans="1:8" ht="19.8" customHeight="1" x14ac:dyDescent="0.3">
      <c r="A165" s="132">
        <v>45985</v>
      </c>
      <c r="B165" s="120" t="s">
        <v>86</v>
      </c>
      <c r="C165" s="121" t="s">
        <v>98</v>
      </c>
      <c r="D165" s="120" t="s">
        <v>1</v>
      </c>
      <c r="E165" s="133">
        <v>1.930555555555556</v>
      </c>
      <c r="F165" s="120" t="s">
        <v>88</v>
      </c>
      <c r="G165" s="122">
        <v>9</v>
      </c>
      <c r="H165" s="123">
        <v>935</v>
      </c>
    </row>
    <row r="166" spans="1:8" ht="19.8" customHeight="1" x14ac:dyDescent="0.3">
      <c r="A166" s="132">
        <v>45985</v>
      </c>
      <c r="B166" s="120" t="s">
        <v>112</v>
      </c>
      <c r="C166" s="121" t="s">
        <v>113</v>
      </c>
      <c r="D166" s="120" t="s">
        <v>1</v>
      </c>
      <c r="E166" s="133">
        <v>1.2777777777777779</v>
      </c>
      <c r="F166" s="120" t="s">
        <v>114</v>
      </c>
      <c r="G166" s="122">
        <v>9</v>
      </c>
      <c r="H166" s="123">
        <v>970</v>
      </c>
    </row>
    <row r="167" spans="1:8" ht="19.8" customHeight="1" x14ac:dyDescent="0.3">
      <c r="A167" s="132">
        <v>45985</v>
      </c>
      <c r="B167" s="120" t="s">
        <v>86</v>
      </c>
      <c r="C167" s="121" t="s">
        <v>98</v>
      </c>
      <c r="D167" s="120" t="s">
        <v>1</v>
      </c>
      <c r="E167" s="133">
        <v>1.930555555555556</v>
      </c>
      <c r="F167" s="120" t="s">
        <v>91</v>
      </c>
      <c r="G167" s="122">
        <v>9</v>
      </c>
      <c r="H167" s="123">
        <v>980</v>
      </c>
    </row>
    <row r="168" spans="1:8" ht="19.8" customHeight="1" x14ac:dyDescent="0.3">
      <c r="A168" s="132">
        <v>45985</v>
      </c>
      <c r="B168" s="120" t="s">
        <v>26</v>
      </c>
      <c r="C168" s="121" t="s">
        <v>33</v>
      </c>
      <c r="D168" s="120" t="s">
        <v>1</v>
      </c>
      <c r="E168" s="133">
        <v>1.302083333333333</v>
      </c>
      <c r="F168" s="120" t="s">
        <v>136</v>
      </c>
      <c r="G168" s="122">
        <v>3</v>
      </c>
      <c r="H168" s="134" t="s">
        <v>137</v>
      </c>
    </row>
    <row r="169" spans="1:8" ht="19.8" customHeight="1" x14ac:dyDescent="0.3">
      <c r="A169" s="132">
        <v>45985</v>
      </c>
      <c r="B169" s="120" t="s">
        <v>26</v>
      </c>
      <c r="C169" s="121" t="s">
        <v>27</v>
      </c>
      <c r="D169" s="120" t="s">
        <v>1</v>
      </c>
      <c r="E169" s="133">
        <v>1.1284722222222221</v>
      </c>
      <c r="F169" s="120" t="s">
        <v>136</v>
      </c>
      <c r="G169" s="122">
        <v>11</v>
      </c>
      <c r="H169" s="134" t="s">
        <v>137</v>
      </c>
    </row>
    <row r="170" spans="1:8" ht="19.8" customHeight="1" x14ac:dyDescent="0.3">
      <c r="A170" s="132">
        <v>45985</v>
      </c>
      <c r="B170" s="120" t="s">
        <v>26</v>
      </c>
      <c r="C170" s="121" t="s">
        <v>36</v>
      </c>
      <c r="D170" s="120" t="s">
        <v>1</v>
      </c>
      <c r="E170" s="133">
        <v>1.788194444444444</v>
      </c>
      <c r="F170" s="120" t="s">
        <v>136</v>
      </c>
      <c r="G170" s="122">
        <v>5</v>
      </c>
      <c r="H170" s="134" t="s">
        <v>137</v>
      </c>
    </row>
    <row r="171" spans="1:8" ht="19.8" customHeight="1" x14ac:dyDescent="0.3">
      <c r="A171" s="132">
        <v>45985</v>
      </c>
      <c r="B171" s="120" t="s">
        <v>26</v>
      </c>
      <c r="C171" s="121" t="s">
        <v>31</v>
      </c>
      <c r="D171" s="120" t="s">
        <v>1</v>
      </c>
      <c r="E171" s="133">
        <v>1.8888888888888891</v>
      </c>
      <c r="F171" s="120" t="s">
        <v>136</v>
      </c>
      <c r="G171" s="122">
        <v>6</v>
      </c>
      <c r="H171" s="134" t="s">
        <v>137</v>
      </c>
    </row>
    <row r="172" spans="1:8" ht="19.8" customHeight="1" x14ac:dyDescent="0.3">
      <c r="A172" s="132">
        <v>45985</v>
      </c>
      <c r="B172" s="120" t="s">
        <v>112</v>
      </c>
      <c r="C172" s="121" t="s">
        <v>126</v>
      </c>
      <c r="D172" s="120" t="s">
        <v>1</v>
      </c>
      <c r="E172" s="133">
        <v>1.774305555555556</v>
      </c>
      <c r="F172" s="120" t="s">
        <v>114</v>
      </c>
      <c r="G172" s="122">
        <v>9</v>
      </c>
      <c r="H172" s="134" t="s">
        <v>115</v>
      </c>
    </row>
    <row r="173" spans="1:8" ht="19.8" customHeight="1" x14ac:dyDescent="0.3">
      <c r="A173" s="132">
        <v>45985</v>
      </c>
      <c r="B173" s="120" t="s">
        <v>86</v>
      </c>
      <c r="C173" s="121" t="s">
        <v>87</v>
      </c>
      <c r="D173" s="120" t="s">
        <v>1</v>
      </c>
      <c r="E173" s="133">
        <v>1.3784722222222221</v>
      </c>
      <c r="F173" s="120" t="s">
        <v>88</v>
      </c>
      <c r="G173" s="122">
        <v>9</v>
      </c>
      <c r="H173" s="134" t="s">
        <v>180</v>
      </c>
    </row>
    <row r="174" spans="1:8" ht="19.8" customHeight="1" x14ac:dyDescent="0.3">
      <c r="A174" s="132">
        <v>45985</v>
      </c>
      <c r="B174" s="120" t="s">
        <v>86</v>
      </c>
      <c r="C174" s="121" t="s">
        <v>96</v>
      </c>
      <c r="D174" s="120" t="s">
        <v>1</v>
      </c>
      <c r="E174" s="133">
        <v>1.006944444444444</v>
      </c>
      <c r="F174" s="120" t="s">
        <v>88</v>
      </c>
      <c r="G174" s="122">
        <v>9</v>
      </c>
      <c r="H174" s="134" t="s">
        <v>180</v>
      </c>
    </row>
    <row r="175" spans="1:8" ht="19.8" customHeight="1" x14ac:dyDescent="0.3">
      <c r="A175" s="132">
        <v>45985</v>
      </c>
      <c r="B175" s="120" t="s">
        <v>86</v>
      </c>
      <c r="C175" s="121" t="s">
        <v>99</v>
      </c>
      <c r="D175" s="120" t="s">
        <v>1</v>
      </c>
      <c r="E175" s="133">
        <v>1.239583333333333</v>
      </c>
      <c r="F175" s="120" t="s">
        <v>88</v>
      </c>
      <c r="G175" s="122">
        <v>9</v>
      </c>
      <c r="H175" s="134" t="s">
        <v>180</v>
      </c>
    </row>
    <row r="176" spans="1:8" ht="19.8" customHeight="1" x14ac:dyDescent="0.3">
      <c r="A176" s="132">
        <v>45985</v>
      </c>
      <c r="B176" s="120" t="s">
        <v>86</v>
      </c>
      <c r="C176" s="121" t="s">
        <v>97</v>
      </c>
      <c r="D176" s="120" t="s">
        <v>1</v>
      </c>
      <c r="E176" s="133">
        <v>1.1423611111111109</v>
      </c>
      <c r="F176" s="120" t="s">
        <v>88</v>
      </c>
      <c r="G176" s="122">
        <v>9</v>
      </c>
      <c r="H176" s="134" t="s">
        <v>180</v>
      </c>
    </row>
    <row r="177" spans="1:8" ht="19.8" customHeight="1" x14ac:dyDescent="0.3">
      <c r="A177" s="132">
        <v>45985</v>
      </c>
      <c r="B177" s="120" t="s">
        <v>86</v>
      </c>
      <c r="C177" s="121" t="s">
        <v>87</v>
      </c>
      <c r="D177" s="120" t="s">
        <v>1</v>
      </c>
      <c r="E177" s="133">
        <v>1.3784722222222221</v>
      </c>
      <c r="F177" s="120" t="s">
        <v>91</v>
      </c>
      <c r="G177" s="122">
        <v>9</v>
      </c>
      <c r="H177" s="134" t="s">
        <v>181</v>
      </c>
    </row>
    <row r="178" spans="1:8" ht="19.8" customHeight="1" x14ac:dyDescent="0.3">
      <c r="A178" s="132">
        <v>45985</v>
      </c>
      <c r="B178" s="120" t="s">
        <v>86</v>
      </c>
      <c r="C178" s="121" t="s">
        <v>96</v>
      </c>
      <c r="D178" s="120" t="s">
        <v>1</v>
      </c>
      <c r="E178" s="133">
        <v>1.006944444444444</v>
      </c>
      <c r="F178" s="120" t="s">
        <v>91</v>
      </c>
      <c r="G178" s="122">
        <v>9</v>
      </c>
      <c r="H178" s="134" t="s">
        <v>181</v>
      </c>
    </row>
    <row r="179" spans="1:8" ht="19.8" customHeight="1" x14ac:dyDescent="0.3">
      <c r="A179" s="132">
        <v>45985</v>
      </c>
      <c r="B179" s="120" t="s">
        <v>86</v>
      </c>
      <c r="C179" s="121" t="s">
        <v>99</v>
      </c>
      <c r="D179" s="120" t="s">
        <v>1</v>
      </c>
      <c r="E179" s="133">
        <v>1.239583333333333</v>
      </c>
      <c r="F179" s="120" t="s">
        <v>91</v>
      </c>
      <c r="G179" s="122">
        <v>9</v>
      </c>
      <c r="H179" s="134" t="s">
        <v>181</v>
      </c>
    </row>
    <row r="180" spans="1:8" ht="19.8" customHeight="1" x14ac:dyDescent="0.3">
      <c r="A180" s="132">
        <v>45985</v>
      </c>
      <c r="B180" s="120" t="s">
        <v>86</v>
      </c>
      <c r="C180" s="121" t="s">
        <v>97</v>
      </c>
      <c r="D180" s="120" t="s">
        <v>1</v>
      </c>
      <c r="E180" s="133">
        <v>1.1423611111111109</v>
      </c>
      <c r="F180" s="120" t="s">
        <v>91</v>
      </c>
      <c r="G180" s="122">
        <v>9</v>
      </c>
      <c r="H180" s="134" t="s">
        <v>181</v>
      </c>
    </row>
    <row r="181" spans="1:8" ht="19.8" customHeight="1" x14ac:dyDescent="0.3">
      <c r="A181" s="132">
        <v>45985</v>
      </c>
      <c r="B181" s="120" t="s">
        <v>86</v>
      </c>
      <c r="C181" s="121" t="s">
        <v>110</v>
      </c>
      <c r="D181" s="120" t="s">
        <v>1</v>
      </c>
      <c r="E181" s="133">
        <v>1.1284722222222221</v>
      </c>
      <c r="F181" s="120" t="s">
        <v>91</v>
      </c>
      <c r="G181" s="122">
        <v>4</v>
      </c>
      <c r="H181" s="134" t="s">
        <v>217</v>
      </c>
    </row>
    <row r="182" spans="1:8" ht="19.8" customHeight="1" x14ac:dyDescent="0.3">
      <c r="A182" s="132">
        <v>45985</v>
      </c>
      <c r="B182" s="120" t="s">
        <v>86</v>
      </c>
      <c r="C182" s="121" t="s">
        <v>94</v>
      </c>
      <c r="D182" s="120" t="s">
        <v>1</v>
      </c>
      <c r="E182" s="133">
        <v>1.71875</v>
      </c>
      <c r="F182" s="120" t="s">
        <v>88</v>
      </c>
      <c r="G182" s="122">
        <v>9</v>
      </c>
      <c r="H182" s="134" t="s">
        <v>218</v>
      </c>
    </row>
    <row r="183" spans="1:8" ht="19.8" customHeight="1" x14ac:dyDescent="0.3">
      <c r="A183" s="132">
        <v>45985</v>
      </c>
      <c r="B183" s="120" t="s">
        <v>86</v>
      </c>
      <c r="C183" s="121" t="s">
        <v>104</v>
      </c>
      <c r="D183" s="120" t="s">
        <v>1</v>
      </c>
      <c r="E183" s="133">
        <v>1.6111111111111109</v>
      </c>
      <c r="F183" s="120" t="s">
        <v>88</v>
      </c>
      <c r="G183" s="122">
        <v>9</v>
      </c>
      <c r="H183" s="134" t="s">
        <v>218</v>
      </c>
    </row>
    <row r="184" spans="1:8" ht="19.8" customHeight="1" x14ac:dyDescent="0.3">
      <c r="A184" s="132">
        <v>45985</v>
      </c>
      <c r="B184" s="120" t="s">
        <v>86</v>
      </c>
      <c r="C184" s="121" t="s">
        <v>102</v>
      </c>
      <c r="D184" s="120" t="s">
        <v>1</v>
      </c>
      <c r="E184" s="133">
        <v>1.8888888888888891</v>
      </c>
      <c r="F184" s="120" t="s">
        <v>91</v>
      </c>
      <c r="G184" s="122">
        <v>4</v>
      </c>
      <c r="H184" s="134" t="s">
        <v>183</v>
      </c>
    </row>
    <row r="185" spans="1:8" ht="19.8" customHeight="1" x14ac:dyDescent="0.3">
      <c r="A185" s="132">
        <v>45985</v>
      </c>
      <c r="B185" s="120" t="s">
        <v>86</v>
      </c>
      <c r="C185" s="121" t="s">
        <v>108</v>
      </c>
      <c r="D185" s="120" t="s">
        <v>1</v>
      </c>
      <c r="E185" s="133">
        <v>1.302083333333333</v>
      </c>
      <c r="F185" s="120" t="s">
        <v>91</v>
      </c>
      <c r="G185" s="122">
        <v>4</v>
      </c>
      <c r="H185" s="134" t="s">
        <v>183</v>
      </c>
    </row>
    <row r="186" spans="1:8" ht="19.8" customHeight="1" x14ac:dyDescent="0.3">
      <c r="A186" s="132">
        <v>45985</v>
      </c>
      <c r="B186" s="120" t="s">
        <v>86</v>
      </c>
      <c r="C186" s="121" t="s">
        <v>94</v>
      </c>
      <c r="D186" s="120" t="s">
        <v>1</v>
      </c>
      <c r="E186" s="133">
        <v>1.71875</v>
      </c>
      <c r="F186" s="120" t="s">
        <v>91</v>
      </c>
      <c r="G186" s="122">
        <v>9</v>
      </c>
      <c r="H186" s="134" t="s">
        <v>219</v>
      </c>
    </row>
    <row r="187" spans="1:8" ht="19.8" customHeight="1" x14ac:dyDescent="0.3">
      <c r="A187" s="132">
        <v>45985</v>
      </c>
      <c r="B187" s="120" t="s">
        <v>86</v>
      </c>
      <c r="C187" s="121" t="s">
        <v>104</v>
      </c>
      <c r="D187" s="120" t="s">
        <v>1</v>
      </c>
      <c r="E187" s="133">
        <v>1.6111111111111109</v>
      </c>
      <c r="F187" s="120" t="s">
        <v>91</v>
      </c>
      <c r="G187" s="122">
        <v>9</v>
      </c>
      <c r="H187" s="134" t="s">
        <v>219</v>
      </c>
    </row>
    <row r="188" spans="1:8" ht="19.8" customHeight="1" x14ac:dyDescent="0.3">
      <c r="A188" s="132">
        <v>45985</v>
      </c>
      <c r="B188" s="120" t="s">
        <v>112</v>
      </c>
      <c r="C188" s="121" t="s">
        <v>124</v>
      </c>
      <c r="D188" s="120" t="s">
        <v>1</v>
      </c>
      <c r="E188" s="133">
        <v>1.958333333333333</v>
      </c>
      <c r="F188" s="120" t="s">
        <v>114</v>
      </c>
      <c r="G188" s="122">
        <v>4</v>
      </c>
      <c r="H188" s="134" t="s">
        <v>120</v>
      </c>
    </row>
    <row r="189" spans="1:8" ht="19.8" customHeight="1" x14ac:dyDescent="0.3">
      <c r="A189" s="132">
        <v>45985</v>
      </c>
      <c r="B189" s="120" t="s">
        <v>86</v>
      </c>
      <c r="C189" s="121" t="s">
        <v>111</v>
      </c>
      <c r="D189" s="120" t="s">
        <v>1</v>
      </c>
      <c r="E189" s="133">
        <v>1.788194444444444</v>
      </c>
      <c r="F189" s="120" t="s">
        <v>91</v>
      </c>
      <c r="G189" s="122">
        <v>4</v>
      </c>
      <c r="H189" s="134" t="s">
        <v>103</v>
      </c>
    </row>
    <row r="190" spans="1:8" ht="19.8" customHeight="1" x14ac:dyDescent="0.3">
      <c r="A190" s="132">
        <v>45985</v>
      </c>
      <c r="B190" s="120" t="s">
        <v>86</v>
      </c>
      <c r="C190" s="121" t="s">
        <v>107</v>
      </c>
      <c r="D190" s="120" t="s">
        <v>1</v>
      </c>
      <c r="E190" s="133">
        <v>1.8298611111111109</v>
      </c>
      <c r="F190" s="120" t="s">
        <v>88</v>
      </c>
      <c r="G190" s="122">
        <v>9</v>
      </c>
      <c r="H190" s="134" t="s">
        <v>184</v>
      </c>
    </row>
    <row r="191" spans="1:8" ht="19.8" customHeight="1" x14ac:dyDescent="0.3">
      <c r="A191" s="132">
        <v>45985</v>
      </c>
      <c r="B191" s="120" t="s">
        <v>86</v>
      </c>
      <c r="C191" s="121" t="s">
        <v>107</v>
      </c>
      <c r="D191" s="120" t="s">
        <v>1</v>
      </c>
      <c r="E191" s="133">
        <v>1.8298611111111109</v>
      </c>
      <c r="F191" s="120" t="s">
        <v>91</v>
      </c>
      <c r="G191" s="122">
        <v>9</v>
      </c>
      <c r="H191" s="134" t="s">
        <v>185</v>
      </c>
    </row>
    <row r="192" spans="1:8" ht="19.8" customHeight="1" x14ac:dyDescent="0.3">
      <c r="A192" s="135">
        <v>45985</v>
      </c>
      <c r="B192" s="136" t="s">
        <v>68</v>
      </c>
      <c r="C192" s="137" t="s">
        <v>81</v>
      </c>
      <c r="D192" s="136" t="s">
        <v>1</v>
      </c>
      <c r="E192" s="138">
        <v>1.4236111111111109</v>
      </c>
      <c r="F192" s="136" t="s">
        <v>82</v>
      </c>
      <c r="G192" s="136"/>
      <c r="H192" s="139" t="s">
        <v>83</v>
      </c>
    </row>
    <row r="193" spans="1:8" ht="19.8" customHeight="1" x14ac:dyDescent="0.3">
      <c r="A193" s="132">
        <v>45986</v>
      </c>
      <c r="B193" s="120" t="s">
        <v>59</v>
      </c>
      <c r="C193" s="121" t="s">
        <v>60</v>
      </c>
      <c r="D193" s="120" t="s">
        <v>1</v>
      </c>
      <c r="E193" s="133">
        <v>1.666666666666667</v>
      </c>
      <c r="F193" s="120" t="s">
        <v>61</v>
      </c>
      <c r="G193" s="122">
        <v>4</v>
      </c>
      <c r="H193" s="123">
        <v>401</v>
      </c>
    </row>
    <row r="194" spans="1:8" ht="19.8" customHeight="1" x14ac:dyDescent="0.3">
      <c r="A194" s="132">
        <v>45986</v>
      </c>
      <c r="B194" s="120" t="s">
        <v>59</v>
      </c>
      <c r="C194" s="121" t="s">
        <v>130</v>
      </c>
      <c r="D194" s="120" t="s">
        <v>1</v>
      </c>
      <c r="E194" s="133">
        <v>1.364583333333333</v>
      </c>
      <c r="F194" s="120" t="s">
        <v>61</v>
      </c>
      <c r="G194" s="122">
        <v>9</v>
      </c>
      <c r="H194" s="123">
        <v>401</v>
      </c>
    </row>
    <row r="195" spans="1:8" ht="19.8" customHeight="1" x14ac:dyDescent="0.3">
      <c r="A195" s="132">
        <v>45986</v>
      </c>
      <c r="B195" s="120" t="s">
        <v>59</v>
      </c>
      <c r="C195" s="121" t="s">
        <v>220</v>
      </c>
      <c r="D195" s="120" t="s">
        <v>1</v>
      </c>
      <c r="E195" s="133">
        <v>1.0451388888888891</v>
      </c>
      <c r="F195" s="120" t="s">
        <v>61</v>
      </c>
      <c r="G195" s="122">
        <v>9</v>
      </c>
      <c r="H195" s="123">
        <v>401</v>
      </c>
    </row>
    <row r="196" spans="1:8" ht="19.8" customHeight="1" x14ac:dyDescent="0.3">
      <c r="A196" s="132">
        <v>45986</v>
      </c>
      <c r="B196" s="120" t="s">
        <v>26</v>
      </c>
      <c r="C196" s="121" t="s">
        <v>33</v>
      </c>
      <c r="D196" s="120" t="s">
        <v>1</v>
      </c>
      <c r="E196" s="133">
        <v>1.302083333333333</v>
      </c>
      <c r="F196" s="120" t="s">
        <v>132</v>
      </c>
      <c r="G196" s="122">
        <v>2</v>
      </c>
      <c r="H196" s="123">
        <v>419</v>
      </c>
    </row>
    <row r="197" spans="1:8" ht="19.8" customHeight="1" x14ac:dyDescent="0.3">
      <c r="A197" s="132">
        <v>45986</v>
      </c>
      <c r="B197" s="120" t="s">
        <v>26</v>
      </c>
      <c r="C197" s="121" t="s">
        <v>27</v>
      </c>
      <c r="D197" s="120" t="s">
        <v>1</v>
      </c>
      <c r="E197" s="133">
        <v>1.1284722222222221</v>
      </c>
      <c r="F197" s="120" t="s">
        <v>132</v>
      </c>
      <c r="G197" s="122">
        <v>10</v>
      </c>
      <c r="H197" s="123">
        <v>419</v>
      </c>
    </row>
    <row r="198" spans="1:8" ht="19.8" customHeight="1" x14ac:dyDescent="0.3">
      <c r="A198" s="132">
        <v>45986</v>
      </c>
      <c r="B198" s="120" t="s">
        <v>26</v>
      </c>
      <c r="C198" s="121" t="s">
        <v>36</v>
      </c>
      <c r="D198" s="120" t="s">
        <v>1</v>
      </c>
      <c r="E198" s="133">
        <v>1.788194444444444</v>
      </c>
      <c r="F198" s="120" t="s">
        <v>132</v>
      </c>
      <c r="G198" s="122">
        <v>2</v>
      </c>
      <c r="H198" s="123">
        <v>419</v>
      </c>
    </row>
    <row r="199" spans="1:8" ht="19.8" customHeight="1" x14ac:dyDescent="0.3">
      <c r="A199" s="132">
        <v>45986</v>
      </c>
      <c r="B199" s="120" t="s">
        <v>26</v>
      </c>
      <c r="C199" s="121" t="s">
        <v>31</v>
      </c>
      <c r="D199" s="120" t="s">
        <v>1</v>
      </c>
      <c r="E199" s="133">
        <v>1.8888888888888891</v>
      </c>
      <c r="F199" s="120" t="s">
        <v>132</v>
      </c>
      <c r="G199" s="122">
        <v>5</v>
      </c>
      <c r="H199" s="123">
        <v>419</v>
      </c>
    </row>
    <row r="200" spans="1:8" ht="19.8" customHeight="1" x14ac:dyDescent="0.3">
      <c r="A200" s="129">
        <v>45986</v>
      </c>
      <c r="B200" s="125" t="s">
        <v>68</v>
      </c>
      <c r="C200" s="126" t="s">
        <v>164</v>
      </c>
      <c r="D200" s="125" t="s">
        <v>1</v>
      </c>
      <c r="E200" s="130">
        <v>1.9340277777777779</v>
      </c>
      <c r="F200" s="125" t="s">
        <v>70</v>
      </c>
      <c r="G200" s="127">
        <v>9</v>
      </c>
      <c r="H200" s="128">
        <v>436</v>
      </c>
    </row>
    <row r="201" spans="1:8" ht="19.8" customHeight="1" x14ac:dyDescent="0.3">
      <c r="A201" s="129">
        <v>45986</v>
      </c>
      <c r="B201" s="125" t="s">
        <v>68</v>
      </c>
      <c r="C201" s="126" t="s">
        <v>229</v>
      </c>
      <c r="D201" s="125" t="s">
        <v>1</v>
      </c>
      <c r="E201" s="130">
        <v>1.229166666666667</v>
      </c>
      <c r="F201" s="125" t="s">
        <v>70</v>
      </c>
      <c r="G201" s="127">
        <v>9</v>
      </c>
      <c r="H201" s="128">
        <v>436</v>
      </c>
    </row>
    <row r="202" spans="1:8" ht="19.8" customHeight="1" x14ac:dyDescent="0.3">
      <c r="A202" s="129">
        <v>45986</v>
      </c>
      <c r="B202" s="125" t="s">
        <v>68</v>
      </c>
      <c r="C202" s="126" t="s">
        <v>172</v>
      </c>
      <c r="D202" s="125" t="s">
        <v>1</v>
      </c>
      <c r="E202" s="130">
        <v>1.96875</v>
      </c>
      <c r="F202" s="125" t="s">
        <v>70</v>
      </c>
      <c r="G202" s="127">
        <v>9</v>
      </c>
      <c r="H202" s="128">
        <v>436</v>
      </c>
    </row>
    <row r="203" spans="1:8" ht="19.8" customHeight="1" x14ac:dyDescent="0.3">
      <c r="A203" s="129">
        <v>45986</v>
      </c>
      <c r="B203" s="125" t="s">
        <v>68</v>
      </c>
      <c r="C203" s="126" t="s">
        <v>76</v>
      </c>
      <c r="D203" s="125" t="s">
        <v>1</v>
      </c>
      <c r="E203" s="130">
        <v>1.614583333333333</v>
      </c>
      <c r="F203" s="125" t="s">
        <v>70</v>
      </c>
      <c r="G203" s="127">
        <v>9</v>
      </c>
      <c r="H203" s="128">
        <v>436</v>
      </c>
    </row>
    <row r="204" spans="1:8" ht="19.8" customHeight="1" x14ac:dyDescent="0.3">
      <c r="A204" s="132">
        <v>45986</v>
      </c>
      <c r="B204" s="120" t="s">
        <v>38</v>
      </c>
      <c r="C204" s="121" t="s">
        <v>43</v>
      </c>
      <c r="D204" s="120" t="s">
        <v>1</v>
      </c>
      <c r="E204" s="133">
        <v>1.9027777777777779</v>
      </c>
      <c r="F204" s="120" t="s">
        <v>145</v>
      </c>
      <c r="G204" s="122">
        <v>2</v>
      </c>
      <c r="H204" s="123">
        <v>449</v>
      </c>
    </row>
    <row r="205" spans="1:8" ht="19.8" customHeight="1" x14ac:dyDescent="0.3">
      <c r="A205" s="132">
        <v>45986</v>
      </c>
      <c r="B205" s="120" t="s">
        <v>38</v>
      </c>
      <c r="C205" s="121" t="s">
        <v>50</v>
      </c>
      <c r="D205" s="120" t="s">
        <v>1</v>
      </c>
      <c r="E205" s="133">
        <v>1.5173611111111109</v>
      </c>
      <c r="F205" s="120" t="s">
        <v>145</v>
      </c>
      <c r="G205" s="122">
        <v>1</v>
      </c>
      <c r="H205" s="123">
        <v>449</v>
      </c>
    </row>
    <row r="206" spans="1:8" ht="19.8" customHeight="1" x14ac:dyDescent="0.3">
      <c r="A206" s="132">
        <v>45986</v>
      </c>
      <c r="B206" s="120" t="s">
        <v>38</v>
      </c>
      <c r="C206" s="121" t="s">
        <v>45</v>
      </c>
      <c r="D206" s="120" t="s">
        <v>1</v>
      </c>
      <c r="E206" s="133">
        <v>1.854166666666667</v>
      </c>
      <c r="F206" s="120" t="s">
        <v>145</v>
      </c>
      <c r="G206" s="122">
        <v>3</v>
      </c>
      <c r="H206" s="123">
        <v>449</v>
      </c>
    </row>
    <row r="207" spans="1:8" ht="19.8" customHeight="1" x14ac:dyDescent="0.3">
      <c r="A207" s="132">
        <v>45986</v>
      </c>
      <c r="B207" s="120" t="s">
        <v>38</v>
      </c>
      <c r="C207" s="121" t="s">
        <v>46</v>
      </c>
      <c r="D207" s="120" t="s">
        <v>1</v>
      </c>
      <c r="E207" s="133">
        <v>1.7986111111111109</v>
      </c>
      <c r="F207" s="120" t="s">
        <v>145</v>
      </c>
      <c r="G207" s="122">
        <v>3</v>
      </c>
      <c r="H207" s="123">
        <v>449</v>
      </c>
    </row>
    <row r="208" spans="1:8" ht="19.8" customHeight="1" x14ac:dyDescent="0.3">
      <c r="A208" s="129">
        <v>45986</v>
      </c>
      <c r="B208" s="125" t="s">
        <v>68</v>
      </c>
      <c r="C208" s="126" t="s">
        <v>174</v>
      </c>
      <c r="D208" s="125" t="s">
        <v>1</v>
      </c>
      <c r="E208" s="130">
        <v>1.729166666666667</v>
      </c>
      <c r="F208" s="125" t="s">
        <v>70</v>
      </c>
      <c r="G208" s="127">
        <v>1</v>
      </c>
      <c r="H208" s="128">
        <v>471</v>
      </c>
    </row>
    <row r="209" spans="1:8" ht="19.8" customHeight="1" x14ac:dyDescent="0.3">
      <c r="A209" s="132">
        <v>45986</v>
      </c>
      <c r="B209" s="120" t="s">
        <v>38</v>
      </c>
      <c r="C209" s="121" t="s">
        <v>39</v>
      </c>
      <c r="D209" s="120" t="s">
        <v>1</v>
      </c>
      <c r="E209" s="133">
        <v>1.256944444444444</v>
      </c>
      <c r="F209" s="120" t="s">
        <v>145</v>
      </c>
      <c r="G209" s="122">
        <v>9</v>
      </c>
      <c r="H209" s="123">
        <v>489</v>
      </c>
    </row>
    <row r="210" spans="1:8" ht="19.8" customHeight="1" x14ac:dyDescent="0.3">
      <c r="A210" s="132">
        <v>45986</v>
      </c>
      <c r="B210" s="120" t="s">
        <v>38</v>
      </c>
      <c r="C210" s="121" t="s">
        <v>48</v>
      </c>
      <c r="D210" s="120" t="s">
        <v>1</v>
      </c>
      <c r="E210" s="133">
        <v>1.645833333333333</v>
      </c>
      <c r="F210" s="120" t="s">
        <v>145</v>
      </c>
      <c r="G210" s="122">
        <v>9</v>
      </c>
      <c r="H210" s="123">
        <v>489</v>
      </c>
    </row>
    <row r="211" spans="1:8" ht="19.8" customHeight="1" x14ac:dyDescent="0.3">
      <c r="A211" s="132">
        <v>45986</v>
      </c>
      <c r="B211" s="120" t="s">
        <v>38</v>
      </c>
      <c r="C211" s="121" t="s">
        <v>51</v>
      </c>
      <c r="D211" s="120" t="s">
        <v>1</v>
      </c>
      <c r="E211" s="133">
        <v>1.395833333333333</v>
      </c>
      <c r="F211" s="120" t="s">
        <v>145</v>
      </c>
      <c r="G211" s="122">
        <v>1</v>
      </c>
      <c r="H211" s="123">
        <v>489</v>
      </c>
    </row>
    <row r="212" spans="1:8" ht="19.8" customHeight="1" x14ac:dyDescent="0.3">
      <c r="A212" s="132">
        <v>45986</v>
      </c>
      <c r="B212" s="120" t="s">
        <v>38</v>
      </c>
      <c r="C212" s="121" t="s">
        <v>156</v>
      </c>
      <c r="D212" s="120" t="s">
        <v>1</v>
      </c>
      <c r="E212" s="133">
        <v>1.302083333333333</v>
      </c>
      <c r="F212" s="120" t="s">
        <v>145</v>
      </c>
      <c r="G212" s="122">
        <v>9</v>
      </c>
      <c r="H212" s="123">
        <v>489</v>
      </c>
    </row>
    <row r="213" spans="1:8" ht="19.8" customHeight="1" x14ac:dyDescent="0.3">
      <c r="A213" s="132">
        <v>45986</v>
      </c>
      <c r="B213" s="120" t="s">
        <v>52</v>
      </c>
      <c r="C213" s="121" t="s">
        <v>53</v>
      </c>
      <c r="D213" s="120" t="s">
        <v>1</v>
      </c>
      <c r="E213" s="133">
        <v>1.2222222222222221</v>
      </c>
      <c r="F213" s="120" t="s">
        <v>161</v>
      </c>
      <c r="G213" s="122">
        <v>9</v>
      </c>
      <c r="H213" s="123">
        <v>536</v>
      </c>
    </row>
    <row r="214" spans="1:8" ht="19.8" customHeight="1" x14ac:dyDescent="0.3">
      <c r="A214" s="132">
        <v>45986</v>
      </c>
      <c r="B214" s="120" t="s">
        <v>38</v>
      </c>
      <c r="C214" s="121" t="s">
        <v>43</v>
      </c>
      <c r="D214" s="120" t="s">
        <v>1</v>
      </c>
      <c r="E214" s="133">
        <v>1.9027777777777779</v>
      </c>
      <c r="F214" s="120" t="s">
        <v>147</v>
      </c>
      <c r="G214" s="122">
        <v>2</v>
      </c>
      <c r="H214" s="123">
        <v>549</v>
      </c>
    </row>
    <row r="215" spans="1:8" ht="19.8" customHeight="1" x14ac:dyDescent="0.3">
      <c r="A215" s="132">
        <v>45986</v>
      </c>
      <c r="B215" s="120" t="s">
        <v>38</v>
      </c>
      <c r="C215" s="121" t="s">
        <v>50</v>
      </c>
      <c r="D215" s="120" t="s">
        <v>1</v>
      </c>
      <c r="E215" s="133">
        <v>1.5173611111111109</v>
      </c>
      <c r="F215" s="120" t="s">
        <v>147</v>
      </c>
      <c r="G215" s="122">
        <v>1</v>
      </c>
      <c r="H215" s="123">
        <v>549</v>
      </c>
    </row>
    <row r="216" spans="1:8" ht="19.8" customHeight="1" x14ac:dyDescent="0.3">
      <c r="A216" s="132">
        <v>45986</v>
      </c>
      <c r="B216" s="120" t="s">
        <v>38</v>
      </c>
      <c r="C216" s="121" t="s">
        <v>45</v>
      </c>
      <c r="D216" s="120" t="s">
        <v>1</v>
      </c>
      <c r="E216" s="133">
        <v>1.854166666666667</v>
      </c>
      <c r="F216" s="120" t="s">
        <v>147</v>
      </c>
      <c r="G216" s="122">
        <v>3</v>
      </c>
      <c r="H216" s="123">
        <v>549</v>
      </c>
    </row>
    <row r="217" spans="1:8" ht="19.8" customHeight="1" x14ac:dyDescent="0.3">
      <c r="A217" s="132">
        <v>45986</v>
      </c>
      <c r="B217" s="120" t="s">
        <v>38</v>
      </c>
      <c r="C217" s="121" t="s">
        <v>46</v>
      </c>
      <c r="D217" s="120" t="s">
        <v>1</v>
      </c>
      <c r="E217" s="133">
        <v>1.7986111111111109</v>
      </c>
      <c r="F217" s="120" t="s">
        <v>147</v>
      </c>
      <c r="G217" s="122">
        <v>3</v>
      </c>
      <c r="H217" s="123">
        <v>549</v>
      </c>
    </row>
    <row r="218" spans="1:8" ht="19.8" customHeight="1" x14ac:dyDescent="0.3">
      <c r="A218" s="132">
        <v>45986</v>
      </c>
      <c r="B218" s="120" t="s">
        <v>26</v>
      </c>
      <c r="C218" s="121" t="s">
        <v>33</v>
      </c>
      <c r="D218" s="120" t="s">
        <v>1</v>
      </c>
      <c r="E218" s="133">
        <v>1.302083333333333</v>
      </c>
      <c r="F218" s="120" t="s">
        <v>134</v>
      </c>
      <c r="G218" s="122">
        <v>2</v>
      </c>
      <c r="H218" s="123">
        <v>569</v>
      </c>
    </row>
    <row r="219" spans="1:8" ht="19.8" customHeight="1" x14ac:dyDescent="0.3">
      <c r="A219" s="132">
        <v>45986</v>
      </c>
      <c r="B219" s="120" t="s">
        <v>26</v>
      </c>
      <c r="C219" s="121" t="s">
        <v>27</v>
      </c>
      <c r="D219" s="120" t="s">
        <v>1</v>
      </c>
      <c r="E219" s="133">
        <v>1.1284722222222221</v>
      </c>
      <c r="F219" s="120" t="s">
        <v>134</v>
      </c>
      <c r="G219" s="122">
        <v>10</v>
      </c>
      <c r="H219" s="123">
        <v>569</v>
      </c>
    </row>
    <row r="220" spans="1:8" ht="19.8" customHeight="1" x14ac:dyDescent="0.3">
      <c r="A220" s="132">
        <v>45986</v>
      </c>
      <c r="B220" s="120" t="s">
        <v>26</v>
      </c>
      <c r="C220" s="121" t="s">
        <v>36</v>
      </c>
      <c r="D220" s="120" t="s">
        <v>1</v>
      </c>
      <c r="E220" s="133">
        <v>1.788194444444444</v>
      </c>
      <c r="F220" s="120" t="s">
        <v>134</v>
      </c>
      <c r="G220" s="122">
        <v>2</v>
      </c>
      <c r="H220" s="123">
        <v>569</v>
      </c>
    </row>
    <row r="221" spans="1:8" ht="19.8" customHeight="1" x14ac:dyDescent="0.3">
      <c r="A221" s="132">
        <v>45986</v>
      </c>
      <c r="B221" s="120" t="s">
        <v>26</v>
      </c>
      <c r="C221" s="121" t="s">
        <v>31</v>
      </c>
      <c r="D221" s="120" t="s">
        <v>1</v>
      </c>
      <c r="E221" s="133">
        <v>1.8888888888888891</v>
      </c>
      <c r="F221" s="120" t="s">
        <v>134</v>
      </c>
      <c r="G221" s="122">
        <v>5</v>
      </c>
      <c r="H221" s="123">
        <v>569</v>
      </c>
    </row>
    <row r="222" spans="1:8" ht="19.8" customHeight="1" x14ac:dyDescent="0.3">
      <c r="A222" s="132">
        <v>45986</v>
      </c>
      <c r="B222" s="120" t="s">
        <v>38</v>
      </c>
      <c r="C222" s="121" t="s">
        <v>39</v>
      </c>
      <c r="D222" s="120" t="s">
        <v>1</v>
      </c>
      <c r="E222" s="133">
        <v>1.256944444444444</v>
      </c>
      <c r="F222" s="120" t="s">
        <v>147</v>
      </c>
      <c r="G222" s="122">
        <v>9</v>
      </c>
      <c r="H222" s="123">
        <v>589</v>
      </c>
    </row>
    <row r="223" spans="1:8" ht="19.8" customHeight="1" x14ac:dyDescent="0.3">
      <c r="A223" s="132">
        <v>45986</v>
      </c>
      <c r="B223" s="120" t="s">
        <v>38</v>
      </c>
      <c r="C223" s="121" t="s">
        <v>48</v>
      </c>
      <c r="D223" s="120" t="s">
        <v>1</v>
      </c>
      <c r="E223" s="133">
        <v>1.645833333333333</v>
      </c>
      <c r="F223" s="120" t="s">
        <v>147</v>
      </c>
      <c r="G223" s="122">
        <v>9</v>
      </c>
      <c r="H223" s="123">
        <v>589</v>
      </c>
    </row>
    <row r="224" spans="1:8" ht="19.8" customHeight="1" x14ac:dyDescent="0.3">
      <c r="A224" s="132">
        <v>45986</v>
      </c>
      <c r="B224" s="120" t="s">
        <v>38</v>
      </c>
      <c r="C224" s="121" t="s">
        <v>51</v>
      </c>
      <c r="D224" s="120" t="s">
        <v>1</v>
      </c>
      <c r="E224" s="133">
        <v>1.395833333333333</v>
      </c>
      <c r="F224" s="120" t="s">
        <v>147</v>
      </c>
      <c r="G224" s="122">
        <v>1</v>
      </c>
      <c r="H224" s="123">
        <v>589</v>
      </c>
    </row>
    <row r="225" spans="1:8" ht="19.8" customHeight="1" x14ac:dyDescent="0.3">
      <c r="A225" s="132">
        <v>45986</v>
      </c>
      <c r="B225" s="120" t="s">
        <v>38</v>
      </c>
      <c r="C225" s="121" t="s">
        <v>156</v>
      </c>
      <c r="D225" s="120" t="s">
        <v>1</v>
      </c>
      <c r="E225" s="133">
        <v>1.302083333333333</v>
      </c>
      <c r="F225" s="120" t="s">
        <v>147</v>
      </c>
      <c r="G225" s="122">
        <v>9</v>
      </c>
      <c r="H225" s="123">
        <v>589</v>
      </c>
    </row>
    <row r="226" spans="1:8" ht="19.8" customHeight="1" x14ac:dyDescent="0.3">
      <c r="A226" s="132">
        <v>45986</v>
      </c>
      <c r="B226" s="120" t="s">
        <v>64</v>
      </c>
      <c r="C226" s="121" t="s">
        <v>65</v>
      </c>
      <c r="D226" s="120" t="s">
        <v>1</v>
      </c>
      <c r="E226" s="133">
        <v>1.274305555555556</v>
      </c>
      <c r="F226" s="120" t="s">
        <v>61</v>
      </c>
      <c r="G226" s="122">
        <v>9</v>
      </c>
      <c r="H226" s="123">
        <v>595</v>
      </c>
    </row>
    <row r="227" spans="1:8" ht="19.8" customHeight="1" x14ac:dyDescent="0.3">
      <c r="A227" s="132">
        <v>45986</v>
      </c>
      <c r="B227" s="120" t="s">
        <v>38</v>
      </c>
      <c r="C227" s="121" t="s">
        <v>43</v>
      </c>
      <c r="D227" s="120" t="s">
        <v>1</v>
      </c>
      <c r="E227" s="133">
        <v>1.9027777777777779</v>
      </c>
      <c r="F227" s="120" t="s">
        <v>149</v>
      </c>
      <c r="G227" s="122">
        <v>2</v>
      </c>
      <c r="H227" s="123">
        <v>639</v>
      </c>
    </row>
    <row r="228" spans="1:8" ht="19.8" customHeight="1" x14ac:dyDescent="0.3">
      <c r="A228" s="132">
        <v>45986</v>
      </c>
      <c r="B228" s="120" t="s">
        <v>38</v>
      </c>
      <c r="C228" s="121" t="s">
        <v>50</v>
      </c>
      <c r="D228" s="120" t="s">
        <v>1</v>
      </c>
      <c r="E228" s="133">
        <v>1.5173611111111109</v>
      </c>
      <c r="F228" s="120" t="s">
        <v>149</v>
      </c>
      <c r="G228" s="122">
        <v>1</v>
      </c>
      <c r="H228" s="123">
        <v>639</v>
      </c>
    </row>
    <row r="229" spans="1:8" ht="19.8" customHeight="1" x14ac:dyDescent="0.3">
      <c r="A229" s="132">
        <v>45986</v>
      </c>
      <c r="B229" s="120" t="s">
        <v>38</v>
      </c>
      <c r="C229" s="121" t="s">
        <v>45</v>
      </c>
      <c r="D229" s="120" t="s">
        <v>1</v>
      </c>
      <c r="E229" s="133">
        <v>1.854166666666667</v>
      </c>
      <c r="F229" s="120" t="s">
        <v>149</v>
      </c>
      <c r="G229" s="122">
        <v>3</v>
      </c>
      <c r="H229" s="123">
        <v>639</v>
      </c>
    </row>
    <row r="230" spans="1:8" ht="19.8" customHeight="1" x14ac:dyDescent="0.3">
      <c r="A230" s="132">
        <v>45986</v>
      </c>
      <c r="B230" s="120" t="s">
        <v>38</v>
      </c>
      <c r="C230" s="121" t="s">
        <v>46</v>
      </c>
      <c r="D230" s="120" t="s">
        <v>1</v>
      </c>
      <c r="E230" s="133">
        <v>1.7986111111111109</v>
      </c>
      <c r="F230" s="120" t="s">
        <v>149</v>
      </c>
      <c r="G230" s="122">
        <v>3</v>
      </c>
      <c r="H230" s="123">
        <v>639</v>
      </c>
    </row>
    <row r="231" spans="1:8" ht="19.8" customHeight="1" x14ac:dyDescent="0.3">
      <c r="A231" s="132">
        <v>45986</v>
      </c>
      <c r="B231" s="120" t="s">
        <v>64</v>
      </c>
      <c r="C231" s="121" t="s">
        <v>214</v>
      </c>
      <c r="D231" s="120" t="s">
        <v>1</v>
      </c>
      <c r="E231" s="133">
        <v>1.739583333333333</v>
      </c>
      <c r="F231" s="120" t="s">
        <v>61</v>
      </c>
      <c r="G231" s="122">
        <v>9</v>
      </c>
      <c r="H231" s="123">
        <v>645</v>
      </c>
    </row>
    <row r="232" spans="1:8" ht="19.8" customHeight="1" x14ac:dyDescent="0.3">
      <c r="A232" s="132">
        <v>45986</v>
      </c>
      <c r="B232" s="120" t="s">
        <v>52</v>
      </c>
      <c r="C232" s="121" t="s">
        <v>53</v>
      </c>
      <c r="D232" s="120" t="s">
        <v>1</v>
      </c>
      <c r="E232" s="133">
        <v>1.2222222222222221</v>
      </c>
      <c r="F232" s="120" t="s">
        <v>136</v>
      </c>
      <c r="G232" s="122">
        <v>9</v>
      </c>
      <c r="H232" s="123">
        <v>660</v>
      </c>
    </row>
    <row r="233" spans="1:8" ht="19.8" customHeight="1" x14ac:dyDescent="0.3">
      <c r="A233" s="132">
        <v>45986</v>
      </c>
      <c r="B233" s="120" t="s">
        <v>38</v>
      </c>
      <c r="C233" s="121" t="s">
        <v>39</v>
      </c>
      <c r="D233" s="120" t="s">
        <v>1</v>
      </c>
      <c r="E233" s="133">
        <v>1.256944444444444</v>
      </c>
      <c r="F233" s="120" t="s">
        <v>149</v>
      </c>
      <c r="G233" s="122">
        <v>9</v>
      </c>
      <c r="H233" s="123">
        <v>679</v>
      </c>
    </row>
    <row r="234" spans="1:8" ht="19.8" customHeight="1" x14ac:dyDescent="0.3">
      <c r="A234" s="132">
        <v>45986</v>
      </c>
      <c r="B234" s="120" t="s">
        <v>38</v>
      </c>
      <c r="C234" s="121" t="s">
        <v>48</v>
      </c>
      <c r="D234" s="120" t="s">
        <v>1</v>
      </c>
      <c r="E234" s="133">
        <v>1.645833333333333</v>
      </c>
      <c r="F234" s="120" t="s">
        <v>149</v>
      </c>
      <c r="G234" s="122">
        <v>9</v>
      </c>
      <c r="H234" s="123">
        <v>679</v>
      </c>
    </row>
    <row r="235" spans="1:8" ht="19.8" customHeight="1" x14ac:dyDescent="0.3">
      <c r="A235" s="132">
        <v>45986</v>
      </c>
      <c r="B235" s="120" t="s">
        <v>38</v>
      </c>
      <c r="C235" s="121" t="s">
        <v>51</v>
      </c>
      <c r="D235" s="120" t="s">
        <v>1</v>
      </c>
      <c r="E235" s="133">
        <v>1.395833333333333</v>
      </c>
      <c r="F235" s="120" t="s">
        <v>149</v>
      </c>
      <c r="G235" s="122">
        <v>1</v>
      </c>
      <c r="H235" s="123">
        <v>679</v>
      </c>
    </row>
    <row r="236" spans="1:8" ht="19.8" customHeight="1" x14ac:dyDescent="0.3">
      <c r="A236" s="132">
        <v>45986</v>
      </c>
      <c r="B236" s="120" t="s">
        <v>38</v>
      </c>
      <c r="C236" s="121" t="s">
        <v>156</v>
      </c>
      <c r="D236" s="120" t="s">
        <v>1</v>
      </c>
      <c r="E236" s="133">
        <v>1.302083333333333</v>
      </c>
      <c r="F236" s="120" t="s">
        <v>149</v>
      </c>
      <c r="G236" s="122">
        <v>9</v>
      </c>
      <c r="H236" s="123">
        <v>679</v>
      </c>
    </row>
    <row r="237" spans="1:8" ht="19.8" customHeight="1" x14ac:dyDescent="0.3">
      <c r="A237" s="132">
        <v>45986</v>
      </c>
      <c r="B237" s="120" t="s">
        <v>86</v>
      </c>
      <c r="C237" s="121" t="s">
        <v>87</v>
      </c>
      <c r="D237" s="120" t="s">
        <v>1</v>
      </c>
      <c r="E237" s="133">
        <v>1.3784722222222221</v>
      </c>
      <c r="F237" s="120" t="s">
        <v>88</v>
      </c>
      <c r="G237" s="122">
        <v>9</v>
      </c>
      <c r="H237" s="123">
        <v>935</v>
      </c>
    </row>
    <row r="238" spans="1:8" ht="19.8" customHeight="1" x14ac:dyDescent="0.3">
      <c r="A238" s="132">
        <v>45986</v>
      </c>
      <c r="B238" s="120" t="s">
        <v>86</v>
      </c>
      <c r="C238" s="121" t="s">
        <v>96</v>
      </c>
      <c r="D238" s="120" t="s">
        <v>1</v>
      </c>
      <c r="E238" s="133">
        <v>1.006944444444444</v>
      </c>
      <c r="F238" s="120" t="s">
        <v>88</v>
      </c>
      <c r="G238" s="122">
        <v>9</v>
      </c>
      <c r="H238" s="123">
        <v>935</v>
      </c>
    </row>
    <row r="239" spans="1:8" ht="19.8" customHeight="1" x14ac:dyDescent="0.3">
      <c r="A239" s="132">
        <v>45986</v>
      </c>
      <c r="B239" s="120" t="s">
        <v>86</v>
      </c>
      <c r="C239" s="121" t="s">
        <v>99</v>
      </c>
      <c r="D239" s="120" t="s">
        <v>1</v>
      </c>
      <c r="E239" s="133">
        <v>1.239583333333333</v>
      </c>
      <c r="F239" s="120" t="s">
        <v>88</v>
      </c>
      <c r="G239" s="122">
        <v>9</v>
      </c>
      <c r="H239" s="123">
        <v>935</v>
      </c>
    </row>
    <row r="240" spans="1:8" ht="19.8" customHeight="1" x14ac:dyDescent="0.3">
      <c r="A240" s="132">
        <v>45986</v>
      </c>
      <c r="B240" s="120" t="s">
        <v>86</v>
      </c>
      <c r="C240" s="121" t="s">
        <v>97</v>
      </c>
      <c r="D240" s="120" t="s">
        <v>1</v>
      </c>
      <c r="E240" s="133">
        <v>1.1423611111111109</v>
      </c>
      <c r="F240" s="120" t="s">
        <v>88</v>
      </c>
      <c r="G240" s="122">
        <v>9</v>
      </c>
      <c r="H240" s="123">
        <v>935</v>
      </c>
    </row>
    <row r="241" spans="1:8" ht="19.8" customHeight="1" x14ac:dyDescent="0.3">
      <c r="A241" s="132">
        <v>45986</v>
      </c>
      <c r="B241" s="120" t="s">
        <v>86</v>
      </c>
      <c r="C241" s="121" t="s">
        <v>98</v>
      </c>
      <c r="D241" s="120" t="s">
        <v>1</v>
      </c>
      <c r="E241" s="133">
        <v>1.930555555555556</v>
      </c>
      <c r="F241" s="120" t="s">
        <v>88</v>
      </c>
      <c r="G241" s="122">
        <v>9</v>
      </c>
      <c r="H241" s="123">
        <v>935</v>
      </c>
    </row>
    <row r="242" spans="1:8" ht="19.8" customHeight="1" x14ac:dyDescent="0.3">
      <c r="A242" s="132">
        <v>45986</v>
      </c>
      <c r="B242" s="120" t="s">
        <v>112</v>
      </c>
      <c r="C242" s="121" t="s">
        <v>119</v>
      </c>
      <c r="D242" s="120" t="s">
        <v>1</v>
      </c>
      <c r="E242" s="133">
        <v>1.4861111111111109</v>
      </c>
      <c r="F242" s="120" t="s">
        <v>114</v>
      </c>
      <c r="G242" s="122">
        <v>9</v>
      </c>
      <c r="H242" s="123">
        <v>970</v>
      </c>
    </row>
    <row r="243" spans="1:8" ht="19.8" customHeight="1" x14ac:dyDescent="0.3">
      <c r="A243" s="132">
        <v>45986</v>
      </c>
      <c r="B243" s="120" t="s">
        <v>112</v>
      </c>
      <c r="C243" s="121" t="s">
        <v>122</v>
      </c>
      <c r="D243" s="120" t="s">
        <v>1</v>
      </c>
      <c r="E243" s="133">
        <v>1.5138888888888891</v>
      </c>
      <c r="F243" s="120" t="s">
        <v>114</v>
      </c>
      <c r="G243" s="122">
        <v>9</v>
      </c>
      <c r="H243" s="123">
        <v>970</v>
      </c>
    </row>
    <row r="244" spans="1:8" ht="19.8" customHeight="1" x14ac:dyDescent="0.3">
      <c r="A244" s="132">
        <v>45986</v>
      </c>
      <c r="B244" s="120" t="s">
        <v>86</v>
      </c>
      <c r="C244" s="121" t="s">
        <v>87</v>
      </c>
      <c r="D244" s="120" t="s">
        <v>1</v>
      </c>
      <c r="E244" s="133">
        <v>1.3784722222222221</v>
      </c>
      <c r="F244" s="120" t="s">
        <v>91</v>
      </c>
      <c r="G244" s="122">
        <v>9</v>
      </c>
      <c r="H244" s="123">
        <v>980</v>
      </c>
    </row>
    <row r="245" spans="1:8" ht="19.8" customHeight="1" x14ac:dyDescent="0.3">
      <c r="A245" s="132">
        <v>45986</v>
      </c>
      <c r="B245" s="120" t="s">
        <v>86</v>
      </c>
      <c r="C245" s="121" t="s">
        <v>96</v>
      </c>
      <c r="D245" s="120" t="s">
        <v>1</v>
      </c>
      <c r="E245" s="133">
        <v>1.006944444444444</v>
      </c>
      <c r="F245" s="120" t="s">
        <v>91</v>
      </c>
      <c r="G245" s="122">
        <v>9</v>
      </c>
      <c r="H245" s="123">
        <v>980</v>
      </c>
    </row>
    <row r="246" spans="1:8" ht="19.8" customHeight="1" x14ac:dyDescent="0.3">
      <c r="A246" s="132">
        <v>45986</v>
      </c>
      <c r="B246" s="120" t="s">
        <v>86</v>
      </c>
      <c r="C246" s="121" t="s">
        <v>99</v>
      </c>
      <c r="D246" s="120" t="s">
        <v>1</v>
      </c>
      <c r="E246" s="133">
        <v>1.239583333333333</v>
      </c>
      <c r="F246" s="120" t="s">
        <v>91</v>
      </c>
      <c r="G246" s="122">
        <v>9</v>
      </c>
      <c r="H246" s="123">
        <v>980</v>
      </c>
    </row>
    <row r="247" spans="1:8" ht="19.8" customHeight="1" x14ac:dyDescent="0.3">
      <c r="A247" s="132">
        <v>45986</v>
      </c>
      <c r="B247" s="120" t="s">
        <v>86</v>
      </c>
      <c r="C247" s="121" t="s">
        <v>97</v>
      </c>
      <c r="D247" s="120" t="s">
        <v>1</v>
      </c>
      <c r="E247" s="133">
        <v>1.1423611111111109</v>
      </c>
      <c r="F247" s="120" t="s">
        <v>91</v>
      </c>
      <c r="G247" s="122">
        <v>9</v>
      </c>
      <c r="H247" s="123">
        <v>980</v>
      </c>
    </row>
    <row r="248" spans="1:8" ht="19.8" customHeight="1" x14ac:dyDescent="0.3">
      <c r="A248" s="132">
        <v>45986</v>
      </c>
      <c r="B248" s="120" t="s">
        <v>86</v>
      </c>
      <c r="C248" s="121" t="s">
        <v>98</v>
      </c>
      <c r="D248" s="120" t="s">
        <v>1</v>
      </c>
      <c r="E248" s="133">
        <v>1.930555555555556</v>
      </c>
      <c r="F248" s="120" t="s">
        <v>91</v>
      </c>
      <c r="G248" s="122">
        <v>9</v>
      </c>
      <c r="H248" s="123">
        <v>980</v>
      </c>
    </row>
    <row r="249" spans="1:8" ht="19.8" customHeight="1" x14ac:dyDescent="0.3">
      <c r="A249" s="132">
        <v>45986</v>
      </c>
      <c r="B249" s="120" t="s">
        <v>112</v>
      </c>
      <c r="C249" s="121" t="s">
        <v>116</v>
      </c>
      <c r="D249" s="120" t="s">
        <v>1</v>
      </c>
      <c r="E249" s="133">
        <v>1.2222222222222221</v>
      </c>
      <c r="F249" s="120" t="s">
        <v>114</v>
      </c>
      <c r="G249" s="122">
        <v>9</v>
      </c>
      <c r="H249" s="134" t="s">
        <v>244</v>
      </c>
    </row>
    <row r="250" spans="1:8" ht="19.8" customHeight="1" x14ac:dyDescent="0.3">
      <c r="A250" s="132">
        <v>45986</v>
      </c>
      <c r="B250" s="120" t="s">
        <v>86</v>
      </c>
      <c r="C250" s="121" t="s">
        <v>94</v>
      </c>
      <c r="D250" s="120" t="s">
        <v>1</v>
      </c>
      <c r="E250" s="133">
        <v>1.71875</v>
      </c>
      <c r="F250" s="120" t="s">
        <v>88</v>
      </c>
      <c r="G250" s="122">
        <v>9</v>
      </c>
      <c r="H250" s="134" t="s">
        <v>242</v>
      </c>
    </row>
    <row r="251" spans="1:8" ht="19.8" customHeight="1" x14ac:dyDescent="0.3">
      <c r="A251" s="132">
        <v>45986</v>
      </c>
      <c r="B251" s="120" t="s">
        <v>86</v>
      </c>
      <c r="C251" s="121" t="s">
        <v>107</v>
      </c>
      <c r="D251" s="120" t="s">
        <v>1</v>
      </c>
      <c r="E251" s="133">
        <v>1.8298611111111109</v>
      </c>
      <c r="F251" s="120" t="s">
        <v>88</v>
      </c>
      <c r="G251" s="122">
        <v>9</v>
      </c>
      <c r="H251" s="134" t="s">
        <v>242</v>
      </c>
    </row>
    <row r="252" spans="1:8" ht="19.8" customHeight="1" x14ac:dyDescent="0.3">
      <c r="A252" s="132">
        <v>45986</v>
      </c>
      <c r="B252" s="120" t="s">
        <v>26</v>
      </c>
      <c r="C252" s="121" t="s">
        <v>33</v>
      </c>
      <c r="D252" s="120" t="s">
        <v>1</v>
      </c>
      <c r="E252" s="133">
        <v>1.302083333333333</v>
      </c>
      <c r="F252" s="120" t="s">
        <v>136</v>
      </c>
      <c r="G252" s="122">
        <v>2</v>
      </c>
      <c r="H252" s="134" t="s">
        <v>137</v>
      </c>
    </row>
    <row r="253" spans="1:8" ht="19.8" customHeight="1" x14ac:dyDescent="0.3">
      <c r="A253" s="132">
        <v>45986</v>
      </c>
      <c r="B253" s="120" t="s">
        <v>26</v>
      </c>
      <c r="C253" s="121" t="s">
        <v>27</v>
      </c>
      <c r="D253" s="120" t="s">
        <v>1</v>
      </c>
      <c r="E253" s="133">
        <v>1.1284722222222221</v>
      </c>
      <c r="F253" s="120" t="s">
        <v>136</v>
      </c>
      <c r="G253" s="122">
        <v>10</v>
      </c>
      <c r="H253" s="134" t="s">
        <v>137</v>
      </c>
    </row>
    <row r="254" spans="1:8" ht="19.8" customHeight="1" x14ac:dyDescent="0.3">
      <c r="A254" s="132">
        <v>45986</v>
      </c>
      <c r="B254" s="120" t="s">
        <v>26</v>
      </c>
      <c r="C254" s="121" t="s">
        <v>36</v>
      </c>
      <c r="D254" s="120" t="s">
        <v>1</v>
      </c>
      <c r="E254" s="133">
        <v>1.788194444444444</v>
      </c>
      <c r="F254" s="120" t="s">
        <v>136</v>
      </c>
      <c r="G254" s="122">
        <v>2</v>
      </c>
      <c r="H254" s="134" t="s">
        <v>137</v>
      </c>
    </row>
    <row r="255" spans="1:8" ht="19.8" customHeight="1" x14ac:dyDescent="0.3">
      <c r="A255" s="132">
        <v>45986</v>
      </c>
      <c r="B255" s="120" t="s">
        <v>26</v>
      </c>
      <c r="C255" s="121" t="s">
        <v>31</v>
      </c>
      <c r="D255" s="120" t="s">
        <v>1</v>
      </c>
      <c r="E255" s="133">
        <v>1.8888888888888891</v>
      </c>
      <c r="F255" s="120" t="s">
        <v>136</v>
      </c>
      <c r="G255" s="122">
        <v>5</v>
      </c>
      <c r="H255" s="134" t="s">
        <v>137</v>
      </c>
    </row>
    <row r="256" spans="1:8" ht="19.8" customHeight="1" x14ac:dyDescent="0.3">
      <c r="A256" s="132">
        <v>45986</v>
      </c>
      <c r="B256" s="120" t="s">
        <v>86</v>
      </c>
      <c r="C256" s="121" t="s">
        <v>94</v>
      </c>
      <c r="D256" s="120" t="s">
        <v>1</v>
      </c>
      <c r="E256" s="133">
        <v>1.71875</v>
      </c>
      <c r="F256" s="120" t="s">
        <v>91</v>
      </c>
      <c r="G256" s="122">
        <v>9</v>
      </c>
      <c r="H256" s="134" t="s">
        <v>243</v>
      </c>
    </row>
    <row r="257" spans="1:8" ht="19.8" customHeight="1" x14ac:dyDescent="0.3">
      <c r="A257" s="132">
        <v>45986</v>
      </c>
      <c r="B257" s="120" t="s">
        <v>86</v>
      </c>
      <c r="C257" s="121" t="s">
        <v>107</v>
      </c>
      <c r="D257" s="120" t="s">
        <v>1</v>
      </c>
      <c r="E257" s="133">
        <v>1.8298611111111109</v>
      </c>
      <c r="F257" s="120" t="s">
        <v>91</v>
      </c>
      <c r="G257" s="122">
        <v>9</v>
      </c>
      <c r="H257" s="134" t="s">
        <v>243</v>
      </c>
    </row>
    <row r="258" spans="1:8" ht="19.8" customHeight="1" x14ac:dyDescent="0.3">
      <c r="A258" s="132">
        <v>45986</v>
      </c>
      <c r="B258" s="120" t="s">
        <v>86</v>
      </c>
      <c r="C258" s="121" t="s">
        <v>102</v>
      </c>
      <c r="D258" s="120" t="s">
        <v>1</v>
      </c>
      <c r="E258" s="133">
        <v>1.8888888888888891</v>
      </c>
      <c r="F258" s="120" t="s">
        <v>91</v>
      </c>
      <c r="G258" s="122">
        <v>4</v>
      </c>
      <c r="H258" s="134" t="s">
        <v>217</v>
      </c>
    </row>
    <row r="259" spans="1:8" ht="19.8" customHeight="1" x14ac:dyDescent="0.3">
      <c r="A259" s="132">
        <v>45986</v>
      </c>
      <c r="B259" s="120" t="s">
        <v>86</v>
      </c>
      <c r="C259" s="121" t="s">
        <v>108</v>
      </c>
      <c r="D259" s="120" t="s">
        <v>1</v>
      </c>
      <c r="E259" s="133">
        <v>1.302083333333333</v>
      </c>
      <c r="F259" s="120" t="s">
        <v>91</v>
      </c>
      <c r="G259" s="122">
        <v>4</v>
      </c>
      <c r="H259" s="134" t="s">
        <v>217</v>
      </c>
    </row>
    <row r="260" spans="1:8" ht="19.8" customHeight="1" x14ac:dyDescent="0.3">
      <c r="A260" s="132">
        <v>45986</v>
      </c>
      <c r="B260" s="120" t="s">
        <v>86</v>
      </c>
      <c r="C260" s="121" t="s">
        <v>110</v>
      </c>
      <c r="D260" s="120" t="s">
        <v>1</v>
      </c>
      <c r="E260" s="133">
        <v>1.1284722222222221</v>
      </c>
      <c r="F260" s="120" t="s">
        <v>91</v>
      </c>
      <c r="G260" s="122">
        <v>4</v>
      </c>
      <c r="H260" s="134" t="s">
        <v>217</v>
      </c>
    </row>
    <row r="261" spans="1:8" ht="19.8" customHeight="1" x14ac:dyDescent="0.3">
      <c r="A261" s="132">
        <v>45986</v>
      </c>
      <c r="B261" s="120" t="s">
        <v>86</v>
      </c>
      <c r="C261" s="121" t="s">
        <v>111</v>
      </c>
      <c r="D261" s="120" t="s">
        <v>1</v>
      </c>
      <c r="E261" s="133">
        <v>1.788194444444444</v>
      </c>
      <c r="F261" s="120" t="s">
        <v>91</v>
      </c>
      <c r="G261" s="122">
        <v>4</v>
      </c>
      <c r="H261" s="134" t="s">
        <v>217</v>
      </c>
    </row>
    <row r="262" spans="1:8" ht="19.8" customHeight="1" x14ac:dyDescent="0.3">
      <c r="A262" s="132">
        <v>45986</v>
      </c>
      <c r="B262" s="120" t="s">
        <v>112</v>
      </c>
      <c r="C262" s="121" t="s">
        <v>113</v>
      </c>
      <c r="D262" s="120" t="s">
        <v>1</v>
      </c>
      <c r="E262" s="133">
        <v>1.2777777777777779</v>
      </c>
      <c r="F262" s="120" t="s">
        <v>114</v>
      </c>
      <c r="G262" s="122">
        <v>9</v>
      </c>
      <c r="H262" s="134" t="s">
        <v>245</v>
      </c>
    </row>
    <row r="263" spans="1:8" ht="19.8" customHeight="1" x14ac:dyDescent="0.3">
      <c r="A263" s="132">
        <v>45986</v>
      </c>
      <c r="B263" s="120" t="s">
        <v>112</v>
      </c>
      <c r="C263" s="121" t="s">
        <v>126</v>
      </c>
      <c r="D263" s="120" t="s">
        <v>1</v>
      </c>
      <c r="E263" s="133">
        <v>1.774305555555556</v>
      </c>
      <c r="F263" s="120" t="s">
        <v>114</v>
      </c>
      <c r="G263" s="122">
        <v>9</v>
      </c>
      <c r="H263" s="134" t="s">
        <v>127</v>
      </c>
    </row>
    <row r="264" spans="1:8" ht="19.8" customHeight="1" x14ac:dyDescent="0.3">
      <c r="A264" s="135">
        <v>45986</v>
      </c>
      <c r="B264" s="136" t="s">
        <v>68</v>
      </c>
      <c r="C264" s="137" t="s">
        <v>200</v>
      </c>
      <c r="D264" s="136" t="s">
        <v>1</v>
      </c>
      <c r="E264" s="138">
        <v>1.5590277777777779</v>
      </c>
      <c r="F264" s="136" t="s">
        <v>82</v>
      </c>
      <c r="G264" s="136"/>
      <c r="H264" s="139" t="s">
        <v>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6"/>
  <sheetViews>
    <sheetView workbookViewId="0"/>
  </sheetViews>
  <sheetFormatPr defaultRowHeight="14.4" x14ac:dyDescent="0.3"/>
  <cols>
    <col min="1" max="1" width="10.33203125" bestFit="1" customWidth="1"/>
    <col min="2" max="2" width="9.5546875" bestFit="1" customWidth="1"/>
    <col min="3" max="3" width="15" customWidth="1"/>
    <col min="4" max="4" width="10" customWidth="1"/>
    <col min="5" max="5" width="9.5546875" bestFit="1" customWidth="1"/>
    <col min="6" max="6" width="9" bestFit="1" customWidth="1"/>
    <col min="7" max="7" width="15.21875" bestFit="1" customWidth="1"/>
    <col min="8" max="8" width="15.6640625" bestFit="1" customWidth="1"/>
    <col min="9" max="9" width="14.109375" hidden="1" customWidth="1"/>
    <col min="10" max="10" width="9.44140625" bestFit="1" customWidth="1"/>
    <col min="11" max="11" width="8.33203125" bestFit="1" customWidth="1"/>
    <col min="12" max="12" width="7.5546875" bestFit="1" customWidth="1"/>
    <col min="13" max="13" width="11.21875" bestFit="1" customWidth="1"/>
    <col min="14" max="14" width="16.5546875" bestFit="1" customWidth="1"/>
  </cols>
  <sheetData>
    <row r="1" spans="1:14" x14ac:dyDescent="0.3">
      <c r="A1" s="140" t="s">
        <v>408</v>
      </c>
      <c r="B1" s="140" t="s">
        <v>409</v>
      </c>
      <c r="C1" s="140" t="s">
        <v>410</v>
      </c>
      <c r="D1" s="140" t="s">
        <v>411</v>
      </c>
      <c r="E1" s="140" t="s">
        <v>412</v>
      </c>
      <c r="F1" s="140" t="s">
        <v>413</v>
      </c>
      <c r="G1" s="140" t="s">
        <v>414</v>
      </c>
      <c r="H1" s="140" t="s">
        <v>415</v>
      </c>
      <c r="I1" s="140" t="s">
        <v>416</v>
      </c>
      <c r="J1" s="140" t="s">
        <v>417</v>
      </c>
      <c r="K1" s="140" t="s">
        <v>418</v>
      </c>
      <c r="L1" s="140" t="s">
        <v>419</v>
      </c>
      <c r="M1" s="140" t="s">
        <v>420</v>
      </c>
      <c r="N1" s="140" t="s">
        <v>421</v>
      </c>
    </row>
    <row r="2" spans="1:14" x14ac:dyDescent="0.3">
      <c r="A2" t="s">
        <v>392</v>
      </c>
      <c r="B2" t="s">
        <v>393</v>
      </c>
      <c r="C2" t="s">
        <v>26</v>
      </c>
      <c r="D2" t="s">
        <v>27</v>
      </c>
      <c r="E2">
        <v>639</v>
      </c>
      <c r="F2" t="s">
        <v>422</v>
      </c>
      <c r="G2">
        <v>15</v>
      </c>
      <c r="H2">
        <v>-6.39</v>
      </c>
      <c r="I2">
        <v>2.25</v>
      </c>
      <c r="J2">
        <v>-4.1399999999999997</v>
      </c>
      <c r="K2" t="s">
        <v>69</v>
      </c>
      <c r="L2">
        <v>-3.52</v>
      </c>
      <c r="M2" s="141">
        <v>-0.62</v>
      </c>
      <c r="N2" s="142" t="s">
        <v>423</v>
      </c>
    </row>
    <row r="3" spans="1:14" x14ac:dyDescent="0.3">
      <c r="A3" t="s">
        <v>392</v>
      </c>
      <c r="B3" t="s">
        <v>395</v>
      </c>
      <c r="C3" t="s">
        <v>38</v>
      </c>
      <c r="D3" t="s">
        <v>39</v>
      </c>
      <c r="E3">
        <v>669</v>
      </c>
      <c r="F3" t="s">
        <v>422</v>
      </c>
      <c r="G3">
        <v>20</v>
      </c>
      <c r="H3">
        <v>-6.69</v>
      </c>
      <c r="I3">
        <v>3</v>
      </c>
      <c r="J3">
        <v>-3.69</v>
      </c>
      <c r="K3" t="s">
        <v>69</v>
      </c>
      <c r="L3">
        <v>-3.52</v>
      </c>
      <c r="M3" s="141">
        <v>-0.17</v>
      </c>
      <c r="N3" s="142" t="s">
        <v>423</v>
      </c>
    </row>
    <row r="4" spans="1:14" x14ac:dyDescent="0.3">
      <c r="A4" t="s">
        <v>392</v>
      </c>
      <c r="B4" t="s">
        <v>397</v>
      </c>
      <c r="C4" t="s">
        <v>38</v>
      </c>
      <c r="D4" t="s">
        <v>45</v>
      </c>
      <c r="E4">
        <v>669</v>
      </c>
      <c r="F4" t="s">
        <v>422</v>
      </c>
      <c r="G4">
        <v>20</v>
      </c>
      <c r="H4">
        <v>-6.69</v>
      </c>
      <c r="I4">
        <v>3</v>
      </c>
      <c r="J4">
        <v>-3.69</v>
      </c>
      <c r="K4" t="s">
        <v>76</v>
      </c>
      <c r="L4">
        <v>-4.66</v>
      </c>
      <c r="M4" s="141">
        <v>0.97</v>
      </c>
      <c r="N4" s="143" t="s">
        <v>424</v>
      </c>
    </row>
    <row r="5" spans="1:14" x14ac:dyDescent="0.3">
      <c r="A5" t="s">
        <v>392</v>
      </c>
      <c r="B5" t="s">
        <v>398</v>
      </c>
      <c r="C5" t="s">
        <v>38</v>
      </c>
      <c r="D5" t="s">
        <v>46</v>
      </c>
      <c r="E5">
        <v>669</v>
      </c>
      <c r="F5" t="s">
        <v>422</v>
      </c>
      <c r="G5">
        <v>20</v>
      </c>
      <c r="H5">
        <v>-6.69</v>
      </c>
      <c r="I5">
        <v>3</v>
      </c>
      <c r="J5">
        <v>-3.69</v>
      </c>
      <c r="K5" t="s">
        <v>76</v>
      </c>
      <c r="L5">
        <v>-4.66</v>
      </c>
      <c r="M5" s="141">
        <v>0.97</v>
      </c>
      <c r="N5" s="143" t="s">
        <v>424</v>
      </c>
    </row>
    <row r="6" spans="1:14" x14ac:dyDescent="0.3">
      <c r="A6" t="s">
        <v>392</v>
      </c>
      <c r="B6" t="s">
        <v>399</v>
      </c>
      <c r="C6" t="s">
        <v>52</v>
      </c>
      <c r="D6" t="s">
        <v>53</v>
      </c>
      <c r="E6">
        <v>671</v>
      </c>
      <c r="F6" t="s">
        <v>422</v>
      </c>
      <c r="G6">
        <v>30</v>
      </c>
      <c r="H6">
        <v>-6.71</v>
      </c>
      <c r="I6">
        <v>4.5</v>
      </c>
      <c r="J6">
        <v>-2.21</v>
      </c>
      <c r="K6" t="s">
        <v>69</v>
      </c>
      <c r="L6">
        <v>-3.52</v>
      </c>
      <c r="M6" s="141">
        <v>1.31</v>
      </c>
      <c r="N6" s="144" t="s">
        <v>425</v>
      </c>
    </row>
    <row r="7" spans="1:14" x14ac:dyDescent="0.3">
      <c r="A7" t="s">
        <v>392</v>
      </c>
      <c r="B7" t="s">
        <v>402</v>
      </c>
      <c r="C7" t="s">
        <v>26</v>
      </c>
      <c r="D7" t="s">
        <v>36</v>
      </c>
      <c r="E7">
        <v>689</v>
      </c>
      <c r="F7" t="s">
        <v>422</v>
      </c>
      <c r="G7">
        <v>15</v>
      </c>
      <c r="H7">
        <v>-6.89</v>
      </c>
      <c r="I7">
        <v>2.25</v>
      </c>
      <c r="J7">
        <v>-4.6399999999999997</v>
      </c>
      <c r="K7" t="s">
        <v>76</v>
      </c>
      <c r="L7">
        <v>-4.66</v>
      </c>
      <c r="M7" s="141">
        <v>0.02</v>
      </c>
      <c r="N7" s="143" t="s">
        <v>424</v>
      </c>
    </row>
    <row r="8" spans="1:14" x14ac:dyDescent="0.3">
      <c r="A8" t="s">
        <v>392</v>
      </c>
      <c r="B8" t="s">
        <v>403</v>
      </c>
      <c r="C8" t="s">
        <v>59</v>
      </c>
      <c r="D8" t="s">
        <v>60</v>
      </c>
      <c r="E8">
        <v>691</v>
      </c>
      <c r="F8" t="s">
        <v>422</v>
      </c>
      <c r="G8">
        <v>30</v>
      </c>
      <c r="H8">
        <v>-6.91</v>
      </c>
      <c r="I8">
        <v>4.5</v>
      </c>
      <c r="J8">
        <v>-2.41</v>
      </c>
      <c r="K8" t="s">
        <v>76</v>
      </c>
      <c r="L8">
        <v>-4.66</v>
      </c>
      <c r="M8" s="141">
        <v>2.25</v>
      </c>
      <c r="N8" s="144" t="s">
        <v>425</v>
      </c>
    </row>
    <row r="9" spans="1:14" x14ac:dyDescent="0.3">
      <c r="A9" t="s">
        <v>392</v>
      </c>
      <c r="B9" t="s">
        <v>404</v>
      </c>
      <c r="C9" t="s">
        <v>38</v>
      </c>
      <c r="D9" t="s">
        <v>48</v>
      </c>
      <c r="E9">
        <v>719</v>
      </c>
      <c r="F9" t="s">
        <v>422</v>
      </c>
      <c r="G9">
        <v>20</v>
      </c>
      <c r="H9">
        <v>-7.19</v>
      </c>
      <c r="I9">
        <v>3</v>
      </c>
      <c r="J9">
        <v>-4.1900000000000004</v>
      </c>
      <c r="K9" t="s">
        <v>76</v>
      </c>
      <c r="L9">
        <v>-4.66</v>
      </c>
      <c r="M9" s="141">
        <v>0.47</v>
      </c>
      <c r="N9" s="143" t="s">
        <v>424</v>
      </c>
    </row>
    <row r="10" spans="1:14" x14ac:dyDescent="0.3">
      <c r="A10" t="s">
        <v>392</v>
      </c>
      <c r="B10" t="s">
        <v>405</v>
      </c>
      <c r="C10" t="s">
        <v>38</v>
      </c>
      <c r="D10" t="s">
        <v>50</v>
      </c>
      <c r="E10">
        <v>719</v>
      </c>
      <c r="F10" t="s">
        <v>422</v>
      </c>
      <c r="G10">
        <v>20</v>
      </c>
      <c r="H10">
        <v>-7.19</v>
      </c>
      <c r="I10">
        <v>3</v>
      </c>
      <c r="J10">
        <v>-4.1900000000000004</v>
      </c>
      <c r="K10" t="s">
        <v>76</v>
      </c>
      <c r="L10">
        <v>-4.66</v>
      </c>
      <c r="M10" s="141">
        <v>0.47</v>
      </c>
      <c r="N10" s="143" t="s">
        <v>424</v>
      </c>
    </row>
    <row r="11" spans="1:14" x14ac:dyDescent="0.3">
      <c r="A11" t="s">
        <v>392</v>
      </c>
      <c r="B11" t="s">
        <v>407</v>
      </c>
      <c r="C11" t="s">
        <v>64</v>
      </c>
      <c r="D11" t="s">
        <v>65</v>
      </c>
      <c r="E11">
        <v>835</v>
      </c>
      <c r="F11" t="s">
        <v>422</v>
      </c>
      <c r="G11">
        <v>30</v>
      </c>
      <c r="H11">
        <v>-8.35</v>
      </c>
      <c r="I11">
        <v>4.5</v>
      </c>
      <c r="J11">
        <v>-3.85</v>
      </c>
      <c r="K11" t="s">
        <v>69</v>
      </c>
      <c r="L11">
        <v>-3.52</v>
      </c>
      <c r="M11" s="141">
        <v>-0.33</v>
      </c>
      <c r="N11" s="142" t="s">
        <v>423</v>
      </c>
    </row>
    <row r="12" spans="1:14" x14ac:dyDescent="0.3">
      <c r="A12" t="s">
        <v>392</v>
      </c>
      <c r="B12" t="s">
        <v>426</v>
      </c>
      <c r="C12" t="s">
        <v>86</v>
      </c>
      <c r="D12" t="s">
        <v>94</v>
      </c>
      <c r="E12">
        <v>1326</v>
      </c>
      <c r="F12" t="s">
        <v>422</v>
      </c>
      <c r="G12">
        <v>92</v>
      </c>
      <c r="H12">
        <v>-13.26</v>
      </c>
      <c r="I12">
        <v>13.8</v>
      </c>
      <c r="J12">
        <v>0.54</v>
      </c>
      <c r="K12" t="s">
        <v>76</v>
      </c>
      <c r="L12">
        <v>-4.66</v>
      </c>
      <c r="M12" s="141">
        <v>5.2</v>
      </c>
      <c r="N12" s="144" t="s">
        <v>425</v>
      </c>
    </row>
    <row r="13" spans="1:14" x14ac:dyDescent="0.3">
      <c r="A13" t="s">
        <v>392</v>
      </c>
      <c r="B13" t="s">
        <v>340</v>
      </c>
      <c r="C13" t="s">
        <v>86</v>
      </c>
      <c r="D13" t="s">
        <v>96</v>
      </c>
      <c r="E13">
        <v>1326</v>
      </c>
      <c r="F13" t="s">
        <v>422</v>
      </c>
      <c r="G13">
        <v>92</v>
      </c>
      <c r="H13">
        <v>-13.26</v>
      </c>
      <c r="I13">
        <v>13.8</v>
      </c>
      <c r="J13">
        <v>0.54</v>
      </c>
      <c r="K13" t="s">
        <v>69</v>
      </c>
      <c r="L13">
        <v>-3.52</v>
      </c>
      <c r="M13" s="141">
        <v>4.0599999999999996</v>
      </c>
      <c r="N13" s="144" t="s">
        <v>425</v>
      </c>
    </row>
    <row r="14" spans="1:14" x14ac:dyDescent="0.3">
      <c r="A14" t="s">
        <v>392</v>
      </c>
      <c r="B14" t="s">
        <v>427</v>
      </c>
      <c r="C14" t="s">
        <v>86</v>
      </c>
      <c r="D14" t="s">
        <v>97</v>
      </c>
      <c r="E14">
        <v>1326</v>
      </c>
      <c r="F14" t="s">
        <v>422</v>
      </c>
      <c r="G14">
        <v>92</v>
      </c>
      <c r="H14">
        <v>-13.26</v>
      </c>
      <c r="I14">
        <v>13.8</v>
      </c>
      <c r="J14">
        <v>0.54</v>
      </c>
      <c r="K14" t="s">
        <v>69</v>
      </c>
      <c r="L14">
        <v>-3.52</v>
      </c>
      <c r="M14" s="141">
        <v>4.0599999999999996</v>
      </c>
      <c r="N14" s="144" t="s">
        <v>425</v>
      </c>
    </row>
    <row r="15" spans="1:14" x14ac:dyDescent="0.3">
      <c r="A15" t="s">
        <v>392</v>
      </c>
      <c r="B15" t="s">
        <v>428</v>
      </c>
      <c r="C15" t="s">
        <v>86</v>
      </c>
      <c r="D15" t="s">
        <v>98</v>
      </c>
      <c r="E15">
        <v>1326</v>
      </c>
      <c r="F15" t="s">
        <v>422</v>
      </c>
      <c r="G15">
        <v>92</v>
      </c>
      <c r="H15">
        <v>-13.26</v>
      </c>
      <c r="I15">
        <v>13.8</v>
      </c>
      <c r="J15">
        <v>0.54</v>
      </c>
      <c r="K15" t="s">
        <v>164</v>
      </c>
      <c r="L15">
        <v>-0.46</v>
      </c>
      <c r="M15" s="141">
        <v>1</v>
      </c>
      <c r="N15" s="143" t="s">
        <v>424</v>
      </c>
    </row>
    <row r="16" spans="1:14" x14ac:dyDescent="0.3">
      <c r="A16" t="s">
        <v>392</v>
      </c>
      <c r="B16" t="s">
        <v>429</v>
      </c>
      <c r="C16" t="s">
        <v>86</v>
      </c>
      <c r="D16" t="s">
        <v>99</v>
      </c>
      <c r="E16">
        <v>1719</v>
      </c>
      <c r="F16" t="s">
        <v>422</v>
      </c>
      <c r="G16">
        <v>92</v>
      </c>
      <c r="H16">
        <v>-17.190000000000001</v>
      </c>
      <c r="I16">
        <v>13.8</v>
      </c>
      <c r="J16">
        <v>-3.39</v>
      </c>
      <c r="K16" t="s">
        <v>69</v>
      </c>
      <c r="L16">
        <v>-3.52</v>
      </c>
      <c r="M16" s="141">
        <v>0.13</v>
      </c>
      <c r="N16" s="143" t="s">
        <v>424</v>
      </c>
    </row>
    <row r="17" spans="1:14" x14ac:dyDescent="0.3">
      <c r="A17" t="s">
        <v>392</v>
      </c>
      <c r="B17" t="s">
        <v>402</v>
      </c>
      <c r="C17" t="s">
        <v>86</v>
      </c>
      <c r="D17" t="s">
        <v>111</v>
      </c>
      <c r="E17">
        <v>1944</v>
      </c>
      <c r="F17" t="s">
        <v>422</v>
      </c>
      <c r="G17">
        <v>92</v>
      </c>
      <c r="H17">
        <v>-19.440000000000001</v>
      </c>
      <c r="I17">
        <v>13.8</v>
      </c>
      <c r="J17">
        <v>-5.64</v>
      </c>
      <c r="K17" t="s">
        <v>76</v>
      </c>
      <c r="L17">
        <v>-4.66</v>
      </c>
      <c r="M17" s="141">
        <v>-0.98</v>
      </c>
      <c r="N17" s="142" t="s">
        <v>423</v>
      </c>
    </row>
    <row r="18" spans="1:14" x14ac:dyDescent="0.3">
      <c r="A18" t="s">
        <v>430</v>
      </c>
      <c r="B18" t="s">
        <v>431</v>
      </c>
      <c r="C18" t="s">
        <v>64</v>
      </c>
      <c r="D18" t="s">
        <v>65</v>
      </c>
      <c r="E18">
        <v>595</v>
      </c>
      <c r="F18" t="s">
        <v>422</v>
      </c>
      <c r="G18">
        <v>30</v>
      </c>
      <c r="H18">
        <v>-5.95</v>
      </c>
      <c r="I18">
        <v>4.5</v>
      </c>
      <c r="J18">
        <v>-1.45</v>
      </c>
      <c r="K18" t="s">
        <v>172</v>
      </c>
      <c r="L18">
        <v>-0.46</v>
      </c>
      <c r="M18" s="141">
        <v>-0.99</v>
      </c>
      <c r="N18" s="142" t="s">
        <v>423</v>
      </c>
    </row>
    <row r="19" spans="1:14" x14ac:dyDescent="0.3">
      <c r="A19" t="s">
        <v>430</v>
      </c>
      <c r="B19" t="s">
        <v>405</v>
      </c>
      <c r="C19" t="s">
        <v>38</v>
      </c>
      <c r="D19" t="s">
        <v>50</v>
      </c>
      <c r="E19">
        <v>689</v>
      </c>
      <c r="F19" t="s">
        <v>422</v>
      </c>
      <c r="G19">
        <v>30</v>
      </c>
      <c r="H19">
        <v>-6.89</v>
      </c>
      <c r="I19">
        <v>4.5</v>
      </c>
      <c r="J19">
        <v>-2.39</v>
      </c>
      <c r="K19" t="s">
        <v>174</v>
      </c>
      <c r="L19">
        <v>-1.81</v>
      </c>
      <c r="M19" s="141">
        <v>-0.57999999999999996</v>
      </c>
      <c r="N19" s="142" t="s">
        <v>423</v>
      </c>
    </row>
    <row r="20" spans="1:14" x14ac:dyDescent="0.3">
      <c r="A20" t="s">
        <v>430</v>
      </c>
      <c r="B20" t="s">
        <v>395</v>
      </c>
      <c r="C20" t="s">
        <v>38</v>
      </c>
      <c r="D20" t="s">
        <v>39</v>
      </c>
      <c r="E20">
        <v>739</v>
      </c>
      <c r="F20" t="s">
        <v>422</v>
      </c>
      <c r="G20">
        <v>80</v>
      </c>
      <c r="H20">
        <v>-7.39</v>
      </c>
      <c r="I20">
        <v>12</v>
      </c>
      <c r="J20">
        <v>4.6100000000000003</v>
      </c>
      <c r="K20" t="s">
        <v>172</v>
      </c>
      <c r="L20">
        <v>-0.46</v>
      </c>
      <c r="M20" s="141">
        <v>5.07</v>
      </c>
      <c r="N20" s="144" t="s">
        <v>425</v>
      </c>
    </row>
    <row r="21" spans="1:14" x14ac:dyDescent="0.3">
      <c r="A21" t="s">
        <v>430</v>
      </c>
      <c r="B21" t="s">
        <v>396</v>
      </c>
      <c r="C21" t="s">
        <v>38</v>
      </c>
      <c r="D21" t="s">
        <v>43</v>
      </c>
      <c r="E21">
        <v>739</v>
      </c>
      <c r="F21" t="s">
        <v>422</v>
      </c>
      <c r="G21">
        <v>80</v>
      </c>
      <c r="H21">
        <v>-7.39</v>
      </c>
      <c r="I21">
        <v>12</v>
      </c>
      <c r="J21">
        <v>4.6100000000000003</v>
      </c>
      <c r="K21" t="s">
        <v>199</v>
      </c>
      <c r="L21">
        <v>0.74</v>
      </c>
      <c r="M21" s="141">
        <v>3.87</v>
      </c>
      <c r="N21" s="144" t="s">
        <v>425</v>
      </c>
    </row>
    <row r="22" spans="1:14" x14ac:dyDescent="0.3">
      <c r="A22" t="s">
        <v>430</v>
      </c>
      <c r="B22" t="s">
        <v>397</v>
      </c>
      <c r="C22" t="s">
        <v>38</v>
      </c>
      <c r="D22" t="s">
        <v>45</v>
      </c>
      <c r="E22">
        <v>739</v>
      </c>
      <c r="F22" t="s">
        <v>422</v>
      </c>
      <c r="G22">
        <v>80</v>
      </c>
      <c r="H22">
        <v>-7.39</v>
      </c>
      <c r="I22">
        <v>12</v>
      </c>
      <c r="J22">
        <v>4.6100000000000003</v>
      </c>
      <c r="K22" t="s">
        <v>199</v>
      </c>
      <c r="L22">
        <v>0.74</v>
      </c>
      <c r="M22" s="141">
        <v>3.87</v>
      </c>
      <c r="N22" s="144" t="s">
        <v>425</v>
      </c>
    </row>
    <row r="23" spans="1:14" x14ac:dyDescent="0.3">
      <c r="A23" t="s">
        <v>430</v>
      </c>
      <c r="B23" t="s">
        <v>398</v>
      </c>
      <c r="C23" t="s">
        <v>38</v>
      </c>
      <c r="D23" t="s">
        <v>46</v>
      </c>
      <c r="E23">
        <v>739</v>
      </c>
      <c r="F23" t="s">
        <v>422</v>
      </c>
      <c r="G23">
        <v>80</v>
      </c>
      <c r="H23">
        <v>-7.39</v>
      </c>
      <c r="I23">
        <v>12</v>
      </c>
      <c r="J23">
        <v>4.6100000000000003</v>
      </c>
      <c r="K23" t="s">
        <v>78</v>
      </c>
      <c r="L23">
        <v>4.5</v>
      </c>
      <c r="M23" s="141">
        <v>0.11</v>
      </c>
      <c r="N23" s="143" t="s">
        <v>424</v>
      </c>
    </row>
    <row r="24" spans="1:14" x14ac:dyDescent="0.3">
      <c r="A24" t="s">
        <v>430</v>
      </c>
      <c r="B24" t="s">
        <v>432</v>
      </c>
      <c r="C24" t="s">
        <v>52</v>
      </c>
      <c r="D24" t="s">
        <v>57</v>
      </c>
      <c r="E24">
        <v>740</v>
      </c>
      <c r="F24" t="s">
        <v>422</v>
      </c>
      <c r="G24">
        <v>80</v>
      </c>
      <c r="H24">
        <v>-7.4</v>
      </c>
      <c r="I24">
        <v>12</v>
      </c>
      <c r="J24">
        <v>4.5999999999999996</v>
      </c>
      <c r="K24" t="s">
        <v>169</v>
      </c>
      <c r="L24">
        <v>-0.46</v>
      </c>
      <c r="M24" s="141">
        <v>5.0599999999999996</v>
      </c>
      <c r="N24" s="144" t="s">
        <v>425</v>
      </c>
    </row>
    <row r="25" spans="1:14" x14ac:dyDescent="0.3">
      <c r="A25" t="s">
        <v>430</v>
      </c>
      <c r="B25" t="s">
        <v>433</v>
      </c>
      <c r="C25" t="s">
        <v>38</v>
      </c>
      <c r="D25" t="s">
        <v>48</v>
      </c>
      <c r="E25">
        <v>779</v>
      </c>
      <c r="F25" t="s">
        <v>422</v>
      </c>
      <c r="G25">
        <v>80</v>
      </c>
      <c r="H25">
        <v>-7.79</v>
      </c>
      <c r="I25">
        <v>12</v>
      </c>
      <c r="J25">
        <v>4.21</v>
      </c>
      <c r="K25" t="s">
        <v>78</v>
      </c>
      <c r="L25">
        <v>4.5</v>
      </c>
      <c r="M25" s="141">
        <v>-0.28999999999999998</v>
      </c>
      <c r="N25" s="142" t="s">
        <v>423</v>
      </c>
    </row>
    <row r="26" spans="1:14" x14ac:dyDescent="0.3">
      <c r="A26" t="s">
        <v>430</v>
      </c>
      <c r="B26" t="s">
        <v>405</v>
      </c>
      <c r="C26" t="s">
        <v>38</v>
      </c>
      <c r="D26" t="s">
        <v>50</v>
      </c>
      <c r="E26">
        <v>779</v>
      </c>
      <c r="F26" t="s">
        <v>422</v>
      </c>
      <c r="G26">
        <v>80</v>
      </c>
      <c r="H26">
        <v>-7.79</v>
      </c>
      <c r="I26">
        <v>12</v>
      </c>
      <c r="J26">
        <v>4.21</v>
      </c>
      <c r="K26" t="s">
        <v>174</v>
      </c>
      <c r="L26">
        <v>-1.81</v>
      </c>
      <c r="M26" s="141">
        <v>6.02</v>
      </c>
      <c r="N26" s="144" t="s">
        <v>425</v>
      </c>
    </row>
    <row r="27" spans="1:14" x14ac:dyDescent="0.3">
      <c r="A27" t="s">
        <v>430</v>
      </c>
      <c r="B27" t="s">
        <v>406</v>
      </c>
      <c r="C27" t="s">
        <v>38</v>
      </c>
      <c r="D27" t="s">
        <v>51</v>
      </c>
      <c r="E27">
        <v>779</v>
      </c>
      <c r="F27" t="s">
        <v>422</v>
      </c>
      <c r="G27">
        <v>80</v>
      </c>
      <c r="H27">
        <v>-7.79</v>
      </c>
      <c r="I27">
        <v>12</v>
      </c>
      <c r="J27">
        <v>4.21</v>
      </c>
      <c r="K27" t="s">
        <v>169</v>
      </c>
      <c r="L27">
        <v>-0.46</v>
      </c>
      <c r="M27" s="141">
        <v>4.67</v>
      </c>
      <c r="N27" s="144" t="s">
        <v>425</v>
      </c>
    </row>
    <row r="28" spans="1:14" x14ac:dyDescent="0.3">
      <c r="A28" t="s">
        <v>430</v>
      </c>
      <c r="B28" t="s">
        <v>401</v>
      </c>
      <c r="C28" t="s">
        <v>38</v>
      </c>
      <c r="D28" t="s">
        <v>156</v>
      </c>
      <c r="E28">
        <v>779</v>
      </c>
      <c r="F28" t="s">
        <v>422</v>
      </c>
      <c r="G28">
        <v>80</v>
      </c>
      <c r="H28">
        <v>-7.79</v>
      </c>
      <c r="I28">
        <v>12</v>
      </c>
      <c r="J28">
        <v>4.21</v>
      </c>
      <c r="K28" t="s">
        <v>172</v>
      </c>
      <c r="L28">
        <v>-0.46</v>
      </c>
      <c r="M28" s="141">
        <v>4.67</v>
      </c>
      <c r="N28" s="144" t="s">
        <v>425</v>
      </c>
    </row>
    <row r="29" spans="1:14" x14ac:dyDescent="0.3">
      <c r="A29" t="s">
        <v>430</v>
      </c>
      <c r="B29" t="s">
        <v>401</v>
      </c>
      <c r="C29" t="s">
        <v>26</v>
      </c>
      <c r="D29" t="s">
        <v>33</v>
      </c>
      <c r="E29">
        <v>1099</v>
      </c>
      <c r="F29" t="s">
        <v>422</v>
      </c>
      <c r="G29">
        <v>80</v>
      </c>
      <c r="H29">
        <v>-10.99</v>
      </c>
      <c r="I29">
        <v>12</v>
      </c>
      <c r="J29">
        <v>1.01</v>
      </c>
      <c r="K29" t="s">
        <v>172</v>
      </c>
      <c r="L29">
        <v>-0.46</v>
      </c>
      <c r="M29" s="141">
        <v>1.47</v>
      </c>
      <c r="N29" s="144" t="s">
        <v>425</v>
      </c>
    </row>
    <row r="30" spans="1:14" x14ac:dyDescent="0.3">
      <c r="A30" t="s">
        <v>430</v>
      </c>
      <c r="B30" t="s">
        <v>393</v>
      </c>
      <c r="C30" t="s">
        <v>26</v>
      </c>
      <c r="D30" t="s">
        <v>27</v>
      </c>
      <c r="E30">
        <v>1099</v>
      </c>
      <c r="F30" t="s">
        <v>422</v>
      </c>
      <c r="G30">
        <v>80</v>
      </c>
      <c r="H30">
        <v>-10.99</v>
      </c>
      <c r="I30">
        <v>12</v>
      </c>
      <c r="J30">
        <v>1.01</v>
      </c>
      <c r="K30" t="s">
        <v>164</v>
      </c>
      <c r="L30">
        <v>-0.46</v>
      </c>
      <c r="M30" s="141">
        <v>1.47</v>
      </c>
      <c r="N30" s="144" t="s">
        <v>425</v>
      </c>
    </row>
    <row r="31" spans="1:14" x14ac:dyDescent="0.3">
      <c r="A31" t="s">
        <v>430</v>
      </c>
      <c r="B31" t="s">
        <v>394</v>
      </c>
      <c r="C31" t="s">
        <v>26</v>
      </c>
      <c r="D31" t="s">
        <v>31</v>
      </c>
      <c r="E31">
        <v>1099</v>
      </c>
      <c r="F31" t="s">
        <v>422</v>
      </c>
      <c r="G31">
        <v>80</v>
      </c>
      <c r="H31">
        <v>-10.99</v>
      </c>
      <c r="I31">
        <v>12</v>
      </c>
      <c r="J31">
        <v>1.01</v>
      </c>
      <c r="K31" t="s">
        <v>199</v>
      </c>
      <c r="L31">
        <v>0.74</v>
      </c>
      <c r="M31" s="141">
        <v>0.27</v>
      </c>
      <c r="N31" s="143" t="s">
        <v>424</v>
      </c>
    </row>
    <row r="32" spans="1:14" x14ac:dyDescent="0.3">
      <c r="A32" t="s">
        <v>430</v>
      </c>
      <c r="B32" t="s">
        <v>340</v>
      </c>
      <c r="C32" t="s">
        <v>86</v>
      </c>
      <c r="D32" t="s">
        <v>96</v>
      </c>
      <c r="E32">
        <v>1321</v>
      </c>
      <c r="F32" t="s">
        <v>422</v>
      </c>
      <c r="G32">
        <v>92</v>
      </c>
      <c r="H32">
        <v>-13.21</v>
      </c>
      <c r="I32">
        <v>13.8</v>
      </c>
      <c r="J32">
        <v>0.59</v>
      </c>
      <c r="K32" t="s">
        <v>164</v>
      </c>
      <c r="L32">
        <v>-0.46</v>
      </c>
      <c r="M32" s="141">
        <v>1.05</v>
      </c>
      <c r="N32" s="144" t="s">
        <v>425</v>
      </c>
    </row>
    <row r="33" spans="1:14" x14ac:dyDescent="0.3">
      <c r="A33" t="s">
        <v>430</v>
      </c>
      <c r="B33" t="s">
        <v>427</v>
      </c>
      <c r="C33" t="s">
        <v>86</v>
      </c>
      <c r="D33" t="s">
        <v>97</v>
      </c>
      <c r="E33">
        <v>1321</v>
      </c>
      <c r="F33" t="s">
        <v>422</v>
      </c>
      <c r="G33">
        <v>92</v>
      </c>
      <c r="H33">
        <v>-13.21</v>
      </c>
      <c r="I33">
        <v>13.8</v>
      </c>
      <c r="J33">
        <v>0.59</v>
      </c>
      <c r="K33" t="s">
        <v>164</v>
      </c>
      <c r="L33">
        <v>-0.46</v>
      </c>
      <c r="M33" s="141">
        <v>1.05</v>
      </c>
      <c r="N33" s="144" t="s">
        <v>425</v>
      </c>
    </row>
    <row r="34" spans="1:14" x14ac:dyDescent="0.3">
      <c r="A34" t="s">
        <v>430</v>
      </c>
      <c r="B34" t="s">
        <v>428</v>
      </c>
      <c r="C34" t="s">
        <v>86</v>
      </c>
      <c r="D34" t="s">
        <v>98</v>
      </c>
      <c r="E34">
        <v>1321</v>
      </c>
      <c r="F34" t="s">
        <v>422</v>
      </c>
      <c r="G34">
        <v>92</v>
      </c>
      <c r="H34">
        <v>-13.21</v>
      </c>
      <c r="I34">
        <v>13.8</v>
      </c>
      <c r="J34">
        <v>0.59</v>
      </c>
      <c r="K34" t="s">
        <v>199</v>
      </c>
      <c r="L34">
        <v>0.74</v>
      </c>
      <c r="M34" s="141">
        <v>-0.15</v>
      </c>
      <c r="N34" s="142" t="s">
        <v>423</v>
      </c>
    </row>
    <row r="35" spans="1:14" x14ac:dyDescent="0.3">
      <c r="A35" t="s">
        <v>434</v>
      </c>
      <c r="B35" t="s">
        <v>403</v>
      </c>
      <c r="C35" t="s">
        <v>59</v>
      </c>
      <c r="D35" t="s">
        <v>60</v>
      </c>
      <c r="E35">
        <v>401</v>
      </c>
      <c r="F35" t="s">
        <v>422</v>
      </c>
      <c r="G35">
        <v>30</v>
      </c>
      <c r="H35">
        <v>-4.01</v>
      </c>
      <c r="I35">
        <v>4.5</v>
      </c>
      <c r="J35">
        <v>0.49</v>
      </c>
      <c r="K35" t="s">
        <v>76</v>
      </c>
      <c r="L35">
        <v>0.74</v>
      </c>
      <c r="M35" s="141">
        <v>-0.25</v>
      </c>
      <c r="N35" s="142" t="s">
        <v>423</v>
      </c>
    </row>
    <row r="36" spans="1:14" x14ac:dyDescent="0.3">
      <c r="A36" t="s">
        <v>434</v>
      </c>
      <c r="B36" t="s">
        <v>435</v>
      </c>
      <c r="C36" t="s">
        <v>112</v>
      </c>
      <c r="D36" t="s">
        <v>121</v>
      </c>
      <c r="E36">
        <v>537</v>
      </c>
      <c r="F36" t="s">
        <v>422</v>
      </c>
      <c r="G36">
        <v>46</v>
      </c>
      <c r="H36">
        <v>-5.37</v>
      </c>
      <c r="I36">
        <v>6.9</v>
      </c>
      <c r="J36">
        <v>1.53</v>
      </c>
      <c r="K36" t="s">
        <v>199</v>
      </c>
      <c r="L36">
        <v>0.74</v>
      </c>
      <c r="M36" s="141">
        <v>0.79</v>
      </c>
      <c r="N36" s="143" t="s">
        <v>424</v>
      </c>
    </row>
    <row r="37" spans="1:14" x14ac:dyDescent="0.3">
      <c r="A37" t="s">
        <v>434</v>
      </c>
      <c r="B37" t="s">
        <v>436</v>
      </c>
      <c r="C37" t="s">
        <v>112</v>
      </c>
      <c r="D37" t="s">
        <v>117</v>
      </c>
      <c r="E37">
        <v>615</v>
      </c>
      <c r="F37" t="s">
        <v>422</v>
      </c>
      <c r="G37">
        <v>46</v>
      </c>
      <c r="H37">
        <v>-6.15</v>
      </c>
      <c r="I37">
        <v>6.9</v>
      </c>
      <c r="J37">
        <v>0.75</v>
      </c>
      <c r="K37" t="s">
        <v>199</v>
      </c>
      <c r="L37">
        <v>0.74</v>
      </c>
      <c r="M37" s="141">
        <v>0.01</v>
      </c>
      <c r="N37" s="143" t="s">
        <v>424</v>
      </c>
    </row>
    <row r="38" spans="1:14" x14ac:dyDescent="0.3">
      <c r="A38" t="s">
        <v>434</v>
      </c>
      <c r="B38" t="s">
        <v>396</v>
      </c>
      <c r="C38" t="s">
        <v>38</v>
      </c>
      <c r="D38" t="s">
        <v>43</v>
      </c>
      <c r="E38">
        <v>699</v>
      </c>
      <c r="F38" t="s">
        <v>422</v>
      </c>
      <c r="G38">
        <v>80</v>
      </c>
      <c r="H38">
        <v>-6.99</v>
      </c>
      <c r="I38">
        <v>12</v>
      </c>
      <c r="J38">
        <v>5.01</v>
      </c>
      <c r="K38" t="s">
        <v>174</v>
      </c>
      <c r="L38">
        <v>0.14000000000000001</v>
      </c>
      <c r="M38" s="141">
        <v>4.87</v>
      </c>
      <c r="N38" s="144" t="s">
        <v>425</v>
      </c>
    </row>
    <row r="39" spans="1:14" x14ac:dyDescent="0.3">
      <c r="A39" t="s">
        <v>434</v>
      </c>
      <c r="B39" t="s">
        <v>397</v>
      </c>
      <c r="C39" t="s">
        <v>38</v>
      </c>
      <c r="D39" t="s">
        <v>45</v>
      </c>
      <c r="E39">
        <v>699</v>
      </c>
      <c r="F39" t="s">
        <v>422</v>
      </c>
      <c r="G39">
        <v>80</v>
      </c>
      <c r="H39">
        <v>-6.99</v>
      </c>
      <c r="I39">
        <v>12</v>
      </c>
      <c r="J39">
        <v>5.01</v>
      </c>
      <c r="K39" t="s">
        <v>174</v>
      </c>
      <c r="L39">
        <v>0.14000000000000001</v>
      </c>
      <c r="M39" s="141">
        <v>4.87</v>
      </c>
      <c r="N39" s="144" t="s">
        <v>425</v>
      </c>
    </row>
    <row r="40" spans="1:14" x14ac:dyDescent="0.3">
      <c r="A40" t="s">
        <v>434</v>
      </c>
      <c r="B40" t="s">
        <v>398</v>
      </c>
      <c r="C40" t="s">
        <v>38</v>
      </c>
      <c r="D40" t="s">
        <v>46</v>
      </c>
      <c r="E40">
        <v>699</v>
      </c>
      <c r="F40" t="s">
        <v>422</v>
      </c>
      <c r="G40">
        <v>80</v>
      </c>
      <c r="H40">
        <v>-6.99</v>
      </c>
      <c r="I40">
        <v>12</v>
      </c>
      <c r="J40">
        <v>5.01</v>
      </c>
      <c r="K40" t="s">
        <v>174</v>
      </c>
      <c r="L40">
        <v>0.14000000000000001</v>
      </c>
      <c r="M40" s="141">
        <v>4.87</v>
      </c>
      <c r="N40" s="144" t="s">
        <v>425</v>
      </c>
    </row>
    <row r="41" spans="1:14" x14ac:dyDescent="0.3">
      <c r="A41" t="s">
        <v>434</v>
      </c>
      <c r="B41" t="s">
        <v>437</v>
      </c>
      <c r="C41" t="s">
        <v>52</v>
      </c>
      <c r="D41" t="s">
        <v>53</v>
      </c>
      <c r="E41">
        <v>699</v>
      </c>
      <c r="F41" t="s">
        <v>422</v>
      </c>
      <c r="G41">
        <v>80</v>
      </c>
      <c r="H41">
        <v>-6.99</v>
      </c>
      <c r="I41">
        <v>12</v>
      </c>
      <c r="J41">
        <v>5.01</v>
      </c>
      <c r="K41" t="s">
        <v>199</v>
      </c>
      <c r="L41">
        <v>0.74</v>
      </c>
      <c r="M41" s="141">
        <v>4.2699999999999996</v>
      </c>
      <c r="N41" s="144" t="s">
        <v>425</v>
      </c>
    </row>
    <row r="42" spans="1:14" x14ac:dyDescent="0.3">
      <c r="A42" t="s">
        <v>434</v>
      </c>
      <c r="B42" t="s">
        <v>438</v>
      </c>
      <c r="C42" t="s">
        <v>52</v>
      </c>
      <c r="D42" t="s">
        <v>57</v>
      </c>
      <c r="E42">
        <v>723</v>
      </c>
      <c r="F42" t="s">
        <v>422</v>
      </c>
      <c r="G42">
        <v>80</v>
      </c>
      <c r="H42">
        <v>-7.23</v>
      </c>
      <c r="I42">
        <v>12</v>
      </c>
      <c r="J42">
        <v>4.7699999999999996</v>
      </c>
      <c r="K42" t="s">
        <v>81</v>
      </c>
      <c r="L42">
        <v>4.5</v>
      </c>
      <c r="M42" s="141">
        <v>0.27</v>
      </c>
      <c r="N42" s="143" t="s">
        <v>424</v>
      </c>
    </row>
    <row r="43" spans="1:14" x14ac:dyDescent="0.3">
      <c r="A43" t="s">
        <v>434</v>
      </c>
      <c r="B43" t="s">
        <v>395</v>
      </c>
      <c r="C43" t="s">
        <v>38</v>
      </c>
      <c r="D43" t="s">
        <v>39</v>
      </c>
      <c r="E43">
        <v>739</v>
      </c>
      <c r="F43" t="s">
        <v>422</v>
      </c>
      <c r="G43">
        <v>80</v>
      </c>
      <c r="H43">
        <v>-7.39</v>
      </c>
      <c r="I43">
        <v>12</v>
      </c>
      <c r="J43">
        <v>4.6100000000000003</v>
      </c>
      <c r="K43" t="s">
        <v>81</v>
      </c>
      <c r="L43">
        <v>4.5</v>
      </c>
      <c r="M43" s="141">
        <v>0.11</v>
      </c>
      <c r="N43" s="143" t="s">
        <v>424</v>
      </c>
    </row>
    <row r="44" spans="1:14" x14ac:dyDescent="0.3">
      <c r="A44" t="s">
        <v>434</v>
      </c>
      <c r="B44" t="s">
        <v>433</v>
      </c>
      <c r="C44" t="s">
        <v>38</v>
      </c>
      <c r="D44" t="s">
        <v>48</v>
      </c>
      <c r="E44">
        <v>739</v>
      </c>
      <c r="F44" t="s">
        <v>422</v>
      </c>
      <c r="G44">
        <v>80</v>
      </c>
      <c r="H44">
        <v>-7.39</v>
      </c>
      <c r="I44">
        <v>12</v>
      </c>
      <c r="J44">
        <v>4.6100000000000003</v>
      </c>
      <c r="K44" t="s">
        <v>76</v>
      </c>
      <c r="L44">
        <v>0.74</v>
      </c>
      <c r="M44" s="141">
        <v>3.87</v>
      </c>
      <c r="N44" s="144" t="s">
        <v>425</v>
      </c>
    </row>
    <row r="45" spans="1:14" x14ac:dyDescent="0.3">
      <c r="A45" t="s">
        <v>434</v>
      </c>
      <c r="B45" t="s">
        <v>405</v>
      </c>
      <c r="C45" t="s">
        <v>38</v>
      </c>
      <c r="D45" t="s">
        <v>50</v>
      </c>
      <c r="E45">
        <v>739</v>
      </c>
      <c r="F45" t="s">
        <v>422</v>
      </c>
      <c r="G45">
        <v>80</v>
      </c>
      <c r="H45">
        <v>-7.39</v>
      </c>
      <c r="I45">
        <v>12</v>
      </c>
      <c r="J45">
        <v>4.6100000000000003</v>
      </c>
      <c r="K45" t="s">
        <v>81</v>
      </c>
      <c r="L45">
        <v>4.5</v>
      </c>
      <c r="M45" s="141">
        <v>0.11</v>
      </c>
      <c r="N45" s="143" t="s">
        <v>424</v>
      </c>
    </row>
    <row r="46" spans="1:14" x14ac:dyDescent="0.3">
      <c r="A46" t="s">
        <v>434</v>
      </c>
      <c r="B46" t="s">
        <v>406</v>
      </c>
      <c r="C46" t="s">
        <v>38</v>
      </c>
      <c r="D46" t="s">
        <v>51</v>
      </c>
      <c r="E46">
        <v>739</v>
      </c>
      <c r="F46" t="s">
        <v>422</v>
      </c>
      <c r="G46">
        <v>80</v>
      </c>
      <c r="H46">
        <v>-7.39</v>
      </c>
      <c r="I46">
        <v>12</v>
      </c>
      <c r="J46">
        <v>4.6100000000000003</v>
      </c>
      <c r="K46" t="s">
        <v>81</v>
      </c>
      <c r="L46">
        <v>4.5</v>
      </c>
      <c r="M46" s="141">
        <v>0.11</v>
      </c>
      <c r="N46" s="143" t="s">
        <v>424</v>
      </c>
    </row>
    <row r="47" spans="1:14" x14ac:dyDescent="0.3">
      <c r="A47" t="s">
        <v>434</v>
      </c>
      <c r="B47" t="s">
        <v>439</v>
      </c>
      <c r="C47" t="s">
        <v>38</v>
      </c>
      <c r="D47" t="s">
        <v>156</v>
      </c>
      <c r="E47">
        <v>739</v>
      </c>
      <c r="F47" t="s">
        <v>422</v>
      </c>
      <c r="G47">
        <v>80</v>
      </c>
      <c r="H47">
        <v>-7.39</v>
      </c>
      <c r="I47">
        <v>12</v>
      </c>
      <c r="J47">
        <v>4.6100000000000003</v>
      </c>
      <c r="K47" t="s">
        <v>81</v>
      </c>
      <c r="L47">
        <v>4.5</v>
      </c>
      <c r="M47" s="141">
        <v>0.11</v>
      </c>
      <c r="N47" s="143" t="s">
        <v>424</v>
      </c>
    </row>
    <row r="48" spans="1:14" x14ac:dyDescent="0.3">
      <c r="A48" t="s">
        <v>434</v>
      </c>
      <c r="B48" t="s">
        <v>428</v>
      </c>
      <c r="C48" t="s">
        <v>86</v>
      </c>
      <c r="D48" t="s">
        <v>98</v>
      </c>
      <c r="E48">
        <v>980</v>
      </c>
      <c r="F48" t="s">
        <v>422</v>
      </c>
      <c r="G48">
        <v>92</v>
      </c>
      <c r="H48">
        <v>-9.8000000000000007</v>
      </c>
      <c r="I48">
        <v>13.8</v>
      </c>
      <c r="J48">
        <v>4</v>
      </c>
      <c r="K48" t="s">
        <v>174</v>
      </c>
      <c r="L48">
        <v>0.14000000000000001</v>
      </c>
      <c r="M48" s="141">
        <v>3.86</v>
      </c>
      <c r="N48" s="144" t="s">
        <v>425</v>
      </c>
    </row>
    <row r="49" spans="1:14" x14ac:dyDescent="0.3">
      <c r="A49" t="s">
        <v>434</v>
      </c>
      <c r="B49" t="s">
        <v>393</v>
      </c>
      <c r="C49" t="s">
        <v>26</v>
      </c>
      <c r="D49" t="s">
        <v>27</v>
      </c>
      <c r="E49">
        <v>1099</v>
      </c>
      <c r="F49" t="s">
        <v>422</v>
      </c>
      <c r="G49">
        <v>80</v>
      </c>
      <c r="H49">
        <v>-10.99</v>
      </c>
      <c r="I49">
        <v>12</v>
      </c>
      <c r="J49">
        <v>1.01</v>
      </c>
      <c r="K49" t="s">
        <v>199</v>
      </c>
      <c r="L49">
        <v>0.74</v>
      </c>
      <c r="M49" s="141">
        <v>0.27</v>
      </c>
      <c r="N49" s="143" t="s">
        <v>424</v>
      </c>
    </row>
    <row r="50" spans="1:14" x14ac:dyDescent="0.3">
      <c r="A50" t="s">
        <v>434</v>
      </c>
      <c r="B50" t="s">
        <v>402</v>
      </c>
      <c r="C50" t="s">
        <v>26</v>
      </c>
      <c r="D50" t="s">
        <v>36</v>
      </c>
      <c r="E50">
        <v>1099</v>
      </c>
      <c r="F50" t="s">
        <v>422</v>
      </c>
      <c r="G50">
        <v>80</v>
      </c>
      <c r="H50">
        <v>-10.99</v>
      </c>
      <c r="I50">
        <v>12</v>
      </c>
      <c r="J50">
        <v>1.01</v>
      </c>
      <c r="K50" t="s">
        <v>76</v>
      </c>
      <c r="L50">
        <v>0.74</v>
      </c>
      <c r="M50" s="141">
        <v>0.27</v>
      </c>
      <c r="N50" s="143" t="s">
        <v>424</v>
      </c>
    </row>
    <row r="51" spans="1:14" x14ac:dyDescent="0.3">
      <c r="A51" t="s">
        <v>434</v>
      </c>
      <c r="B51" t="s">
        <v>394</v>
      </c>
      <c r="C51" t="s">
        <v>26</v>
      </c>
      <c r="D51" t="s">
        <v>31</v>
      </c>
      <c r="E51">
        <v>1099</v>
      </c>
      <c r="F51" t="s">
        <v>422</v>
      </c>
      <c r="G51">
        <v>80</v>
      </c>
      <c r="H51">
        <v>-10.99</v>
      </c>
      <c r="I51">
        <v>12</v>
      </c>
      <c r="J51">
        <v>1.01</v>
      </c>
      <c r="K51" t="s">
        <v>174</v>
      </c>
      <c r="L51">
        <v>0.14000000000000001</v>
      </c>
      <c r="M51" s="141">
        <v>0.87</v>
      </c>
      <c r="N51" s="143" t="s">
        <v>424</v>
      </c>
    </row>
    <row r="52" spans="1:14" x14ac:dyDescent="0.3">
      <c r="A52" t="s">
        <v>434</v>
      </c>
      <c r="B52" t="s">
        <v>340</v>
      </c>
      <c r="C52" t="s">
        <v>86</v>
      </c>
      <c r="D52" t="s">
        <v>96</v>
      </c>
      <c r="E52">
        <v>1321</v>
      </c>
      <c r="F52" t="s">
        <v>422</v>
      </c>
      <c r="G52">
        <v>92</v>
      </c>
      <c r="H52">
        <v>-13.21</v>
      </c>
      <c r="I52">
        <v>13.8</v>
      </c>
      <c r="J52">
        <v>0.59</v>
      </c>
      <c r="K52" t="s">
        <v>199</v>
      </c>
      <c r="L52">
        <v>0.74</v>
      </c>
      <c r="M52" s="141">
        <v>-0.15</v>
      </c>
      <c r="N52" s="142" t="s">
        <v>423</v>
      </c>
    </row>
    <row r="53" spans="1:14" x14ac:dyDescent="0.3">
      <c r="A53" t="s">
        <v>434</v>
      </c>
      <c r="B53" t="s">
        <v>427</v>
      </c>
      <c r="C53" t="s">
        <v>86</v>
      </c>
      <c r="D53" t="s">
        <v>97</v>
      </c>
      <c r="E53">
        <v>1321</v>
      </c>
      <c r="F53" t="s">
        <v>422</v>
      </c>
      <c r="G53">
        <v>92</v>
      </c>
      <c r="H53">
        <v>-13.21</v>
      </c>
      <c r="I53">
        <v>13.8</v>
      </c>
      <c r="J53">
        <v>0.59</v>
      </c>
      <c r="K53" t="s">
        <v>199</v>
      </c>
      <c r="L53">
        <v>0.74</v>
      </c>
      <c r="M53" s="141">
        <v>-0.15</v>
      </c>
      <c r="N53" s="142" t="s">
        <v>423</v>
      </c>
    </row>
    <row r="54" spans="1:14" x14ac:dyDescent="0.3">
      <c r="A54" t="s">
        <v>434</v>
      </c>
      <c r="B54" t="s">
        <v>393</v>
      </c>
      <c r="C54" t="s">
        <v>86</v>
      </c>
      <c r="D54" t="s">
        <v>110</v>
      </c>
      <c r="E54">
        <v>1349</v>
      </c>
      <c r="F54" t="s">
        <v>422</v>
      </c>
      <c r="G54">
        <v>92</v>
      </c>
      <c r="H54">
        <v>-13.49</v>
      </c>
      <c r="I54">
        <v>13.8</v>
      </c>
      <c r="J54">
        <v>0.31</v>
      </c>
      <c r="K54" t="s">
        <v>199</v>
      </c>
      <c r="L54">
        <v>0.74</v>
      </c>
      <c r="M54" s="141">
        <v>-0.43</v>
      </c>
      <c r="N54" s="142" t="s">
        <v>423</v>
      </c>
    </row>
    <row r="55" spans="1:14" x14ac:dyDescent="0.3">
      <c r="A55" t="s">
        <v>440</v>
      </c>
      <c r="B55" t="s">
        <v>441</v>
      </c>
      <c r="C55" t="s">
        <v>59</v>
      </c>
      <c r="D55" t="s">
        <v>220</v>
      </c>
      <c r="E55">
        <v>401</v>
      </c>
      <c r="F55" t="s">
        <v>422</v>
      </c>
      <c r="G55">
        <v>30</v>
      </c>
      <c r="H55">
        <v>-4.01</v>
      </c>
      <c r="I55">
        <v>4.5</v>
      </c>
      <c r="J55">
        <v>0.49</v>
      </c>
      <c r="K55" t="s">
        <v>174</v>
      </c>
      <c r="L55">
        <v>0.14000000000000001</v>
      </c>
      <c r="M55" s="141">
        <v>0.35</v>
      </c>
      <c r="N55" s="143" t="s">
        <v>424</v>
      </c>
    </row>
    <row r="56" spans="1:14" x14ac:dyDescent="0.3">
      <c r="A56" t="s">
        <v>440</v>
      </c>
      <c r="B56" t="s">
        <v>396</v>
      </c>
      <c r="C56" t="s">
        <v>38</v>
      </c>
      <c r="D56" t="s">
        <v>43</v>
      </c>
      <c r="E56">
        <v>639</v>
      </c>
      <c r="F56" t="s">
        <v>422</v>
      </c>
      <c r="G56">
        <v>80</v>
      </c>
      <c r="H56">
        <v>-6.39</v>
      </c>
      <c r="I56">
        <v>12</v>
      </c>
      <c r="J56">
        <v>5.61</v>
      </c>
      <c r="K56" t="s">
        <v>164</v>
      </c>
      <c r="L56">
        <v>1.64</v>
      </c>
      <c r="M56" s="141">
        <v>3.97</v>
      </c>
      <c r="N56" s="144" t="s">
        <v>425</v>
      </c>
    </row>
    <row r="57" spans="1:14" x14ac:dyDescent="0.3">
      <c r="A57" t="s">
        <v>440</v>
      </c>
      <c r="B57" t="s">
        <v>405</v>
      </c>
      <c r="C57" t="s">
        <v>38</v>
      </c>
      <c r="D57" t="s">
        <v>50</v>
      </c>
      <c r="E57">
        <v>639</v>
      </c>
      <c r="F57" t="s">
        <v>422</v>
      </c>
      <c r="G57">
        <v>80</v>
      </c>
      <c r="H57">
        <v>-6.39</v>
      </c>
      <c r="I57">
        <v>12</v>
      </c>
      <c r="J57">
        <v>5.61</v>
      </c>
      <c r="K57" t="s">
        <v>200</v>
      </c>
      <c r="L57">
        <v>4.5</v>
      </c>
      <c r="M57" s="141">
        <v>1.1100000000000001</v>
      </c>
      <c r="N57" s="144" t="s">
        <v>425</v>
      </c>
    </row>
    <row r="58" spans="1:14" x14ac:dyDescent="0.3">
      <c r="A58" t="s">
        <v>440</v>
      </c>
      <c r="B58" t="s">
        <v>397</v>
      </c>
      <c r="C58" t="s">
        <v>38</v>
      </c>
      <c r="D58" t="s">
        <v>45</v>
      </c>
      <c r="E58">
        <v>639</v>
      </c>
      <c r="F58" t="s">
        <v>422</v>
      </c>
      <c r="G58">
        <v>80</v>
      </c>
      <c r="H58">
        <v>-6.39</v>
      </c>
      <c r="I58">
        <v>12</v>
      </c>
      <c r="J58">
        <v>5.61</v>
      </c>
      <c r="K58" t="s">
        <v>164</v>
      </c>
      <c r="L58">
        <v>1.64</v>
      </c>
      <c r="M58" s="141">
        <v>3.97</v>
      </c>
      <c r="N58" s="144" t="s">
        <v>425</v>
      </c>
    </row>
    <row r="59" spans="1:14" x14ac:dyDescent="0.3">
      <c r="A59" t="s">
        <v>440</v>
      </c>
      <c r="B59" t="s">
        <v>398</v>
      </c>
      <c r="C59" t="s">
        <v>38</v>
      </c>
      <c r="D59" t="s">
        <v>46</v>
      </c>
      <c r="E59">
        <v>639</v>
      </c>
      <c r="F59" t="s">
        <v>422</v>
      </c>
      <c r="G59">
        <v>80</v>
      </c>
      <c r="H59">
        <v>-6.39</v>
      </c>
      <c r="I59">
        <v>12</v>
      </c>
      <c r="J59">
        <v>5.61</v>
      </c>
      <c r="K59" t="s">
        <v>174</v>
      </c>
      <c r="L59">
        <v>1.29</v>
      </c>
      <c r="M59" s="141">
        <v>4.32</v>
      </c>
      <c r="N59" s="144" t="s">
        <v>425</v>
      </c>
    </row>
    <row r="60" spans="1:14" x14ac:dyDescent="0.3">
      <c r="A60" t="s">
        <v>440</v>
      </c>
      <c r="B60" t="s">
        <v>442</v>
      </c>
      <c r="C60" t="s">
        <v>52</v>
      </c>
      <c r="D60" t="s">
        <v>53</v>
      </c>
      <c r="E60">
        <v>660</v>
      </c>
      <c r="F60" t="s">
        <v>422</v>
      </c>
      <c r="G60">
        <v>80</v>
      </c>
      <c r="H60">
        <v>-6.6</v>
      </c>
      <c r="I60">
        <v>12</v>
      </c>
      <c r="J60">
        <v>5.4</v>
      </c>
      <c r="K60" t="s">
        <v>229</v>
      </c>
      <c r="L60">
        <v>1.64</v>
      </c>
      <c r="M60" s="141">
        <v>3.76</v>
      </c>
      <c r="N60" s="144" t="s">
        <v>425</v>
      </c>
    </row>
    <row r="61" spans="1:14" x14ac:dyDescent="0.3">
      <c r="A61" t="s">
        <v>440</v>
      </c>
      <c r="B61" t="s">
        <v>395</v>
      </c>
      <c r="C61" t="s">
        <v>38</v>
      </c>
      <c r="D61" t="s">
        <v>39</v>
      </c>
      <c r="E61">
        <v>679</v>
      </c>
      <c r="F61" t="s">
        <v>422</v>
      </c>
      <c r="G61">
        <v>80</v>
      </c>
      <c r="H61">
        <v>-6.79</v>
      </c>
      <c r="I61">
        <v>12</v>
      </c>
      <c r="J61">
        <v>5.21</v>
      </c>
      <c r="K61" t="s">
        <v>229</v>
      </c>
      <c r="L61">
        <v>1.64</v>
      </c>
      <c r="M61" s="141">
        <v>3.57</v>
      </c>
      <c r="N61" s="144" t="s">
        <v>425</v>
      </c>
    </row>
    <row r="62" spans="1:14" x14ac:dyDescent="0.3">
      <c r="A62" t="s">
        <v>440</v>
      </c>
      <c r="B62" t="s">
        <v>433</v>
      </c>
      <c r="C62" t="s">
        <v>38</v>
      </c>
      <c r="D62" t="s">
        <v>48</v>
      </c>
      <c r="E62">
        <v>679</v>
      </c>
      <c r="F62" t="s">
        <v>422</v>
      </c>
      <c r="G62">
        <v>80</v>
      </c>
      <c r="H62">
        <v>-6.79</v>
      </c>
      <c r="I62">
        <v>12</v>
      </c>
      <c r="J62">
        <v>5.21</v>
      </c>
      <c r="K62" t="s">
        <v>76</v>
      </c>
      <c r="L62">
        <v>1.64</v>
      </c>
      <c r="M62" s="141">
        <v>3.57</v>
      </c>
      <c r="N62" s="144" t="s">
        <v>425</v>
      </c>
    </row>
    <row r="63" spans="1:14" x14ac:dyDescent="0.3">
      <c r="A63" t="s">
        <v>440</v>
      </c>
      <c r="B63" t="s">
        <v>406</v>
      </c>
      <c r="C63" t="s">
        <v>38</v>
      </c>
      <c r="D63" t="s">
        <v>51</v>
      </c>
      <c r="E63">
        <v>679</v>
      </c>
      <c r="F63" t="s">
        <v>422</v>
      </c>
      <c r="G63">
        <v>80</v>
      </c>
      <c r="H63">
        <v>-6.79</v>
      </c>
      <c r="I63">
        <v>12</v>
      </c>
      <c r="J63">
        <v>5.21</v>
      </c>
      <c r="K63" t="s">
        <v>200</v>
      </c>
      <c r="L63">
        <v>4.5</v>
      </c>
      <c r="M63" s="141">
        <v>0.71</v>
      </c>
      <c r="N63" s="143" t="s">
        <v>424</v>
      </c>
    </row>
    <row r="64" spans="1:14" x14ac:dyDescent="0.3">
      <c r="A64" t="s">
        <v>440</v>
      </c>
      <c r="B64" t="s">
        <v>401</v>
      </c>
      <c r="C64" t="s">
        <v>38</v>
      </c>
      <c r="D64" t="s">
        <v>156</v>
      </c>
      <c r="E64">
        <v>679</v>
      </c>
      <c r="F64" t="s">
        <v>422</v>
      </c>
      <c r="G64">
        <v>80</v>
      </c>
      <c r="H64">
        <v>-6.79</v>
      </c>
      <c r="I64">
        <v>12</v>
      </c>
      <c r="J64">
        <v>5.21</v>
      </c>
      <c r="K64" t="s">
        <v>229</v>
      </c>
      <c r="L64">
        <v>1.64</v>
      </c>
      <c r="M64" s="141">
        <v>3.57</v>
      </c>
      <c r="N64" s="144" t="s">
        <v>425</v>
      </c>
    </row>
    <row r="65" spans="1:14" x14ac:dyDescent="0.3">
      <c r="A65" t="s">
        <v>440</v>
      </c>
      <c r="B65" t="s">
        <v>443</v>
      </c>
      <c r="C65" t="s">
        <v>86</v>
      </c>
      <c r="D65" t="s">
        <v>87</v>
      </c>
      <c r="E65">
        <v>980</v>
      </c>
      <c r="F65" t="s">
        <v>422</v>
      </c>
      <c r="G65">
        <v>92</v>
      </c>
      <c r="H65">
        <v>-9.8000000000000007</v>
      </c>
      <c r="I65">
        <v>13.8</v>
      </c>
      <c r="J65">
        <v>4</v>
      </c>
      <c r="K65" t="s">
        <v>229</v>
      </c>
      <c r="L65">
        <v>1.64</v>
      </c>
      <c r="M65" s="141">
        <v>2.36</v>
      </c>
      <c r="N65" s="144" t="s">
        <v>425</v>
      </c>
    </row>
    <row r="66" spans="1:14" x14ac:dyDescent="0.3">
      <c r="A66" t="s">
        <v>440</v>
      </c>
      <c r="B66" t="s">
        <v>340</v>
      </c>
      <c r="C66" t="s">
        <v>86</v>
      </c>
      <c r="D66" t="s">
        <v>96</v>
      </c>
      <c r="E66">
        <v>980</v>
      </c>
      <c r="F66" t="s">
        <v>422</v>
      </c>
      <c r="G66">
        <v>92</v>
      </c>
      <c r="H66">
        <v>-9.8000000000000007</v>
      </c>
      <c r="I66">
        <v>13.8</v>
      </c>
      <c r="J66">
        <v>4</v>
      </c>
      <c r="K66" t="s">
        <v>174</v>
      </c>
      <c r="L66">
        <v>0.14000000000000001</v>
      </c>
      <c r="M66" s="141">
        <v>3.86</v>
      </c>
      <c r="N66" s="144" t="s">
        <v>425</v>
      </c>
    </row>
    <row r="67" spans="1:14" x14ac:dyDescent="0.3">
      <c r="A67" t="s">
        <v>440</v>
      </c>
      <c r="B67" t="s">
        <v>444</v>
      </c>
      <c r="C67" t="s">
        <v>86</v>
      </c>
      <c r="D67" t="s">
        <v>99</v>
      </c>
      <c r="E67">
        <v>980</v>
      </c>
      <c r="F67" t="s">
        <v>422</v>
      </c>
      <c r="G67">
        <v>92</v>
      </c>
      <c r="H67">
        <v>-9.8000000000000007</v>
      </c>
      <c r="I67">
        <v>13.8</v>
      </c>
      <c r="J67">
        <v>4</v>
      </c>
      <c r="K67" t="s">
        <v>229</v>
      </c>
      <c r="L67">
        <v>1.64</v>
      </c>
      <c r="M67" s="141">
        <v>2.36</v>
      </c>
      <c r="N67" s="144" t="s">
        <v>425</v>
      </c>
    </row>
    <row r="68" spans="1:14" x14ac:dyDescent="0.3">
      <c r="A68" t="s">
        <v>440</v>
      </c>
      <c r="B68" t="s">
        <v>427</v>
      </c>
      <c r="C68" t="s">
        <v>86</v>
      </c>
      <c r="D68" t="s">
        <v>97</v>
      </c>
      <c r="E68">
        <v>980</v>
      </c>
      <c r="F68" t="s">
        <v>422</v>
      </c>
      <c r="G68">
        <v>92</v>
      </c>
      <c r="H68">
        <v>-9.8000000000000007</v>
      </c>
      <c r="I68">
        <v>13.8</v>
      </c>
      <c r="J68">
        <v>4</v>
      </c>
      <c r="K68" t="s">
        <v>229</v>
      </c>
      <c r="L68">
        <v>1.64</v>
      </c>
      <c r="M68" s="141">
        <v>2.36</v>
      </c>
      <c r="N68" s="144" t="s">
        <v>425</v>
      </c>
    </row>
    <row r="69" spans="1:14" x14ac:dyDescent="0.3">
      <c r="A69" t="s">
        <v>440</v>
      </c>
      <c r="B69" t="s">
        <v>428</v>
      </c>
      <c r="C69" t="s">
        <v>86</v>
      </c>
      <c r="D69" t="s">
        <v>98</v>
      </c>
      <c r="E69">
        <v>980</v>
      </c>
      <c r="F69" t="s">
        <v>422</v>
      </c>
      <c r="G69">
        <v>92</v>
      </c>
      <c r="H69">
        <v>-9.8000000000000007</v>
      </c>
      <c r="I69">
        <v>13.8</v>
      </c>
      <c r="J69">
        <v>4</v>
      </c>
      <c r="K69" t="s">
        <v>164</v>
      </c>
      <c r="L69">
        <v>1.64</v>
      </c>
      <c r="M69" s="141">
        <v>2.36</v>
      </c>
      <c r="N69" s="144" t="s">
        <v>425</v>
      </c>
    </row>
    <row r="70" spans="1:14" x14ac:dyDescent="0.3">
      <c r="A70" t="s">
        <v>440</v>
      </c>
      <c r="B70" t="s">
        <v>401</v>
      </c>
      <c r="C70" t="s">
        <v>26</v>
      </c>
      <c r="D70" t="s">
        <v>33</v>
      </c>
      <c r="E70">
        <v>1099</v>
      </c>
      <c r="F70" t="s">
        <v>422</v>
      </c>
      <c r="G70">
        <v>80</v>
      </c>
      <c r="H70">
        <v>-10.99</v>
      </c>
      <c r="I70">
        <v>12</v>
      </c>
      <c r="J70">
        <v>1.01</v>
      </c>
      <c r="K70" t="s">
        <v>229</v>
      </c>
      <c r="L70">
        <v>1.64</v>
      </c>
      <c r="M70" s="141">
        <v>-0.63</v>
      </c>
      <c r="N70" s="142" t="s">
        <v>423</v>
      </c>
    </row>
    <row r="71" spans="1:14" x14ac:dyDescent="0.3">
      <c r="A71" t="s">
        <v>440</v>
      </c>
      <c r="B71" t="s">
        <v>393</v>
      </c>
      <c r="C71" t="s">
        <v>26</v>
      </c>
      <c r="D71" t="s">
        <v>27</v>
      </c>
      <c r="E71">
        <v>1099</v>
      </c>
      <c r="F71" t="s">
        <v>422</v>
      </c>
      <c r="G71">
        <v>80</v>
      </c>
      <c r="H71">
        <v>-10.99</v>
      </c>
      <c r="I71">
        <v>12</v>
      </c>
      <c r="J71">
        <v>1.01</v>
      </c>
      <c r="K71" t="s">
        <v>229</v>
      </c>
      <c r="L71">
        <v>1.64</v>
      </c>
      <c r="M71" s="141">
        <v>-0.63</v>
      </c>
      <c r="N71" s="142" t="s">
        <v>423</v>
      </c>
    </row>
    <row r="72" spans="1:14" x14ac:dyDescent="0.3">
      <c r="A72" t="s">
        <v>440</v>
      </c>
      <c r="B72" t="s">
        <v>402</v>
      </c>
      <c r="C72" t="s">
        <v>26</v>
      </c>
      <c r="D72" t="s">
        <v>36</v>
      </c>
      <c r="E72">
        <v>1099</v>
      </c>
      <c r="F72" t="s">
        <v>422</v>
      </c>
      <c r="G72">
        <v>80</v>
      </c>
      <c r="H72">
        <v>-10.99</v>
      </c>
      <c r="I72">
        <v>12</v>
      </c>
      <c r="J72">
        <v>1.01</v>
      </c>
      <c r="K72" t="s">
        <v>174</v>
      </c>
      <c r="L72">
        <v>1.29</v>
      </c>
      <c r="M72" s="141">
        <v>-0.28000000000000003</v>
      </c>
      <c r="N72" s="142" t="s">
        <v>423</v>
      </c>
    </row>
    <row r="73" spans="1:14" x14ac:dyDescent="0.3">
      <c r="A73" t="s">
        <v>440</v>
      </c>
      <c r="B73" t="s">
        <v>394</v>
      </c>
      <c r="C73" t="s">
        <v>26</v>
      </c>
      <c r="D73" t="s">
        <v>31</v>
      </c>
      <c r="E73">
        <v>1099</v>
      </c>
      <c r="F73" t="s">
        <v>422</v>
      </c>
      <c r="G73">
        <v>80</v>
      </c>
      <c r="H73">
        <v>-10.99</v>
      </c>
      <c r="I73">
        <v>12</v>
      </c>
      <c r="J73">
        <v>1.01</v>
      </c>
      <c r="K73" t="s">
        <v>164</v>
      </c>
      <c r="L73">
        <v>1.64</v>
      </c>
      <c r="M73" s="141">
        <v>-0.63</v>
      </c>
      <c r="N73" s="142" t="s">
        <v>423</v>
      </c>
    </row>
    <row r="74" spans="1:14" x14ac:dyDescent="0.3">
      <c r="A74" t="s">
        <v>440</v>
      </c>
      <c r="B74" t="s">
        <v>426</v>
      </c>
      <c r="C74" t="s">
        <v>86</v>
      </c>
      <c r="D74" t="s">
        <v>94</v>
      </c>
      <c r="E74">
        <v>1138</v>
      </c>
      <c r="F74" t="s">
        <v>422</v>
      </c>
      <c r="G74">
        <v>92</v>
      </c>
      <c r="H74">
        <v>-11.38</v>
      </c>
      <c r="I74">
        <v>13.8</v>
      </c>
      <c r="J74">
        <v>2.42</v>
      </c>
      <c r="K74" t="s">
        <v>174</v>
      </c>
      <c r="L74">
        <v>1.29</v>
      </c>
      <c r="M74" s="141">
        <v>1.1299999999999999</v>
      </c>
      <c r="N74" s="144" t="s">
        <v>425</v>
      </c>
    </row>
    <row r="75" spans="1:14" x14ac:dyDescent="0.3">
      <c r="A75" t="s">
        <v>440</v>
      </c>
      <c r="B75" t="s">
        <v>445</v>
      </c>
      <c r="C75" t="s">
        <v>86</v>
      </c>
      <c r="D75" t="s">
        <v>107</v>
      </c>
      <c r="E75">
        <v>1138</v>
      </c>
      <c r="F75" t="s">
        <v>422</v>
      </c>
      <c r="G75">
        <v>92</v>
      </c>
      <c r="H75">
        <v>-11.38</v>
      </c>
      <c r="I75">
        <v>13.8</v>
      </c>
      <c r="J75">
        <v>2.42</v>
      </c>
      <c r="K75" t="s">
        <v>174</v>
      </c>
      <c r="L75">
        <v>1.29</v>
      </c>
      <c r="M75" s="141">
        <v>1.1299999999999999</v>
      </c>
      <c r="N75" s="144" t="s">
        <v>425</v>
      </c>
    </row>
    <row r="76" spans="1:14" x14ac:dyDescent="0.3">
      <c r="A76" t="s">
        <v>440</v>
      </c>
      <c r="B76" t="s">
        <v>402</v>
      </c>
      <c r="C76" t="s">
        <v>86</v>
      </c>
      <c r="D76" t="s">
        <v>111</v>
      </c>
      <c r="E76">
        <v>1349</v>
      </c>
      <c r="F76" t="s">
        <v>422</v>
      </c>
      <c r="G76">
        <v>92</v>
      </c>
      <c r="H76">
        <v>-13.49</v>
      </c>
      <c r="I76">
        <v>13.8</v>
      </c>
      <c r="J76">
        <v>0.31</v>
      </c>
      <c r="K76" t="s">
        <v>174</v>
      </c>
      <c r="L76">
        <v>1.29</v>
      </c>
      <c r="M76" s="141">
        <v>-0.98</v>
      </c>
      <c r="N76" s="142" t="s">
        <v>423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2025-11-20T19:16:59Z</dcterms:created>
  <dcterms:modified xsi:type="dcterms:W3CDTF">2025-11-20T19:17:10Z</dcterms:modified>
</cp:coreProperties>
</file>