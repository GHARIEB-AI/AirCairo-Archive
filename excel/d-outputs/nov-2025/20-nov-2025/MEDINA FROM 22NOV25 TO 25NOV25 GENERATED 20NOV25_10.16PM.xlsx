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99B545F-1065-4A61-BC74-DDCEA0645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E7" i="2"/>
  <c r="G7" i="2"/>
  <c r="H7" i="2"/>
  <c r="I7" i="2"/>
  <c r="J7" i="2"/>
  <c r="M7" i="2"/>
  <c r="N7" i="2"/>
  <c r="O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4" authorId="0" shapeId="0" xr:uid="{159D1836-1224-40ED-B7D3-3BCDDBDD86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Q4 &amp; T3 &amp; X5 &amp; U9 &amp; O7 &amp; I17 &amp; P130 &amp; N4</t>
        </r>
      </text>
    </comment>
    <comment ref="F31" authorId="0" shapeId="0" xr:uid="{B885EBC4-6687-4E34-8071-795408296D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G10 &amp; S21 &amp; T5 &amp; X11 &amp; U8 &amp; O9 &amp; I17 &amp; P86 &amp; N6</t>
        </r>
      </text>
    </comment>
    <comment ref="F51" authorId="0" shapeId="0" xr:uid="{4A4B1C5A-90D3-4A43-9BE5-74EAD18E7B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G11 &amp; S10 &amp; W10 &amp; T10 &amp; X10 &amp; U10 &amp; O10 &amp; I10</t>
        </r>
      </text>
    </comment>
    <comment ref="F54" authorId="0" shapeId="0" xr:uid="{66A5B6E3-EF77-461A-B0EF-9339016178B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I4 &amp; E44 &amp; P114</t>
        </r>
      </text>
    </comment>
    <comment ref="F67" authorId="0" shapeId="0" xr:uid="{C07AE905-B1AD-44A7-8E86-666653E994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K5 &amp; V4 &amp; S11 &amp; X3 &amp; U5 &amp; O9 &amp; I17 &amp; P123</t>
        </r>
      </text>
    </comment>
  </commentList>
</comments>
</file>

<file path=xl/sharedStrings.xml><?xml version="1.0" encoding="utf-8"?>
<sst xmlns="http://schemas.openxmlformats.org/spreadsheetml/2006/main" count="939" uniqueCount="231">
  <si>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</si>
  <si>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</si>
  <si>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</si>
  <si>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</si>
  <si>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</si>
  <si>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</si>
  <si>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</si>
  <si>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</si>
  <si>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</si>
  <si>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</si>
  <si>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</si>
  <si>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</si>
  <si>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</si>
  <si>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</si>
  <si>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</si>
  <si>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</si>
  <si>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</si>
  <si>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</si>
  <si>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</si>
  <si>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</si>
  <si>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</si>
  <si>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</si>
  <si>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</si>
  <si>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</si>
  <si>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</si>
  <si>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</si>
  <si>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</si>
  <si>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</si>
  <si>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Cabin: 0 KG | Check-in: 15 KG</t>
  </si>
  <si>
    <r>
      <rPr>
        <b/>
        <i/>
        <sz val="13"/>
        <color rgb="FFBC0000"/>
        <rFont val="Calibri"/>
        <family val="2"/>
      </rPr>
      <t>39</t>
    </r>
    <r>
      <rPr>
        <b/>
        <i/>
        <sz val="10"/>
        <color rgb="FFBC0000"/>
        <rFont val="Calibri"/>
        <family val="2"/>
      </rPr>
      <t xml:space="preserve"> FOR SAME CLASS</t>
    </r>
  </si>
  <si>
    <t>559 SAR</t>
  </si>
  <si>
    <t>flynas</t>
  </si>
  <si>
    <t>XY-793</t>
  </si>
  <si>
    <t>Cabin: 7 KG | Check-in: 20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</si>
  <si>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</si>
  <si>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XY-576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</si>
  <si>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</si>
  <si>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609 SAR</t>
  </si>
  <si>
    <t>EgyptAir</t>
  </si>
  <si>
    <t>MS-676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</si>
  <si>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</si>
  <si>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</si>
  <si>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866 SAR</t>
  </si>
  <si>
    <t>MS-640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</si>
  <si>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</si>
  <si>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1,654 SAR</t>
  </si>
  <si>
    <t>Saudia</t>
  </si>
  <si>
    <t>SV-391</t>
  </si>
  <si>
    <t>Cabin: 7 KG / Check-in: 23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</si>
  <si>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</si>
  <si>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1,385 SAR</t>
  </si>
  <si>
    <t>Cabin: 7 KG / Check-in: 2 x 46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</si>
  <si>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</si>
  <si>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1,525 SAR</t>
  </si>
  <si>
    <t>SV-6903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</si>
  <si>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</si>
  <si>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1,945 SAR</t>
  </si>
  <si>
    <t>SV-319</t>
  </si>
  <si>
    <t>2,165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</si>
  <si>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</si>
  <si>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2,305 SAR</t>
  </si>
  <si>
    <t>SV-381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</si>
  <si>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</si>
  <si>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Air Cairo</t>
  </si>
  <si>
    <t>SM494</t>
  </si>
  <si>
    <t>30KG + 7KG CABIN</t>
  </si>
  <si>
    <t>FULLY BOOKED</t>
  </si>
  <si>
    <t>CLOSED</t>
  </si>
  <si>
    <t>Q4 &amp; T3 &amp; X5 &amp; U9 &amp; O7 &amp; I17 &amp; P130 &amp; N4</t>
  </si>
  <si>
    <t>Check-in: 15 KG</t>
  </si>
  <si>
    <r>
      <rPr>
        <b/>
        <i/>
        <sz val="13"/>
        <color rgb="FFBC0000"/>
        <rFont val="Calibri"/>
        <family val="2"/>
      </rPr>
      <t>18</t>
    </r>
    <r>
      <rPr>
        <b/>
        <i/>
        <sz val="10"/>
        <color rgb="FFBC0000"/>
        <rFont val="Calibri"/>
        <family val="2"/>
      </rPr>
      <t xml:space="preserve"> FOR SAME CLASS</t>
    </r>
  </si>
  <si>
    <t>Cabin: 10 KG / Check-in: 25 KG</t>
  </si>
  <si>
    <r>
      <rPr>
        <i/>
        <sz val="13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</si>
  <si>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t>709 SAR</t>
  </si>
  <si>
    <t>Cabin: 10 KG / Check-in: 2 x 40 KG</t>
  </si>
  <si>
    <t>1,099 SAR</t>
  </si>
  <si>
    <t>Cabin: 7 KG / Check-in: 20 KG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</si>
  <si>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</si>
  <si>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Cabin: 7 KG / Check-in: 30 KG</t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</si>
  <si>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</si>
  <si>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659 SAR</t>
  </si>
  <si>
    <t>Cabin: 7 KG / Check-in: 2 x 40 KG</t>
  </si>
  <si>
    <t>749 SAR</t>
  </si>
  <si>
    <t>MS-696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</si>
  <si>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</si>
  <si>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MS-694</t>
  </si>
  <si>
    <t>1,121 SAR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</si>
  <si>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</si>
  <si>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1,651 SAR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</si>
  <si>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</si>
  <si>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1,868 SAR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</si>
  <si>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</si>
  <si>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2,009 SAR</t>
  </si>
  <si>
    <t>K6 &amp; G10 &amp; S21 &amp; T5 &amp; X11 &amp; U8 &amp; O9 &amp; I17 &amp; P86 &amp; N6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</si>
  <si>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</si>
  <si>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939 SAR</t>
  </si>
  <si>
    <t>1,039 SAR</t>
  </si>
  <si>
    <t>1,129 SAR</t>
  </si>
  <si>
    <t>619 SAR</t>
  </si>
  <si>
    <t>769 SAR</t>
  </si>
  <si>
    <t>757 SAR</t>
  </si>
  <si>
    <r>
      <rPr>
        <b/>
        <i/>
        <sz val="13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</si>
  <si>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</si>
  <si>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639 SAR</t>
  </si>
  <si>
    <t>739 SAR</t>
  </si>
  <si>
    <t>829 SAR</t>
  </si>
  <si>
    <t>SM-488</t>
  </si>
  <si>
    <t>Cabin: 7 KG | Check-in: 40 KG</t>
  </si>
  <si>
    <t>758 SAR</t>
  </si>
  <si>
    <t>SM488</t>
  </si>
  <si>
    <t>G9</t>
  </si>
  <si>
    <t>L5 &amp; G11 &amp; S10 &amp; W10 &amp; T10 &amp; X10 &amp; U10 &amp; O10 &amp; I10</t>
  </si>
  <si>
    <t>SM-496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</si>
  <si>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</si>
  <si>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914 SAR</t>
  </si>
  <si>
    <t>SM496</t>
  </si>
  <si>
    <t>V8</t>
  </si>
  <si>
    <t>L1 &amp; I4 &amp; E44 &amp; P114</t>
  </si>
  <si>
    <t>Q2 &amp; K5 &amp; V4 &amp; S11 &amp; X3 &amp; U5 &amp; O9 &amp; I17 &amp; P123</t>
  </si>
  <si>
    <t>962 SAR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</si>
  <si>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</si>
  <si>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MS-678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</si>
  <si>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</si>
  <si>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</si>
  <si>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</si>
  <si>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</si>
  <si>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</si>
  <si>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</si>
  <si>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</si>
  <si>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</si>
  <si>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</si>
  <si>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</si>
  <si>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</si>
  <si>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</si>
  <si>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</si>
  <si>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</si>
  <si>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</si>
  <si>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</si>
  <si>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</si>
  <si>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</si>
  <si>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</si>
  <si>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</si>
  <si>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</si>
  <si>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</si>
  <si>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</si>
  <si>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</si>
  <si>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</si>
  <si>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</si>
  <si>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</si>
  <si>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</si>
  <si>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</si>
  <si>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</si>
  <si>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09:30</t>
  </si>
  <si>
    <t>320</t>
  </si>
  <si>
    <t>UPCOMING</t>
  </si>
  <si>
    <t>Q4</t>
  </si>
  <si>
    <t>T3</t>
  </si>
  <si>
    <t>X5</t>
  </si>
  <si>
    <t>U9</t>
  </si>
  <si>
    <t>O7</t>
  </si>
  <si>
    <t>I17</t>
  </si>
  <si>
    <t>P130</t>
  </si>
  <si>
    <t>N4</t>
  </si>
  <si>
    <t>SUNDAY</t>
  </si>
  <si>
    <t>21:40</t>
  </si>
  <si>
    <t>K6</t>
  </si>
  <si>
    <t>G10</t>
  </si>
  <si>
    <t>S21</t>
  </si>
  <si>
    <t>T5</t>
  </si>
  <si>
    <t>X11</t>
  </si>
  <si>
    <t>U8</t>
  </si>
  <si>
    <t>O9</t>
  </si>
  <si>
    <t>P86</t>
  </si>
  <si>
    <t>N6</t>
  </si>
  <si>
    <t>TUESDAY</t>
  </si>
  <si>
    <t>01:10</t>
  </si>
  <si>
    <t>L1</t>
  </si>
  <si>
    <t>I4</t>
  </si>
  <si>
    <t>E44</t>
  </si>
  <si>
    <t>P114</t>
  </si>
  <si>
    <t>06:40</t>
  </si>
  <si>
    <t>L5</t>
  </si>
  <si>
    <t>G11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</si>
  <si>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</si>
  <si>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</si>
  <si>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</si>
  <si>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</si>
  <si>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</si>
  <si>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</si>
  <si>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</si>
  <si>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</si>
  <si>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</si>
  <si>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</si>
  <si>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</si>
  <si>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</si>
  <si>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</si>
  <si>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</si>
  <si>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P123</t>
  </si>
  <si>
    <t>DATE</t>
  </si>
  <si>
    <t>ROUTE</t>
  </si>
  <si>
    <t>2025-11-22</t>
  </si>
  <si>
    <t>10:05</t>
  </si>
  <si>
    <t>08:30</t>
  </si>
  <si>
    <t>18:10</t>
  </si>
  <si>
    <t>02:20</t>
  </si>
  <si>
    <t>02:05</t>
  </si>
  <si>
    <t>11:50</t>
  </si>
  <si>
    <t>14:30</t>
  </si>
  <si>
    <t>19:05</t>
  </si>
  <si>
    <t>Date</t>
  </si>
  <si>
    <t>Time</t>
  </si>
  <si>
    <t>Competitor</t>
  </si>
  <si>
    <t>Flight</t>
  </si>
  <si>
    <t>Price</t>
  </si>
  <si>
    <t>Curr</t>
  </si>
  <si>
    <t>Weight (kg)</t>
  </si>
  <si>
    <t>Fare NUC (-)</t>
  </si>
  <si>
    <t>Weight NUC (+)</t>
  </si>
  <si>
    <t>Total NUC</t>
  </si>
  <si>
    <t>AC Flight</t>
  </si>
  <si>
    <t>AC NUC</t>
  </si>
  <si>
    <t>Delta (C-AC)</t>
  </si>
  <si>
    <t>Threat Status</t>
  </si>
  <si>
    <t>2025-11-23</t>
  </si>
  <si>
    <t>SAR</t>
  </si>
  <si>
    <t>AHEAD</t>
  </si>
  <si>
    <t>2025-11-24</t>
  </si>
  <si>
    <t>WINNER (THREAT)</t>
  </si>
  <si>
    <t>2025-11-25</t>
  </si>
  <si>
    <t>CLOSE (WATCH)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</si>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</sst>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</font>
    <font>
      <b/>
      <i/>
      <sz val="18"/>
      <name val="Calibri"/>
      <family val="2"/>
    </font>
    <font>
      <i/>
      <sz val="18"/>
      <color rgb="FFFF0000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/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D700"/>
        <bgColor rgb="FFFFD700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168" fontId="13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49" fontId="10" fillId="8" borderId="13" xfId="0" applyNumberFormat="1" applyFont="1" applyFill="1" applyBorder="1" applyAlignment="1">
      <alignment horizontal="center" vertical="center"/>
    </xf>
    <xf numFmtId="168" fontId="10" fillId="8" borderId="13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49" fontId="15" fillId="8" borderId="15" xfId="0" applyNumberFormat="1" applyFont="1" applyFill="1" applyBorder="1" applyAlignment="1">
      <alignment horizontal="center" vertical="center"/>
    </xf>
    <xf numFmtId="169" fontId="16" fillId="8" borderId="16" xfId="0" applyNumberFormat="1" applyFont="1" applyFill="1" applyBorder="1" applyAlignment="1">
      <alignment horizontal="center" vertical="center"/>
    </xf>
    <xf numFmtId="1" fontId="15" fillId="8" borderId="16" xfId="0" applyNumberFormat="1" applyFont="1" applyFill="1" applyBorder="1" applyAlignment="1">
      <alignment horizontal="center" vertical="center"/>
    </xf>
    <xf numFmtId="16" fontId="15" fillId="8" borderId="16" xfId="0" applyNumberFormat="1" applyFont="1" applyFill="1" applyBorder="1" applyAlignment="1">
      <alignment horizontal="center" vertical="center"/>
    </xf>
    <xf numFmtId="49" fontId="17" fillId="8" borderId="16" xfId="0" applyNumberFormat="1" applyFont="1" applyFill="1" applyBorder="1" applyAlignment="1">
      <alignment horizontal="center" vertical="center"/>
    </xf>
    <xf numFmtId="168" fontId="15" fillId="8" borderId="16" xfId="0" applyNumberFormat="1" applyFont="1" applyFill="1" applyBorder="1" applyAlignment="1">
      <alignment horizontal="center" vertical="center"/>
    </xf>
    <xf numFmtId="49" fontId="15" fillId="8" borderId="17" xfId="0" applyNumberFormat="1" applyFont="1" applyFill="1" applyBorder="1" applyAlignment="1">
      <alignment horizontal="center" vertical="center"/>
    </xf>
    <xf numFmtId="167" fontId="19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0" borderId="13" xfId="0" applyNumberFormat="1" applyFont="1" applyFill="1" applyBorder="1" applyAlignment="1">
      <alignment horizontal="center" vertical="center"/>
    </xf>
    <xf numFmtId="168" fontId="10" fillId="10" borderId="13" xfId="0" applyNumberFormat="1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49" fontId="15" fillId="10" borderId="15" xfId="0" applyNumberFormat="1" applyFont="1" applyFill="1" applyBorder="1" applyAlignment="1">
      <alignment horizontal="center" vertical="center"/>
    </xf>
    <xf numFmtId="169" fontId="16" fillId="10" borderId="16" xfId="0" applyNumberFormat="1" applyFont="1" applyFill="1" applyBorder="1" applyAlignment="1">
      <alignment horizontal="center" vertical="center"/>
    </xf>
    <xf numFmtId="1" fontId="15" fillId="10" borderId="16" xfId="0" applyNumberFormat="1" applyFont="1" applyFill="1" applyBorder="1" applyAlignment="1">
      <alignment horizontal="center" vertical="center"/>
    </xf>
    <xf numFmtId="16" fontId="15" fillId="10" borderId="16" xfId="0" applyNumberFormat="1" applyFont="1" applyFill="1" applyBorder="1" applyAlignment="1">
      <alignment horizontal="center" vertical="center"/>
    </xf>
    <xf numFmtId="49" fontId="17" fillId="10" borderId="16" xfId="0" applyNumberFormat="1" applyFont="1" applyFill="1" applyBorder="1" applyAlignment="1">
      <alignment horizontal="center" vertical="center"/>
    </xf>
    <xf numFmtId="168" fontId="15" fillId="10" borderId="16" xfId="0" applyNumberFormat="1" applyFont="1" applyFill="1" applyBorder="1" applyAlignment="1">
      <alignment horizontal="center" vertical="center"/>
    </xf>
    <xf numFmtId="49" fontId="15" fillId="10" borderId="17" xfId="0" applyNumberFormat="1" applyFont="1" applyFill="1" applyBorder="1" applyAlignment="1">
      <alignment horizontal="center" vertical="center"/>
    </xf>
    <xf numFmtId="49" fontId="14" fillId="0" borderId="13" xfId="0" applyNumberFormat="1" applyFont="1" applyBorder="1" applyAlignment="1">
      <alignment horizontal="center" vertical="center"/>
    </xf>
    <xf numFmtId="168" fontId="14" fillId="0" borderId="13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 vertical="center"/>
    </xf>
    <xf numFmtId="168" fontId="10" fillId="11" borderId="2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169" fontId="21" fillId="11" borderId="22" xfId="0" applyNumberFormat="1" applyFont="1" applyFill="1" applyBorder="1" applyAlignment="1">
      <alignment horizontal="center" vertical="center"/>
    </xf>
    <xf numFmtId="1" fontId="15" fillId="11" borderId="22" xfId="0" applyNumberFormat="1" applyFont="1" applyFill="1" applyBorder="1" applyAlignment="1">
      <alignment horizontal="center" vertical="center"/>
    </xf>
    <xf numFmtId="16" fontId="15" fillId="11" borderId="22" xfId="0" applyNumberFormat="1" applyFont="1" applyFill="1" applyBorder="1" applyAlignment="1">
      <alignment horizontal="center" vertical="center"/>
    </xf>
    <xf numFmtId="49" fontId="17" fillId="11" borderId="22" xfId="0" applyNumberFormat="1" applyFont="1" applyFill="1" applyBorder="1" applyAlignment="1">
      <alignment horizontal="center" vertical="center"/>
    </xf>
    <xf numFmtId="168" fontId="15" fillId="11" borderId="22" xfId="0" applyNumberFormat="1" applyFont="1" applyFill="1" applyBorder="1" applyAlignment="1">
      <alignment horizontal="center" vertical="center"/>
    </xf>
    <xf numFmtId="49" fontId="15" fillId="11" borderId="23" xfId="0" applyNumberFormat="1" applyFont="1" applyFill="1" applyBorder="1" applyAlignment="1">
      <alignment horizontal="center" vertical="center"/>
    </xf>
    <xf numFmtId="49" fontId="13" fillId="12" borderId="2" xfId="0" applyNumberFormat="1" applyFont="1" applyFill="1" applyBorder="1" applyAlignment="1">
      <alignment horizontal="center" vertical="center"/>
    </xf>
    <xf numFmtId="168" fontId="13" fillId="12" borderId="2" xfId="0" applyNumberFormat="1" applyFont="1" applyFill="1" applyBorder="1" applyAlignment="1">
      <alignment horizontal="center" vertical="center"/>
    </xf>
    <xf numFmtId="49" fontId="15" fillId="12" borderId="21" xfId="0" applyNumberFormat="1" applyFont="1" applyFill="1" applyBorder="1" applyAlignment="1">
      <alignment horizontal="center" vertical="center"/>
    </xf>
    <xf numFmtId="169" fontId="16" fillId="12" borderId="22" xfId="0" applyNumberFormat="1" applyFont="1" applyFill="1" applyBorder="1" applyAlignment="1">
      <alignment horizontal="center" vertical="center"/>
    </xf>
    <xf numFmtId="1" fontId="15" fillId="12" borderId="22" xfId="0" applyNumberFormat="1" applyFont="1" applyFill="1" applyBorder="1" applyAlignment="1">
      <alignment horizontal="center" vertical="center"/>
    </xf>
    <xf numFmtId="16" fontId="15" fillId="12" borderId="22" xfId="0" applyNumberFormat="1" applyFont="1" applyFill="1" applyBorder="1" applyAlignment="1">
      <alignment horizontal="center" vertical="center"/>
    </xf>
    <xf numFmtId="49" fontId="17" fillId="12" borderId="22" xfId="0" applyNumberFormat="1" applyFont="1" applyFill="1" applyBorder="1" applyAlignment="1">
      <alignment horizontal="center" vertical="center"/>
    </xf>
    <xf numFmtId="168" fontId="15" fillId="12" borderId="22" xfId="0" applyNumberFormat="1" applyFont="1" applyFill="1" applyBorder="1" applyAlignment="1">
      <alignment horizontal="center" vertical="center"/>
    </xf>
    <xf numFmtId="49" fontId="15" fillId="12" borderId="23" xfId="0" applyNumberFormat="1" applyFont="1" applyFill="1" applyBorder="1" applyAlignment="1">
      <alignment horizontal="center" vertical="center"/>
    </xf>
    <xf numFmtId="49" fontId="13" fillId="13" borderId="2" xfId="0" applyNumberFormat="1" applyFont="1" applyFill="1" applyBorder="1" applyAlignment="1">
      <alignment horizontal="center" vertical="center"/>
    </xf>
    <xf numFmtId="168" fontId="13" fillId="13" borderId="2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49" fontId="15" fillId="13" borderId="21" xfId="0" applyNumberFormat="1" applyFont="1" applyFill="1" applyBorder="1" applyAlignment="1">
      <alignment horizontal="center" vertical="center"/>
    </xf>
    <xf numFmtId="169" fontId="16" fillId="13" borderId="22" xfId="0" applyNumberFormat="1" applyFont="1" applyFill="1" applyBorder="1" applyAlignment="1">
      <alignment horizontal="center" vertical="center"/>
    </xf>
    <xf numFmtId="1" fontId="15" fillId="13" borderId="22" xfId="0" applyNumberFormat="1" applyFont="1" applyFill="1" applyBorder="1" applyAlignment="1">
      <alignment horizontal="center" vertical="center"/>
    </xf>
    <xf numFmtId="16" fontId="15" fillId="13" borderId="22" xfId="0" applyNumberFormat="1" applyFont="1" applyFill="1" applyBorder="1" applyAlignment="1">
      <alignment horizontal="center" vertical="center"/>
    </xf>
    <xf numFmtId="49" fontId="17" fillId="13" borderId="22" xfId="0" applyNumberFormat="1" applyFont="1" applyFill="1" applyBorder="1" applyAlignment="1">
      <alignment horizontal="center" vertical="center"/>
    </xf>
    <xf numFmtId="168" fontId="15" fillId="13" borderId="22" xfId="0" applyNumberFormat="1" applyFont="1" applyFill="1" applyBorder="1" applyAlignment="1">
      <alignment horizontal="center" vertical="center"/>
    </xf>
    <xf numFmtId="49" fontId="15" fillId="13" borderId="23" xfId="0" applyNumberFormat="1" applyFont="1" applyFill="1" applyBorder="1" applyAlignment="1">
      <alignment horizontal="center" vertical="center"/>
    </xf>
    <xf numFmtId="0" fontId="22" fillId="14" borderId="24" xfId="0" applyFont="1" applyFill="1" applyBorder="1" applyAlignment="1">
      <alignment horizontal="center" vertical="center"/>
    </xf>
    <xf numFmtId="0" fontId="22" fillId="14" borderId="25" xfId="0" applyFont="1" applyFill="1" applyBorder="1" applyAlignment="1">
      <alignment horizontal="center" vertical="center"/>
    </xf>
    <xf numFmtId="0" fontId="22" fillId="14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72" fontId="24" fillId="0" borderId="30" xfId="0" applyNumberFormat="1" applyFont="1" applyBorder="1" applyAlignment="1">
      <alignment horizontal="center" vertical="center"/>
    </xf>
    <xf numFmtId="173" fontId="24" fillId="0" borderId="31" xfId="0" applyNumberFormat="1" applyFont="1" applyBorder="1" applyAlignment="1">
      <alignment horizontal="center" vertical="center"/>
    </xf>
    <xf numFmtId="172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6" fillId="0" borderId="0" xfId="0" applyFont="1"/>
    <xf numFmtId="0" fontId="26" fillId="16" borderId="0" xfId="0" applyFont="1" applyFill="1"/>
    <xf numFmtId="0" fontId="27" fillId="17" borderId="0" xfId="0" applyFont="1" applyFill="1"/>
    <xf numFmtId="0" fontId="26" fillId="18" borderId="0" xfId="0" applyFont="1" applyFill="1"/>
    <xf numFmtId="0" fontId="20" fillId="0" borderId="7" xfId="0" applyFont="1" applyBorder="1"/>
    <xf numFmtId="0" fontId="0" fillId="0" borderId="12" xfId="0" applyBorder="1"/>
    <xf numFmtId="0" fontId="0" fillId="0" borderId="14" xfId="0" applyBorder="1"/>
    <xf numFmtId="49" fontId="7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7" xfId="0" applyBorder="1"/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70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9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8" fillId="9" borderId="34" xfId="0" applyFont="1" applyFill="1" applyBorder="1" applyAlignment="1">
      <alignment horizontal="center" vertical="center"/>
    </xf>
    <xf numFmtId="0" fontId="18" fillId="9" borderId="35" xfId="0" applyFont="1" applyFill="1" applyBorder="1" applyAlignment="1">
      <alignment horizontal="center" vertical="center"/>
    </xf>
  </cellXfs>
  <cellStyles count="1">
    <cellStyle name="Normal" xfId="0" builtinId="0"/>
  </cellStyles>
  <dxfs count="76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7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67" totalsRowShown="0">
  <autoFilter ref="A1:H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09B9AA-B19B-4978-8A1B-1879EA450775}" name="MED_CAI___OAL_Threats_Alert" displayName="MED_CAI___OAL_Threats_Alert" ref="A1:H8" totalsRowShown="0" headerRowDxfId="75">
  <autoFilter ref="A1:H8" xr:uid="{8D09B9AA-B19B-4978-8A1B-1879EA450775}"/>
  <tableColumns count="8">
    <tableColumn id="1" xr3:uid="{A6F55551-6DE2-4907-9A19-B8E9B63F92F2}" name="Date"/>
    <tableColumn id="2" xr3:uid="{4294121F-41DF-4AC2-A93F-847F2BDD131F}" name="Time"/>
    <tableColumn id="3" xr3:uid="{DBA4BFA5-3B20-4ACC-98DA-7076EF27B8F6}" name="Competitor"/>
    <tableColumn id="4" xr3:uid="{A23CD5A3-C8D5-43F1-89B4-02007460E434}" name="Flight"/>
    <tableColumn id="5" xr3:uid="{2A1F4375-D986-4964-930B-31B96BB9B63F}" name="Price"/>
    <tableColumn id="6" xr3:uid="{1638FF3F-6949-40B1-B838-92B7A77A1625}" name="Curr"/>
    <tableColumn id="7" xr3:uid="{EAD9AFE8-C661-40AD-9676-257F8D59650A}" name="Weight (kg)"/>
    <tableColumn id="8" xr3:uid="{F5985291-EF1A-43EF-B4A0-9DF7675A1857}" name="Fare NUC (-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0.88671875" bestFit="1" customWidth="1"/>
  </cols>
  <sheetData>
    <row r="1" spans="1:92" ht="28.8" customHeight="1" x14ac:dyDescent="0.3">
      <c r="A1" s="126" t="s">
        <v>0</v>
      </c>
      <c r="B1" s="125"/>
      <c r="C1" s="125"/>
      <c r="D1" s="125"/>
      <c r="E1" s="125"/>
      <c r="F1" s="1" t="s">
        <v>1</v>
      </c>
      <c r="G1" s="2" t="s">
        <v>2</v>
      </c>
      <c r="H1" s="124">
        <v>45983</v>
      </c>
      <c r="I1" s="125"/>
      <c r="J1" s="125"/>
      <c r="K1" s="125"/>
      <c r="L1" s="125"/>
      <c r="M1" s="1" t="s">
        <v>3</v>
      </c>
      <c r="N1" s="134">
        <v>45986</v>
      </c>
      <c r="O1" s="125"/>
      <c r="P1" s="125"/>
      <c r="Q1" s="125"/>
      <c r="R1" s="12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8" t="s">
        <v>4</v>
      </c>
      <c r="B2" s="125"/>
      <c r="C2" s="125"/>
      <c r="D2" s="125"/>
      <c r="E2" s="125"/>
      <c r="F2" s="125"/>
      <c r="G2" s="131">
        <v>45981.928351294308</v>
      </c>
      <c r="H2" s="125"/>
      <c r="I2" s="125"/>
      <c r="J2" s="125"/>
      <c r="K2" s="135">
        <v>45981.928351294613</v>
      </c>
      <c r="L2" s="125"/>
      <c r="M2" s="125"/>
      <c r="N2" s="125"/>
      <c r="O2" s="125"/>
      <c r="P2" s="125"/>
      <c r="Q2" s="125"/>
      <c r="R2" s="12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9" t="s">
        <v>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2" t="s">
        <v>6</v>
      </c>
      <c r="B4" s="122"/>
      <c r="C4" s="122"/>
      <c r="D4" s="122"/>
      <c r="E4" s="122"/>
      <c r="F4" s="123"/>
      <c r="G4" s="4">
        <v>45983</v>
      </c>
      <c r="H4" s="127" t="s">
        <v>7</v>
      </c>
      <c r="I4" s="122"/>
      <c r="J4" s="122"/>
      <c r="K4" s="122"/>
      <c r="L4" s="122"/>
      <c r="M4" s="122"/>
      <c r="N4" s="122"/>
      <c r="O4" s="122"/>
      <c r="P4" s="122"/>
      <c r="Q4" s="122"/>
      <c r="R4" s="12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0.4201388888888889</v>
      </c>
      <c r="D6" s="8" t="s">
        <v>28</v>
      </c>
      <c r="E6" s="8" t="s">
        <v>29</v>
      </c>
      <c r="F6" s="8" t="s">
        <v>30</v>
      </c>
      <c r="G6" s="13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31</v>
      </c>
      <c r="B7" s="15" t="s">
        <v>32</v>
      </c>
      <c r="C7" s="16">
        <v>0.35416666666666669</v>
      </c>
      <c r="D7" s="15" t="s">
        <v>33</v>
      </c>
      <c r="E7" s="15" t="s">
        <v>34</v>
      </c>
      <c r="F7" s="15" t="s">
        <v>30</v>
      </c>
      <c r="G7" s="119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7" t="s">
        <v>31</v>
      </c>
      <c r="B8" s="17" t="s">
        <v>35</v>
      </c>
      <c r="C8" s="18">
        <v>0.75694444444444453</v>
      </c>
      <c r="D8" s="17" t="s">
        <v>33</v>
      </c>
      <c r="E8" s="17" t="s">
        <v>36</v>
      </c>
      <c r="F8" s="17" t="s">
        <v>37</v>
      </c>
      <c r="G8" s="119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38</v>
      </c>
      <c r="B9" s="15" t="s">
        <v>39</v>
      </c>
      <c r="C9" s="16">
        <v>9.7222222222222224E-2</v>
      </c>
      <c r="D9" s="15" t="s">
        <v>40</v>
      </c>
      <c r="E9" s="15" t="s">
        <v>41</v>
      </c>
      <c r="F9" s="15" t="s">
        <v>42</v>
      </c>
      <c r="G9" s="119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7" t="s">
        <v>38</v>
      </c>
      <c r="B10" s="17" t="s">
        <v>43</v>
      </c>
      <c r="C10" s="18">
        <v>0.49305555555555558</v>
      </c>
      <c r="D10" s="17" t="s">
        <v>40</v>
      </c>
      <c r="E10" s="17" t="s">
        <v>44</v>
      </c>
      <c r="F10" s="17" t="s">
        <v>45</v>
      </c>
      <c r="G10" s="119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46</v>
      </c>
      <c r="B11" s="15" t="s">
        <v>47</v>
      </c>
      <c r="C11" s="16">
        <v>8.6805555555555566E-2</v>
      </c>
      <c r="D11" s="15" t="s">
        <v>48</v>
      </c>
      <c r="E11" s="15" t="s">
        <v>49</v>
      </c>
      <c r="F11" s="15" t="s">
        <v>50</v>
      </c>
      <c r="G11" s="119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46</v>
      </c>
      <c r="B12" s="19" t="s">
        <v>47</v>
      </c>
      <c r="C12" s="20">
        <v>8.6805555555555566E-2</v>
      </c>
      <c r="D12" s="19" t="s">
        <v>51</v>
      </c>
      <c r="E12" s="19" t="s">
        <v>52</v>
      </c>
      <c r="F12" s="19" t="s">
        <v>53</v>
      </c>
      <c r="G12" s="119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7" t="s">
        <v>46</v>
      </c>
      <c r="B13" s="17" t="s">
        <v>54</v>
      </c>
      <c r="C13" s="18">
        <v>0.4201388888888889</v>
      </c>
      <c r="D13" s="17" t="s">
        <v>51</v>
      </c>
      <c r="E13" s="17" t="s">
        <v>55</v>
      </c>
      <c r="F13" s="17" t="s">
        <v>56</v>
      </c>
      <c r="G13" s="119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7" t="s">
        <v>46</v>
      </c>
      <c r="B14" s="17" t="s">
        <v>57</v>
      </c>
      <c r="C14" s="18">
        <v>0.60416666666666663</v>
      </c>
      <c r="D14" s="17" t="s">
        <v>48</v>
      </c>
      <c r="E14" s="17" t="s">
        <v>44</v>
      </c>
      <c r="F14" s="17" t="s">
        <v>58</v>
      </c>
      <c r="G14" s="119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46</v>
      </c>
      <c r="B15" s="19" t="s">
        <v>57</v>
      </c>
      <c r="C15" s="20">
        <v>0.60416666666666663</v>
      </c>
      <c r="D15" s="19" t="s">
        <v>51</v>
      </c>
      <c r="E15" s="19" t="s">
        <v>59</v>
      </c>
      <c r="F15" s="19" t="s">
        <v>60</v>
      </c>
      <c r="G15" s="119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7" t="s">
        <v>46</v>
      </c>
      <c r="B16" s="17" t="s">
        <v>61</v>
      </c>
      <c r="C16" s="18">
        <v>0.79513888888888884</v>
      </c>
      <c r="D16" s="17" t="s">
        <v>48</v>
      </c>
      <c r="E16" s="17" t="s">
        <v>62</v>
      </c>
      <c r="F16" s="17" t="s">
        <v>58</v>
      </c>
      <c r="G16" s="119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9" t="s">
        <v>46</v>
      </c>
      <c r="B17" s="19" t="s">
        <v>61</v>
      </c>
      <c r="C17" s="20">
        <v>0.79513888888888884</v>
      </c>
      <c r="D17" s="19" t="s">
        <v>51</v>
      </c>
      <c r="E17" s="19" t="s">
        <v>52</v>
      </c>
      <c r="F17" s="19" t="s">
        <v>60</v>
      </c>
      <c r="G17" s="119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thickBot="1" x14ac:dyDescent="0.35">
      <c r="A18" s="21" t="s">
        <v>63</v>
      </c>
      <c r="B18" s="21" t="s">
        <v>64</v>
      </c>
      <c r="C18" s="22">
        <v>0.39583333333333331</v>
      </c>
      <c r="D18" s="21" t="s">
        <v>65</v>
      </c>
      <c r="E18" s="23"/>
      <c r="F18" s="21" t="s">
        <v>66</v>
      </c>
      <c r="G18" s="120"/>
      <c r="H18" s="24" t="s">
        <v>64</v>
      </c>
      <c r="I18" s="25">
        <v>1</v>
      </c>
      <c r="J18" s="26">
        <v>179</v>
      </c>
      <c r="K18" s="27">
        <v>45974</v>
      </c>
      <c r="L18" s="26">
        <v>1</v>
      </c>
      <c r="M18" s="26">
        <v>0</v>
      </c>
      <c r="N18" s="26">
        <v>0</v>
      </c>
      <c r="O18" s="28" t="s">
        <v>67</v>
      </c>
      <c r="P18" s="29">
        <v>0.39583333333333331</v>
      </c>
      <c r="Q18" s="26">
        <v>179</v>
      </c>
      <c r="R18" s="30" t="s">
        <v>68</v>
      </c>
    </row>
    <row r="19" spans="1:18" ht="17.399999999999999" customHeight="1" thickBot="1" x14ac:dyDescent="0.35">
      <c r="A19" s="150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2"/>
    </row>
    <row r="20" spans="1:18" ht="22.05" customHeight="1" thickTop="1" thickBot="1" x14ac:dyDescent="0.35">
      <c r="A20" s="133" t="s">
        <v>6</v>
      </c>
      <c r="B20" s="122"/>
      <c r="C20" s="122"/>
      <c r="D20" s="122"/>
      <c r="E20" s="122"/>
      <c r="F20" s="123"/>
      <c r="G20" s="31">
        <v>45984</v>
      </c>
      <c r="H20" s="121" t="s">
        <v>7</v>
      </c>
      <c r="I20" s="122"/>
      <c r="J20" s="122"/>
      <c r="K20" s="122"/>
      <c r="L20" s="122"/>
      <c r="M20" s="122"/>
      <c r="N20" s="122"/>
      <c r="O20" s="122"/>
      <c r="P20" s="122"/>
      <c r="Q20" s="122"/>
      <c r="R20" s="123"/>
    </row>
    <row r="21" spans="1:18" ht="24" customHeight="1" x14ac:dyDescent="0.3">
      <c r="A21" s="32" t="s">
        <v>8</v>
      </c>
      <c r="B21" s="32" t="s">
        <v>9</v>
      </c>
      <c r="C21" s="33" t="s">
        <v>10</v>
      </c>
      <c r="D21" s="32" t="s">
        <v>11</v>
      </c>
      <c r="E21" s="32" t="s">
        <v>12</v>
      </c>
      <c r="F21" s="34" t="s">
        <v>13</v>
      </c>
      <c r="G21" s="35" t="s">
        <v>14</v>
      </c>
      <c r="H21" s="32" t="s">
        <v>15</v>
      </c>
      <c r="I21" s="36" t="s">
        <v>16</v>
      </c>
      <c r="J21" s="37" t="s">
        <v>17</v>
      </c>
      <c r="K21" s="38" t="s">
        <v>18</v>
      </c>
      <c r="L21" s="37" t="s">
        <v>19</v>
      </c>
      <c r="M21" s="37" t="s">
        <v>20</v>
      </c>
      <c r="N21" s="37" t="s">
        <v>21</v>
      </c>
      <c r="O21" s="32" t="s">
        <v>22</v>
      </c>
      <c r="P21" s="33" t="s">
        <v>23</v>
      </c>
      <c r="Q21" s="37" t="s">
        <v>24</v>
      </c>
      <c r="R21" s="32" t="s">
        <v>25</v>
      </c>
    </row>
    <row r="22" spans="1:18" ht="15" customHeight="1" x14ac:dyDescent="0.3">
      <c r="A22" s="8" t="s">
        <v>26</v>
      </c>
      <c r="B22" s="8" t="s">
        <v>27</v>
      </c>
      <c r="C22" s="9">
        <v>0.4201388888888889</v>
      </c>
      <c r="D22" s="8" t="s">
        <v>69</v>
      </c>
      <c r="E22" s="8" t="s">
        <v>70</v>
      </c>
      <c r="F22" s="8" t="s">
        <v>30</v>
      </c>
      <c r="G22" s="130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9" t="s">
        <v>26</v>
      </c>
      <c r="B23" s="19" t="s">
        <v>27</v>
      </c>
      <c r="C23" s="20">
        <v>0.4201388888888889</v>
      </c>
      <c r="D23" s="19" t="s">
        <v>71</v>
      </c>
      <c r="E23" s="19" t="s">
        <v>72</v>
      </c>
      <c r="F23" s="19" t="s">
        <v>73</v>
      </c>
      <c r="G23" s="119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9" t="s">
        <v>26</v>
      </c>
      <c r="B24" s="19" t="s">
        <v>27</v>
      </c>
      <c r="C24" s="20">
        <v>0.4201388888888889</v>
      </c>
      <c r="D24" s="19" t="s">
        <v>74</v>
      </c>
      <c r="E24" s="19" t="s">
        <v>72</v>
      </c>
      <c r="F24" s="19" t="s">
        <v>75</v>
      </c>
      <c r="G24" s="119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31</v>
      </c>
      <c r="B25" s="15" t="s">
        <v>35</v>
      </c>
      <c r="C25" s="16">
        <v>0.75694444444444453</v>
      </c>
      <c r="D25" s="15" t="s">
        <v>76</v>
      </c>
      <c r="E25" s="15" t="s">
        <v>77</v>
      </c>
      <c r="F25" s="15" t="s">
        <v>30</v>
      </c>
      <c r="G25" s="119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9" t="s">
        <v>31</v>
      </c>
      <c r="B26" s="19" t="s">
        <v>35</v>
      </c>
      <c r="C26" s="20">
        <v>0.75694444444444453</v>
      </c>
      <c r="D26" s="19" t="s">
        <v>78</v>
      </c>
      <c r="E26" s="19" t="s">
        <v>79</v>
      </c>
      <c r="F26" s="19" t="s">
        <v>80</v>
      </c>
      <c r="G26" s="119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9" t="s">
        <v>31</v>
      </c>
      <c r="B27" s="19" t="s">
        <v>35</v>
      </c>
      <c r="C27" s="20">
        <v>0.75694444444444453</v>
      </c>
      <c r="D27" s="19" t="s">
        <v>81</v>
      </c>
      <c r="E27" s="19" t="s">
        <v>79</v>
      </c>
      <c r="F27" s="19" t="s">
        <v>82</v>
      </c>
      <c r="G27" s="119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38</v>
      </c>
      <c r="B28" s="15" t="s">
        <v>83</v>
      </c>
      <c r="C28" s="16">
        <v>0.44444444444444442</v>
      </c>
      <c r="D28" s="15" t="s">
        <v>40</v>
      </c>
      <c r="E28" s="15" t="s">
        <v>84</v>
      </c>
      <c r="F28" s="15" t="s">
        <v>42</v>
      </c>
      <c r="G28" s="119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7" t="s">
        <v>38</v>
      </c>
      <c r="B29" s="17" t="s">
        <v>85</v>
      </c>
      <c r="C29" s="18">
        <v>0.22222222222222221</v>
      </c>
      <c r="D29" s="17" t="s">
        <v>40</v>
      </c>
      <c r="E29" s="17" t="s">
        <v>62</v>
      </c>
      <c r="F29" s="17" t="s">
        <v>86</v>
      </c>
      <c r="G29" s="119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7" t="s">
        <v>38</v>
      </c>
      <c r="B30" s="17" t="s">
        <v>43</v>
      </c>
      <c r="C30" s="18">
        <v>0.49305555555555558</v>
      </c>
      <c r="D30" s="17" t="s">
        <v>40</v>
      </c>
      <c r="E30" s="17" t="s">
        <v>44</v>
      </c>
      <c r="F30" s="17" t="s">
        <v>45</v>
      </c>
      <c r="G30" s="119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46</v>
      </c>
      <c r="B31" s="15" t="s">
        <v>54</v>
      </c>
      <c r="C31" s="16">
        <v>0.4201388888888889</v>
      </c>
      <c r="D31" s="15" t="s">
        <v>51</v>
      </c>
      <c r="E31" s="15" t="s">
        <v>87</v>
      </c>
      <c r="F31" s="15" t="s">
        <v>88</v>
      </c>
      <c r="G31" s="119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7" t="s">
        <v>46</v>
      </c>
      <c r="B32" s="17" t="s">
        <v>47</v>
      </c>
      <c r="C32" s="18">
        <v>8.6805555555555566E-2</v>
      </c>
      <c r="D32" s="17" t="s">
        <v>48</v>
      </c>
      <c r="E32" s="17" t="s">
        <v>89</v>
      </c>
      <c r="F32" s="17" t="s">
        <v>90</v>
      </c>
      <c r="G32" s="119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9" t="s">
        <v>46</v>
      </c>
      <c r="B33" s="19" t="s">
        <v>47</v>
      </c>
      <c r="C33" s="20">
        <v>8.6805555555555566E-2</v>
      </c>
      <c r="D33" s="19" t="s">
        <v>51</v>
      </c>
      <c r="E33" s="19" t="s">
        <v>91</v>
      </c>
      <c r="F33" s="19" t="s">
        <v>92</v>
      </c>
      <c r="G33" s="119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7" t="s">
        <v>46</v>
      </c>
      <c r="B34" s="17" t="s">
        <v>57</v>
      </c>
      <c r="C34" s="18">
        <v>0.60416666666666663</v>
      </c>
      <c r="D34" s="17" t="s">
        <v>48</v>
      </c>
      <c r="E34" s="17" t="s">
        <v>62</v>
      </c>
      <c r="F34" s="17" t="s">
        <v>58</v>
      </c>
      <c r="G34" s="119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9" t="s">
        <v>46</v>
      </c>
      <c r="B35" s="19" t="s">
        <v>57</v>
      </c>
      <c r="C35" s="20">
        <v>0.60416666666666663</v>
      </c>
      <c r="D35" s="19" t="s">
        <v>51</v>
      </c>
      <c r="E35" s="19" t="s">
        <v>52</v>
      </c>
      <c r="F35" s="19" t="s">
        <v>60</v>
      </c>
      <c r="G35" s="119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7" t="s">
        <v>46</v>
      </c>
      <c r="B36" s="17" t="s">
        <v>61</v>
      </c>
      <c r="C36" s="18">
        <v>0.79513888888888884</v>
      </c>
      <c r="D36" s="17" t="s">
        <v>48</v>
      </c>
      <c r="E36" s="17" t="s">
        <v>62</v>
      </c>
      <c r="F36" s="17" t="s">
        <v>58</v>
      </c>
      <c r="G36" s="119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9" t="s">
        <v>46</v>
      </c>
      <c r="B37" s="19" t="s">
        <v>61</v>
      </c>
      <c r="C37" s="20">
        <v>0.79513888888888884</v>
      </c>
      <c r="D37" s="19" t="s">
        <v>51</v>
      </c>
      <c r="E37" s="19" t="s">
        <v>52</v>
      </c>
      <c r="F37" s="19" t="s">
        <v>60</v>
      </c>
      <c r="G37" s="119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thickBot="1" x14ac:dyDescent="0.35">
      <c r="A38" s="39" t="s">
        <v>63</v>
      </c>
      <c r="B38" s="39" t="s">
        <v>64</v>
      </c>
      <c r="C38" s="40">
        <v>0.90277777777777779</v>
      </c>
      <c r="D38" s="39" t="s">
        <v>65</v>
      </c>
      <c r="E38" s="41"/>
      <c r="F38" s="39" t="s">
        <v>66</v>
      </c>
      <c r="G38" s="120"/>
      <c r="H38" s="42" t="s">
        <v>64</v>
      </c>
      <c r="I38" s="43">
        <v>1</v>
      </c>
      <c r="J38" s="44">
        <v>179</v>
      </c>
      <c r="K38" s="45">
        <v>45977</v>
      </c>
      <c r="L38" s="44">
        <v>2</v>
      </c>
      <c r="M38" s="44">
        <v>0</v>
      </c>
      <c r="N38" s="44">
        <v>0</v>
      </c>
      <c r="O38" s="46" t="s">
        <v>67</v>
      </c>
      <c r="P38" s="47">
        <v>0.90277777777777779</v>
      </c>
      <c r="Q38" s="44">
        <v>179</v>
      </c>
      <c r="R38" s="48" t="s">
        <v>93</v>
      </c>
    </row>
    <row r="39" spans="1:18" ht="17.399999999999999" customHeight="1" thickBot="1" x14ac:dyDescent="0.35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2"/>
    </row>
    <row r="40" spans="1:18" ht="22.05" customHeight="1" thickTop="1" thickBot="1" x14ac:dyDescent="0.35">
      <c r="A40" s="133" t="s">
        <v>6</v>
      </c>
      <c r="B40" s="122"/>
      <c r="C40" s="122"/>
      <c r="D40" s="122"/>
      <c r="E40" s="122"/>
      <c r="F40" s="123"/>
      <c r="G40" s="31">
        <v>45985</v>
      </c>
      <c r="H40" s="121" t="s">
        <v>7</v>
      </c>
      <c r="I40" s="122"/>
      <c r="J40" s="122"/>
      <c r="K40" s="122"/>
      <c r="L40" s="122"/>
      <c r="M40" s="122"/>
      <c r="N40" s="122"/>
      <c r="O40" s="122"/>
      <c r="P40" s="122"/>
      <c r="Q40" s="122"/>
      <c r="R40" s="123"/>
    </row>
    <row r="41" spans="1:18" ht="24" customHeight="1" x14ac:dyDescent="0.3">
      <c r="A41" s="32" t="s">
        <v>8</v>
      </c>
      <c r="B41" s="32" t="s">
        <v>9</v>
      </c>
      <c r="C41" s="33" t="s">
        <v>10</v>
      </c>
      <c r="D41" s="32" t="s">
        <v>11</v>
      </c>
      <c r="E41" s="32" t="s">
        <v>12</v>
      </c>
      <c r="F41" s="34" t="s">
        <v>13</v>
      </c>
      <c r="G41" s="35" t="s">
        <v>14</v>
      </c>
      <c r="H41" s="32" t="s">
        <v>15</v>
      </c>
      <c r="I41" s="36" t="s">
        <v>16</v>
      </c>
      <c r="J41" s="37" t="s">
        <v>17</v>
      </c>
      <c r="K41" s="38" t="s">
        <v>18</v>
      </c>
      <c r="L41" s="37" t="s">
        <v>19</v>
      </c>
      <c r="M41" s="37" t="s">
        <v>20</v>
      </c>
      <c r="N41" s="37" t="s">
        <v>21</v>
      </c>
      <c r="O41" s="32" t="s">
        <v>22</v>
      </c>
      <c r="P41" s="33" t="s">
        <v>23</v>
      </c>
      <c r="Q41" s="37" t="s">
        <v>24</v>
      </c>
      <c r="R41" s="32" t="s">
        <v>25</v>
      </c>
    </row>
    <row r="42" spans="1:18" ht="15" customHeight="1" x14ac:dyDescent="0.3">
      <c r="A42" s="8" t="s">
        <v>31</v>
      </c>
      <c r="B42" s="8" t="s">
        <v>32</v>
      </c>
      <c r="C42" s="9">
        <v>0.35416666666666669</v>
      </c>
      <c r="D42" s="8" t="s">
        <v>76</v>
      </c>
      <c r="E42" s="8" t="s">
        <v>34</v>
      </c>
      <c r="F42" s="8" t="s">
        <v>30</v>
      </c>
      <c r="G42" s="118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31</v>
      </c>
      <c r="B43" s="19" t="s">
        <v>32</v>
      </c>
      <c r="C43" s="20">
        <v>0.35416666666666669</v>
      </c>
      <c r="D43" s="19" t="s">
        <v>78</v>
      </c>
      <c r="E43" s="19" t="s">
        <v>94</v>
      </c>
      <c r="F43" s="19" t="s">
        <v>80</v>
      </c>
      <c r="G43" s="119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31</v>
      </c>
      <c r="B44" s="19" t="s">
        <v>32</v>
      </c>
      <c r="C44" s="20">
        <v>0.35416666666666669</v>
      </c>
      <c r="D44" s="19" t="s">
        <v>81</v>
      </c>
      <c r="E44" s="19" t="s">
        <v>94</v>
      </c>
      <c r="F44" s="19" t="s">
        <v>82</v>
      </c>
      <c r="G44" s="119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7" t="s">
        <v>31</v>
      </c>
      <c r="B45" s="17" t="s">
        <v>35</v>
      </c>
      <c r="C45" s="18">
        <v>0.75694444444444453</v>
      </c>
      <c r="D45" s="17" t="s">
        <v>76</v>
      </c>
      <c r="E45" s="17" t="s">
        <v>62</v>
      </c>
      <c r="F45" s="17" t="s">
        <v>95</v>
      </c>
      <c r="G45" s="119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9" t="s">
        <v>31</v>
      </c>
      <c r="B46" s="19" t="s">
        <v>35</v>
      </c>
      <c r="C46" s="20">
        <v>0.75694444444444453</v>
      </c>
      <c r="D46" s="19" t="s">
        <v>78</v>
      </c>
      <c r="E46" s="19" t="s">
        <v>52</v>
      </c>
      <c r="F46" s="19" t="s">
        <v>96</v>
      </c>
      <c r="G46" s="119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9" t="s">
        <v>31</v>
      </c>
      <c r="B47" s="19" t="s">
        <v>35</v>
      </c>
      <c r="C47" s="20">
        <v>0.75694444444444453</v>
      </c>
      <c r="D47" s="19" t="s">
        <v>81</v>
      </c>
      <c r="E47" s="19" t="s">
        <v>52</v>
      </c>
      <c r="F47" s="19" t="s">
        <v>97</v>
      </c>
      <c r="G47" s="119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5" t="s">
        <v>26</v>
      </c>
      <c r="B48" s="15" t="s">
        <v>27</v>
      </c>
      <c r="C48" s="16">
        <v>0.4201388888888889</v>
      </c>
      <c r="D48" s="15" t="s">
        <v>69</v>
      </c>
      <c r="E48" s="15" t="s">
        <v>34</v>
      </c>
      <c r="F48" s="15" t="s">
        <v>98</v>
      </c>
      <c r="G48" s="119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9" t="s">
        <v>26</v>
      </c>
      <c r="B49" s="19" t="s">
        <v>27</v>
      </c>
      <c r="C49" s="20">
        <v>0.4201388888888889</v>
      </c>
      <c r="D49" s="19" t="s">
        <v>71</v>
      </c>
      <c r="E49" s="19" t="s">
        <v>94</v>
      </c>
      <c r="F49" s="19" t="s">
        <v>99</v>
      </c>
      <c r="G49" s="119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26</v>
      </c>
      <c r="B50" s="19" t="s">
        <v>27</v>
      </c>
      <c r="C50" s="20">
        <v>0.4201388888888889</v>
      </c>
      <c r="D50" s="19" t="s">
        <v>74</v>
      </c>
      <c r="E50" s="19" t="s">
        <v>94</v>
      </c>
      <c r="F50" s="19" t="s">
        <v>75</v>
      </c>
      <c r="G50" s="119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38</v>
      </c>
      <c r="B51" s="15" t="s">
        <v>85</v>
      </c>
      <c r="C51" s="16">
        <v>0.22222222222222221</v>
      </c>
      <c r="D51" s="15" t="s">
        <v>40</v>
      </c>
      <c r="E51" s="15" t="s">
        <v>41</v>
      </c>
      <c r="F51" s="15" t="s">
        <v>100</v>
      </c>
      <c r="G51" s="119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5" t="s">
        <v>46</v>
      </c>
      <c r="B52" s="15" t="s">
        <v>47</v>
      </c>
      <c r="C52" s="16">
        <v>8.6805555555555566E-2</v>
      </c>
      <c r="D52" s="15" t="s">
        <v>48</v>
      </c>
      <c r="E52" s="15" t="s">
        <v>41</v>
      </c>
      <c r="F52" s="15" t="s">
        <v>50</v>
      </c>
      <c r="G52" s="119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9" t="s">
        <v>46</v>
      </c>
      <c r="B53" s="19" t="s">
        <v>47</v>
      </c>
      <c r="C53" s="20">
        <v>8.6805555555555566E-2</v>
      </c>
      <c r="D53" s="19" t="s">
        <v>51</v>
      </c>
      <c r="E53" s="19" t="s">
        <v>91</v>
      </c>
      <c r="F53" s="19" t="s">
        <v>53</v>
      </c>
      <c r="G53" s="119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46</v>
      </c>
      <c r="B54" s="17" t="s">
        <v>54</v>
      </c>
      <c r="C54" s="18">
        <v>0.4201388888888889</v>
      </c>
      <c r="D54" s="17" t="s">
        <v>51</v>
      </c>
      <c r="E54" s="17" t="s">
        <v>55</v>
      </c>
      <c r="F54" s="17" t="s">
        <v>88</v>
      </c>
      <c r="G54" s="119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46</v>
      </c>
      <c r="B55" s="17" t="s">
        <v>57</v>
      </c>
      <c r="C55" s="18">
        <v>0.60416666666666663</v>
      </c>
      <c r="D55" s="17" t="s">
        <v>48</v>
      </c>
      <c r="E55" s="17" t="s">
        <v>62</v>
      </c>
      <c r="F55" s="17" t="s">
        <v>58</v>
      </c>
      <c r="G55" s="119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thickBot="1" x14ac:dyDescent="0.35">
      <c r="A56" s="49" t="s">
        <v>46</v>
      </c>
      <c r="B56" s="49" t="s">
        <v>57</v>
      </c>
      <c r="C56" s="50">
        <v>0.60416666666666663</v>
      </c>
      <c r="D56" s="49" t="s">
        <v>51</v>
      </c>
      <c r="E56" s="49" t="s">
        <v>52</v>
      </c>
      <c r="F56" s="49" t="s">
        <v>60</v>
      </c>
      <c r="G56" s="120"/>
      <c r="H56" s="51"/>
      <c r="I56" s="52"/>
      <c r="J56" s="52"/>
      <c r="K56" s="52"/>
      <c r="L56" s="52"/>
      <c r="M56" s="52"/>
      <c r="N56" s="52"/>
      <c r="O56" s="53"/>
      <c r="P56" s="52"/>
      <c r="Q56" s="54"/>
      <c r="R56" s="55"/>
    </row>
    <row r="57" spans="1:18" ht="17.399999999999999" customHeight="1" thickBot="1" x14ac:dyDescent="0.35">
      <c r="A57" s="150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2"/>
    </row>
    <row r="58" spans="1:18" ht="22.05" customHeight="1" thickTop="1" thickBot="1" x14ac:dyDescent="0.35">
      <c r="A58" s="133" t="s">
        <v>6</v>
      </c>
      <c r="B58" s="122"/>
      <c r="C58" s="122"/>
      <c r="D58" s="122"/>
      <c r="E58" s="122"/>
      <c r="F58" s="123"/>
      <c r="G58" s="31">
        <v>45986</v>
      </c>
      <c r="H58" s="121" t="s">
        <v>7</v>
      </c>
      <c r="I58" s="122"/>
      <c r="J58" s="122"/>
      <c r="K58" s="122"/>
      <c r="L58" s="122"/>
      <c r="M58" s="122"/>
      <c r="N58" s="122"/>
      <c r="O58" s="122"/>
      <c r="P58" s="122"/>
      <c r="Q58" s="122"/>
      <c r="R58" s="123"/>
    </row>
    <row r="59" spans="1:18" ht="24" customHeight="1" x14ac:dyDescent="0.3">
      <c r="A59" s="32" t="s">
        <v>8</v>
      </c>
      <c r="B59" s="32" t="s">
        <v>9</v>
      </c>
      <c r="C59" s="33" t="s">
        <v>10</v>
      </c>
      <c r="D59" s="32" t="s">
        <v>11</v>
      </c>
      <c r="E59" s="32" t="s">
        <v>12</v>
      </c>
      <c r="F59" s="34" t="s">
        <v>13</v>
      </c>
      <c r="G59" s="35" t="s">
        <v>14</v>
      </c>
      <c r="H59" s="32" t="s">
        <v>15</v>
      </c>
      <c r="I59" s="36" t="s">
        <v>16</v>
      </c>
      <c r="J59" s="37" t="s">
        <v>17</v>
      </c>
      <c r="K59" s="38" t="s">
        <v>18</v>
      </c>
      <c r="L59" s="37" t="s">
        <v>19</v>
      </c>
      <c r="M59" s="37" t="s">
        <v>20</v>
      </c>
      <c r="N59" s="37" t="s">
        <v>21</v>
      </c>
      <c r="O59" s="32" t="s">
        <v>22</v>
      </c>
      <c r="P59" s="33" t="s">
        <v>23</v>
      </c>
      <c r="Q59" s="37" t="s">
        <v>24</v>
      </c>
      <c r="R59" s="32" t="s">
        <v>25</v>
      </c>
    </row>
    <row r="60" spans="1:18" ht="15" customHeight="1" x14ac:dyDescent="0.3">
      <c r="A60" s="8" t="s">
        <v>26</v>
      </c>
      <c r="B60" s="8" t="s">
        <v>27</v>
      </c>
      <c r="C60" s="9">
        <v>0.4201388888888889</v>
      </c>
      <c r="D60" s="8" t="s">
        <v>69</v>
      </c>
      <c r="E60" s="8" t="s">
        <v>101</v>
      </c>
      <c r="F60" s="8" t="s">
        <v>30</v>
      </c>
      <c r="G60" s="118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26</v>
      </c>
      <c r="B61" s="19" t="s">
        <v>27</v>
      </c>
      <c r="C61" s="20">
        <v>0.4201388888888889</v>
      </c>
      <c r="D61" s="19" t="s">
        <v>71</v>
      </c>
      <c r="E61" s="19" t="s">
        <v>102</v>
      </c>
      <c r="F61" s="19" t="s">
        <v>73</v>
      </c>
      <c r="G61" s="119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9" t="s">
        <v>26</v>
      </c>
      <c r="B62" s="19" t="s">
        <v>27</v>
      </c>
      <c r="C62" s="20">
        <v>0.4201388888888889</v>
      </c>
      <c r="D62" s="19" t="s">
        <v>74</v>
      </c>
      <c r="E62" s="19" t="s">
        <v>102</v>
      </c>
      <c r="F62" s="19" t="s">
        <v>75</v>
      </c>
      <c r="G62" s="119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31</v>
      </c>
      <c r="B63" s="15" t="s">
        <v>35</v>
      </c>
      <c r="C63" s="16">
        <v>0.75694444444444453</v>
      </c>
      <c r="D63" s="15" t="s">
        <v>76</v>
      </c>
      <c r="E63" s="15" t="s">
        <v>49</v>
      </c>
      <c r="F63" s="15" t="s">
        <v>103</v>
      </c>
      <c r="G63" s="119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9" t="s">
        <v>31</v>
      </c>
      <c r="B64" s="19" t="s">
        <v>35</v>
      </c>
      <c r="C64" s="20">
        <v>0.75694444444444453</v>
      </c>
      <c r="D64" s="19" t="s">
        <v>78</v>
      </c>
      <c r="E64" s="19" t="s">
        <v>52</v>
      </c>
      <c r="F64" s="19" t="s">
        <v>104</v>
      </c>
      <c r="G64" s="119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9" t="s">
        <v>31</v>
      </c>
      <c r="B65" s="19" t="s">
        <v>35</v>
      </c>
      <c r="C65" s="20">
        <v>0.75694444444444453</v>
      </c>
      <c r="D65" s="19" t="s">
        <v>81</v>
      </c>
      <c r="E65" s="19" t="s">
        <v>52</v>
      </c>
      <c r="F65" s="19" t="s">
        <v>105</v>
      </c>
      <c r="G65" s="119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56" t="s">
        <v>63</v>
      </c>
      <c r="B66" s="56" t="s">
        <v>106</v>
      </c>
      <c r="C66" s="57">
        <v>0.27777777777777779</v>
      </c>
      <c r="D66" s="56" t="s">
        <v>107</v>
      </c>
      <c r="E66" s="56" t="s">
        <v>41</v>
      </c>
      <c r="F66" s="56" t="s">
        <v>108</v>
      </c>
      <c r="G66" s="119"/>
      <c r="H66" s="58" t="s">
        <v>109</v>
      </c>
      <c r="I66" s="59">
        <v>0.51190000000000002</v>
      </c>
      <c r="J66" s="60">
        <v>86</v>
      </c>
      <c r="K66" s="61">
        <v>45981</v>
      </c>
      <c r="L66" s="60">
        <v>25</v>
      </c>
      <c r="M66" s="60">
        <v>1</v>
      </c>
      <c r="N66" s="60">
        <v>0</v>
      </c>
      <c r="O66" s="62" t="s">
        <v>110</v>
      </c>
      <c r="P66" s="63">
        <v>0.27777777777777779</v>
      </c>
      <c r="Q66" s="60">
        <v>168</v>
      </c>
      <c r="R66" s="64" t="s">
        <v>111</v>
      </c>
    </row>
    <row r="67" spans="1:18" ht="15" customHeight="1" x14ac:dyDescent="0.3">
      <c r="A67" s="65" t="s">
        <v>63</v>
      </c>
      <c r="B67" s="65" t="s">
        <v>112</v>
      </c>
      <c r="C67" s="66">
        <v>4.8611111111111112E-2</v>
      </c>
      <c r="D67" s="65" t="s">
        <v>107</v>
      </c>
      <c r="E67" s="65" t="s">
        <v>113</v>
      </c>
      <c r="F67" s="65" t="s">
        <v>114</v>
      </c>
      <c r="G67" s="119"/>
      <c r="H67" s="67" t="s">
        <v>115</v>
      </c>
      <c r="I67" s="68">
        <v>0.91059999999999997</v>
      </c>
      <c r="J67" s="69">
        <v>163</v>
      </c>
      <c r="K67" s="70">
        <v>45965</v>
      </c>
      <c r="L67" s="69">
        <v>0</v>
      </c>
      <c r="M67" s="69">
        <v>0</v>
      </c>
      <c r="N67" s="69">
        <v>0</v>
      </c>
      <c r="O67" s="71" t="s">
        <v>116</v>
      </c>
      <c r="P67" s="72">
        <v>4.8611111111111112E-2</v>
      </c>
      <c r="Q67" s="69">
        <v>179</v>
      </c>
      <c r="R67" s="73" t="s">
        <v>117</v>
      </c>
    </row>
    <row r="68" spans="1:18" ht="15" customHeight="1" x14ac:dyDescent="0.3">
      <c r="A68" s="74" t="s">
        <v>63</v>
      </c>
      <c r="B68" s="74" t="s">
        <v>64</v>
      </c>
      <c r="C68" s="75">
        <v>0.97916666666666663</v>
      </c>
      <c r="D68" s="74" t="s">
        <v>65</v>
      </c>
      <c r="E68" s="76"/>
      <c r="F68" s="74" t="s">
        <v>66</v>
      </c>
      <c r="G68" s="119"/>
      <c r="H68" s="77" t="s">
        <v>64</v>
      </c>
      <c r="I68" s="78">
        <v>1</v>
      </c>
      <c r="J68" s="79">
        <v>179</v>
      </c>
      <c r="K68" s="80">
        <v>45980</v>
      </c>
      <c r="L68" s="79">
        <v>9</v>
      </c>
      <c r="M68" s="79">
        <v>0</v>
      </c>
      <c r="N68" s="79">
        <v>1</v>
      </c>
      <c r="O68" s="81" t="s">
        <v>67</v>
      </c>
      <c r="P68" s="82">
        <v>0.97916666666666663</v>
      </c>
      <c r="Q68" s="79">
        <v>179</v>
      </c>
      <c r="R68" s="83" t="s">
        <v>118</v>
      </c>
    </row>
    <row r="69" spans="1:18" ht="15" customHeight="1" x14ac:dyDescent="0.3">
      <c r="A69" s="15" t="s">
        <v>38</v>
      </c>
      <c r="B69" s="15" t="s">
        <v>39</v>
      </c>
      <c r="C69" s="16">
        <v>9.7222222222222224E-2</v>
      </c>
      <c r="D69" s="15" t="s">
        <v>40</v>
      </c>
      <c r="E69" s="15" t="s">
        <v>41</v>
      </c>
      <c r="F69" s="15" t="s">
        <v>42</v>
      </c>
      <c r="G69" s="119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7" t="s">
        <v>38</v>
      </c>
      <c r="B70" s="17" t="s">
        <v>43</v>
      </c>
      <c r="C70" s="18">
        <v>0.49305555555555558</v>
      </c>
      <c r="D70" s="17" t="s">
        <v>40</v>
      </c>
      <c r="E70" s="17" t="s">
        <v>89</v>
      </c>
      <c r="F70" s="17" t="s">
        <v>119</v>
      </c>
      <c r="G70" s="119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7" t="s">
        <v>38</v>
      </c>
      <c r="B71" s="17" t="s">
        <v>85</v>
      </c>
      <c r="C71" s="18">
        <v>0.22222222222222221</v>
      </c>
      <c r="D71" s="17" t="s">
        <v>40</v>
      </c>
      <c r="E71" s="17" t="s">
        <v>89</v>
      </c>
      <c r="F71" s="17" t="s">
        <v>119</v>
      </c>
      <c r="G71" s="119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7" t="s">
        <v>38</v>
      </c>
      <c r="B72" s="17" t="s">
        <v>83</v>
      </c>
      <c r="C72" s="18">
        <v>0.44444444444444442</v>
      </c>
      <c r="D72" s="17" t="s">
        <v>40</v>
      </c>
      <c r="E72" s="17" t="s">
        <v>120</v>
      </c>
      <c r="F72" s="17" t="s">
        <v>119</v>
      </c>
      <c r="G72" s="119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7" t="s">
        <v>38</v>
      </c>
      <c r="B73" s="17" t="s">
        <v>121</v>
      </c>
      <c r="C73" s="18">
        <v>0.85416666666666663</v>
      </c>
      <c r="D73" s="17" t="s">
        <v>40</v>
      </c>
      <c r="E73" s="17" t="s">
        <v>89</v>
      </c>
      <c r="F73" s="17" t="s">
        <v>45</v>
      </c>
      <c r="G73" s="119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5" t="s">
        <v>46</v>
      </c>
      <c r="B74" s="15" t="s">
        <v>57</v>
      </c>
      <c r="C74" s="16">
        <v>0.60416666666666663</v>
      </c>
      <c r="D74" s="15" t="s">
        <v>48</v>
      </c>
      <c r="E74" s="15" t="s">
        <v>41</v>
      </c>
      <c r="F74" s="15" t="s">
        <v>50</v>
      </c>
      <c r="G74" s="119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9" t="s">
        <v>46</v>
      </c>
      <c r="B75" s="19" t="s">
        <v>57</v>
      </c>
      <c r="C75" s="20">
        <v>0.60416666666666663</v>
      </c>
      <c r="D75" s="19" t="s">
        <v>51</v>
      </c>
      <c r="E75" s="19" t="s">
        <v>91</v>
      </c>
      <c r="F75" s="19" t="s">
        <v>53</v>
      </c>
      <c r="G75" s="119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7" t="s">
        <v>46</v>
      </c>
      <c r="B76" s="17" t="s">
        <v>54</v>
      </c>
      <c r="C76" s="18">
        <v>0.4201388888888889</v>
      </c>
      <c r="D76" s="17" t="s">
        <v>51</v>
      </c>
      <c r="E76" s="17" t="s">
        <v>55</v>
      </c>
      <c r="F76" s="17" t="s">
        <v>88</v>
      </c>
      <c r="G76" s="119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7" t="s">
        <v>46</v>
      </c>
      <c r="B77" s="17" t="s">
        <v>61</v>
      </c>
      <c r="C77" s="18">
        <v>0.79513888888888884</v>
      </c>
      <c r="D77" s="17" t="s">
        <v>48</v>
      </c>
      <c r="E77" s="17" t="s">
        <v>62</v>
      </c>
      <c r="F77" s="17" t="s">
        <v>90</v>
      </c>
      <c r="G77" s="119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9" t="s">
        <v>46</v>
      </c>
      <c r="B78" s="19" t="s">
        <v>61</v>
      </c>
      <c r="C78" s="20">
        <v>0.79513888888888884</v>
      </c>
      <c r="D78" s="19" t="s">
        <v>51</v>
      </c>
      <c r="E78" s="19" t="s">
        <v>52</v>
      </c>
      <c r="F78" s="19" t="s">
        <v>92</v>
      </c>
      <c r="G78" s="119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7" t="s">
        <v>46</v>
      </c>
      <c r="B79" s="17" t="s">
        <v>47</v>
      </c>
      <c r="C79" s="18">
        <v>8.6805555555555566E-2</v>
      </c>
      <c r="D79" s="17" t="s">
        <v>48</v>
      </c>
      <c r="E79" s="17" t="s">
        <v>89</v>
      </c>
      <c r="F79" s="17" t="s">
        <v>90</v>
      </c>
      <c r="G79" s="119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49" t="s">
        <v>46</v>
      </c>
      <c r="B80" s="49" t="s">
        <v>47</v>
      </c>
      <c r="C80" s="50">
        <v>8.6805555555555566E-2</v>
      </c>
      <c r="D80" s="49" t="s">
        <v>51</v>
      </c>
      <c r="E80" s="49" t="s">
        <v>91</v>
      </c>
      <c r="F80" s="49" t="s">
        <v>92</v>
      </c>
      <c r="G80" s="120"/>
      <c r="H80" s="51"/>
      <c r="I80" s="52"/>
      <c r="J80" s="52"/>
      <c r="K80" s="52"/>
      <c r="L80" s="52"/>
      <c r="M80" s="52"/>
      <c r="N80" s="52"/>
      <c r="O80" s="53"/>
      <c r="P80" s="52"/>
      <c r="Q80" s="54"/>
      <c r="R80" s="55"/>
    </row>
  </sheetData>
  <mergeCells count="22">
    <mergeCell ref="A19:R19"/>
    <mergeCell ref="A58:F58"/>
    <mergeCell ref="K2:R2"/>
    <mergeCell ref="A40:F40"/>
    <mergeCell ref="A39:R39"/>
    <mergeCell ref="G22:G38"/>
    <mergeCell ref="G60:G80"/>
    <mergeCell ref="H20:R20"/>
    <mergeCell ref="H1:L1"/>
    <mergeCell ref="A1:E1"/>
    <mergeCell ref="G42:G56"/>
    <mergeCell ref="H4:R4"/>
    <mergeCell ref="H58:R58"/>
    <mergeCell ref="H40:R40"/>
    <mergeCell ref="A2:F2"/>
    <mergeCell ref="A3:R3"/>
    <mergeCell ref="A57:R57"/>
    <mergeCell ref="G6:G18"/>
    <mergeCell ref="G2:J2"/>
    <mergeCell ref="A4:F4"/>
    <mergeCell ref="A20:F20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"/>
  <sheetViews>
    <sheetView workbookViewId="0"/>
  </sheetViews>
  <sheetFormatPr defaultRowHeight="15.6" outlineLevelCol="1" x14ac:dyDescent="0.3"/>
  <cols>
    <col min="1" max="1" width="9.77734375" style="137" bestFit="1" customWidth="1"/>
    <col min="2" max="2" width="10.44140625" style="137" bestFit="1" customWidth="1"/>
    <col min="3" max="3" width="6.77734375" style="137" bestFit="1" customWidth="1"/>
    <col min="4" max="4" width="5.5546875" style="137" bestFit="1" customWidth="1"/>
    <col min="5" max="5" width="8.5546875" style="137" bestFit="1" customWidth="1"/>
    <col min="6" max="6" width="4.21875" style="137" bestFit="1" customWidth="1"/>
    <col min="7" max="7" width="10" style="137" bestFit="1" customWidth="1"/>
    <col min="8" max="10" width="7" style="137" bestFit="1" customWidth="1"/>
    <col min="11" max="11" width="10.5546875" style="137" bestFit="1" customWidth="1"/>
    <col min="12" max="12" width="9.109375" style="137" bestFit="1" customWidth="1"/>
    <col min="13" max="13" width="7.6640625" style="137" bestFit="1" customWidth="1" outlineLevel="1"/>
    <col min="14" max="14" width="6.33203125" style="137" bestFit="1" customWidth="1" outlineLevel="1"/>
    <col min="15" max="15" width="8" style="137" bestFit="1" customWidth="1" outlineLevel="1"/>
    <col min="16" max="16" width="13.6640625" style="137" bestFit="1" customWidth="1"/>
    <col min="17" max="24" width="3.88671875" style="137" bestFit="1" customWidth="1"/>
    <col min="25" max="25" width="4.44140625" style="137" bestFit="1" customWidth="1"/>
    <col min="26" max="26" width="4.109375" style="137" bestFit="1" customWidth="1"/>
    <col min="27" max="27" width="5" style="137" bestFit="1" customWidth="1"/>
    <col min="28" max="29" width="4.21875" style="137" bestFit="1" customWidth="1"/>
    <col min="30" max="31" width="4.5546875" style="137" bestFit="1" customWidth="1"/>
    <col min="32" max="32" width="3.88671875" style="137" bestFit="1" customWidth="1"/>
    <col min="33" max="33" width="4.21875" style="137" bestFit="1" customWidth="1"/>
    <col min="34" max="34" width="3.88671875" style="137" bestFit="1" customWidth="1"/>
    <col min="35" max="35" width="5.21875" style="137" bestFit="1" customWidth="1"/>
    <col min="36" max="36" width="3.88671875" style="137" bestFit="1" customWidth="1"/>
    <col min="37" max="16384" width="8.88671875" style="137"/>
  </cols>
  <sheetData>
    <row r="1" spans="1:36" x14ac:dyDescent="0.3">
      <c r="A1" s="136" t="s">
        <v>122</v>
      </c>
      <c r="B1" s="136" t="s">
        <v>123</v>
      </c>
      <c r="C1" s="136" t="s">
        <v>124</v>
      </c>
      <c r="D1" s="136" t="s">
        <v>23</v>
      </c>
      <c r="E1" s="136" t="s">
        <v>125</v>
      </c>
      <c r="F1" s="136" t="s">
        <v>126</v>
      </c>
      <c r="G1" s="136" t="s">
        <v>16</v>
      </c>
      <c r="H1" s="136" t="s">
        <v>127</v>
      </c>
      <c r="I1" s="136" t="s">
        <v>128</v>
      </c>
      <c r="J1" s="136" t="s">
        <v>129</v>
      </c>
      <c r="K1" s="136" t="s">
        <v>130</v>
      </c>
      <c r="L1" s="136" t="s">
        <v>18</v>
      </c>
      <c r="M1" s="136" t="s">
        <v>20</v>
      </c>
      <c r="N1" s="136" t="s">
        <v>21</v>
      </c>
      <c r="O1" s="136" t="s">
        <v>19</v>
      </c>
      <c r="P1" s="136" t="s">
        <v>22</v>
      </c>
      <c r="Q1" s="136" t="s">
        <v>131</v>
      </c>
      <c r="R1" s="136" t="s">
        <v>132</v>
      </c>
      <c r="S1" s="136" t="s">
        <v>133</v>
      </c>
      <c r="T1" s="136" t="s">
        <v>134</v>
      </c>
      <c r="U1" s="136" t="s">
        <v>135</v>
      </c>
      <c r="V1" s="136" t="s">
        <v>136</v>
      </c>
      <c r="W1" s="136" t="s">
        <v>137</v>
      </c>
      <c r="X1" s="136" t="s">
        <v>138</v>
      </c>
      <c r="Y1" s="136" t="s">
        <v>139</v>
      </c>
      <c r="Z1" s="136" t="s">
        <v>140</v>
      </c>
      <c r="AA1" s="136" t="s">
        <v>141</v>
      </c>
      <c r="AB1" s="136" t="s">
        <v>142</v>
      </c>
      <c r="AC1" s="136" t="s">
        <v>143</v>
      </c>
      <c r="AD1" s="136" t="s">
        <v>144</v>
      </c>
      <c r="AE1" s="136" t="s">
        <v>145</v>
      </c>
      <c r="AF1" s="136" t="s">
        <v>146</v>
      </c>
      <c r="AG1" s="136" t="s">
        <v>147</v>
      </c>
      <c r="AH1" s="136" t="s">
        <v>148</v>
      </c>
      <c r="AI1" s="136" t="s">
        <v>149</v>
      </c>
      <c r="AJ1" s="136" t="s">
        <v>150</v>
      </c>
    </row>
    <row r="2" spans="1:36" x14ac:dyDescent="0.3">
      <c r="A2" s="138" t="s">
        <v>151</v>
      </c>
      <c r="B2" s="139">
        <v>45983</v>
      </c>
      <c r="C2" s="140" t="s">
        <v>64</v>
      </c>
      <c r="D2" s="141" t="s">
        <v>152</v>
      </c>
      <c r="E2" s="140" t="s">
        <v>1</v>
      </c>
      <c r="F2" s="140" t="s">
        <v>153</v>
      </c>
      <c r="G2" s="142">
        <v>1</v>
      </c>
      <c r="H2" s="143">
        <v>179</v>
      </c>
      <c r="I2" s="143">
        <v>179</v>
      </c>
      <c r="J2" s="143">
        <v>130</v>
      </c>
      <c r="K2" s="140" t="s">
        <v>154</v>
      </c>
      <c r="L2" s="144">
        <v>45974</v>
      </c>
      <c r="M2" s="143">
        <v>0</v>
      </c>
      <c r="N2" s="143">
        <v>0</v>
      </c>
      <c r="O2" s="143">
        <v>1</v>
      </c>
      <c r="P2" s="140" t="s">
        <v>67</v>
      </c>
      <c r="Q2" s="136"/>
      <c r="R2" s="136"/>
      <c r="S2" s="136"/>
      <c r="T2" s="136"/>
      <c r="U2" s="143" t="s">
        <v>155</v>
      </c>
      <c r="V2" s="136"/>
      <c r="W2" s="136"/>
      <c r="X2" s="136"/>
      <c r="Y2" s="136"/>
      <c r="Z2" s="136"/>
      <c r="AA2" s="136"/>
      <c r="AB2" s="143" t="s">
        <v>156</v>
      </c>
      <c r="AC2" s="143" t="s">
        <v>157</v>
      </c>
      <c r="AD2" s="143" t="s">
        <v>158</v>
      </c>
      <c r="AE2" s="143" t="s">
        <v>159</v>
      </c>
      <c r="AF2" s="143" t="s">
        <v>160</v>
      </c>
      <c r="AG2" s="136"/>
      <c r="AH2" s="136"/>
      <c r="AI2" s="143" t="s">
        <v>161</v>
      </c>
      <c r="AJ2" s="143" t="s">
        <v>162</v>
      </c>
    </row>
    <row r="3" spans="1:36" x14ac:dyDescent="0.3">
      <c r="A3" s="138" t="s">
        <v>163</v>
      </c>
      <c r="B3" s="139">
        <v>45984</v>
      </c>
      <c r="C3" s="140" t="s">
        <v>64</v>
      </c>
      <c r="D3" s="141" t="s">
        <v>164</v>
      </c>
      <c r="E3" s="140" t="s">
        <v>1</v>
      </c>
      <c r="F3" s="140" t="s">
        <v>153</v>
      </c>
      <c r="G3" s="142">
        <v>1</v>
      </c>
      <c r="H3" s="143">
        <v>179</v>
      </c>
      <c r="I3" s="143">
        <v>179</v>
      </c>
      <c r="J3" s="143">
        <v>86</v>
      </c>
      <c r="K3" s="140" t="s">
        <v>154</v>
      </c>
      <c r="L3" s="144">
        <v>45977</v>
      </c>
      <c r="M3" s="143">
        <v>0</v>
      </c>
      <c r="N3" s="143">
        <v>0</v>
      </c>
      <c r="O3" s="143">
        <v>2</v>
      </c>
      <c r="P3" s="140" t="s">
        <v>67</v>
      </c>
      <c r="Q3" s="136"/>
      <c r="R3" s="136"/>
      <c r="S3" s="136"/>
      <c r="T3" s="136"/>
      <c r="U3" s="136"/>
      <c r="V3" s="143" t="s">
        <v>165</v>
      </c>
      <c r="W3" s="136"/>
      <c r="X3" s="136"/>
      <c r="Y3" s="143" t="s">
        <v>166</v>
      </c>
      <c r="Z3" s="143" t="s">
        <v>167</v>
      </c>
      <c r="AA3" s="136"/>
      <c r="AB3" s="143" t="s">
        <v>168</v>
      </c>
      <c r="AC3" s="143" t="s">
        <v>169</v>
      </c>
      <c r="AD3" s="143" t="s">
        <v>170</v>
      </c>
      <c r="AE3" s="143" t="s">
        <v>171</v>
      </c>
      <c r="AF3" s="143" t="s">
        <v>160</v>
      </c>
      <c r="AG3" s="136"/>
      <c r="AH3" s="136"/>
      <c r="AI3" s="143" t="s">
        <v>172</v>
      </c>
      <c r="AJ3" s="143" t="s">
        <v>173</v>
      </c>
    </row>
    <row r="4" spans="1:36" x14ac:dyDescent="0.3">
      <c r="A4" s="138" t="s">
        <v>174</v>
      </c>
      <c r="B4" s="139">
        <v>45986</v>
      </c>
      <c r="C4" s="140" t="s">
        <v>115</v>
      </c>
      <c r="D4" s="141" t="s">
        <v>175</v>
      </c>
      <c r="E4" s="140" t="s">
        <v>1</v>
      </c>
      <c r="F4" s="140" t="s">
        <v>153</v>
      </c>
      <c r="G4" s="142">
        <v>0.91059999999999997</v>
      </c>
      <c r="H4" s="143">
        <v>179</v>
      </c>
      <c r="I4" s="143">
        <v>163</v>
      </c>
      <c r="J4" s="143">
        <v>158</v>
      </c>
      <c r="K4" s="140" t="s">
        <v>154</v>
      </c>
      <c r="L4" s="144">
        <v>45965</v>
      </c>
      <c r="M4" s="143">
        <v>0</v>
      </c>
      <c r="N4" s="143">
        <v>0</v>
      </c>
      <c r="O4" s="143">
        <v>0</v>
      </c>
      <c r="P4" s="140" t="s">
        <v>116</v>
      </c>
      <c r="Q4" s="136"/>
      <c r="R4" s="136"/>
      <c r="S4" s="136"/>
      <c r="T4" s="136"/>
      <c r="U4" s="136"/>
      <c r="V4" s="136"/>
      <c r="W4" s="136"/>
      <c r="X4" s="143" t="s">
        <v>176</v>
      </c>
      <c r="Y4" s="136"/>
      <c r="Z4" s="136"/>
      <c r="AA4" s="136"/>
      <c r="AB4" s="136"/>
      <c r="AC4" s="136"/>
      <c r="AD4" s="136"/>
      <c r="AE4" s="136"/>
      <c r="AF4" s="143" t="s">
        <v>177</v>
      </c>
      <c r="AG4" s="143" t="s">
        <v>178</v>
      </c>
      <c r="AH4" s="136"/>
      <c r="AI4" s="143" t="s">
        <v>179</v>
      </c>
      <c r="AJ4" s="136"/>
    </row>
    <row r="5" spans="1:36" x14ac:dyDescent="0.3">
      <c r="A5" s="138" t="s">
        <v>174</v>
      </c>
      <c r="B5" s="139">
        <v>45986</v>
      </c>
      <c r="C5" s="140" t="s">
        <v>109</v>
      </c>
      <c r="D5" s="141" t="s">
        <v>180</v>
      </c>
      <c r="E5" s="140" t="s">
        <v>1</v>
      </c>
      <c r="F5" s="140" t="s">
        <v>153</v>
      </c>
      <c r="G5" s="142">
        <v>0.51190000000000002</v>
      </c>
      <c r="H5" s="143">
        <v>168</v>
      </c>
      <c r="I5" s="143">
        <v>86</v>
      </c>
      <c r="J5" s="143">
        <v>0</v>
      </c>
      <c r="K5" s="140" t="s">
        <v>154</v>
      </c>
      <c r="L5" s="144">
        <v>45981</v>
      </c>
      <c r="M5" s="143">
        <v>1</v>
      </c>
      <c r="N5" s="143">
        <v>0</v>
      </c>
      <c r="O5" s="143">
        <v>25</v>
      </c>
      <c r="P5" s="140" t="s">
        <v>110</v>
      </c>
      <c r="Q5" s="136"/>
      <c r="R5" s="136"/>
      <c r="S5" s="136"/>
      <c r="T5" s="136"/>
      <c r="U5" s="136"/>
      <c r="V5" s="136"/>
      <c r="W5" s="136"/>
      <c r="X5" s="143" t="s">
        <v>181</v>
      </c>
      <c r="Y5" s="143" t="s">
        <v>182</v>
      </c>
      <c r="Z5" s="143" t="s">
        <v>183</v>
      </c>
      <c r="AA5" s="143" t="s">
        <v>184</v>
      </c>
      <c r="AB5" s="143" t="s">
        <v>185</v>
      </c>
      <c r="AC5" s="143" t="s">
        <v>186</v>
      </c>
      <c r="AD5" s="143" t="s">
        <v>187</v>
      </c>
      <c r="AE5" s="143" t="s">
        <v>188</v>
      </c>
      <c r="AF5" s="143" t="s">
        <v>189</v>
      </c>
      <c r="AG5" s="136"/>
      <c r="AH5" s="136"/>
      <c r="AI5" s="136"/>
      <c r="AJ5" s="136"/>
    </row>
    <row r="6" spans="1:36" x14ac:dyDescent="0.3">
      <c r="A6" s="138" t="s">
        <v>174</v>
      </c>
      <c r="B6" s="139">
        <v>45986</v>
      </c>
      <c r="C6" s="140" t="s">
        <v>64</v>
      </c>
      <c r="D6" s="141" t="s">
        <v>190</v>
      </c>
      <c r="E6" s="140" t="s">
        <v>1</v>
      </c>
      <c r="F6" s="140" t="s">
        <v>153</v>
      </c>
      <c r="G6" s="142">
        <v>1</v>
      </c>
      <c r="H6" s="143">
        <v>179</v>
      </c>
      <c r="I6" s="143">
        <v>179</v>
      </c>
      <c r="J6" s="143">
        <v>123</v>
      </c>
      <c r="K6" s="140" t="s">
        <v>154</v>
      </c>
      <c r="L6" s="144">
        <v>45980</v>
      </c>
      <c r="M6" s="143">
        <v>0</v>
      </c>
      <c r="N6" s="143">
        <v>1</v>
      </c>
      <c r="O6" s="143">
        <v>9</v>
      </c>
      <c r="P6" s="140" t="s">
        <v>67</v>
      </c>
      <c r="Q6" s="136"/>
      <c r="R6" s="136"/>
      <c r="S6" s="136"/>
      <c r="T6" s="136"/>
      <c r="U6" s="143" t="s">
        <v>191</v>
      </c>
      <c r="V6" s="143" t="s">
        <v>192</v>
      </c>
      <c r="W6" s="143" t="s">
        <v>193</v>
      </c>
      <c r="X6" s="136"/>
      <c r="Y6" s="136"/>
      <c r="Z6" s="143" t="s">
        <v>194</v>
      </c>
      <c r="AA6" s="136"/>
      <c r="AB6" s="136"/>
      <c r="AC6" s="143" t="s">
        <v>195</v>
      </c>
      <c r="AD6" s="143" t="s">
        <v>196</v>
      </c>
      <c r="AE6" s="143" t="s">
        <v>171</v>
      </c>
      <c r="AF6" s="143" t="s">
        <v>160</v>
      </c>
      <c r="AG6" s="136"/>
      <c r="AH6" s="136"/>
      <c r="AI6" s="143" t="s">
        <v>197</v>
      </c>
      <c r="AJ6" s="136"/>
    </row>
    <row r="7" spans="1:36" ht="21" x14ac:dyDescent="0.3">
      <c r="A7" s="145" t="s">
        <v>230</v>
      </c>
      <c r="B7" s="146"/>
      <c r="C7" s="145">
        <f>SUBTOTAL(103,MED_CAI_LF_LEGACY[Flt])</f>
        <v>5</v>
      </c>
      <c r="D7" s="145"/>
      <c r="E7" s="145">
        <f>SUBTOTAL(103,MED_CAI_LF_LEGACY[Brd-Off])</f>
        <v>5</v>
      </c>
      <c r="F7" s="145"/>
      <c r="G7" s="147">
        <f>SUBTOTAL(101,MED_CAI_LF_LEGACY[LF%])</f>
        <v>0.88450000000000006</v>
      </c>
      <c r="H7" s="148">
        <f>SUBTOTAL(109,MED_CAI_LF_LEGACY[CAP])</f>
        <v>884</v>
      </c>
      <c r="I7" s="148">
        <f>SUBTOTAL(109,MED_CAI_LF_LEGACY[BKG(Y)])</f>
        <v>786</v>
      </c>
      <c r="J7" s="148">
        <f>SUBTOTAL(109,MED_CAI_LF_LEGACY[GRP(Y)])</f>
        <v>497</v>
      </c>
      <c r="K7" s="145"/>
      <c r="L7" s="146"/>
      <c r="M7" s="148">
        <f>SUBTOTAL(109,MED_CAI_LF_LEGACY[TO-DAY])</f>
        <v>1</v>
      </c>
      <c r="N7" s="148">
        <f>SUBTOTAL(109,MED_CAI_LF_LEGACY[Y-DAY])</f>
        <v>1</v>
      </c>
      <c r="O7" s="148">
        <f>SUBTOTAL(109,MED_CAI_LF_LEGACY[WEEKLY])</f>
        <v>37</v>
      </c>
      <c r="P7" s="149"/>
      <c r="Q7" s="148">
        <f>SUBTOTAL(109,MED_CAI_LF_LEGACY[Y])</f>
        <v>0</v>
      </c>
      <c r="R7" s="148">
        <f>SUBTOTAL(109,MED_CAI_LF_LEGACY[B])</f>
        <v>0</v>
      </c>
      <c r="S7" s="148">
        <f>SUBTOTAL(109,MED_CAI_LF_LEGACY[M])</f>
        <v>0</v>
      </c>
      <c r="T7" s="148">
        <f>SUBTOTAL(109,MED_CAI_LF_LEGACY[H])</f>
        <v>0</v>
      </c>
      <c r="U7" s="148">
        <f>SUBTOTAL(109,MED_CAI_LF_LEGACY[Q])</f>
        <v>0</v>
      </c>
      <c r="V7" s="148">
        <f>SUBTOTAL(109,MED_CAI_LF_LEGACY[K])</f>
        <v>0</v>
      </c>
      <c r="W7" s="148">
        <f>SUBTOTAL(109,MED_CAI_LF_LEGACY[V])</f>
        <v>0</v>
      </c>
      <c r="X7" s="148">
        <f>SUBTOTAL(109,MED_CAI_LF_LEGACY[L])</f>
        <v>0</v>
      </c>
      <c r="Y7" s="148">
        <f>SUBTOTAL(109,MED_CAI_LF_LEGACY[G])</f>
        <v>0</v>
      </c>
      <c r="Z7" s="148">
        <f>SUBTOTAL(109,MED_CAI_LF_LEGACY[S])</f>
        <v>0</v>
      </c>
      <c r="AA7" s="148">
        <f>SUBTOTAL(109,MED_CAI_LF_LEGACY[W])</f>
        <v>0</v>
      </c>
      <c r="AB7" s="148">
        <f>SUBTOTAL(109,MED_CAI_LF_LEGACY[T])</f>
        <v>0</v>
      </c>
      <c r="AC7" s="148">
        <f>SUBTOTAL(109,MED_CAI_LF_LEGACY[X])</f>
        <v>0</v>
      </c>
      <c r="AD7" s="148">
        <f>SUBTOTAL(109,MED_CAI_LF_LEGACY[U])</f>
        <v>0</v>
      </c>
      <c r="AE7" s="148">
        <f>SUBTOTAL(109,MED_CAI_LF_LEGACY[O])</f>
        <v>0</v>
      </c>
      <c r="AF7" s="148">
        <f>SUBTOTAL(109,MED_CAI_LF_LEGACY[I])</f>
        <v>0</v>
      </c>
      <c r="AG7" s="148">
        <f>SUBTOTAL(109,MED_CAI_LF_LEGACY[E])</f>
        <v>0</v>
      </c>
      <c r="AH7" s="148">
        <f>SUBTOTAL(109,MED_CAI_LF_LEGACY[A])</f>
        <v>0</v>
      </c>
      <c r="AI7" s="148">
        <f>SUBTOTAL(109,MED_CAI_LF_LEGACY[P])</f>
        <v>0</v>
      </c>
      <c r="AJ7" s="148">
        <f>SUBTOTAL(103,MED_CAI_LF_LEGACY[N])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6.77734375" hidden="1" customWidth="1"/>
  </cols>
  <sheetData>
    <row r="1" spans="1:8" ht="18" x14ac:dyDescent="0.3">
      <c r="A1" s="84" t="s">
        <v>198</v>
      </c>
      <c r="B1" s="85" t="s">
        <v>8</v>
      </c>
      <c r="C1" s="85" t="s">
        <v>9</v>
      </c>
      <c r="D1" s="85" t="s">
        <v>199</v>
      </c>
      <c r="E1" s="85" t="s">
        <v>10</v>
      </c>
      <c r="F1" s="85" t="s">
        <v>11</v>
      </c>
      <c r="G1" s="85" t="s">
        <v>12</v>
      </c>
      <c r="H1" s="86" t="s">
        <v>13</v>
      </c>
    </row>
    <row r="2" spans="1:8" ht="19.8" customHeight="1" x14ac:dyDescent="0.3">
      <c r="A2" s="87" t="s">
        <v>200</v>
      </c>
      <c r="B2" s="88" t="s">
        <v>26</v>
      </c>
      <c r="C2" s="89" t="s">
        <v>27</v>
      </c>
      <c r="D2" s="88" t="s">
        <v>1</v>
      </c>
      <c r="E2" s="88" t="s">
        <v>201</v>
      </c>
      <c r="F2" s="88" t="s">
        <v>28</v>
      </c>
      <c r="G2" s="90">
        <v>39</v>
      </c>
      <c r="H2" s="91">
        <v>559</v>
      </c>
    </row>
    <row r="3" spans="1:8" ht="19.8" customHeight="1" x14ac:dyDescent="0.3">
      <c r="A3" s="87" t="s">
        <v>200</v>
      </c>
      <c r="B3" s="88" t="s">
        <v>31</v>
      </c>
      <c r="C3" s="89" t="s">
        <v>32</v>
      </c>
      <c r="D3" s="88" t="s">
        <v>1</v>
      </c>
      <c r="E3" s="88" t="s">
        <v>202</v>
      </c>
      <c r="F3" s="88" t="s">
        <v>33</v>
      </c>
      <c r="G3" s="90">
        <v>9</v>
      </c>
      <c r="H3" s="91">
        <v>559</v>
      </c>
    </row>
    <row r="4" spans="1:8" ht="19.8" customHeight="1" x14ac:dyDescent="0.3">
      <c r="A4" s="87" t="s">
        <v>200</v>
      </c>
      <c r="B4" s="88" t="s">
        <v>31</v>
      </c>
      <c r="C4" s="89" t="s">
        <v>35</v>
      </c>
      <c r="D4" s="88" t="s">
        <v>1</v>
      </c>
      <c r="E4" s="88" t="s">
        <v>203</v>
      </c>
      <c r="F4" s="88" t="s">
        <v>33</v>
      </c>
      <c r="G4" s="90">
        <v>9</v>
      </c>
      <c r="H4" s="91">
        <v>609</v>
      </c>
    </row>
    <row r="5" spans="1:8" ht="19.8" customHeight="1" x14ac:dyDescent="0.3">
      <c r="A5" s="87" t="s">
        <v>200</v>
      </c>
      <c r="B5" s="88" t="s">
        <v>38</v>
      </c>
      <c r="C5" s="89" t="s">
        <v>39</v>
      </c>
      <c r="D5" s="88" t="s">
        <v>1</v>
      </c>
      <c r="E5" s="88" t="s">
        <v>204</v>
      </c>
      <c r="F5" s="88" t="s">
        <v>40</v>
      </c>
      <c r="G5" s="90">
        <v>9</v>
      </c>
      <c r="H5" s="91">
        <v>866</v>
      </c>
    </row>
    <row r="6" spans="1:8" ht="19.8" customHeight="1" x14ac:dyDescent="0.3">
      <c r="A6" s="87" t="s">
        <v>200</v>
      </c>
      <c r="B6" s="88" t="s">
        <v>46</v>
      </c>
      <c r="C6" s="89" t="s">
        <v>47</v>
      </c>
      <c r="D6" s="88" t="s">
        <v>1</v>
      </c>
      <c r="E6" s="88" t="s">
        <v>205</v>
      </c>
      <c r="F6" s="88" t="s">
        <v>48</v>
      </c>
      <c r="G6" s="90">
        <v>1</v>
      </c>
      <c r="H6" s="92" t="s">
        <v>50</v>
      </c>
    </row>
    <row r="7" spans="1:8" ht="19.8" customHeight="1" x14ac:dyDescent="0.3">
      <c r="A7" s="87" t="s">
        <v>200</v>
      </c>
      <c r="B7" s="88" t="s">
        <v>46</v>
      </c>
      <c r="C7" s="89" t="s">
        <v>47</v>
      </c>
      <c r="D7" s="88" t="s">
        <v>1</v>
      </c>
      <c r="E7" s="88" t="s">
        <v>205</v>
      </c>
      <c r="F7" s="88" t="s">
        <v>51</v>
      </c>
      <c r="G7" s="90">
        <v>1</v>
      </c>
      <c r="H7" s="92" t="s">
        <v>53</v>
      </c>
    </row>
    <row r="8" spans="1:8" ht="19.8" customHeight="1" x14ac:dyDescent="0.3">
      <c r="A8" s="87" t="s">
        <v>200</v>
      </c>
      <c r="B8" s="88" t="s">
        <v>38</v>
      </c>
      <c r="C8" s="89" t="s">
        <v>43</v>
      </c>
      <c r="D8" s="88" t="s">
        <v>1</v>
      </c>
      <c r="E8" s="88" t="s">
        <v>206</v>
      </c>
      <c r="F8" s="88" t="s">
        <v>40</v>
      </c>
      <c r="G8" s="90">
        <v>2</v>
      </c>
      <c r="H8" s="92" t="s">
        <v>45</v>
      </c>
    </row>
    <row r="9" spans="1:8" ht="19.8" customHeight="1" x14ac:dyDescent="0.3">
      <c r="A9" s="87" t="s">
        <v>200</v>
      </c>
      <c r="B9" s="88" t="s">
        <v>46</v>
      </c>
      <c r="C9" s="89" t="s">
        <v>54</v>
      </c>
      <c r="D9" s="88" t="s">
        <v>1</v>
      </c>
      <c r="E9" s="88" t="s">
        <v>201</v>
      </c>
      <c r="F9" s="88" t="s">
        <v>51</v>
      </c>
      <c r="G9" s="90">
        <v>4</v>
      </c>
      <c r="H9" s="92" t="s">
        <v>56</v>
      </c>
    </row>
    <row r="10" spans="1:8" ht="19.8" customHeight="1" x14ac:dyDescent="0.3">
      <c r="A10" s="87" t="s">
        <v>200</v>
      </c>
      <c r="B10" s="88" t="s">
        <v>46</v>
      </c>
      <c r="C10" s="89" t="s">
        <v>57</v>
      </c>
      <c r="D10" s="88" t="s">
        <v>1</v>
      </c>
      <c r="E10" s="88" t="s">
        <v>207</v>
      </c>
      <c r="F10" s="88" t="s">
        <v>48</v>
      </c>
      <c r="G10" s="90">
        <v>2</v>
      </c>
      <c r="H10" s="92" t="s">
        <v>58</v>
      </c>
    </row>
    <row r="11" spans="1:8" ht="19.8" customHeight="1" x14ac:dyDescent="0.3">
      <c r="A11" s="87" t="s">
        <v>200</v>
      </c>
      <c r="B11" s="88" t="s">
        <v>46</v>
      </c>
      <c r="C11" s="89" t="s">
        <v>61</v>
      </c>
      <c r="D11" s="88" t="s">
        <v>1</v>
      </c>
      <c r="E11" s="88" t="s">
        <v>208</v>
      </c>
      <c r="F11" s="88" t="s">
        <v>48</v>
      </c>
      <c r="G11" s="90">
        <v>1</v>
      </c>
      <c r="H11" s="92" t="s">
        <v>58</v>
      </c>
    </row>
    <row r="12" spans="1:8" ht="19.8" customHeight="1" x14ac:dyDescent="0.3">
      <c r="A12" s="87" t="s">
        <v>200</v>
      </c>
      <c r="B12" s="88" t="s">
        <v>46</v>
      </c>
      <c r="C12" s="89" t="s">
        <v>57</v>
      </c>
      <c r="D12" s="88" t="s">
        <v>1</v>
      </c>
      <c r="E12" s="88" t="s">
        <v>207</v>
      </c>
      <c r="F12" s="88" t="s">
        <v>51</v>
      </c>
      <c r="G12" s="90">
        <v>2</v>
      </c>
      <c r="H12" s="92" t="s">
        <v>60</v>
      </c>
    </row>
    <row r="13" spans="1:8" ht="19.8" customHeight="1" x14ac:dyDescent="0.3">
      <c r="A13" s="87" t="s">
        <v>200</v>
      </c>
      <c r="B13" s="88" t="s">
        <v>46</v>
      </c>
      <c r="C13" s="89" t="s">
        <v>61</v>
      </c>
      <c r="D13" s="88" t="s">
        <v>1</v>
      </c>
      <c r="E13" s="88" t="s">
        <v>208</v>
      </c>
      <c r="F13" s="88" t="s">
        <v>51</v>
      </c>
      <c r="G13" s="90">
        <v>1</v>
      </c>
      <c r="H13" s="92" t="s">
        <v>60</v>
      </c>
    </row>
    <row r="14" spans="1:8" ht="19.8" customHeight="1" x14ac:dyDescent="0.3">
      <c r="A14" s="93" t="s">
        <v>200</v>
      </c>
      <c r="B14" s="94" t="s">
        <v>63</v>
      </c>
      <c r="C14" s="95" t="s">
        <v>64</v>
      </c>
      <c r="D14" s="94" t="s">
        <v>1</v>
      </c>
      <c r="E14" s="94" t="s">
        <v>152</v>
      </c>
      <c r="F14" s="94" t="s">
        <v>65</v>
      </c>
      <c r="G14" s="94"/>
      <c r="H14" s="96" t="s">
        <v>66</v>
      </c>
    </row>
    <row r="15" spans="1:8" ht="19.8" customHeight="1" x14ac:dyDescent="0.3">
      <c r="A15" s="97">
        <v>45984</v>
      </c>
      <c r="B15" s="88" t="s">
        <v>26</v>
      </c>
      <c r="C15" s="89" t="s">
        <v>27</v>
      </c>
      <c r="D15" s="88" t="s">
        <v>1</v>
      </c>
      <c r="E15" s="98">
        <v>1.4201388888888891</v>
      </c>
      <c r="F15" s="88" t="s">
        <v>69</v>
      </c>
      <c r="G15" s="90">
        <v>18</v>
      </c>
      <c r="H15" s="91">
        <v>559</v>
      </c>
    </row>
    <row r="16" spans="1:8" ht="19.8" customHeight="1" x14ac:dyDescent="0.3">
      <c r="A16" s="97">
        <v>45984</v>
      </c>
      <c r="B16" s="88" t="s">
        <v>31</v>
      </c>
      <c r="C16" s="89" t="s">
        <v>35</v>
      </c>
      <c r="D16" s="88" t="s">
        <v>1</v>
      </c>
      <c r="E16" s="98">
        <v>1.756944444444444</v>
      </c>
      <c r="F16" s="88" t="s">
        <v>76</v>
      </c>
      <c r="G16" s="90">
        <v>6</v>
      </c>
      <c r="H16" s="91">
        <v>559</v>
      </c>
    </row>
    <row r="17" spans="1:8" ht="19.8" customHeight="1" x14ac:dyDescent="0.3">
      <c r="A17" s="97">
        <v>45984</v>
      </c>
      <c r="B17" s="88" t="s">
        <v>31</v>
      </c>
      <c r="C17" s="89" t="s">
        <v>35</v>
      </c>
      <c r="D17" s="88" t="s">
        <v>1</v>
      </c>
      <c r="E17" s="98">
        <v>1.756944444444444</v>
      </c>
      <c r="F17" s="88" t="s">
        <v>78</v>
      </c>
      <c r="G17" s="90">
        <v>6</v>
      </c>
      <c r="H17" s="91">
        <v>659</v>
      </c>
    </row>
    <row r="18" spans="1:8" ht="19.8" customHeight="1" x14ac:dyDescent="0.3">
      <c r="A18" s="97">
        <v>45984</v>
      </c>
      <c r="B18" s="88" t="s">
        <v>26</v>
      </c>
      <c r="C18" s="89" t="s">
        <v>27</v>
      </c>
      <c r="D18" s="88" t="s">
        <v>1</v>
      </c>
      <c r="E18" s="98">
        <v>1.4201388888888891</v>
      </c>
      <c r="F18" s="88" t="s">
        <v>71</v>
      </c>
      <c r="G18" s="90">
        <v>18</v>
      </c>
      <c r="H18" s="91">
        <v>709</v>
      </c>
    </row>
    <row r="19" spans="1:8" ht="19.8" customHeight="1" x14ac:dyDescent="0.3">
      <c r="A19" s="97">
        <v>45984</v>
      </c>
      <c r="B19" s="88" t="s">
        <v>31</v>
      </c>
      <c r="C19" s="89" t="s">
        <v>35</v>
      </c>
      <c r="D19" s="88" t="s">
        <v>1</v>
      </c>
      <c r="E19" s="98">
        <v>1.756944444444444</v>
      </c>
      <c r="F19" s="88" t="s">
        <v>81</v>
      </c>
      <c r="G19" s="90">
        <v>6</v>
      </c>
      <c r="H19" s="91">
        <v>749</v>
      </c>
    </row>
    <row r="20" spans="1:8" ht="19.8" customHeight="1" x14ac:dyDescent="0.3">
      <c r="A20" s="97">
        <v>45984</v>
      </c>
      <c r="B20" s="88" t="s">
        <v>38</v>
      </c>
      <c r="C20" s="89" t="s">
        <v>83</v>
      </c>
      <c r="D20" s="88" t="s">
        <v>1</v>
      </c>
      <c r="E20" s="98">
        <v>1.444444444444444</v>
      </c>
      <c r="F20" s="88" t="s">
        <v>40</v>
      </c>
      <c r="G20" s="90">
        <v>5</v>
      </c>
      <c r="H20" s="91">
        <v>866</v>
      </c>
    </row>
    <row r="21" spans="1:8" ht="19.8" customHeight="1" x14ac:dyDescent="0.3">
      <c r="A21" s="97">
        <v>45984</v>
      </c>
      <c r="B21" s="88" t="s">
        <v>26</v>
      </c>
      <c r="C21" s="89" t="s">
        <v>27</v>
      </c>
      <c r="D21" s="88" t="s">
        <v>1</v>
      </c>
      <c r="E21" s="98">
        <v>1.4201388888888891</v>
      </c>
      <c r="F21" s="88" t="s">
        <v>74</v>
      </c>
      <c r="G21" s="90">
        <v>18</v>
      </c>
      <c r="H21" s="92" t="s">
        <v>75</v>
      </c>
    </row>
    <row r="22" spans="1:8" ht="19.8" customHeight="1" x14ac:dyDescent="0.3">
      <c r="A22" s="97">
        <v>45984</v>
      </c>
      <c r="B22" s="88" t="s">
        <v>38</v>
      </c>
      <c r="C22" s="89" t="s">
        <v>85</v>
      </c>
      <c r="D22" s="88" t="s">
        <v>1</v>
      </c>
      <c r="E22" s="98">
        <v>1.2222222222222221</v>
      </c>
      <c r="F22" s="88" t="s">
        <v>40</v>
      </c>
      <c r="G22" s="90">
        <v>1</v>
      </c>
      <c r="H22" s="92" t="s">
        <v>86</v>
      </c>
    </row>
    <row r="23" spans="1:8" ht="19.8" customHeight="1" x14ac:dyDescent="0.3">
      <c r="A23" s="97">
        <v>45984</v>
      </c>
      <c r="B23" s="88" t="s">
        <v>46</v>
      </c>
      <c r="C23" s="89" t="s">
        <v>54</v>
      </c>
      <c r="D23" s="88" t="s">
        <v>1</v>
      </c>
      <c r="E23" s="98">
        <v>1.4201388888888891</v>
      </c>
      <c r="F23" s="88" t="s">
        <v>51</v>
      </c>
      <c r="G23" s="90">
        <v>4</v>
      </c>
      <c r="H23" s="92" t="s">
        <v>88</v>
      </c>
    </row>
    <row r="24" spans="1:8" ht="19.8" customHeight="1" x14ac:dyDescent="0.3">
      <c r="A24" s="97">
        <v>45984</v>
      </c>
      <c r="B24" s="88" t="s">
        <v>38</v>
      </c>
      <c r="C24" s="89" t="s">
        <v>43</v>
      </c>
      <c r="D24" s="88" t="s">
        <v>1</v>
      </c>
      <c r="E24" s="98">
        <v>1.493055555555556</v>
      </c>
      <c r="F24" s="88" t="s">
        <v>40</v>
      </c>
      <c r="G24" s="90">
        <v>2</v>
      </c>
      <c r="H24" s="92" t="s">
        <v>45</v>
      </c>
    </row>
    <row r="25" spans="1:8" ht="19.8" customHeight="1" x14ac:dyDescent="0.3">
      <c r="A25" s="97">
        <v>45984</v>
      </c>
      <c r="B25" s="88" t="s">
        <v>46</v>
      </c>
      <c r="C25" s="89" t="s">
        <v>47</v>
      </c>
      <c r="D25" s="88" t="s">
        <v>1</v>
      </c>
      <c r="E25" s="98">
        <v>1.086805555555556</v>
      </c>
      <c r="F25" s="88" t="s">
        <v>48</v>
      </c>
      <c r="G25" s="90">
        <v>9</v>
      </c>
      <c r="H25" s="92" t="s">
        <v>90</v>
      </c>
    </row>
    <row r="26" spans="1:8" ht="19.8" customHeight="1" x14ac:dyDescent="0.3">
      <c r="A26" s="97">
        <v>45984</v>
      </c>
      <c r="B26" s="88" t="s">
        <v>46</v>
      </c>
      <c r="C26" s="89" t="s">
        <v>47</v>
      </c>
      <c r="D26" s="88" t="s">
        <v>1</v>
      </c>
      <c r="E26" s="98">
        <v>1.086805555555556</v>
      </c>
      <c r="F26" s="88" t="s">
        <v>51</v>
      </c>
      <c r="G26" s="90">
        <v>9</v>
      </c>
      <c r="H26" s="92" t="s">
        <v>92</v>
      </c>
    </row>
    <row r="27" spans="1:8" ht="19.8" customHeight="1" x14ac:dyDescent="0.3">
      <c r="A27" s="97">
        <v>45984</v>
      </c>
      <c r="B27" s="88" t="s">
        <v>46</v>
      </c>
      <c r="C27" s="89" t="s">
        <v>57</v>
      </c>
      <c r="D27" s="88" t="s">
        <v>1</v>
      </c>
      <c r="E27" s="98">
        <v>1.604166666666667</v>
      </c>
      <c r="F27" s="88" t="s">
        <v>48</v>
      </c>
      <c r="G27" s="90">
        <v>1</v>
      </c>
      <c r="H27" s="92" t="s">
        <v>58</v>
      </c>
    </row>
    <row r="28" spans="1:8" ht="19.8" customHeight="1" x14ac:dyDescent="0.3">
      <c r="A28" s="97">
        <v>45984</v>
      </c>
      <c r="B28" s="88" t="s">
        <v>46</v>
      </c>
      <c r="C28" s="89" t="s">
        <v>61</v>
      </c>
      <c r="D28" s="88" t="s">
        <v>1</v>
      </c>
      <c r="E28" s="98">
        <v>1.7951388888888891</v>
      </c>
      <c r="F28" s="88" t="s">
        <v>48</v>
      </c>
      <c r="G28" s="90">
        <v>1</v>
      </c>
      <c r="H28" s="92" t="s">
        <v>58</v>
      </c>
    </row>
    <row r="29" spans="1:8" ht="19.8" customHeight="1" x14ac:dyDescent="0.3">
      <c r="A29" s="97">
        <v>45984</v>
      </c>
      <c r="B29" s="88" t="s">
        <v>46</v>
      </c>
      <c r="C29" s="89" t="s">
        <v>57</v>
      </c>
      <c r="D29" s="88" t="s">
        <v>1</v>
      </c>
      <c r="E29" s="98">
        <v>1.604166666666667</v>
      </c>
      <c r="F29" s="88" t="s">
        <v>51</v>
      </c>
      <c r="G29" s="90">
        <v>1</v>
      </c>
      <c r="H29" s="92" t="s">
        <v>60</v>
      </c>
    </row>
    <row r="30" spans="1:8" ht="19.8" customHeight="1" x14ac:dyDescent="0.3">
      <c r="A30" s="97">
        <v>45984</v>
      </c>
      <c r="B30" s="88" t="s">
        <v>46</v>
      </c>
      <c r="C30" s="89" t="s">
        <v>61</v>
      </c>
      <c r="D30" s="88" t="s">
        <v>1</v>
      </c>
      <c r="E30" s="98">
        <v>1.7951388888888891</v>
      </c>
      <c r="F30" s="88" t="s">
        <v>51</v>
      </c>
      <c r="G30" s="90">
        <v>1</v>
      </c>
      <c r="H30" s="92" t="s">
        <v>60</v>
      </c>
    </row>
    <row r="31" spans="1:8" ht="19.8" customHeight="1" x14ac:dyDescent="0.3">
      <c r="A31" s="99">
        <v>45984</v>
      </c>
      <c r="B31" s="94" t="s">
        <v>63</v>
      </c>
      <c r="C31" s="95" t="s">
        <v>64</v>
      </c>
      <c r="D31" s="94" t="s">
        <v>1</v>
      </c>
      <c r="E31" s="100">
        <v>1.9027777777777779</v>
      </c>
      <c r="F31" s="94" t="s">
        <v>65</v>
      </c>
      <c r="G31" s="94"/>
      <c r="H31" s="96" t="s">
        <v>66</v>
      </c>
    </row>
    <row r="32" spans="1:8" ht="19.8" customHeight="1" x14ac:dyDescent="0.3">
      <c r="A32" s="97">
        <v>45985</v>
      </c>
      <c r="B32" s="88" t="s">
        <v>31</v>
      </c>
      <c r="C32" s="89" t="s">
        <v>32</v>
      </c>
      <c r="D32" s="88" t="s">
        <v>1</v>
      </c>
      <c r="E32" s="98">
        <v>1.354166666666667</v>
      </c>
      <c r="F32" s="88" t="s">
        <v>76</v>
      </c>
      <c r="G32" s="90">
        <v>9</v>
      </c>
      <c r="H32" s="91">
        <v>559</v>
      </c>
    </row>
    <row r="33" spans="1:8" ht="19.8" customHeight="1" x14ac:dyDescent="0.3">
      <c r="A33" s="97">
        <v>45985</v>
      </c>
      <c r="B33" s="88" t="s">
        <v>26</v>
      </c>
      <c r="C33" s="89" t="s">
        <v>27</v>
      </c>
      <c r="D33" s="88" t="s">
        <v>1</v>
      </c>
      <c r="E33" s="98">
        <v>1.4201388888888891</v>
      </c>
      <c r="F33" s="88" t="s">
        <v>69</v>
      </c>
      <c r="G33" s="90">
        <v>9</v>
      </c>
      <c r="H33" s="91">
        <v>619</v>
      </c>
    </row>
    <row r="34" spans="1:8" ht="19.8" customHeight="1" x14ac:dyDescent="0.3">
      <c r="A34" s="97">
        <v>45985</v>
      </c>
      <c r="B34" s="88" t="s">
        <v>31</v>
      </c>
      <c r="C34" s="89" t="s">
        <v>32</v>
      </c>
      <c r="D34" s="88" t="s">
        <v>1</v>
      </c>
      <c r="E34" s="98">
        <v>1.354166666666667</v>
      </c>
      <c r="F34" s="88" t="s">
        <v>78</v>
      </c>
      <c r="G34" s="90">
        <v>9</v>
      </c>
      <c r="H34" s="91">
        <v>659</v>
      </c>
    </row>
    <row r="35" spans="1:8" ht="19.8" customHeight="1" x14ac:dyDescent="0.3">
      <c r="A35" s="97">
        <v>45985</v>
      </c>
      <c r="B35" s="88" t="s">
        <v>31</v>
      </c>
      <c r="C35" s="89" t="s">
        <v>32</v>
      </c>
      <c r="D35" s="88" t="s">
        <v>1</v>
      </c>
      <c r="E35" s="98">
        <v>1.354166666666667</v>
      </c>
      <c r="F35" s="88" t="s">
        <v>81</v>
      </c>
      <c r="G35" s="90">
        <v>9</v>
      </c>
      <c r="H35" s="91">
        <v>749</v>
      </c>
    </row>
    <row r="36" spans="1:8" ht="19.8" customHeight="1" x14ac:dyDescent="0.3">
      <c r="A36" s="97">
        <v>45985</v>
      </c>
      <c r="B36" s="88" t="s">
        <v>38</v>
      </c>
      <c r="C36" s="89" t="s">
        <v>85</v>
      </c>
      <c r="D36" s="88" t="s">
        <v>1</v>
      </c>
      <c r="E36" s="98">
        <v>1.2222222222222221</v>
      </c>
      <c r="F36" s="88" t="s">
        <v>40</v>
      </c>
      <c r="G36" s="90">
        <v>9</v>
      </c>
      <c r="H36" s="91">
        <v>757</v>
      </c>
    </row>
    <row r="37" spans="1:8" ht="19.8" customHeight="1" x14ac:dyDescent="0.3">
      <c r="A37" s="97">
        <v>45985</v>
      </c>
      <c r="B37" s="88" t="s">
        <v>26</v>
      </c>
      <c r="C37" s="89" t="s">
        <v>27</v>
      </c>
      <c r="D37" s="88" t="s">
        <v>1</v>
      </c>
      <c r="E37" s="98">
        <v>1.4201388888888891</v>
      </c>
      <c r="F37" s="88" t="s">
        <v>71</v>
      </c>
      <c r="G37" s="90">
        <v>9</v>
      </c>
      <c r="H37" s="91">
        <v>769</v>
      </c>
    </row>
    <row r="38" spans="1:8" ht="19.8" customHeight="1" x14ac:dyDescent="0.3">
      <c r="A38" s="97">
        <v>45985</v>
      </c>
      <c r="B38" s="88" t="s">
        <v>31</v>
      </c>
      <c r="C38" s="89" t="s">
        <v>35</v>
      </c>
      <c r="D38" s="88" t="s">
        <v>1</v>
      </c>
      <c r="E38" s="98">
        <v>1.756944444444444</v>
      </c>
      <c r="F38" s="88" t="s">
        <v>76</v>
      </c>
      <c r="G38" s="90">
        <v>1</v>
      </c>
      <c r="H38" s="91">
        <v>939</v>
      </c>
    </row>
    <row r="39" spans="1:8" ht="19.8" customHeight="1" x14ac:dyDescent="0.3">
      <c r="A39" s="97">
        <v>45985</v>
      </c>
      <c r="B39" s="88" t="s">
        <v>31</v>
      </c>
      <c r="C39" s="89" t="s">
        <v>35</v>
      </c>
      <c r="D39" s="88" t="s">
        <v>1</v>
      </c>
      <c r="E39" s="98">
        <v>1.756944444444444</v>
      </c>
      <c r="F39" s="88" t="s">
        <v>78</v>
      </c>
      <c r="G39" s="90">
        <v>1</v>
      </c>
      <c r="H39" s="92" t="s">
        <v>96</v>
      </c>
    </row>
    <row r="40" spans="1:8" ht="19.8" customHeight="1" x14ac:dyDescent="0.3">
      <c r="A40" s="97">
        <v>45985</v>
      </c>
      <c r="B40" s="88" t="s">
        <v>26</v>
      </c>
      <c r="C40" s="89" t="s">
        <v>27</v>
      </c>
      <c r="D40" s="88" t="s">
        <v>1</v>
      </c>
      <c r="E40" s="98">
        <v>1.4201388888888891</v>
      </c>
      <c r="F40" s="88" t="s">
        <v>74</v>
      </c>
      <c r="G40" s="90">
        <v>9</v>
      </c>
      <c r="H40" s="92" t="s">
        <v>75</v>
      </c>
    </row>
    <row r="41" spans="1:8" ht="19.8" customHeight="1" x14ac:dyDescent="0.3">
      <c r="A41" s="97">
        <v>45985</v>
      </c>
      <c r="B41" s="88" t="s">
        <v>31</v>
      </c>
      <c r="C41" s="89" t="s">
        <v>35</v>
      </c>
      <c r="D41" s="88" t="s">
        <v>1</v>
      </c>
      <c r="E41" s="98">
        <v>1.756944444444444</v>
      </c>
      <c r="F41" s="88" t="s">
        <v>81</v>
      </c>
      <c r="G41" s="90">
        <v>1</v>
      </c>
      <c r="H41" s="92" t="s">
        <v>97</v>
      </c>
    </row>
    <row r="42" spans="1:8" ht="19.8" customHeight="1" x14ac:dyDescent="0.3">
      <c r="A42" s="97">
        <v>45985</v>
      </c>
      <c r="B42" s="88" t="s">
        <v>46</v>
      </c>
      <c r="C42" s="89" t="s">
        <v>47</v>
      </c>
      <c r="D42" s="88" t="s">
        <v>1</v>
      </c>
      <c r="E42" s="98">
        <v>1.086805555555556</v>
      </c>
      <c r="F42" s="88" t="s">
        <v>48</v>
      </c>
      <c r="G42" s="90">
        <v>9</v>
      </c>
      <c r="H42" s="92" t="s">
        <v>50</v>
      </c>
    </row>
    <row r="43" spans="1:8" ht="19.8" customHeight="1" x14ac:dyDescent="0.3">
      <c r="A43" s="97">
        <v>45985</v>
      </c>
      <c r="B43" s="88" t="s">
        <v>46</v>
      </c>
      <c r="C43" s="89" t="s">
        <v>47</v>
      </c>
      <c r="D43" s="88" t="s">
        <v>1</v>
      </c>
      <c r="E43" s="98">
        <v>1.086805555555556</v>
      </c>
      <c r="F43" s="88" t="s">
        <v>51</v>
      </c>
      <c r="G43" s="90">
        <v>9</v>
      </c>
      <c r="H43" s="92" t="s">
        <v>53</v>
      </c>
    </row>
    <row r="44" spans="1:8" ht="19.8" customHeight="1" x14ac:dyDescent="0.3">
      <c r="A44" s="97">
        <v>45985</v>
      </c>
      <c r="B44" s="88" t="s">
        <v>46</v>
      </c>
      <c r="C44" s="89" t="s">
        <v>54</v>
      </c>
      <c r="D44" s="88" t="s">
        <v>1</v>
      </c>
      <c r="E44" s="98">
        <v>1.4201388888888891</v>
      </c>
      <c r="F44" s="88" t="s">
        <v>51</v>
      </c>
      <c r="G44" s="90">
        <v>4</v>
      </c>
      <c r="H44" s="92" t="s">
        <v>88</v>
      </c>
    </row>
    <row r="45" spans="1:8" ht="19.8" customHeight="1" x14ac:dyDescent="0.3">
      <c r="A45" s="97">
        <v>45985</v>
      </c>
      <c r="B45" s="88" t="s">
        <v>46</v>
      </c>
      <c r="C45" s="89" t="s">
        <v>57</v>
      </c>
      <c r="D45" s="88" t="s">
        <v>1</v>
      </c>
      <c r="E45" s="98">
        <v>1.604166666666667</v>
      </c>
      <c r="F45" s="88" t="s">
        <v>48</v>
      </c>
      <c r="G45" s="90">
        <v>1</v>
      </c>
      <c r="H45" s="92" t="s">
        <v>58</v>
      </c>
    </row>
    <row r="46" spans="1:8" ht="19.8" customHeight="1" x14ac:dyDescent="0.3">
      <c r="A46" s="101">
        <v>45985</v>
      </c>
      <c r="B46" s="102" t="s">
        <v>46</v>
      </c>
      <c r="C46" s="103" t="s">
        <v>57</v>
      </c>
      <c r="D46" s="102" t="s">
        <v>1</v>
      </c>
      <c r="E46" s="104">
        <v>1.604166666666667</v>
      </c>
      <c r="F46" s="102" t="s">
        <v>51</v>
      </c>
      <c r="G46" s="105">
        <v>1</v>
      </c>
      <c r="H46" s="106" t="s">
        <v>60</v>
      </c>
    </row>
    <row r="47" spans="1:8" ht="19.8" customHeight="1" x14ac:dyDescent="0.3">
      <c r="A47" s="97">
        <v>45986</v>
      </c>
      <c r="B47" s="88" t="s">
        <v>26</v>
      </c>
      <c r="C47" s="89" t="s">
        <v>27</v>
      </c>
      <c r="D47" s="88" t="s">
        <v>1</v>
      </c>
      <c r="E47" s="98">
        <v>1.4201388888888891</v>
      </c>
      <c r="F47" s="88" t="s">
        <v>69</v>
      </c>
      <c r="G47" s="90">
        <v>10</v>
      </c>
      <c r="H47" s="91">
        <v>559</v>
      </c>
    </row>
    <row r="48" spans="1:8" ht="19.8" customHeight="1" x14ac:dyDescent="0.3">
      <c r="A48" s="97">
        <v>45986</v>
      </c>
      <c r="B48" s="88" t="s">
        <v>31</v>
      </c>
      <c r="C48" s="89" t="s">
        <v>35</v>
      </c>
      <c r="D48" s="88" t="s">
        <v>1</v>
      </c>
      <c r="E48" s="98">
        <v>1.756944444444444</v>
      </c>
      <c r="F48" s="88" t="s">
        <v>76</v>
      </c>
      <c r="G48" s="90">
        <v>1</v>
      </c>
      <c r="H48" s="91">
        <v>639</v>
      </c>
    </row>
    <row r="49" spans="1:8" ht="19.8" customHeight="1" x14ac:dyDescent="0.3">
      <c r="A49" s="97">
        <v>45986</v>
      </c>
      <c r="B49" s="88" t="s">
        <v>26</v>
      </c>
      <c r="C49" s="89" t="s">
        <v>27</v>
      </c>
      <c r="D49" s="88" t="s">
        <v>1</v>
      </c>
      <c r="E49" s="98">
        <v>1.4201388888888891</v>
      </c>
      <c r="F49" s="88" t="s">
        <v>71</v>
      </c>
      <c r="G49" s="90">
        <v>10</v>
      </c>
      <c r="H49" s="91">
        <v>709</v>
      </c>
    </row>
    <row r="50" spans="1:8" ht="19.8" customHeight="1" x14ac:dyDescent="0.3">
      <c r="A50" s="97">
        <v>45986</v>
      </c>
      <c r="B50" s="88" t="s">
        <v>31</v>
      </c>
      <c r="C50" s="89" t="s">
        <v>35</v>
      </c>
      <c r="D50" s="88" t="s">
        <v>1</v>
      </c>
      <c r="E50" s="98">
        <v>1.756944444444444</v>
      </c>
      <c r="F50" s="88" t="s">
        <v>78</v>
      </c>
      <c r="G50" s="90">
        <v>1</v>
      </c>
      <c r="H50" s="91">
        <v>739</v>
      </c>
    </row>
    <row r="51" spans="1:8" ht="19.8" customHeight="1" x14ac:dyDescent="0.3">
      <c r="A51" s="107">
        <v>45986</v>
      </c>
      <c r="B51" s="108" t="s">
        <v>63</v>
      </c>
      <c r="C51" s="109" t="s">
        <v>106</v>
      </c>
      <c r="D51" s="108" t="s">
        <v>1</v>
      </c>
      <c r="E51" s="110">
        <v>1.2777777777777779</v>
      </c>
      <c r="F51" s="108" t="s">
        <v>107</v>
      </c>
      <c r="G51" s="111">
        <v>9</v>
      </c>
      <c r="H51" s="112">
        <v>758</v>
      </c>
    </row>
    <row r="52" spans="1:8" ht="19.8" customHeight="1" x14ac:dyDescent="0.3">
      <c r="A52" s="97">
        <v>45986</v>
      </c>
      <c r="B52" s="88" t="s">
        <v>31</v>
      </c>
      <c r="C52" s="89" t="s">
        <v>35</v>
      </c>
      <c r="D52" s="88" t="s">
        <v>1</v>
      </c>
      <c r="E52" s="98">
        <v>1.756944444444444</v>
      </c>
      <c r="F52" s="88" t="s">
        <v>81</v>
      </c>
      <c r="G52" s="90">
        <v>1</v>
      </c>
      <c r="H52" s="91">
        <v>829</v>
      </c>
    </row>
    <row r="53" spans="1:8" ht="19.8" customHeight="1" x14ac:dyDescent="0.3">
      <c r="A53" s="97">
        <v>45986</v>
      </c>
      <c r="B53" s="88" t="s">
        <v>38</v>
      </c>
      <c r="C53" s="89" t="s">
        <v>39</v>
      </c>
      <c r="D53" s="88" t="s">
        <v>1</v>
      </c>
      <c r="E53" s="98">
        <v>1.0972222222222221</v>
      </c>
      <c r="F53" s="88" t="s">
        <v>40</v>
      </c>
      <c r="G53" s="90">
        <v>9</v>
      </c>
      <c r="H53" s="91">
        <v>866</v>
      </c>
    </row>
    <row r="54" spans="1:8" ht="19.8" customHeight="1" x14ac:dyDescent="0.3">
      <c r="A54" s="107">
        <v>45986</v>
      </c>
      <c r="B54" s="108" t="s">
        <v>63</v>
      </c>
      <c r="C54" s="109" t="s">
        <v>112</v>
      </c>
      <c r="D54" s="108" t="s">
        <v>1</v>
      </c>
      <c r="E54" s="110">
        <v>1.0486111111111109</v>
      </c>
      <c r="F54" s="108" t="s">
        <v>107</v>
      </c>
      <c r="G54" s="111">
        <v>7</v>
      </c>
      <c r="H54" s="112">
        <v>914</v>
      </c>
    </row>
    <row r="55" spans="1:8" ht="19.8" customHeight="1" x14ac:dyDescent="0.3">
      <c r="A55" s="97">
        <v>45986</v>
      </c>
      <c r="B55" s="88" t="s">
        <v>38</v>
      </c>
      <c r="C55" s="89" t="s">
        <v>43</v>
      </c>
      <c r="D55" s="88" t="s">
        <v>1</v>
      </c>
      <c r="E55" s="98">
        <v>1.493055555555556</v>
      </c>
      <c r="F55" s="88" t="s">
        <v>40</v>
      </c>
      <c r="G55" s="90">
        <v>9</v>
      </c>
      <c r="H55" s="91">
        <v>962</v>
      </c>
    </row>
    <row r="56" spans="1:8" ht="19.8" customHeight="1" x14ac:dyDescent="0.3">
      <c r="A56" s="97">
        <v>45986</v>
      </c>
      <c r="B56" s="88" t="s">
        <v>38</v>
      </c>
      <c r="C56" s="89" t="s">
        <v>85</v>
      </c>
      <c r="D56" s="88" t="s">
        <v>1</v>
      </c>
      <c r="E56" s="98">
        <v>1.2222222222222221</v>
      </c>
      <c r="F56" s="88" t="s">
        <v>40</v>
      </c>
      <c r="G56" s="90">
        <v>9</v>
      </c>
      <c r="H56" s="91">
        <v>962</v>
      </c>
    </row>
    <row r="57" spans="1:8" ht="19.8" customHeight="1" x14ac:dyDescent="0.3">
      <c r="A57" s="97">
        <v>45986</v>
      </c>
      <c r="B57" s="88" t="s">
        <v>38</v>
      </c>
      <c r="C57" s="89" t="s">
        <v>83</v>
      </c>
      <c r="D57" s="88" t="s">
        <v>1</v>
      </c>
      <c r="E57" s="98">
        <v>1.444444444444444</v>
      </c>
      <c r="F57" s="88" t="s">
        <v>40</v>
      </c>
      <c r="G57" s="90">
        <v>5</v>
      </c>
      <c r="H57" s="91">
        <v>962</v>
      </c>
    </row>
    <row r="58" spans="1:8" ht="19.8" customHeight="1" x14ac:dyDescent="0.3">
      <c r="A58" s="97">
        <v>45986</v>
      </c>
      <c r="B58" s="88" t="s">
        <v>26</v>
      </c>
      <c r="C58" s="89" t="s">
        <v>27</v>
      </c>
      <c r="D58" s="88" t="s">
        <v>1</v>
      </c>
      <c r="E58" s="98">
        <v>1.4201388888888891</v>
      </c>
      <c r="F58" s="88" t="s">
        <v>74</v>
      </c>
      <c r="G58" s="90">
        <v>10</v>
      </c>
      <c r="H58" s="92" t="s">
        <v>75</v>
      </c>
    </row>
    <row r="59" spans="1:8" ht="19.8" customHeight="1" x14ac:dyDescent="0.3">
      <c r="A59" s="97">
        <v>45986</v>
      </c>
      <c r="B59" s="88" t="s">
        <v>46</v>
      </c>
      <c r="C59" s="89" t="s">
        <v>57</v>
      </c>
      <c r="D59" s="88" t="s">
        <v>1</v>
      </c>
      <c r="E59" s="98">
        <v>1.604166666666667</v>
      </c>
      <c r="F59" s="88" t="s">
        <v>48</v>
      </c>
      <c r="G59" s="90">
        <v>9</v>
      </c>
      <c r="H59" s="92" t="s">
        <v>50</v>
      </c>
    </row>
    <row r="60" spans="1:8" ht="19.8" customHeight="1" x14ac:dyDescent="0.3">
      <c r="A60" s="97">
        <v>45986</v>
      </c>
      <c r="B60" s="88" t="s">
        <v>46</v>
      </c>
      <c r="C60" s="89" t="s">
        <v>57</v>
      </c>
      <c r="D60" s="88" t="s">
        <v>1</v>
      </c>
      <c r="E60" s="98">
        <v>1.604166666666667</v>
      </c>
      <c r="F60" s="88" t="s">
        <v>51</v>
      </c>
      <c r="G60" s="90">
        <v>9</v>
      </c>
      <c r="H60" s="92" t="s">
        <v>53</v>
      </c>
    </row>
    <row r="61" spans="1:8" ht="19.8" customHeight="1" x14ac:dyDescent="0.3">
      <c r="A61" s="97">
        <v>45986</v>
      </c>
      <c r="B61" s="88" t="s">
        <v>46</v>
      </c>
      <c r="C61" s="89" t="s">
        <v>54</v>
      </c>
      <c r="D61" s="88" t="s">
        <v>1</v>
      </c>
      <c r="E61" s="98">
        <v>1.4201388888888891</v>
      </c>
      <c r="F61" s="88" t="s">
        <v>51</v>
      </c>
      <c r="G61" s="90">
        <v>4</v>
      </c>
      <c r="H61" s="92" t="s">
        <v>88</v>
      </c>
    </row>
    <row r="62" spans="1:8" ht="19.8" customHeight="1" x14ac:dyDescent="0.3">
      <c r="A62" s="97">
        <v>45986</v>
      </c>
      <c r="B62" s="88" t="s">
        <v>38</v>
      </c>
      <c r="C62" s="89" t="s">
        <v>121</v>
      </c>
      <c r="D62" s="88" t="s">
        <v>1</v>
      </c>
      <c r="E62" s="98">
        <v>1.854166666666667</v>
      </c>
      <c r="F62" s="88" t="s">
        <v>40</v>
      </c>
      <c r="G62" s="90">
        <v>9</v>
      </c>
      <c r="H62" s="92" t="s">
        <v>45</v>
      </c>
    </row>
    <row r="63" spans="1:8" ht="19.8" customHeight="1" x14ac:dyDescent="0.3">
      <c r="A63" s="97">
        <v>45986</v>
      </c>
      <c r="B63" s="88" t="s">
        <v>46</v>
      </c>
      <c r="C63" s="89" t="s">
        <v>61</v>
      </c>
      <c r="D63" s="88" t="s">
        <v>1</v>
      </c>
      <c r="E63" s="98">
        <v>1.7951388888888891</v>
      </c>
      <c r="F63" s="88" t="s">
        <v>48</v>
      </c>
      <c r="G63" s="90">
        <v>1</v>
      </c>
      <c r="H63" s="92" t="s">
        <v>90</v>
      </c>
    </row>
    <row r="64" spans="1:8" ht="19.8" customHeight="1" x14ac:dyDescent="0.3">
      <c r="A64" s="97">
        <v>45986</v>
      </c>
      <c r="B64" s="88" t="s">
        <v>46</v>
      </c>
      <c r="C64" s="89" t="s">
        <v>47</v>
      </c>
      <c r="D64" s="88" t="s">
        <v>1</v>
      </c>
      <c r="E64" s="98">
        <v>1.086805555555556</v>
      </c>
      <c r="F64" s="88" t="s">
        <v>48</v>
      </c>
      <c r="G64" s="90">
        <v>9</v>
      </c>
      <c r="H64" s="92" t="s">
        <v>90</v>
      </c>
    </row>
    <row r="65" spans="1:8" ht="19.8" customHeight="1" x14ac:dyDescent="0.3">
      <c r="A65" s="97">
        <v>45986</v>
      </c>
      <c r="B65" s="88" t="s">
        <v>46</v>
      </c>
      <c r="C65" s="89" t="s">
        <v>61</v>
      </c>
      <c r="D65" s="88" t="s">
        <v>1</v>
      </c>
      <c r="E65" s="98">
        <v>1.7951388888888891</v>
      </c>
      <c r="F65" s="88" t="s">
        <v>51</v>
      </c>
      <c r="G65" s="90">
        <v>1</v>
      </c>
      <c r="H65" s="92" t="s">
        <v>92</v>
      </c>
    </row>
    <row r="66" spans="1:8" ht="19.8" customHeight="1" x14ac:dyDescent="0.3">
      <c r="A66" s="97">
        <v>45986</v>
      </c>
      <c r="B66" s="88" t="s">
        <v>46</v>
      </c>
      <c r="C66" s="89" t="s">
        <v>47</v>
      </c>
      <c r="D66" s="88" t="s">
        <v>1</v>
      </c>
      <c r="E66" s="98">
        <v>1.086805555555556</v>
      </c>
      <c r="F66" s="88" t="s">
        <v>51</v>
      </c>
      <c r="G66" s="90">
        <v>9</v>
      </c>
      <c r="H66" s="92" t="s">
        <v>92</v>
      </c>
    </row>
    <row r="67" spans="1:8" ht="19.8" customHeight="1" x14ac:dyDescent="0.3">
      <c r="A67" s="99">
        <v>45986</v>
      </c>
      <c r="B67" s="94" t="s">
        <v>63</v>
      </c>
      <c r="C67" s="95" t="s">
        <v>64</v>
      </c>
      <c r="D67" s="94" t="s">
        <v>1</v>
      </c>
      <c r="E67" s="100">
        <v>1.979166666666667</v>
      </c>
      <c r="F67" s="94" t="s">
        <v>65</v>
      </c>
      <c r="G67" s="94"/>
      <c r="H67" s="96" t="s">
        <v>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/>
  </sheetViews>
  <sheetFormatPr defaultRowHeight="14.4" x14ac:dyDescent="0.3"/>
  <cols>
    <col min="1" max="1" width="10.33203125" bestFit="1" customWidth="1"/>
    <col min="2" max="2" width="9.5546875" bestFit="1" customWidth="1"/>
    <col min="3" max="3" width="15" customWidth="1"/>
    <col min="4" max="4" width="10" customWidth="1"/>
    <col min="5" max="5" width="9.5546875" bestFit="1" customWidth="1"/>
    <col min="6" max="6" width="9" bestFit="1" customWidth="1"/>
    <col min="7" max="7" width="15.21875" bestFit="1" customWidth="1"/>
    <col min="8" max="8" width="15.6640625" bestFit="1" customWidth="1"/>
    <col min="9" max="9" width="14.109375" hidden="1" customWidth="1"/>
    <col min="10" max="10" width="9.44140625" bestFit="1" customWidth="1"/>
    <col min="11" max="11" width="8.33203125" bestFit="1" customWidth="1"/>
    <col min="12" max="12" width="7.5546875" bestFit="1" customWidth="1"/>
    <col min="13" max="13" width="11.21875" bestFit="1" customWidth="1"/>
    <col min="14" max="14" width="16.5546875" bestFit="1" customWidth="1"/>
  </cols>
  <sheetData>
    <row r="1" spans="1:14" x14ac:dyDescent="0.3">
      <c r="A1" s="113" t="s">
        <v>209</v>
      </c>
      <c r="B1" s="113" t="s">
        <v>210</v>
      </c>
      <c r="C1" s="113" t="s">
        <v>211</v>
      </c>
      <c r="D1" s="113" t="s">
        <v>212</v>
      </c>
      <c r="E1" s="113" t="s">
        <v>213</v>
      </c>
      <c r="F1" s="113" t="s">
        <v>214</v>
      </c>
      <c r="G1" s="113" t="s">
        <v>215</v>
      </c>
      <c r="H1" s="113" t="s">
        <v>216</v>
      </c>
      <c r="I1" s="113" t="s">
        <v>217</v>
      </c>
      <c r="J1" s="113" t="s">
        <v>218</v>
      </c>
      <c r="K1" s="113" t="s">
        <v>219</v>
      </c>
      <c r="L1" s="113" t="s">
        <v>220</v>
      </c>
      <c r="M1" s="113" t="s">
        <v>221</v>
      </c>
      <c r="N1" s="113" t="s">
        <v>222</v>
      </c>
    </row>
    <row r="2" spans="1:14" x14ac:dyDescent="0.3">
      <c r="A2" t="s">
        <v>223</v>
      </c>
      <c r="B2" t="s">
        <v>203</v>
      </c>
      <c r="C2" t="s">
        <v>31</v>
      </c>
      <c r="D2" t="s">
        <v>35</v>
      </c>
      <c r="E2">
        <v>749</v>
      </c>
      <c r="F2" t="s">
        <v>224</v>
      </c>
      <c r="G2">
        <v>80</v>
      </c>
      <c r="H2">
        <v>-7.49</v>
      </c>
      <c r="I2">
        <v>12</v>
      </c>
      <c r="J2">
        <v>4.51</v>
      </c>
      <c r="K2" t="s">
        <v>64</v>
      </c>
      <c r="L2">
        <v>4.5</v>
      </c>
      <c r="M2" s="114">
        <v>0.01</v>
      </c>
      <c r="N2" s="115" t="s">
        <v>225</v>
      </c>
    </row>
    <row r="3" spans="1:14" x14ac:dyDescent="0.3">
      <c r="A3" t="s">
        <v>226</v>
      </c>
      <c r="B3" t="s">
        <v>202</v>
      </c>
      <c r="C3" t="s">
        <v>31</v>
      </c>
      <c r="D3" t="s">
        <v>32</v>
      </c>
      <c r="E3">
        <v>749</v>
      </c>
      <c r="F3" t="s">
        <v>224</v>
      </c>
      <c r="G3">
        <v>80</v>
      </c>
      <c r="H3">
        <v>-7.49</v>
      </c>
      <c r="I3">
        <v>12</v>
      </c>
      <c r="J3">
        <v>4.51</v>
      </c>
      <c r="K3" t="s">
        <v>64</v>
      </c>
      <c r="L3">
        <v>4.5</v>
      </c>
      <c r="M3" s="114">
        <v>0.01</v>
      </c>
      <c r="N3" s="115" t="s">
        <v>225</v>
      </c>
    </row>
    <row r="4" spans="1:14" x14ac:dyDescent="0.3">
      <c r="A4" t="s">
        <v>226</v>
      </c>
      <c r="B4" t="s">
        <v>203</v>
      </c>
      <c r="C4" t="s">
        <v>31</v>
      </c>
      <c r="D4" t="s">
        <v>35</v>
      </c>
      <c r="E4">
        <v>1129</v>
      </c>
      <c r="F4" t="s">
        <v>224</v>
      </c>
      <c r="G4">
        <v>80</v>
      </c>
      <c r="H4">
        <v>-11.29</v>
      </c>
      <c r="I4">
        <v>12</v>
      </c>
      <c r="J4">
        <v>0.71</v>
      </c>
      <c r="K4" t="s">
        <v>112</v>
      </c>
      <c r="L4">
        <v>-3.14</v>
      </c>
      <c r="M4" s="114">
        <v>3.85</v>
      </c>
      <c r="N4" s="116" t="s">
        <v>227</v>
      </c>
    </row>
    <row r="5" spans="1:14" x14ac:dyDescent="0.3">
      <c r="A5" t="s">
        <v>228</v>
      </c>
      <c r="B5" t="s">
        <v>203</v>
      </c>
      <c r="C5" t="s">
        <v>31</v>
      </c>
      <c r="D5" t="s">
        <v>35</v>
      </c>
      <c r="E5">
        <v>829</v>
      </c>
      <c r="F5" t="s">
        <v>224</v>
      </c>
      <c r="G5">
        <v>80</v>
      </c>
      <c r="H5">
        <v>-8.2899999999999991</v>
      </c>
      <c r="I5">
        <v>12</v>
      </c>
      <c r="J5">
        <v>3.71</v>
      </c>
      <c r="K5" t="s">
        <v>64</v>
      </c>
      <c r="L5">
        <v>4.5</v>
      </c>
      <c r="M5" s="114">
        <v>-0.79</v>
      </c>
      <c r="N5" s="117" t="s">
        <v>229</v>
      </c>
    </row>
    <row r="6" spans="1:14" x14ac:dyDescent="0.3">
      <c r="A6" t="s">
        <v>228</v>
      </c>
      <c r="B6" t="s">
        <v>204</v>
      </c>
      <c r="C6" t="s">
        <v>38</v>
      </c>
      <c r="D6" t="s">
        <v>39</v>
      </c>
      <c r="E6">
        <v>866</v>
      </c>
      <c r="F6" t="s">
        <v>224</v>
      </c>
      <c r="G6">
        <v>46</v>
      </c>
      <c r="H6">
        <v>-8.66</v>
      </c>
      <c r="I6">
        <v>6.9</v>
      </c>
      <c r="J6">
        <v>-1.76</v>
      </c>
      <c r="K6" t="s">
        <v>112</v>
      </c>
      <c r="L6">
        <v>-3.14</v>
      </c>
      <c r="M6" s="114">
        <v>1.38</v>
      </c>
      <c r="N6" s="116" t="s">
        <v>227</v>
      </c>
    </row>
    <row r="7" spans="1:14" x14ac:dyDescent="0.3">
      <c r="A7" t="s">
        <v>228</v>
      </c>
      <c r="B7" t="s">
        <v>201</v>
      </c>
      <c r="C7" t="s">
        <v>26</v>
      </c>
      <c r="D7" t="s">
        <v>27</v>
      </c>
      <c r="E7">
        <v>1099</v>
      </c>
      <c r="F7" t="s">
        <v>224</v>
      </c>
      <c r="G7">
        <v>80</v>
      </c>
      <c r="H7">
        <v>-10.99</v>
      </c>
      <c r="I7">
        <v>12</v>
      </c>
      <c r="J7">
        <v>1.01</v>
      </c>
      <c r="K7" t="s">
        <v>106</v>
      </c>
      <c r="L7">
        <v>-1.58</v>
      </c>
      <c r="M7" s="114">
        <v>2.59</v>
      </c>
      <c r="N7" s="116" t="s">
        <v>227</v>
      </c>
    </row>
    <row r="8" spans="1:14" x14ac:dyDescent="0.3">
      <c r="A8" t="s">
        <v>228</v>
      </c>
      <c r="B8" t="s">
        <v>207</v>
      </c>
      <c r="C8" t="s">
        <v>46</v>
      </c>
      <c r="D8" t="s">
        <v>57</v>
      </c>
      <c r="E8">
        <v>1525</v>
      </c>
      <c r="F8" t="s">
        <v>224</v>
      </c>
      <c r="G8">
        <v>92</v>
      </c>
      <c r="H8">
        <v>-15.25</v>
      </c>
      <c r="I8">
        <v>13.8</v>
      </c>
      <c r="J8">
        <v>-1.45</v>
      </c>
      <c r="K8" t="s">
        <v>106</v>
      </c>
      <c r="L8">
        <v>-1.58</v>
      </c>
      <c r="M8" s="114">
        <v>0.13</v>
      </c>
      <c r="N8" s="115" t="s">
        <v>225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MED-CAI</vt:lpstr>
      <vt:lpstr>MED-CAI LF LEGACY</vt:lpstr>
      <vt:lpstr>MED-CAI - FOCUS MODE</vt:lpstr>
      <vt:lpstr>MED-CAI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2025-11-20T19:16:55Z</dcterms:created>
  <dcterms:modified xsi:type="dcterms:W3CDTF">2025-11-20T19:16:59Z</dcterms:modified>
</cp:coreProperties>
</file>