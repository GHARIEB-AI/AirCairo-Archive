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7E3349C-C6B3-429A-A749-E93EFC05B5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H-CAI" sheetId="1" r:id="rId1"/>
    <sheet name="RUH-CAI LF LEGACY" sheetId="2" r:id="rId2"/>
    <sheet name="RUH-CAI - FOCUS MODE" sheetId="3" r:id="rId3"/>
    <sheet name="RUH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E6" i="2"/>
  <c r="G6" i="2"/>
  <c r="H6" i="2"/>
  <c r="I6" i="2"/>
  <c r="J6" i="2"/>
  <c r="M6" i="2"/>
  <c r="N6" i="2"/>
  <c r="O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3" authorId="0" shapeId="0" xr:uid="{AD9C0DAC-50D2-4916-9D34-8748CC7FF24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K2 &amp; S1 &amp; W2 &amp; T15 &amp; X70 &amp; U12 &amp; O26 &amp; I13</t>
        </r>
      </text>
    </comment>
    <comment ref="F102" authorId="0" shapeId="0" xr:uid="{EF538F9E-42D6-423E-B8A2-61E73D76BD7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97]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T5 &amp; X8 &amp; U33 &amp; O18 &amp; I39 &amp; N1</t>
        </r>
      </text>
    </comment>
    <comment ref="F123" authorId="0" shapeId="0" xr:uid="{243F7833-EF90-4AD4-B10C-02250FEAD71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K5 &amp; S3 &amp; X4 &amp; U10 &amp; O47 &amp; I53 &amp; N1</t>
        </r>
      </text>
    </comment>
    <comment ref="F167" authorId="0" shapeId="0" xr:uid="{CF34B7B7-DEE2-41E4-A16C-E59B1260893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O16 &amp; I80</t>
        </r>
      </text>
    </comment>
  </commentList>
</comments>
</file>

<file path=xl/sharedStrings.xml><?xml version="1.0" encoding="utf-8"?>
<sst xmlns="http://schemas.openxmlformats.org/spreadsheetml/2006/main" count="2777" uniqueCount="310">
  <si>
    <t>COMPREHENSIVE REPORT</t>
  </si>
  <si>
    <t>RUH-CAI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</si>
  <si>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</si>
  <si>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</si>
  <si>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</si>
  <si>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</si>
  <si>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</si>
  <si>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</si>
  <si>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</si>
  <si>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</si>
  <si>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</si>
  <si>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</si>
  <si>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</si>
  <si>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</si>
  <si>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</si>
  <si>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</si>
  <si>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</si>
  <si>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</si>
  <si>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</si>
  <si>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</si>
  <si>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</si>
  <si>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</si>
  <si>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</si>
  <si>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</si>
  <si>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</si>
  <si>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</si>
  <si>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Nesma Airlines</t>
  </si>
  <si>
    <t>NE-161</t>
  </si>
  <si>
    <t>Cabin: 7 KG | Check-in: 30 KG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</si>
  <si>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</si>
  <si>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500 SAR</t>
  </si>
  <si>
    <t>flyadeal</t>
  </si>
  <si>
    <t>F3-615</t>
  </si>
  <si>
    <t>Check-in: 15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</si>
  <si>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</si>
  <si>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509 SAR</t>
  </si>
  <si>
    <t>Cabin: 10 KG / Check-in: 25 KG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</si>
  <si>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</si>
  <si>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659 SAR</t>
  </si>
  <si>
    <t>Cabin: 10 KG / Check-in: 2 x 40 KG</t>
  </si>
  <si>
    <t>899 SAR</t>
  </si>
  <si>
    <t>F3-605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</si>
  <si>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</si>
  <si>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549 SAR</t>
  </si>
  <si>
    <r>
      <rPr>
        <i/>
        <sz val="13"/>
        <rFont val="Calibri"/>
        <family val="2"/>
      </rPr>
      <t>4</t>
    </r>
    <r>
      <rPr>
        <i/>
        <sz val="10"/>
        <rFont val="Calibri"/>
        <family val="2"/>
      </rPr>
      <t xml:space="preserve"> FOR SAME CLASS</t>
    </r>
  </si>
  <si>
    <t>699 SAR</t>
  </si>
  <si>
    <t>1,299 SAR</t>
  </si>
  <si>
    <t>F3-607</t>
  </si>
  <si>
    <r>
      <rPr>
        <b/>
        <i/>
        <sz val="13"/>
        <rFont val="Calibri"/>
        <family val="2"/>
      </rPr>
      <t>10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</si>
  <si>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10</t>
    </r>
    <r>
      <rPr>
        <i/>
        <sz val="10"/>
        <rFont val="Calibri"/>
        <family val="2"/>
      </rPr>
      <t xml:space="preserve"> FOR SAME CLASS</t>
    </r>
  </si>
  <si>
    <t>F3-611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</si>
  <si>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</si>
  <si>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t>599 SAR</t>
  </si>
  <si>
    <r>
      <rPr>
        <i/>
        <sz val="13"/>
        <rFont val="Calibri"/>
        <family val="2"/>
      </rPr>
      <t>6</t>
    </r>
    <r>
      <rPr>
        <i/>
        <sz val="10"/>
        <rFont val="Calibri"/>
        <family val="2"/>
      </rPr>
      <t xml:space="preserve"> FOR SAME CLASS</t>
    </r>
  </si>
  <si>
    <t>749 SAR</t>
  </si>
  <si>
    <t>flynas</t>
  </si>
  <si>
    <t>XY-263</t>
  </si>
  <si>
    <t>Cabin: 7 KG / Check-in: 20 KG</t>
  </si>
  <si>
    <t>589 SAR</t>
  </si>
  <si>
    <t>Cabin: 7 KG / Check-in: 30 KG</t>
  </si>
  <si>
    <t>689 SAR</t>
  </si>
  <si>
    <t>Cabin: 7 KG / Check-in: 2 x 40 KG</t>
  </si>
  <si>
    <t>779 SAR</t>
  </si>
  <si>
    <t>XY-265</t>
  </si>
  <si>
    <t>XY-267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</si>
  <si>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</si>
  <si>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XY-269</t>
  </si>
  <si>
    <t>XY-271</t>
  </si>
  <si>
    <t>XY-273</t>
  </si>
  <si>
    <t>XY-275</t>
  </si>
  <si>
    <t>Nile Air</t>
  </si>
  <si>
    <t>NP-354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</si>
  <si>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</si>
  <si>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616 SAR</t>
  </si>
  <si>
    <t>Air Cairo</t>
  </si>
  <si>
    <t>SM-462</t>
  </si>
  <si>
    <t>Cabin: 7 KG | Check-in: 40 KG</t>
  </si>
  <si>
    <r>
      <rPr>
        <b/>
        <i/>
        <sz val="13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</si>
  <si>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864 SAR</t>
  </si>
  <si>
    <t>SM462</t>
  </si>
  <si>
    <t>S7</t>
  </si>
  <si>
    <t>K2 &amp; S1 &amp; W2 &amp; T15 &amp; X70 &amp; U12 &amp; O26 &amp; I13</t>
  </si>
  <si>
    <t>EgyptAir</t>
  </si>
  <si>
    <t>MS-648</t>
  </si>
  <si>
    <t>Cabin: 7 KG | Check-in: 2 PIECE</t>
  </si>
  <si>
    <t>1,031 SAR</t>
  </si>
  <si>
    <t>MS-652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</si>
  <si>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</si>
  <si>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1,315 SAR</t>
  </si>
  <si>
    <t>MS-650</t>
  </si>
  <si>
    <t>1,679 SAR</t>
  </si>
  <si>
    <t>Saudia</t>
  </si>
  <si>
    <t>SV-6749</t>
  </si>
  <si>
    <t>Cabin: 7 KG / Check-in: 2 x 46 KG</t>
  </si>
  <si>
    <r>
      <rPr>
        <b/>
        <i/>
        <sz val="13"/>
        <color rgb="FFBC0000"/>
        <rFont val="Calibri"/>
        <family val="2"/>
      </rPr>
      <t>4</t>
    </r>
    <r>
      <rPr>
        <b/>
        <i/>
        <sz val="10"/>
        <color rgb="FFBC0000"/>
        <rFont val="Calibri"/>
        <family val="2"/>
      </rPr>
      <t xml:space="preserve"> FOR SAME CLASS</t>
    </r>
  </si>
  <si>
    <t>1,717 SAR</t>
  </si>
  <si>
    <t>SV-311</t>
  </si>
  <si>
    <t>Cabin: 7 KG / Check-in: 23 KG</t>
  </si>
  <si>
    <t>1,802 SAR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</si>
  <si>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</si>
  <si>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1,930 SAR</t>
  </si>
  <si>
    <t>SV-313</t>
  </si>
  <si>
    <t>SV-321</t>
  </si>
  <si>
    <t>SV-417</t>
  </si>
  <si>
    <t>SV-6595</t>
  </si>
  <si>
    <t>2,167 SAR</t>
  </si>
  <si>
    <t>SV-6676</t>
  </si>
  <si>
    <t>369 SAR</t>
  </si>
  <si>
    <r>
      <rPr>
        <i/>
        <sz val="13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</si>
  <si>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519 SAR</t>
  </si>
  <si>
    <t>399 SAR</t>
  </si>
  <si>
    <r>
      <rPr>
        <b/>
        <i/>
        <sz val="13"/>
        <rFont val="Calibri"/>
        <family val="2"/>
      </rPr>
      <t>20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</si>
  <si>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20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</si>
  <si>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</si>
  <si>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429 SAR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</si>
  <si>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</si>
  <si>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579 SAR</t>
  </si>
  <si>
    <r>
      <rPr>
        <b/>
        <i/>
        <sz val="13"/>
        <color rgb="FFBC0000"/>
        <rFont val="Calibri"/>
        <family val="2"/>
      </rPr>
      <t>5</t>
    </r>
    <r>
      <rPr>
        <b/>
        <i/>
        <sz val="10"/>
        <color rgb="FFBC0000"/>
        <rFont val="Calibri"/>
        <family val="2"/>
      </rPr>
      <t xml:space="preserve"> FOR SAME CLASS</t>
    </r>
  </si>
  <si>
    <t>449 SAR</t>
  </si>
  <si>
    <r>
      <rPr>
        <i/>
        <sz val="13"/>
        <rFont val="Calibri"/>
        <family val="2"/>
      </rPr>
      <t>5</t>
    </r>
    <r>
      <rPr>
        <i/>
        <sz val="10"/>
        <rFont val="Calibri"/>
        <family val="2"/>
      </rPr>
      <t xml:space="preserve"> FOR SAME CLASS</t>
    </r>
  </si>
  <si>
    <t>639 SAR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</si>
  <si>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</si>
  <si>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489 SAR</t>
  </si>
  <si>
    <t>679 SAR</t>
  </si>
  <si>
    <t>539 SAR</t>
  </si>
  <si>
    <t>729 SAR</t>
  </si>
  <si>
    <t>NE-163</t>
  </si>
  <si>
    <t>NP-152</t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</si>
  <si>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</si>
  <si>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518 SAR</t>
  </si>
  <si>
    <t>774 SAR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</si>
  <si>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</si>
  <si>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824 SAR</t>
  </si>
  <si>
    <t>1,268 SAR</t>
  </si>
  <si>
    <t>1,396 SAR</t>
  </si>
  <si>
    <t>SV-323</t>
  </si>
  <si>
    <t>1,317 SAR</t>
  </si>
  <si>
    <t>837 SAR</t>
  </si>
  <si>
    <t>30KG + 7KG CABIN</t>
  </si>
  <si>
    <t>FULLY BOOKED</t>
  </si>
  <si>
    <t>CLOSED</t>
  </si>
  <si>
    <t>K1 &amp; T5 &amp; X8 &amp; U33 &amp; O18 &amp; I39 &amp; N1</t>
  </si>
  <si>
    <r>
      <rPr>
        <b/>
        <i/>
        <sz val="13"/>
        <color rgb="FFBC0000"/>
        <rFont val="Calibri"/>
        <family val="2"/>
      </rPr>
      <t>3</t>
    </r>
    <r>
      <rPr>
        <b/>
        <i/>
        <sz val="10"/>
        <color rgb="FFBC0000"/>
        <rFont val="Calibri"/>
        <family val="2"/>
      </rPr>
      <t xml:space="preserve"> FOR SAME CLASS</t>
    </r>
  </si>
  <si>
    <t>279 SAR</t>
  </si>
  <si>
    <r>
      <rPr>
        <i/>
        <sz val="13"/>
        <rFont val="Calibri"/>
        <family val="2"/>
      </rPr>
      <t>3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</si>
  <si>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</si>
  <si>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t>309 SAR</t>
  </si>
  <si>
    <t>459 SAR</t>
  </si>
  <si>
    <t>329 SAR</t>
  </si>
  <si>
    <t>469 SAR</t>
  </si>
  <si>
    <t>559 SAR</t>
  </si>
  <si>
    <t>409 SAR</t>
  </si>
  <si>
    <t>NP-252</t>
  </si>
  <si>
    <t>416 SAR</t>
  </si>
  <si>
    <t>Air Arabia Egypt</t>
  </si>
  <si>
    <t>E5-411</t>
  </si>
  <si>
    <t>Cabin: 10 KG / Check-in: 30 KG</t>
  </si>
  <si>
    <t>439 SAR</t>
  </si>
  <si>
    <t>563 SAR</t>
  </si>
  <si>
    <t>SM-470</t>
  </si>
  <si>
    <r>
      <rPr>
        <b/>
        <i/>
        <sz val="13"/>
        <color rgb="FFBC0000"/>
        <rFont val="Calibri"/>
        <family val="2"/>
      </rPr>
      <t>6</t>
    </r>
    <r>
      <rPr>
        <b/>
        <i/>
        <sz val="10"/>
        <color rgb="FFBC0000"/>
        <rFont val="Calibri"/>
        <family val="2"/>
      </rPr>
      <t xml:space="preserve"> FOR SAME CLASS</t>
    </r>
  </si>
  <si>
    <t>450 SAR</t>
  </si>
  <si>
    <t>SM470</t>
  </si>
  <si>
    <t>X6</t>
  </si>
  <si>
    <t>K5 &amp; S3 &amp; X4 &amp; U10 &amp; O47 &amp; I53 &amp; N1</t>
  </si>
  <si>
    <t>527 SAR</t>
  </si>
  <si>
    <t>702 SAR</t>
  </si>
  <si>
    <t>SV-315</t>
  </si>
  <si>
    <t>582 SAR</t>
  </si>
  <si>
    <t>626 SAR</t>
  </si>
  <si>
    <t>661 SAR</t>
  </si>
  <si>
    <t>711 SAR</t>
  </si>
  <si>
    <t>1,161 SAR</t>
  </si>
  <si>
    <t>1,213 SAR</t>
  </si>
  <si>
    <r>
      <rPr>
        <b/>
        <i/>
        <sz val="13"/>
        <color rgb="FFBC0000"/>
        <rFont val="Calibri"/>
        <family val="2"/>
      </rPr>
      <t>33</t>
    </r>
    <r>
      <rPr>
        <b/>
        <i/>
        <sz val="10"/>
        <color rgb="FFBC0000"/>
        <rFont val="Calibri"/>
        <family val="2"/>
      </rPr>
      <t xml:space="preserve"> FOR SAME CLASS</t>
    </r>
  </si>
  <si>
    <t>259 SAR</t>
  </si>
  <si>
    <r>
      <rPr>
        <i/>
        <sz val="13"/>
        <rFont val="Calibri"/>
        <family val="2"/>
      </rPr>
      <t>33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</si>
  <si>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40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</si>
  <si>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40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</si>
  <si>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36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</si>
  <si>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36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</si>
  <si>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23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</si>
  <si>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23</t>
    </r>
    <r>
      <rPr>
        <i/>
        <sz val="10"/>
        <rFont val="Calibri"/>
        <family val="2"/>
      </rPr>
      <t xml:space="preserve"> FOR SAME CLASS</t>
    </r>
  </si>
  <si>
    <t>289 SAR</t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</si>
  <si>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</si>
  <si>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389 SAR</t>
  </si>
  <si>
    <t>479 SAR</t>
  </si>
  <si>
    <t>350 SAR</t>
  </si>
  <si>
    <t>355 SAR</t>
  </si>
  <si>
    <t>O9</t>
  </si>
  <si>
    <t>U3 &amp; O16 &amp; I80</t>
  </si>
  <si>
    <t>361 SAR</t>
  </si>
  <si>
    <t>484 SAR</t>
  </si>
  <si>
    <t>462 SAR</t>
  </si>
  <si>
    <t>597 SAR</t>
  </si>
  <si>
    <t>601 SAR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</si>
  <si>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</si>
  <si>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</si>
  <si>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</si>
  <si>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</si>
  <si>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</si>
  <si>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</si>
  <si>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</si>
  <si>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</si>
  <si>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</si>
  <si>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</si>
  <si>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</si>
  <si>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</si>
  <si>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</si>
  <si>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</si>
  <si>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</si>
  <si>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</si>
  <si>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</si>
  <si>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</si>
  <si>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</si>
  <si>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</si>
  <si>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</si>
  <si>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</si>
  <si>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</si>
  <si>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</si>
  <si>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</si>
  <si>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</si>
  <si>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</si>
  <si>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</si>
  <si>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</si>
  <si>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</si>
  <si>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</si>
  <si>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14:40</t>
  </si>
  <si>
    <t>320</t>
  </si>
  <si>
    <t>UPCOMING</t>
  </si>
  <si>
    <t>K2</t>
  </si>
  <si>
    <t>S1</t>
  </si>
  <si>
    <t>W2</t>
  </si>
  <si>
    <t>T15</t>
  </si>
  <si>
    <t>X70</t>
  </si>
  <si>
    <t>U12</t>
  </si>
  <si>
    <t>O26</t>
  </si>
  <si>
    <t>I13</t>
  </si>
  <si>
    <t>SUNDAY</t>
  </si>
  <si>
    <t>15:00</t>
  </si>
  <si>
    <t>E90</t>
  </si>
  <si>
    <t>K1</t>
  </si>
  <si>
    <t>T5</t>
  </si>
  <si>
    <t>X8</t>
  </si>
  <si>
    <t>U33</t>
  </si>
  <si>
    <t>O18</t>
  </si>
  <si>
    <t>I39</t>
  </si>
  <si>
    <t>N1</t>
  </si>
  <si>
    <t>MONDAY</t>
  </si>
  <si>
    <t>22:10</t>
  </si>
  <si>
    <t>K5</t>
  </si>
  <si>
    <t>S3</t>
  </si>
  <si>
    <t>X4</t>
  </si>
  <si>
    <t>U10</t>
  </si>
  <si>
    <t>O47</t>
  </si>
  <si>
    <t>I53</t>
  </si>
  <si>
    <t>TUESDAY</t>
  </si>
  <si>
    <t>21:55</t>
  </si>
  <si>
    <t>U3</t>
  </si>
  <si>
    <t>O16</t>
  </si>
  <si>
    <t>I80</t>
  </si>
  <si>
    <t>DATE</t>
  </si>
  <si>
    <t>ROUTE</t>
  </si>
  <si>
    <t>2025-11-22</t>
  </si>
  <si>
    <t>06:35</t>
  </si>
  <si>
    <t>19:35</t>
  </si>
  <si>
    <t>10:45</t>
  </si>
  <si>
    <t>12:00</t>
  </si>
  <si>
    <t>07:20</t>
  </si>
  <si>
    <t>19:50</t>
  </si>
  <si>
    <t>10:15</t>
  </si>
  <si>
    <t>16:30</t>
  </si>
  <si>
    <t>09:00</t>
  </si>
  <si>
    <t>13:35</t>
  </si>
  <si>
    <t>18:15</t>
  </si>
  <si>
    <t>15:55</t>
  </si>
  <si>
    <t>Date</t>
  </si>
  <si>
    <t>Time</t>
  </si>
  <si>
    <t>Competitor</t>
  </si>
  <si>
    <t>Flight</t>
  </si>
  <si>
    <t>Price</t>
  </si>
  <si>
    <t>Curr</t>
  </si>
  <si>
    <t>Weight (kg)</t>
  </si>
  <si>
    <t>Fare NUC (-)</t>
  </si>
  <si>
    <t>Weight NUC (+)</t>
  </si>
  <si>
    <t>Total NUC</t>
  </si>
  <si>
    <t>AC Flight</t>
  </si>
  <si>
    <t>AC NUC</t>
  </si>
  <si>
    <t>Delta (C-AC)</t>
  </si>
  <si>
    <t>Threat Status</t>
  </si>
  <si>
    <t>SAR</t>
  </si>
  <si>
    <t>WINNER (THREAT)</t>
  </si>
  <si>
    <t>CLOSE (WATCH)</t>
  </si>
  <si>
    <t>AHEAD</t>
  </si>
  <si>
    <t>22:05</t>
  </si>
  <si>
    <t>2025-11-23</t>
  </si>
  <si>
    <t>16:25</t>
  </si>
  <si>
    <t>20:05</t>
  </si>
  <si>
    <t>2025-11-24</t>
  </si>
  <si>
    <t>17:40</t>
  </si>
  <si>
    <t>12:15</t>
  </si>
  <si>
    <t>01:10</t>
  </si>
  <si>
    <t>07:10</t>
  </si>
  <si>
    <t>11:35</t>
  </si>
  <si>
    <t>2025-11-25</t>
  </si>
  <si>
    <t>06:40</t>
  </si>
  <si>
    <t>04:00</t>
  </si>
  <si>
    <t>14:55</t>
  </si>
  <si>
    <t>13:15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</si>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</sst>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i/>
      <sz val="18"/>
      <color rgb="FFFF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sz val="12"/>
      <color theme="1"/>
      <name val="Calibri"/>
      <family val="2"/>
    </font>
    <font>
      <b/>
      <i/>
      <sz val="18"/>
      <name val="Calibri"/>
      <family val="2"/>
    </font>
    <font>
      <b/>
      <i/>
      <sz val="13"/>
      <color rgb="FF006100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/>
    </fill>
    <fill>
      <patternFill patternType="solid">
        <fgColor rgb="FFFF0000"/>
        <bgColor rgb="FFFF0000"/>
      </patternFill>
    </fill>
    <fill>
      <patternFill patternType="solid">
        <fgColor rgb="FFFFD700"/>
        <bgColor rgb="FFFFD700"/>
      </patternFill>
    </fill>
    <fill>
      <patternFill patternType="solid">
        <fgColor rgb="FFFFA500"/>
        <bgColor rgb="FFFFA500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6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168" fontId="10" fillId="0" borderId="6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168" fontId="10" fillId="0" borderId="11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168" fontId="14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68" fontId="15" fillId="0" borderId="11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168" fontId="10" fillId="8" borderId="2" xfId="0" applyNumberFormat="1" applyFont="1" applyFill="1" applyBorder="1" applyAlignment="1">
      <alignment horizontal="center" vertical="center"/>
    </xf>
    <xf numFmtId="49" fontId="16" fillId="8" borderId="13" xfId="0" applyNumberFormat="1" applyFont="1" applyFill="1" applyBorder="1" applyAlignment="1">
      <alignment horizontal="center" vertical="center"/>
    </xf>
    <xf numFmtId="169" fontId="16" fillId="8" borderId="14" xfId="0" applyNumberFormat="1" applyFont="1" applyFill="1" applyBorder="1" applyAlignment="1">
      <alignment horizontal="center" vertical="center"/>
    </xf>
    <xf numFmtId="1" fontId="16" fillId="8" borderId="14" xfId="0" applyNumberFormat="1" applyFont="1" applyFill="1" applyBorder="1" applyAlignment="1">
      <alignment horizontal="center" vertical="center"/>
    </xf>
    <xf numFmtId="16" fontId="16" fillId="8" borderId="14" xfId="0" applyNumberFormat="1" applyFont="1" applyFill="1" applyBorder="1" applyAlignment="1">
      <alignment horizontal="center" vertical="center"/>
    </xf>
    <xf numFmtId="49" fontId="17" fillId="8" borderId="14" xfId="0" applyNumberFormat="1" applyFont="1" applyFill="1" applyBorder="1" applyAlignment="1">
      <alignment horizontal="center" vertical="center"/>
    </xf>
    <xf numFmtId="168" fontId="16" fillId="8" borderId="14" xfId="0" applyNumberFormat="1" applyFont="1" applyFill="1" applyBorder="1" applyAlignment="1">
      <alignment horizontal="center" vertical="center"/>
    </xf>
    <xf numFmtId="49" fontId="16" fillId="8" borderId="15" xfId="0" applyNumberFormat="1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68" fontId="15" fillId="0" borderId="16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7" fontId="19" fillId="5" borderId="2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168" fontId="8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center" vertical="center"/>
    </xf>
    <xf numFmtId="169" fontId="8" fillId="6" borderId="2" xfId="0" applyNumberFormat="1" applyFont="1" applyFill="1" applyBorder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16" fontId="8" fillId="6" borderId="2" xfId="0" applyNumberFormat="1" applyFont="1" applyFill="1" applyBorder="1" applyAlignment="1">
      <alignment horizontal="center" vertical="center"/>
    </xf>
    <xf numFmtId="49" fontId="10" fillId="10" borderId="16" xfId="0" applyNumberFormat="1" applyFont="1" applyFill="1" applyBorder="1" applyAlignment="1">
      <alignment horizontal="center" vertical="center"/>
    </xf>
    <xf numFmtId="168" fontId="10" fillId="10" borderId="16" xfId="0" applyNumberFormat="1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49" fontId="16" fillId="10" borderId="21" xfId="0" applyNumberFormat="1" applyFont="1" applyFill="1" applyBorder="1" applyAlignment="1">
      <alignment horizontal="center" vertical="center"/>
    </xf>
    <xf numFmtId="169" fontId="20" fillId="10" borderId="22" xfId="0" applyNumberFormat="1" applyFont="1" applyFill="1" applyBorder="1" applyAlignment="1">
      <alignment horizontal="center" vertical="center"/>
    </xf>
    <xf numFmtId="1" fontId="16" fillId="10" borderId="22" xfId="0" applyNumberFormat="1" applyFont="1" applyFill="1" applyBorder="1" applyAlignment="1">
      <alignment horizontal="center" vertical="center"/>
    </xf>
    <xf numFmtId="16" fontId="16" fillId="10" borderId="22" xfId="0" applyNumberFormat="1" applyFont="1" applyFill="1" applyBorder="1" applyAlignment="1">
      <alignment horizontal="center" vertical="center"/>
    </xf>
    <xf numFmtId="49" fontId="17" fillId="10" borderId="22" xfId="0" applyNumberFormat="1" applyFont="1" applyFill="1" applyBorder="1" applyAlignment="1">
      <alignment horizontal="center" vertical="center"/>
    </xf>
    <xf numFmtId="168" fontId="16" fillId="10" borderId="22" xfId="0" applyNumberFormat="1" applyFont="1" applyFill="1" applyBorder="1" applyAlignment="1">
      <alignment horizontal="center" vertical="center"/>
    </xf>
    <xf numFmtId="49" fontId="16" fillId="10" borderId="23" xfId="0" applyNumberFormat="1" applyFont="1" applyFill="1" applyBorder="1" applyAlignment="1">
      <alignment horizontal="center" vertical="center"/>
    </xf>
    <xf numFmtId="49" fontId="10" fillId="11" borderId="2" xfId="0" applyNumberFormat="1" applyFont="1" applyFill="1" applyBorder="1" applyAlignment="1">
      <alignment horizontal="center" vertical="center"/>
    </xf>
    <xf numFmtId="168" fontId="10" fillId="11" borderId="2" xfId="0" applyNumberFormat="1" applyFont="1" applyFill="1" applyBorder="1" applyAlignment="1">
      <alignment horizontal="center" vertical="center"/>
    </xf>
    <xf numFmtId="49" fontId="16" fillId="11" borderId="13" xfId="0" applyNumberFormat="1" applyFont="1" applyFill="1" applyBorder="1" applyAlignment="1">
      <alignment horizontal="center" vertical="center"/>
    </xf>
    <xf numFmtId="169" fontId="16" fillId="11" borderId="14" xfId="0" applyNumberFormat="1" applyFont="1" applyFill="1" applyBorder="1" applyAlignment="1">
      <alignment horizontal="center" vertical="center"/>
    </xf>
    <xf numFmtId="1" fontId="16" fillId="11" borderId="14" xfId="0" applyNumberFormat="1" applyFont="1" applyFill="1" applyBorder="1" applyAlignment="1">
      <alignment horizontal="center" vertical="center"/>
    </xf>
    <xf numFmtId="16" fontId="16" fillId="11" borderId="14" xfId="0" applyNumberFormat="1" applyFont="1" applyFill="1" applyBorder="1" applyAlignment="1">
      <alignment horizontal="center" vertical="center"/>
    </xf>
    <xf numFmtId="49" fontId="17" fillId="11" borderId="14" xfId="0" applyNumberFormat="1" applyFont="1" applyFill="1" applyBorder="1" applyAlignment="1">
      <alignment horizontal="center" vertical="center"/>
    </xf>
    <xf numFmtId="168" fontId="16" fillId="11" borderId="14" xfId="0" applyNumberFormat="1" applyFont="1" applyFill="1" applyBorder="1" applyAlignment="1">
      <alignment horizontal="center" vertical="center"/>
    </xf>
    <xf numFmtId="49" fontId="16" fillId="11" borderId="15" xfId="0" applyNumberFormat="1" applyFont="1" applyFill="1" applyBorder="1" applyAlignment="1">
      <alignment horizontal="center" vertical="center"/>
    </xf>
    <xf numFmtId="49" fontId="10" fillId="12" borderId="2" xfId="0" applyNumberFormat="1" applyFont="1" applyFill="1" applyBorder="1" applyAlignment="1">
      <alignment horizontal="center" vertical="center"/>
    </xf>
    <xf numFmtId="168" fontId="10" fillId="12" borderId="2" xfId="0" applyNumberFormat="1" applyFont="1" applyFill="1" applyBorder="1" applyAlignment="1">
      <alignment horizontal="center" vertical="center"/>
    </xf>
    <xf numFmtId="49" fontId="16" fillId="12" borderId="13" xfId="0" applyNumberFormat="1" applyFont="1" applyFill="1" applyBorder="1" applyAlignment="1">
      <alignment horizontal="center" vertical="center"/>
    </xf>
    <xf numFmtId="169" fontId="16" fillId="12" borderId="14" xfId="0" applyNumberFormat="1" applyFont="1" applyFill="1" applyBorder="1" applyAlignment="1">
      <alignment horizontal="center" vertical="center"/>
    </xf>
    <xf numFmtId="1" fontId="16" fillId="12" borderId="14" xfId="0" applyNumberFormat="1" applyFont="1" applyFill="1" applyBorder="1" applyAlignment="1">
      <alignment horizontal="center" vertical="center"/>
    </xf>
    <xf numFmtId="16" fontId="16" fillId="12" borderId="14" xfId="0" applyNumberFormat="1" applyFont="1" applyFill="1" applyBorder="1" applyAlignment="1">
      <alignment horizontal="center" vertical="center"/>
    </xf>
    <xf numFmtId="49" fontId="17" fillId="12" borderId="14" xfId="0" applyNumberFormat="1" applyFont="1" applyFill="1" applyBorder="1" applyAlignment="1">
      <alignment horizontal="center" vertical="center"/>
    </xf>
    <xf numFmtId="168" fontId="16" fillId="12" borderId="14" xfId="0" applyNumberFormat="1" applyFont="1" applyFill="1" applyBorder="1" applyAlignment="1">
      <alignment horizontal="center" vertical="center"/>
    </xf>
    <xf numFmtId="49" fontId="16" fillId="12" borderId="15" xfId="0" applyNumberFormat="1" applyFont="1" applyFill="1" applyBorder="1" applyAlignment="1">
      <alignment horizontal="center" vertical="center"/>
    </xf>
    <xf numFmtId="0" fontId="21" fillId="13" borderId="24" xfId="0" applyFont="1" applyFill="1" applyBorder="1" applyAlignment="1">
      <alignment horizontal="center" vertical="center"/>
    </xf>
    <xf numFmtId="0" fontId="21" fillId="13" borderId="25" xfId="0" applyFont="1" applyFill="1" applyBorder="1" applyAlignment="1">
      <alignment horizontal="center" vertical="center"/>
    </xf>
    <xf numFmtId="0" fontId="21" fillId="13" borderId="26" xfId="0" applyFont="1" applyFill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171" fontId="22" fillId="0" borderId="29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171" fontId="23" fillId="0" borderId="29" xfId="0" applyNumberFormat="1" applyFont="1" applyBorder="1" applyAlignment="1">
      <alignment horizontal="center" vertical="center"/>
    </xf>
    <xf numFmtId="172" fontId="22" fillId="0" borderId="27" xfId="0" applyNumberFormat="1" applyFont="1" applyBorder="1" applyAlignment="1">
      <alignment horizontal="center" vertical="center"/>
    </xf>
    <xf numFmtId="173" fontId="22" fillId="0" borderId="28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172" fontId="22" fillId="0" borderId="30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49" fontId="22" fillId="0" borderId="31" xfId="0" applyNumberFormat="1" applyFont="1" applyBorder="1" applyAlignment="1">
      <alignment horizontal="center" vertical="center"/>
    </xf>
    <xf numFmtId="173" fontId="22" fillId="0" borderId="31" xfId="0" applyNumberFormat="1" applyFont="1" applyBorder="1" applyAlignment="1">
      <alignment horizontal="center" vertical="center"/>
    </xf>
    <xf numFmtId="1" fontId="22" fillId="0" borderId="31" xfId="0" applyNumberFormat="1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172" fontId="23" fillId="0" borderId="30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173" fontId="23" fillId="0" borderId="31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172" fontId="23" fillId="0" borderId="27" xfId="0" applyNumberFormat="1" applyFont="1" applyBorder="1" applyAlignment="1">
      <alignment horizontal="center" vertical="center"/>
    </xf>
    <xf numFmtId="173" fontId="23" fillId="0" borderId="28" xfId="0" applyNumberFormat="1" applyFont="1" applyBorder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25" fillId="0" borderId="0" xfId="0" applyFont="1"/>
    <xf numFmtId="0" fontId="26" fillId="15" borderId="0" xfId="0" applyFont="1" applyFill="1"/>
    <xf numFmtId="0" fontId="25" fillId="16" borderId="0" xfId="0" applyFont="1" applyFill="1"/>
    <xf numFmtId="0" fontId="25" fillId="17" borderId="0" xfId="0" applyFont="1" applyFill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49" fontId="5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7" fillId="4" borderId="2" xfId="0" applyNumberFormat="1" applyFont="1" applyFill="1" applyBorder="1" applyAlignment="1">
      <alignment horizontal="center" vertical="center"/>
    </xf>
    <xf numFmtId="0" fontId="11" fillId="0" borderId="7" xfId="0" applyFont="1" applyBorder="1"/>
    <xf numFmtId="0" fontId="0" fillId="0" borderId="12" xfId="0" applyBorder="1"/>
    <xf numFmtId="0" fontId="0" fillId="0" borderId="17" xfId="0" applyBorder="1"/>
    <xf numFmtId="167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0" fontId="0" fillId="0" borderId="7" xfId="0" applyBorder="1"/>
    <xf numFmtId="18" fontId="3" fillId="3" borderId="0" xfId="0" applyNumberFormat="1" applyFont="1" applyFill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/>
    <xf numFmtId="170" fontId="31" fillId="0" borderId="0" xfId="0" applyNumberFormat="1" applyFont="1" applyAlignment="1">
      <alignment horizontal="center" vertical="center"/>
    </xf>
    <xf numFmtId="15" fontId="31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168" fontId="31" fillId="0" borderId="0" xfId="0" applyNumberFormat="1" applyFont="1" applyAlignment="1">
      <alignment horizontal="center" vertical="center"/>
    </xf>
    <xf numFmtId="169" fontId="31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6" fontId="31" fillId="0" borderId="0" xfId="0" applyNumberFormat="1" applyFont="1" applyAlignment="1">
      <alignment horizontal="center" vertical="center"/>
    </xf>
    <xf numFmtId="0" fontId="32" fillId="18" borderId="0" xfId="0" applyFont="1" applyFill="1" applyAlignment="1">
      <alignment horizontal="center" vertical="center"/>
    </xf>
    <xf numFmtId="15" fontId="32" fillId="18" borderId="0" xfId="0" applyNumberFormat="1" applyFont="1" applyFill="1" applyAlignment="1">
      <alignment horizontal="center" vertical="center"/>
    </xf>
    <xf numFmtId="169" fontId="32" fillId="18" borderId="0" xfId="0" applyNumberFormat="1" applyFont="1" applyFill="1" applyAlignment="1">
      <alignment horizontal="center" vertical="center"/>
    </xf>
    <xf numFmtId="1" fontId="32" fillId="18" borderId="0" xfId="0" applyNumberFormat="1" applyFont="1" applyFill="1" applyAlignment="1">
      <alignment horizontal="center" vertical="center"/>
    </xf>
    <xf numFmtId="0" fontId="32" fillId="18" borderId="0" xfId="0" applyNumberFormat="1" applyFont="1" applyFill="1" applyAlignment="1">
      <alignment horizontal="center" vertical="center"/>
    </xf>
    <xf numFmtId="0" fontId="18" fillId="9" borderId="33" xfId="0" applyFont="1" applyFill="1" applyBorder="1" applyAlignment="1">
      <alignment horizontal="center" vertical="center"/>
    </xf>
    <xf numFmtId="0" fontId="18" fillId="9" borderId="34" xfId="0" applyFont="1" applyFill="1" applyBorder="1" applyAlignment="1">
      <alignment horizontal="center" vertical="center"/>
    </xf>
    <xf numFmtId="0" fontId="18" fillId="9" borderId="35" xfId="0" applyFont="1" applyFill="1" applyBorder="1" applyAlignment="1">
      <alignment horizontal="center" vertical="center"/>
    </xf>
  </cellXfs>
  <cellStyles count="1">
    <cellStyle name="Normal" xfId="0" builtinId="0"/>
  </cellStyles>
  <dxfs count="76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H_CAI_LF_LEGACY" displayName="RUH_CAI_LF_LEGACY" ref="A1:AJ6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RUH_CAI" displayName="FocusMode_RUH_CAI" ref="A1:H208" totalsRowShown="0">
  <autoFilter ref="A1:H20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5FB6D9-9ADB-4964-9035-8F761F9B499A}" name="RUH_CAI___OAL_Threats_Alert" displayName="RUH_CAI___OAL_Threats_Alert" ref="A1:H88" totalsRowShown="0" headerRowDxfId="75">
  <autoFilter ref="A1:H88" xr:uid="{FD5FB6D9-9ADB-4964-9035-8F761F9B499A}"/>
  <tableColumns count="8">
    <tableColumn id="1" xr3:uid="{5BE3301E-9098-41B3-AE89-8D266D881BAF}" name="Date"/>
    <tableColumn id="2" xr3:uid="{4DBC2215-3B45-4D46-8193-D89AD282482B}" name="Time"/>
    <tableColumn id="3" xr3:uid="{38FB2BA6-104F-43B1-B554-21A8B9A283AD}" name="Competitor"/>
    <tableColumn id="4" xr3:uid="{6D3DFB65-9BA7-4D57-BFAF-EB44F0C24B4E}" name="Flight"/>
    <tableColumn id="5" xr3:uid="{601E0A53-4F75-437C-913B-C7DECEEC7C0B}" name="Price"/>
    <tableColumn id="6" xr3:uid="{828FDE1F-AA80-43FE-B53A-7166872CEA23}" name="Curr"/>
    <tableColumn id="7" xr3:uid="{D280B66B-D76F-4076-A59C-8BE30F6E5A08}" name="Weight (kg)"/>
    <tableColumn id="8" xr3:uid="{DA5CF425-8CEA-48F2-8D28-FBFE5DE2D211}" name="Fare NUC (-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21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</cols>
  <sheetData>
    <row r="1" spans="1:92" ht="28.8" customHeight="1" x14ac:dyDescent="0.3">
      <c r="A1" s="109" t="s">
        <v>0</v>
      </c>
      <c r="B1" s="108"/>
      <c r="C1" s="108"/>
      <c r="D1" s="108"/>
      <c r="E1" s="108"/>
      <c r="F1" s="1" t="s">
        <v>1</v>
      </c>
      <c r="G1" s="2" t="s">
        <v>2</v>
      </c>
      <c r="H1" s="107">
        <v>45983</v>
      </c>
      <c r="I1" s="108"/>
      <c r="J1" s="108"/>
      <c r="K1" s="108"/>
      <c r="L1" s="108"/>
      <c r="M1" s="1" t="s">
        <v>3</v>
      </c>
      <c r="N1" s="122">
        <v>45986</v>
      </c>
      <c r="O1" s="108"/>
      <c r="P1" s="108"/>
      <c r="Q1" s="108"/>
      <c r="R1" s="10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14" t="s">
        <v>4</v>
      </c>
      <c r="B2" s="108"/>
      <c r="C2" s="108"/>
      <c r="D2" s="108"/>
      <c r="E2" s="108"/>
      <c r="F2" s="108"/>
      <c r="G2" s="120">
        <v>45981.928393977003</v>
      </c>
      <c r="H2" s="108"/>
      <c r="I2" s="108"/>
      <c r="J2" s="108"/>
      <c r="K2" s="124">
        <v>45981.928393977279</v>
      </c>
      <c r="L2" s="108"/>
      <c r="M2" s="108"/>
      <c r="N2" s="108"/>
      <c r="O2" s="108"/>
      <c r="P2" s="108"/>
      <c r="Q2" s="108"/>
      <c r="R2" s="10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15" t="s">
        <v>5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21" t="s">
        <v>6</v>
      </c>
      <c r="B4" s="111"/>
      <c r="C4" s="111"/>
      <c r="D4" s="111"/>
      <c r="E4" s="111"/>
      <c r="F4" s="112"/>
      <c r="G4" s="4">
        <v>45983</v>
      </c>
      <c r="H4" s="110" t="s">
        <v>7</v>
      </c>
      <c r="I4" s="111"/>
      <c r="J4" s="111"/>
      <c r="K4" s="111"/>
      <c r="L4" s="111"/>
      <c r="M4" s="111"/>
      <c r="N4" s="111"/>
      <c r="O4" s="111"/>
      <c r="P4" s="111"/>
      <c r="Q4" s="111"/>
      <c r="R4" s="11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0.27430555555555552</v>
      </c>
      <c r="D6" s="8" t="s">
        <v>28</v>
      </c>
      <c r="E6" s="8" t="s">
        <v>29</v>
      </c>
      <c r="F6" s="8" t="s">
        <v>30</v>
      </c>
      <c r="G6" s="117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31</v>
      </c>
      <c r="B7" s="15" t="s">
        <v>32</v>
      </c>
      <c r="C7" s="16">
        <v>0.81597222222222221</v>
      </c>
      <c r="D7" s="15" t="s">
        <v>33</v>
      </c>
      <c r="E7" s="15" t="s">
        <v>34</v>
      </c>
      <c r="F7" s="15" t="s">
        <v>35</v>
      </c>
      <c r="G7" s="118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7" t="s">
        <v>31</v>
      </c>
      <c r="B8" s="17" t="s">
        <v>32</v>
      </c>
      <c r="C8" s="18">
        <v>0.81597222222222221</v>
      </c>
      <c r="D8" s="17" t="s">
        <v>36</v>
      </c>
      <c r="E8" s="17" t="s">
        <v>37</v>
      </c>
      <c r="F8" s="17" t="s">
        <v>38</v>
      </c>
      <c r="G8" s="118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7" t="s">
        <v>31</v>
      </c>
      <c r="B9" s="17" t="s">
        <v>32</v>
      </c>
      <c r="C9" s="18">
        <v>0.81597222222222221</v>
      </c>
      <c r="D9" s="17" t="s">
        <v>39</v>
      </c>
      <c r="E9" s="17" t="s">
        <v>37</v>
      </c>
      <c r="F9" s="17" t="s">
        <v>40</v>
      </c>
      <c r="G9" s="118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9" t="s">
        <v>31</v>
      </c>
      <c r="B10" s="19" t="s">
        <v>41</v>
      </c>
      <c r="C10" s="20">
        <v>0.44791666666666669</v>
      </c>
      <c r="D10" s="19" t="s">
        <v>33</v>
      </c>
      <c r="E10" s="19" t="s">
        <v>42</v>
      </c>
      <c r="F10" s="19" t="s">
        <v>43</v>
      </c>
      <c r="G10" s="118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7" t="s">
        <v>31</v>
      </c>
      <c r="B11" s="17" t="s">
        <v>41</v>
      </c>
      <c r="C11" s="18">
        <v>0.44791666666666669</v>
      </c>
      <c r="D11" s="17" t="s">
        <v>36</v>
      </c>
      <c r="E11" s="17" t="s">
        <v>44</v>
      </c>
      <c r="F11" s="17" t="s">
        <v>45</v>
      </c>
      <c r="G11" s="118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7" t="s">
        <v>31</v>
      </c>
      <c r="B12" s="17" t="s">
        <v>41</v>
      </c>
      <c r="C12" s="18">
        <v>0.44791666666666669</v>
      </c>
      <c r="D12" s="17" t="s">
        <v>39</v>
      </c>
      <c r="E12" s="17" t="s">
        <v>44</v>
      </c>
      <c r="F12" s="17" t="s">
        <v>46</v>
      </c>
      <c r="G12" s="118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9" t="s">
        <v>31</v>
      </c>
      <c r="B13" s="19" t="s">
        <v>47</v>
      </c>
      <c r="C13" s="20">
        <v>0.5</v>
      </c>
      <c r="D13" s="19" t="s">
        <v>33</v>
      </c>
      <c r="E13" s="19" t="s">
        <v>48</v>
      </c>
      <c r="F13" s="19" t="s">
        <v>43</v>
      </c>
      <c r="G13" s="118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7" t="s">
        <v>31</v>
      </c>
      <c r="B14" s="17" t="s">
        <v>47</v>
      </c>
      <c r="C14" s="18">
        <v>0.5</v>
      </c>
      <c r="D14" s="17" t="s">
        <v>36</v>
      </c>
      <c r="E14" s="17" t="s">
        <v>49</v>
      </c>
      <c r="F14" s="17" t="s">
        <v>45</v>
      </c>
      <c r="G14" s="118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7" t="s">
        <v>31</v>
      </c>
      <c r="B15" s="17" t="s">
        <v>47</v>
      </c>
      <c r="C15" s="18">
        <v>0.5</v>
      </c>
      <c r="D15" s="17" t="s">
        <v>39</v>
      </c>
      <c r="E15" s="17" t="s">
        <v>49</v>
      </c>
      <c r="F15" s="17" t="s">
        <v>40</v>
      </c>
      <c r="G15" s="118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9" t="s">
        <v>31</v>
      </c>
      <c r="B16" s="19" t="s">
        <v>50</v>
      </c>
      <c r="C16" s="20">
        <v>0.76041666666666663</v>
      </c>
      <c r="D16" s="19" t="s">
        <v>33</v>
      </c>
      <c r="E16" s="19" t="s">
        <v>51</v>
      </c>
      <c r="F16" s="19" t="s">
        <v>52</v>
      </c>
      <c r="G16" s="118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7" t="s">
        <v>31</v>
      </c>
      <c r="B17" s="17" t="s">
        <v>50</v>
      </c>
      <c r="C17" s="18">
        <v>0.76041666666666663</v>
      </c>
      <c r="D17" s="17" t="s">
        <v>36</v>
      </c>
      <c r="E17" s="17" t="s">
        <v>53</v>
      </c>
      <c r="F17" s="17" t="s">
        <v>54</v>
      </c>
      <c r="G17" s="118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7" t="s">
        <v>31</v>
      </c>
      <c r="B18" s="17" t="s">
        <v>50</v>
      </c>
      <c r="C18" s="18">
        <v>0.76041666666666663</v>
      </c>
      <c r="D18" s="17" t="s">
        <v>39</v>
      </c>
      <c r="E18" s="17" t="s">
        <v>53</v>
      </c>
      <c r="F18" s="17" t="s">
        <v>40</v>
      </c>
      <c r="G18" s="118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5" t="s">
        <v>55</v>
      </c>
      <c r="B19" s="15" t="s">
        <v>56</v>
      </c>
      <c r="C19" s="16">
        <v>0.30555555555555552</v>
      </c>
      <c r="D19" s="15" t="s">
        <v>57</v>
      </c>
      <c r="E19" s="15" t="s">
        <v>34</v>
      </c>
      <c r="F19" s="15" t="s">
        <v>58</v>
      </c>
      <c r="G19" s="118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7" t="s">
        <v>55</v>
      </c>
      <c r="B20" s="17" t="s">
        <v>56</v>
      </c>
      <c r="C20" s="18">
        <v>0.30555555555555552</v>
      </c>
      <c r="D20" s="17" t="s">
        <v>59</v>
      </c>
      <c r="E20" s="17" t="s">
        <v>37</v>
      </c>
      <c r="F20" s="17" t="s">
        <v>60</v>
      </c>
      <c r="G20" s="118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7" t="s">
        <v>55</v>
      </c>
      <c r="B21" s="17" t="s">
        <v>56</v>
      </c>
      <c r="C21" s="18">
        <v>0.30555555555555552</v>
      </c>
      <c r="D21" s="17" t="s">
        <v>61</v>
      </c>
      <c r="E21" s="17" t="s">
        <v>37</v>
      </c>
      <c r="F21" s="17" t="s">
        <v>62</v>
      </c>
      <c r="G21" s="118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9" t="s">
        <v>55</v>
      </c>
      <c r="B22" s="19" t="s">
        <v>63</v>
      </c>
      <c r="C22" s="20">
        <v>0.82638888888888884</v>
      </c>
      <c r="D22" s="19" t="s">
        <v>57</v>
      </c>
      <c r="E22" s="19" t="s">
        <v>51</v>
      </c>
      <c r="F22" s="19" t="s">
        <v>58</v>
      </c>
      <c r="G22" s="118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7" t="s">
        <v>55</v>
      </c>
      <c r="B23" s="17" t="s">
        <v>63</v>
      </c>
      <c r="C23" s="18">
        <v>0.82638888888888884</v>
      </c>
      <c r="D23" s="17" t="s">
        <v>59</v>
      </c>
      <c r="E23" s="17" t="s">
        <v>53</v>
      </c>
      <c r="F23" s="17" t="s">
        <v>60</v>
      </c>
      <c r="G23" s="118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7" t="s">
        <v>55</v>
      </c>
      <c r="B24" s="17" t="s">
        <v>63</v>
      </c>
      <c r="C24" s="18">
        <v>0.82638888888888884</v>
      </c>
      <c r="D24" s="17" t="s">
        <v>61</v>
      </c>
      <c r="E24" s="17" t="s">
        <v>53</v>
      </c>
      <c r="F24" s="17" t="s">
        <v>62</v>
      </c>
      <c r="G24" s="118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9" t="s">
        <v>55</v>
      </c>
      <c r="B25" s="19" t="s">
        <v>64</v>
      </c>
      <c r="C25" s="20">
        <v>0.5</v>
      </c>
      <c r="D25" s="19" t="s">
        <v>57</v>
      </c>
      <c r="E25" s="19" t="s">
        <v>65</v>
      </c>
      <c r="F25" s="19" t="s">
        <v>58</v>
      </c>
      <c r="G25" s="118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7" t="s">
        <v>55</v>
      </c>
      <c r="B26" s="17" t="s">
        <v>64</v>
      </c>
      <c r="C26" s="18">
        <v>0.5</v>
      </c>
      <c r="D26" s="17" t="s">
        <v>59</v>
      </c>
      <c r="E26" s="17" t="s">
        <v>37</v>
      </c>
      <c r="F26" s="17" t="s">
        <v>60</v>
      </c>
      <c r="G26" s="118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7" t="s">
        <v>55</v>
      </c>
      <c r="B27" s="17" t="s">
        <v>64</v>
      </c>
      <c r="C27" s="18">
        <v>0.5</v>
      </c>
      <c r="D27" s="17" t="s">
        <v>61</v>
      </c>
      <c r="E27" s="17" t="s">
        <v>37</v>
      </c>
      <c r="F27" s="17" t="s">
        <v>62</v>
      </c>
      <c r="G27" s="118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9" t="s">
        <v>55</v>
      </c>
      <c r="B28" s="19" t="s">
        <v>66</v>
      </c>
      <c r="C28" s="20">
        <v>0.42708333333333331</v>
      </c>
      <c r="D28" s="19" t="s">
        <v>57</v>
      </c>
      <c r="E28" s="19" t="s">
        <v>65</v>
      </c>
      <c r="F28" s="19" t="s">
        <v>58</v>
      </c>
      <c r="G28" s="118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7" t="s">
        <v>55</v>
      </c>
      <c r="B29" s="17" t="s">
        <v>66</v>
      </c>
      <c r="C29" s="18">
        <v>0.42708333333333331</v>
      </c>
      <c r="D29" s="17" t="s">
        <v>59</v>
      </c>
      <c r="E29" s="17" t="s">
        <v>37</v>
      </c>
      <c r="F29" s="17" t="s">
        <v>60</v>
      </c>
      <c r="G29" s="118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7" t="s">
        <v>55</v>
      </c>
      <c r="B30" s="17" t="s">
        <v>66</v>
      </c>
      <c r="C30" s="18">
        <v>0.42708333333333331</v>
      </c>
      <c r="D30" s="17" t="s">
        <v>61</v>
      </c>
      <c r="E30" s="17" t="s">
        <v>37</v>
      </c>
      <c r="F30" s="17" t="s">
        <v>62</v>
      </c>
      <c r="G30" s="118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9" t="s">
        <v>55</v>
      </c>
      <c r="B31" s="19" t="s">
        <v>67</v>
      </c>
      <c r="C31" s="20">
        <v>0.6875</v>
      </c>
      <c r="D31" s="19" t="s">
        <v>57</v>
      </c>
      <c r="E31" s="19" t="s">
        <v>65</v>
      </c>
      <c r="F31" s="19" t="s">
        <v>58</v>
      </c>
      <c r="G31" s="118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7" t="s">
        <v>55</v>
      </c>
      <c r="B32" s="17" t="s">
        <v>67</v>
      </c>
      <c r="C32" s="18">
        <v>0.6875</v>
      </c>
      <c r="D32" s="17" t="s">
        <v>59</v>
      </c>
      <c r="E32" s="17" t="s">
        <v>37</v>
      </c>
      <c r="F32" s="17" t="s">
        <v>60</v>
      </c>
      <c r="G32" s="118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7" t="s">
        <v>55</v>
      </c>
      <c r="B33" s="17" t="s">
        <v>67</v>
      </c>
      <c r="C33" s="18">
        <v>0.6875</v>
      </c>
      <c r="D33" s="17" t="s">
        <v>61</v>
      </c>
      <c r="E33" s="17" t="s">
        <v>37</v>
      </c>
      <c r="F33" s="17" t="s">
        <v>62</v>
      </c>
      <c r="G33" s="118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9" t="s">
        <v>55</v>
      </c>
      <c r="B34" s="19" t="s">
        <v>68</v>
      </c>
      <c r="C34" s="20">
        <v>0.375</v>
      </c>
      <c r="D34" s="19" t="s">
        <v>57</v>
      </c>
      <c r="E34" s="19" t="s">
        <v>65</v>
      </c>
      <c r="F34" s="19" t="s">
        <v>58</v>
      </c>
      <c r="G34" s="118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7" t="s">
        <v>55</v>
      </c>
      <c r="B35" s="17" t="s">
        <v>68</v>
      </c>
      <c r="C35" s="18">
        <v>0.375</v>
      </c>
      <c r="D35" s="17" t="s">
        <v>59</v>
      </c>
      <c r="E35" s="17" t="s">
        <v>37</v>
      </c>
      <c r="F35" s="17" t="s">
        <v>60</v>
      </c>
      <c r="G35" s="118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7" t="s">
        <v>55</v>
      </c>
      <c r="B36" s="17" t="s">
        <v>68</v>
      </c>
      <c r="C36" s="18">
        <v>0.375</v>
      </c>
      <c r="D36" s="17" t="s">
        <v>61</v>
      </c>
      <c r="E36" s="17" t="s">
        <v>37</v>
      </c>
      <c r="F36" s="17" t="s">
        <v>62</v>
      </c>
      <c r="G36" s="118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9" t="s">
        <v>55</v>
      </c>
      <c r="B37" s="19" t="s">
        <v>69</v>
      </c>
      <c r="C37" s="20">
        <v>0.56597222222222221</v>
      </c>
      <c r="D37" s="19" t="s">
        <v>57</v>
      </c>
      <c r="E37" s="19" t="s">
        <v>65</v>
      </c>
      <c r="F37" s="19" t="s">
        <v>58</v>
      </c>
      <c r="G37" s="118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7" t="s">
        <v>55</v>
      </c>
      <c r="B38" s="17" t="s">
        <v>69</v>
      </c>
      <c r="C38" s="18">
        <v>0.56597222222222221</v>
      </c>
      <c r="D38" s="17" t="s">
        <v>59</v>
      </c>
      <c r="E38" s="17" t="s">
        <v>37</v>
      </c>
      <c r="F38" s="17" t="s">
        <v>60</v>
      </c>
      <c r="G38" s="118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7" t="s">
        <v>55</v>
      </c>
      <c r="B39" s="17" t="s">
        <v>69</v>
      </c>
      <c r="C39" s="18">
        <v>0.56597222222222221</v>
      </c>
      <c r="D39" s="17" t="s">
        <v>61</v>
      </c>
      <c r="E39" s="17" t="s">
        <v>37</v>
      </c>
      <c r="F39" s="17" t="s">
        <v>62</v>
      </c>
      <c r="G39" s="118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5" t="s">
        <v>70</v>
      </c>
      <c r="B40" s="15" t="s">
        <v>71</v>
      </c>
      <c r="C40" s="16">
        <v>0.66319444444444442</v>
      </c>
      <c r="D40" s="15" t="s">
        <v>28</v>
      </c>
      <c r="E40" s="15" t="s">
        <v>72</v>
      </c>
      <c r="F40" s="15" t="s">
        <v>73</v>
      </c>
      <c r="G40" s="118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21" t="s">
        <v>74</v>
      </c>
      <c r="B41" s="21" t="s">
        <v>75</v>
      </c>
      <c r="C41" s="22">
        <v>0.61111111111111105</v>
      </c>
      <c r="D41" s="21" t="s">
        <v>76</v>
      </c>
      <c r="E41" s="21" t="s">
        <v>77</v>
      </c>
      <c r="F41" s="21" t="s">
        <v>78</v>
      </c>
      <c r="G41" s="118"/>
      <c r="H41" s="23" t="s">
        <v>79</v>
      </c>
      <c r="I41" s="24">
        <v>0.83930000000000005</v>
      </c>
      <c r="J41" s="25">
        <v>141</v>
      </c>
      <c r="K41" s="26">
        <v>45981</v>
      </c>
      <c r="L41" s="25">
        <v>52</v>
      </c>
      <c r="M41" s="25">
        <v>24</v>
      </c>
      <c r="N41" s="25">
        <v>23</v>
      </c>
      <c r="O41" s="27" t="s">
        <v>80</v>
      </c>
      <c r="P41" s="28">
        <v>0.61111111111111105</v>
      </c>
      <c r="Q41" s="25">
        <v>168</v>
      </c>
      <c r="R41" s="29" t="s">
        <v>81</v>
      </c>
    </row>
    <row r="42" spans="1:18" ht="15" customHeight="1" x14ac:dyDescent="0.3">
      <c r="A42" s="15" t="s">
        <v>82</v>
      </c>
      <c r="B42" s="15" t="s">
        <v>83</v>
      </c>
      <c r="C42" s="16">
        <v>0.92013888888888884</v>
      </c>
      <c r="D42" s="15" t="s">
        <v>84</v>
      </c>
      <c r="E42" s="15" t="s">
        <v>72</v>
      </c>
      <c r="F42" s="15" t="s">
        <v>85</v>
      </c>
      <c r="G42" s="118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9" t="s">
        <v>82</v>
      </c>
      <c r="B43" s="19" t="s">
        <v>86</v>
      </c>
      <c r="C43" s="20">
        <v>0.54166666666666663</v>
      </c>
      <c r="D43" s="19" t="s">
        <v>84</v>
      </c>
      <c r="E43" s="19" t="s">
        <v>87</v>
      </c>
      <c r="F43" s="19" t="s">
        <v>88</v>
      </c>
      <c r="G43" s="118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9" t="s">
        <v>82</v>
      </c>
      <c r="B44" s="19" t="s">
        <v>89</v>
      </c>
      <c r="C44" s="20">
        <v>0.16666666666666671</v>
      </c>
      <c r="D44" s="19" t="s">
        <v>84</v>
      </c>
      <c r="E44" s="19" t="s">
        <v>87</v>
      </c>
      <c r="F44" s="19" t="s">
        <v>90</v>
      </c>
      <c r="G44" s="118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15" t="s">
        <v>91</v>
      </c>
      <c r="B45" s="15" t="s">
        <v>92</v>
      </c>
      <c r="C45" s="16">
        <v>0.81597222222222221</v>
      </c>
      <c r="D45" s="15" t="s">
        <v>93</v>
      </c>
      <c r="E45" s="15" t="s">
        <v>94</v>
      </c>
      <c r="F45" s="15" t="s">
        <v>95</v>
      </c>
      <c r="G45" s="118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19" t="s">
        <v>91</v>
      </c>
      <c r="B46" s="19" t="s">
        <v>96</v>
      </c>
      <c r="C46" s="20">
        <v>0.2986111111111111</v>
      </c>
      <c r="D46" s="19" t="s">
        <v>97</v>
      </c>
      <c r="E46" s="19" t="s">
        <v>87</v>
      </c>
      <c r="F46" s="19" t="s">
        <v>98</v>
      </c>
      <c r="G46" s="118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x14ac:dyDescent="0.3">
      <c r="A47" s="17" t="s">
        <v>91</v>
      </c>
      <c r="B47" s="17" t="s">
        <v>96</v>
      </c>
      <c r="C47" s="18">
        <v>0.2986111111111111</v>
      </c>
      <c r="D47" s="17" t="s">
        <v>93</v>
      </c>
      <c r="E47" s="17" t="s">
        <v>99</v>
      </c>
      <c r="F47" s="17" t="s">
        <v>100</v>
      </c>
      <c r="G47" s="118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5" customHeight="1" x14ac:dyDescent="0.3">
      <c r="A48" s="19" t="s">
        <v>91</v>
      </c>
      <c r="B48" s="19" t="s">
        <v>101</v>
      </c>
      <c r="C48" s="20">
        <v>0.68402777777777779</v>
      </c>
      <c r="D48" s="19" t="s">
        <v>97</v>
      </c>
      <c r="E48" s="19" t="s">
        <v>87</v>
      </c>
      <c r="F48" s="19" t="s">
        <v>98</v>
      </c>
      <c r="G48" s="118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7" t="s">
        <v>91</v>
      </c>
      <c r="B49" s="17" t="s">
        <v>101</v>
      </c>
      <c r="C49" s="18">
        <v>0.68402777777777779</v>
      </c>
      <c r="D49" s="17" t="s">
        <v>93</v>
      </c>
      <c r="E49" s="17" t="s">
        <v>99</v>
      </c>
      <c r="F49" s="17" t="s">
        <v>100</v>
      </c>
      <c r="G49" s="118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9" t="s">
        <v>91</v>
      </c>
      <c r="B50" s="19" t="s">
        <v>102</v>
      </c>
      <c r="C50" s="20">
        <v>0.83680555555555547</v>
      </c>
      <c r="D50" s="19" t="s">
        <v>97</v>
      </c>
      <c r="E50" s="19" t="s">
        <v>87</v>
      </c>
      <c r="F50" s="19" t="s">
        <v>98</v>
      </c>
      <c r="G50" s="118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7" t="s">
        <v>91</v>
      </c>
      <c r="B51" s="17" t="s">
        <v>102</v>
      </c>
      <c r="C51" s="18">
        <v>0.83680555555555547</v>
      </c>
      <c r="D51" s="17" t="s">
        <v>93</v>
      </c>
      <c r="E51" s="17" t="s">
        <v>99</v>
      </c>
      <c r="F51" s="17" t="s">
        <v>100</v>
      </c>
      <c r="G51" s="118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9" t="s">
        <v>91</v>
      </c>
      <c r="B52" s="19" t="s">
        <v>103</v>
      </c>
      <c r="C52" s="20">
        <v>0.4826388888888889</v>
      </c>
      <c r="D52" s="19" t="s">
        <v>97</v>
      </c>
      <c r="E52" s="19" t="s">
        <v>87</v>
      </c>
      <c r="F52" s="19" t="s">
        <v>98</v>
      </c>
      <c r="G52" s="118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7" t="s">
        <v>91</v>
      </c>
      <c r="B53" s="17" t="s">
        <v>103</v>
      </c>
      <c r="C53" s="18">
        <v>0.4826388888888889</v>
      </c>
      <c r="D53" s="17" t="s">
        <v>93</v>
      </c>
      <c r="E53" s="17" t="s">
        <v>99</v>
      </c>
      <c r="F53" s="17" t="s">
        <v>100</v>
      </c>
      <c r="G53" s="118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9" t="s">
        <v>91</v>
      </c>
      <c r="B54" s="19" t="s">
        <v>104</v>
      </c>
      <c r="C54" s="20">
        <v>0.76041666666666663</v>
      </c>
      <c r="D54" s="19" t="s">
        <v>93</v>
      </c>
      <c r="E54" s="19" t="s">
        <v>42</v>
      </c>
      <c r="F54" s="19" t="s">
        <v>105</v>
      </c>
      <c r="G54" s="118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thickBot="1" x14ac:dyDescent="0.35">
      <c r="A55" s="30" t="s">
        <v>91</v>
      </c>
      <c r="B55" s="30" t="s">
        <v>106</v>
      </c>
      <c r="C55" s="31">
        <v>0.5</v>
      </c>
      <c r="D55" s="30" t="s">
        <v>93</v>
      </c>
      <c r="E55" s="30" t="s">
        <v>42</v>
      </c>
      <c r="F55" s="30" t="s">
        <v>105</v>
      </c>
      <c r="G55" s="119"/>
      <c r="H55" s="32"/>
      <c r="I55" s="33"/>
      <c r="J55" s="33"/>
      <c r="K55" s="33"/>
      <c r="L55" s="33"/>
      <c r="M55" s="33"/>
      <c r="N55" s="33"/>
      <c r="O55" s="34"/>
      <c r="P55" s="33"/>
      <c r="Q55" s="35"/>
      <c r="R55" s="36"/>
    </row>
    <row r="56" spans="1:18" ht="17.399999999999999" customHeight="1" thickBot="1" x14ac:dyDescent="0.35">
      <c r="A56" s="139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1"/>
    </row>
    <row r="57" spans="1:18" ht="22.05" customHeight="1" thickTop="1" thickBot="1" x14ac:dyDescent="0.35">
      <c r="A57" s="113" t="s">
        <v>6</v>
      </c>
      <c r="B57" s="111"/>
      <c r="C57" s="111"/>
      <c r="D57" s="111"/>
      <c r="E57" s="111"/>
      <c r="F57" s="112"/>
      <c r="G57" s="37">
        <v>45984</v>
      </c>
      <c r="H57" s="116" t="s">
        <v>7</v>
      </c>
      <c r="I57" s="111"/>
      <c r="J57" s="111"/>
      <c r="K57" s="111"/>
      <c r="L57" s="111"/>
      <c r="M57" s="111"/>
      <c r="N57" s="111"/>
      <c r="O57" s="111"/>
      <c r="P57" s="111"/>
      <c r="Q57" s="111"/>
      <c r="R57" s="112"/>
    </row>
    <row r="58" spans="1:18" ht="24" customHeight="1" x14ac:dyDescent="0.3">
      <c r="A58" s="38" t="s">
        <v>8</v>
      </c>
      <c r="B58" s="38" t="s">
        <v>9</v>
      </c>
      <c r="C58" s="39" t="s">
        <v>10</v>
      </c>
      <c r="D58" s="38" t="s">
        <v>11</v>
      </c>
      <c r="E58" s="38" t="s">
        <v>12</v>
      </c>
      <c r="F58" s="40" t="s">
        <v>13</v>
      </c>
      <c r="G58" s="41" t="s">
        <v>14</v>
      </c>
      <c r="H58" s="38" t="s">
        <v>15</v>
      </c>
      <c r="I58" s="42" t="s">
        <v>16</v>
      </c>
      <c r="J58" s="43" t="s">
        <v>17</v>
      </c>
      <c r="K58" s="44" t="s">
        <v>18</v>
      </c>
      <c r="L58" s="43" t="s">
        <v>19</v>
      </c>
      <c r="M58" s="43" t="s">
        <v>20</v>
      </c>
      <c r="N58" s="43" t="s">
        <v>21</v>
      </c>
      <c r="O58" s="38" t="s">
        <v>22</v>
      </c>
      <c r="P58" s="39" t="s">
        <v>23</v>
      </c>
      <c r="Q58" s="43" t="s">
        <v>24</v>
      </c>
      <c r="R58" s="38" t="s">
        <v>25</v>
      </c>
    </row>
    <row r="59" spans="1:18" ht="15" customHeight="1" x14ac:dyDescent="0.3">
      <c r="A59" s="8" t="s">
        <v>31</v>
      </c>
      <c r="B59" s="8" t="s">
        <v>50</v>
      </c>
      <c r="C59" s="9">
        <v>0.76041666666666663</v>
      </c>
      <c r="D59" s="8" t="s">
        <v>33</v>
      </c>
      <c r="E59" s="8" t="s">
        <v>29</v>
      </c>
      <c r="F59" s="8" t="s">
        <v>107</v>
      </c>
      <c r="G59" s="123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7" t="s">
        <v>31</v>
      </c>
      <c r="B60" s="17" t="s">
        <v>50</v>
      </c>
      <c r="C60" s="18">
        <v>0.76041666666666663</v>
      </c>
      <c r="D60" s="17" t="s">
        <v>36</v>
      </c>
      <c r="E60" s="17" t="s">
        <v>108</v>
      </c>
      <c r="F60" s="17" t="s">
        <v>109</v>
      </c>
      <c r="G60" s="118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7" t="s">
        <v>31</v>
      </c>
      <c r="B61" s="17" t="s">
        <v>50</v>
      </c>
      <c r="C61" s="18">
        <v>0.76041666666666663</v>
      </c>
      <c r="D61" s="17" t="s">
        <v>39</v>
      </c>
      <c r="E61" s="17" t="s">
        <v>108</v>
      </c>
      <c r="F61" s="17" t="s">
        <v>40</v>
      </c>
      <c r="G61" s="118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9" t="s">
        <v>31</v>
      </c>
      <c r="B62" s="19" t="s">
        <v>47</v>
      </c>
      <c r="C62" s="20">
        <v>0.5</v>
      </c>
      <c r="D62" s="19" t="s">
        <v>33</v>
      </c>
      <c r="E62" s="19" t="s">
        <v>51</v>
      </c>
      <c r="F62" s="19" t="s">
        <v>110</v>
      </c>
      <c r="G62" s="118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7" t="s">
        <v>31</v>
      </c>
      <c r="B63" s="17" t="s">
        <v>47</v>
      </c>
      <c r="C63" s="18">
        <v>0.5</v>
      </c>
      <c r="D63" s="17" t="s">
        <v>36</v>
      </c>
      <c r="E63" s="17" t="s">
        <v>53</v>
      </c>
      <c r="F63" s="17" t="s">
        <v>43</v>
      </c>
      <c r="G63" s="118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7" t="s">
        <v>31</v>
      </c>
      <c r="B64" s="17" t="s">
        <v>47</v>
      </c>
      <c r="C64" s="18">
        <v>0.5</v>
      </c>
      <c r="D64" s="17" t="s">
        <v>39</v>
      </c>
      <c r="E64" s="17" t="s">
        <v>53</v>
      </c>
      <c r="F64" s="17" t="s">
        <v>40</v>
      </c>
      <c r="G64" s="118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9" t="s">
        <v>31</v>
      </c>
      <c r="B65" s="19" t="s">
        <v>32</v>
      </c>
      <c r="C65" s="20">
        <v>0.81597222222222221</v>
      </c>
      <c r="D65" s="19" t="s">
        <v>33</v>
      </c>
      <c r="E65" s="19" t="s">
        <v>111</v>
      </c>
      <c r="F65" s="19" t="s">
        <v>110</v>
      </c>
      <c r="G65" s="118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7" t="s">
        <v>31</v>
      </c>
      <c r="B66" s="17" t="s">
        <v>32</v>
      </c>
      <c r="C66" s="18">
        <v>0.81597222222222221</v>
      </c>
      <c r="D66" s="17" t="s">
        <v>36</v>
      </c>
      <c r="E66" s="17" t="s">
        <v>112</v>
      </c>
      <c r="F66" s="17" t="s">
        <v>43</v>
      </c>
      <c r="G66" s="118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7" t="s">
        <v>31</v>
      </c>
      <c r="B67" s="17" t="s">
        <v>32</v>
      </c>
      <c r="C67" s="18">
        <v>0.81597222222222221</v>
      </c>
      <c r="D67" s="17" t="s">
        <v>39</v>
      </c>
      <c r="E67" s="17" t="s">
        <v>112</v>
      </c>
      <c r="F67" s="17" t="s">
        <v>40</v>
      </c>
      <c r="G67" s="118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9" t="s">
        <v>31</v>
      </c>
      <c r="B68" s="19" t="s">
        <v>41</v>
      </c>
      <c r="C68" s="20">
        <v>0.44791666666666669</v>
      </c>
      <c r="D68" s="19" t="s">
        <v>33</v>
      </c>
      <c r="E68" s="19" t="s">
        <v>113</v>
      </c>
      <c r="F68" s="19" t="s">
        <v>114</v>
      </c>
      <c r="G68" s="118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7" t="s">
        <v>31</v>
      </c>
      <c r="B69" s="17" t="s">
        <v>41</v>
      </c>
      <c r="C69" s="18">
        <v>0.44791666666666669</v>
      </c>
      <c r="D69" s="17" t="s">
        <v>36</v>
      </c>
      <c r="E69" s="17" t="s">
        <v>115</v>
      </c>
      <c r="F69" s="17" t="s">
        <v>116</v>
      </c>
      <c r="G69" s="118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7" t="s">
        <v>31</v>
      </c>
      <c r="B70" s="17" t="s">
        <v>41</v>
      </c>
      <c r="C70" s="18">
        <v>0.44791666666666669</v>
      </c>
      <c r="D70" s="17" t="s">
        <v>39</v>
      </c>
      <c r="E70" s="17" t="s">
        <v>115</v>
      </c>
      <c r="F70" s="17" t="s">
        <v>40</v>
      </c>
      <c r="G70" s="118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5" t="s">
        <v>55</v>
      </c>
      <c r="B71" s="15" t="s">
        <v>64</v>
      </c>
      <c r="C71" s="16">
        <v>0.5</v>
      </c>
      <c r="D71" s="15" t="s">
        <v>57</v>
      </c>
      <c r="E71" s="15" t="s">
        <v>117</v>
      </c>
      <c r="F71" s="15" t="s">
        <v>118</v>
      </c>
      <c r="G71" s="118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7" t="s">
        <v>55</v>
      </c>
      <c r="B72" s="17" t="s">
        <v>64</v>
      </c>
      <c r="C72" s="18">
        <v>0.5</v>
      </c>
      <c r="D72" s="17" t="s">
        <v>59</v>
      </c>
      <c r="E72" s="17" t="s">
        <v>119</v>
      </c>
      <c r="F72" s="17" t="s">
        <v>43</v>
      </c>
      <c r="G72" s="118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17" t="s">
        <v>55</v>
      </c>
      <c r="B73" s="17" t="s">
        <v>64</v>
      </c>
      <c r="C73" s="18">
        <v>0.5</v>
      </c>
      <c r="D73" s="17" t="s">
        <v>61</v>
      </c>
      <c r="E73" s="17" t="s">
        <v>119</v>
      </c>
      <c r="F73" s="17" t="s">
        <v>120</v>
      </c>
      <c r="G73" s="118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19" t="s">
        <v>55</v>
      </c>
      <c r="B74" s="19" t="s">
        <v>67</v>
      </c>
      <c r="C74" s="20">
        <v>0.6875</v>
      </c>
      <c r="D74" s="19" t="s">
        <v>57</v>
      </c>
      <c r="E74" s="19" t="s">
        <v>121</v>
      </c>
      <c r="F74" s="19" t="s">
        <v>118</v>
      </c>
      <c r="G74" s="118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7" t="s">
        <v>55</v>
      </c>
      <c r="B75" s="17" t="s">
        <v>67</v>
      </c>
      <c r="C75" s="18">
        <v>0.6875</v>
      </c>
      <c r="D75" s="17" t="s">
        <v>59</v>
      </c>
      <c r="E75" s="17" t="s">
        <v>108</v>
      </c>
      <c r="F75" s="17" t="s">
        <v>43</v>
      </c>
      <c r="G75" s="118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7" t="s">
        <v>55</v>
      </c>
      <c r="B76" s="17" t="s">
        <v>67</v>
      </c>
      <c r="C76" s="18">
        <v>0.6875</v>
      </c>
      <c r="D76" s="17" t="s">
        <v>61</v>
      </c>
      <c r="E76" s="17" t="s">
        <v>108</v>
      </c>
      <c r="F76" s="17" t="s">
        <v>120</v>
      </c>
      <c r="G76" s="118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9" t="s">
        <v>55</v>
      </c>
      <c r="B77" s="19" t="s">
        <v>69</v>
      </c>
      <c r="C77" s="20">
        <v>0.56597222222222221</v>
      </c>
      <c r="D77" s="19" t="s">
        <v>57</v>
      </c>
      <c r="E77" s="19" t="s">
        <v>51</v>
      </c>
      <c r="F77" s="19" t="s">
        <v>118</v>
      </c>
      <c r="G77" s="118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7" t="s">
        <v>55</v>
      </c>
      <c r="B78" s="17" t="s">
        <v>69</v>
      </c>
      <c r="C78" s="18">
        <v>0.56597222222222221</v>
      </c>
      <c r="D78" s="17" t="s">
        <v>59</v>
      </c>
      <c r="E78" s="17" t="s">
        <v>53</v>
      </c>
      <c r="F78" s="17" t="s">
        <v>43</v>
      </c>
      <c r="G78" s="118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17" t="s">
        <v>55</v>
      </c>
      <c r="B79" s="17" t="s">
        <v>69</v>
      </c>
      <c r="C79" s="18">
        <v>0.56597222222222221</v>
      </c>
      <c r="D79" s="17" t="s">
        <v>61</v>
      </c>
      <c r="E79" s="17" t="s">
        <v>53</v>
      </c>
      <c r="F79" s="17" t="s">
        <v>120</v>
      </c>
      <c r="G79" s="118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19" t="s">
        <v>55</v>
      </c>
      <c r="B80" s="19" t="s">
        <v>63</v>
      </c>
      <c r="C80" s="20">
        <v>0.82638888888888884</v>
      </c>
      <c r="D80" s="19" t="s">
        <v>57</v>
      </c>
      <c r="E80" s="19" t="s">
        <v>65</v>
      </c>
      <c r="F80" s="19" t="s">
        <v>122</v>
      </c>
      <c r="G80" s="118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7" t="s">
        <v>55</v>
      </c>
      <c r="B81" s="17" t="s">
        <v>63</v>
      </c>
      <c r="C81" s="18">
        <v>0.82638888888888884</v>
      </c>
      <c r="D81" s="17" t="s">
        <v>59</v>
      </c>
      <c r="E81" s="17" t="s">
        <v>37</v>
      </c>
      <c r="F81" s="17" t="s">
        <v>58</v>
      </c>
      <c r="G81" s="118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17" t="s">
        <v>55</v>
      </c>
      <c r="B82" s="17" t="s">
        <v>63</v>
      </c>
      <c r="C82" s="18">
        <v>0.82638888888888884</v>
      </c>
      <c r="D82" s="17" t="s">
        <v>61</v>
      </c>
      <c r="E82" s="17" t="s">
        <v>37</v>
      </c>
      <c r="F82" s="17" t="s">
        <v>123</v>
      </c>
      <c r="G82" s="118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19" t="s">
        <v>55</v>
      </c>
      <c r="B83" s="19" t="s">
        <v>66</v>
      </c>
      <c r="C83" s="20">
        <v>0.42708333333333331</v>
      </c>
      <c r="D83" s="19" t="s">
        <v>57</v>
      </c>
      <c r="E83" s="19" t="s">
        <v>42</v>
      </c>
      <c r="F83" s="19" t="s">
        <v>122</v>
      </c>
      <c r="G83" s="118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7" t="s">
        <v>55</v>
      </c>
      <c r="B84" s="17" t="s">
        <v>66</v>
      </c>
      <c r="C84" s="18">
        <v>0.42708333333333331</v>
      </c>
      <c r="D84" s="17" t="s">
        <v>59</v>
      </c>
      <c r="E84" s="17" t="s">
        <v>44</v>
      </c>
      <c r="F84" s="17" t="s">
        <v>58</v>
      </c>
      <c r="G84" s="118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17" t="s">
        <v>55</v>
      </c>
      <c r="B85" s="17" t="s">
        <v>66</v>
      </c>
      <c r="C85" s="18">
        <v>0.42708333333333331</v>
      </c>
      <c r="D85" s="17" t="s">
        <v>61</v>
      </c>
      <c r="E85" s="17" t="s">
        <v>44</v>
      </c>
      <c r="F85" s="17" t="s">
        <v>123</v>
      </c>
      <c r="G85" s="118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19" t="s">
        <v>55</v>
      </c>
      <c r="B86" s="19" t="s">
        <v>68</v>
      </c>
      <c r="C86" s="20">
        <v>0.375</v>
      </c>
      <c r="D86" s="19" t="s">
        <v>57</v>
      </c>
      <c r="E86" s="19" t="s">
        <v>42</v>
      </c>
      <c r="F86" s="19" t="s">
        <v>122</v>
      </c>
      <c r="G86" s="118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7" t="s">
        <v>55</v>
      </c>
      <c r="B87" s="17" t="s">
        <v>68</v>
      </c>
      <c r="C87" s="18">
        <v>0.375</v>
      </c>
      <c r="D87" s="17" t="s">
        <v>59</v>
      </c>
      <c r="E87" s="17" t="s">
        <v>44</v>
      </c>
      <c r="F87" s="17" t="s">
        <v>58</v>
      </c>
      <c r="G87" s="118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7" t="s">
        <v>55</v>
      </c>
      <c r="B88" s="17" t="s">
        <v>68</v>
      </c>
      <c r="C88" s="18">
        <v>0.375</v>
      </c>
      <c r="D88" s="17" t="s">
        <v>61</v>
      </c>
      <c r="E88" s="17" t="s">
        <v>44</v>
      </c>
      <c r="F88" s="17" t="s">
        <v>123</v>
      </c>
      <c r="G88" s="118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19" t="s">
        <v>55</v>
      </c>
      <c r="B89" s="19" t="s">
        <v>56</v>
      </c>
      <c r="C89" s="20">
        <v>0.30555555555555552</v>
      </c>
      <c r="D89" s="19" t="s">
        <v>57</v>
      </c>
      <c r="E89" s="19" t="s">
        <v>42</v>
      </c>
      <c r="F89" s="19" t="s">
        <v>124</v>
      </c>
      <c r="G89" s="118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7" t="s">
        <v>55</v>
      </c>
      <c r="B90" s="17" t="s">
        <v>56</v>
      </c>
      <c r="C90" s="18">
        <v>0.30555555555555552</v>
      </c>
      <c r="D90" s="17" t="s">
        <v>59</v>
      </c>
      <c r="E90" s="17" t="s">
        <v>44</v>
      </c>
      <c r="F90" s="17" t="s">
        <v>120</v>
      </c>
      <c r="G90" s="118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17" t="s">
        <v>55</v>
      </c>
      <c r="B91" s="17" t="s">
        <v>56</v>
      </c>
      <c r="C91" s="18">
        <v>0.30555555555555552</v>
      </c>
      <c r="D91" s="17" t="s">
        <v>61</v>
      </c>
      <c r="E91" s="17" t="s">
        <v>44</v>
      </c>
      <c r="F91" s="17" t="s">
        <v>125</v>
      </c>
      <c r="G91" s="118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15" t="s">
        <v>26</v>
      </c>
      <c r="B92" s="15" t="s">
        <v>126</v>
      </c>
      <c r="C92" s="16">
        <v>0.58680555555555558</v>
      </c>
      <c r="D92" s="15" t="s">
        <v>76</v>
      </c>
      <c r="E92" s="15" t="s">
        <v>72</v>
      </c>
      <c r="F92" s="15" t="s">
        <v>30</v>
      </c>
      <c r="G92" s="118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15" t="s">
        <v>70</v>
      </c>
      <c r="B93" s="15" t="s">
        <v>127</v>
      </c>
      <c r="C93" s="16">
        <v>0.3576388888888889</v>
      </c>
      <c r="D93" s="15" t="s">
        <v>76</v>
      </c>
      <c r="E93" s="15" t="s">
        <v>128</v>
      </c>
      <c r="F93" s="15" t="s">
        <v>129</v>
      </c>
      <c r="G93" s="118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5" t="s">
        <v>91</v>
      </c>
      <c r="B94" s="15" t="s">
        <v>101</v>
      </c>
      <c r="C94" s="16">
        <v>0.68402777777777779</v>
      </c>
      <c r="D94" s="15" t="s">
        <v>97</v>
      </c>
      <c r="E94" s="15" t="s">
        <v>128</v>
      </c>
      <c r="F94" s="15" t="s">
        <v>130</v>
      </c>
      <c r="G94" s="118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7" t="s">
        <v>91</v>
      </c>
      <c r="B95" s="17" t="s">
        <v>101</v>
      </c>
      <c r="C95" s="18">
        <v>0.68402777777777779</v>
      </c>
      <c r="D95" s="17" t="s">
        <v>93</v>
      </c>
      <c r="E95" s="17" t="s">
        <v>131</v>
      </c>
      <c r="F95" s="17" t="s">
        <v>132</v>
      </c>
      <c r="G95" s="118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19" t="s">
        <v>91</v>
      </c>
      <c r="B96" s="19" t="s">
        <v>102</v>
      </c>
      <c r="C96" s="20">
        <v>0.83680555555555547</v>
      </c>
      <c r="D96" s="19" t="s">
        <v>97</v>
      </c>
      <c r="E96" s="19" t="s">
        <v>87</v>
      </c>
      <c r="F96" s="19" t="s">
        <v>130</v>
      </c>
      <c r="G96" s="118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17" t="s">
        <v>91</v>
      </c>
      <c r="B97" s="17" t="s">
        <v>102</v>
      </c>
      <c r="C97" s="18">
        <v>0.83680555555555547</v>
      </c>
      <c r="D97" s="17" t="s">
        <v>93</v>
      </c>
      <c r="E97" s="17" t="s">
        <v>99</v>
      </c>
      <c r="F97" s="17" t="s">
        <v>132</v>
      </c>
      <c r="G97" s="118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</row>
    <row r="98" spans="1:18" ht="15" customHeight="1" x14ac:dyDescent="0.3">
      <c r="A98" s="19" t="s">
        <v>91</v>
      </c>
      <c r="B98" s="19" t="s">
        <v>96</v>
      </c>
      <c r="C98" s="20">
        <v>0.2986111111111111</v>
      </c>
      <c r="D98" s="19" t="s">
        <v>97</v>
      </c>
      <c r="E98" s="19" t="s">
        <v>87</v>
      </c>
      <c r="F98" s="19" t="s">
        <v>133</v>
      </c>
      <c r="G98" s="118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</row>
    <row r="99" spans="1:18" ht="15" customHeight="1" x14ac:dyDescent="0.3">
      <c r="A99" s="17" t="s">
        <v>91</v>
      </c>
      <c r="B99" s="17" t="s">
        <v>96</v>
      </c>
      <c r="C99" s="18">
        <v>0.2986111111111111</v>
      </c>
      <c r="D99" s="17" t="s">
        <v>93</v>
      </c>
      <c r="E99" s="17" t="s">
        <v>99</v>
      </c>
      <c r="F99" s="17" t="s">
        <v>134</v>
      </c>
      <c r="G99" s="118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</row>
    <row r="100" spans="1:18" ht="15" customHeight="1" x14ac:dyDescent="0.3">
      <c r="A100" s="19" t="s">
        <v>91</v>
      </c>
      <c r="B100" s="19" t="s">
        <v>135</v>
      </c>
      <c r="C100" s="20">
        <v>0.55208333333333337</v>
      </c>
      <c r="D100" s="19" t="s">
        <v>97</v>
      </c>
      <c r="E100" s="19" t="s">
        <v>87</v>
      </c>
      <c r="F100" s="19" t="s">
        <v>133</v>
      </c>
      <c r="G100" s="118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</row>
    <row r="101" spans="1:18" ht="15" customHeight="1" x14ac:dyDescent="0.3">
      <c r="A101" s="17" t="s">
        <v>91</v>
      </c>
      <c r="B101" s="17" t="s">
        <v>135</v>
      </c>
      <c r="C101" s="18">
        <v>0.55208333333333337</v>
      </c>
      <c r="D101" s="17" t="s">
        <v>93</v>
      </c>
      <c r="E101" s="17" t="s">
        <v>99</v>
      </c>
      <c r="F101" s="17" t="s">
        <v>134</v>
      </c>
      <c r="G101" s="118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19" t="s">
        <v>91</v>
      </c>
      <c r="B102" s="19" t="s">
        <v>103</v>
      </c>
      <c r="C102" s="20">
        <v>0.4826388888888889</v>
      </c>
      <c r="D102" s="19" t="s">
        <v>97</v>
      </c>
      <c r="E102" s="19" t="s">
        <v>87</v>
      </c>
      <c r="F102" s="19" t="s">
        <v>133</v>
      </c>
      <c r="G102" s="118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17" t="s">
        <v>91</v>
      </c>
      <c r="B103" s="17" t="s">
        <v>103</v>
      </c>
      <c r="C103" s="18">
        <v>0.4826388888888889</v>
      </c>
      <c r="D103" s="17" t="s">
        <v>93</v>
      </c>
      <c r="E103" s="17" t="s">
        <v>99</v>
      </c>
      <c r="F103" s="17" t="s">
        <v>134</v>
      </c>
      <c r="G103" s="118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9" t="s">
        <v>91</v>
      </c>
      <c r="B104" s="19" t="s">
        <v>104</v>
      </c>
      <c r="C104" s="20">
        <v>0.76041666666666663</v>
      </c>
      <c r="D104" s="19" t="s">
        <v>93</v>
      </c>
      <c r="E104" s="19" t="s">
        <v>42</v>
      </c>
      <c r="F104" s="19" t="s">
        <v>136</v>
      </c>
      <c r="G104" s="118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9" t="s">
        <v>91</v>
      </c>
      <c r="B105" s="19" t="s">
        <v>106</v>
      </c>
      <c r="C105" s="20">
        <v>0.5</v>
      </c>
      <c r="D105" s="19" t="s">
        <v>93</v>
      </c>
      <c r="E105" s="19" t="s">
        <v>42</v>
      </c>
      <c r="F105" s="19" t="s">
        <v>136</v>
      </c>
      <c r="G105" s="118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19" t="s">
        <v>91</v>
      </c>
      <c r="B106" s="19" t="s">
        <v>92</v>
      </c>
      <c r="C106" s="20">
        <v>0.81597222222222221</v>
      </c>
      <c r="D106" s="19" t="s">
        <v>93</v>
      </c>
      <c r="E106" s="19" t="s">
        <v>42</v>
      </c>
      <c r="F106" s="19" t="s">
        <v>136</v>
      </c>
      <c r="G106" s="118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5" t="s">
        <v>82</v>
      </c>
      <c r="B107" s="15" t="s">
        <v>83</v>
      </c>
      <c r="C107" s="16">
        <v>0.92013888888888884</v>
      </c>
      <c r="D107" s="15" t="s">
        <v>84</v>
      </c>
      <c r="E107" s="15" t="s">
        <v>72</v>
      </c>
      <c r="F107" s="15" t="s">
        <v>137</v>
      </c>
      <c r="G107" s="118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19" t="s">
        <v>82</v>
      </c>
      <c r="B108" s="19" t="s">
        <v>89</v>
      </c>
      <c r="C108" s="20">
        <v>0.16666666666666671</v>
      </c>
      <c r="D108" s="19" t="s">
        <v>84</v>
      </c>
      <c r="E108" s="19" t="s">
        <v>87</v>
      </c>
      <c r="F108" s="19" t="s">
        <v>137</v>
      </c>
      <c r="G108" s="118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thickBot="1" x14ac:dyDescent="0.35">
      <c r="A109" s="45" t="s">
        <v>74</v>
      </c>
      <c r="B109" s="45" t="s">
        <v>79</v>
      </c>
      <c r="C109" s="46">
        <v>0.625</v>
      </c>
      <c r="D109" s="45" t="s">
        <v>138</v>
      </c>
      <c r="E109" s="47"/>
      <c r="F109" s="45" t="s">
        <v>139</v>
      </c>
      <c r="G109" s="119"/>
      <c r="H109" s="48" t="s">
        <v>79</v>
      </c>
      <c r="I109" s="49">
        <v>1.0825</v>
      </c>
      <c r="J109" s="50">
        <v>105</v>
      </c>
      <c r="K109" s="51">
        <v>45980</v>
      </c>
      <c r="L109" s="50">
        <v>40</v>
      </c>
      <c r="M109" s="50">
        <v>0</v>
      </c>
      <c r="N109" s="50">
        <v>5</v>
      </c>
      <c r="O109" s="52" t="s">
        <v>140</v>
      </c>
      <c r="P109" s="53">
        <v>0.625</v>
      </c>
      <c r="Q109" s="50">
        <v>97</v>
      </c>
      <c r="R109" s="54" t="s">
        <v>141</v>
      </c>
    </row>
    <row r="110" spans="1:18" ht="17.399999999999999" customHeight="1" thickBot="1" x14ac:dyDescent="0.35">
      <c r="A110" s="139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1"/>
    </row>
    <row r="111" spans="1:18" ht="22.05" customHeight="1" thickTop="1" thickBot="1" x14ac:dyDescent="0.35">
      <c r="A111" s="113" t="s">
        <v>6</v>
      </c>
      <c r="B111" s="111"/>
      <c r="C111" s="111"/>
      <c r="D111" s="111"/>
      <c r="E111" s="111"/>
      <c r="F111" s="112"/>
      <c r="G111" s="37">
        <v>45985</v>
      </c>
      <c r="H111" s="116" t="s">
        <v>7</v>
      </c>
      <c r="I111" s="111"/>
      <c r="J111" s="111"/>
      <c r="K111" s="111"/>
      <c r="L111" s="111"/>
      <c r="M111" s="111"/>
      <c r="N111" s="111"/>
      <c r="O111" s="111"/>
      <c r="P111" s="111"/>
      <c r="Q111" s="111"/>
      <c r="R111" s="112"/>
    </row>
    <row r="112" spans="1:18" ht="24" customHeight="1" x14ac:dyDescent="0.3">
      <c r="A112" s="38" t="s">
        <v>8</v>
      </c>
      <c r="B112" s="38" t="s">
        <v>9</v>
      </c>
      <c r="C112" s="39" t="s">
        <v>10</v>
      </c>
      <c r="D112" s="38" t="s">
        <v>11</v>
      </c>
      <c r="E112" s="38" t="s">
        <v>12</v>
      </c>
      <c r="F112" s="40" t="s">
        <v>13</v>
      </c>
      <c r="G112" s="41" t="s">
        <v>14</v>
      </c>
      <c r="H112" s="38" t="s">
        <v>15</v>
      </c>
      <c r="I112" s="42" t="s">
        <v>16</v>
      </c>
      <c r="J112" s="43" t="s">
        <v>17</v>
      </c>
      <c r="K112" s="44" t="s">
        <v>18</v>
      </c>
      <c r="L112" s="43" t="s">
        <v>19</v>
      </c>
      <c r="M112" s="43" t="s">
        <v>20</v>
      </c>
      <c r="N112" s="43" t="s">
        <v>21</v>
      </c>
      <c r="O112" s="38" t="s">
        <v>22</v>
      </c>
      <c r="P112" s="39" t="s">
        <v>23</v>
      </c>
      <c r="Q112" s="43" t="s">
        <v>24</v>
      </c>
      <c r="R112" s="38" t="s">
        <v>25</v>
      </c>
    </row>
    <row r="113" spans="1:18" ht="15" customHeight="1" x14ac:dyDescent="0.3">
      <c r="A113" s="8" t="s">
        <v>31</v>
      </c>
      <c r="B113" s="8" t="s">
        <v>50</v>
      </c>
      <c r="C113" s="9">
        <v>0.76041666666666663</v>
      </c>
      <c r="D113" s="8" t="s">
        <v>33</v>
      </c>
      <c r="E113" s="8" t="s">
        <v>142</v>
      </c>
      <c r="F113" s="8" t="s">
        <v>143</v>
      </c>
      <c r="G113" s="117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17" t="s">
        <v>31</v>
      </c>
      <c r="B114" s="17" t="s">
        <v>50</v>
      </c>
      <c r="C114" s="18">
        <v>0.76041666666666663</v>
      </c>
      <c r="D114" s="17" t="s">
        <v>36</v>
      </c>
      <c r="E114" s="17" t="s">
        <v>144</v>
      </c>
      <c r="F114" s="17" t="s">
        <v>114</v>
      </c>
      <c r="G114" s="118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x14ac:dyDescent="0.3">
      <c r="A115" s="17" t="s">
        <v>31</v>
      </c>
      <c r="B115" s="17" t="s">
        <v>50</v>
      </c>
      <c r="C115" s="18">
        <v>0.76041666666666663</v>
      </c>
      <c r="D115" s="17" t="s">
        <v>39</v>
      </c>
      <c r="E115" s="17" t="s">
        <v>144</v>
      </c>
      <c r="F115" s="17" t="s">
        <v>40</v>
      </c>
      <c r="G115" s="118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</row>
    <row r="116" spans="1:18" ht="15" customHeight="1" x14ac:dyDescent="0.3">
      <c r="A116" s="19" t="s">
        <v>31</v>
      </c>
      <c r="B116" s="19" t="s">
        <v>32</v>
      </c>
      <c r="C116" s="20">
        <v>0.81597222222222221</v>
      </c>
      <c r="D116" s="19" t="s">
        <v>33</v>
      </c>
      <c r="E116" s="19" t="s">
        <v>145</v>
      </c>
      <c r="F116" s="19" t="s">
        <v>143</v>
      </c>
      <c r="G116" s="118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</row>
    <row r="117" spans="1:18" ht="15" customHeight="1" x14ac:dyDescent="0.3">
      <c r="A117" s="17" t="s">
        <v>31</v>
      </c>
      <c r="B117" s="17" t="s">
        <v>32</v>
      </c>
      <c r="C117" s="18">
        <v>0.81597222222222221</v>
      </c>
      <c r="D117" s="17" t="s">
        <v>36</v>
      </c>
      <c r="E117" s="17" t="s">
        <v>144</v>
      </c>
      <c r="F117" s="17" t="s">
        <v>114</v>
      </c>
      <c r="G117" s="118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</row>
    <row r="118" spans="1:18" ht="15" customHeight="1" x14ac:dyDescent="0.3">
      <c r="A118" s="17" t="s">
        <v>31</v>
      </c>
      <c r="B118" s="17" t="s">
        <v>32</v>
      </c>
      <c r="C118" s="18">
        <v>0.81597222222222221</v>
      </c>
      <c r="D118" s="17" t="s">
        <v>39</v>
      </c>
      <c r="E118" s="17" t="s">
        <v>144</v>
      </c>
      <c r="F118" s="17" t="s">
        <v>40</v>
      </c>
      <c r="G118" s="118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</row>
    <row r="119" spans="1:18" ht="15" customHeight="1" x14ac:dyDescent="0.3">
      <c r="A119" s="19" t="s">
        <v>31</v>
      </c>
      <c r="B119" s="19" t="s">
        <v>41</v>
      </c>
      <c r="C119" s="20">
        <v>0.44791666666666669</v>
      </c>
      <c r="D119" s="19" t="s">
        <v>33</v>
      </c>
      <c r="E119" s="19" t="s">
        <v>51</v>
      </c>
      <c r="F119" s="19" t="s">
        <v>146</v>
      </c>
      <c r="G119" s="118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17" t="s">
        <v>31</v>
      </c>
      <c r="B120" s="17" t="s">
        <v>41</v>
      </c>
      <c r="C120" s="18">
        <v>0.44791666666666669</v>
      </c>
      <c r="D120" s="17" t="s">
        <v>36</v>
      </c>
      <c r="E120" s="17" t="s">
        <v>53</v>
      </c>
      <c r="F120" s="17" t="s">
        <v>147</v>
      </c>
      <c r="G120" s="118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7" t="s">
        <v>31</v>
      </c>
      <c r="B121" s="17" t="s">
        <v>41</v>
      </c>
      <c r="C121" s="18">
        <v>0.44791666666666669</v>
      </c>
      <c r="D121" s="17" t="s">
        <v>39</v>
      </c>
      <c r="E121" s="17" t="s">
        <v>53</v>
      </c>
      <c r="F121" s="17" t="s">
        <v>40</v>
      </c>
      <c r="G121" s="118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</row>
    <row r="122" spans="1:18" ht="15" customHeight="1" x14ac:dyDescent="0.3">
      <c r="A122" s="19" t="s">
        <v>31</v>
      </c>
      <c r="B122" s="19" t="s">
        <v>47</v>
      </c>
      <c r="C122" s="20">
        <v>0.5</v>
      </c>
      <c r="D122" s="19" t="s">
        <v>33</v>
      </c>
      <c r="E122" s="19" t="s">
        <v>121</v>
      </c>
      <c r="F122" s="19" t="s">
        <v>146</v>
      </c>
      <c r="G122" s="118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</row>
    <row r="123" spans="1:18" ht="15" customHeight="1" x14ac:dyDescent="0.3">
      <c r="A123" s="17" t="s">
        <v>31</v>
      </c>
      <c r="B123" s="17" t="s">
        <v>47</v>
      </c>
      <c r="C123" s="18">
        <v>0.5</v>
      </c>
      <c r="D123" s="17" t="s">
        <v>36</v>
      </c>
      <c r="E123" s="17" t="s">
        <v>108</v>
      </c>
      <c r="F123" s="17" t="s">
        <v>147</v>
      </c>
      <c r="G123" s="118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</row>
    <row r="124" spans="1:18" ht="15" customHeight="1" x14ac:dyDescent="0.3">
      <c r="A124" s="17" t="s">
        <v>31</v>
      </c>
      <c r="B124" s="17" t="s">
        <v>47</v>
      </c>
      <c r="C124" s="18">
        <v>0.5</v>
      </c>
      <c r="D124" s="17" t="s">
        <v>39</v>
      </c>
      <c r="E124" s="17" t="s">
        <v>108</v>
      </c>
      <c r="F124" s="17" t="s">
        <v>40</v>
      </c>
      <c r="G124" s="118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</row>
    <row r="125" spans="1:18" ht="15" customHeight="1" x14ac:dyDescent="0.3">
      <c r="A125" s="15" t="s">
        <v>55</v>
      </c>
      <c r="B125" s="15" t="s">
        <v>56</v>
      </c>
      <c r="C125" s="16">
        <v>0.30555555555555552</v>
      </c>
      <c r="D125" s="15" t="s">
        <v>57</v>
      </c>
      <c r="E125" s="15" t="s">
        <v>117</v>
      </c>
      <c r="F125" s="15" t="s">
        <v>148</v>
      </c>
      <c r="G125" s="118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</row>
    <row r="126" spans="1:18" ht="15" customHeight="1" x14ac:dyDescent="0.3">
      <c r="A126" s="17" t="s">
        <v>55</v>
      </c>
      <c r="B126" s="17" t="s">
        <v>56</v>
      </c>
      <c r="C126" s="18">
        <v>0.30555555555555552</v>
      </c>
      <c r="D126" s="17" t="s">
        <v>59</v>
      </c>
      <c r="E126" s="17" t="s">
        <v>119</v>
      </c>
      <c r="F126" s="17" t="s">
        <v>114</v>
      </c>
      <c r="G126" s="118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x14ac:dyDescent="0.3">
      <c r="A127" s="17" t="s">
        <v>55</v>
      </c>
      <c r="B127" s="17" t="s">
        <v>56</v>
      </c>
      <c r="C127" s="18">
        <v>0.30555555555555552</v>
      </c>
      <c r="D127" s="17" t="s">
        <v>61</v>
      </c>
      <c r="E127" s="17" t="s">
        <v>119</v>
      </c>
      <c r="F127" s="17" t="s">
        <v>109</v>
      </c>
      <c r="G127" s="118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</row>
    <row r="128" spans="1:18" ht="15" customHeight="1" x14ac:dyDescent="0.3">
      <c r="A128" s="19" t="s">
        <v>55</v>
      </c>
      <c r="B128" s="19" t="s">
        <v>64</v>
      </c>
      <c r="C128" s="20">
        <v>0.5</v>
      </c>
      <c r="D128" s="19" t="s">
        <v>57</v>
      </c>
      <c r="E128" s="19" t="s">
        <v>121</v>
      </c>
      <c r="F128" s="19" t="s">
        <v>148</v>
      </c>
      <c r="G128" s="118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</row>
    <row r="129" spans="1:18" ht="15" customHeight="1" x14ac:dyDescent="0.3">
      <c r="A129" s="17" t="s">
        <v>55</v>
      </c>
      <c r="B129" s="17" t="s">
        <v>64</v>
      </c>
      <c r="C129" s="18">
        <v>0.5</v>
      </c>
      <c r="D129" s="17" t="s">
        <v>59</v>
      </c>
      <c r="E129" s="17" t="s">
        <v>108</v>
      </c>
      <c r="F129" s="17" t="s">
        <v>114</v>
      </c>
      <c r="G129" s="118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17" t="s">
        <v>55</v>
      </c>
      <c r="B130" s="17" t="s">
        <v>64</v>
      </c>
      <c r="C130" s="18">
        <v>0.5</v>
      </c>
      <c r="D130" s="17" t="s">
        <v>61</v>
      </c>
      <c r="E130" s="17" t="s">
        <v>108</v>
      </c>
      <c r="F130" s="17" t="s">
        <v>109</v>
      </c>
      <c r="G130" s="118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19" t="s">
        <v>55</v>
      </c>
      <c r="B131" s="19" t="s">
        <v>66</v>
      </c>
      <c r="C131" s="20">
        <v>0.42708333333333331</v>
      </c>
      <c r="D131" s="19" t="s">
        <v>57</v>
      </c>
      <c r="E131" s="19" t="s">
        <v>65</v>
      </c>
      <c r="F131" s="19" t="s">
        <v>148</v>
      </c>
      <c r="G131" s="118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17" t="s">
        <v>55</v>
      </c>
      <c r="B132" s="17" t="s">
        <v>66</v>
      </c>
      <c r="C132" s="18">
        <v>0.42708333333333331</v>
      </c>
      <c r="D132" s="17" t="s">
        <v>59</v>
      </c>
      <c r="E132" s="17" t="s">
        <v>37</v>
      </c>
      <c r="F132" s="17" t="s">
        <v>114</v>
      </c>
      <c r="G132" s="118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17" t="s">
        <v>55</v>
      </c>
      <c r="B133" s="17" t="s">
        <v>66</v>
      </c>
      <c r="C133" s="18">
        <v>0.42708333333333331</v>
      </c>
      <c r="D133" s="17" t="s">
        <v>61</v>
      </c>
      <c r="E133" s="17" t="s">
        <v>37</v>
      </c>
      <c r="F133" s="17" t="s">
        <v>109</v>
      </c>
      <c r="G133" s="118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19" t="s">
        <v>55</v>
      </c>
      <c r="B134" s="19" t="s">
        <v>68</v>
      </c>
      <c r="C134" s="20">
        <v>0.375</v>
      </c>
      <c r="D134" s="19" t="s">
        <v>57</v>
      </c>
      <c r="E134" s="19" t="s">
        <v>145</v>
      </c>
      <c r="F134" s="19" t="s">
        <v>148</v>
      </c>
      <c r="G134" s="118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17" t="s">
        <v>55</v>
      </c>
      <c r="B135" s="17" t="s">
        <v>68</v>
      </c>
      <c r="C135" s="18">
        <v>0.375</v>
      </c>
      <c r="D135" s="17" t="s">
        <v>59</v>
      </c>
      <c r="E135" s="17" t="s">
        <v>144</v>
      </c>
      <c r="F135" s="17" t="s">
        <v>114</v>
      </c>
      <c r="G135" s="118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17" t="s">
        <v>55</v>
      </c>
      <c r="B136" s="17" t="s">
        <v>68</v>
      </c>
      <c r="C136" s="18">
        <v>0.375</v>
      </c>
      <c r="D136" s="17" t="s">
        <v>61</v>
      </c>
      <c r="E136" s="17" t="s">
        <v>144</v>
      </c>
      <c r="F136" s="17" t="s">
        <v>109</v>
      </c>
      <c r="G136" s="118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19" t="s">
        <v>55</v>
      </c>
      <c r="B137" s="19" t="s">
        <v>69</v>
      </c>
      <c r="C137" s="20">
        <v>0.56597222222222221</v>
      </c>
      <c r="D137" s="19" t="s">
        <v>57</v>
      </c>
      <c r="E137" s="19" t="s">
        <v>121</v>
      </c>
      <c r="F137" s="19" t="s">
        <v>148</v>
      </c>
      <c r="G137" s="118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17" t="s">
        <v>55</v>
      </c>
      <c r="B138" s="17" t="s">
        <v>69</v>
      </c>
      <c r="C138" s="18">
        <v>0.56597222222222221</v>
      </c>
      <c r="D138" s="17" t="s">
        <v>59</v>
      </c>
      <c r="E138" s="17" t="s">
        <v>108</v>
      </c>
      <c r="F138" s="17" t="s">
        <v>114</v>
      </c>
      <c r="G138" s="118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17" t="s">
        <v>55</v>
      </c>
      <c r="B139" s="17" t="s">
        <v>69</v>
      </c>
      <c r="C139" s="18">
        <v>0.56597222222222221</v>
      </c>
      <c r="D139" s="17" t="s">
        <v>61</v>
      </c>
      <c r="E139" s="17" t="s">
        <v>108</v>
      </c>
      <c r="F139" s="17" t="s">
        <v>109</v>
      </c>
      <c r="G139" s="118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19" t="s">
        <v>55</v>
      </c>
      <c r="B140" s="19" t="s">
        <v>63</v>
      </c>
      <c r="C140" s="20">
        <v>0.82638888888888884</v>
      </c>
      <c r="D140" s="19" t="s">
        <v>57</v>
      </c>
      <c r="E140" s="19" t="s">
        <v>145</v>
      </c>
      <c r="F140" s="19" t="s">
        <v>107</v>
      </c>
      <c r="G140" s="118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17" t="s">
        <v>55</v>
      </c>
      <c r="B141" s="17" t="s">
        <v>63</v>
      </c>
      <c r="C141" s="18">
        <v>0.82638888888888884</v>
      </c>
      <c r="D141" s="17" t="s">
        <v>59</v>
      </c>
      <c r="E141" s="17" t="s">
        <v>144</v>
      </c>
      <c r="F141" s="17" t="s">
        <v>149</v>
      </c>
      <c r="G141" s="118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17" t="s">
        <v>55</v>
      </c>
      <c r="B142" s="17" t="s">
        <v>63</v>
      </c>
      <c r="C142" s="18">
        <v>0.82638888888888884</v>
      </c>
      <c r="D142" s="17" t="s">
        <v>61</v>
      </c>
      <c r="E142" s="17" t="s">
        <v>144</v>
      </c>
      <c r="F142" s="17" t="s">
        <v>150</v>
      </c>
      <c r="G142" s="118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19" t="s">
        <v>55</v>
      </c>
      <c r="B143" s="19" t="s">
        <v>67</v>
      </c>
      <c r="C143" s="20">
        <v>0.6875</v>
      </c>
      <c r="D143" s="19" t="s">
        <v>57</v>
      </c>
      <c r="E143" s="19" t="s">
        <v>65</v>
      </c>
      <c r="F143" s="19" t="s">
        <v>151</v>
      </c>
      <c r="G143" s="118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7" t="s">
        <v>55</v>
      </c>
      <c r="B144" s="17" t="s">
        <v>67</v>
      </c>
      <c r="C144" s="18">
        <v>0.6875</v>
      </c>
      <c r="D144" s="17" t="s">
        <v>59</v>
      </c>
      <c r="E144" s="17" t="s">
        <v>37</v>
      </c>
      <c r="F144" s="17" t="s">
        <v>35</v>
      </c>
      <c r="G144" s="118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17" t="s">
        <v>55</v>
      </c>
      <c r="B145" s="17" t="s">
        <v>67</v>
      </c>
      <c r="C145" s="18">
        <v>0.6875</v>
      </c>
      <c r="D145" s="17" t="s">
        <v>61</v>
      </c>
      <c r="E145" s="17" t="s">
        <v>37</v>
      </c>
      <c r="F145" s="17" t="s">
        <v>52</v>
      </c>
      <c r="G145" s="118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5" t="s">
        <v>70</v>
      </c>
      <c r="B146" s="15" t="s">
        <v>152</v>
      </c>
      <c r="C146" s="16">
        <v>0.73611111111111116</v>
      </c>
      <c r="D146" s="15" t="s">
        <v>76</v>
      </c>
      <c r="E146" s="15" t="s">
        <v>72</v>
      </c>
      <c r="F146" s="15" t="s">
        <v>153</v>
      </c>
      <c r="G146" s="118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15" t="s">
        <v>154</v>
      </c>
      <c r="B147" s="15" t="s">
        <v>155</v>
      </c>
      <c r="C147" s="16">
        <v>0.51041666666666663</v>
      </c>
      <c r="D147" s="15" t="s">
        <v>156</v>
      </c>
      <c r="E147" s="15" t="s">
        <v>34</v>
      </c>
      <c r="F147" s="15" t="s">
        <v>157</v>
      </c>
      <c r="G147" s="118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17" t="s">
        <v>154</v>
      </c>
      <c r="B148" s="17" t="s">
        <v>155</v>
      </c>
      <c r="C148" s="18">
        <v>0.51041666666666663</v>
      </c>
      <c r="D148" s="17" t="s">
        <v>39</v>
      </c>
      <c r="E148" s="17" t="s">
        <v>37</v>
      </c>
      <c r="F148" s="17" t="s">
        <v>158</v>
      </c>
      <c r="G148" s="118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x14ac:dyDescent="0.3">
      <c r="A149" s="55" t="s">
        <v>74</v>
      </c>
      <c r="B149" s="55" t="s">
        <v>159</v>
      </c>
      <c r="C149" s="56">
        <v>0.92361111111111116</v>
      </c>
      <c r="D149" s="55" t="s">
        <v>76</v>
      </c>
      <c r="E149" s="55" t="s">
        <v>160</v>
      </c>
      <c r="F149" s="55" t="s">
        <v>161</v>
      </c>
      <c r="G149" s="118"/>
      <c r="H149" s="57" t="s">
        <v>162</v>
      </c>
      <c r="I149" s="58">
        <v>0.73209999999999997</v>
      </c>
      <c r="J149" s="59">
        <v>123</v>
      </c>
      <c r="K149" s="60">
        <v>45981</v>
      </c>
      <c r="L149" s="59">
        <v>83</v>
      </c>
      <c r="M149" s="59">
        <v>33</v>
      </c>
      <c r="N149" s="59">
        <v>6</v>
      </c>
      <c r="O149" s="61" t="s">
        <v>163</v>
      </c>
      <c r="P149" s="62">
        <v>0.92361111111111116</v>
      </c>
      <c r="Q149" s="59">
        <v>168</v>
      </c>
      <c r="R149" s="63" t="s">
        <v>164</v>
      </c>
    </row>
    <row r="150" spans="1:18" ht="15" customHeight="1" x14ac:dyDescent="0.3">
      <c r="A150" s="15" t="s">
        <v>82</v>
      </c>
      <c r="B150" s="15" t="s">
        <v>89</v>
      </c>
      <c r="C150" s="16">
        <v>0.16666666666666671</v>
      </c>
      <c r="D150" s="15" t="s">
        <v>84</v>
      </c>
      <c r="E150" s="15" t="s">
        <v>72</v>
      </c>
      <c r="F150" s="15" t="s">
        <v>165</v>
      </c>
      <c r="G150" s="118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</row>
    <row r="151" spans="1:18" ht="15" customHeight="1" x14ac:dyDescent="0.3">
      <c r="A151" s="19" t="s">
        <v>82</v>
      </c>
      <c r="B151" s="19" t="s">
        <v>83</v>
      </c>
      <c r="C151" s="20">
        <v>0.91666666666666663</v>
      </c>
      <c r="D151" s="19" t="s">
        <v>84</v>
      </c>
      <c r="E151" s="19" t="s">
        <v>87</v>
      </c>
      <c r="F151" s="19" t="s">
        <v>166</v>
      </c>
      <c r="G151" s="118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</row>
    <row r="152" spans="1:18" ht="15" customHeight="1" x14ac:dyDescent="0.3">
      <c r="A152" s="19" t="s">
        <v>82</v>
      </c>
      <c r="B152" s="19" t="s">
        <v>86</v>
      </c>
      <c r="C152" s="20">
        <v>0.54166666666666663</v>
      </c>
      <c r="D152" s="19" t="s">
        <v>84</v>
      </c>
      <c r="E152" s="19" t="s">
        <v>87</v>
      </c>
      <c r="F152" s="19" t="s">
        <v>166</v>
      </c>
      <c r="G152" s="118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</row>
    <row r="153" spans="1:18" ht="15" customHeight="1" x14ac:dyDescent="0.3">
      <c r="A153" s="15" t="s">
        <v>91</v>
      </c>
      <c r="B153" s="15" t="s">
        <v>167</v>
      </c>
      <c r="C153" s="16">
        <v>4.8611111111111112E-2</v>
      </c>
      <c r="D153" s="15" t="s">
        <v>97</v>
      </c>
      <c r="E153" s="15" t="s">
        <v>72</v>
      </c>
      <c r="F153" s="15" t="s">
        <v>168</v>
      </c>
      <c r="G153" s="118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</row>
    <row r="154" spans="1:18" ht="15" customHeight="1" x14ac:dyDescent="0.3">
      <c r="A154" s="17" t="s">
        <v>91</v>
      </c>
      <c r="B154" s="17" t="s">
        <v>167</v>
      </c>
      <c r="C154" s="18">
        <v>4.8611111111111112E-2</v>
      </c>
      <c r="D154" s="17" t="s">
        <v>93</v>
      </c>
      <c r="E154" s="17" t="s">
        <v>99</v>
      </c>
      <c r="F154" s="17" t="s">
        <v>169</v>
      </c>
      <c r="G154" s="118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19" t="s">
        <v>91</v>
      </c>
      <c r="B155" s="19" t="s">
        <v>96</v>
      </c>
      <c r="C155" s="20">
        <v>0.2986111111111111</v>
      </c>
      <c r="D155" s="19" t="s">
        <v>97</v>
      </c>
      <c r="E155" s="19" t="s">
        <v>87</v>
      </c>
      <c r="F155" s="19" t="s">
        <v>170</v>
      </c>
      <c r="G155" s="118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</row>
    <row r="156" spans="1:18" ht="15" customHeight="1" x14ac:dyDescent="0.3">
      <c r="A156" s="17" t="s">
        <v>91</v>
      </c>
      <c r="B156" s="17" t="s">
        <v>96</v>
      </c>
      <c r="C156" s="18">
        <v>0.2986111111111111</v>
      </c>
      <c r="D156" s="17" t="s">
        <v>93</v>
      </c>
      <c r="E156" s="17" t="s">
        <v>99</v>
      </c>
      <c r="F156" s="17" t="s">
        <v>171</v>
      </c>
      <c r="G156" s="118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</row>
    <row r="157" spans="1:18" ht="15" customHeight="1" x14ac:dyDescent="0.3">
      <c r="A157" s="19" t="s">
        <v>91</v>
      </c>
      <c r="B157" s="19" t="s">
        <v>101</v>
      </c>
      <c r="C157" s="20">
        <v>0.68402777777777779</v>
      </c>
      <c r="D157" s="19" t="s">
        <v>97</v>
      </c>
      <c r="E157" s="19" t="s">
        <v>113</v>
      </c>
      <c r="F157" s="19" t="s">
        <v>170</v>
      </c>
      <c r="G157" s="118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</row>
    <row r="158" spans="1:18" ht="15" customHeight="1" x14ac:dyDescent="0.3">
      <c r="A158" s="17" t="s">
        <v>91</v>
      </c>
      <c r="B158" s="17" t="s">
        <v>101</v>
      </c>
      <c r="C158" s="18">
        <v>0.68402777777777779</v>
      </c>
      <c r="D158" s="17" t="s">
        <v>93</v>
      </c>
      <c r="E158" s="17" t="s">
        <v>115</v>
      </c>
      <c r="F158" s="17" t="s">
        <v>171</v>
      </c>
      <c r="G158" s="118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</row>
    <row r="159" spans="1:18" ht="15" customHeight="1" x14ac:dyDescent="0.3">
      <c r="A159" s="19" t="s">
        <v>91</v>
      </c>
      <c r="B159" s="19" t="s">
        <v>102</v>
      </c>
      <c r="C159" s="20">
        <v>0.83680555555555547</v>
      </c>
      <c r="D159" s="19" t="s">
        <v>97</v>
      </c>
      <c r="E159" s="19" t="s">
        <v>87</v>
      </c>
      <c r="F159" s="19" t="s">
        <v>170</v>
      </c>
      <c r="G159" s="118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</row>
    <row r="160" spans="1:18" ht="15" customHeight="1" x14ac:dyDescent="0.3">
      <c r="A160" s="17" t="s">
        <v>91</v>
      </c>
      <c r="B160" s="17" t="s">
        <v>102</v>
      </c>
      <c r="C160" s="18">
        <v>0.83680555555555547</v>
      </c>
      <c r="D160" s="17" t="s">
        <v>93</v>
      </c>
      <c r="E160" s="17" t="s">
        <v>99</v>
      </c>
      <c r="F160" s="17" t="s">
        <v>171</v>
      </c>
      <c r="G160" s="118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19" t="s">
        <v>91</v>
      </c>
      <c r="B161" s="19" t="s">
        <v>103</v>
      </c>
      <c r="C161" s="20">
        <v>0.4826388888888889</v>
      </c>
      <c r="D161" s="19" t="s">
        <v>97</v>
      </c>
      <c r="E161" s="19" t="s">
        <v>87</v>
      </c>
      <c r="F161" s="19" t="s">
        <v>170</v>
      </c>
      <c r="G161" s="118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</row>
    <row r="162" spans="1:18" ht="15" customHeight="1" x14ac:dyDescent="0.3">
      <c r="A162" s="17" t="s">
        <v>91</v>
      </c>
      <c r="B162" s="17" t="s">
        <v>103</v>
      </c>
      <c r="C162" s="18">
        <v>0.4826388888888889</v>
      </c>
      <c r="D162" s="17" t="s">
        <v>93</v>
      </c>
      <c r="E162" s="17" t="s">
        <v>99</v>
      </c>
      <c r="F162" s="17" t="s">
        <v>171</v>
      </c>
      <c r="G162" s="118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19" t="s">
        <v>91</v>
      </c>
      <c r="B163" s="19" t="s">
        <v>104</v>
      </c>
      <c r="C163" s="20">
        <v>0.76041666666666663</v>
      </c>
      <c r="D163" s="19" t="s">
        <v>93</v>
      </c>
      <c r="E163" s="19" t="s">
        <v>42</v>
      </c>
      <c r="F163" s="19" t="s">
        <v>172</v>
      </c>
      <c r="G163" s="118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19" t="s">
        <v>91</v>
      </c>
      <c r="B164" s="19" t="s">
        <v>92</v>
      </c>
      <c r="C164" s="20">
        <v>0.81597222222222221</v>
      </c>
      <c r="D164" s="19" t="s">
        <v>93</v>
      </c>
      <c r="E164" s="19" t="s">
        <v>42</v>
      </c>
      <c r="F164" s="19" t="s">
        <v>172</v>
      </c>
      <c r="G164" s="118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thickBot="1" x14ac:dyDescent="0.35">
      <c r="A165" s="30" t="s">
        <v>91</v>
      </c>
      <c r="B165" s="30" t="s">
        <v>106</v>
      </c>
      <c r="C165" s="31">
        <v>0.5</v>
      </c>
      <c r="D165" s="30" t="s">
        <v>93</v>
      </c>
      <c r="E165" s="30" t="s">
        <v>42</v>
      </c>
      <c r="F165" s="30" t="s">
        <v>173</v>
      </c>
      <c r="G165" s="119"/>
      <c r="H165" s="32"/>
      <c r="I165" s="33"/>
      <c r="J165" s="33"/>
      <c r="K165" s="33"/>
      <c r="L165" s="33"/>
      <c r="M165" s="33"/>
      <c r="N165" s="33"/>
      <c r="O165" s="34"/>
      <c r="P165" s="33"/>
      <c r="Q165" s="35"/>
      <c r="R165" s="36"/>
    </row>
    <row r="166" spans="1:18" ht="17.399999999999999" customHeight="1" thickBot="1" x14ac:dyDescent="0.35">
      <c r="A166" s="139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1"/>
    </row>
    <row r="167" spans="1:18" ht="22.05" customHeight="1" thickTop="1" thickBot="1" x14ac:dyDescent="0.35">
      <c r="A167" s="113" t="s">
        <v>6</v>
      </c>
      <c r="B167" s="111"/>
      <c r="C167" s="111"/>
      <c r="D167" s="111"/>
      <c r="E167" s="111"/>
      <c r="F167" s="112"/>
      <c r="G167" s="37">
        <v>45986</v>
      </c>
      <c r="H167" s="116" t="s">
        <v>7</v>
      </c>
      <c r="I167" s="111"/>
      <c r="J167" s="111"/>
      <c r="K167" s="111"/>
      <c r="L167" s="111"/>
      <c r="M167" s="111"/>
      <c r="N167" s="111"/>
      <c r="O167" s="111"/>
      <c r="P167" s="111"/>
      <c r="Q167" s="111"/>
      <c r="R167" s="112"/>
    </row>
    <row r="168" spans="1:18" ht="24" customHeight="1" x14ac:dyDescent="0.3">
      <c r="A168" s="38" t="s">
        <v>8</v>
      </c>
      <c r="B168" s="38" t="s">
        <v>9</v>
      </c>
      <c r="C168" s="39" t="s">
        <v>10</v>
      </c>
      <c r="D168" s="38" t="s">
        <v>11</v>
      </c>
      <c r="E168" s="38" t="s">
        <v>12</v>
      </c>
      <c r="F168" s="40" t="s">
        <v>13</v>
      </c>
      <c r="G168" s="41" t="s">
        <v>14</v>
      </c>
      <c r="H168" s="38" t="s">
        <v>15</v>
      </c>
      <c r="I168" s="42" t="s">
        <v>16</v>
      </c>
      <c r="J168" s="43" t="s">
        <v>17</v>
      </c>
      <c r="K168" s="44" t="s">
        <v>18</v>
      </c>
      <c r="L168" s="43" t="s">
        <v>19</v>
      </c>
      <c r="M168" s="43" t="s">
        <v>20</v>
      </c>
      <c r="N168" s="43" t="s">
        <v>21</v>
      </c>
      <c r="O168" s="38" t="s">
        <v>22</v>
      </c>
      <c r="P168" s="39" t="s">
        <v>23</v>
      </c>
      <c r="Q168" s="43" t="s">
        <v>24</v>
      </c>
      <c r="R168" s="38" t="s">
        <v>25</v>
      </c>
    </row>
    <row r="169" spans="1:18" ht="15" customHeight="1" x14ac:dyDescent="0.3">
      <c r="A169" s="8" t="s">
        <v>31</v>
      </c>
      <c r="B169" s="8" t="s">
        <v>41</v>
      </c>
      <c r="C169" s="9">
        <v>0.44791666666666669</v>
      </c>
      <c r="D169" s="8" t="s">
        <v>33</v>
      </c>
      <c r="E169" s="8" t="s">
        <v>174</v>
      </c>
      <c r="F169" s="8" t="s">
        <v>175</v>
      </c>
      <c r="G169" s="117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</row>
    <row r="170" spans="1:18" ht="15" customHeight="1" x14ac:dyDescent="0.3">
      <c r="A170" s="17" t="s">
        <v>31</v>
      </c>
      <c r="B170" s="17" t="s">
        <v>41</v>
      </c>
      <c r="C170" s="18">
        <v>0.44791666666666669</v>
      </c>
      <c r="D170" s="17" t="s">
        <v>36</v>
      </c>
      <c r="E170" s="17" t="s">
        <v>176</v>
      </c>
      <c r="F170" s="17" t="s">
        <v>151</v>
      </c>
      <c r="G170" s="118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</row>
    <row r="171" spans="1:18" ht="15" customHeight="1" x14ac:dyDescent="0.3">
      <c r="A171" s="17" t="s">
        <v>31</v>
      </c>
      <c r="B171" s="17" t="s">
        <v>41</v>
      </c>
      <c r="C171" s="18">
        <v>0.44791666666666669</v>
      </c>
      <c r="D171" s="17" t="s">
        <v>39</v>
      </c>
      <c r="E171" s="17" t="s">
        <v>176</v>
      </c>
      <c r="F171" s="17" t="s">
        <v>40</v>
      </c>
      <c r="G171" s="118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19" t="s">
        <v>31</v>
      </c>
      <c r="B172" s="19" t="s">
        <v>47</v>
      </c>
      <c r="C172" s="20">
        <v>0.5</v>
      </c>
      <c r="D172" s="19" t="s">
        <v>33</v>
      </c>
      <c r="E172" s="19" t="s">
        <v>177</v>
      </c>
      <c r="F172" s="19" t="s">
        <v>175</v>
      </c>
      <c r="G172" s="118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</row>
    <row r="173" spans="1:18" ht="15" customHeight="1" x14ac:dyDescent="0.3">
      <c r="A173" s="17" t="s">
        <v>31</v>
      </c>
      <c r="B173" s="17" t="s">
        <v>47</v>
      </c>
      <c r="C173" s="18">
        <v>0.5</v>
      </c>
      <c r="D173" s="17" t="s">
        <v>36</v>
      </c>
      <c r="E173" s="17" t="s">
        <v>178</v>
      </c>
      <c r="F173" s="17" t="s">
        <v>151</v>
      </c>
      <c r="G173" s="118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</row>
    <row r="174" spans="1:18" ht="15" customHeight="1" x14ac:dyDescent="0.3">
      <c r="A174" s="17" t="s">
        <v>31</v>
      </c>
      <c r="B174" s="17" t="s">
        <v>47</v>
      </c>
      <c r="C174" s="18">
        <v>0.5</v>
      </c>
      <c r="D174" s="17" t="s">
        <v>39</v>
      </c>
      <c r="E174" s="17" t="s">
        <v>178</v>
      </c>
      <c r="F174" s="17" t="s">
        <v>46</v>
      </c>
      <c r="G174" s="118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</row>
    <row r="175" spans="1:18" ht="15" customHeight="1" x14ac:dyDescent="0.3">
      <c r="A175" s="19" t="s">
        <v>31</v>
      </c>
      <c r="B175" s="19" t="s">
        <v>50</v>
      </c>
      <c r="C175" s="20">
        <v>0.76041666666666663</v>
      </c>
      <c r="D175" s="19" t="s">
        <v>33</v>
      </c>
      <c r="E175" s="19" t="s">
        <v>179</v>
      </c>
      <c r="F175" s="19" t="s">
        <v>175</v>
      </c>
      <c r="G175" s="118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</row>
    <row r="176" spans="1:18" ht="15" customHeight="1" x14ac:dyDescent="0.3">
      <c r="A176" s="17" t="s">
        <v>31</v>
      </c>
      <c r="B176" s="17" t="s">
        <v>50</v>
      </c>
      <c r="C176" s="18">
        <v>0.76041666666666663</v>
      </c>
      <c r="D176" s="17" t="s">
        <v>36</v>
      </c>
      <c r="E176" s="17" t="s">
        <v>180</v>
      </c>
      <c r="F176" s="17" t="s">
        <v>151</v>
      </c>
      <c r="G176" s="118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</row>
    <row r="177" spans="1:18" ht="15" customHeight="1" x14ac:dyDescent="0.3">
      <c r="A177" s="17" t="s">
        <v>31</v>
      </c>
      <c r="B177" s="17" t="s">
        <v>50</v>
      </c>
      <c r="C177" s="18">
        <v>0.76041666666666663</v>
      </c>
      <c r="D177" s="17" t="s">
        <v>39</v>
      </c>
      <c r="E177" s="17" t="s">
        <v>180</v>
      </c>
      <c r="F177" s="17" t="s">
        <v>40</v>
      </c>
      <c r="G177" s="118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</row>
    <row r="178" spans="1:18" ht="15" customHeight="1" x14ac:dyDescent="0.3">
      <c r="A178" s="19" t="s">
        <v>31</v>
      </c>
      <c r="B178" s="19" t="s">
        <v>32</v>
      </c>
      <c r="C178" s="20">
        <v>0.81597222222222221</v>
      </c>
      <c r="D178" s="19" t="s">
        <v>33</v>
      </c>
      <c r="E178" s="19" t="s">
        <v>181</v>
      </c>
      <c r="F178" s="19" t="s">
        <v>175</v>
      </c>
      <c r="G178" s="118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</row>
    <row r="179" spans="1:18" ht="15" customHeight="1" x14ac:dyDescent="0.3">
      <c r="A179" s="17" t="s">
        <v>31</v>
      </c>
      <c r="B179" s="17" t="s">
        <v>32</v>
      </c>
      <c r="C179" s="18">
        <v>0.81597222222222221</v>
      </c>
      <c r="D179" s="17" t="s">
        <v>36</v>
      </c>
      <c r="E179" s="17" t="s">
        <v>182</v>
      </c>
      <c r="F179" s="17" t="s">
        <v>151</v>
      </c>
      <c r="G179" s="118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</row>
    <row r="180" spans="1:18" ht="15" customHeight="1" x14ac:dyDescent="0.3">
      <c r="A180" s="17" t="s">
        <v>31</v>
      </c>
      <c r="B180" s="17" t="s">
        <v>32</v>
      </c>
      <c r="C180" s="18">
        <v>0.81597222222222221</v>
      </c>
      <c r="D180" s="17" t="s">
        <v>39</v>
      </c>
      <c r="E180" s="17" t="s">
        <v>182</v>
      </c>
      <c r="F180" s="17" t="s">
        <v>40</v>
      </c>
      <c r="G180" s="118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</row>
    <row r="181" spans="1:18" ht="15" customHeight="1" x14ac:dyDescent="0.3">
      <c r="A181" s="15" t="s">
        <v>55</v>
      </c>
      <c r="B181" s="15" t="s">
        <v>56</v>
      </c>
      <c r="C181" s="16">
        <v>0.30555555555555552</v>
      </c>
      <c r="D181" s="15" t="s">
        <v>57</v>
      </c>
      <c r="E181" s="15" t="s">
        <v>77</v>
      </c>
      <c r="F181" s="15" t="s">
        <v>183</v>
      </c>
      <c r="G181" s="118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7" t="s">
        <v>55</v>
      </c>
      <c r="B182" s="17" t="s">
        <v>56</v>
      </c>
      <c r="C182" s="18">
        <v>0.30555555555555552</v>
      </c>
      <c r="D182" s="17" t="s">
        <v>59</v>
      </c>
      <c r="E182" s="17" t="s">
        <v>184</v>
      </c>
      <c r="F182" s="17" t="s">
        <v>185</v>
      </c>
      <c r="G182" s="118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17" t="s">
        <v>55</v>
      </c>
      <c r="B183" s="17" t="s">
        <v>56</v>
      </c>
      <c r="C183" s="18">
        <v>0.30555555555555552</v>
      </c>
      <c r="D183" s="17" t="s">
        <v>61</v>
      </c>
      <c r="E183" s="17" t="s">
        <v>184</v>
      </c>
      <c r="F183" s="17" t="s">
        <v>186</v>
      </c>
      <c r="G183" s="118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19" t="s">
        <v>55</v>
      </c>
      <c r="B184" s="19" t="s">
        <v>69</v>
      </c>
      <c r="C184" s="20">
        <v>0.56597222222222221</v>
      </c>
      <c r="D184" s="19" t="s">
        <v>57</v>
      </c>
      <c r="E184" s="19" t="s">
        <v>113</v>
      </c>
      <c r="F184" s="19" t="s">
        <v>183</v>
      </c>
      <c r="G184" s="118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17" t="s">
        <v>55</v>
      </c>
      <c r="B185" s="17" t="s">
        <v>69</v>
      </c>
      <c r="C185" s="18">
        <v>0.56597222222222221</v>
      </c>
      <c r="D185" s="17" t="s">
        <v>59</v>
      </c>
      <c r="E185" s="17" t="s">
        <v>115</v>
      </c>
      <c r="F185" s="17" t="s">
        <v>185</v>
      </c>
      <c r="G185" s="118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7" t="s">
        <v>55</v>
      </c>
      <c r="B186" s="17" t="s">
        <v>69</v>
      </c>
      <c r="C186" s="18">
        <v>0.56597222222222221</v>
      </c>
      <c r="D186" s="17" t="s">
        <v>61</v>
      </c>
      <c r="E186" s="17" t="s">
        <v>115</v>
      </c>
      <c r="F186" s="17" t="s">
        <v>186</v>
      </c>
      <c r="G186" s="118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19" t="s">
        <v>55</v>
      </c>
      <c r="B187" s="19" t="s">
        <v>63</v>
      </c>
      <c r="C187" s="20">
        <v>0.82638888888888884</v>
      </c>
      <c r="D187" s="19" t="s">
        <v>57</v>
      </c>
      <c r="E187" s="19" t="s">
        <v>65</v>
      </c>
      <c r="F187" s="19" t="s">
        <v>148</v>
      </c>
      <c r="G187" s="118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17" t="s">
        <v>55</v>
      </c>
      <c r="B188" s="17" t="s">
        <v>63</v>
      </c>
      <c r="C188" s="18">
        <v>0.82638888888888884</v>
      </c>
      <c r="D188" s="17" t="s">
        <v>59</v>
      </c>
      <c r="E188" s="17" t="s">
        <v>37</v>
      </c>
      <c r="F188" s="17" t="s">
        <v>114</v>
      </c>
      <c r="G188" s="118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17" t="s">
        <v>55</v>
      </c>
      <c r="B189" s="17" t="s">
        <v>63</v>
      </c>
      <c r="C189" s="18">
        <v>0.82638888888888884</v>
      </c>
      <c r="D189" s="17" t="s">
        <v>61</v>
      </c>
      <c r="E189" s="17" t="s">
        <v>37</v>
      </c>
      <c r="F189" s="17" t="s">
        <v>109</v>
      </c>
      <c r="G189" s="118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19" t="s">
        <v>55</v>
      </c>
      <c r="B190" s="19" t="s">
        <v>66</v>
      </c>
      <c r="C190" s="20">
        <v>0.42708333333333331</v>
      </c>
      <c r="D190" s="19" t="s">
        <v>57</v>
      </c>
      <c r="E190" s="19" t="s">
        <v>65</v>
      </c>
      <c r="F190" s="19" t="s">
        <v>148</v>
      </c>
      <c r="G190" s="118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17" t="s">
        <v>55</v>
      </c>
      <c r="B191" s="17" t="s">
        <v>66</v>
      </c>
      <c r="C191" s="18">
        <v>0.42708333333333331</v>
      </c>
      <c r="D191" s="17" t="s">
        <v>59</v>
      </c>
      <c r="E191" s="17" t="s">
        <v>37</v>
      </c>
      <c r="F191" s="17" t="s">
        <v>114</v>
      </c>
      <c r="G191" s="118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17" t="s">
        <v>55</v>
      </c>
      <c r="B192" s="17" t="s">
        <v>66</v>
      </c>
      <c r="C192" s="18">
        <v>0.42708333333333331</v>
      </c>
      <c r="D192" s="17" t="s">
        <v>61</v>
      </c>
      <c r="E192" s="17" t="s">
        <v>37</v>
      </c>
      <c r="F192" s="17" t="s">
        <v>109</v>
      </c>
      <c r="G192" s="118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</row>
    <row r="193" spans="1:18" ht="15" customHeight="1" x14ac:dyDescent="0.3">
      <c r="A193" s="19" t="s">
        <v>55</v>
      </c>
      <c r="B193" s="19" t="s">
        <v>67</v>
      </c>
      <c r="C193" s="20">
        <v>0.6875</v>
      </c>
      <c r="D193" s="19" t="s">
        <v>57</v>
      </c>
      <c r="E193" s="19" t="s">
        <v>65</v>
      </c>
      <c r="F193" s="19" t="s">
        <v>148</v>
      </c>
      <c r="G193" s="118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17" t="s">
        <v>55</v>
      </c>
      <c r="B194" s="17" t="s">
        <v>67</v>
      </c>
      <c r="C194" s="18">
        <v>0.6875</v>
      </c>
      <c r="D194" s="17" t="s">
        <v>59</v>
      </c>
      <c r="E194" s="17" t="s">
        <v>37</v>
      </c>
      <c r="F194" s="17" t="s">
        <v>114</v>
      </c>
      <c r="G194" s="118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17" t="s">
        <v>55</v>
      </c>
      <c r="B195" s="17" t="s">
        <v>67</v>
      </c>
      <c r="C195" s="18">
        <v>0.6875</v>
      </c>
      <c r="D195" s="17" t="s">
        <v>61</v>
      </c>
      <c r="E195" s="17" t="s">
        <v>37</v>
      </c>
      <c r="F195" s="17" t="s">
        <v>109</v>
      </c>
      <c r="G195" s="118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19" t="s">
        <v>55</v>
      </c>
      <c r="B196" s="19" t="s">
        <v>68</v>
      </c>
      <c r="C196" s="20">
        <v>0.375</v>
      </c>
      <c r="D196" s="19" t="s">
        <v>57</v>
      </c>
      <c r="E196" s="19" t="s">
        <v>65</v>
      </c>
      <c r="F196" s="19" t="s">
        <v>148</v>
      </c>
      <c r="G196" s="118"/>
      <c r="H196" s="10"/>
      <c r="I196" s="11"/>
      <c r="J196" s="11"/>
      <c r="K196" s="11"/>
      <c r="L196" s="11"/>
      <c r="M196" s="11"/>
      <c r="N196" s="11"/>
      <c r="O196" s="12"/>
      <c r="P196" s="11"/>
      <c r="Q196" s="13"/>
      <c r="R196" s="14"/>
    </row>
    <row r="197" spans="1:18" ht="15" customHeight="1" x14ac:dyDescent="0.3">
      <c r="A197" s="17" t="s">
        <v>55</v>
      </c>
      <c r="B197" s="17" t="s">
        <v>68</v>
      </c>
      <c r="C197" s="18">
        <v>0.375</v>
      </c>
      <c r="D197" s="17" t="s">
        <v>59</v>
      </c>
      <c r="E197" s="17" t="s">
        <v>37</v>
      </c>
      <c r="F197" s="17" t="s">
        <v>114</v>
      </c>
      <c r="G197" s="118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17" t="s">
        <v>55</v>
      </c>
      <c r="B198" s="17" t="s">
        <v>68</v>
      </c>
      <c r="C198" s="18">
        <v>0.375</v>
      </c>
      <c r="D198" s="17" t="s">
        <v>61</v>
      </c>
      <c r="E198" s="17" t="s">
        <v>37</v>
      </c>
      <c r="F198" s="17" t="s">
        <v>109</v>
      </c>
      <c r="G198" s="118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x14ac:dyDescent="0.3">
      <c r="A199" s="19" t="s">
        <v>55</v>
      </c>
      <c r="B199" s="19" t="s">
        <v>64</v>
      </c>
      <c r="C199" s="20">
        <v>0.5</v>
      </c>
      <c r="D199" s="19" t="s">
        <v>57</v>
      </c>
      <c r="E199" s="19" t="s">
        <v>65</v>
      </c>
      <c r="F199" s="19" t="s">
        <v>107</v>
      </c>
      <c r="G199" s="118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</row>
    <row r="200" spans="1:18" ht="15" customHeight="1" x14ac:dyDescent="0.3">
      <c r="A200" s="17" t="s">
        <v>55</v>
      </c>
      <c r="B200" s="17" t="s">
        <v>64</v>
      </c>
      <c r="C200" s="18">
        <v>0.5</v>
      </c>
      <c r="D200" s="17" t="s">
        <v>59</v>
      </c>
      <c r="E200" s="17" t="s">
        <v>37</v>
      </c>
      <c r="F200" s="17" t="s">
        <v>149</v>
      </c>
      <c r="G200" s="118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</row>
    <row r="201" spans="1:18" ht="15" customHeight="1" x14ac:dyDescent="0.3">
      <c r="A201" s="17" t="s">
        <v>55</v>
      </c>
      <c r="B201" s="17" t="s">
        <v>64</v>
      </c>
      <c r="C201" s="18">
        <v>0.5</v>
      </c>
      <c r="D201" s="17" t="s">
        <v>61</v>
      </c>
      <c r="E201" s="17" t="s">
        <v>37</v>
      </c>
      <c r="F201" s="17" t="s">
        <v>150</v>
      </c>
      <c r="G201" s="118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</row>
    <row r="202" spans="1:18" ht="15" customHeight="1" x14ac:dyDescent="0.3">
      <c r="A202" s="15" t="s">
        <v>26</v>
      </c>
      <c r="B202" s="15" t="s">
        <v>27</v>
      </c>
      <c r="C202" s="16">
        <v>0.27777777777777779</v>
      </c>
      <c r="D202" s="15" t="s">
        <v>76</v>
      </c>
      <c r="E202" s="15" t="s">
        <v>72</v>
      </c>
      <c r="F202" s="15" t="s">
        <v>187</v>
      </c>
      <c r="G202" s="118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</row>
    <row r="203" spans="1:18" ht="15" customHeight="1" x14ac:dyDescent="0.3">
      <c r="A203" s="64" t="s">
        <v>74</v>
      </c>
      <c r="B203" s="64" t="s">
        <v>159</v>
      </c>
      <c r="C203" s="65">
        <v>0.91319444444444453</v>
      </c>
      <c r="D203" s="64" t="s">
        <v>76</v>
      </c>
      <c r="E203" s="64" t="s">
        <v>72</v>
      </c>
      <c r="F203" s="64" t="s">
        <v>188</v>
      </c>
      <c r="G203" s="118"/>
      <c r="H203" s="66" t="s">
        <v>162</v>
      </c>
      <c r="I203" s="67">
        <v>0.58930000000000005</v>
      </c>
      <c r="J203" s="68">
        <v>99</v>
      </c>
      <c r="K203" s="69">
        <v>45981</v>
      </c>
      <c r="L203" s="68">
        <v>40</v>
      </c>
      <c r="M203" s="68">
        <v>11</v>
      </c>
      <c r="N203" s="68">
        <v>4</v>
      </c>
      <c r="O203" s="70" t="s">
        <v>189</v>
      </c>
      <c r="P203" s="71">
        <v>0.91319444444444453</v>
      </c>
      <c r="Q203" s="68">
        <v>168</v>
      </c>
      <c r="R203" s="72" t="s">
        <v>190</v>
      </c>
    </row>
    <row r="204" spans="1:18" ht="15" customHeight="1" x14ac:dyDescent="0.3">
      <c r="A204" s="15" t="s">
        <v>154</v>
      </c>
      <c r="B204" s="15" t="s">
        <v>155</v>
      </c>
      <c r="C204" s="16">
        <v>0.62152777777777779</v>
      </c>
      <c r="D204" s="15" t="s">
        <v>156</v>
      </c>
      <c r="E204" s="15" t="s">
        <v>34</v>
      </c>
      <c r="F204" s="15" t="s">
        <v>191</v>
      </c>
      <c r="G204" s="118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</row>
    <row r="205" spans="1:18" ht="15" customHeight="1" x14ac:dyDescent="0.3">
      <c r="A205" s="17" t="s">
        <v>154</v>
      </c>
      <c r="B205" s="17" t="s">
        <v>155</v>
      </c>
      <c r="C205" s="18">
        <v>0.62152777777777779</v>
      </c>
      <c r="D205" s="17" t="s">
        <v>39</v>
      </c>
      <c r="E205" s="17" t="s">
        <v>37</v>
      </c>
      <c r="F205" s="17" t="s">
        <v>192</v>
      </c>
      <c r="G205" s="118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</row>
    <row r="206" spans="1:18" ht="15" customHeight="1" x14ac:dyDescent="0.3">
      <c r="A206" s="15" t="s">
        <v>82</v>
      </c>
      <c r="B206" s="15" t="s">
        <v>89</v>
      </c>
      <c r="C206" s="16">
        <v>0.16666666666666671</v>
      </c>
      <c r="D206" s="15" t="s">
        <v>84</v>
      </c>
      <c r="E206" s="15" t="s">
        <v>72</v>
      </c>
      <c r="F206" s="15" t="s">
        <v>193</v>
      </c>
      <c r="G206" s="118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15" customHeight="1" x14ac:dyDescent="0.3">
      <c r="A207" s="19" t="s">
        <v>82</v>
      </c>
      <c r="B207" s="19" t="s">
        <v>86</v>
      </c>
      <c r="C207" s="20">
        <v>0.54166666666666663</v>
      </c>
      <c r="D207" s="19" t="s">
        <v>84</v>
      </c>
      <c r="E207" s="19" t="s">
        <v>87</v>
      </c>
      <c r="F207" s="19" t="s">
        <v>194</v>
      </c>
      <c r="G207" s="118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15" customHeight="1" x14ac:dyDescent="0.3">
      <c r="A208" s="19" t="s">
        <v>82</v>
      </c>
      <c r="B208" s="19" t="s">
        <v>83</v>
      </c>
      <c r="C208" s="20">
        <v>0.91666666666666663</v>
      </c>
      <c r="D208" s="19" t="s">
        <v>84</v>
      </c>
      <c r="E208" s="19" t="s">
        <v>87</v>
      </c>
      <c r="F208" s="19" t="s">
        <v>195</v>
      </c>
      <c r="G208" s="118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15" customHeight="1" x14ac:dyDescent="0.3">
      <c r="A209" s="15" t="s">
        <v>91</v>
      </c>
      <c r="B209" s="15" t="s">
        <v>96</v>
      </c>
      <c r="C209" s="16">
        <v>0.2986111111111111</v>
      </c>
      <c r="D209" s="15" t="s">
        <v>97</v>
      </c>
      <c r="E209" s="15" t="s">
        <v>72</v>
      </c>
      <c r="F209" s="15" t="s">
        <v>170</v>
      </c>
      <c r="G209" s="118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17" t="s">
        <v>91</v>
      </c>
      <c r="B210" s="17" t="s">
        <v>96</v>
      </c>
      <c r="C210" s="18">
        <v>0.2986111111111111</v>
      </c>
      <c r="D210" s="17" t="s">
        <v>93</v>
      </c>
      <c r="E210" s="17" t="s">
        <v>99</v>
      </c>
      <c r="F210" s="17" t="s">
        <v>171</v>
      </c>
      <c r="G210" s="118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19" t="s">
        <v>91</v>
      </c>
      <c r="B211" s="19" t="s">
        <v>101</v>
      </c>
      <c r="C211" s="20">
        <v>0.68402777777777779</v>
      </c>
      <c r="D211" s="19" t="s">
        <v>97</v>
      </c>
      <c r="E211" s="19" t="s">
        <v>196</v>
      </c>
      <c r="F211" s="19" t="s">
        <v>170</v>
      </c>
      <c r="G211" s="118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17" t="s">
        <v>91</v>
      </c>
      <c r="B212" s="17" t="s">
        <v>101</v>
      </c>
      <c r="C212" s="18">
        <v>0.68402777777777779</v>
      </c>
      <c r="D212" s="17" t="s">
        <v>93</v>
      </c>
      <c r="E212" s="17" t="s">
        <v>131</v>
      </c>
      <c r="F212" s="17" t="s">
        <v>171</v>
      </c>
      <c r="G212" s="118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</row>
    <row r="213" spans="1:18" ht="15" customHeight="1" x14ac:dyDescent="0.3">
      <c r="A213" s="19" t="s">
        <v>91</v>
      </c>
      <c r="B213" s="19" t="s">
        <v>135</v>
      </c>
      <c r="C213" s="20">
        <v>0.55208333333333337</v>
      </c>
      <c r="D213" s="19" t="s">
        <v>97</v>
      </c>
      <c r="E213" s="19" t="s">
        <v>87</v>
      </c>
      <c r="F213" s="19" t="s">
        <v>170</v>
      </c>
      <c r="G213" s="118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</row>
    <row r="214" spans="1:18" ht="15" customHeight="1" x14ac:dyDescent="0.3">
      <c r="A214" s="17" t="s">
        <v>91</v>
      </c>
      <c r="B214" s="17" t="s">
        <v>135</v>
      </c>
      <c r="C214" s="18">
        <v>0.55208333333333337</v>
      </c>
      <c r="D214" s="17" t="s">
        <v>93</v>
      </c>
      <c r="E214" s="17" t="s">
        <v>99</v>
      </c>
      <c r="F214" s="17" t="s">
        <v>171</v>
      </c>
      <c r="G214" s="118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19" t="s">
        <v>91</v>
      </c>
      <c r="B215" s="19" t="s">
        <v>103</v>
      </c>
      <c r="C215" s="20">
        <v>0.4826388888888889</v>
      </c>
      <c r="D215" s="19" t="s">
        <v>97</v>
      </c>
      <c r="E215" s="19" t="s">
        <v>87</v>
      </c>
      <c r="F215" s="19" t="s">
        <v>170</v>
      </c>
      <c r="G215" s="118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17" t="s">
        <v>91</v>
      </c>
      <c r="B216" s="17" t="s">
        <v>103</v>
      </c>
      <c r="C216" s="18">
        <v>0.4826388888888889</v>
      </c>
      <c r="D216" s="17" t="s">
        <v>93</v>
      </c>
      <c r="E216" s="17" t="s">
        <v>99</v>
      </c>
      <c r="F216" s="17" t="s">
        <v>171</v>
      </c>
      <c r="G216" s="118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19" t="s">
        <v>91</v>
      </c>
      <c r="B217" s="19" t="s">
        <v>102</v>
      </c>
      <c r="C217" s="20">
        <v>0.83680555555555547</v>
      </c>
      <c r="D217" s="19" t="s">
        <v>97</v>
      </c>
      <c r="E217" s="19" t="s">
        <v>87</v>
      </c>
      <c r="F217" s="19" t="s">
        <v>130</v>
      </c>
      <c r="G217" s="118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17" t="s">
        <v>91</v>
      </c>
      <c r="B218" s="17" t="s">
        <v>102</v>
      </c>
      <c r="C218" s="18">
        <v>0.83680555555555547</v>
      </c>
      <c r="D218" s="17" t="s">
        <v>93</v>
      </c>
      <c r="E218" s="17" t="s">
        <v>99</v>
      </c>
      <c r="F218" s="17" t="s">
        <v>132</v>
      </c>
      <c r="G218" s="118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19" t="s">
        <v>91</v>
      </c>
      <c r="B219" s="19" t="s">
        <v>104</v>
      </c>
      <c r="C219" s="20">
        <v>0.76041666666666663</v>
      </c>
      <c r="D219" s="19" t="s">
        <v>93</v>
      </c>
      <c r="E219" s="19" t="s">
        <v>42</v>
      </c>
      <c r="F219" s="19" t="s">
        <v>172</v>
      </c>
      <c r="G219" s="118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19" t="s">
        <v>91</v>
      </c>
      <c r="B220" s="19" t="s">
        <v>106</v>
      </c>
      <c r="C220" s="20">
        <v>0.5</v>
      </c>
      <c r="D220" s="19" t="s">
        <v>93</v>
      </c>
      <c r="E220" s="19" t="s">
        <v>42</v>
      </c>
      <c r="F220" s="19" t="s">
        <v>172</v>
      </c>
      <c r="G220" s="118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30" t="s">
        <v>91</v>
      </c>
      <c r="B221" s="30" t="s">
        <v>92</v>
      </c>
      <c r="C221" s="31">
        <v>0.81597222222222221</v>
      </c>
      <c r="D221" s="30" t="s">
        <v>93</v>
      </c>
      <c r="E221" s="30" t="s">
        <v>42</v>
      </c>
      <c r="F221" s="30" t="s">
        <v>172</v>
      </c>
      <c r="G221" s="119"/>
      <c r="H221" s="32"/>
      <c r="I221" s="33"/>
      <c r="J221" s="33"/>
      <c r="K221" s="33"/>
      <c r="L221" s="33"/>
      <c r="M221" s="33"/>
      <c r="N221" s="33"/>
      <c r="O221" s="34"/>
      <c r="P221" s="33"/>
      <c r="Q221" s="35"/>
      <c r="R221" s="36"/>
    </row>
  </sheetData>
  <mergeCells count="22">
    <mergeCell ref="G169:G221"/>
    <mergeCell ref="A110:R110"/>
    <mergeCell ref="H167:R167"/>
    <mergeCell ref="G113:G165"/>
    <mergeCell ref="G2:J2"/>
    <mergeCell ref="A4:F4"/>
    <mergeCell ref="G6:G55"/>
    <mergeCell ref="A111:F111"/>
    <mergeCell ref="G59:G109"/>
    <mergeCell ref="K2:R2"/>
    <mergeCell ref="A167:F167"/>
    <mergeCell ref="H57:R57"/>
    <mergeCell ref="H111:R111"/>
    <mergeCell ref="A166:R166"/>
    <mergeCell ref="H1:L1"/>
    <mergeCell ref="A1:E1"/>
    <mergeCell ref="H4:R4"/>
    <mergeCell ref="A56:R56"/>
    <mergeCell ref="A57:F57"/>
    <mergeCell ref="A2:F2"/>
    <mergeCell ref="A3:R3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workbookViewId="0"/>
  </sheetViews>
  <sheetFormatPr defaultRowHeight="15.6" outlineLevelCol="1" x14ac:dyDescent="0.3"/>
  <cols>
    <col min="1" max="1" width="9.77734375" style="126" bestFit="1" customWidth="1"/>
    <col min="2" max="2" width="10.44140625" style="126" bestFit="1" customWidth="1"/>
    <col min="3" max="3" width="6.77734375" style="126" bestFit="1" customWidth="1"/>
    <col min="4" max="4" width="5.5546875" style="126" bestFit="1" customWidth="1"/>
    <col min="5" max="5" width="8.33203125" style="126" bestFit="1" customWidth="1"/>
    <col min="6" max="6" width="4.21875" style="126" bestFit="1" customWidth="1"/>
    <col min="7" max="7" width="10" style="126" bestFit="1" customWidth="1"/>
    <col min="8" max="10" width="7" style="126" bestFit="1" customWidth="1"/>
    <col min="11" max="11" width="10.5546875" style="126" bestFit="1" customWidth="1"/>
    <col min="12" max="12" width="9.109375" style="126" bestFit="1" customWidth="1"/>
    <col min="13" max="13" width="7.6640625" style="126" bestFit="1" customWidth="1" outlineLevel="1"/>
    <col min="14" max="14" width="6.33203125" style="126" bestFit="1" customWidth="1" outlineLevel="1"/>
    <col min="15" max="15" width="8" style="126" bestFit="1" customWidth="1" outlineLevel="1"/>
    <col min="16" max="16" width="13.6640625" style="126" bestFit="1" customWidth="1"/>
    <col min="17" max="26" width="3.88671875" style="126" bestFit="1" customWidth="1"/>
    <col min="27" max="27" width="4" style="126" bestFit="1" customWidth="1"/>
    <col min="28" max="29" width="4.21875" style="126" bestFit="1" customWidth="1"/>
    <col min="30" max="31" width="4.5546875" style="126" bestFit="1" customWidth="1"/>
    <col min="32" max="36" width="3.88671875" style="126" bestFit="1" customWidth="1"/>
    <col min="37" max="16384" width="8.88671875" style="126"/>
  </cols>
  <sheetData>
    <row r="1" spans="1:36" x14ac:dyDescent="0.3">
      <c r="A1" s="125" t="s">
        <v>197</v>
      </c>
      <c r="B1" s="125" t="s">
        <v>198</v>
      </c>
      <c r="C1" s="125" t="s">
        <v>199</v>
      </c>
      <c r="D1" s="125" t="s">
        <v>23</v>
      </c>
      <c r="E1" s="125" t="s">
        <v>200</v>
      </c>
      <c r="F1" s="125" t="s">
        <v>201</v>
      </c>
      <c r="G1" s="125" t="s">
        <v>16</v>
      </c>
      <c r="H1" s="125" t="s">
        <v>202</v>
      </c>
      <c r="I1" s="125" t="s">
        <v>203</v>
      </c>
      <c r="J1" s="125" t="s">
        <v>204</v>
      </c>
      <c r="K1" s="125" t="s">
        <v>205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206</v>
      </c>
      <c r="R1" s="125" t="s">
        <v>207</v>
      </c>
      <c r="S1" s="125" t="s">
        <v>208</v>
      </c>
      <c r="T1" s="125" t="s">
        <v>209</v>
      </c>
      <c r="U1" s="125" t="s">
        <v>210</v>
      </c>
      <c r="V1" s="125" t="s">
        <v>211</v>
      </c>
      <c r="W1" s="125" t="s">
        <v>212</v>
      </c>
      <c r="X1" s="125" t="s">
        <v>213</v>
      </c>
      <c r="Y1" s="125" t="s">
        <v>214</v>
      </c>
      <c r="Z1" s="125" t="s">
        <v>215</v>
      </c>
      <c r="AA1" s="125" t="s">
        <v>216</v>
      </c>
      <c r="AB1" s="125" t="s">
        <v>217</v>
      </c>
      <c r="AC1" s="125" t="s">
        <v>218</v>
      </c>
      <c r="AD1" s="125" t="s">
        <v>219</v>
      </c>
      <c r="AE1" s="125" t="s">
        <v>220</v>
      </c>
      <c r="AF1" s="125" t="s">
        <v>221</v>
      </c>
      <c r="AG1" s="125" t="s">
        <v>222</v>
      </c>
      <c r="AH1" s="125" t="s">
        <v>223</v>
      </c>
      <c r="AI1" s="125" t="s">
        <v>224</v>
      </c>
      <c r="AJ1" s="125" t="s">
        <v>225</v>
      </c>
    </row>
    <row r="2" spans="1:36" x14ac:dyDescent="0.3">
      <c r="A2" s="127" t="s">
        <v>226</v>
      </c>
      <c r="B2" s="128">
        <v>45983</v>
      </c>
      <c r="C2" s="129" t="s">
        <v>79</v>
      </c>
      <c r="D2" s="130" t="s">
        <v>227</v>
      </c>
      <c r="E2" s="129" t="s">
        <v>1</v>
      </c>
      <c r="F2" s="129" t="s">
        <v>228</v>
      </c>
      <c r="G2" s="131">
        <v>0.83930000000000005</v>
      </c>
      <c r="H2" s="132">
        <v>168</v>
      </c>
      <c r="I2" s="132">
        <v>141</v>
      </c>
      <c r="J2" s="132">
        <v>0</v>
      </c>
      <c r="K2" s="129" t="s">
        <v>229</v>
      </c>
      <c r="L2" s="133">
        <v>45981</v>
      </c>
      <c r="M2" s="132">
        <v>24</v>
      </c>
      <c r="N2" s="132">
        <v>23</v>
      </c>
      <c r="O2" s="132">
        <v>52</v>
      </c>
      <c r="P2" s="129" t="s">
        <v>80</v>
      </c>
      <c r="Q2" s="125"/>
      <c r="R2" s="125"/>
      <c r="S2" s="125"/>
      <c r="T2" s="125"/>
      <c r="U2" s="125"/>
      <c r="V2" s="132" t="s">
        <v>230</v>
      </c>
      <c r="W2" s="125"/>
      <c r="X2" s="125"/>
      <c r="Y2" s="125"/>
      <c r="Z2" s="132" t="s">
        <v>231</v>
      </c>
      <c r="AA2" s="132" t="s">
        <v>232</v>
      </c>
      <c r="AB2" s="132" t="s">
        <v>233</v>
      </c>
      <c r="AC2" s="132" t="s">
        <v>234</v>
      </c>
      <c r="AD2" s="132" t="s">
        <v>235</v>
      </c>
      <c r="AE2" s="132" t="s">
        <v>236</v>
      </c>
      <c r="AF2" s="132" t="s">
        <v>237</v>
      </c>
      <c r="AG2" s="125"/>
      <c r="AH2" s="125"/>
      <c r="AI2" s="125"/>
      <c r="AJ2" s="125"/>
    </row>
    <row r="3" spans="1:36" x14ac:dyDescent="0.3">
      <c r="A3" s="127" t="s">
        <v>238</v>
      </c>
      <c r="B3" s="128">
        <v>45984</v>
      </c>
      <c r="C3" s="129" t="s">
        <v>79</v>
      </c>
      <c r="D3" s="130" t="s">
        <v>239</v>
      </c>
      <c r="E3" s="129" t="s">
        <v>1</v>
      </c>
      <c r="F3" s="129" t="s">
        <v>240</v>
      </c>
      <c r="G3" s="131">
        <v>1.0825</v>
      </c>
      <c r="H3" s="132">
        <v>97</v>
      </c>
      <c r="I3" s="132">
        <v>105</v>
      </c>
      <c r="J3" s="132">
        <v>0</v>
      </c>
      <c r="K3" s="129" t="s">
        <v>229</v>
      </c>
      <c r="L3" s="133">
        <v>45980</v>
      </c>
      <c r="M3" s="132">
        <v>0</v>
      </c>
      <c r="N3" s="132">
        <v>5</v>
      </c>
      <c r="O3" s="132">
        <v>40</v>
      </c>
      <c r="P3" s="129" t="s">
        <v>140</v>
      </c>
      <c r="Q3" s="125"/>
      <c r="R3" s="125"/>
      <c r="S3" s="125"/>
      <c r="T3" s="125"/>
      <c r="U3" s="125"/>
      <c r="V3" s="132" t="s">
        <v>241</v>
      </c>
      <c r="W3" s="125"/>
      <c r="X3" s="125"/>
      <c r="Y3" s="125"/>
      <c r="Z3" s="125"/>
      <c r="AA3" s="125"/>
      <c r="AB3" s="132" t="s">
        <v>242</v>
      </c>
      <c r="AC3" s="132" t="s">
        <v>243</v>
      </c>
      <c r="AD3" s="132" t="s">
        <v>244</v>
      </c>
      <c r="AE3" s="132" t="s">
        <v>245</v>
      </c>
      <c r="AF3" s="132" t="s">
        <v>246</v>
      </c>
      <c r="AG3" s="125"/>
      <c r="AH3" s="125"/>
      <c r="AI3" s="125"/>
      <c r="AJ3" s="132" t="s">
        <v>247</v>
      </c>
    </row>
    <row r="4" spans="1:36" x14ac:dyDescent="0.3">
      <c r="A4" s="127" t="s">
        <v>248</v>
      </c>
      <c r="B4" s="128">
        <v>45985</v>
      </c>
      <c r="C4" s="129" t="s">
        <v>162</v>
      </c>
      <c r="D4" s="130" t="s">
        <v>249</v>
      </c>
      <c r="E4" s="129" t="s">
        <v>1</v>
      </c>
      <c r="F4" s="129" t="s">
        <v>228</v>
      </c>
      <c r="G4" s="131">
        <v>0.73209999999999997</v>
      </c>
      <c r="H4" s="132">
        <v>168</v>
      </c>
      <c r="I4" s="132">
        <v>123</v>
      </c>
      <c r="J4" s="132">
        <v>0</v>
      </c>
      <c r="K4" s="129" t="s">
        <v>229</v>
      </c>
      <c r="L4" s="133">
        <v>45981</v>
      </c>
      <c r="M4" s="132">
        <v>33</v>
      </c>
      <c r="N4" s="132">
        <v>6</v>
      </c>
      <c r="O4" s="132">
        <v>83</v>
      </c>
      <c r="P4" s="129" t="s">
        <v>163</v>
      </c>
      <c r="Q4" s="125"/>
      <c r="R4" s="125"/>
      <c r="S4" s="125"/>
      <c r="T4" s="125"/>
      <c r="U4" s="125"/>
      <c r="V4" s="132" t="s">
        <v>250</v>
      </c>
      <c r="W4" s="125"/>
      <c r="X4" s="125"/>
      <c r="Y4" s="125"/>
      <c r="Z4" s="132" t="s">
        <v>251</v>
      </c>
      <c r="AA4" s="125"/>
      <c r="AB4" s="125"/>
      <c r="AC4" s="132" t="s">
        <v>252</v>
      </c>
      <c r="AD4" s="132" t="s">
        <v>253</v>
      </c>
      <c r="AE4" s="132" t="s">
        <v>254</v>
      </c>
      <c r="AF4" s="132" t="s">
        <v>255</v>
      </c>
      <c r="AG4" s="125"/>
      <c r="AH4" s="125"/>
      <c r="AI4" s="125"/>
      <c r="AJ4" s="132" t="s">
        <v>247</v>
      </c>
    </row>
    <row r="5" spans="1:36" x14ac:dyDescent="0.3">
      <c r="A5" s="127" t="s">
        <v>256</v>
      </c>
      <c r="B5" s="128">
        <v>45986</v>
      </c>
      <c r="C5" s="129" t="s">
        <v>162</v>
      </c>
      <c r="D5" s="130" t="s">
        <v>257</v>
      </c>
      <c r="E5" s="129" t="s">
        <v>1</v>
      </c>
      <c r="F5" s="129" t="s">
        <v>228</v>
      </c>
      <c r="G5" s="131">
        <v>0.58930000000000005</v>
      </c>
      <c r="H5" s="132">
        <v>168</v>
      </c>
      <c r="I5" s="132">
        <v>99</v>
      </c>
      <c r="J5" s="132">
        <v>0</v>
      </c>
      <c r="K5" s="129" t="s">
        <v>229</v>
      </c>
      <c r="L5" s="133">
        <v>45981</v>
      </c>
      <c r="M5" s="132">
        <v>11</v>
      </c>
      <c r="N5" s="132">
        <v>4</v>
      </c>
      <c r="O5" s="132">
        <v>40</v>
      </c>
      <c r="P5" s="129" t="s">
        <v>189</v>
      </c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32" t="s">
        <v>258</v>
      </c>
      <c r="AE5" s="132" t="s">
        <v>259</v>
      </c>
      <c r="AF5" s="132" t="s">
        <v>260</v>
      </c>
      <c r="AG5" s="125"/>
      <c r="AH5" s="125"/>
      <c r="AI5" s="125"/>
      <c r="AJ5" s="125"/>
    </row>
    <row r="6" spans="1:36" ht="21" x14ac:dyDescent="0.3">
      <c r="A6" s="134" t="s">
        <v>309</v>
      </c>
      <c r="B6" s="135"/>
      <c r="C6" s="134">
        <f>SUBTOTAL(103,RUH_CAI_LF_LEGACY[Flt])</f>
        <v>4</v>
      </c>
      <c r="D6" s="134"/>
      <c r="E6" s="134">
        <f>SUBTOTAL(103,RUH_CAI_LF_LEGACY[Brd-Off])</f>
        <v>4</v>
      </c>
      <c r="F6" s="134"/>
      <c r="G6" s="136">
        <f>SUBTOTAL(101,RUH_CAI_LF_LEGACY[LF%])</f>
        <v>0.81080000000000008</v>
      </c>
      <c r="H6" s="137">
        <f>SUBTOTAL(109,RUH_CAI_LF_LEGACY[CAP])</f>
        <v>601</v>
      </c>
      <c r="I6" s="137">
        <f>SUBTOTAL(109,RUH_CAI_LF_LEGACY[BKG(Y)])</f>
        <v>468</v>
      </c>
      <c r="J6" s="137">
        <f>SUBTOTAL(109,RUH_CAI_LF_LEGACY[GRP(Y)])</f>
        <v>0</v>
      </c>
      <c r="K6" s="134"/>
      <c r="L6" s="135"/>
      <c r="M6" s="137">
        <f>SUBTOTAL(109,RUH_CAI_LF_LEGACY[TO-DAY])</f>
        <v>68</v>
      </c>
      <c r="N6" s="137">
        <f>SUBTOTAL(109,RUH_CAI_LF_LEGACY[Y-DAY])</f>
        <v>38</v>
      </c>
      <c r="O6" s="137">
        <f>SUBTOTAL(109,RUH_CAI_LF_LEGACY[WEEKLY])</f>
        <v>215</v>
      </c>
      <c r="P6" s="138"/>
      <c r="Q6" s="137">
        <f>SUBTOTAL(109,RUH_CAI_LF_LEGACY[Y])</f>
        <v>0</v>
      </c>
      <c r="R6" s="137">
        <f>SUBTOTAL(109,RUH_CAI_LF_LEGACY[B])</f>
        <v>0</v>
      </c>
      <c r="S6" s="137">
        <f>SUBTOTAL(109,RUH_CAI_LF_LEGACY[M])</f>
        <v>0</v>
      </c>
      <c r="T6" s="137">
        <f>SUBTOTAL(109,RUH_CAI_LF_LEGACY[H])</f>
        <v>0</v>
      </c>
      <c r="U6" s="137">
        <f>SUBTOTAL(109,RUH_CAI_LF_LEGACY[Q])</f>
        <v>0</v>
      </c>
      <c r="V6" s="137">
        <f>SUBTOTAL(109,RUH_CAI_LF_LEGACY[K])</f>
        <v>0</v>
      </c>
      <c r="W6" s="137">
        <f>SUBTOTAL(109,RUH_CAI_LF_LEGACY[V])</f>
        <v>0</v>
      </c>
      <c r="X6" s="137">
        <f>SUBTOTAL(109,RUH_CAI_LF_LEGACY[L])</f>
        <v>0</v>
      </c>
      <c r="Y6" s="137">
        <f>SUBTOTAL(109,RUH_CAI_LF_LEGACY[G])</f>
        <v>0</v>
      </c>
      <c r="Z6" s="137">
        <f>SUBTOTAL(109,RUH_CAI_LF_LEGACY[S])</f>
        <v>0</v>
      </c>
      <c r="AA6" s="137">
        <f>SUBTOTAL(109,RUH_CAI_LF_LEGACY[W])</f>
        <v>0</v>
      </c>
      <c r="AB6" s="137">
        <f>SUBTOTAL(109,RUH_CAI_LF_LEGACY[T])</f>
        <v>0</v>
      </c>
      <c r="AC6" s="137">
        <f>SUBTOTAL(109,RUH_CAI_LF_LEGACY[X])</f>
        <v>0</v>
      </c>
      <c r="AD6" s="137">
        <f>SUBTOTAL(109,RUH_CAI_LF_LEGACY[U])</f>
        <v>0</v>
      </c>
      <c r="AE6" s="137">
        <f>SUBTOTAL(109,RUH_CAI_LF_LEGACY[O])</f>
        <v>0</v>
      </c>
      <c r="AF6" s="137">
        <f>SUBTOTAL(109,RUH_CAI_LF_LEGACY[I])</f>
        <v>0</v>
      </c>
      <c r="AG6" s="137">
        <f>SUBTOTAL(109,RUH_CAI_LF_LEGACY[E])</f>
        <v>0</v>
      </c>
      <c r="AH6" s="137">
        <f>SUBTOTAL(109,RUH_CAI_LF_LEGACY[A])</f>
        <v>0</v>
      </c>
      <c r="AI6" s="137">
        <f>SUBTOTAL(109,RUH_CAI_LF_LEGACY[P])</f>
        <v>0</v>
      </c>
      <c r="AJ6" s="137">
        <f>SUBTOTAL(103,RUH_CAI_LF_LEGACY[N])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7.6640625" hidden="1" customWidth="1"/>
  </cols>
  <sheetData>
    <row r="1" spans="1:8" ht="18" x14ac:dyDescent="0.3">
      <c r="A1" s="73" t="s">
        <v>261</v>
      </c>
      <c r="B1" s="74" t="s">
        <v>8</v>
      </c>
      <c r="C1" s="74" t="s">
        <v>9</v>
      </c>
      <c r="D1" s="74" t="s">
        <v>262</v>
      </c>
      <c r="E1" s="74" t="s">
        <v>10</v>
      </c>
      <c r="F1" s="74" t="s">
        <v>11</v>
      </c>
      <c r="G1" s="74" t="s">
        <v>12</v>
      </c>
      <c r="H1" s="75" t="s">
        <v>13</v>
      </c>
    </row>
    <row r="2" spans="1:8" ht="19.8" customHeight="1" x14ac:dyDescent="0.3">
      <c r="A2" s="76" t="s">
        <v>263</v>
      </c>
      <c r="B2" s="77" t="s">
        <v>26</v>
      </c>
      <c r="C2" s="78" t="s">
        <v>27</v>
      </c>
      <c r="D2" s="77" t="s">
        <v>1</v>
      </c>
      <c r="E2" s="77" t="s">
        <v>264</v>
      </c>
      <c r="F2" s="77" t="s">
        <v>28</v>
      </c>
      <c r="G2" s="79">
        <v>1</v>
      </c>
      <c r="H2" s="80">
        <v>500</v>
      </c>
    </row>
    <row r="3" spans="1:8" ht="19.8" customHeight="1" x14ac:dyDescent="0.3">
      <c r="A3" s="76" t="s">
        <v>263</v>
      </c>
      <c r="B3" s="77" t="s">
        <v>31</v>
      </c>
      <c r="C3" s="78" t="s">
        <v>32</v>
      </c>
      <c r="D3" s="77" t="s">
        <v>1</v>
      </c>
      <c r="E3" s="77" t="s">
        <v>265</v>
      </c>
      <c r="F3" s="77" t="s">
        <v>33</v>
      </c>
      <c r="G3" s="79">
        <v>9</v>
      </c>
      <c r="H3" s="80">
        <v>509</v>
      </c>
    </row>
    <row r="4" spans="1:8" ht="19.8" customHeight="1" x14ac:dyDescent="0.3">
      <c r="A4" s="76" t="s">
        <v>263</v>
      </c>
      <c r="B4" s="77" t="s">
        <v>31</v>
      </c>
      <c r="C4" s="78" t="s">
        <v>41</v>
      </c>
      <c r="D4" s="77" t="s">
        <v>1</v>
      </c>
      <c r="E4" s="77" t="s">
        <v>266</v>
      </c>
      <c r="F4" s="77" t="s">
        <v>33</v>
      </c>
      <c r="G4" s="79">
        <v>4</v>
      </c>
      <c r="H4" s="80">
        <v>549</v>
      </c>
    </row>
    <row r="5" spans="1:8" ht="19.8" customHeight="1" x14ac:dyDescent="0.3">
      <c r="A5" s="76" t="s">
        <v>263</v>
      </c>
      <c r="B5" s="77" t="s">
        <v>31</v>
      </c>
      <c r="C5" s="78" t="s">
        <v>47</v>
      </c>
      <c r="D5" s="77" t="s">
        <v>1</v>
      </c>
      <c r="E5" s="77" t="s">
        <v>267</v>
      </c>
      <c r="F5" s="77" t="s">
        <v>33</v>
      </c>
      <c r="G5" s="79">
        <v>10</v>
      </c>
      <c r="H5" s="80">
        <v>549</v>
      </c>
    </row>
    <row r="6" spans="1:8" ht="19.8" customHeight="1" x14ac:dyDescent="0.3">
      <c r="A6" s="76" t="s">
        <v>263</v>
      </c>
      <c r="B6" s="77" t="s">
        <v>55</v>
      </c>
      <c r="C6" s="78" t="s">
        <v>56</v>
      </c>
      <c r="D6" s="77" t="s">
        <v>1</v>
      </c>
      <c r="E6" s="77" t="s">
        <v>268</v>
      </c>
      <c r="F6" s="77" t="s">
        <v>57</v>
      </c>
      <c r="G6" s="79">
        <v>9</v>
      </c>
      <c r="H6" s="80">
        <v>589</v>
      </c>
    </row>
    <row r="7" spans="1:8" ht="19.8" customHeight="1" x14ac:dyDescent="0.3">
      <c r="A7" s="76" t="s">
        <v>263</v>
      </c>
      <c r="B7" s="77" t="s">
        <v>55</v>
      </c>
      <c r="C7" s="78" t="s">
        <v>63</v>
      </c>
      <c r="D7" s="77" t="s">
        <v>1</v>
      </c>
      <c r="E7" s="77" t="s">
        <v>269</v>
      </c>
      <c r="F7" s="77" t="s">
        <v>57</v>
      </c>
      <c r="G7" s="79">
        <v>6</v>
      </c>
      <c r="H7" s="80">
        <v>589</v>
      </c>
    </row>
    <row r="8" spans="1:8" ht="19.8" customHeight="1" x14ac:dyDescent="0.3">
      <c r="A8" s="76" t="s">
        <v>263</v>
      </c>
      <c r="B8" s="77" t="s">
        <v>55</v>
      </c>
      <c r="C8" s="78" t="s">
        <v>64</v>
      </c>
      <c r="D8" s="77" t="s">
        <v>1</v>
      </c>
      <c r="E8" s="77" t="s">
        <v>267</v>
      </c>
      <c r="F8" s="77" t="s">
        <v>57</v>
      </c>
      <c r="G8" s="79">
        <v>9</v>
      </c>
      <c r="H8" s="80">
        <v>589</v>
      </c>
    </row>
    <row r="9" spans="1:8" ht="19.8" customHeight="1" x14ac:dyDescent="0.3">
      <c r="A9" s="76" t="s">
        <v>263</v>
      </c>
      <c r="B9" s="77" t="s">
        <v>55</v>
      </c>
      <c r="C9" s="78" t="s">
        <v>66</v>
      </c>
      <c r="D9" s="77" t="s">
        <v>1</v>
      </c>
      <c r="E9" s="77" t="s">
        <v>270</v>
      </c>
      <c r="F9" s="77" t="s">
        <v>57</v>
      </c>
      <c r="G9" s="79">
        <v>9</v>
      </c>
      <c r="H9" s="80">
        <v>589</v>
      </c>
    </row>
    <row r="10" spans="1:8" ht="19.8" customHeight="1" x14ac:dyDescent="0.3">
      <c r="A10" s="76" t="s">
        <v>263</v>
      </c>
      <c r="B10" s="77" t="s">
        <v>55</v>
      </c>
      <c r="C10" s="78" t="s">
        <v>67</v>
      </c>
      <c r="D10" s="77" t="s">
        <v>1</v>
      </c>
      <c r="E10" s="77" t="s">
        <v>271</v>
      </c>
      <c r="F10" s="77" t="s">
        <v>57</v>
      </c>
      <c r="G10" s="79">
        <v>9</v>
      </c>
      <c r="H10" s="80">
        <v>589</v>
      </c>
    </row>
    <row r="11" spans="1:8" ht="19.8" customHeight="1" x14ac:dyDescent="0.3">
      <c r="A11" s="76" t="s">
        <v>263</v>
      </c>
      <c r="B11" s="77" t="s">
        <v>55</v>
      </c>
      <c r="C11" s="78" t="s">
        <v>68</v>
      </c>
      <c r="D11" s="77" t="s">
        <v>1</v>
      </c>
      <c r="E11" s="77" t="s">
        <v>272</v>
      </c>
      <c r="F11" s="77" t="s">
        <v>57</v>
      </c>
      <c r="G11" s="79">
        <v>9</v>
      </c>
      <c r="H11" s="80">
        <v>589</v>
      </c>
    </row>
    <row r="12" spans="1:8" ht="19.8" customHeight="1" x14ac:dyDescent="0.3">
      <c r="A12" s="76" t="s">
        <v>263</v>
      </c>
      <c r="B12" s="77" t="s">
        <v>55</v>
      </c>
      <c r="C12" s="78" t="s">
        <v>69</v>
      </c>
      <c r="D12" s="77" t="s">
        <v>1</v>
      </c>
      <c r="E12" s="77" t="s">
        <v>273</v>
      </c>
      <c r="F12" s="77" t="s">
        <v>57</v>
      </c>
      <c r="G12" s="79">
        <v>9</v>
      </c>
      <c r="H12" s="80">
        <v>589</v>
      </c>
    </row>
    <row r="13" spans="1:8" ht="19.8" customHeight="1" x14ac:dyDescent="0.3">
      <c r="A13" s="76" t="s">
        <v>263</v>
      </c>
      <c r="B13" s="77" t="s">
        <v>31</v>
      </c>
      <c r="C13" s="78" t="s">
        <v>50</v>
      </c>
      <c r="D13" s="77" t="s">
        <v>1</v>
      </c>
      <c r="E13" s="77" t="s">
        <v>274</v>
      </c>
      <c r="F13" s="77" t="s">
        <v>33</v>
      </c>
      <c r="G13" s="79">
        <v>6</v>
      </c>
      <c r="H13" s="80">
        <v>599</v>
      </c>
    </row>
    <row r="14" spans="1:8" ht="19.8" customHeight="1" x14ac:dyDescent="0.3">
      <c r="A14" s="76" t="s">
        <v>263</v>
      </c>
      <c r="B14" s="77" t="s">
        <v>70</v>
      </c>
      <c r="C14" s="78" t="s">
        <v>71</v>
      </c>
      <c r="D14" s="77" t="s">
        <v>1</v>
      </c>
      <c r="E14" s="77" t="s">
        <v>275</v>
      </c>
      <c r="F14" s="77" t="s">
        <v>28</v>
      </c>
      <c r="G14" s="79">
        <v>9</v>
      </c>
      <c r="H14" s="80">
        <v>616</v>
      </c>
    </row>
    <row r="15" spans="1:8" ht="19.8" customHeight="1" x14ac:dyDescent="0.3">
      <c r="A15" s="76" t="s">
        <v>263</v>
      </c>
      <c r="B15" s="77" t="s">
        <v>31</v>
      </c>
      <c r="C15" s="78" t="s">
        <v>32</v>
      </c>
      <c r="D15" s="77" t="s">
        <v>1</v>
      </c>
      <c r="E15" s="77" t="s">
        <v>265</v>
      </c>
      <c r="F15" s="77" t="s">
        <v>36</v>
      </c>
      <c r="G15" s="79">
        <v>9</v>
      </c>
      <c r="H15" s="80">
        <v>659</v>
      </c>
    </row>
    <row r="16" spans="1:8" ht="19.8" customHeight="1" x14ac:dyDescent="0.3">
      <c r="A16" s="76" t="s">
        <v>263</v>
      </c>
      <c r="B16" s="77" t="s">
        <v>55</v>
      </c>
      <c r="C16" s="78" t="s">
        <v>56</v>
      </c>
      <c r="D16" s="77" t="s">
        <v>1</v>
      </c>
      <c r="E16" s="77" t="s">
        <v>268</v>
      </c>
      <c r="F16" s="77" t="s">
        <v>59</v>
      </c>
      <c r="G16" s="79">
        <v>9</v>
      </c>
      <c r="H16" s="80">
        <v>689</v>
      </c>
    </row>
    <row r="17" spans="1:8" ht="19.8" customHeight="1" x14ac:dyDescent="0.3">
      <c r="A17" s="76" t="s">
        <v>263</v>
      </c>
      <c r="B17" s="77" t="s">
        <v>55</v>
      </c>
      <c r="C17" s="78" t="s">
        <v>63</v>
      </c>
      <c r="D17" s="77" t="s">
        <v>1</v>
      </c>
      <c r="E17" s="77" t="s">
        <v>269</v>
      </c>
      <c r="F17" s="77" t="s">
        <v>59</v>
      </c>
      <c r="G17" s="79">
        <v>6</v>
      </c>
      <c r="H17" s="80">
        <v>689</v>
      </c>
    </row>
    <row r="18" spans="1:8" ht="19.8" customHeight="1" x14ac:dyDescent="0.3">
      <c r="A18" s="76" t="s">
        <v>263</v>
      </c>
      <c r="B18" s="77" t="s">
        <v>55</v>
      </c>
      <c r="C18" s="78" t="s">
        <v>64</v>
      </c>
      <c r="D18" s="77" t="s">
        <v>1</v>
      </c>
      <c r="E18" s="77" t="s">
        <v>267</v>
      </c>
      <c r="F18" s="77" t="s">
        <v>59</v>
      </c>
      <c r="G18" s="79">
        <v>9</v>
      </c>
      <c r="H18" s="80">
        <v>689</v>
      </c>
    </row>
    <row r="19" spans="1:8" ht="19.8" customHeight="1" x14ac:dyDescent="0.3">
      <c r="A19" s="76" t="s">
        <v>263</v>
      </c>
      <c r="B19" s="77" t="s">
        <v>55</v>
      </c>
      <c r="C19" s="78" t="s">
        <v>66</v>
      </c>
      <c r="D19" s="77" t="s">
        <v>1</v>
      </c>
      <c r="E19" s="77" t="s">
        <v>270</v>
      </c>
      <c r="F19" s="77" t="s">
        <v>59</v>
      </c>
      <c r="G19" s="79">
        <v>9</v>
      </c>
      <c r="H19" s="80">
        <v>689</v>
      </c>
    </row>
    <row r="20" spans="1:8" ht="19.8" customHeight="1" x14ac:dyDescent="0.3">
      <c r="A20" s="76" t="s">
        <v>263</v>
      </c>
      <c r="B20" s="77" t="s">
        <v>55</v>
      </c>
      <c r="C20" s="78" t="s">
        <v>67</v>
      </c>
      <c r="D20" s="77" t="s">
        <v>1</v>
      </c>
      <c r="E20" s="77" t="s">
        <v>271</v>
      </c>
      <c r="F20" s="77" t="s">
        <v>59</v>
      </c>
      <c r="G20" s="79">
        <v>9</v>
      </c>
      <c r="H20" s="80">
        <v>689</v>
      </c>
    </row>
    <row r="21" spans="1:8" ht="19.8" customHeight="1" x14ac:dyDescent="0.3">
      <c r="A21" s="76" t="s">
        <v>263</v>
      </c>
      <c r="B21" s="77" t="s">
        <v>55</v>
      </c>
      <c r="C21" s="78" t="s">
        <v>68</v>
      </c>
      <c r="D21" s="77" t="s">
        <v>1</v>
      </c>
      <c r="E21" s="77" t="s">
        <v>272</v>
      </c>
      <c r="F21" s="77" t="s">
        <v>59</v>
      </c>
      <c r="G21" s="79">
        <v>9</v>
      </c>
      <c r="H21" s="80">
        <v>689</v>
      </c>
    </row>
    <row r="22" spans="1:8" ht="19.8" customHeight="1" x14ac:dyDescent="0.3">
      <c r="A22" s="76" t="s">
        <v>263</v>
      </c>
      <c r="B22" s="77" t="s">
        <v>55</v>
      </c>
      <c r="C22" s="78" t="s">
        <v>69</v>
      </c>
      <c r="D22" s="77" t="s">
        <v>1</v>
      </c>
      <c r="E22" s="77" t="s">
        <v>273</v>
      </c>
      <c r="F22" s="77" t="s">
        <v>59</v>
      </c>
      <c r="G22" s="79">
        <v>9</v>
      </c>
      <c r="H22" s="80">
        <v>689</v>
      </c>
    </row>
    <row r="23" spans="1:8" ht="19.8" customHeight="1" x14ac:dyDescent="0.3">
      <c r="A23" s="76" t="s">
        <v>263</v>
      </c>
      <c r="B23" s="77" t="s">
        <v>31</v>
      </c>
      <c r="C23" s="78" t="s">
        <v>41</v>
      </c>
      <c r="D23" s="77" t="s">
        <v>1</v>
      </c>
      <c r="E23" s="77" t="s">
        <v>266</v>
      </c>
      <c r="F23" s="77" t="s">
        <v>36</v>
      </c>
      <c r="G23" s="79">
        <v>4</v>
      </c>
      <c r="H23" s="80">
        <v>699</v>
      </c>
    </row>
    <row r="24" spans="1:8" ht="19.8" customHeight="1" x14ac:dyDescent="0.3">
      <c r="A24" s="76" t="s">
        <v>263</v>
      </c>
      <c r="B24" s="77" t="s">
        <v>31</v>
      </c>
      <c r="C24" s="78" t="s">
        <v>47</v>
      </c>
      <c r="D24" s="77" t="s">
        <v>1</v>
      </c>
      <c r="E24" s="77" t="s">
        <v>267</v>
      </c>
      <c r="F24" s="77" t="s">
        <v>36</v>
      </c>
      <c r="G24" s="79">
        <v>10</v>
      </c>
      <c r="H24" s="80">
        <v>699</v>
      </c>
    </row>
    <row r="25" spans="1:8" ht="19.8" customHeight="1" x14ac:dyDescent="0.3">
      <c r="A25" s="76" t="s">
        <v>263</v>
      </c>
      <c r="B25" s="77" t="s">
        <v>31</v>
      </c>
      <c r="C25" s="78" t="s">
        <v>50</v>
      </c>
      <c r="D25" s="77" t="s">
        <v>1</v>
      </c>
      <c r="E25" s="77" t="s">
        <v>274</v>
      </c>
      <c r="F25" s="77" t="s">
        <v>36</v>
      </c>
      <c r="G25" s="79">
        <v>6</v>
      </c>
      <c r="H25" s="80">
        <v>749</v>
      </c>
    </row>
    <row r="26" spans="1:8" ht="19.8" customHeight="1" x14ac:dyDescent="0.3">
      <c r="A26" s="76" t="s">
        <v>263</v>
      </c>
      <c r="B26" s="77" t="s">
        <v>55</v>
      </c>
      <c r="C26" s="78" t="s">
        <v>56</v>
      </c>
      <c r="D26" s="77" t="s">
        <v>1</v>
      </c>
      <c r="E26" s="77" t="s">
        <v>268</v>
      </c>
      <c r="F26" s="77" t="s">
        <v>61</v>
      </c>
      <c r="G26" s="79">
        <v>9</v>
      </c>
      <c r="H26" s="80">
        <v>779</v>
      </c>
    </row>
    <row r="27" spans="1:8" ht="19.8" customHeight="1" x14ac:dyDescent="0.3">
      <c r="A27" s="76" t="s">
        <v>263</v>
      </c>
      <c r="B27" s="77" t="s">
        <v>55</v>
      </c>
      <c r="C27" s="78" t="s">
        <v>63</v>
      </c>
      <c r="D27" s="77" t="s">
        <v>1</v>
      </c>
      <c r="E27" s="77" t="s">
        <v>269</v>
      </c>
      <c r="F27" s="77" t="s">
        <v>61</v>
      </c>
      <c r="G27" s="79">
        <v>6</v>
      </c>
      <c r="H27" s="80">
        <v>779</v>
      </c>
    </row>
    <row r="28" spans="1:8" ht="19.8" customHeight="1" x14ac:dyDescent="0.3">
      <c r="A28" s="76" t="s">
        <v>263</v>
      </c>
      <c r="B28" s="77" t="s">
        <v>55</v>
      </c>
      <c r="C28" s="78" t="s">
        <v>64</v>
      </c>
      <c r="D28" s="77" t="s">
        <v>1</v>
      </c>
      <c r="E28" s="77" t="s">
        <v>267</v>
      </c>
      <c r="F28" s="77" t="s">
        <v>61</v>
      </c>
      <c r="G28" s="79">
        <v>9</v>
      </c>
      <c r="H28" s="80">
        <v>779</v>
      </c>
    </row>
    <row r="29" spans="1:8" ht="19.8" customHeight="1" x14ac:dyDescent="0.3">
      <c r="A29" s="76" t="s">
        <v>263</v>
      </c>
      <c r="B29" s="77" t="s">
        <v>55</v>
      </c>
      <c r="C29" s="78" t="s">
        <v>66</v>
      </c>
      <c r="D29" s="77" t="s">
        <v>1</v>
      </c>
      <c r="E29" s="77" t="s">
        <v>270</v>
      </c>
      <c r="F29" s="77" t="s">
        <v>61</v>
      </c>
      <c r="G29" s="79">
        <v>9</v>
      </c>
      <c r="H29" s="80">
        <v>779</v>
      </c>
    </row>
    <row r="30" spans="1:8" ht="19.8" customHeight="1" x14ac:dyDescent="0.3">
      <c r="A30" s="76" t="s">
        <v>263</v>
      </c>
      <c r="B30" s="77" t="s">
        <v>55</v>
      </c>
      <c r="C30" s="78" t="s">
        <v>67</v>
      </c>
      <c r="D30" s="77" t="s">
        <v>1</v>
      </c>
      <c r="E30" s="77" t="s">
        <v>271</v>
      </c>
      <c r="F30" s="77" t="s">
        <v>61</v>
      </c>
      <c r="G30" s="79">
        <v>9</v>
      </c>
      <c r="H30" s="80">
        <v>779</v>
      </c>
    </row>
    <row r="31" spans="1:8" ht="19.8" customHeight="1" x14ac:dyDescent="0.3">
      <c r="A31" s="76" t="s">
        <v>263</v>
      </c>
      <c r="B31" s="77" t="s">
        <v>55</v>
      </c>
      <c r="C31" s="78" t="s">
        <v>68</v>
      </c>
      <c r="D31" s="77" t="s">
        <v>1</v>
      </c>
      <c r="E31" s="77" t="s">
        <v>272</v>
      </c>
      <c r="F31" s="77" t="s">
        <v>61</v>
      </c>
      <c r="G31" s="79">
        <v>9</v>
      </c>
      <c r="H31" s="80">
        <v>779</v>
      </c>
    </row>
    <row r="32" spans="1:8" ht="19.8" customHeight="1" x14ac:dyDescent="0.3">
      <c r="A32" s="76" t="s">
        <v>263</v>
      </c>
      <c r="B32" s="77" t="s">
        <v>55</v>
      </c>
      <c r="C32" s="78" t="s">
        <v>69</v>
      </c>
      <c r="D32" s="77" t="s">
        <v>1</v>
      </c>
      <c r="E32" s="77" t="s">
        <v>273</v>
      </c>
      <c r="F32" s="77" t="s">
        <v>61</v>
      </c>
      <c r="G32" s="79">
        <v>9</v>
      </c>
      <c r="H32" s="80">
        <v>779</v>
      </c>
    </row>
    <row r="33" spans="1:8" ht="19.8" customHeight="1" x14ac:dyDescent="0.3">
      <c r="A33" s="81" t="s">
        <v>263</v>
      </c>
      <c r="B33" s="82" t="s">
        <v>74</v>
      </c>
      <c r="C33" s="83" t="s">
        <v>75</v>
      </c>
      <c r="D33" s="82" t="s">
        <v>1</v>
      </c>
      <c r="E33" s="82" t="s">
        <v>227</v>
      </c>
      <c r="F33" s="82" t="s">
        <v>76</v>
      </c>
      <c r="G33" s="84">
        <v>7</v>
      </c>
      <c r="H33" s="85">
        <v>864</v>
      </c>
    </row>
    <row r="34" spans="1:8" ht="19.8" customHeight="1" x14ac:dyDescent="0.3">
      <c r="A34" s="86">
        <v>45983</v>
      </c>
      <c r="B34" s="77" t="s">
        <v>31</v>
      </c>
      <c r="C34" s="78" t="s">
        <v>47</v>
      </c>
      <c r="D34" s="77" t="s">
        <v>1</v>
      </c>
      <c r="E34" s="87">
        <v>1.5</v>
      </c>
      <c r="F34" s="77" t="s">
        <v>39</v>
      </c>
      <c r="G34" s="79">
        <v>10</v>
      </c>
      <c r="H34" s="80">
        <v>899</v>
      </c>
    </row>
    <row r="35" spans="1:8" ht="19.8" customHeight="1" x14ac:dyDescent="0.3">
      <c r="A35" s="86">
        <v>45983</v>
      </c>
      <c r="B35" s="77" t="s">
        <v>31</v>
      </c>
      <c r="C35" s="78" t="s">
        <v>50</v>
      </c>
      <c r="D35" s="77" t="s">
        <v>1</v>
      </c>
      <c r="E35" s="87">
        <v>1.760416666666667</v>
      </c>
      <c r="F35" s="77" t="s">
        <v>39</v>
      </c>
      <c r="G35" s="79">
        <v>6</v>
      </c>
      <c r="H35" s="80">
        <v>899</v>
      </c>
    </row>
    <row r="36" spans="1:8" ht="19.8" customHeight="1" x14ac:dyDescent="0.3">
      <c r="A36" s="86">
        <v>45983</v>
      </c>
      <c r="B36" s="77" t="s">
        <v>31</v>
      </c>
      <c r="C36" s="78" t="s">
        <v>32</v>
      </c>
      <c r="D36" s="77" t="s">
        <v>1</v>
      </c>
      <c r="E36" s="87">
        <v>1.8159722222222221</v>
      </c>
      <c r="F36" s="77" t="s">
        <v>39</v>
      </c>
      <c r="G36" s="79">
        <v>9</v>
      </c>
      <c r="H36" s="80">
        <v>899</v>
      </c>
    </row>
    <row r="37" spans="1:8" ht="19.8" customHeight="1" x14ac:dyDescent="0.3">
      <c r="A37" s="86">
        <v>45983</v>
      </c>
      <c r="B37" s="77" t="s">
        <v>82</v>
      </c>
      <c r="C37" s="78" t="s">
        <v>83</v>
      </c>
      <c r="D37" s="77" t="s">
        <v>1</v>
      </c>
      <c r="E37" s="87">
        <v>1.9201388888888891</v>
      </c>
      <c r="F37" s="77" t="s">
        <v>84</v>
      </c>
      <c r="G37" s="79">
        <v>9</v>
      </c>
      <c r="H37" s="88" t="s">
        <v>85</v>
      </c>
    </row>
    <row r="38" spans="1:8" ht="19.8" customHeight="1" x14ac:dyDescent="0.3">
      <c r="A38" s="86">
        <v>45983</v>
      </c>
      <c r="B38" s="77" t="s">
        <v>31</v>
      </c>
      <c r="C38" s="78" t="s">
        <v>41</v>
      </c>
      <c r="D38" s="77" t="s">
        <v>1</v>
      </c>
      <c r="E38" s="87">
        <v>1.447916666666667</v>
      </c>
      <c r="F38" s="77" t="s">
        <v>39</v>
      </c>
      <c r="G38" s="79">
        <v>4</v>
      </c>
      <c r="H38" s="88" t="s">
        <v>46</v>
      </c>
    </row>
    <row r="39" spans="1:8" ht="19.8" customHeight="1" x14ac:dyDescent="0.3">
      <c r="A39" s="86">
        <v>45983</v>
      </c>
      <c r="B39" s="77" t="s">
        <v>82</v>
      </c>
      <c r="C39" s="78" t="s">
        <v>86</v>
      </c>
      <c r="D39" s="77" t="s">
        <v>1</v>
      </c>
      <c r="E39" s="87">
        <v>1.541666666666667</v>
      </c>
      <c r="F39" s="77" t="s">
        <v>84</v>
      </c>
      <c r="G39" s="79">
        <v>9</v>
      </c>
      <c r="H39" s="88" t="s">
        <v>88</v>
      </c>
    </row>
    <row r="40" spans="1:8" ht="19.8" customHeight="1" x14ac:dyDescent="0.3">
      <c r="A40" s="86">
        <v>45983</v>
      </c>
      <c r="B40" s="77" t="s">
        <v>82</v>
      </c>
      <c r="C40" s="78" t="s">
        <v>89</v>
      </c>
      <c r="D40" s="77" t="s">
        <v>1</v>
      </c>
      <c r="E40" s="87">
        <v>1.166666666666667</v>
      </c>
      <c r="F40" s="77" t="s">
        <v>84</v>
      </c>
      <c r="G40" s="79">
        <v>9</v>
      </c>
      <c r="H40" s="88" t="s">
        <v>90</v>
      </c>
    </row>
    <row r="41" spans="1:8" ht="19.8" customHeight="1" x14ac:dyDescent="0.3">
      <c r="A41" s="86">
        <v>45983</v>
      </c>
      <c r="B41" s="77" t="s">
        <v>91</v>
      </c>
      <c r="C41" s="78" t="s">
        <v>92</v>
      </c>
      <c r="D41" s="77" t="s">
        <v>1</v>
      </c>
      <c r="E41" s="87">
        <v>1.8159722222222221</v>
      </c>
      <c r="F41" s="77" t="s">
        <v>93</v>
      </c>
      <c r="G41" s="79">
        <v>4</v>
      </c>
      <c r="H41" s="88" t="s">
        <v>95</v>
      </c>
    </row>
    <row r="42" spans="1:8" ht="19.8" customHeight="1" x14ac:dyDescent="0.3">
      <c r="A42" s="86">
        <v>45983</v>
      </c>
      <c r="B42" s="77" t="s">
        <v>91</v>
      </c>
      <c r="C42" s="78" t="s">
        <v>96</v>
      </c>
      <c r="D42" s="77" t="s">
        <v>1</v>
      </c>
      <c r="E42" s="87">
        <v>1.2986111111111109</v>
      </c>
      <c r="F42" s="77" t="s">
        <v>97</v>
      </c>
      <c r="G42" s="79">
        <v>9</v>
      </c>
      <c r="H42" s="88" t="s">
        <v>98</v>
      </c>
    </row>
    <row r="43" spans="1:8" ht="19.8" customHeight="1" x14ac:dyDescent="0.3">
      <c r="A43" s="86">
        <v>45983</v>
      </c>
      <c r="B43" s="77" t="s">
        <v>91</v>
      </c>
      <c r="C43" s="78" t="s">
        <v>101</v>
      </c>
      <c r="D43" s="77" t="s">
        <v>1</v>
      </c>
      <c r="E43" s="87">
        <v>1.6840277777777779</v>
      </c>
      <c r="F43" s="77" t="s">
        <v>97</v>
      </c>
      <c r="G43" s="79">
        <v>9</v>
      </c>
      <c r="H43" s="88" t="s">
        <v>98</v>
      </c>
    </row>
    <row r="44" spans="1:8" ht="19.8" customHeight="1" x14ac:dyDescent="0.3">
      <c r="A44" s="86">
        <v>45983</v>
      </c>
      <c r="B44" s="77" t="s">
        <v>91</v>
      </c>
      <c r="C44" s="78" t="s">
        <v>102</v>
      </c>
      <c r="D44" s="77" t="s">
        <v>1</v>
      </c>
      <c r="E44" s="87">
        <v>1.836805555555556</v>
      </c>
      <c r="F44" s="77" t="s">
        <v>97</v>
      </c>
      <c r="G44" s="79">
        <v>9</v>
      </c>
      <c r="H44" s="88" t="s">
        <v>98</v>
      </c>
    </row>
    <row r="45" spans="1:8" ht="19.8" customHeight="1" x14ac:dyDescent="0.3">
      <c r="A45" s="86">
        <v>45983</v>
      </c>
      <c r="B45" s="77" t="s">
        <v>91</v>
      </c>
      <c r="C45" s="78" t="s">
        <v>103</v>
      </c>
      <c r="D45" s="77" t="s">
        <v>1</v>
      </c>
      <c r="E45" s="87">
        <v>1.4826388888888891</v>
      </c>
      <c r="F45" s="77" t="s">
        <v>97</v>
      </c>
      <c r="G45" s="79">
        <v>9</v>
      </c>
      <c r="H45" s="88" t="s">
        <v>98</v>
      </c>
    </row>
    <row r="46" spans="1:8" ht="19.8" customHeight="1" x14ac:dyDescent="0.3">
      <c r="A46" s="86">
        <v>45983</v>
      </c>
      <c r="B46" s="77" t="s">
        <v>91</v>
      </c>
      <c r="C46" s="78" t="s">
        <v>96</v>
      </c>
      <c r="D46" s="77" t="s">
        <v>1</v>
      </c>
      <c r="E46" s="87">
        <v>1.2986111111111109</v>
      </c>
      <c r="F46" s="77" t="s">
        <v>93</v>
      </c>
      <c r="G46" s="79">
        <v>9</v>
      </c>
      <c r="H46" s="88" t="s">
        <v>100</v>
      </c>
    </row>
    <row r="47" spans="1:8" ht="19.8" customHeight="1" x14ac:dyDescent="0.3">
      <c r="A47" s="86">
        <v>45983</v>
      </c>
      <c r="B47" s="77" t="s">
        <v>91</v>
      </c>
      <c r="C47" s="78" t="s">
        <v>101</v>
      </c>
      <c r="D47" s="77" t="s">
        <v>1</v>
      </c>
      <c r="E47" s="87">
        <v>1.6840277777777779</v>
      </c>
      <c r="F47" s="77" t="s">
        <v>93</v>
      </c>
      <c r="G47" s="79">
        <v>9</v>
      </c>
      <c r="H47" s="88" t="s">
        <v>100</v>
      </c>
    </row>
    <row r="48" spans="1:8" ht="19.8" customHeight="1" x14ac:dyDescent="0.3">
      <c r="A48" s="86">
        <v>45983</v>
      </c>
      <c r="B48" s="77" t="s">
        <v>91</v>
      </c>
      <c r="C48" s="78" t="s">
        <v>102</v>
      </c>
      <c r="D48" s="77" t="s">
        <v>1</v>
      </c>
      <c r="E48" s="87">
        <v>1.836805555555556</v>
      </c>
      <c r="F48" s="77" t="s">
        <v>93</v>
      </c>
      <c r="G48" s="79">
        <v>9</v>
      </c>
      <c r="H48" s="88" t="s">
        <v>100</v>
      </c>
    </row>
    <row r="49" spans="1:8" ht="19.8" customHeight="1" x14ac:dyDescent="0.3">
      <c r="A49" s="86">
        <v>45983</v>
      </c>
      <c r="B49" s="77" t="s">
        <v>91</v>
      </c>
      <c r="C49" s="78" t="s">
        <v>103</v>
      </c>
      <c r="D49" s="77" t="s">
        <v>1</v>
      </c>
      <c r="E49" s="87">
        <v>1.4826388888888891</v>
      </c>
      <c r="F49" s="77" t="s">
        <v>93</v>
      </c>
      <c r="G49" s="79">
        <v>9</v>
      </c>
      <c r="H49" s="88" t="s">
        <v>100</v>
      </c>
    </row>
    <row r="50" spans="1:8" ht="19.8" customHeight="1" x14ac:dyDescent="0.3">
      <c r="A50" s="86">
        <v>45983</v>
      </c>
      <c r="B50" s="77" t="s">
        <v>91</v>
      </c>
      <c r="C50" s="78" t="s">
        <v>104</v>
      </c>
      <c r="D50" s="77" t="s">
        <v>1</v>
      </c>
      <c r="E50" s="87">
        <v>1.760416666666667</v>
      </c>
      <c r="F50" s="77" t="s">
        <v>93</v>
      </c>
      <c r="G50" s="79">
        <v>4</v>
      </c>
      <c r="H50" s="88" t="s">
        <v>105</v>
      </c>
    </row>
    <row r="51" spans="1:8" ht="19.8" customHeight="1" x14ac:dyDescent="0.3">
      <c r="A51" s="89">
        <v>45983</v>
      </c>
      <c r="B51" s="90" t="s">
        <v>91</v>
      </c>
      <c r="C51" s="91" t="s">
        <v>106</v>
      </c>
      <c r="D51" s="90" t="s">
        <v>1</v>
      </c>
      <c r="E51" s="92">
        <v>1.5</v>
      </c>
      <c r="F51" s="90" t="s">
        <v>93</v>
      </c>
      <c r="G51" s="93">
        <v>4</v>
      </c>
      <c r="H51" s="94" t="s">
        <v>105</v>
      </c>
    </row>
    <row r="52" spans="1:8" ht="19.8" customHeight="1" x14ac:dyDescent="0.3">
      <c r="A52" s="86">
        <v>45984</v>
      </c>
      <c r="B52" s="77" t="s">
        <v>31</v>
      </c>
      <c r="C52" s="78" t="s">
        <v>50</v>
      </c>
      <c r="D52" s="77" t="s">
        <v>1</v>
      </c>
      <c r="E52" s="87">
        <v>1.760416666666667</v>
      </c>
      <c r="F52" s="77" t="s">
        <v>33</v>
      </c>
      <c r="G52" s="79">
        <v>1</v>
      </c>
      <c r="H52" s="80">
        <v>369</v>
      </c>
    </row>
    <row r="53" spans="1:8" ht="19.8" customHeight="1" x14ac:dyDescent="0.3">
      <c r="A53" s="86">
        <v>45984</v>
      </c>
      <c r="B53" s="77" t="s">
        <v>31</v>
      </c>
      <c r="C53" s="78" t="s">
        <v>47</v>
      </c>
      <c r="D53" s="77" t="s">
        <v>1</v>
      </c>
      <c r="E53" s="87">
        <v>1.5</v>
      </c>
      <c r="F53" s="77" t="s">
        <v>33</v>
      </c>
      <c r="G53" s="79">
        <v>6</v>
      </c>
      <c r="H53" s="80">
        <v>399</v>
      </c>
    </row>
    <row r="54" spans="1:8" ht="19.8" customHeight="1" x14ac:dyDescent="0.3">
      <c r="A54" s="86">
        <v>45984</v>
      </c>
      <c r="B54" s="77" t="s">
        <v>31</v>
      </c>
      <c r="C54" s="78" t="s">
        <v>32</v>
      </c>
      <c r="D54" s="77" t="s">
        <v>1</v>
      </c>
      <c r="E54" s="87">
        <v>1.8159722222222221</v>
      </c>
      <c r="F54" s="77" t="s">
        <v>33</v>
      </c>
      <c r="G54" s="79">
        <v>20</v>
      </c>
      <c r="H54" s="80">
        <v>399</v>
      </c>
    </row>
    <row r="55" spans="1:8" ht="19.8" customHeight="1" x14ac:dyDescent="0.3">
      <c r="A55" s="86">
        <v>45984</v>
      </c>
      <c r="B55" s="77" t="s">
        <v>31</v>
      </c>
      <c r="C55" s="78" t="s">
        <v>41</v>
      </c>
      <c r="D55" s="77" t="s">
        <v>1</v>
      </c>
      <c r="E55" s="87">
        <v>1.447916666666667</v>
      </c>
      <c r="F55" s="77" t="s">
        <v>33</v>
      </c>
      <c r="G55" s="79">
        <v>2</v>
      </c>
      <c r="H55" s="80">
        <v>429</v>
      </c>
    </row>
    <row r="56" spans="1:8" ht="19.8" customHeight="1" x14ac:dyDescent="0.3">
      <c r="A56" s="86">
        <v>45984</v>
      </c>
      <c r="B56" s="77" t="s">
        <v>55</v>
      </c>
      <c r="C56" s="78" t="s">
        <v>64</v>
      </c>
      <c r="D56" s="77" t="s">
        <v>1</v>
      </c>
      <c r="E56" s="87">
        <v>1.5</v>
      </c>
      <c r="F56" s="77" t="s">
        <v>57</v>
      </c>
      <c r="G56" s="79">
        <v>5</v>
      </c>
      <c r="H56" s="80">
        <v>449</v>
      </c>
    </row>
    <row r="57" spans="1:8" ht="19.8" customHeight="1" x14ac:dyDescent="0.3">
      <c r="A57" s="86">
        <v>45984</v>
      </c>
      <c r="B57" s="77" t="s">
        <v>55</v>
      </c>
      <c r="C57" s="78" t="s">
        <v>67</v>
      </c>
      <c r="D57" s="77" t="s">
        <v>1</v>
      </c>
      <c r="E57" s="87">
        <v>1.6875</v>
      </c>
      <c r="F57" s="77" t="s">
        <v>57</v>
      </c>
      <c r="G57" s="79">
        <v>1</v>
      </c>
      <c r="H57" s="80">
        <v>449</v>
      </c>
    </row>
    <row r="58" spans="1:8" ht="19.8" customHeight="1" x14ac:dyDescent="0.3">
      <c r="A58" s="86">
        <v>45984</v>
      </c>
      <c r="B58" s="77" t="s">
        <v>55</v>
      </c>
      <c r="C58" s="78" t="s">
        <v>69</v>
      </c>
      <c r="D58" s="77" t="s">
        <v>1</v>
      </c>
      <c r="E58" s="87">
        <v>1.5659722222222221</v>
      </c>
      <c r="F58" s="77" t="s">
        <v>57</v>
      </c>
      <c r="G58" s="79">
        <v>6</v>
      </c>
      <c r="H58" s="80">
        <v>449</v>
      </c>
    </row>
    <row r="59" spans="1:8" ht="19.8" customHeight="1" x14ac:dyDescent="0.3">
      <c r="A59" s="86">
        <v>45984</v>
      </c>
      <c r="B59" s="77" t="s">
        <v>55</v>
      </c>
      <c r="C59" s="78" t="s">
        <v>63</v>
      </c>
      <c r="D59" s="77" t="s">
        <v>1</v>
      </c>
      <c r="E59" s="87">
        <v>1.8263888888888891</v>
      </c>
      <c r="F59" s="77" t="s">
        <v>57</v>
      </c>
      <c r="G59" s="79">
        <v>9</v>
      </c>
      <c r="H59" s="80">
        <v>489</v>
      </c>
    </row>
    <row r="60" spans="1:8" ht="19.8" customHeight="1" x14ac:dyDescent="0.3">
      <c r="A60" s="86">
        <v>45984</v>
      </c>
      <c r="B60" s="77" t="s">
        <v>55</v>
      </c>
      <c r="C60" s="78" t="s">
        <v>66</v>
      </c>
      <c r="D60" s="77" t="s">
        <v>1</v>
      </c>
      <c r="E60" s="87">
        <v>1.427083333333333</v>
      </c>
      <c r="F60" s="77" t="s">
        <v>57</v>
      </c>
      <c r="G60" s="79">
        <v>4</v>
      </c>
      <c r="H60" s="80">
        <v>489</v>
      </c>
    </row>
    <row r="61" spans="1:8" ht="19.8" customHeight="1" x14ac:dyDescent="0.3">
      <c r="A61" s="86">
        <v>45984</v>
      </c>
      <c r="B61" s="77" t="s">
        <v>55</v>
      </c>
      <c r="C61" s="78" t="s">
        <v>68</v>
      </c>
      <c r="D61" s="77" t="s">
        <v>1</v>
      </c>
      <c r="E61" s="87">
        <v>1.375</v>
      </c>
      <c r="F61" s="77" t="s">
        <v>57</v>
      </c>
      <c r="G61" s="79">
        <v>4</v>
      </c>
      <c r="H61" s="80">
        <v>489</v>
      </c>
    </row>
    <row r="62" spans="1:8" ht="19.8" customHeight="1" x14ac:dyDescent="0.3">
      <c r="A62" s="86">
        <v>45984</v>
      </c>
      <c r="B62" s="77" t="s">
        <v>26</v>
      </c>
      <c r="C62" s="78" t="s">
        <v>126</v>
      </c>
      <c r="D62" s="77" t="s">
        <v>1</v>
      </c>
      <c r="E62" s="87">
        <v>1.586805555555556</v>
      </c>
      <c r="F62" s="77" t="s">
        <v>76</v>
      </c>
      <c r="G62" s="79">
        <v>9</v>
      </c>
      <c r="H62" s="80">
        <v>500</v>
      </c>
    </row>
    <row r="63" spans="1:8" ht="19.8" customHeight="1" x14ac:dyDescent="0.3">
      <c r="A63" s="86">
        <v>45984</v>
      </c>
      <c r="B63" s="77" t="s">
        <v>70</v>
      </c>
      <c r="C63" s="78" t="s">
        <v>127</v>
      </c>
      <c r="D63" s="77" t="s">
        <v>1</v>
      </c>
      <c r="E63" s="87">
        <v>1.3576388888888891</v>
      </c>
      <c r="F63" s="77" t="s">
        <v>76</v>
      </c>
      <c r="G63" s="79">
        <v>8</v>
      </c>
      <c r="H63" s="80">
        <v>518</v>
      </c>
    </row>
    <row r="64" spans="1:8" ht="19.8" customHeight="1" x14ac:dyDescent="0.3">
      <c r="A64" s="86">
        <v>45984</v>
      </c>
      <c r="B64" s="77" t="s">
        <v>31</v>
      </c>
      <c r="C64" s="78" t="s">
        <v>50</v>
      </c>
      <c r="D64" s="77" t="s">
        <v>1</v>
      </c>
      <c r="E64" s="87">
        <v>1.760416666666667</v>
      </c>
      <c r="F64" s="77" t="s">
        <v>36</v>
      </c>
      <c r="G64" s="79">
        <v>1</v>
      </c>
      <c r="H64" s="80">
        <v>519</v>
      </c>
    </row>
    <row r="65" spans="1:8" ht="19.8" customHeight="1" x14ac:dyDescent="0.3">
      <c r="A65" s="86">
        <v>45984</v>
      </c>
      <c r="B65" s="77" t="s">
        <v>55</v>
      </c>
      <c r="C65" s="78" t="s">
        <v>56</v>
      </c>
      <c r="D65" s="77" t="s">
        <v>1</v>
      </c>
      <c r="E65" s="87">
        <v>1.305555555555556</v>
      </c>
      <c r="F65" s="77" t="s">
        <v>57</v>
      </c>
      <c r="G65" s="79">
        <v>4</v>
      </c>
      <c r="H65" s="80">
        <v>539</v>
      </c>
    </row>
    <row r="66" spans="1:8" ht="19.8" customHeight="1" x14ac:dyDescent="0.3">
      <c r="A66" s="86">
        <v>45984</v>
      </c>
      <c r="B66" s="77" t="s">
        <v>31</v>
      </c>
      <c r="C66" s="78" t="s">
        <v>47</v>
      </c>
      <c r="D66" s="77" t="s">
        <v>1</v>
      </c>
      <c r="E66" s="87">
        <v>1.5</v>
      </c>
      <c r="F66" s="77" t="s">
        <v>36</v>
      </c>
      <c r="G66" s="79">
        <v>6</v>
      </c>
      <c r="H66" s="80">
        <v>549</v>
      </c>
    </row>
    <row r="67" spans="1:8" ht="19.8" customHeight="1" x14ac:dyDescent="0.3">
      <c r="A67" s="86">
        <v>45984</v>
      </c>
      <c r="B67" s="77" t="s">
        <v>31</v>
      </c>
      <c r="C67" s="78" t="s">
        <v>32</v>
      </c>
      <c r="D67" s="77" t="s">
        <v>1</v>
      </c>
      <c r="E67" s="87">
        <v>1.8159722222222221</v>
      </c>
      <c r="F67" s="77" t="s">
        <v>36</v>
      </c>
      <c r="G67" s="79">
        <v>20</v>
      </c>
      <c r="H67" s="80">
        <v>549</v>
      </c>
    </row>
    <row r="68" spans="1:8" ht="19.8" customHeight="1" x14ac:dyDescent="0.3">
      <c r="A68" s="86">
        <v>45984</v>
      </c>
      <c r="B68" s="77" t="s">
        <v>55</v>
      </c>
      <c r="C68" s="78" t="s">
        <v>64</v>
      </c>
      <c r="D68" s="77" t="s">
        <v>1</v>
      </c>
      <c r="E68" s="87">
        <v>1.5</v>
      </c>
      <c r="F68" s="77" t="s">
        <v>59</v>
      </c>
      <c r="G68" s="79">
        <v>5</v>
      </c>
      <c r="H68" s="80">
        <v>549</v>
      </c>
    </row>
    <row r="69" spans="1:8" ht="19.8" customHeight="1" x14ac:dyDescent="0.3">
      <c r="A69" s="86">
        <v>45984</v>
      </c>
      <c r="B69" s="77" t="s">
        <v>55</v>
      </c>
      <c r="C69" s="78" t="s">
        <v>67</v>
      </c>
      <c r="D69" s="77" t="s">
        <v>1</v>
      </c>
      <c r="E69" s="87">
        <v>1.6875</v>
      </c>
      <c r="F69" s="77" t="s">
        <v>59</v>
      </c>
      <c r="G69" s="79">
        <v>1</v>
      </c>
      <c r="H69" s="80">
        <v>549</v>
      </c>
    </row>
    <row r="70" spans="1:8" ht="19.8" customHeight="1" x14ac:dyDescent="0.3">
      <c r="A70" s="86">
        <v>45984</v>
      </c>
      <c r="B70" s="77" t="s">
        <v>55</v>
      </c>
      <c r="C70" s="78" t="s">
        <v>69</v>
      </c>
      <c r="D70" s="77" t="s">
        <v>1</v>
      </c>
      <c r="E70" s="87">
        <v>1.5659722222222221</v>
      </c>
      <c r="F70" s="77" t="s">
        <v>59</v>
      </c>
      <c r="G70" s="79">
        <v>6</v>
      </c>
      <c r="H70" s="80">
        <v>549</v>
      </c>
    </row>
    <row r="71" spans="1:8" ht="19.8" customHeight="1" x14ac:dyDescent="0.3">
      <c r="A71" s="86">
        <v>45984</v>
      </c>
      <c r="B71" s="77" t="s">
        <v>31</v>
      </c>
      <c r="C71" s="78" t="s">
        <v>41</v>
      </c>
      <c r="D71" s="77" t="s">
        <v>1</v>
      </c>
      <c r="E71" s="87">
        <v>1.447916666666667</v>
      </c>
      <c r="F71" s="77" t="s">
        <v>36</v>
      </c>
      <c r="G71" s="79">
        <v>2</v>
      </c>
      <c r="H71" s="80">
        <v>579</v>
      </c>
    </row>
    <row r="72" spans="1:8" ht="19.8" customHeight="1" x14ac:dyDescent="0.3">
      <c r="A72" s="86">
        <v>45984</v>
      </c>
      <c r="B72" s="77" t="s">
        <v>55</v>
      </c>
      <c r="C72" s="78" t="s">
        <v>63</v>
      </c>
      <c r="D72" s="77" t="s">
        <v>1</v>
      </c>
      <c r="E72" s="87">
        <v>1.8263888888888891</v>
      </c>
      <c r="F72" s="77" t="s">
        <v>59</v>
      </c>
      <c r="G72" s="79">
        <v>9</v>
      </c>
      <c r="H72" s="80">
        <v>589</v>
      </c>
    </row>
    <row r="73" spans="1:8" ht="19.8" customHeight="1" x14ac:dyDescent="0.3">
      <c r="A73" s="86">
        <v>45984</v>
      </c>
      <c r="B73" s="77" t="s">
        <v>55</v>
      </c>
      <c r="C73" s="78" t="s">
        <v>66</v>
      </c>
      <c r="D73" s="77" t="s">
        <v>1</v>
      </c>
      <c r="E73" s="87">
        <v>1.427083333333333</v>
      </c>
      <c r="F73" s="77" t="s">
        <v>59</v>
      </c>
      <c r="G73" s="79">
        <v>4</v>
      </c>
      <c r="H73" s="80">
        <v>589</v>
      </c>
    </row>
    <row r="74" spans="1:8" ht="19.8" customHeight="1" x14ac:dyDescent="0.3">
      <c r="A74" s="86">
        <v>45984</v>
      </c>
      <c r="B74" s="77" t="s">
        <v>55</v>
      </c>
      <c r="C74" s="78" t="s">
        <v>68</v>
      </c>
      <c r="D74" s="77" t="s">
        <v>1</v>
      </c>
      <c r="E74" s="87">
        <v>1.375</v>
      </c>
      <c r="F74" s="77" t="s">
        <v>59</v>
      </c>
      <c r="G74" s="79">
        <v>4</v>
      </c>
      <c r="H74" s="80">
        <v>589</v>
      </c>
    </row>
    <row r="75" spans="1:8" ht="19.8" customHeight="1" x14ac:dyDescent="0.3">
      <c r="A75" s="86">
        <v>45984</v>
      </c>
      <c r="B75" s="77" t="s">
        <v>55</v>
      </c>
      <c r="C75" s="78" t="s">
        <v>56</v>
      </c>
      <c r="D75" s="77" t="s">
        <v>1</v>
      </c>
      <c r="E75" s="87">
        <v>1.305555555555556</v>
      </c>
      <c r="F75" s="77" t="s">
        <v>59</v>
      </c>
      <c r="G75" s="79">
        <v>4</v>
      </c>
      <c r="H75" s="80">
        <v>639</v>
      </c>
    </row>
    <row r="76" spans="1:8" ht="19.8" customHeight="1" x14ac:dyDescent="0.3">
      <c r="A76" s="86">
        <v>45984</v>
      </c>
      <c r="B76" s="77" t="s">
        <v>55</v>
      </c>
      <c r="C76" s="78" t="s">
        <v>64</v>
      </c>
      <c r="D76" s="77" t="s">
        <v>1</v>
      </c>
      <c r="E76" s="87">
        <v>1.5</v>
      </c>
      <c r="F76" s="77" t="s">
        <v>61</v>
      </c>
      <c r="G76" s="79">
        <v>5</v>
      </c>
      <c r="H76" s="80">
        <v>639</v>
      </c>
    </row>
    <row r="77" spans="1:8" ht="19.8" customHeight="1" x14ac:dyDescent="0.3">
      <c r="A77" s="86">
        <v>45984</v>
      </c>
      <c r="B77" s="77" t="s">
        <v>55</v>
      </c>
      <c r="C77" s="78" t="s">
        <v>67</v>
      </c>
      <c r="D77" s="77" t="s">
        <v>1</v>
      </c>
      <c r="E77" s="87">
        <v>1.6875</v>
      </c>
      <c r="F77" s="77" t="s">
        <v>61</v>
      </c>
      <c r="G77" s="79">
        <v>1</v>
      </c>
      <c r="H77" s="80">
        <v>639</v>
      </c>
    </row>
    <row r="78" spans="1:8" ht="19.8" customHeight="1" x14ac:dyDescent="0.3">
      <c r="A78" s="86">
        <v>45984</v>
      </c>
      <c r="B78" s="77" t="s">
        <v>55</v>
      </c>
      <c r="C78" s="78" t="s">
        <v>69</v>
      </c>
      <c r="D78" s="77" t="s">
        <v>1</v>
      </c>
      <c r="E78" s="87">
        <v>1.5659722222222221</v>
      </c>
      <c r="F78" s="77" t="s">
        <v>61</v>
      </c>
      <c r="G78" s="79">
        <v>6</v>
      </c>
      <c r="H78" s="80">
        <v>639</v>
      </c>
    </row>
    <row r="79" spans="1:8" ht="19.8" customHeight="1" x14ac:dyDescent="0.3">
      <c r="A79" s="86">
        <v>45984</v>
      </c>
      <c r="B79" s="77" t="s">
        <v>55</v>
      </c>
      <c r="C79" s="78" t="s">
        <v>63</v>
      </c>
      <c r="D79" s="77" t="s">
        <v>1</v>
      </c>
      <c r="E79" s="87">
        <v>1.8263888888888891</v>
      </c>
      <c r="F79" s="77" t="s">
        <v>61</v>
      </c>
      <c r="G79" s="79">
        <v>9</v>
      </c>
      <c r="H79" s="80">
        <v>679</v>
      </c>
    </row>
    <row r="80" spans="1:8" ht="19.8" customHeight="1" x14ac:dyDescent="0.3">
      <c r="A80" s="86">
        <v>45984</v>
      </c>
      <c r="B80" s="77" t="s">
        <v>55</v>
      </c>
      <c r="C80" s="78" t="s">
        <v>66</v>
      </c>
      <c r="D80" s="77" t="s">
        <v>1</v>
      </c>
      <c r="E80" s="87">
        <v>1.427083333333333</v>
      </c>
      <c r="F80" s="77" t="s">
        <v>61</v>
      </c>
      <c r="G80" s="79">
        <v>4</v>
      </c>
      <c r="H80" s="80">
        <v>679</v>
      </c>
    </row>
    <row r="81" spans="1:8" ht="19.8" customHeight="1" x14ac:dyDescent="0.3">
      <c r="A81" s="86">
        <v>45984</v>
      </c>
      <c r="B81" s="77" t="s">
        <v>55</v>
      </c>
      <c r="C81" s="78" t="s">
        <v>68</v>
      </c>
      <c r="D81" s="77" t="s">
        <v>1</v>
      </c>
      <c r="E81" s="87">
        <v>1.375</v>
      </c>
      <c r="F81" s="77" t="s">
        <v>61</v>
      </c>
      <c r="G81" s="79">
        <v>4</v>
      </c>
      <c r="H81" s="80">
        <v>679</v>
      </c>
    </row>
    <row r="82" spans="1:8" ht="19.8" customHeight="1" x14ac:dyDescent="0.3">
      <c r="A82" s="86">
        <v>45984</v>
      </c>
      <c r="B82" s="77" t="s">
        <v>55</v>
      </c>
      <c r="C82" s="78" t="s">
        <v>56</v>
      </c>
      <c r="D82" s="77" t="s">
        <v>1</v>
      </c>
      <c r="E82" s="87">
        <v>1.305555555555556</v>
      </c>
      <c r="F82" s="77" t="s">
        <v>61</v>
      </c>
      <c r="G82" s="79">
        <v>4</v>
      </c>
      <c r="H82" s="80">
        <v>729</v>
      </c>
    </row>
    <row r="83" spans="1:8" ht="19.8" customHeight="1" x14ac:dyDescent="0.3">
      <c r="A83" s="86">
        <v>45984</v>
      </c>
      <c r="B83" s="77" t="s">
        <v>91</v>
      </c>
      <c r="C83" s="78" t="s">
        <v>101</v>
      </c>
      <c r="D83" s="77" t="s">
        <v>1</v>
      </c>
      <c r="E83" s="87">
        <v>1.6840277777777779</v>
      </c>
      <c r="F83" s="77" t="s">
        <v>97</v>
      </c>
      <c r="G83" s="79">
        <v>8</v>
      </c>
      <c r="H83" s="80">
        <v>774</v>
      </c>
    </row>
    <row r="84" spans="1:8" ht="19.8" customHeight="1" x14ac:dyDescent="0.3">
      <c r="A84" s="86">
        <v>45984</v>
      </c>
      <c r="B84" s="77" t="s">
        <v>91</v>
      </c>
      <c r="C84" s="78" t="s">
        <v>102</v>
      </c>
      <c r="D84" s="77" t="s">
        <v>1</v>
      </c>
      <c r="E84" s="87">
        <v>1.836805555555556</v>
      </c>
      <c r="F84" s="77" t="s">
        <v>97</v>
      </c>
      <c r="G84" s="79">
        <v>9</v>
      </c>
      <c r="H84" s="80">
        <v>774</v>
      </c>
    </row>
    <row r="85" spans="1:8" ht="19.8" customHeight="1" x14ac:dyDescent="0.3">
      <c r="A85" s="86">
        <v>45984</v>
      </c>
      <c r="B85" s="77" t="s">
        <v>91</v>
      </c>
      <c r="C85" s="78" t="s">
        <v>101</v>
      </c>
      <c r="D85" s="77" t="s">
        <v>1</v>
      </c>
      <c r="E85" s="87">
        <v>1.6840277777777779</v>
      </c>
      <c r="F85" s="77" t="s">
        <v>93</v>
      </c>
      <c r="G85" s="79">
        <v>8</v>
      </c>
      <c r="H85" s="80">
        <v>824</v>
      </c>
    </row>
    <row r="86" spans="1:8" ht="19.8" customHeight="1" x14ac:dyDescent="0.3">
      <c r="A86" s="86">
        <v>45984</v>
      </c>
      <c r="B86" s="77" t="s">
        <v>91</v>
      </c>
      <c r="C86" s="78" t="s">
        <v>102</v>
      </c>
      <c r="D86" s="77" t="s">
        <v>1</v>
      </c>
      <c r="E86" s="87">
        <v>1.836805555555556</v>
      </c>
      <c r="F86" s="77" t="s">
        <v>93</v>
      </c>
      <c r="G86" s="79">
        <v>9</v>
      </c>
      <c r="H86" s="80">
        <v>824</v>
      </c>
    </row>
    <row r="87" spans="1:8" ht="19.8" customHeight="1" x14ac:dyDescent="0.3">
      <c r="A87" s="86">
        <v>45984</v>
      </c>
      <c r="B87" s="77" t="s">
        <v>82</v>
      </c>
      <c r="C87" s="78" t="s">
        <v>83</v>
      </c>
      <c r="D87" s="77" t="s">
        <v>1</v>
      </c>
      <c r="E87" s="87">
        <v>1.9201388888888891</v>
      </c>
      <c r="F87" s="77" t="s">
        <v>84</v>
      </c>
      <c r="G87" s="79">
        <v>9</v>
      </c>
      <c r="H87" s="80">
        <v>837</v>
      </c>
    </row>
    <row r="88" spans="1:8" ht="19.8" customHeight="1" x14ac:dyDescent="0.3">
      <c r="A88" s="86">
        <v>45984</v>
      </c>
      <c r="B88" s="77" t="s">
        <v>82</v>
      </c>
      <c r="C88" s="78" t="s">
        <v>89</v>
      </c>
      <c r="D88" s="77" t="s">
        <v>1</v>
      </c>
      <c r="E88" s="87">
        <v>1.166666666666667</v>
      </c>
      <c r="F88" s="77" t="s">
        <v>84</v>
      </c>
      <c r="G88" s="79">
        <v>9</v>
      </c>
      <c r="H88" s="80">
        <v>837</v>
      </c>
    </row>
    <row r="89" spans="1:8" ht="19.8" customHeight="1" x14ac:dyDescent="0.3">
      <c r="A89" s="86">
        <v>45984</v>
      </c>
      <c r="B89" s="77" t="s">
        <v>31</v>
      </c>
      <c r="C89" s="78" t="s">
        <v>41</v>
      </c>
      <c r="D89" s="77" t="s">
        <v>1</v>
      </c>
      <c r="E89" s="87">
        <v>1.447916666666667</v>
      </c>
      <c r="F89" s="77" t="s">
        <v>39</v>
      </c>
      <c r="G89" s="79">
        <v>2</v>
      </c>
      <c r="H89" s="80">
        <v>899</v>
      </c>
    </row>
    <row r="90" spans="1:8" ht="19.8" customHeight="1" x14ac:dyDescent="0.3">
      <c r="A90" s="86">
        <v>45984</v>
      </c>
      <c r="B90" s="77" t="s">
        <v>31</v>
      </c>
      <c r="C90" s="78" t="s">
        <v>47</v>
      </c>
      <c r="D90" s="77" t="s">
        <v>1</v>
      </c>
      <c r="E90" s="87">
        <v>1.5</v>
      </c>
      <c r="F90" s="77" t="s">
        <v>39</v>
      </c>
      <c r="G90" s="79">
        <v>6</v>
      </c>
      <c r="H90" s="80">
        <v>899</v>
      </c>
    </row>
    <row r="91" spans="1:8" ht="19.8" customHeight="1" x14ac:dyDescent="0.3">
      <c r="A91" s="86">
        <v>45984</v>
      </c>
      <c r="B91" s="77" t="s">
        <v>31</v>
      </c>
      <c r="C91" s="78" t="s">
        <v>50</v>
      </c>
      <c r="D91" s="77" t="s">
        <v>1</v>
      </c>
      <c r="E91" s="87">
        <v>1.760416666666667</v>
      </c>
      <c r="F91" s="77" t="s">
        <v>39</v>
      </c>
      <c r="G91" s="79">
        <v>1</v>
      </c>
      <c r="H91" s="80">
        <v>899</v>
      </c>
    </row>
    <row r="92" spans="1:8" ht="19.8" customHeight="1" x14ac:dyDescent="0.3">
      <c r="A92" s="86">
        <v>45984</v>
      </c>
      <c r="B92" s="77" t="s">
        <v>31</v>
      </c>
      <c r="C92" s="78" t="s">
        <v>32</v>
      </c>
      <c r="D92" s="77" t="s">
        <v>1</v>
      </c>
      <c r="E92" s="87">
        <v>1.8159722222222221</v>
      </c>
      <c r="F92" s="77" t="s">
        <v>39</v>
      </c>
      <c r="G92" s="79">
        <v>20</v>
      </c>
      <c r="H92" s="80">
        <v>899</v>
      </c>
    </row>
    <row r="93" spans="1:8" ht="19.8" customHeight="1" x14ac:dyDescent="0.3">
      <c r="A93" s="86">
        <v>45984</v>
      </c>
      <c r="B93" s="77" t="s">
        <v>91</v>
      </c>
      <c r="C93" s="78" t="s">
        <v>96</v>
      </c>
      <c r="D93" s="77" t="s">
        <v>1</v>
      </c>
      <c r="E93" s="87">
        <v>1.2986111111111109</v>
      </c>
      <c r="F93" s="77" t="s">
        <v>97</v>
      </c>
      <c r="G93" s="79">
        <v>9</v>
      </c>
      <c r="H93" s="88" t="s">
        <v>133</v>
      </c>
    </row>
    <row r="94" spans="1:8" ht="19.8" customHeight="1" x14ac:dyDescent="0.3">
      <c r="A94" s="86">
        <v>45984</v>
      </c>
      <c r="B94" s="77" t="s">
        <v>91</v>
      </c>
      <c r="C94" s="78" t="s">
        <v>135</v>
      </c>
      <c r="D94" s="77" t="s">
        <v>1</v>
      </c>
      <c r="E94" s="87">
        <v>1.552083333333333</v>
      </c>
      <c r="F94" s="77" t="s">
        <v>97</v>
      </c>
      <c r="G94" s="79">
        <v>9</v>
      </c>
      <c r="H94" s="88" t="s">
        <v>133</v>
      </c>
    </row>
    <row r="95" spans="1:8" ht="19.8" customHeight="1" x14ac:dyDescent="0.3">
      <c r="A95" s="86">
        <v>45984</v>
      </c>
      <c r="B95" s="77" t="s">
        <v>91</v>
      </c>
      <c r="C95" s="78" t="s">
        <v>103</v>
      </c>
      <c r="D95" s="77" t="s">
        <v>1</v>
      </c>
      <c r="E95" s="87">
        <v>1.4826388888888891</v>
      </c>
      <c r="F95" s="77" t="s">
        <v>97</v>
      </c>
      <c r="G95" s="79">
        <v>9</v>
      </c>
      <c r="H95" s="88" t="s">
        <v>133</v>
      </c>
    </row>
    <row r="96" spans="1:8" ht="19.8" customHeight="1" x14ac:dyDescent="0.3">
      <c r="A96" s="86">
        <v>45984</v>
      </c>
      <c r="B96" s="77" t="s">
        <v>91</v>
      </c>
      <c r="C96" s="78" t="s">
        <v>104</v>
      </c>
      <c r="D96" s="77" t="s">
        <v>1</v>
      </c>
      <c r="E96" s="87">
        <v>1.760416666666667</v>
      </c>
      <c r="F96" s="77" t="s">
        <v>93</v>
      </c>
      <c r="G96" s="79">
        <v>4</v>
      </c>
      <c r="H96" s="88" t="s">
        <v>136</v>
      </c>
    </row>
    <row r="97" spans="1:8" ht="19.8" customHeight="1" x14ac:dyDescent="0.3">
      <c r="A97" s="86">
        <v>45984</v>
      </c>
      <c r="B97" s="77" t="s">
        <v>91</v>
      </c>
      <c r="C97" s="78" t="s">
        <v>106</v>
      </c>
      <c r="D97" s="77" t="s">
        <v>1</v>
      </c>
      <c r="E97" s="87">
        <v>1.5</v>
      </c>
      <c r="F97" s="77" t="s">
        <v>93</v>
      </c>
      <c r="G97" s="79">
        <v>4</v>
      </c>
      <c r="H97" s="88" t="s">
        <v>136</v>
      </c>
    </row>
    <row r="98" spans="1:8" ht="19.8" customHeight="1" x14ac:dyDescent="0.3">
      <c r="A98" s="86">
        <v>45984</v>
      </c>
      <c r="B98" s="77" t="s">
        <v>91</v>
      </c>
      <c r="C98" s="78" t="s">
        <v>92</v>
      </c>
      <c r="D98" s="77" t="s">
        <v>1</v>
      </c>
      <c r="E98" s="87">
        <v>1.8159722222222221</v>
      </c>
      <c r="F98" s="77" t="s">
        <v>93</v>
      </c>
      <c r="G98" s="79">
        <v>4</v>
      </c>
      <c r="H98" s="88" t="s">
        <v>136</v>
      </c>
    </row>
    <row r="99" spans="1:8" ht="19.8" customHeight="1" x14ac:dyDescent="0.3">
      <c r="A99" s="86">
        <v>45984</v>
      </c>
      <c r="B99" s="77" t="s">
        <v>91</v>
      </c>
      <c r="C99" s="78" t="s">
        <v>96</v>
      </c>
      <c r="D99" s="77" t="s">
        <v>1</v>
      </c>
      <c r="E99" s="87">
        <v>1.2986111111111109</v>
      </c>
      <c r="F99" s="77" t="s">
        <v>93</v>
      </c>
      <c r="G99" s="79">
        <v>9</v>
      </c>
      <c r="H99" s="88" t="s">
        <v>134</v>
      </c>
    </row>
    <row r="100" spans="1:8" ht="19.8" customHeight="1" x14ac:dyDescent="0.3">
      <c r="A100" s="86">
        <v>45984</v>
      </c>
      <c r="B100" s="77" t="s">
        <v>91</v>
      </c>
      <c r="C100" s="78" t="s">
        <v>135</v>
      </c>
      <c r="D100" s="77" t="s">
        <v>1</v>
      </c>
      <c r="E100" s="87">
        <v>1.552083333333333</v>
      </c>
      <c r="F100" s="77" t="s">
        <v>93</v>
      </c>
      <c r="G100" s="79">
        <v>9</v>
      </c>
      <c r="H100" s="88" t="s">
        <v>134</v>
      </c>
    </row>
    <row r="101" spans="1:8" ht="19.8" customHeight="1" x14ac:dyDescent="0.3">
      <c r="A101" s="86">
        <v>45984</v>
      </c>
      <c r="B101" s="77" t="s">
        <v>91</v>
      </c>
      <c r="C101" s="78" t="s">
        <v>103</v>
      </c>
      <c r="D101" s="77" t="s">
        <v>1</v>
      </c>
      <c r="E101" s="87">
        <v>1.4826388888888891</v>
      </c>
      <c r="F101" s="77" t="s">
        <v>93</v>
      </c>
      <c r="G101" s="79">
        <v>9</v>
      </c>
      <c r="H101" s="88" t="s">
        <v>134</v>
      </c>
    </row>
    <row r="102" spans="1:8" ht="19.8" customHeight="1" x14ac:dyDescent="0.3">
      <c r="A102" s="95">
        <v>45984</v>
      </c>
      <c r="B102" s="96" t="s">
        <v>74</v>
      </c>
      <c r="C102" s="97" t="s">
        <v>79</v>
      </c>
      <c r="D102" s="96" t="s">
        <v>1</v>
      </c>
      <c r="E102" s="98">
        <v>1.625</v>
      </c>
      <c r="F102" s="96" t="s">
        <v>138</v>
      </c>
      <c r="G102" s="96"/>
      <c r="H102" s="99" t="s">
        <v>139</v>
      </c>
    </row>
    <row r="103" spans="1:8" ht="19.8" customHeight="1" x14ac:dyDescent="0.3">
      <c r="A103" s="86">
        <v>45985</v>
      </c>
      <c r="B103" s="77" t="s">
        <v>31</v>
      </c>
      <c r="C103" s="78" t="s">
        <v>50</v>
      </c>
      <c r="D103" s="77" t="s">
        <v>1</v>
      </c>
      <c r="E103" s="87">
        <v>1.760416666666667</v>
      </c>
      <c r="F103" s="77" t="s">
        <v>33</v>
      </c>
      <c r="G103" s="79">
        <v>3</v>
      </c>
      <c r="H103" s="80">
        <v>279</v>
      </c>
    </row>
    <row r="104" spans="1:8" ht="19.8" customHeight="1" x14ac:dyDescent="0.3">
      <c r="A104" s="86">
        <v>45985</v>
      </c>
      <c r="B104" s="77" t="s">
        <v>31</v>
      </c>
      <c r="C104" s="78" t="s">
        <v>32</v>
      </c>
      <c r="D104" s="77" t="s">
        <v>1</v>
      </c>
      <c r="E104" s="87">
        <v>1.8159722222222221</v>
      </c>
      <c r="F104" s="77" t="s">
        <v>33</v>
      </c>
      <c r="G104" s="79">
        <v>3</v>
      </c>
      <c r="H104" s="80">
        <v>279</v>
      </c>
    </row>
    <row r="105" spans="1:8" ht="19.8" customHeight="1" x14ac:dyDescent="0.3">
      <c r="A105" s="86">
        <v>45985</v>
      </c>
      <c r="B105" s="77" t="s">
        <v>31</v>
      </c>
      <c r="C105" s="78" t="s">
        <v>41</v>
      </c>
      <c r="D105" s="77" t="s">
        <v>1</v>
      </c>
      <c r="E105" s="87">
        <v>1.447916666666667</v>
      </c>
      <c r="F105" s="77" t="s">
        <v>33</v>
      </c>
      <c r="G105" s="79">
        <v>6</v>
      </c>
      <c r="H105" s="80">
        <v>309</v>
      </c>
    </row>
    <row r="106" spans="1:8" ht="19.8" customHeight="1" x14ac:dyDescent="0.3">
      <c r="A106" s="86">
        <v>45985</v>
      </c>
      <c r="B106" s="77" t="s">
        <v>31</v>
      </c>
      <c r="C106" s="78" t="s">
        <v>47</v>
      </c>
      <c r="D106" s="77" t="s">
        <v>1</v>
      </c>
      <c r="E106" s="87">
        <v>1.5</v>
      </c>
      <c r="F106" s="77" t="s">
        <v>33</v>
      </c>
      <c r="G106" s="79">
        <v>1</v>
      </c>
      <c r="H106" s="80">
        <v>309</v>
      </c>
    </row>
    <row r="107" spans="1:8" ht="19.8" customHeight="1" x14ac:dyDescent="0.3">
      <c r="A107" s="86">
        <v>45985</v>
      </c>
      <c r="B107" s="77" t="s">
        <v>55</v>
      </c>
      <c r="C107" s="78" t="s">
        <v>56</v>
      </c>
      <c r="D107" s="77" t="s">
        <v>1</v>
      </c>
      <c r="E107" s="87">
        <v>1.305555555555556</v>
      </c>
      <c r="F107" s="77" t="s">
        <v>57</v>
      </c>
      <c r="G107" s="79">
        <v>5</v>
      </c>
      <c r="H107" s="80">
        <v>329</v>
      </c>
    </row>
    <row r="108" spans="1:8" ht="19.8" customHeight="1" x14ac:dyDescent="0.3">
      <c r="A108" s="86">
        <v>45985</v>
      </c>
      <c r="B108" s="77" t="s">
        <v>55</v>
      </c>
      <c r="C108" s="78" t="s">
        <v>64</v>
      </c>
      <c r="D108" s="77" t="s">
        <v>1</v>
      </c>
      <c r="E108" s="87">
        <v>1.5</v>
      </c>
      <c r="F108" s="77" t="s">
        <v>57</v>
      </c>
      <c r="G108" s="79">
        <v>1</v>
      </c>
      <c r="H108" s="80">
        <v>329</v>
      </c>
    </row>
    <row r="109" spans="1:8" ht="19.8" customHeight="1" x14ac:dyDescent="0.3">
      <c r="A109" s="86">
        <v>45985</v>
      </c>
      <c r="B109" s="77" t="s">
        <v>55</v>
      </c>
      <c r="C109" s="78" t="s">
        <v>66</v>
      </c>
      <c r="D109" s="77" t="s">
        <v>1</v>
      </c>
      <c r="E109" s="87">
        <v>1.427083333333333</v>
      </c>
      <c r="F109" s="77" t="s">
        <v>57</v>
      </c>
      <c r="G109" s="79">
        <v>9</v>
      </c>
      <c r="H109" s="80">
        <v>329</v>
      </c>
    </row>
    <row r="110" spans="1:8" ht="19.8" customHeight="1" x14ac:dyDescent="0.3">
      <c r="A110" s="86">
        <v>45985</v>
      </c>
      <c r="B110" s="77" t="s">
        <v>55</v>
      </c>
      <c r="C110" s="78" t="s">
        <v>68</v>
      </c>
      <c r="D110" s="77" t="s">
        <v>1</v>
      </c>
      <c r="E110" s="87">
        <v>1.375</v>
      </c>
      <c r="F110" s="77" t="s">
        <v>57</v>
      </c>
      <c r="G110" s="79">
        <v>3</v>
      </c>
      <c r="H110" s="80">
        <v>329</v>
      </c>
    </row>
    <row r="111" spans="1:8" ht="19.8" customHeight="1" x14ac:dyDescent="0.3">
      <c r="A111" s="86">
        <v>45985</v>
      </c>
      <c r="B111" s="77" t="s">
        <v>55</v>
      </c>
      <c r="C111" s="78" t="s">
        <v>69</v>
      </c>
      <c r="D111" s="77" t="s">
        <v>1</v>
      </c>
      <c r="E111" s="87">
        <v>1.5659722222222221</v>
      </c>
      <c r="F111" s="77" t="s">
        <v>57</v>
      </c>
      <c r="G111" s="79">
        <v>1</v>
      </c>
      <c r="H111" s="80">
        <v>329</v>
      </c>
    </row>
    <row r="112" spans="1:8" ht="19.8" customHeight="1" x14ac:dyDescent="0.3">
      <c r="A112" s="86">
        <v>45985</v>
      </c>
      <c r="B112" s="77" t="s">
        <v>55</v>
      </c>
      <c r="C112" s="78" t="s">
        <v>63</v>
      </c>
      <c r="D112" s="77" t="s">
        <v>1</v>
      </c>
      <c r="E112" s="87">
        <v>1.8263888888888891</v>
      </c>
      <c r="F112" s="77" t="s">
        <v>57</v>
      </c>
      <c r="G112" s="79">
        <v>3</v>
      </c>
      <c r="H112" s="80">
        <v>369</v>
      </c>
    </row>
    <row r="113" spans="1:8" ht="19.8" customHeight="1" x14ac:dyDescent="0.3">
      <c r="A113" s="86">
        <v>45985</v>
      </c>
      <c r="B113" s="77" t="s">
        <v>55</v>
      </c>
      <c r="C113" s="78" t="s">
        <v>67</v>
      </c>
      <c r="D113" s="77" t="s">
        <v>1</v>
      </c>
      <c r="E113" s="87">
        <v>1.6875</v>
      </c>
      <c r="F113" s="77" t="s">
        <v>57</v>
      </c>
      <c r="G113" s="79">
        <v>9</v>
      </c>
      <c r="H113" s="80">
        <v>409</v>
      </c>
    </row>
    <row r="114" spans="1:8" ht="19.8" customHeight="1" x14ac:dyDescent="0.3">
      <c r="A114" s="86">
        <v>45985</v>
      </c>
      <c r="B114" s="77" t="s">
        <v>70</v>
      </c>
      <c r="C114" s="78" t="s">
        <v>152</v>
      </c>
      <c r="D114" s="77" t="s">
        <v>1</v>
      </c>
      <c r="E114" s="87">
        <v>1.7361111111111109</v>
      </c>
      <c r="F114" s="77" t="s">
        <v>76</v>
      </c>
      <c r="G114" s="79">
        <v>9</v>
      </c>
      <c r="H114" s="80">
        <v>416</v>
      </c>
    </row>
    <row r="115" spans="1:8" ht="19.8" customHeight="1" x14ac:dyDescent="0.3">
      <c r="A115" s="86">
        <v>45985</v>
      </c>
      <c r="B115" s="77" t="s">
        <v>31</v>
      </c>
      <c r="C115" s="78" t="s">
        <v>50</v>
      </c>
      <c r="D115" s="77" t="s">
        <v>1</v>
      </c>
      <c r="E115" s="87">
        <v>1.760416666666667</v>
      </c>
      <c r="F115" s="77" t="s">
        <v>36</v>
      </c>
      <c r="G115" s="79">
        <v>3</v>
      </c>
      <c r="H115" s="80">
        <v>429</v>
      </c>
    </row>
    <row r="116" spans="1:8" ht="19.8" customHeight="1" x14ac:dyDescent="0.3">
      <c r="A116" s="86">
        <v>45985</v>
      </c>
      <c r="B116" s="77" t="s">
        <v>31</v>
      </c>
      <c r="C116" s="78" t="s">
        <v>32</v>
      </c>
      <c r="D116" s="77" t="s">
        <v>1</v>
      </c>
      <c r="E116" s="87">
        <v>1.8159722222222221</v>
      </c>
      <c r="F116" s="77" t="s">
        <v>36</v>
      </c>
      <c r="G116" s="79">
        <v>3</v>
      </c>
      <c r="H116" s="80">
        <v>429</v>
      </c>
    </row>
    <row r="117" spans="1:8" ht="19.8" customHeight="1" x14ac:dyDescent="0.3">
      <c r="A117" s="86">
        <v>45985</v>
      </c>
      <c r="B117" s="77" t="s">
        <v>55</v>
      </c>
      <c r="C117" s="78" t="s">
        <v>56</v>
      </c>
      <c r="D117" s="77" t="s">
        <v>1</v>
      </c>
      <c r="E117" s="87">
        <v>1.305555555555556</v>
      </c>
      <c r="F117" s="77" t="s">
        <v>59</v>
      </c>
      <c r="G117" s="79">
        <v>5</v>
      </c>
      <c r="H117" s="80">
        <v>429</v>
      </c>
    </row>
    <row r="118" spans="1:8" ht="19.8" customHeight="1" x14ac:dyDescent="0.3">
      <c r="A118" s="86">
        <v>45985</v>
      </c>
      <c r="B118" s="77" t="s">
        <v>55</v>
      </c>
      <c r="C118" s="78" t="s">
        <v>64</v>
      </c>
      <c r="D118" s="77" t="s">
        <v>1</v>
      </c>
      <c r="E118" s="87">
        <v>1.5</v>
      </c>
      <c r="F118" s="77" t="s">
        <v>59</v>
      </c>
      <c r="G118" s="79">
        <v>1</v>
      </c>
      <c r="H118" s="80">
        <v>429</v>
      </c>
    </row>
    <row r="119" spans="1:8" ht="19.8" customHeight="1" x14ac:dyDescent="0.3">
      <c r="A119" s="86">
        <v>45985</v>
      </c>
      <c r="B119" s="77" t="s">
        <v>55</v>
      </c>
      <c r="C119" s="78" t="s">
        <v>66</v>
      </c>
      <c r="D119" s="77" t="s">
        <v>1</v>
      </c>
      <c r="E119" s="87">
        <v>1.427083333333333</v>
      </c>
      <c r="F119" s="77" t="s">
        <v>59</v>
      </c>
      <c r="G119" s="79">
        <v>9</v>
      </c>
      <c r="H119" s="80">
        <v>429</v>
      </c>
    </row>
    <row r="120" spans="1:8" ht="19.8" customHeight="1" x14ac:dyDescent="0.3">
      <c r="A120" s="86">
        <v>45985</v>
      </c>
      <c r="B120" s="77" t="s">
        <v>55</v>
      </c>
      <c r="C120" s="78" t="s">
        <v>68</v>
      </c>
      <c r="D120" s="77" t="s">
        <v>1</v>
      </c>
      <c r="E120" s="87">
        <v>1.375</v>
      </c>
      <c r="F120" s="77" t="s">
        <v>59</v>
      </c>
      <c r="G120" s="79">
        <v>3</v>
      </c>
      <c r="H120" s="80">
        <v>429</v>
      </c>
    </row>
    <row r="121" spans="1:8" ht="19.8" customHeight="1" x14ac:dyDescent="0.3">
      <c r="A121" s="86">
        <v>45985</v>
      </c>
      <c r="B121" s="77" t="s">
        <v>55</v>
      </c>
      <c r="C121" s="78" t="s">
        <v>69</v>
      </c>
      <c r="D121" s="77" t="s">
        <v>1</v>
      </c>
      <c r="E121" s="87">
        <v>1.5659722222222221</v>
      </c>
      <c r="F121" s="77" t="s">
        <v>59</v>
      </c>
      <c r="G121" s="79">
        <v>1</v>
      </c>
      <c r="H121" s="80">
        <v>429</v>
      </c>
    </row>
    <row r="122" spans="1:8" ht="19.8" customHeight="1" x14ac:dyDescent="0.3">
      <c r="A122" s="86">
        <v>45985</v>
      </c>
      <c r="B122" s="77" t="s">
        <v>154</v>
      </c>
      <c r="C122" s="78" t="s">
        <v>155</v>
      </c>
      <c r="D122" s="77" t="s">
        <v>1</v>
      </c>
      <c r="E122" s="87">
        <v>1.510416666666667</v>
      </c>
      <c r="F122" s="77" t="s">
        <v>156</v>
      </c>
      <c r="G122" s="79">
        <v>9</v>
      </c>
      <c r="H122" s="80">
        <v>439</v>
      </c>
    </row>
    <row r="123" spans="1:8" ht="19.8" customHeight="1" x14ac:dyDescent="0.3">
      <c r="A123" s="100">
        <v>45985</v>
      </c>
      <c r="B123" s="82" t="s">
        <v>74</v>
      </c>
      <c r="C123" s="83" t="s">
        <v>159</v>
      </c>
      <c r="D123" s="82" t="s">
        <v>1</v>
      </c>
      <c r="E123" s="101">
        <v>1.9236111111111109</v>
      </c>
      <c r="F123" s="82" t="s">
        <v>76</v>
      </c>
      <c r="G123" s="84">
        <v>6</v>
      </c>
      <c r="H123" s="85">
        <v>450</v>
      </c>
    </row>
    <row r="124" spans="1:8" ht="19.8" customHeight="1" x14ac:dyDescent="0.3">
      <c r="A124" s="86">
        <v>45985</v>
      </c>
      <c r="B124" s="77" t="s">
        <v>31</v>
      </c>
      <c r="C124" s="78" t="s">
        <v>41</v>
      </c>
      <c r="D124" s="77" t="s">
        <v>1</v>
      </c>
      <c r="E124" s="87">
        <v>1.447916666666667</v>
      </c>
      <c r="F124" s="77" t="s">
        <v>36</v>
      </c>
      <c r="G124" s="79">
        <v>6</v>
      </c>
      <c r="H124" s="80">
        <v>459</v>
      </c>
    </row>
    <row r="125" spans="1:8" ht="19.8" customHeight="1" x14ac:dyDescent="0.3">
      <c r="A125" s="86">
        <v>45985</v>
      </c>
      <c r="B125" s="77" t="s">
        <v>31</v>
      </c>
      <c r="C125" s="78" t="s">
        <v>47</v>
      </c>
      <c r="D125" s="77" t="s">
        <v>1</v>
      </c>
      <c r="E125" s="87">
        <v>1.5</v>
      </c>
      <c r="F125" s="77" t="s">
        <v>36</v>
      </c>
      <c r="G125" s="79">
        <v>1</v>
      </c>
      <c r="H125" s="80">
        <v>459</v>
      </c>
    </row>
    <row r="126" spans="1:8" ht="19.8" customHeight="1" x14ac:dyDescent="0.3">
      <c r="A126" s="86">
        <v>45985</v>
      </c>
      <c r="B126" s="77" t="s">
        <v>55</v>
      </c>
      <c r="C126" s="78" t="s">
        <v>63</v>
      </c>
      <c r="D126" s="77" t="s">
        <v>1</v>
      </c>
      <c r="E126" s="87">
        <v>1.8263888888888891</v>
      </c>
      <c r="F126" s="77" t="s">
        <v>59</v>
      </c>
      <c r="G126" s="79">
        <v>3</v>
      </c>
      <c r="H126" s="80">
        <v>469</v>
      </c>
    </row>
    <row r="127" spans="1:8" ht="19.8" customHeight="1" x14ac:dyDescent="0.3">
      <c r="A127" s="86">
        <v>45985</v>
      </c>
      <c r="B127" s="77" t="s">
        <v>55</v>
      </c>
      <c r="C127" s="78" t="s">
        <v>67</v>
      </c>
      <c r="D127" s="77" t="s">
        <v>1</v>
      </c>
      <c r="E127" s="87">
        <v>1.6875</v>
      </c>
      <c r="F127" s="77" t="s">
        <v>59</v>
      </c>
      <c r="G127" s="79">
        <v>9</v>
      </c>
      <c r="H127" s="80">
        <v>509</v>
      </c>
    </row>
    <row r="128" spans="1:8" ht="19.8" customHeight="1" x14ac:dyDescent="0.3">
      <c r="A128" s="86">
        <v>45985</v>
      </c>
      <c r="B128" s="77" t="s">
        <v>55</v>
      </c>
      <c r="C128" s="78" t="s">
        <v>56</v>
      </c>
      <c r="D128" s="77" t="s">
        <v>1</v>
      </c>
      <c r="E128" s="87">
        <v>1.305555555555556</v>
      </c>
      <c r="F128" s="77" t="s">
        <v>61</v>
      </c>
      <c r="G128" s="79">
        <v>5</v>
      </c>
      <c r="H128" s="80">
        <v>519</v>
      </c>
    </row>
    <row r="129" spans="1:8" ht="19.8" customHeight="1" x14ac:dyDescent="0.3">
      <c r="A129" s="86">
        <v>45985</v>
      </c>
      <c r="B129" s="77" t="s">
        <v>55</v>
      </c>
      <c r="C129" s="78" t="s">
        <v>64</v>
      </c>
      <c r="D129" s="77" t="s">
        <v>1</v>
      </c>
      <c r="E129" s="87">
        <v>1.5</v>
      </c>
      <c r="F129" s="77" t="s">
        <v>61</v>
      </c>
      <c r="G129" s="79">
        <v>1</v>
      </c>
      <c r="H129" s="80">
        <v>519</v>
      </c>
    </row>
    <row r="130" spans="1:8" ht="19.8" customHeight="1" x14ac:dyDescent="0.3">
      <c r="A130" s="86">
        <v>45985</v>
      </c>
      <c r="B130" s="77" t="s">
        <v>55</v>
      </c>
      <c r="C130" s="78" t="s">
        <v>66</v>
      </c>
      <c r="D130" s="77" t="s">
        <v>1</v>
      </c>
      <c r="E130" s="87">
        <v>1.427083333333333</v>
      </c>
      <c r="F130" s="77" t="s">
        <v>61</v>
      </c>
      <c r="G130" s="79">
        <v>9</v>
      </c>
      <c r="H130" s="80">
        <v>519</v>
      </c>
    </row>
    <row r="131" spans="1:8" ht="19.8" customHeight="1" x14ac:dyDescent="0.3">
      <c r="A131" s="86">
        <v>45985</v>
      </c>
      <c r="B131" s="77" t="s">
        <v>55</v>
      </c>
      <c r="C131" s="78" t="s">
        <v>68</v>
      </c>
      <c r="D131" s="77" t="s">
        <v>1</v>
      </c>
      <c r="E131" s="87">
        <v>1.375</v>
      </c>
      <c r="F131" s="77" t="s">
        <v>61</v>
      </c>
      <c r="G131" s="79">
        <v>3</v>
      </c>
      <c r="H131" s="80">
        <v>519</v>
      </c>
    </row>
    <row r="132" spans="1:8" ht="19.8" customHeight="1" x14ac:dyDescent="0.3">
      <c r="A132" s="86">
        <v>45985</v>
      </c>
      <c r="B132" s="77" t="s">
        <v>55</v>
      </c>
      <c r="C132" s="78" t="s">
        <v>69</v>
      </c>
      <c r="D132" s="77" t="s">
        <v>1</v>
      </c>
      <c r="E132" s="87">
        <v>1.5659722222222221</v>
      </c>
      <c r="F132" s="77" t="s">
        <v>61</v>
      </c>
      <c r="G132" s="79">
        <v>1</v>
      </c>
      <c r="H132" s="80">
        <v>519</v>
      </c>
    </row>
    <row r="133" spans="1:8" ht="19.8" customHeight="1" x14ac:dyDescent="0.3">
      <c r="A133" s="86">
        <v>45985</v>
      </c>
      <c r="B133" s="77" t="s">
        <v>82</v>
      </c>
      <c r="C133" s="78" t="s">
        <v>89</v>
      </c>
      <c r="D133" s="77" t="s">
        <v>1</v>
      </c>
      <c r="E133" s="87">
        <v>1.166666666666667</v>
      </c>
      <c r="F133" s="77" t="s">
        <v>84</v>
      </c>
      <c r="G133" s="79">
        <v>9</v>
      </c>
      <c r="H133" s="80">
        <v>527</v>
      </c>
    </row>
    <row r="134" spans="1:8" ht="19.8" customHeight="1" x14ac:dyDescent="0.3">
      <c r="A134" s="86">
        <v>45985</v>
      </c>
      <c r="B134" s="77" t="s">
        <v>55</v>
      </c>
      <c r="C134" s="78" t="s">
        <v>63</v>
      </c>
      <c r="D134" s="77" t="s">
        <v>1</v>
      </c>
      <c r="E134" s="87">
        <v>1.8263888888888891</v>
      </c>
      <c r="F134" s="77" t="s">
        <v>61</v>
      </c>
      <c r="G134" s="79">
        <v>3</v>
      </c>
      <c r="H134" s="80">
        <v>559</v>
      </c>
    </row>
    <row r="135" spans="1:8" ht="19.8" customHeight="1" x14ac:dyDescent="0.3">
      <c r="A135" s="86">
        <v>45985</v>
      </c>
      <c r="B135" s="77" t="s">
        <v>154</v>
      </c>
      <c r="C135" s="78" t="s">
        <v>155</v>
      </c>
      <c r="D135" s="77" t="s">
        <v>1</v>
      </c>
      <c r="E135" s="87">
        <v>1.510416666666667</v>
      </c>
      <c r="F135" s="77" t="s">
        <v>39</v>
      </c>
      <c r="G135" s="79">
        <v>9</v>
      </c>
      <c r="H135" s="80">
        <v>563</v>
      </c>
    </row>
    <row r="136" spans="1:8" ht="19.8" customHeight="1" x14ac:dyDescent="0.3">
      <c r="A136" s="86">
        <v>45985</v>
      </c>
      <c r="B136" s="77" t="s">
        <v>91</v>
      </c>
      <c r="C136" s="78" t="s">
        <v>167</v>
      </c>
      <c r="D136" s="77" t="s">
        <v>1</v>
      </c>
      <c r="E136" s="87">
        <v>1.0486111111111109</v>
      </c>
      <c r="F136" s="77" t="s">
        <v>97</v>
      </c>
      <c r="G136" s="79">
        <v>9</v>
      </c>
      <c r="H136" s="80">
        <v>582</v>
      </c>
    </row>
    <row r="137" spans="1:8" ht="19.8" customHeight="1" x14ac:dyDescent="0.3">
      <c r="A137" s="86">
        <v>45985</v>
      </c>
      <c r="B137" s="77" t="s">
        <v>55</v>
      </c>
      <c r="C137" s="78" t="s">
        <v>67</v>
      </c>
      <c r="D137" s="77" t="s">
        <v>1</v>
      </c>
      <c r="E137" s="87">
        <v>1.6875</v>
      </c>
      <c r="F137" s="77" t="s">
        <v>61</v>
      </c>
      <c r="G137" s="79">
        <v>9</v>
      </c>
      <c r="H137" s="80">
        <v>599</v>
      </c>
    </row>
    <row r="138" spans="1:8" ht="19.8" customHeight="1" x14ac:dyDescent="0.3">
      <c r="A138" s="86">
        <v>45985</v>
      </c>
      <c r="B138" s="77" t="s">
        <v>91</v>
      </c>
      <c r="C138" s="78" t="s">
        <v>167</v>
      </c>
      <c r="D138" s="77" t="s">
        <v>1</v>
      </c>
      <c r="E138" s="87">
        <v>1.0486111111111109</v>
      </c>
      <c r="F138" s="77" t="s">
        <v>93</v>
      </c>
      <c r="G138" s="79">
        <v>9</v>
      </c>
      <c r="H138" s="80">
        <v>626</v>
      </c>
    </row>
    <row r="139" spans="1:8" ht="19.8" customHeight="1" x14ac:dyDescent="0.3">
      <c r="A139" s="86">
        <v>45985</v>
      </c>
      <c r="B139" s="77" t="s">
        <v>91</v>
      </c>
      <c r="C139" s="78" t="s">
        <v>96</v>
      </c>
      <c r="D139" s="77" t="s">
        <v>1</v>
      </c>
      <c r="E139" s="87">
        <v>1.2986111111111109</v>
      </c>
      <c r="F139" s="77" t="s">
        <v>97</v>
      </c>
      <c r="G139" s="79">
        <v>9</v>
      </c>
      <c r="H139" s="80">
        <v>661</v>
      </c>
    </row>
    <row r="140" spans="1:8" ht="19.8" customHeight="1" x14ac:dyDescent="0.3">
      <c r="A140" s="86">
        <v>45985</v>
      </c>
      <c r="B140" s="77" t="s">
        <v>91</v>
      </c>
      <c r="C140" s="78" t="s">
        <v>101</v>
      </c>
      <c r="D140" s="77" t="s">
        <v>1</v>
      </c>
      <c r="E140" s="87">
        <v>1.6840277777777779</v>
      </c>
      <c r="F140" s="77" t="s">
        <v>97</v>
      </c>
      <c r="G140" s="79">
        <v>2</v>
      </c>
      <c r="H140" s="80">
        <v>661</v>
      </c>
    </row>
    <row r="141" spans="1:8" ht="19.8" customHeight="1" x14ac:dyDescent="0.3">
      <c r="A141" s="86">
        <v>45985</v>
      </c>
      <c r="B141" s="77" t="s">
        <v>91</v>
      </c>
      <c r="C141" s="78" t="s">
        <v>102</v>
      </c>
      <c r="D141" s="77" t="s">
        <v>1</v>
      </c>
      <c r="E141" s="87">
        <v>1.836805555555556</v>
      </c>
      <c r="F141" s="77" t="s">
        <v>97</v>
      </c>
      <c r="G141" s="79">
        <v>9</v>
      </c>
      <c r="H141" s="80">
        <v>661</v>
      </c>
    </row>
    <row r="142" spans="1:8" ht="19.8" customHeight="1" x14ac:dyDescent="0.3">
      <c r="A142" s="86">
        <v>45985</v>
      </c>
      <c r="B142" s="77" t="s">
        <v>91</v>
      </c>
      <c r="C142" s="78" t="s">
        <v>103</v>
      </c>
      <c r="D142" s="77" t="s">
        <v>1</v>
      </c>
      <c r="E142" s="87">
        <v>1.4826388888888891</v>
      </c>
      <c r="F142" s="77" t="s">
        <v>97</v>
      </c>
      <c r="G142" s="79">
        <v>9</v>
      </c>
      <c r="H142" s="80">
        <v>661</v>
      </c>
    </row>
    <row r="143" spans="1:8" ht="19.8" customHeight="1" x14ac:dyDescent="0.3">
      <c r="A143" s="86">
        <v>45985</v>
      </c>
      <c r="B143" s="77" t="s">
        <v>82</v>
      </c>
      <c r="C143" s="78" t="s">
        <v>83</v>
      </c>
      <c r="D143" s="77" t="s">
        <v>1</v>
      </c>
      <c r="E143" s="87">
        <v>1.916666666666667</v>
      </c>
      <c r="F143" s="77" t="s">
        <v>84</v>
      </c>
      <c r="G143" s="79">
        <v>9</v>
      </c>
      <c r="H143" s="80">
        <v>702</v>
      </c>
    </row>
    <row r="144" spans="1:8" ht="19.8" customHeight="1" x14ac:dyDescent="0.3">
      <c r="A144" s="86">
        <v>45985</v>
      </c>
      <c r="B144" s="77" t="s">
        <v>82</v>
      </c>
      <c r="C144" s="78" t="s">
        <v>86</v>
      </c>
      <c r="D144" s="77" t="s">
        <v>1</v>
      </c>
      <c r="E144" s="87">
        <v>1.541666666666667</v>
      </c>
      <c r="F144" s="77" t="s">
        <v>84</v>
      </c>
      <c r="G144" s="79">
        <v>9</v>
      </c>
      <c r="H144" s="80">
        <v>702</v>
      </c>
    </row>
    <row r="145" spans="1:8" ht="19.8" customHeight="1" x14ac:dyDescent="0.3">
      <c r="A145" s="86">
        <v>45985</v>
      </c>
      <c r="B145" s="77" t="s">
        <v>91</v>
      </c>
      <c r="C145" s="78" t="s">
        <v>96</v>
      </c>
      <c r="D145" s="77" t="s">
        <v>1</v>
      </c>
      <c r="E145" s="87">
        <v>1.2986111111111109</v>
      </c>
      <c r="F145" s="77" t="s">
        <v>93</v>
      </c>
      <c r="G145" s="79">
        <v>9</v>
      </c>
      <c r="H145" s="80">
        <v>711</v>
      </c>
    </row>
    <row r="146" spans="1:8" ht="19.8" customHeight="1" x14ac:dyDescent="0.3">
      <c r="A146" s="86">
        <v>45985</v>
      </c>
      <c r="B146" s="77" t="s">
        <v>91</v>
      </c>
      <c r="C146" s="78" t="s">
        <v>101</v>
      </c>
      <c r="D146" s="77" t="s">
        <v>1</v>
      </c>
      <c r="E146" s="87">
        <v>1.6840277777777779</v>
      </c>
      <c r="F146" s="77" t="s">
        <v>93</v>
      </c>
      <c r="G146" s="79">
        <v>2</v>
      </c>
      <c r="H146" s="80">
        <v>711</v>
      </c>
    </row>
    <row r="147" spans="1:8" ht="19.8" customHeight="1" x14ac:dyDescent="0.3">
      <c r="A147" s="86">
        <v>45985</v>
      </c>
      <c r="B147" s="77" t="s">
        <v>91</v>
      </c>
      <c r="C147" s="78" t="s">
        <v>102</v>
      </c>
      <c r="D147" s="77" t="s">
        <v>1</v>
      </c>
      <c r="E147" s="87">
        <v>1.836805555555556</v>
      </c>
      <c r="F147" s="77" t="s">
        <v>93</v>
      </c>
      <c r="G147" s="79">
        <v>9</v>
      </c>
      <c r="H147" s="80">
        <v>711</v>
      </c>
    </row>
    <row r="148" spans="1:8" ht="19.8" customHeight="1" x14ac:dyDescent="0.3">
      <c r="A148" s="86">
        <v>45985</v>
      </c>
      <c r="B148" s="77" t="s">
        <v>91</v>
      </c>
      <c r="C148" s="78" t="s">
        <v>103</v>
      </c>
      <c r="D148" s="77" t="s">
        <v>1</v>
      </c>
      <c r="E148" s="87">
        <v>1.4826388888888891</v>
      </c>
      <c r="F148" s="77" t="s">
        <v>93</v>
      </c>
      <c r="G148" s="79">
        <v>9</v>
      </c>
      <c r="H148" s="80">
        <v>711</v>
      </c>
    </row>
    <row r="149" spans="1:8" ht="19.8" customHeight="1" x14ac:dyDescent="0.3">
      <c r="A149" s="86">
        <v>45985</v>
      </c>
      <c r="B149" s="77" t="s">
        <v>31</v>
      </c>
      <c r="C149" s="78" t="s">
        <v>41</v>
      </c>
      <c r="D149" s="77" t="s">
        <v>1</v>
      </c>
      <c r="E149" s="87">
        <v>1.447916666666667</v>
      </c>
      <c r="F149" s="77" t="s">
        <v>39</v>
      </c>
      <c r="G149" s="79">
        <v>6</v>
      </c>
      <c r="H149" s="80">
        <v>899</v>
      </c>
    </row>
    <row r="150" spans="1:8" ht="19.8" customHeight="1" x14ac:dyDescent="0.3">
      <c r="A150" s="86">
        <v>45985</v>
      </c>
      <c r="B150" s="77" t="s">
        <v>31</v>
      </c>
      <c r="C150" s="78" t="s">
        <v>47</v>
      </c>
      <c r="D150" s="77" t="s">
        <v>1</v>
      </c>
      <c r="E150" s="87">
        <v>1.5</v>
      </c>
      <c r="F150" s="77" t="s">
        <v>39</v>
      </c>
      <c r="G150" s="79">
        <v>1</v>
      </c>
      <c r="H150" s="80">
        <v>899</v>
      </c>
    </row>
    <row r="151" spans="1:8" ht="19.8" customHeight="1" x14ac:dyDescent="0.3">
      <c r="A151" s="86">
        <v>45985</v>
      </c>
      <c r="B151" s="77" t="s">
        <v>31</v>
      </c>
      <c r="C151" s="78" t="s">
        <v>50</v>
      </c>
      <c r="D151" s="77" t="s">
        <v>1</v>
      </c>
      <c r="E151" s="87">
        <v>1.760416666666667</v>
      </c>
      <c r="F151" s="77" t="s">
        <v>39</v>
      </c>
      <c r="G151" s="79">
        <v>3</v>
      </c>
      <c r="H151" s="80">
        <v>899</v>
      </c>
    </row>
    <row r="152" spans="1:8" ht="19.8" customHeight="1" x14ac:dyDescent="0.3">
      <c r="A152" s="86">
        <v>45985</v>
      </c>
      <c r="B152" s="77" t="s">
        <v>31</v>
      </c>
      <c r="C152" s="78" t="s">
        <v>32</v>
      </c>
      <c r="D152" s="77" t="s">
        <v>1</v>
      </c>
      <c r="E152" s="87">
        <v>1.8159722222222221</v>
      </c>
      <c r="F152" s="77" t="s">
        <v>39</v>
      </c>
      <c r="G152" s="79">
        <v>3</v>
      </c>
      <c r="H152" s="80">
        <v>899</v>
      </c>
    </row>
    <row r="153" spans="1:8" ht="19.8" customHeight="1" x14ac:dyDescent="0.3">
      <c r="A153" s="86">
        <v>45985</v>
      </c>
      <c r="B153" s="77" t="s">
        <v>91</v>
      </c>
      <c r="C153" s="78" t="s">
        <v>104</v>
      </c>
      <c r="D153" s="77" t="s">
        <v>1</v>
      </c>
      <c r="E153" s="87">
        <v>1.760416666666667</v>
      </c>
      <c r="F153" s="77" t="s">
        <v>93</v>
      </c>
      <c r="G153" s="79">
        <v>4</v>
      </c>
      <c r="H153" s="88" t="s">
        <v>172</v>
      </c>
    </row>
    <row r="154" spans="1:8" ht="19.8" customHeight="1" x14ac:dyDescent="0.3">
      <c r="A154" s="86">
        <v>45985</v>
      </c>
      <c r="B154" s="77" t="s">
        <v>91</v>
      </c>
      <c r="C154" s="78" t="s">
        <v>92</v>
      </c>
      <c r="D154" s="77" t="s">
        <v>1</v>
      </c>
      <c r="E154" s="87">
        <v>1.8159722222222221</v>
      </c>
      <c r="F154" s="77" t="s">
        <v>93</v>
      </c>
      <c r="G154" s="79">
        <v>4</v>
      </c>
      <c r="H154" s="88" t="s">
        <v>172</v>
      </c>
    </row>
    <row r="155" spans="1:8" ht="19.8" customHeight="1" x14ac:dyDescent="0.3">
      <c r="A155" s="89">
        <v>45985</v>
      </c>
      <c r="B155" s="90" t="s">
        <v>91</v>
      </c>
      <c r="C155" s="91" t="s">
        <v>106</v>
      </c>
      <c r="D155" s="90" t="s">
        <v>1</v>
      </c>
      <c r="E155" s="92">
        <v>1.5</v>
      </c>
      <c r="F155" s="90" t="s">
        <v>93</v>
      </c>
      <c r="G155" s="93">
        <v>4</v>
      </c>
      <c r="H155" s="94" t="s">
        <v>173</v>
      </c>
    </row>
    <row r="156" spans="1:8" ht="19.8" customHeight="1" x14ac:dyDescent="0.3">
      <c r="A156" s="86">
        <v>45986</v>
      </c>
      <c r="B156" s="77" t="s">
        <v>31</v>
      </c>
      <c r="C156" s="78" t="s">
        <v>41</v>
      </c>
      <c r="D156" s="77" t="s">
        <v>1</v>
      </c>
      <c r="E156" s="87">
        <v>1.447916666666667</v>
      </c>
      <c r="F156" s="77" t="s">
        <v>33</v>
      </c>
      <c r="G156" s="79">
        <v>33</v>
      </c>
      <c r="H156" s="80">
        <v>259</v>
      </c>
    </row>
    <row r="157" spans="1:8" ht="19.8" customHeight="1" x14ac:dyDescent="0.3">
      <c r="A157" s="86">
        <v>45986</v>
      </c>
      <c r="B157" s="77" t="s">
        <v>31</v>
      </c>
      <c r="C157" s="78" t="s">
        <v>47</v>
      </c>
      <c r="D157" s="77" t="s">
        <v>1</v>
      </c>
      <c r="E157" s="87">
        <v>1.5</v>
      </c>
      <c r="F157" s="77" t="s">
        <v>33</v>
      </c>
      <c r="G157" s="79">
        <v>40</v>
      </c>
      <c r="H157" s="80">
        <v>259</v>
      </c>
    </row>
    <row r="158" spans="1:8" ht="19.8" customHeight="1" x14ac:dyDescent="0.3">
      <c r="A158" s="86">
        <v>45986</v>
      </c>
      <c r="B158" s="77" t="s">
        <v>31</v>
      </c>
      <c r="C158" s="78" t="s">
        <v>50</v>
      </c>
      <c r="D158" s="77" t="s">
        <v>1</v>
      </c>
      <c r="E158" s="87">
        <v>1.760416666666667</v>
      </c>
      <c r="F158" s="77" t="s">
        <v>33</v>
      </c>
      <c r="G158" s="79">
        <v>36</v>
      </c>
      <c r="H158" s="80">
        <v>259</v>
      </c>
    </row>
    <row r="159" spans="1:8" ht="19.8" customHeight="1" x14ac:dyDescent="0.3">
      <c r="A159" s="86">
        <v>45986</v>
      </c>
      <c r="B159" s="77" t="s">
        <v>31</v>
      </c>
      <c r="C159" s="78" t="s">
        <v>32</v>
      </c>
      <c r="D159" s="77" t="s">
        <v>1</v>
      </c>
      <c r="E159" s="87">
        <v>1.8159722222222221</v>
      </c>
      <c r="F159" s="77" t="s">
        <v>33</v>
      </c>
      <c r="G159" s="79">
        <v>23</v>
      </c>
      <c r="H159" s="80">
        <v>259</v>
      </c>
    </row>
    <row r="160" spans="1:8" ht="19.8" customHeight="1" x14ac:dyDescent="0.3">
      <c r="A160" s="86">
        <v>45986</v>
      </c>
      <c r="B160" s="77" t="s">
        <v>55</v>
      </c>
      <c r="C160" s="78" t="s">
        <v>56</v>
      </c>
      <c r="D160" s="77" t="s">
        <v>1</v>
      </c>
      <c r="E160" s="87">
        <v>1.305555555555556</v>
      </c>
      <c r="F160" s="77" t="s">
        <v>57</v>
      </c>
      <c r="G160" s="79">
        <v>7</v>
      </c>
      <c r="H160" s="80">
        <v>289</v>
      </c>
    </row>
    <row r="161" spans="1:8" ht="19.8" customHeight="1" x14ac:dyDescent="0.3">
      <c r="A161" s="86">
        <v>45986</v>
      </c>
      <c r="B161" s="77" t="s">
        <v>55</v>
      </c>
      <c r="C161" s="78" t="s">
        <v>69</v>
      </c>
      <c r="D161" s="77" t="s">
        <v>1</v>
      </c>
      <c r="E161" s="87">
        <v>1.5659722222222221</v>
      </c>
      <c r="F161" s="77" t="s">
        <v>57</v>
      </c>
      <c r="G161" s="79">
        <v>2</v>
      </c>
      <c r="H161" s="80">
        <v>289</v>
      </c>
    </row>
    <row r="162" spans="1:8" ht="19.8" customHeight="1" x14ac:dyDescent="0.3">
      <c r="A162" s="86">
        <v>45986</v>
      </c>
      <c r="B162" s="77" t="s">
        <v>55</v>
      </c>
      <c r="C162" s="78" t="s">
        <v>63</v>
      </c>
      <c r="D162" s="77" t="s">
        <v>1</v>
      </c>
      <c r="E162" s="87">
        <v>1.8263888888888891</v>
      </c>
      <c r="F162" s="77" t="s">
        <v>57</v>
      </c>
      <c r="G162" s="79">
        <v>9</v>
      </c>
      <c r="H162" s="80">
        <v>329</v>
      </c>
    </row>
    <row r="163" spans="1:8" ht="19.8" customHeight="1" x14ac:dyDescent="0.3">
      <c r="A163" s="86">
        <v>45986</v>
      </c>
      <c r="B163" s="77" t="s">
        <v>55</v>
      </c>
      <c r="C163" s="78" t="s">
        <v>66</v>
      </c>
      <c r="D163" s="77" t="s">
        <v>1</v>
      </c>
      <c r="E163" s="87">
        <v>1.427083333333333</v>
      </c>
      <c r="F163" s="77" t="s">
        <v>57</v>
      </c>
      <c r="G163" s="79">
        <v>9</v>
      </c>
      <c r="H163" s="80">
        <v>329</v>
      </c>
    </row>
    <row r="164" spans="1:8" ht="19.8" customHeight="1" x14ac:dyDescent="0.3">
      <c r="A164" s="86">
        <v>45986</v>
      </c>
      <c r="B164" s="77" t="s">
        <v>55</v>
      </c>
      <c r="C164" s="78" t="s">
        <v>67</v>
      </c>
      <c r="D164" s="77" t="s">
        <v>1</v>
      </c>
      <c r="E164" s="87">
        <v>1.6875</v>
      </c>
      <c r="F164" s="77" t="s">
        <v>57</v>
      </c>
      <c r="G164" s="79">
        <v>9</v>
      </c>
      <c r="H164" s="80">
        <v>329</v>
      </c>
    </row>
    <row r="165" spans="1:8" ht="19.8" customHeight="1" x14ac:dyDescent="0.3">
      <c r="A165" s="86">
        <v>45986</v>
      </c>
      <c r="B165" s="77" t="s">
        <v>55</v>
      </c>
      <c r="C165" s="78" t="s">
        <v>68</v>
      </c>
      <c r="D165" s="77" t="s">
        <v>1</v>
      </c>
      <c r="E165" s="87">
        <v>1.375</v>
      </c>
      <c r="F165" s="77" t="s">
        <v>57</v>
      </c>
      <c r="G165" s="79">
        <v>9</v>
      </c>
      <c r="H165" s="80">
        <v>329</v>
      </c>
    </row>
    <row r="166" spans="1:8" ht="19.8" customHeight="1" x14ac:dyDescent="0.3">
      <c r="A166" s="86">
        <v>45986</v>
      </c>
      <c r="B166" s="77" t="s">
        <v>26</v>
      </c>
      <c r="C166" s="78" t="s">
        <v>27</v>
      </c>
      <c r="D166" s="77" t="s">
        <v>1</v>
      </c>
      <c r="E166" s="87">
        <v>1.2777777777777779</v>
      </c>
      <c r="F166" s="77" t="s">
        <v>76</v>
      </c>
      <c r="G166" s="79">
        <v>9</v>
      </c>
      <c r="H166" s="80">
        <v>350</v>
      </c>
    </row>
    <row r="167" spans="1:8" ht="19.8" customHeight="1" x14ac:dyDescent="0.3">
      <c r="A167" s="100">
        <v>45986</v>
      </c>
      <c r="B167" s="82" t="s">
        <v>74</v>
      </c>
      <c r="C167" s="83" t="s">
        <v>159</v>
      </c>
      <c r="D167" s="82" t="s">
        <v>1</v>
      </c>
      <c r="E167" s="101">
        <v>1.913194444444444</v>
      </c>
      <c r="F167" s="82" t="s">
        <v>76</v>
      </c>
      <c r="G167" s="84">
        <v>9</v>
      </c>
      <c r="H167" s="85">
        <v>355</v>
      </c>
    </row>
    <row r="168" spans="1:8" ht="19.8" customHeight="1" x14ac:dyDescent="0.3">
      <c r="A168" s="86">
        <v>45986</v>
      </c>
      <c r="B168" s="77" t="s">
        <v>154</v>
      </c>
      <c r="C168" s="78" t="s">
        <v>155</v>
      </c>
      <c r="D168" s="77" t="s">
        <v>1</v>
      </c>
      <c r="E168" s="87">
        <v>1.6215277777777779</v>
      </c>
      <c r="F168" s="77" t="s">
        <v>156</v>
      </c>
      <c r="G168" s="79">
        <v>9</v>
      </c>
      <c r="H168" s="80">
        <v>361</v>
      </c>
    </row>
    <row r="169" spans="1:8" ht="19.8" customHeight="1" x14ac:dyDescent="0.3">
      <c r="A169" s="86">
        <v>45986</v>
      </c>
      <c r="B169" s="77" t="s">
        <v>55</v>
      </c>
      <c r="C169" s="78" t="s">
        <v>64</v>
      </c>
      <c r="D169" s="77" t="s">
        <v>1</v>
      </c>
      <c r="E169" s="87">
        <v>1.5</v>
      </c>
      <c r="F169" s="77" t="s">
        <v>57</v>
      </c>
      <c r="G169" s="79">
        <v>9</v>
      </c>
      <c r="H169" s="80">
        <v>369</v>
      </c>
    </row>
    <row r="170" spans="1:8" ht="19.8" customHeight="1" x14ac:dyDescent="0.3">
      <c r="A170" s="86">
        <v>45986</v>
      </c>
      <c r="B170" s="77" t="s">
        <v>55</v>
      </c>
      <c r="C170" s="78" t="s">
        <v>56</v>
      </c>
      <c r="D170" s="77" t="s">
        <v>1</v>
      </c>
      <c r="E170" s="87">
        <v>1.305555555555556</v>
      </c>
      <c r="F170" s="77" t="s">
        <v>59</v>
      </c>
      <c r="G170" s="79">
        <v>7</v>
      </c>
      <c r="H170" s="80">
        <v>389</v>
      </c>
    </row>
    <row r="171" spans="1:8" ht="19.8" customHeight="1" x14ac:dyDescent="0.3">
      <c r="A171" s="86">
        <v>45986</v>
      </c>
      <c r="B171" s="77" t="s">
        <v>55</v>
      </c>
      <c r="C171" s="78" t="s">
        <v>69</v>
      </c>
      <c r="D171" s="77" t="s">
        <v>1</v>
      </c>
      <c r="E171" s="87">
        <v>1.5659722222222221</v>
      </c>
      <c r="F171" s="77" t="s">
        <v>59</v>
      </c>
      <c r="G171" s="79">
        <v>2</v>
      </c>
      <c r="H171" s="80">
        <v>389</v>
      </c>
    </row>
    <row r="172" spans="1:8" ht="19.8" customHeight="1" x14ac:dyDescent="0.3">
      <c r="A172" s="86">
        <v>45986</v>
      </c>
      <c r="B172" s="77" t="s">
        <v>31</v>
      </c>
      <c r="C172" s="78" t="s">
        <v>41</v>
      </c>
      <c r="D172" s="77" t="s">
        <v>1</v>
      </c>
      <c r="E172" s="87">
        <v>1.447916666666667</v>
      </c>
      <c r="F172" s="77" t="s">
        <v>36</v>
      </c>
      <c r="G172" s="79">
        <v>33</v>
      </c>
      <c r="H172" s="80">
        <v>409</v>
      </c>
    </row>
    <row r="173" spans="1:8" ht="19.8" customHeight="1" x14ac:dyDescent="0.3">
      <c r="A173" s="86">
        <v>45986</v>
      </c>
      <c r="B173" s="77" t="s">
        <v>31</v>
      </c>
      <c r="C173" s="78" t="s">
        <v>47</v>
      </c>
      <c r="D173" s="77" t="s">
        <v>1</v>
      </c>
      <c r="E173" s="87">
        <v>1.5</v>
      </c>
      <c r="F173" s="77" t="s">
        <v>36</v>
      </c>
      <c r="G173" s="79">
        <v>40</v>
      </c>
      <c r="H173" s="80">
        <v>409</v>
      </c>
    </row>
    <row r="174" spans="1:8" ht="19.8" customHeight="1" x14ac:dyDescent="0.3">
      <c r="A174" s="86">
        <v>45986</v>
      </c>
      <c r="B174" s="77" t="s">
        <v>31</v>
      </c>
      <c r="C174" s="78" t="s">
        <v>50</v>
      </c>
      <c r="D174" s="77" t="s">
        <v>1</v>
      </c>
      <c r="E174" s="87">
        <v>1.760416666666667</v>
      </c>
      <c r="F174" s="77" t="s">
        <v>36</v>
      </c>
      <c r="G174" s="79">
        <v>36</v>
      </c>
      <c r="H174" s="80">
        <v>409</v>
      </c>
    </row>
    <row r="175" spans="1:8" ht="19.8" customHeight="1" x14ac:dyDescent="0.3">
      <c r="A175" s="86">
        <v>45986</v>
      </c>
      <c r="B175" s="77" t="s">
        <v>31</v>
      </c>
      <c r="C175" s="78" t="s">
        <v>32</v>
      </c>
      <c r="D175" s="77" t="s">
        <v>1</v>
      </c>
      <c r="E175" s="87">
        <v>1.8159722222222221</v>
      </c>
      <c r="F175" s="77" t="s">
        <v>36</v>
      </c>
      <c r="G175" s="79">
        <v>23</v>
      </c>
      <c r="H175" s="80">
        <v>409</v>
      </c>
    </row>
    <row r="176" spans="1:8" ht="19.8" customHeight="1" x14ac:dyDescent="0.3">
      <c r="A176" s="86">
        <v>45986</v>
      </c>
      <c r="B176" s="77" t="s">
        <v>55</v>
      </c>
      <c r="C176" s="78" t="s">
        <v>63</v>
      </c>
      <c r="D176" s="77" t="s">
        <v>1</v>
      </c>
      <c r="E176" s="87">
        <v>1.8263888888888891</v>
      </c>
      <c r="F176" s="77" t="s">
        <v>59</v>
      </c>
      <c r="G176" s="79">
        <v>9</v>
      </c>
      <c r="H176" s="80">
        <v>429</v>
      </c>
    </row>
    <row r="177" spans="1:8" ht="19.8" customHeight="1" x14ac:dyDescent="0.3">
      <c r="A177" s="86">
        <v>45986</v>
      </c>
      <c r="B177" s="77" t="s">
        <v>55</v>
      </c>
      <c r="C177" s="78" t="s">
        <v>66</v>
      </c>
      <c r="D177" s="77" t="s">
        <v>1</v>
      </c>
      <c r="E177" s="87">
        <v>1.427083333333333</v>
      </c>
      <c r="F177" s="77" t="s">
        <v>59</v>
      </c>
      <c r="G177" s="79">
        <v>9</v>
      </c>
      <c r="H177" s="80">
        <v>429</v>
      </c>
    </row>
    <row r="178" spans="1:8" ht="19.8" customHeight="1" x14ac:dyDescent="0.3">
      <c r="A178" s="86">
        <v>45986</v>
      </c>
      <c r="B178" s="77" t="s">
        <v>55</v>
      </c>
      <c r="C178" s="78" t="s">
        <v>67</v>
      </c>
      <c r="D178" s="77" t="s">
        <v>1</v>
      </c>
      <c r="E178" s="87">
        <v>1.6875</v>
      </c>
      <c r="F178" s="77" t="s">
        <v>59</v>
      </c>
      <c r="G178" s="79">
        <v>9</v>
      </c>
      <c r="H178" s="80">
        <v>429</v>
      </c>
    </row>
    <row r="179" spans="1:8" ht="19.8" customHeight="1" x14ac:dyDescent="0.3">
      <c r="A179" s="86">
        <v>45986</v>
      </c>
      <c r="B179" s="77" t="s">
        <v>55</v>
      </c>
      <c r="C179" s="78" t="s">
        <v>68</v>
      </c>
      <c r="D179" s="77" t="s">
        <v>1</v>
      </c>
      <c r="E179" s="87">
        <v>1.375</v>
      </c>
      <c r="F179" s="77" t="s">
        <v>59</v>
      </c>
      <c r="G179" s="79">
        <v>9</v>
      </c>
      <c r="H179" s="80">
        <v>429</v>
      </c>
    </row>
    <row r="180" spans="1:8" ht="19.8" customHeight="1" x14ac:dyDescent="0.3">
      <c r="A180" s="86">
        <v>45986</v>
      </c>
      <c r="B180" s="77" t="s">
        <v>82</v>
      </c>
      <c r="C180" s="78" t="s">
        <v>89</v>
      </c>
      <c r="D180" s="77" t="s">
        <v>1</v>
      </c>
      <c r="E180" s="87">
        <v>1.166666666666667</v>
      </c>
      <c r="F180" s="77" t="s">
        <v>84</v>
      </c>
      <c r="G180" s="79">
        <v>9</v>
      </c>
      <c r="H180" s="80">
        <v>462</v>
      </c>
    </row>
    <row r="181" spans="1:8" ht="19.8" customHeight="1" x14ac:dyDescent="0.3">
      <c r="A181" s="86">
        <v>45986</v>
      </c>
      <c r="B181" s="77" t="s">
        <v>55</v>
      </c>
      <c r="C181" s="78" t="s">
        <v>64</v>
      </c>
      <c r="D181" s="77" t="s">
        <v>1</v>
      </c>
      <c r="E181" s="87">
        <v>1.5</v>
      </c>
      <c r="F181" s="77" t="s">
        <v>59</v>
      </c>
      <c r="G181" s="79">
        <v>9</v>
      </c>
      <c r="H181" s="80">
        <v>469</v>
      </c>
    </row>
    <row r="182" spans="1:8" ht="19.8" customHeight="1" x14ac:dyDescent="0.3">
      <c r="A182" s="86">
        <v>45986</v>
      </c>
      <c r="B182" s="77" t="s">
        <v>55</v>
      </c>
      <c r="C182" s="78" t="s">
        <v>56</v>
      </c>
      <c r="D182" s="77" t="s">
        <v>1</v>
      </c>
      <c r="E182" s="87">
        <v>1.305555555555556</v>
      </c>
      <c r="F182" s="77" t="s">
        <v>61</v>
      </c>
      <c r="G182" s="79">
        <v>7</v>
      </c>
      <c r="H182" s="80">
        <v>479</v>
      </c>
    </row>
    <row r="183" spans="1:8" ht="19.8" customHeight="1" x14ac:dyDescent="0.3">
      <c r="A183" s="86">
        <v>45986</v>
      </c>
      <c r="B183" s="77" t="s">
        <v>55</v>
      </c>
      <c r="C183" s="78" t="s">
        <v>69</v>
      </c>
      <c r="D183" s="77" t="s">
        <v>1</v>
      </c>
      <c r="E183" s="87">
        <v>1.5659722222222221</v>
      </c>
      <c r="F183" s="77" t="s">
        <v>61</v>
      </c>
      <c r="G183" s="79">
        <v>2</v>
      </c>
      <c r="H183" s="80">
        <v>479</v>
      </c>
    </row>
    <row r="184" spans="1:8" ht="19.8" customHeight="1" x14ac:dyDescent="0.3">
      <c r="A184" s="86">
        <v>45986</v>
      </c>
      <c r="B184" s="77" t="s">
        <v>154</v>
      </c>
      <c r="C184" s="78" t="s">
        <v>155</v>
      </c>
      <c r="D184" s="77" t="s">
        <v>1</v>
      </c>
      <c r="E184" s="87">
        <v>1.6215277777777779</v>
      </c>
      <c r="F184" s="77" t="s">
        <v>39</v>
      </c>
      <c r="G184" s="79">
        <v>9</v>
      </c>
      <c r="H184" s="80">
        <v>484</v>
      </c>
    </row>
    <row r="185" spans="1:8" ht="19.8" customHeight="1" x14ac:dyDescent="0.3">
      <c r="A185" s="86">
        <v>45986</v>
      </c>
      <c r="B185" s="77" t="s">
        <v>55</v>
      </c>
      <c r="C185" s="78" t="s">
        <v>63</v>
      </c>
      <c r="D185" s="77" t="s">
        <v>1</v>
      </c>
      <c r="E185" s="87">
        <v>1.8263888888888891</v>
      </c>
      <c r="F185" s="77" t="s">
        <v>61</v>
      </c>
      <c r="G185" s="79">
        <v>9</v>
      </c>
      <c r="H185" s="80">
        <v>519</v>
      </c>
    </row>
    <row r="186" spans="1:8" ht="19.8" customHeight="1" x14ac:dyDescent="0.3">
      <c r="A186" s="86">
        <v>45986</v>
      </c>
      <c r="B186" s="77" t="s">
        <v>55</v>
      </c>
      <c r="C186" s="78" t="s">
        <v>66</v>
      </c>
      <c r="D186" s="77" t="s">
        <v>1</v>
      </c>
      <c r="E186" s="87">
        <v>1.427083333333333</v>
      </c>
      <c r="F186" s="77" t="s">
        <v>61</v>
      </c>
      <c r="G186" s="79">
        <v>9</v>
      </c>
      <c r="H186" s="80">
        <v>519</v>
      </c>
    </row>
    <row r="187" spans="1:8" ht="19.8" customHeight="1" x14ac:dyDescent="0.3">
      <c r="A187" s="86">
        <v>45986</v>
      </c>
      <c r="B187" s="77" t="s">
        <v>55</v>
      </c>
      <c r="C187" s="78" t="s">
        <v>67</v>
      </c>
      <c r="D187" s="77" t="s">
        <v>1</v>
      </c>
      <c r="E187" s="87">
        <v>1.6875</v>
      </c>
      <c r="F187" s="77" t="s">
        <v>61</v>
      </c>
      <c r="G187" s="79">
        <v>9</v>
      </c>
      <c r="H187" s="80">
        <v>519</v>
      </c>
    </row>
    <row r="188" spans="1:8" ht="19.8" customHeight="1" x14ac:dyDescent="0.3">
      <c r="A188" s="86">
        <v>45986</v>
      </c>
      <c r="B188" s="77" t="s">
        <v>55</v>
      </c>
      <c r="C188" s="78" t="s">
        <v>68</v>
      </c>
      <c r="D188" s="77" t="s">
        <v>1</v>
      </c>
      <c r="E188" s="87">
        <v>1.375</v>
      </c>
      <c r="F188" s="77" t="s">
        <v>61</v>
      </c>
      <c r="G188" s="79">
        <v>9</v>
      </c>
      <c r="H188" s="80">
        <v>519</v>
      </c>
    </row>
    <row r="189" spans="1:8" ht="19.8" customHeight="1" x14ac:dyDescent="0.3">
      <c r="A189" s="86">
        <v>45986</v>
      </c>
      <c r="B189" s="77" t="s">
        <v>55</v>
      </c>
      <c r="C189" s="78" t="s">
        <v>64</v>
      </c>
      <c r="D189" s="77" t="s">
        <v>1</v>
      </c>
      <c r="E189" s="87">
        <v>1.5</v>
      </c>
      <c r="F189" s="77" t="s">
        <v>61</v>
      </c>
      <c r="G189" s="79">
        <v>9</v>
      </c>
      <c r="H189" s="80">
        <v>559</v>
      </c>
    </row>
    <row r="190" spans="1:8" ht="19.8" customHeight="1" x14ac:dyDescent="0.3">
      <c r="A190" s="86">
        <v>45986</v>
      </c>
      <c r="B190" s="77" t="s">
        <v>82</v>
      </c>
      <c r="C190" s="78" t="s">
        <v>86</v>
      </c>
      <c r="D190" s="77" t="s">
        <v>1</v>
      </c>
      <c r="E190" s="87">
        <v>1.541666666666667</v>
      </c>
      <c r="F190" s="77" t="s">
        <v>84</v>
      </c>
      <c r="G190" s="79">
        <v>9</v>
      </c>
      <c r="H190" s="80">
        <v>597</v>
      </c>
    </row>
    <row r="191" spans="1:8" ht="19.8" customHeight="1" x14ac:dyDescent="0.3">
      <c r="A191" s="86">
        <v>45986</v>
      </c>
      <c r="B191" s="77" t="s">
        <v>82</v>
      </c>
      <c r="C191" s="78" t="s">
        <v>83</v>
      </c>
      <c r="D191" s="77" t="s">
        <v>1</v>
      </c>
      <c r="E191" s="87">
        <v>1.916666666666667</v>
      </c>
      <c r="F191" s="77" t="s">
        <v>84</v>
      </c>
      <c r="G191" s="79">
        <v>9</v>
      </c>
      <c r="H191" s="80">
        <v>601</v>
      </c>
    </row>
    <row r="192" spans="1:8" ht="19.8" customHeight="1" x14ac:dyDescent="0.3">
      <c r="A192" s="86">
        <v>45986</v>
      </c>
      <c r="B192" s="77" t="s">
        <v>91</v>
      </c>
      <c r="C192" s="78" t="s">
        <v>96</v>
      </c>
      <c r="D192" s="77" t="s">
        <v>1</v>
      </c>
      <c r="E192" s="87">
        <v>1.2986111111111109</v>
      </c>
      <c r="F192" s="77" t="s">
        <v>97</v>
      </c>
      <c r="G192" s="79">
        <v>9</v>
      </c>
      <c r="H192" s="80">
        <v>661</v>
      </c>
    </row>
    <row r="193" spans="1:8" ht="19.8" customHeight="1" x14ac:dyDescent="0.3">
      <c r="A193" s="86">
        <v>45986</v>
      </c>
      <c r="B193" s="77" t="s">
        <v>91</v>
      </c>
      <c r="C193" s="78" t="s">
        <v>101</v>
      </c>
      <c r="D193" s="77" t="s">
        <v>1</v>
      </c>
      <c r="E193" s="87">
        <v>1.6840277777777779</v>
      </c>
      <c r="F193" s="77" t="s">
        <v>97</v>
      </c>
      <c r="G193" s="79">
        <v>8</v>
      </c>
      <c r="H193" s="80">
        <v>661</v>
      </c>
    </row>
    <row r="194" spans="1:8" ht="19.8" customHeight="1" x14ac:dyDescent="0.3">
      <c r="A194" s="86">
        <v>45986</v>
      </c>
      <c r="B194" s="77" t="s">
        <v>91</v>
      </c>
      <c r="C194" s="78" t="s">
        <v>135</v>
      </c>
      <c r="D194" s="77" t="s">
        <v>1</v>
      </c>
      <c r="E194" s="87">
        <v>1.552083333333333</v>
      </c>
      <c r="F194" s="77" t="s">
        <v>97</v>
      </c>
      <c r="G194" s="79">
        <v>9</v>
      </c>
      <c r="H194" s="80">
        <v>661</v>
      </c>
    </row>
    <row r="195" spans="1:8" ht="19.8" customHeight="1" x14ac:dyDescent="0.3">
      <c r="A195" s="86">
        <v>45986</v>
      </c>
      <c r="B195" s="77" t="s">
        <v>91</v>
      </c>
      <c r="C195" s="78" t="s">
        <v>103</v>
      </c>
      <c r="D195" s="77" t="s">
        <v>1</v>
      </c>
      <c r="E195" s="87">
        <v>1.4826388888888891</v>
      </c>
      <c r="F195" s="77" t="s">
        <v>97</v>
      </c>
      <c r="G195" s="79">
        <v>9</v>
      </c>
      <c r="H195" s="80">
        <v>661</v>
      </c>
    </row>
    <row r="196" spans="1:8" ht="19.8" customHeight="1" x14ac:dyDescent="0.3">
      <c r="A196" s="86">
        <v>45986</v>
      </c>
      <c r="B196" s="77" t="s">
        <v>91</v>
      </c>
      <c r="C196" s="78" t="s">
        <v>96</v>
      </c>
      <c r="D196" s="77" t="s">
        <v>1</v>
      </c>
      <c r="E196" s="87">
        <v>1.2986111111111109</v>
      </c>
      <c r="F196" s="77" t="s">
        <v>93</v>
      </c>
      <c r="G196" s="79">
        <v>9</v>
      </c>
      <c r="H196" s="80">
        <v>711</v>
      </c>
    </row>
    <row r="197" spans="1:8" ht="19.8" customHeight="1" x14ac:dyDescent="0.3">
      <c r="A197" s="86">
        <v>45986</v>
      </c>
      <c r="B197" s="77" t="s">
        <v>91</v>
      </c>
      <c r="C197" s="78" t="s">
        <v>101</v>
      </c>
      <c r="D197" s="77" t="s">
        <v>1</v>
      </c>
      <c r="E197" s="87">
        <v>1.6840277777777779</v>
      </c>
      <c r="F197" s="77" t="s">
        <v>93</v>
      </c>
      <c r="G197" s="79">
        <v>8</v>
      </c>
      <c r="H197" s="80">
        <v>711</v>
      </c>
    </row>
    <row r="198" spans="1:8" ht="19.8" customHeight="1" x14ac:dyDescent="0.3">
      <c r="A198" s="86">
        <v>45986</v>
      </c>
      <c r="B198" s="77" t="s">
        <v>91</v>
      </c>
      <c r="C198" s="78" t="s">
        <v>135</v>
      </c>
      <c r="D198" s="77" t="s">
        <v>1</v>
      </c>
      <c r="E198" s="87">
        <v>1.552083333333333</v>
      </c>
      <c r="F198" s="77" t="s">
        <v>93</v>
      </c>
      <c r="G198" s="79">
        <v>9</v>
      </c>
      <c r="H198" s="80">
        <v>711</v>
      </c>
    </row>
    <row r="199" spans="1:8" ht="19.8" customHeight="1" x14ac:dyDescent="0.3">
      <c r="A199" s="86">
        <v>45986</v>
      </c>
      <c r="B199" s="77" t="s">
        <v>91</v>
      </c>
      <c r="C199" s="78" t="s">
        <v>103</v>
      </c>
      <c r="D199" s="77" t="s">
        <v>1</v>
      </c>
      <c r="E199" s="87">
        <v>1.4826388888888891</v>
      </c>
      <c r="F199" s="77" t="s">
        <v>93</v>
      </c>
      <c r="G199" s="79">
        <v>9</v>
      </c>
      <c r="H199" s="80">
        <v>711</v>
      </c>
    </row>
    <row r="200" spans="1:8" ht="19.8" customHeight="1" x14ac:dyDescent="0.3">
      <c r="A200" s="86">
        <v>45986</v>
      </c>
      <c r="B200" s="77" t="s">
        <v>91</v>
      </c>
      <c r="C200" s="78" t="s">
        <v>102</v>
      </c>
      <c r="D200" s="77" t="s">
        <v>1</v>
      </c>
      <c r="E200" s="87">
        <v>1.836805555555556</v>
      </c>
      <c r="F200" s="77" t="s">
        <v>97</v>
      </c>
      <c r="G200" s="79">
        <v>9</v>
      </c>
      <c r="H200" s="80">
        <v>774</v>
      </c>
    </row>
    <row r="201" spans="1:8" ht="19.8" customHeight="1" x14ac:dyDescent="0.3">
      <c r="A201" s="86">
        <v>45986</v>
      </c>
      <c r="B201" s="77" t="s">
        <v>91</v>
      </c>
      <c r="C201" s="78" t="s">
        <v>102</v>
      </c>
      <c r="D201" s="77" t="s">
        <v>1</v>
      </c>
      <c r="E201" s="87">
        <v>1.836805555555556</v>
      </c>
      <c r="F201" s="77" t="s">
        <v>93</v>
      </c>
      <c r="G201" s="79">
        <v>9</v>
      </c>
      <c r="H201" s="80">
        <v>824</v>
      </c>
    </row>
    <row r="202" spans="1:8" ht="19.8" customHeight="1" x14ac:dyDescent="0.3">
      <c r="A202" s="86">
        <v>45986</v>
      </c>
      <c r="B202" s="77" t="s">
        <v>31</v>
      </c>
      <c r="C202" s="78" t="s">
        <v>41</v>
      </c>
      <c r="D202" s="77" t="s">
        <v>1</v>
      </c>
      <c r="E202" s="87">
        <v>1.447916666666667</v>
      </c>
      <c r="F202" s="77" t="s">
        <v>39</v>
      </c>
      <c r="G202" s="79">
        <v>33</v>
      </c>
      <c r="H202" s="80">
        <v>899</v>
      </c>
    </row>
    <row r="203" spans="1:8" ht="19.8" customHeight="1" x14ac:dyDescent="0.3">
      <c r="A203" s="86">
        <v>45986</v>
      </c>
      <c r="B203" s="77" t="s">
        <v>31</v>
      </c>
      <c r="C203" s="78" t="s">
        <v>50</v>
      </c>
      <c r="D203" s="77" t="s">
        <v>1</v>
      </c>
      <c r="E203" s="87">
        <v>1.760416666666667</v>
      </c>
      <c r="F203" s="77" t="s">
        <v>39</v>
      </c>
      <c r="G203" s="79">
        <v>36</v>
      </c>
      <c r="H203" s="80">
        <v>899</v>
      </c>
    </row>
    <row r="204" spans="1:8" ht="19.8" customHeight="1" x14ac:dyDescent="0.3">
      <c r="A204" s="86">
        <v>45986</v>
      </c>
      <c r="B204" s="77" t="s">
        <v>31</v>
      </c>
      <c r="C204" s="78" t="s">
        <v>32</v>
      </c>
      <c r="D204" s="77" t="s">
        <v>1</v>
      </c>
      <c r="E204" s="87">
        <v>1.8159722222222221</v>
      </c>
      <c r="F204" s="77" t="s">
        <v>39</v>
      </c>
      <c r="G204" s="79">
        <v>23</v>
      </c>
      <c r="H204" s="80">
        <v>899</v>
      </c>
    </row>
    <row r="205" spans="1:8" ht="19.8" customHeight="1" x14ac:dyDescent="0.3">
      <c r="A205" s="86">
        <v>45986</v>
      </c>
      <c r="B205" s="77" t="s">
        <v>91</v>
      </c>
      <c r="C205" s="78" t="s">
        <v>104</v>
      </c>
      <c r="D205" s="77" t="s">
        <v>1</v>
      </c>
      <c r="E205" s="87">
        <v>1.760416666666667</v>
      </c>
      <c r="F205" s="77" t="s">
        <v>93</v>
      </c>
      <c r="G205" s="79">
        <v>4</v>
      </c>
      <c r="H205" s="88" t="s">
        <v>172</v>
      </c>
    </row>
    <row r="206" spans="1:8" ht="19.8" customHeight="1" x14ac:dyDescent="0.3">
      <c r="A206" s="86">
        <v>45986</v>
      </c>
      <c r="B206" s="77" t="s">
        <v>91</v>
      </c>
      <c r="C206" s="78" t="s">
        <v>106</v>
      </c>
      <c r="D206" s="77" t="s">
        <v>1</v>
      </c>
      <c r="E206" s="87">
        <v>1.5</v>
      </c>
      <c r="F206" s="77" t="s">
        <v>93</v>
      </c>
      <c r="G206" s="79">
        <v>4</v>
      </c>
      <c r="H206" s="88" t="s">
        <v>172</v>
      </c>
    </row>
    <row r="207" spans="1:8" ht="19.8" customHeight="1" x14ac:dyDescent="0.3">
      <c r="A207" s="86">
        <v>45986</v>
      </c>
      <c r="B207" s="77" t="s">
        <v>91</v>
      </c>
      <c r="C207" s="78" t="s">
        <v>92</v>
      </c>
      <c r="D207" s="77" t="s">
        <v>1</v>
      </c>
      <c r="E207" s="87">
        <v>1.8159722222222221</v>
      </c>
      <c r="F207" s="77" t="s">
        <v>93</v>
      </c>
      <c r="G207" s="79">
        <v>4</v>
      </c>
      <c r="H207" s="88" t="s">
        <v>172</v>
      </c>
    </row>
    <row r="208" spans="1:8" ht="19.8" customHeight="1" x14ac:dyDescent="0.3">
      <c r="A208" s="89">
        <v>45986</v>
      </c>
      <c r="B208" s="90" t="s">
        <v>31</v>
      </c>
      <c r="C208" s="91" t="s">
        <v>47</v>
      </c>
      <c r="D208" s="90" t="s">
        <v>1</v>
      </c>
      <c r="E208" s="92">
        <v>1.5</v>
      </c>
      <c r="F208" s="90" t="s">
        <v>39</v>
      </c>
      <c r="G208" s="93">
        <v>40</v>
      </c>
      <c r="H208" s="94" t="s">
        <v>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8"/>
  <sheetViews>
    <sheetView workbookViewId="0"/>
  </sheetViews>
  <sheetFormatPr defaultRowHeight="14.4" x14ac:dyDescent="0.3"/>
  <cols>
    <col min="1" max="1" width="10.33203125" bestFit="1" customWidth="1"/>
    <col min="2" max="2" width="9.5546875" bestFit="1" customWidth="1"/>
    <col min="3" max="3" width="15" customWidth="1"/>
    <col min="4" max="4" width="10" customWidth="1"/>
    <col min="5" max="5" width="9.5546875" bestFit="1" customWidth="1"/>
    <col min="6" max="6" width="9" bestFit="1" customWidth="1"/>
    <col min="7" max="7" width="15.21875" bestFit="1" customWidth="1"/>
    <col min="8" max="8" width="15.6640625" bestFit="1" customWidth="1"/>
    <col min="9" max="9" width="14.109375" hidden="1" customWidth="1"/>
    <col min="10" max="10" width="9.44140625" bestFit="1" customWidth="1"/>
    <col min="11" max="11" width="8.33203125" bestFit="1" customWidth="1"/>
    <col min="12" max="12" width="7.5546875" bestFit="1" customWidth="1"/>
    <col min="13" max="13" width="11.21875" bestFit="1" customWidth="1"/>
    <col min="14" max="14" width="16.5546875" bestFit="1" customWidth="1"/>
  </cols>
  <sheetData>
    <row r="1" spans="1:14" x14ac:dyDescent="0.3">
      <c r="A1" s="102" t="s">
        <v>276</v>
      </c>
      <c r="B1" s="102" t="s">
        <v>277</v>
      </c>
      <c r="C1" s="102" t="s">
        <v>278</v>
      </c>
      <c r="D1" s="102" t="s">
        <v>279</v>
      </c>
      <c r="E1" s="102" t="s">
        <v>280</v>
      </c>
      <c r="F1" s="102" t="s">
        <v>281</v>
      </c>
      <c r="G1" s="102" t="s">
        <v>282</v>
      </c>
      <c r="H1" s="102" t="s">
        <v>283</v>
      </c>
      <c r="I1" s="102" t="s">
        <v>284</v>
      </c>
      <c r="J1" s="102" t="s">
        <v>285</v>
      </c>
      <c r="K1" s="102" t="s">
        <v>286</v>
      </c>
      <c r="L1" s="102" t="s">
        <v>287</v>
      </c>
      <c r="M1" s="102" t="s">
        <v>288</v>
      </c>
      <c r="N1" s="102" t="s">
        <v>289</v>
      </c>
    </row>
    <row r="2" spans="1:14" x14ac:dyDescent="0.3">
      <c r="A2" t="s">
        <v>263</v>
      </c>
      <c r="B2" t="s">
        <v>264</v>
      </c>
      <c r="C2" t="s">
        <v>26</v>
      </c>
      <c r="D2" t="s">
        <v>27</v>
      </c>
      <c r="E2">
        <v>500</v>
      </c>
      <c r="F2" t="s">
        <v>290</v>
      </c>
      <c r="G2">
        <v>30</v>
      </c>
      <c r="H2">
        <v>-5</v>
      </c>
      <c r="I2">
        <v>4.5</v>
      </c>
      <c r="J2">
        <v>-0.5</v>
      </c>
      <c r="K2" t="s">
        <v>75</v>
      </c>
      <c r="L2">
        <v>-2.64</v>
      </c>
      <c r="M2" s="103">
        <v>2.14</v>
      </c>
      <c r="N2" s="104" t="s">
        <v>291</v>
      </c>
    </row>
    <row r="3" spans="1:14" x14ac:dyDescent="0.3">
      <c r="A3" t="s">
        <v>263</v>
      </c>
      <c r="B3" t="s">
        <v>265</v>
      </c>
      <c r="C3" t="s">
        <v>31</v>
      </c>
      <c r="D3" t="s">
        <v>32</v>
      </c>
      <c r="E3">
        <v>509</v>
      </c>
      <c r="F3" t="s">
        <v>290</v>
      </c>
      <c r="G3">
        <v>15</v>
      </c>
      <c r="H3">
        <v>-5.09</v>
      </c>
      <c r="I3">
        <v>2.25</v>
      </c>
      <c r="J3">
        <v>-2.84</v>
      </c>
      <c r="K3" t="s">
        <v>75</v>
      </c>
      <c r="L3">
        <v>-2.64</v>
      </c>
      <c r="M3" s="103">
        <v>-0.2</v>
      </c>
      <c r="N3" s="105" t="s">
        <v>292</v>
      </c>
    </row>
    <row r="4" spans="1:14" x14ac:dyDescent="0.3">
      <c r="A4" t="s">
        <v>263</v>
      </c>
      <c r="B4" t="s">
        <v>266</v>
      </c>
      <c r="C4" t="s">
        <v>31</v>
      </c>
      <c r="D4" t="s">
        <v>41</v>
      </c>
      <c r="E4">
        <v>549</v>
      </c>
      <c r="F4" t="s">
        <v>290</v>
      </c>
      <c r="G4">
        <v>15</v>
      </c>
      <c r="H4">
        <v>-5.49</v>
      </c>
      <c r="I4">
        <v>2.25</v>
      </c>
      <c r="J4">
        <v>-3.24</v>
      </c>
      <c r="K4" t="s">
        <v>75</v>
      </c>
      <c r="L4">
        <v>-2.64</v>
      </c>
      <c r="M4" s="103">
        <v>-0.6</v>
      </c>
      <c r="N4" s="105" t="s">
        <v>292</v>
      </c>
    </row>
    <row r="5" spans="1:14" x14ac:dyDescent="0.3">
      <c r="A5" t="s">
        <v>263</v>
      </c>
      <c r="B5" t="s">
        <v>267</v>
      </c>
      <c r="C5" t="s">
        <v>31</v>
      </c>
      <c r="D5" t="s">
        <v>47</v>
      </c>
      <c r="E5">
        <v>549</v>
      </c>
      <c r="F5" t="s">
        <v>290</v>
      </c>
      <c r="G5">
        <v>15</v>
      </c>
      <c r="H5">
        <v>-5.49</v>
      </c>
      <c r="I5">
        <v>2.25</v>
      </c>
      <c r="J5">
        <v>-3.24</v>
      </c>
      <c r="K5" t="s">
        <v>75</v>
      </c>
      <c r="L5">
        <v>-2.64</v>
      </c>
      <c r="M5" s="103">
        <v>-0.6</v>
      </c>
      <c r="N5" s="105" t="s">
        <v>292</v>
      </c>
    </row>
    <row r="6" spans="1:14" x14ac:dyDescent="0.3">
      <c r="A6" t="s">
        <v>263</v>
      </c>
      <c r="B6" t="s">
        <v>268</v>
      </c>
      <c r="C6" t="s">
        <v>55</v>
      </c>
      <c r="D6" t="s">
        <v>56</v>
      </c>
      <c r="E6">
        <v>589</v>
      </c>
      <c r="F6" t="s">
        <v>290</v>
      </c>
      <c r="G6">
        <v>20</v>
      </c>
      <c r="H6">
        <v>-5.89</v>
      </c>
      <c r="I6">
        <v>3</v>
      </c>
      <c r="J6">
        <v>-2.89</v>
      </c>
      <c r="K6" t="s">
        <v>75</v>
      </c>
      <c r="L6">
        <v>-2.64</v>
      </c>
      <c r="M6" s="103">
        <v>-0.25</v>
      </c>
      <c r="N6" s="105" t="s">
        <v>292</v>
      </c>
    </row>
    <row r="7" spans="1:14" x14ac:dyDescent="0.3">
      <c r="A7" t="s">
        <v>263</v>
      </c>
      <c r="B7" t="s">
        <v>269</v>
      </c>
      <c r="C7" t="s">
        <v>55</v>
      </c>
      <c r="D7" t="s">
        <v>63</v>
      </c>
      <c r="E7">
        <v>589</v>
      </c>
      <c r="F7" t="s">
        <v>290</v>
      </c>
      <c r="G7">
        <v>20</v>
      </c>
      <c r="H7">
        <v>-5.89</v>
      </c>
      <c r="I7">
        <v>3</v>
      </c>
      <c r="J7">
        <v>-2.89</v>
      </c>
      <c r="K7" t="s">
        <v>75</v>
      </c>
      <c r="L7">
        <v>-2.64</v>
      </c>
      <c r="M7" s="103">
        <v>-0.25</v>
      </c>
      <c r="N7" s="105" t="s">
        <v>292</v>
      </c>
    </row>
    <row r="8" spans="1:14" x14ac:dyDescent="0.3">
      <c r="A8" t="s">
        <v>263</v>
      </c>
      <c r="B8" t="s">
        <v>267</v>
      </c>
      <c r="C8" t="s">
        <v>55</v>
      </c>
      <c r="D8" t="s">
        <v>64</v>
      </c>
      <c r="E8">
        <v>589</v>
      </c>
      <c r="F8" t="s">
        <v>290</v>
      </c>
      <c r="G8">
        <v>20</v>
      </c>
      <c r="H8">
        <v>-5.89</v>
      </c>
      <c r="I8">
        <v>3</v>
      </c>
      <c r="J8">
        <v>-2.89</v>
      </c>
      <c r="K8" t="s">
        <v>75</v>
      </c>
      <c r="L8">
        <v>-2.64</v>
      </c>
      <c r="M8" s="103">
        <v>-0.25</v>
      </c>
      <c r="N8" s="105" t="s">
        <v>292</v>
      </c>
    </row>
    <row r="9" spans="1:14" x14ac:dyDescent="0.3">
      <c r="A9" t="s">
        <v>263</v>
      </c>
      <c r="B9" t="s">
        <v>270</v>
      </c>
      <c r="C9" t="s">
        <v>55</v>
      </c>
      <c r="D9" t="s">
        <v>66</v>
      </c>
      <c r="E9">
        <v>589</v>
      </c>
      <c r="F9" t="s">
        <v>290</v>
      </c>
      <c r="G9">
        <v>20</v>
      </c>
      <c r="H9">
        <v>-5.89</v>
      </c>
      <c r="I9">
        <v>3</v>
      </c>
      <c r="J9">
        <v>-2.89</v>
      </c>
      <c r="K9" t="s">
        <v>75</v>
      </c>
      <c r="L9">
        <v>-2.64</v>
      </c>
      <c r="M9" s="103">
        <v>-0.25</v>
      </c>
      <c r="N9" s="105" t="s">
        <v>292</v>
      </c>
    </row>
    <row r="10" spans="1:14" x14ac:dyDescent="0.3">
      <c r="A10" t="s">
        <v>263</v>
      </c>
      <c r="B10" t="s">
        <v>271</v>
      </c>
      <c r="C10" t="s">
        <v>55</v>
      </c>
      <c r="D10" t="s">
        <v>67</v>
      </c>
      <c r="E10">
        <v>589</v>
      </c>
      <c r="F10" t="s">
        <v>290</v>
      </c>
      <c r="G10">
        <v>20</v>
      </c>
      <c r="H10">
        <v>-5.89</v>
      </c>
      <c r="I10">
        <v>3</v>
      </c>
      <c r="J10">
        <v>-2.89</v>
      </c>
      <c r="K10" t="s">
        <v>75</v>
      </c>
      <c r="L10">
        <v>-2.64</v>
      </c>
      <c r="M10" s="103">
        <v>-0.25</v>
      </c>
      <c r="N10" s="105" t="s">
        <v>292</v>
      </c>
    </row>
    <row r="11" spans="1:14" x14ac:dyDescent="0.3">
      <c r="A11" t="s">
        <v>263</v>
      </c>
      <c r="B11" t="s">
        <v>272</v>
      </c>
      <c r="C11" t="s">
        <v>55</v>
      </c>
      <c r="D11" t="s">
        <v>68</v>
      </c>
      <c r="E11">
        <v>589</v>
      </c>
      <c r="F11" t="s">
        <v>290</v>
      </c>
      <c r="G11">
        <v>20</v>
      </c>
      <c r="H11">
        <v>-5.89</v>
      </c>
      <c r="I11">
        <v>3</v>
      </c>
      <c r="J11">
        <v>-2.89</v>
      </c>
      <c r="K11" t="s">
        <v>75</v>
      </c>
      <c r="L11">
        <v>-2.64</v>
      </c>
      <c r="M11" s="103">
        <v>-0.25</v>
      </c>
      <c r="N11" s="105" t="s">
        <v>292</v>
      </c>
    </row>
    <row r="12" spans="1:14" x14ac:dyDescent="0.3">
      <c r="A12" t="s">
        <v>263</v>
      </c>
      <c r="B12" t="s">
        <v>273</v>
      </c>
      <c r="C12" t="s">
        <v>55</v>
      </c>
      <c r="D12" t="s">
        <v>69</v>
      </c>
      <c r="E12">
        <v>589</v>
      </c>
      <c r="F12" t="s">
        <v>290</v>
      </c>
      <c r="G12">
        <v>20</v>
      </c>
      <c r="H12">
        <v>-5.89</v>
      </c>
      <c r="I12">
        <v>3</v>
      </c>
      <c r="J12">
        <v>-2.89</v>
      </c>
      <c r="K12" t="s">
        <v>75</v>
      </c>
      <c r="L12">
        <v>-2.64</v>
      </c>
      <c r="M12" s="103">
        <v>-0.25</v>
      </c>
      <c r="N12" s="105" t="s">
        <v>292</v>
      </c>
    </row>
    <row r="13" spans="1:14" x14ac:dyDescent="0.3">
      <c r="A13" t="s">
        <v>263</v>
      </c>
      <c r="B13" t="s">
        <v>275</v>
      </c>
      <c r="C13" t="s">
        <v>70</v>
      </c>
      <c r="D13" t="s">
        <v>71</v>
      </c>
      <c r="E13">
        <v>616</v>
      </c>
      <c r="F13" t="s">
        <v>290</v>
      </c>
      <c r="G13">
        <v>30</v>
      </c>
      <c r="H13">
        <v>-6.16</v>
      </c>
      <c r="I13">
        <v>4.5</v>
      </c>
      <c r="J13">
        <v>-1.66</v>
      </c>
      <c r="K13" t="s">
        <v>75</v>
      </c>
      <c r="L13">
        <v>-2.64</v>
      </c>
      <c r="M13" s="103">
        <v>0.98</v>
      </c>
      <c r="N13" s="106" t="s">
        <v>293</v>
      </c>
    </row>
    <row r="14" spans="1:14" x14ac:dyDescent="0.3">
      <c r="A14" t="s">
        <v>263</v>
      </c>
      <c r="B14" t="s">
        <v>265</v>
      </c>
      <c r="C14" t="s">
        <v>31</v>
      </c>
      <c r="D14" t="s">
        <v>32</v>
      </c>
      <c r="E14">
        <v>659</v>
      </c>
      <c r="F14" t="s">
        <v>290</v>
      </c>
      <c r="G14">
        <v>25</v>
      </c>
      <c r="H14">
        <v>-6.59</v>
      </c>
      <c r="I14">
        <v>3.75</v>
      </c>
      <c r="J14">
        <v>-2.84</v>
      </c>
      <c r="K14" t="s">
        <v>75</v>
      </c>
      <c r="L14">
        <v>-2.64</v>
      </c>
      <c r="M14" s="103">
        <v>-0.2</v>
      </c>
      <c r="N14" s="105" t="s">
        <v>292</v>
      </c>
    </row>
    <row r="15" spans="1:14" x14ac:dyDescent="0.3">
      <c r="A15" t="s">
        <v>263</v>
      </c>
      <c r="B15" t="s">
        <v>268</v>
      </c>
      <c r="C15" t="s">
        <v>55</v>
      </c>
      <c r="D15" t="s">
        <v>56</v>
      </c>
      <c r="E15">
        <v>689</v>
      </c>
      <c r="F15" t="s">
        <v>290</v>
      </c>
      <c r="G15">
        <v>30</v>
      </c>
      <c r="H15">
        <v>-6.89</v>
      </c>
      <c r="I15">
        <v>4.5</v>
      </c>
      <c r="J15">
        <v>-2.39</v>
      </c>
      <c r="K15" t="s">
        <v>75</v>
      </c>
      <c r="L15">
        <v>-2.64</v>
      </c>
      <c r="M15" s="103">
        <v>0.25</v>
      </c>
      <c r="N15" s="106" t="s">
        <v>293</v>
      </c>
    </row>
    <row r="16" spans="1:14" x14ac:dyDescent="0.3">
      <c r="A16" t="s">
        <v>263</v>
      </c>
      <c r="B16" t="s">
        <v>269</v>
      </c>
      <c r="C16" t="s">
        <v>55</v>
      </c>
      <c r="D16" t="s">
        <v>63</v>
      </c>
      <c r="E16">
        <v>689</v>
      </c>
      <c r="F16" t="s">
        <v>290</v>
      </c>
      <c r="G16">
        <v>30</v>
      </c>
      <c r="H16">
        <v>-6.89</v>
      </c>
      <c r="I16">
        <v>4.5</v>
      </c>
      <c r="J16">
        <v>-2.39</v>
      </c>
      <c r="K16" t="s">
        <v>75</v>
      </c>
      <c r="L16">
        <v>-2.64</v>
      </c>
      <c r="M16" s="103">
        <v>0.25</v>
      </c>
      <c r="N16" s="106" t="s">
        <v>293</v>
      </c>
    </row>
    <row r="17" spans="1:14" x14ac:dyDescent="0.3">
      <c r="A17" t="s">
        <v>263</v>
      </c>
      <c r="B17" t="s">
        <v>267</v>
      </c>
      <c r="C17" t="s">
        <v>55</v>
      </c>
      <c r="D17" t="s">
        <v>64</v>
      </c>
      <c r="E17">
        <v>689</v>
      </c>
      <c r="F17" t="s">
        <v>290</v>
      </c>
      <c r="G17">
        <v>30</v>
      </c>
      <c r="H17">
        <v>-6.89</v>
      </c>
      <c r="I17">
        <v>4.5</v>
      </c>
      <c r="J17">
        <v>-2.39</v>
      </c>
      <c r="K17" t="s">
        <v>75</v>
      </c>
      <c r="L17">
        <v>-2.64</v>
      </c>
      <c r="M17" s="103">
        <v>0.25</v>
      </c>
      <c r="N17" s="106" t="s">
        <v>293</v>
      </c>
    </row>
    <row r="18" spans="1:14" x14ac:dyDescent="0.3">
      <c r="A18" t="s">
        <v>263</v>
      </c>
      <c r="B18" t="s">
        <v>270</v>
      </c>
      <c r="C18" t="s">
        <v>55</v>
      </c>
      <c r="D18" t="s">
        <v>66</v>
      </c>
      <c r="E18">
        <v>689</v>
      </c>
      <c r="F18" t="s">
        <v>290</v>
      </c>
      <c r="G18">
        <v>30</v>
      </c>
      <c r="H18">
        <v>-6.89</v>
      </c>
      <c r="I18">
        <v>4.5</v>
      </c>
      <c r="J18">
        <v>-2.39</v>
      </c>
      <c r="K18" t="s">
        <v>75</v>
      </c>
      <c r="L18">
        <v>-2.64</v>
      </c>
      <c r="M18" s="103">
        <v>0.25</v>
      </c>
      <c r="N18" s="106" t="s">
        <v>293</v>
      </c>
    </row>
    <row r="19" spans="1:14" x14ac:dyDescent="0.3">
      <c r="A19" t="s">
        <v>263</v>
      </c>
      <c r="B19" t="s">
        <v>271</v>
      </c>
      <c r="C19" t="s">
        <v>55</v>
      </c>
      <c r="D19" t="s">
        <v>67</v>
      </c>
      <c r="E19">
        <v>689</v>
      </c>
      <c r="F19" t="s">
        <v>290</v>
      </c>
      <c r="G19">
        <v>30</v>
      </c>
      <c r="H19">
        <v>-6.89</v>
      </c>
      <c r="I19">
        <v>4.5</v>
      </c>
      <c r="J19">
        <v>-2.39</v>
      </c>
      <c r="K19" t="s">
        <v>75</v>
      </c>
      <c r="L19">
        <v>-2.64</v>
      </c>
      <c r="M19" s="103">
        <v>0.25</v>
      </c>
      <c r="N19" s="106" t="s">
        <v>293</v>
      </c>
    </row>
    <row r="20" spans="1:14" x14ac:dyDescent="0.3">
      <c r="A20" t="s">
        <v>263</v>
      </c>
      <c r="B20" t="s">
        <v>272</v>
      </c>
      <c r="C20" t="s">
        <v>55</v>
      </c>
      <c r="D20" t="s">
        <v>68</v>
      </c>
      <c r="E20">
        <v>689</v>
      </c>
      <c r="F20" t="s">
        <v>290</v>
      </c>
      <c r="G20">
        <v>30</v>
      </c>
      <c r="H20">
        <v>-6.89</v>
      </c>
      <c r="I20">
        <v>4.5</v>
      </c>
      <c r="J20">
        <v>-2.39</v>
      </c>
      <c r="K20" t="s">
        <v>75</v>
      </c>
      <c r="L20">
        <v>-2.64</v>
      </c>
      <c r="M20" s="103">
        <v>0.25</v>
      </c>
      <c r="N20" s="106" t="s">
        <v>293</v>
      </c>
    </row>
    <row r="21" spans="1:14" x14ac:dyDescent="0.3">
      <c r="A21" t="s">
        <v>263</v>
      </c>
      <c r="B21" t="s">
        <v>273</v>
      </c>
      <c r="C21" t="s">
        <v>55</v>
      </c>
      <c r="D21" t="s">
        <v>69</v>
      </c>
      <c r="E21">
        <v>689</v>
      </c>
      <c r="F21" t="s">
        <v>290</v>
      </c>
      <c r="G21">
        <v>30</v>
      </c>
      <c r="H21">
        <v>-6.89</v>
      </c>
      <c r="I21">
        <v>4.5</v>
      </c>
      <c r="J21">
        <v>-2.39</v>
      </c>
      <c r="K21" t="s">
        <v>75</v>
      </c>
      <c r="L21">
        <v>-2.64</v>
      </c>
      <c r="M21" s="103">
        <v>0.25</v>
      </c>
      <c r="N21" s="106" t="s">
        <v>293</v>
      </c>
    </row>
    <row r="22" spans="1:14" x14ac:dyDescent="0.3">
      <c r="A22" t="s">
        <v>263</v>
      </c>
      <c r="B22" t="s">
        <v>266</v>
      </c>
      <c r="C22" t="s">
        <v>31</v>
      </c>
      <c r="D22" t="s">
        <v>41</v>
      </c>
      <c r="E22">
        <v>699</v>
      </c>
      <c r="F22" t="s">
        <v>290</v>
      </c>
      <c r="G22">
        <v>25</v>
      </c>
      <c r="H22">
        <v>-6.99</v>
      </c>
      <c r="I22">
        <v>3.75</v>
      </c>
      <c r="J22">
        <v>-3.24</v>
      </c>
      <c r="K22" t="s">
        <v>75</v>
      </c>
      <c r="L22">
        <v>-2.64</v>
      </c>
      <c r="M22" s="103">
        <v>-0.6</v>
      </c>
      <c r="N22" s="105" t="s">
        <v>292</v>
      </c>
    </row>
    <row r="23" spans="1:14" x14ac:dyDescent="0.3">
      <c r="A23" t="s">
        <v>263</v>
      </c>
      <c r="B23" t="s">
        <v>267</v>
      </c>
      <c r="C23" t="s">
        <v>31</v>
      </c>
      <c r="D23" t="s">
        <v>47</v>
      </c>
      <c r="E23">
        <v>699</v>
      </c>
      <c r="F23" t="s">
        <v>290</v>
      </c>
      <c r="G23">
        <v>25</v>
      </c>
      <c r="H23">
        <v>-6.99</v>
      </c>
      <c r="I23">
        <v>3.75</v>
      </c>
      <c r="J23">
        <v>-3.24</v>
      </c>
      <c r="K23" t="s">
        <v>75</v>
      </c>
      <c r="L23">
        <v>-2.64</v>
      </c>
      <c r="M23" s="103">
        <v>-0.6</v>
      </c>
      <c r="N23" s="105" t="s">
        <v>292</v>
      </c>
    </row>
    <row r="24" spans="1:14" x14ac:dyDescent="0.3">
      <c r="A24" t="s">
        <v>263</v>
      </c>
      <c r="B24" t="s">
        <v>268</v>
      </c>
      <c r="C24" t="s">
        <v>55</v>
      </c>
      <c r="D24" t="s">
        <v>56</v>
      </c>
      <c r="E24">
        <v>779</v>
      </c>
      <c r="F24" t="s">
        <v>290</v>
      </c>
      <c r="G24">
        <v>80</v>
      </c>
      <c r="H24">
        <v>-7.79</v>
      </c>
      <c r="I24">
        <v>12</v>
      </c>
      <c r="J24">
        <v>4.21</v>
      </c>
      <c r="K24" t="s">
        <v>75</v>
      </c>
      <c r="L24">
        <v>-2.64</v>
      </c>
      <c r="M24" s="103">
        <v>6.85</v>
      </c>
      <c r="N24" s="104" t="s">
        <v>291</v>
      </c>
    </row>
    <row r="25" spans="1:14" x14ac:dyDescent="0.3">
      <c r="A25" t="s">
        <v>263</v>
      </c>
      <c r="B25" t="s">
        <v>269</v>
      </c>
      <c r="C25" t="s">
        <v>55</v>
      </c>
      <c r="D25" t="s">
        <v>63</v>
      </c>
      <c r="E25">
        <v>779</v>
      </c>
      <c r="F25" t="s">
        <v>290</v>
      </c>
      <c r="G25">
        <v>80</v>
      </c>
      <c r="H25">
        <v>-7.79</v>
      </c>
      <c r="I25">
        <v>12</v>
      </c>
      <c r="J25">
        <v>4.21</v>
      </c>
      <c r="K25" t="s">
        <v>75</v>
      </c>
      <c r="L25">
        <v>-2.64</v>
      </c>
      <c r="M25" s="103">
        <v>6.85</v>
      </c>
      <c r="N25" s="104" t="s">
        <v>291</v>
      </c>
    </row>
    <row r="26" spans="1:14" x14ac:dyDescent="0.3">
      <c r="A26" t="s">
        <v>263</v>
      </c>
      <c r="B26" t="s">
        <v>267</v>
      </c>
      <c r="C26" t="s">
        <v>55</v>
      </c>
      <c r="D26" t="s">
        <v>64</v>
      </c>
      <c r="E26">
        <v>779</v>
      </c>
      <c r="F26" t="s">
        <v>290</v>
      </c>
      <c r="G26">
        <v>80</v>
      </c>
      <c r="H26">
        <v>-7.79</v>
      </c>
      <c r="I26">
        <v>12</v>
      </c>
      <c r="J26">
        <v>4.21</v>
      </c>
      <c r="K26" t="s">
        <v>75</v>
      </c>
      <c r="L26">
        <v>-2.64</v>
      </c>
      <c r="M26" s="103">
        <v>6.85</v>
      </c>
      <c r="N26" s="104" t="s">
        <v>291</v>
      </c>
    </row>
    <row r="27" spans="1:14" x14ac:dyDescent="0.3">
      <c r="A27" t="s">
        <v>263</v>
      </c>
      <c r="B27" t="s">
        <v>270</v>
      </c>
      <c r="C27" t="s">
        <v>55</v>
      </c>
      <c r="D27" t="s">
        <v>66</v>
      </c>
      <c r="E27">
        <v>779</v>
      </c>
      <c r="F27" t="s">
        <v>290</v>
      </c>
      <c r="G27">
        <v>80</v>
      </c>
      <c r="H27">
        <v>-7.79</v>
      </c>
      <c r="I27">
        <v>12</v>
      </c>
      <c r="J27">
        <v>4.21</v>
      </c>
      <c r="K27" t="s">
        <v>75</v>
      </c>
      <c r="L27">
        <v>-2.64</v>
      </c>
      <c r="M27" s="103">
        <v>6.85</v>
      </c>
      <c r="N27" s="104" t="s">
        <v>291</v>
      </c>
    </row>
    <row r="28" spans="1:14" x14ac:dyDescent="0.3">
      <c r="A28" t="s">
        <v>263</v>
      </c>
      <c r="B28" t="s">
        <v>271</v>
      </c>
      <c r="C28" t="s">
        <v>55</v>
      </c>
      <c r="D28" t="s">
        <v>67</v>
      </c>
      <c r="E28">
        <v>779</v>
      </c>
      <c r="F28" t="s">
        <v>290</v>
      </c>
      <c r="G28">
        <v>80</v>
      </c>
      <c r="H28">
        <v>-7.79</v>
      </c>
      <c r="I28">
        <v>12</v>
      </c>
      <c r="J28">
        <v>4.21</v>
      </c>
      <c r="K28" t="s">
        <v>75</v>
      </c>
      <c r="L28">
        <v>-2.64</v>
      </c>
      <c r="M28" s="103">
        <v>6.85</v>
      </c>
      <c r="N28" s="104" t="s">
        <v>291</v>
      </c>
    </row>
    <row r="29" spans="1:14" x14ac:dyDescent="0.3">
      <c r="A29" t="s">
        <v>263</v>
      </c>
      <c r="B29" t="s">
        <v>272</v>
      </c>
      <c r="C29" t="s">
        <v>55</v>
      </c>
      <c r="D29" t="s">
        <v>68</v>
      </c>
      <c r="E29">
        <v>779</v>
      </c>
      <c r="F29" t="s">
        <v>290</v>
      </c>
      <c r="G29">
        <v>80</v>
      </c>
      <c r="H29">
        <v>-7.79</v>
      </c>
      <c r="I29">
        <v>12</v>
      </c>
      <c r="J29">
        <v>4.21</v>
      </c>
      <c r="K29" t="s">
        <v>75</v>
      </c>
      <c r="L29">
        <v>-2.64</v>
      </c>
      <c r="M29" s="103">
        <v>6.85</v>
      </c>
      <c r="N29" s="104" t="s">
        <v>291</v>
      </c>
    </row>
    <row r="30" spans="1:14" x14ac:dyDescent="0.3">
      <c r="A30" t="s">
        <v>263</v>
      </c>
      <c r="B30" t="s">
        <v>273</v>
      </c>
      <c r="C30" t="s">
        <v>55</v>
      </c>
      <c r="D30" t="s">
        <v>69</v>
      </c>
      <c r="E30">
        <v>779</v>
      </c>
      <c r="F30" t="s">
        <v>290</v>
      </c>
      <c r="G30">
        <v>80</v>
      </c>
      <c r="H30">
        <v>-7.79</v>
      </c>
      <c r="I30">
        <v>12</v>
      </c>
      <c r="J30">
        <v>4.21</v>
      </c>
      <c r="K30" t="s">
        <v>75</v>
      </c>
      <c r="L30">
        <v>-2.64</v>
      </c>
      <c r="M30" s="103">
        <v>6.85</v>
      </c>
      <c r="N30" s="104" t="s">
        <v>291</v>
      </c>
    </row>
    <row r="31" spans="1:14" x14ac:dyDescent="0.3">
      <c r="A31" t="s">
        <v>263</v>
      </c>
      <c r="B31" t="s">
        <v>267</v>
      </c>
      <c r="C31" t="s">
        <v>31</v>
      </c>
      <c r="D31" t="s">
        <v>47</v>
      </c>
      <c r="E31">
        <v>899</v>
      </c>
      <c r="F31" t="s">
        <v>290</v>
      </c>
      <c r="G31">
        <v>80</v>
      </c>
      <c r="H31">
        <v>-8.99</v>
      </c>
      <c r="I31">
        <v>12</v>
      </c>
      <c r="J31">
        <v>3.01</v>
      </c>
      <c r="K31" t="s">
        <v>75</v>
      </c>
      <c r="L31">
        <v>-2.64</v>
      </c>
      <c r="M31" s="103">
        <v>5.65</v>
      </c>
      <c r="N31" s="104" t="s">
        <v>291</v>
      </c>
    </row>
    <row r="32" spans="1:14" x14ac:dyDescent="0.3">
      <c r="A32" t="s">
        <v>263</v>
      </c>
      <c r="B32" t="s">
        <v>274</v>
      </c>
      <c r="C32" t="s">
        <v>31</v>
      </c>
      <c r="D32" t="s">
        <v>50</v>
      </c>
      <c r="E32">
        <v>899</v>
      </c>
      <c r="F32" t="s">
        <v>290</v>
      </c>
      <c r="G32">
        <v>80</v>
      </c>
      <c r="H32">
        <v>-8.99</v>
      </c>
      <c r="I32">
        <v>12</v>
      </c>
      <c r="J32">
        <v>3.01</v>
      </c>
      <c r="K32" t="s">
        <v>75</v>
      </c>
      <c r="L32">
        <v>-2.64</v>
      </c>
      <c r="M32" s="103">
        <v>5.65</v>
      </c>
      <c r="N32" s="104" t="s">
        <v>291</v>
      </c>
    </row>
    <row r="33" spans="1:14" x14ac:dyDescent="0.3">
      <c r="A33" t="s">
        <v>263</v>
      </c>
      <c r="B33" t="s">
        <v>265</v>
      </c>
      <c r="C33" t="s">
        <v>31</v>
      </c>
      <c r="D33" t="s">
        <v>32</v>
      </c>
      <c r="E33">
        <v>899</v>
      </c>
      <c r="F33" t="s">
        <v>290</v>
      </c>
      <c r="G33">
        <v>80</v>
      </c>
      <c r="H33">
        <v>-8.99</v>
      </c>
      <c r="I33">
        <v>12</v>
      </c>
      <c r="J33">
        <v>3.01</v>
      </c>
      <c r="K33" t="s">
        <v>75</v>
      </c>
      <c r="L33">
        <v>-2.64</v>
      </c>
      <c r="M33" s="103">
        <v>5.65</v>
      </c>
      <c r="N33" s="104" t="s">
        <v>291</v>
      </c>
    </row>
    <row r="34" spans="1:14" x14ac:dyDescent="0.3">
      <c r="A34" t="s">
        <v>263</v>
      </c>
      <c r="B34" t="s">
        <v>294</v>
      </c>
      <c r="C34" t="s">
        <v>82</v>
      </c>
      <c r="D34" t="s">
        <v>83</v>
      </c>
      <c r="E34">
        <v>1031</v>
      </c>
      <c r="F34" t="s">
        <v>290</v>
      </c>
      <c r="G34">
        <v>46</v>
      </c>
      <c r="H34">
        <v>-10.31</v>
      </c>
      <c r="I34">
        <v>6.9</v>
      </c>
      <c r="J34">
        <v>-3.41</v>
      </c>
      <c r="K34" t="s">
        <v>75</v>
      </c>
      <c r="L34">
        <v>-2.64</v>
      </c>
      <c r="M34" s="103">
        <v>-0.77</v>
      </c>
      <c r="N34" s="105" t="s">
        <v>292</v>
      </c>
    </row>
    <row r="35" spans="1:14" x14ac:dyDescent="0.3">
      <c r="A35" t="s">
        <v>263</v>
      </c>
      <c r="B35" t="s">
        <v>266</v>
      </c>
      <c r="C35" t="s">
        <v>31</v>
      </c>
      <c r="D35" t="s">
        <v>41</v>
      </c>
      <c r="E35">
        <v>1299</v>
      </c>
      <c r="F35" t="s">
        <v>290</v>
      </c>
      <c r="G35">
        <v>80</v>
      </c>
      <c r="H35">
        <v>-12.99</v>
      </c>
      <c r="I35">
        <v>12</v>
      </c>
      <c r="J35">
        <v>-0.99</v>
      </c>
      <c r="K35" t="s">
        <v>75</v>
      </c>
      <c r="L35">
        <v>-2.64</v>
      </c>
      <c r="M35" s="103">
        <v>1.65</v>
      </c>
      <c r="N35" s="104" t="s">
        <v>291</v>
      </c>
    </row>
    <row r="36" spans="1:14" x14ac:dyDescent="0.3">
      <c r="A36" t="s">
        <v>263</v>
      </c>
      <c r="B36" t="s">
        <v>265</v>
      </c>
      <c r="C36" t="s">
        <v>91</v>
      </c>
      <c r="D36" t="s">
        <v>92</v>
      </c>
      <c r="E36">
        <v>1717</v>
      </c>
      <c r="F36" t="s">
        <v>290</v>
      </c>
      <c r="G36">
        <v>92</v>
      </c>
      <c r="H36">
        <v>-17.170000000000002</v>
      </c>
      <c r="I36">
        <v>13.8</v>
      </c>
      <c r="J36">
        <v>-3.37</v>
      </c>
      <c r="K36" t="s">
        <v>75</v>
      </c>
      <c r="L36">
        <v>-2.64</v>
      </c>
      <c r="M36" s="103">
        <v>-0.73</v>
      </c>
      <c r="N36" s="105" t="s">
        <v>292</v>
      </c>
    </row>
    <row r="37" spans="1:14" x14ac:dyDescent="0.3">
      <c r="A37" t="s">
        <v>295</v>
      </c>
      <c r="B37" t="s">
        <v>267</v>
      </c>
      <c r="C37" t="s">
        <v>55</v>
      </c>
      <c r="D37" t="s">
        <v>64</v>
      </c>
      <c r="E37">
        <v>639</v>
      </c>
      <c r="F37" t="s">
        <v>290</v>
      </c>
      <c r="G37">
        <v>80</v>
      </c>
      <c r="H37">
        <v>-6.39</v>
      </c>
      <c r="I37">
        <v>12</v>
      </c>
      <c r="J37">
        <v>5.61</v>
      </c>
      <c r="K37" t="s">
        <v>79</v>
      </c>
      <c r="L37">
        <v>4.5</v>
      </c>
      <c r="M37" s="103">
        <v>1.1100000000000001</v>
      </c>
      <c r="N37" s="104" t="s">
        <v>291</v>
      </c>
    </row>
    <row r="38" spans="1:14" x14ac:dyDescent="0.3">
      <c r="A38" t="s">
        <v>295</v>
      </c>
      <c r="B38" t="s">
        <v>271</v>
      </c>
      <c r="C38" t="s">
        <v>55</v>
      </c>
      <c r="D38" t="s">
        <v>67</v>
      </c>
      <c r="E38">
        <v>639</v>
      </c>
      <c r="F38" t="s">
        <v>290</v>
      </c>
      <c r="G38">
        <v>80</v>
      </c>
      <c r="H38">
        <v>-6.39</v>
      </c>
      <c r="I38">
        <v>12</v>
      </c>
      <c r="J38">
        <v>5.61</v>
      </c>
      <c r="K38" t="s">
        <v>79</v>
      </c>
      <c r="L38">
        <v>4.5</v>
      </c>
      <c r="M38" s="103">
        <v>1.1100000000000001</v>
      </c>
      <c r="N38" s="104" t="s">
        <v>291</v>
      </c>
    </row>
    <row r="39" spans="1:14" x14ac:dyDescent="0.3">
      <c r="A39" t="s">
        <v>295</v>
      </c>
      <c r="B39" t="s">
        <v>273</v>
      </c>
      <c r="C39" t="s">
        <v>55</v>
      </c>
      <c r="D39" t="s">
        <v>69</v>
      </c>
      <c r="E39">
        <v>639</v>
      </c>
      <c r="F39" t="s">
        <v>290</v>
      </c>
      <c r="G39">
        <v>80</v>
      </c>
      <c r="H39">
        <v>-6.39</v>
      </c>
      <c r="I39">
        <v>12</v>
      </c>
      <c r="J39">
        <v>5.61</v>
      </c>
      <c r="K39" t="s">
        <v>79</v>
      </c>
      <c r="L39">
        <v>4.5</v>
      </c>
      <c r="M39" s="103">
        <v>1.1100000000000001</v>
      </c>
      <c r="N39" s="104" t="s">
        <v>291</v>
      </c>
    </row>
    <row r="40" spans="1:14" x14ac:dyDescent="0.3">
      <c r="A40" t="s">
        <v>295</v>
      </c>
      <c r="B40" t="s">
        <v>269</v>
      </c>
      <c r="C40" t="s">
        <v>55</v>
      </c>
      <c r="D40" t="s">
        <v>63</v>
      </c>
      <c r="E40">
        <v>679</v>
      </c>
      <c r="F40" t="s">
        <v>290</v>
      </c>
      <c r="G40">
        <v>80</v>
      </c>
      <c r="H40">
        <v>-6.79</v>
      </c>
      <c r="I40">
        <v>12</v>
      </c>
      <c r="J40">
        <v>5.21</v>
      </c>
      <c r="K40" t="s">
        <v>79</v>
      </c>
      <c r="L40">
        <v>4.5</v>
      </c>
      <c r="M40" s="103">
        <v>0.71</v>
      </c>
      <c r="N40" s="106" t="s">
        <v>293</v>
      </c>
    </row>
    <row r="41" spans="1:14" x14ac:dyDescent="0.3">
      <c r="A41" t="s">
        <v>295</v>
      </c>
      <c r="B41" t="s">
        <v>270</v>
      </c>
      <c r="C41" t="s">
        <v>55</v>
      </c>
      <c r="D41" t="s">
        <v>66</v>
      </c>
      <c r="E41">
        <v>679</v>
      </c>
      <c r="F41" t="s">
        <v>290</v>
      </c>
      <c r="G41">
        <v>80</v>
      </c>
      <c r="H41">
        <v>-6.79</v>
      </c>
      <c r="I41">
        <v>12</v>
      </c>
      <c r="J41">
        <v>5.21</v>
      </c>
      <c r="K41" t="s">
        <v>79</v>
      </c>
      <c r="L41">
        <v>4.5</v>
      </c>
      <c r="M41" s="103">
        <v>0.71</v>
      </c>
      <c r="N41" s="106" t="s">
        <v>293</v>
      </c>
    </row>
    <row r="42" spans="1:14" x14ac:dyDescent="0.3">
      <c r="A42" t="s">
        <v>295</v>
      </c>
      <c r="B42" t="s">
        <v>272</v>
      </c>
      <c r="C42" t="s">
        <v>55</v>
      </c>
      <c r="D42" t="s">
        <v>68</v>
      </c>
      <c r="E42">
        <v>679</v>
      </c>
      <c r="F42" t="s">
        <v>290</v>
      </c>
      <c r="G42">
        <v>80</v>
      </c>
      <c r="H42">
        <v>-6.79</v>
      </c>
      <c r="I42">
        <v>12</v>
      </c>
      <c r="J42">
        <v>5.21</v>
      </c>
      <c r="K42" t="s">
        <v>79</v>
      </c>
      <c r="L42">
        <v>4.5</v>
      </c>
      <c r="M42" s="103">
        <v>0.71</v>
      </c>
      <c r="N42" s="106" t="s">
        <v>293</v>
      </c>
    </row>
    <row r="43" spans="1:14" x14ac:dyDescent="0.3">
      <c r="A43" t="s">
        <v>295</v>
      </c>
      <c r="B43" t="s">
        <v>268</v>
      </c>
      <c r="C43" t="s">
        <v>55</v>
      </c>
      <c r="D43" t="s">
        <v>56</v>
      </c>
      <c r="E43">
        <v>729</v>
      </c>
      <c r="F43" t="s">
        <v>290</v>
      </c>
      <c r="G43">
        <v>80</v>
      </c>
      <c r="H43">
        <v>-7.29</v>
      </c>
      <c r="I43">
        <v>12</v>
      </c>
      <c r="J43">
        <v>4.71</v>
      </c>
      <c r="K43" t="s">
        <v>79</v>
      </c>
      <c r="L43">
        <v>4.5</v>
      </c>
      <c r="M43" s="103">
        <v>0.21</v>
      </c>
      <c r="N43" s="106" t="s">
        <v>293</v>
      </c>
    </row>
    <row r="44" spans="1:14" x14ac:dyDescent="0.3">
      <c r="A44" t="s">
        <v>295</v>
      </c>
      <c r="B44" t="s">
        <v>296</v>
      </c>
      <c r="C44" t="s">
        <v>91</v>
      </c>
      <c r="D44" t="s">
        <v>101</v>
      </c>
      <c r="E44">
        <v>824</v>
      </c>
      <c r="F44" t="s">
        <v>290</v>
      </c>
      <c r="G44">
        <v>92</v>
      </c>
      <c r="H44">
        <v>-8.24</v>
      </c>
      <c r="I44">
        <v>13.8</v>
      </c>
      <c r="J44">
        <v>5.56</v>
      </c>
      <c r="K44" t="s">
        <v>79</v>
      </c>
      <c r="L44">
        <v>4.5</v>
      </c>
      <c r="M44" s="103">
        <v>1.06</v>
      </c>
      <c r="N44" s="104" t="s">
        <v>291</v>
      </c>
    </row>
    <row r="45" spans="1:14" x14ac:dyDescent="0.3">
      <c r="A45" t="s">
        <v>295</v>
      </c>
      <c r="B45" t="s">
        <v>297</v>
      </c>
      <c r="C45" t="s">
        <v>91</v>
      </c>
      <c r="D45" t="s">
        <v>102</v>
      </c>
      <c r="E45">
        <v>824</v>
      </c>
      <c r="F45" t="s">
        <v>290</v>
      </c>
      <c r="G45">
        <v>92</v>
      </c>
      <c r="H45">
        <v>-8.24</v>
      </c>
      <c r="I45">
        <v>13.8</v>
      </c>
      <c r="J45">
        <v>5.56</v>
      </c>
      <c r="K45" t="s">
        <v>79</v>
      </c>
      <c r="L45">
        <v>4.5</v>
      </c>
      <c r="M45" s="103">
        <v>1.06</v>
      </c>
      <c r="N45" s="104" t="s">
        <v>291</v>
      </c>
    </row>
    <row r="46" spans="1:14" x14ac:dyDescent="0.3">
      <c r="A46" t="s">
        <v>298</v>
      </c>
      <c r="B46" t="s">
        <v>299</v>
      </c>
      <c r="C46" t="s">
        <v>70</v>
      </c>
      <c r="D46" t="s">
        <v>152</v>
      </c>
      <c r="E46">
        <v>416</v>
      </c>
      <c r="F46" t="s">
        <v>290</v>
      </c>
      <c r="G46">
        <v>40</v>
      </c>
      <c r="H46">
        <v>-4.16</v>
      </c>
      <c r="I46">
        <v>6</v>
      </c>
      <c r="J46">
        <v>1.84</v>
      </c>
      <c r="K46" t="s">
        <v>159</v>
      </c>
      <c r="L46">
        <v>1.5</v>
      </c>
      <c r="M46" s="103">
        <v>0.34</v>
      </c>
      <c r="N46" s="106" t="s">
        <v>293</v>
      </c>
    </row>
    <row r="47" spans="1:14" x14ac:dyDescent="0.3">
      <c r="A47" t="s">
        <v>298</v>
      </c>
      <c r="B47" t="s">
        <v>268</v>
      </c>
      <c r="C47" t="s">
        <v>55</v>
      </c>
      <c r="D47" t="s">
        <v>56</v>
      </c>
      <c r="E47">
        <v>519</v>
      </c>
      <c r="F47" t="s">
        <v>290</v>
      </c>
      <c r="G47">
        <v>80</v>
      </c>
      <c r="H47">
        <v>-5.19</v>
      </c>
      <c r="I47">
        <v>12</v>
      </c>
      <c r="J47">
        <v>6.81</v>
      </c>
      <c r="K47" t="s">
        <v>159</v>
      </c>
      <c r="L47">
        <v>1.5</v>
      </c>
      <c r="M47" s="103">
        <v>5.31</v>
      </c>
      <c r="N47" s="104" t="s">
        <v>291</v>
      </c>
    </row>
    <row r="48" spans="1:14" x14ac:dyDescent="0.3">
      <c r="A48" t="s">
        <v>298</v>
      </c>
      <c r="B48" t="s">
        <v>267</v>
      </c>
      <c r="C48" t="s">
        <v>55</v>
      </c>
      <c r="D48" t="s">
        <v>64</v>
      </c>
      <c r="E48">
        <v>519</v>
      </c>
      <c r="F48" t="s">
        <v>290</v>
      </c>
      <c r="G48">
        <v>80</v>
      </c>
      <c r="H48">
        <v>-5.19</v>
      </c>
      <c r="I48">
        <v>12</v>
      </c>
      <c r="J48">
        <v>6.81</v>
      </c>
      <c r="K48" t="s">
        <v>159</v>
      </c>
      <c r="L48">
        <v>1.5</v>
      </c>
      <c r="M48" s="103">
        <v>5.31</v>
      </c>
      <c r="N48" s="104" t="s">
        <v>291</v>
      </c>
    </row>
    <row r="49" spans="1:14" x14ac:dyDescent="0.3">
      <c r="A49" t="s">
        <v>298</v>
      </c>
      <c r="B49" t="s">
        <v>270</v>
      </c>
      <c r="C49" t="s">
        <v>55</v>
      </c>
      <c r="D49" t="s">
        <v>66</v>
      </c>
      <c r="E49">
        <v>519</v>
      </c>
      <c r="F49" t="s">
        <v>290</v>
      </c>
      <c r="G49">
        <v>80</v>
      </c>
      <c r="H49">
        <v>-5.19</v>
      </c>
      <c r="I49">
        <v>12</v>
      </c>
      <c r="J49">
        <v>6.81</v>
      </c>
      <c r="K49" t="s">
        <v>159</v>
      </c>
      <c r="L49">
        <v>1.5</v>
      </c>
      <c r="M49" s="103">
        <v>5.31</v>
      </c>
      <c r="N49" s="104" t="s">
        <v>291</v>
      </c>
    </row>
    <row r="50" spans="1:14" x14ac:dyDescent="0.3">
      <c r="A50" t="s">
        <v>298</v>
      </c>
      <c r="B50" t="s">
        <v>272</v>
      </c>
      <c r="C50" t="s">
        <v>55</v>
      </c>
      <c r="D50" t="s">
        <v>68</v>
      </c>
      <c r="E50">
        <v>519</v>
      </c>
      <c r="F50" t="s">
        <v>290</v>
      </c>
      <c r="G50">
        <v>80</v>
      </c>
      <c r="H50">
        <v>-5.19</v>
      </c>
      <c r="I50">
        <v>12</v>
      </c>
      <c r="J50">
        <v>6.81</v>
      </c>
      <c r="K50" t="s">
        <v>159</v>
      </c>
      <c r="L50">
        <v>1.5</v>
      </c>
      <c r="M50" s="103">
        <v>5.31</v>
      </c>
      <c r="N50" s="104" t="s">
        <v>291</v>
      </c>
    </row>
    <row r="51" spans="1:14" x14ac:dyDescent="0.3">
      <c r="A51" t="s">
        <v>298</v>
      </c>
      <c r="B51" t="s">
        <v>273</v>
      </c>
      <c r="C51" t="s">
        <v>55</v>
      </c>
      <c r="D51" t="s">
        <v>69</v>
      </c>
      <c r="E51">
        <v>519</v>
      </c>
      <c r="F51" t="s">
        <v>290</v>
      </c>
      <c r="G51">
        <v>80</v>
      </c>
      <c r="H51">
        <v>-5.19</v>
      </c>
      <c r="I51">
        <v>12</v>
      </c>
      <c r="J51">
        <v>6.81</v>
      </c>
      <c r="K51" t="s">
        <v>159</v>
      </c>
      <c r="L51">
        <v>1.5</v>
      </c>
      <c r="M51" s="103">
        <v>5.31</v>
      </c>
      <c r="N51" s="104" t="s">
        <v>291</v>
      </c>
    </row>
    <row r="52" spans="1:14" x14ac:dyDescent="0.3">
      <c r="A52" t="s">
        <v>298</v>
      </c>
      <c r="B52" t="s">
        <v>269</v>
      </c>
      <c r="C52" t="s">
        <v>55</v>
      </c>
      <c r="D52" t="s">
        <v>63</v>
      </c>
      <c r="E52">
        <v>559</v>
      </c>
      <c r="F52" t="s">
        <v>290</v>
      </c>
      <c r="G52">
        <v>80</v>
      </c>
      <c r="H52">
        <v>-5.59</v>
      </c>
      <c r="I52">
        <v>12</v>
      </c>
      <c r="J52">
        <v>6.41</v>
      </c>
      <c r="K52" t="s">
        <v>159</v>
      </c>
      <c r="L52">
        <v>1.5</v>
      </c>
      <c r="M52" s="103">
        <v>4.91</v>
      </c>
      <c r="N52" s="104" t="s">
        <v>291</v>
      </c>
    </row>
    <row r="53" spans="1:14" x14ac:dyDescent="0.3">
      <c r="A53" t="s">
        <v>298</v>
      </c>
      <c r="B53" t="s">
        <v>300</v>
      </c>
      <c r="C53" t="s">
        <v>154</v>
      </c>
      <c r="D53" t="s">
        <v>155</v>
      </c>
      <c r="E53">
        <v>563</v>
      </c>
      <c r="F53" t="s">
        <v>290</v>
      </c>
      <c r="G53">
        <v>80</v>
      </c>
      <c r="H53">
        <v>-5.63</v>
      </c>
      <c r="I53">
        <v>12</v>
      </c>
      <c r="J53">
        <v>6.37</v>
      </c>
      <c r="K53" t="s">
        <v>159</v>
      </c>
      <c r="L53">
        <v>1.5</v>
      </c>
      <c r="M53" s="103">
        <v>4.87</v>
      </c>
      <c r="N53" s="104" t="s">
        <v>291</v>
      </c>
    </row>
    <row r="54" spans="1:14" x14ac:dyDescent="0.3">
      <c r="A54" t="s">
        <v>298</v>
      </c>
      <c r="B54" t="s">
        <v>271</v>
      </c>
      <c r="C54" t="s">
        <v>55</v>
      </c>
      <c r="D54" t="s">
        <v>67</v>
      </c>
      <c r="E54">
        <v>599</v>
      </c>
      <c r="F54" t="s">
        <v>290</v>
      </c>
      <c r="G54">
        <v>80</v>
      </c>
      <c r="H54">
        <v>-5.99</v>
      </c>
      <c r="I54">
        <v>12</v>
      </c>
      <c r="J54">
        <v>6.01</v>
      </c>
      <c r="K54" t="s">
        <v>159</v>
      </c>
      <c r="L54">
        <v>1.5</v>
      </c>
      <c r="M54" s="103">
        <v>4.51</v>
      </c>
      <c r="N54" s="104" t="s">
        <v>291</v>
      </c>
    </row>
    <row r="55" spans="1:14" x14ac:dyDescent="0.3">
      <c r="A55" t="s">
        <v>298</v>
      </c>
      <c r="B55" t="s">
        <v>301</v>
      </c>
      <c r="C55" t="s">
        <v>91</v>
      </c>
      <c r="D55" t="s">
        <v>167</v>
      </c>
      <c r="E55">
        <v>626</v>
      </c>
      <c r="F55" t="s">
        <v>290</v>
      </c>
      <c r="G55">
        <v>92</v>
      </c>
      <c r="H55">
        <v>-6.26</v>
      </c>
      <c r="I55">
        <v>13.8</v>
      </c>
      <c r="J55">
        <v>7.54</v>
      </c>
      <c r="K55" t="s">
        <v>79</v>
      </c>
      <c r="L55">
        <v>4.5</v>
      </c>
      <c r="M55" s="103">
        <v>3.04</v>
      </c>
      <c r="N55" s="104" t="s">
        <v>291</v>
      </c>
    </row>
    <row r="56" spans="1:14" x14ac:dyDescent="0.3">
      <c r="A56" t="s">
        <v>298</v>
      </c>
      <c r="B56" t="s">
        <v>302</v>
      </c>
      <c r="C56" t="s">
        <v>91</v>
      </c>
      <c r="D56" t="s">
        <v>96</v>
      </c>
      <c r="E56">
        <v>711</v>
      </c>
      <c r="F56" t="s">
        <v>290</v>
      </c>
      <c r="G56">
        <v>92</v>
      </c>
      <c r="H56">
        <v>-7.11</v>
      </c>
      <c r="I56">
        <v>13.8</v>
      </c>
      <c r="J56">
        <v>6.69</v>
      </c>
      <c r="K56" t="s">
        <v>159</v>
      </c>
      <c r="L56">
        <v>1.5</v>
      </c>
      <c r="M56" s="103">
        <v>5.19</v>
      </c>
      <c r="N56" s="104" t="s">
        <v>291</v>
      </c>
    </row>
    <row r="57" spans="1:14" x14ac:dyDescent="0.3">
      <c r="A57" t="s">
        <v>298</v>
      </c>
      <c r="B57" t="s">
        <v>296</v>
      </c>
      <c r="C57" t="s">
        <v>91</v>
      </c>
      <c r="D57" t="s">
        <v>101</v>
      </c>
      <c r="E57">
        <v>711</v>
      </c>
      <c r="F57" t="s">
        <v>290</v>
      </c>
      <c r="G57">
        <v>92</v>
      </c>
      <c r="H57">
        <v>-7.11</v>
      </c>
      <c r="I57">
        <v>13.8</v>
      </c>
      <c r="J57">
        <v>6.69</v>
      </c>
      <c r="K57" t="s">
        <v>159</v>
      </c>
      <c r="L57">
        <v>1.5</v>
      </c>
      <c r="M57" s="103">
        <v>5.19</v>
      </c>
      <c r="N57" s="104" t="s">
        <v>291</v>
      </c>
    </row>
    <row r="58" spans="1:14" x14ac:dyDescent="0.3">
      <c r="A58" t="s">
        <v>298</v>
      </c>
      <c r="B58" t="s">
        <v>297</v>
      </c>
      <c r="C58" t="s">
        <v>91</v>
      </c>
      <c r="D58" t="s">
        <v>102</v>
      </c>
      <c r="E58">
        <v>711</v>
      </c>
      <c r="F58" t="s">
        <v>290</v>
      </c>
      <c r="G58">
        <v>92</v>
      </c>
      <c r="H58">
        <v>-7.11</v>
      </c>
      <c r="I58">
        <v>13.8</v>
      </c>
      <c r="J58">
        <v>6.69</v>
      </c>
      <c r="K58" t="s">
        <v>159</v>
      </c>
      <c r="L58">
        <v>1.5</v>
      </c>
      <c r="M58" s="103">
        <v>5.19</v>
      </c>
      <c r="N58" s="104" t="s">
        <v>291</v>
      </c>
    </row>
    <row r="59" spans="1:14" x14ac:dyDescent="0.3">
      <c r="A59" t="s">
        <v>298</v>
      </c>
      <c r="B59" t="s">
        <v>303</v>
      </c>
      <c r="C59" t="s">
        <v>91</v>
      </c>
      <c r="D59" t="s">
        <v>103</v>
      </c>
      <c r="E59">
        <v>711</v>
      </c>
      <c r="F59" t="s">
        <v>290</v>
      </c>
      <c r="G59">
        <v>92</v>
      </c>
      <c r="H59">
        <v>-7.11</v>
      </c>
      <c r="I59">
        <v>13.8</v>
      </c>
      <c r="J59">
        <v>6.69</v>
      </c>
      <c r="K59" t="s">
        <v>159</v>
      </c>
      <c r="L59">
        <v>1.5</v>
      </c>
      <c r="M59" s="103">
        <v>5.19</v>
      </c>
      <c r="N59" s="104" t="s">
        <v>291</v>
      </c>
    </row>
    <row r="60" spans="1:14" x14ac:dyDescent="0.3">
      <c r="A60" t="s">
        <v>298</v>
      </c>
      <c r="B60" t="s">
        <v>266</v>
      </c>
      <c r="C60" t="s">
        <v>31</v>
      </c>
      <c r="D60" t="s">
        <v>41</v>
      </c>
      <c r="E60">
        <v>899</v>
      </c>
      <c r="F60" t="s">
        <v>290</v>
      </c>
      <c r="G60">
        <v>80</v>
      </c>
      <c r="H60">
        <v>-8.99</v>
      </c>
      <c r="I60">
        <v>12</v>
      </c>
      <c r="J60">
        <v>3.01</v>
      </c>
      <c r="K60" t="s">
        <v>159</v>
      </c>
      <c r="L60">
        <v>1.5</v>
      </c>
      <c r="M60" s="103">
        <v>1.51</v>
      </c>
      <c r="N60" s="104" t="s">
        <v>291</v>
      </c>
    </row>
    <row r="61" spans="1:14" x14ac:dyDescent="0.3">
      <c r="A61" t="s">
        <v>298</v>
      </c>
      <c r="B61" t="s">
        <v>267</v>
      </c>
      <c r="C61" t="s">
        <v>31</v>
      </c>
      <c r="D61" t="s">
        <v>47</v>
      </c>
      <c r="E61">
        <v>899</v>
      </c>
      <c r="F61" t="s">
        <v>290</v>
      </c>
      <c r="G61">
        <v>80</v>
      </c>
      <c r="H61">
        <v>-8.99</v>
      </c>
      <c r="I61">
        <v>12</v>
      </c>
      <c r="J61">
        <v>3.01</v>
      </c>
      <c r="K61" t="s">
        <v>159</v>
      </c>
      <c r="L61">
        <v>1.5</v>
      </c>
      <c r="M61" s="103">
        <v>1.51</v>
      </c>
      <c r="N61" s="104" t="s">
        <v>291</v>
      </c>
    </row>
    <row r="62" spans="1:14" x14ac:dyDescent="0.3">
      <c r="A62" t="s">
        <v>298</v>
      </c>
      <c r="B62" t="s">
        <v>274</v>
      </c>
      <c r="C62" t="s">
        <v>31</v>
      </c>
      <c r="D62" t="s">
        <v>50</v>
      </c>
      <c r="E62">
        <v>899</v>
      </c>
      <c r="F62" t="s">
        <v>290</v>
      </c>
      <c r="G62">
        <v>80</v>
      </c>
      <c r="H62">
        <v>-8.99</v>
      </c>
      <c r="I62">
        <v>12</v>
      </c>
      <c r="J62">
        <v>3.01</v>
      </c>
      <c r="K62" t="s">
        <v>159</v>
      </c>
      <c r="L62">
        <v>1.5</v>
      </c>
      <c r="M62" s="103">
        <v>1.51</v>
      </c>
      <c r="N62" s="104" t="s">
        <v>291</v>
      </c>
    </row>
    <row r="63" spans="1:14" x14ac:dyDescent="0.3">
      <c r="A63" t="s">
        <v>298</v>
      </c>
      <c r="B63" t="s">
        <v>265</v>
      </c>
      <c r="C63" t="s">
        <v>31</v>
      </c>
      <c r="D63" t="s">
        <v>32</v>
      </c>
      <c r="E63">
        <v>899</v>
      </c>
      <c r="F63" t="s">
        <v>290</v>
      </c>
      <c r="G63">
        <v>80</v>
      </c>
      <c r="H63">
        <v>-8.99</v>
      </c>
      <c r="I63">
        <v>12</v>
      </c>
      <c r="J63">
        <v>3.01</v>
      </c>
      <c r="K63" t="s">
        <v>159</v>
      </c>
      <c r="L63">
        <v>1.5</v>
      </c>
      <c r="M63" s="103">
        <v>1.51</v>
      </c>
      <c r="N63" s="104" t="s">
        <v>291</v>
      </c>
    </row>
    <row r="64" spans="1:14" x14ac:dyDescent="0.3">
      <c r="A64" t="s">
        <v>298</v>
      </c>
      <c r="B64" t="s">
        <v>274</v>
      </c>
      <c r="C64" t="s">
        <v>91</v>
      </c>
      <c r="D64" t="s">
        <v>104</v>
      </c>
      <c r="E64">
        <v>1161</v>
      </c>
      <c r="F64" t="s">
        <v>290</v>
      </c>
      <c r="G64">
        <v>92</v>
      </c>
      <c r="H64">
        <v>-11.61</v>
      </c>
      <c r="I64">
        <v>13.8</v>
      </c>
      <c r="J64">
        <v>2.19</v>
      </c>
      <c r="K64" t="s">
        <v>159</v>
      </c>
      <c r="L64">
        <v>1.5</v>
      </c>
      <c r="M64" s="103">
        <v>0.69</v>
      </c>
      <c r="N64" s="106" t="s">
        <v>293</v>
      </c>
    </row>
    <row r="65" spans="1:14" x14ac:dyDescent="0.3">
      <c r="A65" t="s">
        <v>298</v>
      </c>
      <c r="B65" t="s">
        <v>265</v>
      </c>
      <c r="C65" t="s">
        <v>91</v>
      </c>
      <c r="D65" t="s">
        <v>92</v>
      </c>
      <c r="E65">
        <v>1161</v>
      </c>
      <c r="F65" t="s">
        <v>290</v>
      </c>
      <c r="G65">
        <v>92</v>
      </c>
      <c r="H65">
        <v>-11.61</v>
      </c>
      <c r="I65">
        <v>13.8</v>
      </c>
      <c r="J65">
        <v>2.19</v>
      </c>
      <c r="K65" t="s">
        <v>159</v>
      </c>
      <c r="L65">
        <v>1.5</v>
      </c>
      <c r="M65" s="103">
        <v>0.69</v>
      </c>
      <c r="N65" s="106" t="s">
        <v>293</v>
      </c>
    </row>
    <row r="66" spans="1:14" x14ac:dyDescent="0.3">
      <c r="A66" t="s">
        <v>298</v>
      </c>
      <c r="B66" t="s">
        <v>267</v>
      </c>
      <c r="C66" t="s">
        <v>91</v>
      </c>
      <c r="D66" t="s">
        <v>106</v>
      </c>
      <c r="E66">
        <v>1213</v>
      </c>
      <c r="F66" t="s">
        <v>290</v>
      </c>
      <c r="G66">
        <v>92</v>
      </c>
      <c r="H66">
        <v>-12.13</v>
      </c>
      <c r="I66">
        <v>13.8</v>
      </c>
      <c r="J66">
        <v>1.67</v>
      </c>
      <c r="K66" t="s">
        <v>159</v>
      </c>
      <c r="L66">
        <v>1.5</v>
      </c>
      <c r="M66" s="103">
        <v>0.17</v>
      </c>
      <c r="N66" s="106" t="s">
        <v>293</v>
      </c>
    </row>
    <row r="67" spans="1:14" x14ac:dyDescent="0.3">
      <c r="A67" t="s">
        <v>304</v>
      </c>
      <c r="B67" t="s">
        <v>305</v>
      </c>
      <c r="C67" t="s">
        <v>26</v>
      </c>
      <c r="D67" t="s">
        <v>27</v>
      </c>
      <c r="E67">
        <v>350</v>
      </c>
      <c r="F67" t="s">
        <v>290</v>
      </c>
      <c r="G67">
        <v>40</v>
      </c>
      <c r="H67">
        <v>-3.5</v>
      </c>
      <c r="I67">
        <v>6</v>
      </c>
      <c r="J67">
        <v>2.5</v>
      </c>
      <c r="K67" t="s">
        <v>159</v>
      </c>
      <c r="L67">
        <v>1.5</v>
      </c>
      <c r="M67" s="103">
        <v>1</v>
      </c>
      <c r="N67" s="104" t="s">
        <v>291</v>
      </c>
    </row>
    <row r="68" spans="1:14" x14ac:dyDescent="0.3">
      <c r="A68" t="s">
        <v>304</v>
      </c>
      <c r="B68" t="s">
        <v>268</v>
      </c>
      <c r="C68" t="s">
        <v>55</v>
      </c>
      <c r="D68" t="s">
        <v>56</v>
      </c>
      <c r="E68">
        <v>389</v>
      </c>
      <c r="F68" t="s">
        <v>290</v>
      </c>
      <c r="G68">
        <v>30</v>
      </c>
      <c r="H68">
        <v>-3.89</v>
      </c>
      <c r="I68">
        <v>4.5</v>
      </c>
      <c r="J68">
        <v>0.61</v>
      </c>
      <c r="K68" t="s">
        <v>159</v>
      </c>
      <c r="L68">
        <v>1.5</v>
      </c>
      <c r="M68" s="103">
        <v>-0.89</v>
      </c>
      <c r="N68" s="105" t="s">
        <v>292</v>
      </c>
    </row>
    <row r="69" spans="1:14" x14ac:dyDescent="0.3">
      <c r="A69" t="s">
        <v>304</v>
      </c>
      <c r="B69" t="s">
        <v>306</v>
      </c>
      <c r="C69" t="s">
        <v>82</v>
      </c>
      <c r="D69" t="s">
        <v>89</v>
      </c>
      <c r="E69">
        <v>462</v>
      </c>
      <c r="F69" t="s">
        <v>290</v>
      </c>
      <c r="G69">
        <v>46</v>
      </c>
      <c r="H69">
        <v>-4.62</v>
      </c>
      <c r="I69">
        <v>6.9</v>
      </c>
      <c r="J69">
        <v>2.2799999999999998</v>
      </c>
      <c r="K69" t="s">
        <v>159</v>
      </c>
      <c r="L69">
        <v>1.5</v>
      </c>
      <c r="M69" s="103">
        <v>0.78</v>
      </c>
      <c r="N69" s="106" t="s">
        <v>293</v>
      </c>
    </row>
    <row r="70" spans="1:14" x14ac:dyDescent="0.3">
      <c r="A70" t="s">
        <v>304</v>
      </c>
      <c r="B70" t="s">
        <v>268</v>
      </c>
      <c r="C70" t="s">
        <v>55</v>
      </c>
      <c r="D70" t="s">
        <v>56</v>
      </c>
      <c r="E70">
        <v>479</v>
      </c>
      <c r="F70" t="s">
        <v>290</v>
      </c>
      <c r="G70">
        <v>80</v>
      </c>
      <c r="H70">
        <v>-4.79</v>
      </c>
      <c r="I70">
        <v>12</v>
      </c>
      <c r="J70">
        <v>7.21</v>
      </c>
      <c r="K70" t="s">
        <v>159</v>
      </c>
      <c r="L70">
        <v>1.5</v>
      </c>
      <c r="M70" s="103">
        <v>5.71</v>
      </c>
      <c r="N70" s="104" t="s">
        <v>291</v>
      </c>
    </row>
    <row r="71" spans="1:14" x14ac:dyDescent="0.3">
      <c r="A71" t="s">
        <v>304</v>
      </c>
      <c r="B71" t="s">
        <v>273</v>
      </c>
      <c r="C71" t="s">
        <v>55</v>
      </c>
      <c r="D71" t="s">
        <v>69</v>
      </c>
      <c r="E71">
        <v>479</v>
      </c>
      <c r="F71" t="s">
        <v>290</v>
      </c>
      <c r="G71">
        <v>80</v>
      </c>
      <c r="H71">
        <v>-4.79</v>
      </c>
      <c r="I71">
        <v>12</v>
      </c>
      <c r="J71">
        <v>7.21</v>
      </c>
      <c r="K71" t="s">
        <v>159</v>
      </c>
      <c r="L71">
        <v>2.4500000000000002</v>
      </c>
      <c r="M71" s="103">
        <v>4.76</v>
      </c>
      <c r="N71" s="104" t="s">
        <v>291</v>
      </c>
    </row>
    <row r="72" spans="1:14" x14ac:dyDescent="0.3">
      <c r="A72" t="s">
        <v>304</v>
      </c>
      <c r="B72" t="s">
        <v>307</v>
      </c>
      <c r="C72" t="s">
        <v>154</v>
      </c>
      <c r="D72" t="s">
        <v>155</v>
      </c>
      <c r="E72">
        <v>484</v>
      </c>
      <c r="F72" t="s">
        <v>290</v>
      </c>
      <c r="G72">
        <v>80</v>
      </c>
      <c r="H72">
        <v>-4.84</v>
      </c>
      <c r="I72">
        <v>12</v>
      </c>
      <c r="J72">
        <v>7.16</v>
      </c>
      <c r="K72" t="s">
        <v>159</v>
      </c>
      <c r="L72">
        <v>2.4500000000000002</v>
      </c>
      <c r="M72" s="103">
        <v>4.71</v>
      </c>
      <c r="N72" s="104" t="s">
        <v>291</v>
      </c>
    </row>
    <row r="73" spans="1:14" x14ac:dyDescent="0.3">
      <c r="A73" t="s">
        <v>304</v>
      </c>
      <c r="B73" t="s">
        <v>269</v>
      </c>
      <c r="C73" t="s">
        <v>55</v>
      </c>
      <c r="D73" t="s">
        <v>63</v>
      </c>
      <c r="E73">
        <v>519</v>
      </c>
      <c r="F73" t="s">
        <v>290</v>
      </c>
      <c r="G73">
        <v>80</v>
      </c>
      <c r="H73">
        <v>-5.19</v>
      </c>
      <c r="I73">
        <v>12</v>
      </c>
      <c r="J73">
        <v>6.81</v>
      </c>
      <c r="K73" t="s">
        <v>159</v>
      </c>
      <c r="L73">
        <v>2.4500000000000002</v>
      </c>
      <c r="M73" s="103">
        <v>4.3600000000000003</v>
      </c>
      <c r="N73" s="104" t="s">
        <v>291</v>
      </c>
    </row>
    <row r="74" spans="1:14" x14ac:dyDescent="0.3">
      <c r="A74" t="s">
        <v>304</v>
      </c>
      <c r="B74" t="s">
        <v>270</v>
      </c>
      <c r="C74" t="s">
        <v>55</v>
      </c>
      <c r="D74" t="s">
        <v>66</v>
      </c>
      <c r="E74">
        <v>519</v>
      </c>
      <c r="F74" t="s">
        <v>290</v>
      </c>
      <c r="G74">
        <v>80</v>
      </c>
      <c r="H74">
        <v>-5.19</v>
      </c>
      <c r="I74">
        <v>12</v>
      </c>
      <c r="J74">
        <v>6.81</v>
      </c>
      <c r="K74" t="s">
        <v>159</v>
      </c>
      <c r="L74">
        <v>2.4500000000000002</v>
      </c>
      <c r="M74" s="103">
        <v>4.3600000000000003</v>
      </c>
      <c r="N74" s="104" t="s">
        <v>291</v>
      </c>
    </row>
    <row r="75" spans="1:14" x14ac:dyDescent="0.3">
      <c r="A75" t="s">
        <v>304</v>
      </c>
      <c r="B75" t="s">
        <v>271</v>
      </c>
      <c r="C75" t="s">
        <v>55</v>
      </c>
      <c r="D75" t="s">
        <v>67</v>
      </c>
      <c r="E75">
        <v>519</v>
      </c>
      <c r="F75" t="s">
        <v>290</v>
      </c>
      <c r="G75">
        <v>80</v>
      </c>
      <c r="H75">
        <v>-5.19</v>
      </c>
      <c r="I75">
        <v>12</v>
      </c>
      <c r="J75">
        <v>6.81</v>
      </c>
      <c r="K75" t="s">
        <v>159</v>
      </c>
      <c r="L75">
        <v>2.4500000000000002</v>
      </c>
      <c r="M75" s="103">
        <v>4.3600000000000003</v>
      </c>
      <c r="N75" s="104" t="s">
        <v>291</v>
      </c>
    </row>
    <row r="76" spans="1:14" x14ac:dyDescent="0.3">
      <c r="A76" t="s">
        <v>304</v>
      </c>
      <c r="B76" t="s">
        <v>272</v>
      </c>
      <c r="C76" t="s">
        <v>55</v>
      </c>
      <c r="D76" t="s">
        <v>68</v>
      </c>
      <c r="E76">
        <v>519</v>
      </c>
      <c r="F76" t="s">
        <v>290</v>
      </c>
      <c r="G76">
        <v>80</v>
      </c>
      <c r="H76">
        <v>-5.19</v>
      </c>
      <c r="I76">
        <v>12</v>
      </c>
      <c r="J76">
        <v>6.81</v>
      </c>
      <c r="K76" t="s">
        <v>159</v>
      </c>
      <c r="L76">
        <v>1.5</v>
      </c>
      <c r="M76" s="103">
        <v>5.31</v>
      </c>
      <c r="N76" s="104" t="s">
        <v>291</v>
      </c>
    </row>
    <row r="77" spans="1:14" x14ac:dyDescent="0.3">
      <c r="A77" t="s">
        <v>304</v>
      </c>
      <c r="B77" t="s">
        <v>267</v>
      </c>
      <c r="C77" t="s">
        <v>55</v>
      </c>
      <c r="D77" t="s">
        <v>64</v>
      </c>
      <c r="E77">
        <v>559</v>
      </c>
      <c r="F77" t="s">
        <v>290</v>
      </c>
      <c r="G77">
        <v>80</v>
      </c>
      <c r="H77">
        <v>-5.59</v>
      </c>
      <c r="I77">
        <v>12</v>
      </c>
      <c r="J77">
        <v>6.41</v>
      </c>
      <c r="K77" t="s">
        <v>159</v>
      </c>
      <c r="L77">
        <v>2.4500000000000002</v>
      </c>
      <c r="M77" s="103">
        <v>3.96</v>
      </c>
      <c r="N77" s="104" t="s">
        <v>291</v>
      </c>
    </row>
    <row r="78" spans="1:14" x14ac:dyDescent="0.3">
      <c r="A78" t="s">
        <v>304</v>
      </c>
      <c r="B78" t="s">
        <v>302</v>
      </c>
      <c r="C78" t="s">
        <v>91</v>
      </c>
      <c r="D78" t="s">
        <v>96</v>
      </c>
      <c r="E78">
        <v>711</v>
      </c>
      <c r="F78" t="s">
        <v>290</v>
      </c>
      <c r="G78">
        <v>92</v>
      </c>
      <c r="H78">
        <v>-7.11</v>
      </c>
      <c r="I78">
        <v>13.8</v>
      </c>
      <c r="J78">
        <v>6.69</v>
      </c>
      <c r="K78" t="s">
        <v>159</v>
      </c>
      <c r="L78">
        <v>1.5</v>
      </c>
      <c r="M78" s="103">
        <v>5.19</v>
      </c>
      <c r="N78" s="104" t="s">
        <v>291</v>
      </c>
    </row>
    <row r="79" spans="1:14" x14ac:dyDescent="0.3">
      <c r="A79" t="s">
        <v>304</v>
      </c>
      <c r="B79" t="s">
        <v>296</v>
      </c>
      <c r="C79" t="s">
        <v>91</v>
      </c>
      <c r="D79" t="s">
        <v>101</v>
      </c>
      <c r="E79">
        <v>711</v>
      </c>
      <c r="F79" t="s">
        <v>290</v>
      </c>
      <c r="G79">
        <v>92</v>
      </c>
      <c r="H79">
        <v>-7.11</v>
      </c>
      <c r="I79">
        <v>13.8</v>
      </c>
      <c r="J79">
        <v>6.69</v>
      </c>
      <c r="K79" t="s">
        <v>159</v>
      </c>
      <c r="L79">
        <v>2.4500000000000002</v>
      </c>
      <c r="M79" s="103">
        <v>4.24</v>
      </c>
      <c r="N79" s="104" t="s">
        <v>291</v>
      </c>
    </row>
    <row r="80" spans="1:14" x14ac:dyDescent="0.3">
      <c r="A80" t="s">
        <v>304</v>
      </c>
      <c r="B80" t="s">
        <v>308</v>
      </c>
      <c r="C80" t="s">
        <v>91</v>
      </c>
      <c r="D80" t="s">
        <v>135</v>
      </c>
      <c r="E80">
        <v>711</v>
      </c>
      <c r="F80" t="s">
        <v>290</v>
      </c>
      <c r="G80">
        <v>92</v>
      </c>
      <c r="H80">
        <v>-7.11</v>
      </c>
      <c r="I80">
        <v>13.8</v>
      </c>
      <c r="J80">
        <v>6.69</v>
      </c>
      <c r="K80" t="s">
        <v>159</v>
      </c>
      <c r="L80">
        <v>2.4500000000000002</v>
      </c>
      <c r="M80" s="103">
        <v>4.24</v>
      </c>
      <c r="N80" s="104" t="s">
        <v>291</v>
      </c>
    </row>
    <row r="81" spans="1:14" x14ac:dyDescent="0.3">
      <c r="A81" t="s">
        <v>304</v>
      </c>
      <c r="B81" t="s">
        <v>303</v>
      </c>
      <c r="C81" t="s">
        <v>91</v>
      </c>
      <c r="D81" t="s">
        <v>103</v>
      </c>
      <c r="E81">
        <v>711</v>
      </c>
      <c r="F81" t="s">
        <v>290</v>
      </c>
      <c r="G81">
        <v>92</v>
      </c>
      <c r="H81">
        <v>-7.11</v>
      </c>
      <c r="I81">
        <v>13.8</v>
      </c>
      <c r="J81">
        <v>6.69</v>
      </c>
      <c r="K81" t="s">
        <v>159</v>
      </c>
      <c r="L81">
        <v>2.4500000000000002</v>
      </c>
      <c r="M81" s="103">
        <v>4.24</v>
      </c>
      <c r="N81" s="104" t="s">
        <v>291</v>
      </c>
    </row>
    <row r="82" spans="1:14" x14ac:dyDescent="0.3">
      <c r="A82" t="s">
        <v>304</v>
      </c>
      <c r="B82" t="s">
        <v>297</v>
      </c>
      <c r="C82" t="s">
        <v>91</v>
      </c>
      <c r="D82" t="s">
        <v>102</v>
      </c>
      <c r="E82">
        <v>824</v>
      </c>
      <c r="F82" t="s">
        <v>290</v>
      </c>
      <c r="G82">
        <v>92</v>
      </c>
      <c r="H82">
        <v>-8.24</v>
      </c>
      <c r="I82">
        <v>13.8</v>
      </c>
      <c r="J82">
        <v>5.56</v>
      </c>
      <c r="K82" t="s">
        <v>159</v>
      </c>
      <c r="L82">
        <v>2.4500000000000002</v>
      </c>
      <c r="M82" s="103">
        <v>3.11</v>
      </c>
      <c r="N82" s="104" t="s">
        <v>291</v>
      </c>
    </row>
    <row r="83" spans="1:14" x14ac:dyDescent="0.3">
      <c r="A83" t="s">
        <v>304</v>
      </c>
      <c r="B83" t="s">
        <v>266</v>
      </c>
      <c r="C83" t="s">
        <v>31</v>
      </c>
      <c r="D83" t="s">
        <v>41</v>
      </c>
      <c r="E83">
        <v>899</v>
      </c>
      <c r="F83" t="s">
        <v>290</v>
      </c>
      <c r="G83">
        <v>80</v>
      </c>
      <c r="H83">
        <v>-8.99</v>
      </c>
      <c r="I83">
        <v>12</v>
      </c>
      <c r="J83">
        <v>3.01</v>
      </c>
      <c r="K83" t="s">
        <v>159</v>
      </c>
      <c r="L83">
        <v>2.4500000000000002</v>
      </c>
      <c r="M83" s="103">
        <v>0.56000000000000005</v>
      </c>
      <c r="N83" s="106" t="s">
        <v>293</v>
      </c>
    </row>
    <row r="84" spans="1:14" x14ac:dyDescent="0.3">
      <c r="A84" t="s">
        <v>304</v>
      </c>
      <c r="B84" t="s">
        <v>274</v>
      </c>
      <c r="C84" t="s">
        <v>31</v>
      </c>
      <c r="D84" t="s">
        <v>50</v>
      </c>
      <c r="E84">
        <v>899</v>
      </c>
      <c r="F84" t="s">
        <v>290</v>
      </c>
      <c r="G84">
        <v>80</v>
      </c>
      <c r="H84">
        <v>-8.99</v>
      </c>
      <c r="I84">
        <v>12</v>
      </c>
      <c r="J84">
        <v>3.01</v>
      </c>
      <c r="K84" t="s">
        <v>159</v>
      </c>
      <c r="L84">
        <v>2.4500000000000002</v>
      </c>
      <c r="M84" s="103">
        <v>0.56000000000000005</v>
      </c>
      <c r="N84" s="106" t="s">
        <v>293</v>
      </c>
    </row>
    <row r="85" spans="1:14" x14ac:dyDescent="0.3">
      <c r="A85" t="s">
        <v>304</v>
      </c>
      <c r="B85" t="s">
        <v>265</v>
      </c>
      <c r="C85" t="s">
        <v>31</v>
      </c>
      <c r="D85" t="s">
        <v>32</v>
      </c>
      <c r="E85">
        <v>899</v>
      </c>
      <c r="F85" t="s">
        <v>290</v>
      </c>
      <c r="G85">
        <v>80</v>
      </c>
      <c r="H85">
        <v>-8.99</v>
      </c>
      <c r="I85">
        <v>12</v>
      </c>
      <c r="J85">
        <v>3.01</v>
      </c>
      <c r="K85" t="s">
        <v>159</v>
      </c>
      <c r="L85">
        <v>2.4500000000000002</v>
      </c>
      <c r="M85" s="103">
        <v>0.56000000000000005</v>
      </c>
      <c r="N85" s="106" t="s">
        <v>293</v>
      </c>
    </row>
    <row r="86" spans="1:14" x14ac:dyDescent="0.3">
      <c r="A86" t="s">
        <v>304</v>
      </c>
      <c r="B86" t="s">
        <v>274</v>
      </c>
      <c r="C86" t="s">
        <v>91</v>
      </c>
      <c r="D86" t="s">
        <v>104</v>
      </c>
      <c r="E86">
        <v>1161</v>
      </c>
      <c r="F86" t="s">
        <v>290</v>
      </c>
      <c r="G86">
        <v>92</v>
      </c>
      <c r="H86">
        <v>-11.61</v>
      </c>
      <c r="I86">
        <v>13.8</v>
      </c>
      <c r="J86">
        <v>2.19</v>
      </c>
      <c r="K86" t="s">
        <v>159</v>
      </c>
      <c r="L86">
        <v>2.4500000000000002</v>
      </c>
      <c r="M86" s="103">
        <v>-0.26</v>
      </c>
      <c r="N86" s="105" t="s">
        <v>292</v>
      </c>
    </row>
    <row r="87" spans="1:14" x14ac:dyDescent="0.3">
      <c r="A87" t="s">
        <v>304</v>
      </c>
      <c r="B87" t="s">
        <v>267</v>
      </c>
      <c r="C87" t="s">
        <v>91</v>
      </c>
      <c r="D87" t="s">
        <v>106</v>
      </c>
      <c r="E87">
        <v>1161</v>
      </c>
      <c r="F87" t="s">
        <v>290</v>
      </c>
      <c r="G87">
        <v>92</v>
      </c>
      <c r="H87">
        <v>-11.61</v>
      </c>
      <c r="I87">
        <v>13.8</v>
      </c>
      <c r="J87">
        <v>2.19</v>
      </c>
      <c r="K87" t="s">
        <v>159</v>
      </c>
      <c r="L87">
        <v>2.4500000000000002</v>
      </c>
      <c r="M87" s="103">
        <v>-0.26</v>
      </c>
      <c r="N87" s="105" t="s">
        <v>292</v>
      </c>
    </row>
    <row r="88" spans="1:14" x14ac:dyDescent="0.3">
      <c r="A88" t="s">
        <v>304</v>
      </c>
      <c r="B88" t="s">
        <v>265</v>
      </c>
      <c r="C88" t="s">
        <v>91</v>
      </c>
      <c r="D88" t="s">
        <v>92</v>
      </c>
      <c r="E88">
        <v>1161</v>
      </c>
      <c r="F88" t="s">
        <v>290</v>
      </c>
      <c r="G88">
        <v>92</v>
      </c>
      <c r="H88">
        <v>-11.61</v>
      </c>
      <c r="I88">
        <v>13.8</v>
      </c>
      <c r="J88">
        <v>2.19</v>
      </c>
      <c r="K88" t="s">
        <v>159</v>
      </c>
      <c r="L88">
        <v>2.4500000000000002</v>
      </c>
      <c r="M88" s="103">
        <v>-0.26</v>
      </c>
      <c r="N88" s="105" t="s">
        <v>292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RUH-CAI</vt:lpstr>
      <vt:lpstr>RUH-CAI LF LEGACY</vt:lpstr>
      <vt:lpstr>RUH-CAI - FOCUS MODE</vt:lpstr>
      <vt:lpstr>RUH-CAI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2025-11-20T19:17:10Z</dcterms:created>
  <dcterms:modified xsi:type="dcterms:W3CDTF">2025-11-20T19:17:17Z</dcterms:modified>
</cp:coreProperties>
</file>