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5199A97-2080-468E-8E9A-BC96BFFBC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6" authorId="0" shapeId="0" xr:uid="{6B4BE891-29DA-4753-B0D2-A6E63C3EF1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B26" authorId="0" shapeId="0" xr:uid="{5ABEB1AE-C83C-4AE5-AD02-27C77A2DDB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C26" authorId="0" shapeId="0" xr:uid="{B7561C50-D794-4D30-B675-BCA15E6651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D26" authorId="0" shapeId="0" xr:uid="{02EC768D-2C3F-48A7-9B71-D000ED8AEE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E26" authorId="0" shapeId="0" xr:uid="{DAE5EE65-7C95-4D9C-ABD1-4841864B1E9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F26" authorId="0" shapeId="0" xr:uid="{853F6285-1446-4F28-AC03-E7786F6CC1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G26" authorId="0" shapeId="0" xr:uid="{D6E6589C-8E57-4AF4-8A35-7148BEB46A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H26" authorId="0" shapeId="0" xr:uid="{020D32A1-193C-4B03-986C-D1DEB9440B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A38" authorId="0" shapeId="0" xr:uid="{62FD262D-E877-4403-A763-EA46231D78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B38" authorId="0" shapeId="0" xr:uid="{7C212573-00FA-47F7-985D-F9B3782706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C38" authorId="0" shapeId="0" xr:uid="{BFA38329-F885-460B-9B5C-587B6F4B60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D38" authorId="0" shapeId="0" xr:uid="{C61C2E94-0EB4-4610-BC7E-254BB328447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E38" authorId="0" shapeId="0" xr:uid="{7CBFC030-E81C-44D6-843B-21B609C2B4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F38" authorId="0" shapeId="0" xr:uid="{B21402CA-E3BA-41FA-A2FB-B386A112EB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G38" authorId="0" shapeId="0" xr:uid="{99D06AB2-6601-4278-9892-2D875453B9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H38" authorId="0" shapeId="0" xr:uid="{F0BD01C8-C488-4324-AD88-40026F9BCA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A47" authorId="0" shapeId="0" xr:uid="{8B0CF965-51CF-4914-B39F-365354B3C9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B47" authorId="0" shapeId="0" xr:uid="{9D9CA6F8-AD45-4477-A33C-199FB6FB5F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C47" authorId="0" shapeId="0" xr:uid="{CAFFBD78-9173-4A55-BBA5-ED8D104234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D47" authorId="0" shapeId="0" xr:uid="{3C2F0313-4593-435D-ACEC-DA839A75B1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E47" authorId="0" shapeId="0" xr:uid="{570CE895-FFDD-4A02-8FB1-B22D1054F4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F47" authorId="0" shapeId="0" xr:uid="{36FC1AB7-0922-4906-BEA6-00E3995012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G47" authorId="0" shapeId="0" xr:uid="{03145676-8CDE-4642-8ADB-249A1F4CF5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H47" authorId="0" shapeId="0" xr:uid="{218C1476-4D7A-4285-8DF7-39524BF6B6F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W1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A48" authorId="0" shapeId="0" xr:uid="{5B0E412F-9FCD-4447-8B28-D065DF6F49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B48" authorId="0" shapeId="0" xr:uid="{15A3C324-3A70-4101-BC33-FB051626E0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C48" authorId="0" shapeId="0" xr:uid="{24FF5961-6EBF-473B-B81F-7FA3003D30C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D48" authorId="0" shapeId="0" xr:uid="{24291B89-EB43-4A35-A233-B644E253B0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E48" authorId="0" shapeId="0" xr:uid="{EC6BA5E0-D7E0-4AD7-897E-C8475BDE58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F48" authorId="0" shapeId="0" xr:uid="{00F7A78A-C2E4-42F7-99EC-15C8780C99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G48" authorId="0" shapeId="0" xr:uid="{90C7B47D-1ED4-44AF-8A90-C8C9804E64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H48" authorId="0" shapeId="0" xr:uid="{2D69F5C3-3C7A-4E0E-99E8-164410A214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</commentList>
</comments>
</file>

<file path=xl/sharedStrings.xml><?xml version="1.0" encoding="utf-8"?>
<sst xmlns="http://schemas.openxmlformats.org/spreadsheetml/2006/main" count="1311" uniqueCount="257">
  <si>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</si>
  <si>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</si>
  <si>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</si>
  <si>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</si>
  <si>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</si>
  <si>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</si>
  <si>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</si>
  <si>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</si>
  <si>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</si>
  <si>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</si>
  <si>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</si>
  <si>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</si>
  <si>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</si>
  <si>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</si>
  <si>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</si>
  <si>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</si>
  <si>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</si>
  <si>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</si>
  <si>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</si>
  <si>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</si>
  <si>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</si>
  <si>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</si>
  <si>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</si>
  <si>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</si>
  <si>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</si>
  <si>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</si>
  <si>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</si>
  <si>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</si>
  <si>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</si>
  <si>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</si>
  <si>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</si>
  <si>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</si>
  <si>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</si>
  <si>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</si>
  <si>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</si>
  <si>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</si>
  <si>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7 FOR SAME CLASS</t>
  </si>
  <si>
    <t>389 SAR</t>
  </si>
  <si>
    <t>539 SAR</t>
  </si>
  <si>
    <t>F3-763</t>
  </si>
  <si>
    <t>9 FOR SAME CLASS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</si>
  <si>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</si>
  <si>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</si>
  <si>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</si>
  <si>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</si>
  <si>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</si>
  <si>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</si>
  <si>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</si>
  <si>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3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</si>
  <si>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</si>
  <si>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</si>
  <si>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</si>
  <si>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</si>
  <si>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</si>
  <si>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</si>
  <si>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XY-573</t>
  </si>
  <si>
    <t>409 SAR</t>
  </si>
  <si>
    <t>599 SAR</t>
  </si>
  <si>
    <t>XY-583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</si>
  <si>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</si>
  <si>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</si>
  <si>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</si>
  <si>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</si>
  <si>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</si>
  <si>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</si>
  <si>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</si>
  <si>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</si>
  <si>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</si>
  <si>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</si>
  <si>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</si>
  <si>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2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</si>
  <si>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</si>
  <si>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</si>
  <si>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</si>
  <si>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</si>
  <si>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</si>
  <si>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</si>
  <si>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</si>
  <si>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</si>
  <si>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</si>
  <si>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</si>
  <si>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</si>
  <si>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</si>
  <si>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</si>
  <si>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</si>
  <si>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</si>
  <si>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</si>
  <si>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</si>
  <si>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</si>
  <si>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</si>
  <si>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</si>
  <si>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</si>
  <si>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</si>
  <si>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</si>
  <si>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</si>
  <si>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</si>
  <si>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</si>
  <si>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</si>
  <si>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</si>
  <si>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</si>
  <si>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W6</t>
  </si>
  <si>
    <t>S5 &amp; W1 &amp; U3 &amp; O8 &amp; I11 &amp; P131</t>
  </si>
  <si>
    <t>SM-476</t>
  </si>
  <si>
    <t>4 FOR SAME CLASS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</si>
  <si>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</si>
  <si>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</si>
  <si>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</si>
  <si>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</si>
  <si>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</si>
  <si>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</si>
  <si>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</si>
  <si>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</si>
  <si>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</si>
  <si>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</si>
  <si>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</si>
  <si>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</si>
  <si>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</si>
  <si>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</si>
  <si>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</si>
  <si>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</si>
  <si>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</si>
  <si>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</si>
  <si>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</si>
  <si>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</si>
  <si>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</si>
  <si>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</si>
  <si>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</si>
  <si>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</si>
  <si>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</si>
  <si>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</si>
  <si>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</si>
  <si>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</si>
  <si>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</si>
  <si>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</si>
  <si>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</si>
  <si>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</si>
  <si>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</si>
  <si>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</si>
  <si>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</si>
  <si>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</si>
  <si>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</si>
  <si>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</si>
  <si>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</si>
  <si>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</si>
  <si>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</si>
  <si>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</si>
  <si>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</si>
  <si>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</si>
  <si>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</si>
  <si>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</si>
  <si>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</si>
  <si>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</si>
  <si>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</si>
  <si>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</si>
  <si>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</si>
  <si>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</si>
  <si>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</si>
  <si>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</si>
  <si>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</si>
  <si>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</si>
  <si>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</si>
  <si>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</si>
  <si>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</si>
  <si>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</si>
  <si>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</si>
  <si>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</si>
  <si>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</si>
  <si>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</si>
  <si>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</si>
  <si>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</si>
  <si>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</si>
  <si>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</si>
  <si>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</si>
  <si>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</si>
  <si>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</si>
  <si>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</si>
  <si>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</si>
  <si>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W1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</si>
  <si>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</si>
  <si>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</si>
  <si>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</si>
  <si>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</si>
  <si>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</si>
  <si>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</si>
  <si>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</si>
  <si>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</si>
  <si>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</si>
  <si>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</si>
  <si>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</si>
  <si>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</si>
  <si>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</si>
  <si>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</si>
  <si>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</si>
  <si>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</si>
  <si>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</si>
  <si>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</si>
  <si>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</si>
  <si>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</si>
  <si>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</si>
  <si>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</si>
  <si>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</si>
  <si>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</si>
  <si>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</si>
  <si>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</si>
  <si>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</si>
  <si>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</si>
  <si>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</si>
  <si>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</si>
  <si>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06:10</t>
  </si>
  <si>
    <t>09:30</t>
  </si>
  <si>
    <t>03:05</t>
  </si>
  <si>
    <t>21:20</t>
  </si>
  <si>
    <t>05:00</t>
  </si>
  <si>
    <t>07:30</t>
  </si>
  <si>
    <t>16:00</t>
  </si>
  <si>
    <t>20:30</t>
  </si>
  <si>
    <t>11:15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</si>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</sst>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5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sz val="8.5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15" fontId="30" fillId="14" borderId="0" xfId="0" applyNumberFormat="1" applyFont="1" applyFill="1" applyAlignment="1">
      <alignment horizontal="center" vertical="center"/>
    </xf>
    <xf numFmtId="167" fontId="30" fillId="14" borderId="0" xfId="0" applyNumberFormat="1" applyFont="1" applyFill="1" applyAlignment="1">
      <alignment horizontal="center" vertical="center"/>
    </xf>
    <xf numFmtId="1" fontId="30" fillId="14" borderId="0" xfId="0" applyNumberFormat="1" applyFont="1" applyFill="1" applyAlignment="1">
      <alignment horizontal="center" vertical="center"/>
    </xf>
    <xf numFmtId="0" fontId="30" fillId="1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91" t="s">
        <v>0</v>
      </c>
      <c r="B1" s="88"/>
      <c r="C1" s="88"/>
      <c r="D1" s="88"/>
      <c r="E1" s="88"/>
      <c r="F1" s="1" t="s">
        <v>1</v>
      </c>
      <c r="G1" s="1" t="s">
        <v>2</v>
      </c>
      <c r="H1" s="90">
        <v>45992</v>
      </c>
      <c r="I1" s="88"/>
      <c r="J1" s="88"/>
      <c r="K1" s="88"/>
      <c r="L1" s="88"/>
      <c r="M1" s="1" t="s">
        <v>3</v>
      </c>
      <c r="N1" s="101">
        <v>45992</v>
      </c>
      <c r="O1" s="88"/>
      <c r="P1" s="88"/>
      <c r="Q1" s="88"/>
      <c r="R1" s="8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87" t="s">
        <v>4</v>
      </c>
      <c r="B2" s="88"/>
      <c r="C2" s="88"/>
      <c r="D2" s="88"/>
      <c r="E2" s="88"/>
      <c r="F2" s="88"/>
      <c r="G2" s="92">
        <v>45990.527393020842</v>
      </c>
      <c r="H2" s="88"/>
      <c r="I2" s="88"/>
      <c r="J2" s="88"/>
      <c r="K2" s="93">
        <v>45990.527393020842</v>
      </c>
      <c r="L2" s="88"/>
      <c r="M2" s="88"/>
      <c r="N2" s="88"/>
      <c r="O2" s="88"/>
      <c r="P2" s="88"/>
      <c r="Q2" s="88"/>
      <c r="R2" s="8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89" t="s">
        <v>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94" t="s">
        <v>6</v>
      </c>
      <c r="B4" s="95"/>
      <c r="C4" s="95"/>
      <c r="D4" s="95"/>
      <c r="E4" s="95"/>
      <c r="F4" s="96"/>
      <c r="G4" s="64">
        <v>45992</v>
      </c>
      <c r="H4" s="100" t="s">
        <v>7</v>
      </c>
      <c r="I4" s="95"/>
      <c r="J4" s="95"/>
      <c r="K4" s="95"/>
      <c r="L4" s="95"/>
      <c r="M4" s="95"/>
      <c r="N4" s="95"/>
      <c r="O4" s="95"/>
      <c r="P4" s="95"/>
      <c r="Q4" s="95"/>
      <c r="R4" s="9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65">
        <v>0.30208333333333331</v>
      </c>
      <c r="D6" s="8" t="s">
        <v>28</v>
      </c>
      <c r="E6" s="8" t="s">
        <v>29</v>
      </c>
      <c r="F6" s="8" t="s">
        <v>30</v>
      </c>
      <c r="G6" s="9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66">
        <v>0.30208333333333331</v>
      </c>
      <c r="D7" s="14" t="s">
        <v>31</v>
      </c>
      <c r="E7" s="14" t="s">
        <v>29</v>
      </c>
      <c r="F7" s="14" t="s">
        <v>32</v>
      </c>
      <c r="G7" s="9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66">
        <v>0.30208333333333331</v>
      </c>
      <c r="D8" s="14" t="s">
        <v>33</v>
      </c>
      <c r="E8" s="14" t="s">
        <v>29</v>
      </c>
      <c r="F8" s="14" t="s">
        <v>34</v>
      </c>
      <c r="G8" s="9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67">
        <v>0.12847222222222221</v>
      </c>
      <c r="D9" s="15" t="s">
        <v>28</v>
      </c>
      <c r="E9" s="15" t="s">
        <v>36</v>
      </c>
      <c r="F9" s="15" t="s">
        <v>37</v>
      </c>
      <c r="G9" s="9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66">
        <v>0.12847222222222221</v>
      </c>
      <c r="D10" s="14" t="s">
        <v>31</v>
      </c>
      <c r="E10" s="14" t="s">
        <v>36</v>
      </c>
      <c r="F10" s="14" t="s">
        <v>38</v>
      </c>
      <c r="G10" s="9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66">
        <v>0.12847222222222221</v>
      </c>
      <c r="D11" s="14" t="s">
        <v>33</v>
      </c>
      <c r="E11" s="14" t="s">
        <v>36</v>
      </c>
      <c r="F11" s="14" t="s">
        <v>34</v>
      </c>
      <c r="G11" s="9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67">
        <v>0.88888888888888884</v>
      </c>
      <c r="D12" s="15" t="s">
        <v>28</v>
      </c>
      <c r="E12" s="15" t="s">
        <v>40</v>
      </c>
      <c r="F12" s="15" t="s">
        <v>37</v>
      </c>
      <c r="G12" s="9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66">
        <v>0.88888888888888884</v>
      </c>
      <c r="D13" s="14" t="s">
        <v>31</v>
      </c>
      <c r="E13" s="14" t="s">
        <v>40</v>
      </c>
      <c r="F13" s="14" t="s">
        <v>38</v>
      </c>
      <c r="G13" s="9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66">
        <v>0.88888888888888884</v>
      </c>
      <c r="D14" s="14" t="s">
        <v>33</v>
      </c>
      <c r="E14" s="14" t="s">
        <v>40</v>
      </c>
      <c r="F14" s="14" t="s">
        <v>34</v>
      </c>
      <c r="G14" s="9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67">
        <v>0.78819444444444442</v>
      </c>
      <c r="D15" s="15" t="s">
        <v>28</v>
      </c>
      <c r="E15" s="15" t="s">
        <v>42</v>
      </c>
      <c r="F15" s="15" t="s">
        <v>43</v>
      </c>
      <c r="G15" s="9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66">
        <v>0.78819444444444442</v>
      </c>
      <c r="D16" s="14" t="s">
        <v>31</v>
      </c>
      <c r="E16" s="14" t="s">
        <v>42</v>
      </c>
      <c r="F16" s="14" t="s">
        <v>44</v>
      </c>
      <c r="G16" s="9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66">
        <v>0.78819444444444442</v>
      </c>
      <c r="D17" s="14" t="s">
        <v>33</v>
      </c>
      <c r="E17" s="14" t="s">
        <v>42</v>
      </c>
      <c r="F17" s="14" t="s">
        <v>34</v>
      </c>
      <c r="G17" s="9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</v>
      </c>
      <c r="B18" s="16" t="s">
        <v>46</v>
      </c>
      <c r="C18" s="68">
        <v>0.25694444444444442</v>
      </c>
      <c r="D18" s="16" t="s">
        <v>47</v>
      </c>
      <c r="E18" s="16" t="s">
        <v>48</v>
      </c>
      <c r="F18" s="16" t="s">
        <v>49</v>
      </c>
      <c r="G18" s="9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45</v>
      </c>
      <c r="B19" s="14" t="s">
        <v>46</v>
      </c>
      <c r="C19" s="66">
        <v>0.25694444444444442</v>
      </c>
      <c r="D19" s="14" t="s">
        <v>50</v>
      </c>
      <c r="E19" s="14" t="s">
        <v>48</v>
      </c>
      <c r="F19" s="14" t="s">
        <v>51</v>
      </c>
      <c r="G19" s="9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45</v>
      </c>
      <c r="B20" s="14" t="s">
        <v>46</v>
      </c>
      <c r="C20" s="66">
        <v>0.25694444444444442</v>
      </c>
      <c r="D20" s="14" t="s">
        <v>52</v>
      </c>
      <c r="E20" s="14" t="s">
        <v>48</v>
      </c>
      <c r="F20" s="14" t="s">
        <v>53</v>
      </c>
      <c r="G20" s="9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45</v>
      </c>
      <c r="B21" s="15" t="s">
        <v>54</v>
      </c>
      <c r="C21" s="67">
        <v>0.39583333333333331</v>
      </c>
      <c r="D21" s="15" t="s">
        <v>47</v>
      </c>
      <c r="E21" s="15" t="s">
        <v>48</v>
      </c>
      <c r="F21" s="15" t="s">
        <v>49</v>
      </c>
      <c r="G21" s="9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45</v>
      </c>
      <c r="B22" s="14" t="s">
        <v>54</v>
      </c>
      <c r="C22" s="66">
        <v>0.39583333333333331</v>
      </c>
      <c r="D22" s="14" t="s">
        <v>50</v>
      </c>
      <c r="E22" s="14" t="s">
        <v>48</v>
      </c>
      <c r="F22" s="14" t="s">
        <v>51</v>
      </c>
      <c r="G22" s="9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45</v>
      </c>
      <c r="B23" s="14" t="s">
        <v>54</v>
      </c>
      <c r="C23" s="66">
        <v>0.39583333333333331</v>
      </c>
      <c r="D23" s="14" t="s">
        <v>52</v>
      </c>
      <c r="E23" s="14" t="s">
        <v>48</v>
      </c>
      <c r="F23" s="14" t="s">
        <v>53</v>
      </c>
      <c r="G23" s="9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45</v>
      </c>
      <c r="B24" s="15" t="s">
        <v>55</v>
      </c>
      <c r="C24" s="67">
        <v>0.85416666666666663</v>
      </c>
      <c r="D24" s="15" t="s">
        <v>47</v>
      </c>
      <c r="E24" s="15" t="s">
        <v>40</v>
      </c>
      <c r="F24" s="15" t="s">
        <v>56</v>
      </c>
      <c r="G24" s="9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45</v>
      </c>
      <c r="B25" s="14" t="s">
        <v>55</v>
      </c>
      <c r="C25" s="66">
        <v>0.85416666666666663</v>
      </c>
      <c r="D25" s="14" t="s">
        <v>50</v>
      </c>
      <c r="E25" s="14" t="s">
        <v>40</v>
      </c>
      <c r="F25" s="14" t="s">
        <v>32</v>
      </c>
      <c r="G25" s="9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45</v>
      </c>
      <c r="B26" s="14" t="s">
        <v>55</v>
      </c>
      <c r="C26" s="66">
        <v>0.85416666666666663</v>
      </c>
      <c r="D26" s="14" t="s">
        <v>52</v>
      </c>
      <c r="E26" s="14" t="s">
        <v>40</v>
      </c>
      <c r="F26" s="14" t="s">
        <v>57</v>
      </c>
      <c r="G26" s="9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45</v>
      </c>
      <c r="B27" s="15" t="s">
        <v>58</v>
      </c>
      <c r="C27" s="67">
        <v>0.46875</v>
      </c>
      <c r="D27" s="15" t="s">
        <v>47</v>
      </c>
      <c r="E27" s="15" t="s">
        <v>40</v>
      </c>
      <c r="F27" s="15" t="s">
        <v>56</v>
      </c>
      <c r="G27" s="9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45</v>
      </c>
      <c r="B28" s="14" t="s">
        <v>58</v>
      </c>
      <c r="C28" s="66">
        <v>0.46875</v>
      </c>
      <c r="D28" s="14" t="s">
        <v>50</v>
      </c>
      <c r="E28" s="14" t="s">
        <v>40</v>
      </c>
      <c r="F28" s="14" t="s">
        <v>32</v>
      </c>
      <c r="G28" s="9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45</v>
      </c>
      <c r="B29" s="14" t="s">
        <v>58</v>
      </c>
      <c r="C29" s="66">
        <v>0.46875</v>
      </c>
      <c r="D29" s="14" t="s">
        <v>52</v>
      </c>
      <c r="E29" s="14" t="s">
        <v>40</v>
      </c>
      <c r="F29" s="14" t="s">
        <v>57</v>
      </c>
      <c r="G29" s="9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45</v>
      </c>
      <c r="B30" s="15" t="s">
        <v>59</v>
      </c>
      <c r="C30" s="67">
        <v>0.51736111111111116</v>
      </c>
      <c r="D30" s="15" t="s">
        <v>47</v>
      </c>
      <c r="E30" s="15" t="s">
        <v>42</v>
      </c>
      <c r="F30" s="15" t="s">
        <v>56</v>
      </c>
      <c r="G30" s="9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45</v>
      </c>
      <c r="B31" s="14" t="s">
        <v>59</v>
      </c>
      <c r="C31" s="66">
        <v>0.51736111111111116</v>
      </c>
      <c r="D31" s="14" t="s">
        <v>50</v>
      </c>
      <c r="E31" s="14" t="s">
        <v>42</v>
      </c>
      <c r="F31" s="14" t="s">
        <v>32</v>
      </c>
      <c r="G31" s="9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45</v>
      </c>
      <c r="B32" s="14" t="s">
        <v>59</v>
      </c>
      <c r="C32" s="66">
        <v>0.51736111111111116</v>
      </c>
      <c r="D32" s="14" t="s">
        <v>52</v>
      </c>
      <c r="E32" s="14" t="s">
        <v>42</v>
      </c>
      <c r="F32" s="14" t="s">
        <v>57</v>
      </c>
      <c r="G32" s="9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45</v>
      </c>
      <c r="B33" s="15" t="s">
        <v>60</v>
      </c>
      <c r="C33" s="67">
        <v>0.90277777777777779</v>
      </c>
      <c r="D33" s="15" t="s">
        <v>47</v>
      </c>
      <c r="E33" s="15" t="s">
        <v>40</v>
      </c>
      <c r="F33" s="15" t="s">
        <v>56</v>
      </c>
      <c r="G33" s="9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45</v>
      </c>
      <c r="B34" s="14" t="s">
        <v>60</v>
      </c>
      <c r="C34" s="66">
        <v>0.90277777777777779</v>
      </c>
      <c r="D34" s="14" t="s">
        <v>50</v>
      </c>
      <c r="E34" s="14" t="s">
        <v>40</v>
      </c>
      <c r="F34" s="14" t="s">
        <v>32</v>
      </c>
      <c r="G34" s="9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45</v>
      </c>
      <c r="B35" s="14" t="s">
        <v>60</v>
      </c>
      <c r="C35" s="66">
        <v>0.90277777777777779</v>
      </c>
      <c r="D35" s="14" t="s">
        <v>52</v>
      </c>
      <c r="E35" s="14" t="s">
        <v>40</v>
      </c>
      <c r="F35" s="14" t="s">
        <v>57</v>
      </c>
      <c r="G35" s="9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45</v>
      </c>
      <c r="B36" s="15" t="s">
        <v>61</v>
      </c>
      <c r="C36" s="67">
        <v>0.79861111111111116</v>
      </c>
      <c r="D36" s="15" t="s">
        <v>47</v>
      </c>
      <c r="E36" s="15" t="s">
        <v>62</v>
      </c>
      <c r="F36" s="15" t="s">
        <v>56</v>
      </c>
      <c r="G36" s="9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45</v>
      </c>
      <c r="B37" s="14" t="s">
        <v>61</v>
      </c>
      <c r="C37" s="66">
        <v>0.79861111111111116</v>
      </c>
      <c r="D37" s="14" t="s">
        <v>50</v>
      </c>
      <c r="E37" s="14" t="s">
        <v>62</v>
      </c>
      <c r="F37" s="14" t="s">
        <v>32</v>
      </c>
      <c r="G37" s="9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45</v>
      </c>
      <c r="B38" s="14" t="s">
        <v>61</v>
      </c>
      <c r="C38" s="66">
        <v>0.79861111111111116</v>
      </c>
      <c r="D38" s="14" t="s">
        <v>52</v>
      </c>
      <c r="E38" s="14" t="s">
        <v>62</v>
      </c>
      <c r="F38" s="14" t="s">
        <v>57</v>
      </c>
      <c r="G38" s="9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45</v>
      </c>
      <c r="B39" s="15" t="s">
        <v>63</v>
      </c>
      <c r="C39" s="67">
        <v>0.64583333333333337</v>
      </c>
      <c r="D39" s="15" t="s">
        <v>47</v>
      </c>
      <c r="E39" s="15" t="s">
        <v>40</v>
      </c>
      <c r="F39" s="15" t="s">
        <v>64</v>
      </c>
      <c r="G39" s="9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45</v>
      </c>
      <c r="B40" s="14" t="s">
        <v>63</v>
      </c>
      <c r="C40" s="66">
        <v>0.64583333333333337</v>
      </c>
      <c r="D40" s="14" t="s">
        <v>50</v>
      </c>
      <c r="E40" s="14" t="s">
        <v>40</v>
      </c>
      <c r="F40" s="14" t="s">
        <v>65</v>
      </c>
      <c r="G40" s="9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45</v>
      </c>
      <c r="B41" s="14" t="s">
        <v>63</v>
      </c>
      <c r="C41" s="66">
        <v>0.64583333333333337</v>
      </c>
      <c r="D41" s="14" t="s">
        <v>52</v>
      </c>
      <c r="E41" s="14" t="s">
        <v>40</v>
      </c>
      <c r="F41" s="14" t="s">
        <v>66</v>
      </c>
      <c r="G41" s="9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68">
        <v>0.20833333333333329</v>
      </c>
      <c r="D42" s="16" t="s">
        <v>69</v>
      </c>
      <c r="E42" s="16" t="s">
        <v>70</v>
      </c>
      <c r="F42" s="16" t="s">
        <v>71</v>
      </c>
      <c r="G42" s="9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68">
        <v>0.3125</v>
      </c>
      <c r="D43" s="16" t="s">
        <v>69</v>
      </c>
      <c r="E43" s="16" t="s">
        <v>74</v>
      </c>
      <c r="F43" s="16" t="s">
        <v>75</v>
      </c>
      <c r="G43" s="9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67">
        <v>0.66666666666666663</v>
      </c>
      <c r="D44" s="15" t="s">
        <v>69</v>
      </c>
      <c r="E44" s="15" t="s">
        <v>29</v>
      </c>
      <c r="F44" s="15" t="s">
        <v>75</v>
      </c>
      <c r="G44" s="9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68">
        <v>0.1736111111111111</v>
      </c>
      <c r="D45" s="16" t="s">
        <v>79</v>
      </c>
      <c r="E45" s="16" t="s">
        <v>40</v>
      </c>
      <c r="F45" s="16" t="s">
        <v>80</v>
      </c>
      <c r="G45" s="9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66">
        <v>0.1736111111111111</v>
      </c>
      <c r="D46" s="14" t="s">
        <v>33</v>
      </c>
      <c r="E46" s="14" t="s">
        <v>40</v>
      </c>
      <c r="F46" s="14" t="s">
        <v>81</v>
      </c>
      <c r="G46" s="9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67">
        <v>0.3923611111111111</v>
      </c>
      <c r="D47" s="15" t="s">
        <v>79</v>
      </c>
      <c r="E47" s="15" t="s">
        <v>40</v>
      </c>
      <c r="F47" s="15" t="s">
        <v>83</v>
      </c>
      <c r="G47" s="9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66">
        <v>0.3923611111111111</v>
      </c>
      <c r="D48" s="14" t="s">
        <v>33</v>
      </c>
      <c r="E48" s="14" t="s">
        <v>40</v>
      </c>
      <c r="F48" s="14" t="s">
        <v>84</v>
      </c>
      <c r="G48" s="9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69">
        <v>0.97916666666666663</v>
      </c>
      <c r="D49" s="17" t="s">
        <v>87</v>
      </c>
      <c r="E49" s="17" t="s">
        <v>74</v>
      </c>
      <c r="F49" s="17" t="s">
        <v>88</v>
      </c>
      <c r="G49" s="98"/>
      <c r="H49" s="18" t="s">
        <v>89</v>
      </c>
      <c r="I49" s="70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1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2">
        <v>0.61458333333333337</v>
      </c>
      <c r="D50" s="23" t="s">
        <v>87</v>
      </c>
      <c r="E50" s="23" t="s">
        <v>42</v>
      </c>
      <c r="F50" s="23" t="s">
        <v>93</v>
      </c>
      <c r="G50" s="98"/>
      <c r="H50" s="24" t="s">
        <v>94</v>
      </c>
      <c r="I50" s="73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74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75">
        <v>6.9444444444444441E-3</v>
      </c>
      <c r="D51" s="29" t="s">
        <v>87</v>
      </c>
      <c r="E51" s="29" t="s">
        <v>36</v>
      </c>
      <c r="F51" s="29" t="s">
        <v>98</v>
      </c>
      <c r="G51" s="98"/>
      <c r="H51" s="30" t="s">
        <v>99</v>
      </c>
      <c r="I51" s="76">
        <v>0.88829999999999998</v>
      </c>
      <c r="J51" s="31">
        <v>159</v>
      </c>
      <c r="K51" s="32">
        <v>45987</v>
      </c>
      <c r="L51" s="31">
        <v>2</v>
      </c>
      <c r="M51" s="31">
        <v>0</v>
      </c>
      <c r="N51" s="31">
        <v>0</v>
      </c>
      <c r="O51" s="33" t="s">
        <v>100</v>
      </c>
      <c r="P51" s="77">
        <v>6.9444444444444441E-3</v>
      </c>
      <c r="Q51" s="31">
        <v>179</v>
      </c>
      <c r="R51" s="34" t="s">
        <v>101</v>
      </c>
    </row>
    <row r="52" spans="1:18" ht="15" customHeight="1" x14ac:dyDescent="0.3">
      <c r="A52" s="23" t="s">
        <v>85</v>
      </c>
      <c r="B52" s="23" t="s">
        <v>102</v>
      </c>
      <c r="C52" s="72">
        <v>0.4236111111111111</v>
      </c>
      <c r="D52" s="23" t="s">
        <v>87</v>
      </c>
      <c r="E52" s="23" t="s">
        <v>103</v>
      </c>
      <c r="F52" s="23" t="s">
        <v>98</v>
      </c>
      <c r="G52" s="98"/>
      <c r="H52" s="24" t="s">
        <v>104</v>
      </c>
      <c r="I52" s="73">
        <v>0.97209999999999996</v>
      </c>
      <c r="J52" s="25">
        <v>174</v>
      </c>
      <c r="K52" s="26">
        <v>45986</v>
      </c>
      <c r="L52" s="25">
        <v>8</v>
      </c>
      <c r="M52" s="25">
        <v>0</v>
      </c>
      <c r="N52" s="25">
        <v>0</v>
      </c>
      <c r="O52" s="27" t="s">
        <v>105</v>
      </c>
      <c r="P52" s="74">
        <v>0.4236111111111111</v>
      </c>
      <c r="Q52" s="25">
        <v>179</v>
      </c>
      <c r="R52" s="28" t="s">
        <v>106</v>
      </c>
    </row>
    <row r="53" spans="1:18" ht="15" customHeight="1" x14ac:dyDescent="0.3">
      <c r="A53" s="16" t="s">
        <v>107</v>
      </c>
      <c r="B53" s="16" t="s">
        <v>108</v>
      </c>
      <c r="C53" s="68">
        <v>0.22916666666666671</v>
      </c>
      <c r="D53" s="16" t="s">
        <v>109</v>
      </c>
      <c r="E53" s="16" t="s">
        <v>74</v>
      </c>
      <c r="F53" s="16" t="s">
        <v>110</v>
      </c>
      <c r="G53" s="9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107</v>
      </c>
      <c r="B54" s="15" t="s">
        <v>111</v>
      </c>
      <c r="C54" s="67">
        <v>0.14583333333333329</v>
      </c>
      <c r="D54" s="15" t="s">
        <v>109</v>
      </c>
      <c r="E54" s="15" t="s">
        <v>74</v>
      </c>
      <c r="F54" s="15" t="s">
        <v>110</v>
      </c>
      <c r="G54" s="9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107</v>
      </c>
      <c r="B55" s="15" t="s">
        <v>112</v>
      </c>
      <c r="C55" s="67">
        <v>0.27777777777777779</v>
      </c>
      <c r="D55" s="15" t="s">
        <v>109</v>
      </c>
      <c r="E55" s="15" t="s">
        <v>74</v>
      </c>
      <c r="F55" s="15" t="s">
        <v>110</v>
      </c>
      <c r="G55" s="9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107</v>
      </c>
      <c r="B56" s="15" t="s">
        <v>113</v>
      </c>
      <c r="C56" s="67">
        <v>0.4861111111111111</v>
      </c>
      <c r="D56" s="15" t="s">
        <v>109</v>
      </c>
      <c r="E56" s="15" t="s">
        <v>74</v>
      </c>
      <c r="F56" s="15" t="s">
        <v>110</v>
      </c>
      <c r="G56" s="9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107</v>
      </c>
      <c r="B57" s="15" t="s">
        <v>114</v>
      </c>
      <c r="C57" s="67">
        <v>0.51388888888888884</v>
      </c>
      <c r="D57" s="15" t="s">
        <v>109</v>
      </c>
      <c r="E57" s="15" t="s">
        <v>74</v>
      </c>
      <c r="F57" s="15" t="s">
        <v>110</v>
      </c>
      <c r="G57" s="9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107</v>
      </c>
      <c r="B58" s="15" t="s">
        <v>115</v>
      </c>
      <c r="C58" s="67">
        <v>0.95833333333333337</v>
      </c>
      <c r="D58" s="15" t="s">
        <v>116</v>
      </c>
      <c r="E58" s="15" t="s">
        <v>70</v>
      </c>
      <c r="F58" s="15" t="s">
        <v>117</v>
      </c>
      <c r="G58" s="9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107</v>
      </c>
      <c r="B59" s="15" t="s">
        <v>118</v>
      </c>
      <c r="C59" s="67">
        <v>1.388888888888889E-2</v>
      </c>
      <c r="D59" s="15" t="s">
        <v>116</v>
      </c>
      <c r="E59" s="15" t="s">
        <v>29</v>
      </c>
      <c r="F59" s="15" t="s">
        <v>119</v>
      </c>
      <c r="G59" s="9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107</v>
      </c>
      <c r="B60" s="15" t="s">
        <v>120</v>
      </c>
      <c r="C60" s="67">
        <v>0.77430555555555558</v>
      </c>
      <c r="D60" s="15" t="s">
        <v>116</v>
      </c>
      <c r="E60" s="15" t="s">
        <v>36</v>
      </c>
      <c r="F60" s="15" t="s">
        <v>121</v>
      </c>
      <c r="G60" s="9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68">
        <v>0.93055555555555558</v>
      </c>
      <c r="D61" s="16" t="s">
        <v>124</v>
      </c>
      <c r="E61" s="16" t="s">
        <v>74</v>
      </c>
      <c r="F61" s="16" t="s">
        <v>125</v>
      </c>
      <c r="G61" s="9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66">
        <v>0.93055555555555558</v>
      </c>
      <c r="D62" s="14" t="s">
        <v>126</v>
      </c>
      <c r="E62" s="14" t="s">
        <v>74</v>
      </c>
      <c r="F62" s="14" t="s">
        <v>127</v>
      </c>
      <c r="G62" s="9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67">
        <v>0.37847222222222221</v>
      </c>
      <c r="D63" s="15" t="s">
        <v>124</v>
      </c>
      <c r="E63" s="15" t="s">
        <v>74</v>
      </c>
      <c r="F63" s="15" t="s">
        <v>125</v>
      </c>
      <c r="G63" s="9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66">
        <v>0.37847222222222221</v>
      </c>
      <c r="D64" s="14" t="s">
        <v>126</v>
      </c>
      <c r="E64" s="14" t="s">
        <v>74</v>
      </c>
      <c r="F64" s="14" t="s">
        <v>127</v>
      </c>
      <c r="G64" s="9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67">
        <v>0.61111111111111116</v>
      </c>
      <c r="D65" s="15" t="s">
        <v>124</v>
      </c>
      <c r="E65" s="15" t="s">
        <v>74</v>
      </c>
      <c r="F65" s="15" t="s">
        <v>125</v>
      </c>
      <c r="G65" s="9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66">
        <v>0.61111111111111116</v>
      </c>
      <c r="D66" s="14" t="s">
        <v>126</v>
      </c>
      <c r="E66" s="14" t="s">
        <v>74</v>
      </c>
      <c r="F66" s="14" t="s">
        <v>127</v>
      </c>
      <c r="G66" s="9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67">
        <v>0.23958333333333329</v>
      </c>
      <c r="D67" s="15" t="s">
        <v>124</v>
      </c>
      <c r="E67" s="15" t="s">
        <v>74</v>
      </c>
      <c r="F67" s="15" t="s">
        <v>125</v>
      </c>
      <c r="G67" s="9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66">
        <v>0.23958333333333329</v>
      </c>
      <c r="D68" s="14" t="s">
        <v>126</v>
      </c>
      <c r="E68" s="14" t="s">
        <v>74</v>
      </c>
      <c r="F68" s="14" t="s">
        <v>127</v>
      </c>
      <c r="G68" s="9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67">
        <v>0.88888888888888884</v>
      </c>
      <c r="D69" s="15" t="s">
        <v>126</v>
      </c>
      <c r="E69" s="15" t="s">
        <v>103</v>
      </c>
      <c r="F69" s="15" t="s">
        <v>132</v>
      </c>
      <c r="G69" s="9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67">
        <v>0.30208333333333331</v>
      </c>
      <c r="D70" s="15" t="s">
        <v>126</v>
      </c>
      <c r="E70" s="15" t="s">
        <v>103</v>
      </c>
      <c r="F70" s="15" t="s">
        <v>132</v>
      </c>
      <c r="G70" s="9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67">
        <v>6.9444444444444441E-3</v>
      </c>
      <c r="D71" s="15" t="s">
        <v>124</v>
      </c>
      <c r="E71" s="15" t="s">
        <v>48</v>
      </c>
      <c r="F71" s="15" t="s">
        <v>135</v>
      </c>
      <c r="G71" s="9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66">
        <v>6.9444444444444441E-3</v>
      </c>
      <c r="D72" s="14" t="s">
        <v>126</v>
      </c>
      <c r="E72" s="14" t="s">
        <v>48</v>
      </c>
      <c r="F72" s="14" t="s">
        <v>136</v>
      </c>
      <c r="G72" s="9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67">
        <v>0.1423611111111111</v>
      </c>
      <c r="D73" s="15" t="s">
        <v>124</v>
      </c>
      <c r="E73" s="15" t="s">
        <v>74</v>
      </c>
      <c r="F73" s="15" t="s">
        <v>135</v>
      </c>
      <c r="G73" s="9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66">
        <v>0.1423611111111111</v>
      </c>
      <c r="D74" s="14" t="s">
        <v>126</v>
      </c>
      <c r="E74" s="14" t="s">
        <v>74</v>
      </c>
      <c r="F74" s="14" t="s">
        <v>136</v>
      </c>
      <c r="G74" s="9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67">
        <v>0.71875</v>
      </c>
      <c r="D75" s="15" t="s">
        <v>124</v>
      </c>
      <c r="E75" s="15" t="s">
        <v>74</v>
      </c>
      <c r="F75" s="15" t="s">
        <v>135</v>
      </c>
      <c r="G75" s="9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66">
        <v>0.71875</v>
      </c>
      <c r="D76" s="14" t="s">
        <v>126</v>
      </c>
      <c r="E76" s="14" t="s">
        <v>74</v>
      </c>
      <c r="F76" s="14" t="s">
        <v>136</v>
      </c>
      <c r="G76" s="9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67">
        <v>0.82986111111111116</v>
      </c>
      <c r="D77" s="15" t="s">
        <v>124</v>
      </c>
      <c r="E77" s="15" t="s">
        <v>74</v>
      </c>
      <c r="F77" s="15" t="s">
        <v>135</v>
      </c>
      <c r="G77" s="9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66">
        <v>0.82986111111111116</v>
      </c>
      <c r="D78" s="14" t="s">
        <v>126</v>
      </c>
      <c r="E78" s="14" t="s">
        <v>74</v>
      </c>
      <c r="F78" s="14" t="s">
        <v>136</v>
      </c>
      <c r="G78" s="9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67">
        <v>0.12847222222222221</v>
      </c>
      <c r="D79" s="15" t="s">
        <v>126</v>
      </c>
      <c r="E79" s="15" t="s">
        <v>103</v>
      </c>
      <c r="F79" s="15" t="s">
        <v>141</v>
      </c>
      <c r="G79" s="9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5" t="s">
        <v>122</v>
      </c>
      <c r="B80" s="35" t="s">
        <v>142</v>
      </c>
      <c r="C80" s="78">
        <v>0.78819444444444442</v>
      </c>
      <c r="D80" s="35" t="s">
        <v>126</v>
      </c>
      <c r="E80" s="35" t="s">
        <v>103</v>
      </c>
      <c r="F80" s="35" t="s">
        <v>141</v>
      </c>
      <c r="G80" s="99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03" bestFit="1" customWidth="1"/>
    <col min="2" max="2" width="9" style="103" bestFit="1" customWidth="1"/>
    <col min="3" max="3" width="6.77734375" style="103" bestFit="1" customWidth="1"/>
    <col min="4" max="4" width="5.5546875" style="103" bestFit="1" customWidth="1"/>
    <col min="5" max="5" width="7.5546875" style="103" bestFit="1" customWidth="1"/>
    <col min="6" max="6" width="4.21875" style="103" bestFit="1" customWidth="1"/>
    <col min="7" max="7" width="10" style="103" bestFit="1" customWidth="1"/>
    <col min="8" max="10" width="7" style="103" bestFit="1" customWidth="1"/>
    <col min="11" max="11" width="10.5546875" style="103" bestFit="1" customWidth="1"/>
    <col min="12" max="12" width="9.109375" style="103" bestFit="1" customWidth="1"/>
    <col min="13" max="13" width="7.6640625" style="103" bestFit="1" customWidth="1" outlineLevel="1"/>
    <col min="14" max="14" width="6.33203125" style="103" bestFit="1" customWidth="1" outlineLevel="1"/>
    <col min="15" max="15" width="8" style="103" bestFit="1" customWidth="1" outlineLevel="1"/>
    <col min="16" max="16" width="13.6640625" style="103" bestFit="1" customWidth="1"/>
    <col min="17" max="26" width="3.88671875" style="103" bestFit="1" customWidth="1"/>
    <col min="27" max="27" width="4" style="103" bestFit="1" customWidth="1"/>
    <col min="28" max="28" width="3.88671875" style="103" bestFit="1" customWidth="1"/>
    <col min="29" max="29" width="4.21875" style="103" bestFit="1" customWidth="1"/>
    <col min="30" max="31" width="4.5546875" style="103" bestFit="1" customWidth="1"/>
    <col min="32" max="32" width="3.88671875" style="103" bestFit="1" customWidth="1"/>
    <col min="33" max="33" width="4.21875" style="103" bestFit="1" customWidth="1"/>
    <col min="34" max="34" width="3.88671875" style="103" bestFit="1" customWidth="1"/>
    <col min="35" max="35" width="5.21875" style="103" bestFit="1" customWidth="1"/>
    <col min="36" max="36" width="3.88671875" style="103" bestFit="1" customWidth="1"/>
    <col min="37" max="16384" width="8.88671875" style="103"/>
  </cols>
  <sheetData>
    <row r="1" spans="1:36" x14ac:dyDescent="0.3">
      <c r="A1" s="102" t="s">
        <v>143</v>
      </c>
      <c r="B1" s="102" t="s">
        <v>144</v>
      </c>
      <c r="C1" s="102" t="s">
        <v>145</v>
      </c>
      <c r="D1" s="102" t="s">
        <v>23</v>
      </c>
      <c r="E1" s="102" t="s">
        <v>146</v>
      </c>
      <c r="F1" s="102" t="s">
        <v>147</v>
      </c>
      <c r="G1" s="102" t="s">
        <v>16</v>
      </c>
      <c r="H1" s="102" t="s">
        <v>148</v>
      </c>
      <c r="I1" s="102" t="s">
        <v>149</v>
      </c>
      <c r="J1" s="102" t="s">
        <v>150</v>
      </c>
      <c r="K1" s="102" t="s">
        <v>151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152</v>
      </c>
      <c r="R1" s="102" t="s">
        <v>153</v>
      </c>
      <c r="S1" s="102" t="s">
        <v>154</v>
      </c>
      <c r="T1" s="102" t="s">
        <v>155</v>
      </c>
      <c r="U1" s="102" t="s">
        <v>156</v>
      </c>
      <c r="V1" s="102" t="s">
        <v>157</v>
      </c>
      <c r="W1" s="102" t="s">
        <v>158</v>
      </c>
      <c r="X1" s="102" t="s">
        <v>159</v>
      </c>
      <c r="Y1" s="102" t="s">
        <v>160</v>
      </c>
      <c r="Z1" s="102" t="s">
        <v>161</v>
      </c>
      <c r="AA1" s="102" t="s">
        <v>162</v>
      </c>
      <c r="AB1" s="102" t="s">
        <v>163</v>
      </c>
      <c r="AC1" s="102" t="s">
        <v>164</v>
      </c>
      <c r="AD1" s="102" t="s">
        <v>165</v>
      </c>
      <c r="AE1" s="102" t="s">
        <v>166</v>
      </c>
      <c r="AF1" s="102" t="s">
        <v>167</v>
      </c>
      <c r="AG1" s="102" t="s">
        <v>168</v>
      </c>
      <c r="AH1" s="102" t="s">
        <v>169</v>
      </c>
      <c r="AI1" s="102" t="s">
        <v>170</v>
      </c>
      <c r="AJ1" s="102" t="s">
        <v>171</v>
      </c>
    </row>
    <row r="2" spans="1:36" x14ac:dyDescent="0.3">
      <c r="A2" s="104" t="s">
        <v>172</v>
      </c>
      <c r="B2" s="105">
        <v>45992</v>
      </c>
      <c r="C2" s="106" t="s">
        <v>99</v>
      </c>
      <c r="D2" s="107" t="s">
        <v>173</v>
      </c>
      <c r="E2" s="106" t="s">
        <v>1</v>
      </c>
      <c r="F2" s="106" t="s">
        <v>174</v>
      </c>
      <c r="G2" s="108">
        <v>0.88829999999999998</v>
      </c>
      <c r="H2" s="109">
        <v>179</v>
      </c>
      <c r="I2" s="109">
        <v>159</v>
      </c>
      <c r="J2" s="109">
        <v>131</v>
      </c>
      <c r="K2" s="106" t="s">
        <v>175</v>
      </c>
      <c r="L2" s="110">
        <v>45987</v>
      </c>
      <c r="M2" s="109">
        <v>0</v>
      </c>
      <c r="N2" s="109">
        <v>0</v>
      </c>
      <c r="O2" s="109">
        <v>2</v>
      </c>
      <c r="P2" s="106" t="s">
        <v>100</v>
      </c>
      <c r="Q2" s="102"/>
      <c r="R2" s="102"/>
      <c r="S2" s="102"/>
      <c r="T2" s="102"/>
      <c r="U2" s="102"/>
      <c r="V2" s="102"/>
      <c r="W2" s="102"/>
      <c r="X2" s="102"/>
      <c r="Y2" s="102"/>
      <c r="Z2" s="109" t="s">
        <v>176</v>
      </c>
      <c r="AA2" s="109" t="s">
        <v>177</v>
      </c>
      <c r="AB2" s="102"/>
      <c r="AC2" s="102"/>
      <c r="AD2" s="109" t="s">
        <v>178</v>
      </c>
      <c r="AE2" s="109" t="s">
        <v>179</v>
      </c>
      <c r="AF2" s="109" t="s">
        <v>180</v>
      </c>
      <c r="AG2" s="102"/>
      <c r="AH2" s="102"/>
      <c r="AI2" s="109" t="s">
        <v>181</v>
      </c>
      <c r="AJ2" s="102"/>
    </row>
    <row r="3" spans="1:36" x14ac:dyDescent="0.3">
      <c r="A3" s="104" t="s">
        <v>172</v>
      </c>
      <c r="B3" s="105">
        <v>45992</v>
      </c>
      <c r="C3" s="106" t="s">
        <v>104</v>
      </c>
      <c r="D3" s="107" t="s">
        <v>182</v>
      </c>
      <c r="E3" s="106" t="s">
        <v>1</v>
      </c>
      <c r="F3" s="106" t="s">
        <v>174</v>
      </c>
      <c r="G3" s="108">
        <v>0.97209999999999996</v>
      </c>
      <c r="H3" s="109">
        <v>179</v>
      </c>
      <c r="I3" s="109">
        <v>174</v>
      </c>
      <c r="J3" s="109">
        <v>135</v>
      </c>
      <c r="K3" s="106" t="s">
        <v>175</v>
      </c>
      <c r="L3" s="110">
        <v>45986</v>
      </c>
      <c r="M3" s="109">
        <v>0</v>
      </c>
      <c r="N3" s="109">
        <v>0</v>
      </c>
      <c r="O3" s="109">
        <v>8</v>
      </c>
      <c r="P3" s="106" t="s">
        <v>105</v>
      </c>
      <c r="Q3" s="102"/>
      <c r="R3" s="102"/>
      <c r="S3" s="102"/>
      <c r="T3" s="102"/>
      <c r="U3" s="102"/>
      <c r="V3" s="102"/>
      <c r="W3" s="102"/>
      <c r="X3" s="102"/>
      <c r="Y3" s="102"/>
      <c r="Z3" s="109" t="s">
        <v>183</v>
      </c>
      <c r="AA3" s="109" t="s">
        <v>184</v>
      </c>
      <c r="AB3" s="102"/>
      <c r="AC3" s="102"/>
      <c r="AD3" s="102"/>
      <c r="AE3" s="109" t="s">
        <v>185</v>
      </c>
      <c r="AF3" s="109" t="s">
        <v>186</v>
      </c>
      <c r="AG3" s="102"/>
      <c r="AH3" s="102"/>
      <c r="AI3" s="109" t="s">
        <v>187</v>
      </c>
      <c r="AJ3" s="102"/>
    </row>
    <row r="4" spans="1:36" x14ac:dyDescent="0.3">
      <c r="A4" s="104" t="s">
        <v>172</v>
      </c>
      <c r="B4" s="105">
        <v>45992</v>
      </c>
      <c r="C4" s="106" t="s">
        <v>94</v>
      </c>
      <c r="D4" s="107" t="s">
        <v>188</v>
      </c>
      <c r="E4" s="106" t="s">
        <v>1</v>
      </c>
      <c r="F4" s="106" t="s">
        <v>174</v>
      </c>
      <c r="G4" s="108">
        <v>0.88829999999999998</v>
      </c>
      <c r="H4" s="109">
        <v>179</v>
      </c>
      <c r="I4" s="109">
        <v>159</v>
      </c>
      <c r="J4" s="109">
        <v>103</v>
      </c>
      <c r="K4" s="106" t="s">
        <v>175</v>
      </c>
      <c r="L4" s="110">
        <v>45989</v>
      </c>
      <c r="M4" s="109">
        <v>0</v>
      </c>
      <c r="N4" s="109">
        <v>2</v>
      </c>
      <c r="O4" s="109">
        <v>8</v>
      </c>
      <c r="P4" s="106" t="s">
        <v>95</v>
      </c>
      <c r="Q4" s="102"/>
      <c r="R4" s="102"/>
      <c r="S4" s="102"/>
      <c r="T4" s="102"/>
      <c r="U4" s="102"/>
      <c r="V4" s="102"/>
      <c r="W4" s="102"/>
      <c r="X4" s="102"/>
      <c r="Y4" s="102"/>
      <c r="Z4" s="109" t="s">
        <v>189</v>
      </c>
      <c r="AA4" s="102"/>
      <c r="AB4" s="109" t="s">
        <v>190</v>
      </c>
      <c r="AC4" s="109" t="s">
        <v>191</v>
      </c>
      <c r="AD4" s="109" t="s">
        <v>192</v>
      </c>
      <c r="AE4" s="109" t="s">
        <v>193</v>
      </c>
      <c r="AF4" s="109" t="s">
        <v>186</v>
      </c>
      <c r="AG4" s="102"/>
      <c r="AH4" s="102"/>
      <c r="AI4" s="109" t="s">
        <v>194</v>
      </c>
      <c r="AJ4" s="109" t="s">
        <v>195</v>
      </c>
    </row>
    <row r="5" spans="1:36" x14ac:dyDescent="0.3">
      <c r="A5" s="104" t="s">
        <v>172</v>
      </c>
      <c r="B5" s="105">
        <v>45992</v>
      </c>
      <c r="C5" s="106" t="s">
        <v>89</v>
      </c>
      <c r="D5" s="107" t="s">
        <v>196</v>
      </c>
      <c r="E5" s="106" t="s">
        <v>1</v>
      </c>
      <c r="F5" s="106" t="s">
        <v>174</v>
      </c>
      <c r="G5" s="108">
        <v>0.92179999999999995</v>
      </c>
      <c r="H5" s="109">
        <v>179</v>
      </c>
      <c r="I5" s="109">
        <v>165</v>
      </c>
      <c r="J5" s="109">
        <v>104</v>
      </c>
      <c r="K5" s="106" t="s">
        <v>175</v>
      </c>
      <c r="L5" s="110">
        <v>45989</v>
      </c>
      <c r="M5" s="109">
        <v>0</v>
      </c>
      <c r="N5" s="109">
        <v>3</v>
      </c>
      <c r="O5" s="109">
        <v>18</v>
      </c>
      <c r="P5" s="106" t="s">
        <v>90</v>
      </c>
      <c r="Q5" s="102"/>
      <c r="R5" s="102"/>
      <c r="S5" s="102"/>
      <c r="T5" s="102"/>
      <c r="U5" s="102"/>
      <c r="V5" s="102"/>
      <c r="W5" s="102"/>
      <c r="X5" s="102"/>
      <c r="Y5" s="102"/>
      <c r="Z5" s="109" t="s">
        <v>197</v>
      </c>
      <c r="AA5" s="102"/>
      <c r="AB5" s="102"/>
      <c r="AC5" s="109" t="s">
        <v>191</v>
      </c>
      <c r="AD5" s="109" t="s">
        <v>198</v>
      </c>
      <c r="AE5" s="109" t="s">
        <v>199</v>
      </c>
      <c r="AF5" s="109" t="s">
        <v>200</v>
      </c>
      <c r="AG5" s="109" t="s">
        <v>201</v>
      </c>
      <c r="AH5" s="102"/>
      <c r="AI5" s="109" t="s">
        <v>202</v>
      </c>
      <c r="AJ5" s="109" t="s">
        <v>203</v>
      </c>
    </row>
    <row r="6" spans="1:36" ht="21" x14ac:dyDescent="0.3">
      <c r="A6" s="111" t="s">
        <v>256</v>
      </c>
      <c r="B6" s="112"/>
      <c r="C6" s="111">
        <f>SUBTOTAL(103,JED_CAI_LF_LEGACY[Flt])</f>
        <v>4</v>
      </c>
      <c r="D6" s="111"/>
      <c r="E6" s="111">
        <f>SUBTOTAL(103,JED_CAI_LF_LEGACY[Brd-Off])</f>
        <v>4</v>
      </c>
      <c r="F6" s="111"/>
      <c r="G6" s="113">
        <f>SUBTOTAL(101,JED_CAI_LF_LEGACY[LF%])</f>
        <v>0.91762499999999991</v>
      </c>
      <c r="H6" s="114">
        <f>SUBTOTAL(109,JED_CAI_LF_LEGACY[CAP])</f>
        <v>716</v>
      </c>
      <c r="I6" s="114">
        <f>SUBTOTAL(109,JED_CAI_LF_LEGACY[BKG(Y)])</f>
        <v>657</v>
      </c>
      <c r="J6" s="114">
        <f>SUBTOTAL(109,JED_CAI_LF_LEGACY[GRP(Y)])</f>
        <v>473</v>
      </c>
      <c r="K6" s="111"/>
      <c r="L6" s="112"/>
      <c r="M6" s="114">
        <f>SUBTOTAL(109,JED_CAI_LF_LEGACY[TO-DAY])</f>
        <v>0</v>
      </c>
      <c r="N6" s="114">
        <f>SUBTOTAL(109,JED_CAI_LF_LEGACY[Y-DAY])</f>
        <v>5</v>
      </c>
      <c r="O6" s="114">
        <f>SUBTOTAL(109,JED_CAI_LF_LEGACY[WEEKLY])</f>
        <v>36</v>
      </c>
      <c r="P6" s="115"/>
      <c r="Q6" s="114">
        <f>SUBTOTAL(109,JED_CAI_LF_LEGACY[Y])</f>
        <v>0</v>
      </c>
      <c r="R6" s="114">
        <f>SUBTOTAL(109,JED_CAI_LF_LEGACY[B])</f>
        <v>0</v>
      </c>
      <c r="S6" s="114">
        <f>SUBTOTAL(109,JED_CAI_LF_LEGACY[M])</f>
        <v>0</v>
      </c>
      <c r="T6" s="114">
        <f>SUBTOTAL(109,JED_CAI_LF_LEGACY[H])</f>
        <v>0</v>
      </c>
      <c r="U6" s="114">
        <f>SUBTOTAL(109,JED_CAI_LF_LEGACY[Q])</f>
        <v>0</v>
      </c>
      <c r="V6" s="114">
        <f>SUBTOTAL(109,JED_CAI_LF_LEGACY[K])</f>
        <v>0</v>
      </c>
      <c r="W6" s="114">
        <f>SUBTOTAL(109,JED_CAI_LF_LEGACY[V])</f>
        <v>0</v>
      </c>
      <c r="X6" s="114">
        <f>SUBTOTAL(109,JED_CAI_LF_LEGACY[L])</f>
        <v>0</v>
      </c>
      <c r="Y6" s="114">
        <f>SUBTOTAL(109,JED_CAI_LF_LEGACY[G])</f>
        <v>0</v>
      </c>
      <c r="Z6" s="114">
        <f>SUBTOTAL(109,JED_CAI_LF_LEGACY[S])</f>
        <v>0</v>
      </c>
      <c r="AA6" s="114">
        <f>SUBTOTAL(109,JED_CAI_LF_LEGACY[W])</f>
        <v>0</v>
      </c>
      <c r="AB6" s="114">
        <f>SUBTOTAL(109,JED_CAI_LF_LEGACY[T])</f>
        <v>0</v>
      </c>
      <c r="AC6" s="114">
        <f>SUBTOTAL(109,JED_CAI_LF_LEGACY[X])</f>
        <v>0</v>
      </c>
      <c r="AD6" s="114">
        <f>SUBTOTAL(109,JED_CAI_LF_LEGACY[U])</f>
        <v>0</v>
      </c>
      <c r="AE6" s="114">
        <f>SUBTOTAL(109,JED_CAI_LF_LEGACY[O])</f>
        <v>0</v>
      </c>
      <c r="AF6" s="114">
        <f>SUBTOTAL(109,JED_CAI_LF_LEGACY[I])</f>
        <v>0</v>
      </c>
      <c r="AG6" s="114">
        <f>SUBTOTAL(109,JED_CAI_LF_LEGACY[E])</f>
        <v>0</v>
      </c>
      <c r="AH6" s="114">
        <f>SUBTOTAL(109,JED_CAI_LF_LEGACY[A])</f>
        <v>0</v>
      </c>
      <c r="AI6" s="114">
        <f>SUBTOTAL(109,JED_CAI_LF_LEGACY[P])</f>
        <v>0</v>
      </c>
      <c r="AJ6" s="114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1" t="s">
        <v>204</v>
      </c>
      <c r="B1" s="42" t="s">
        <v>8</v>
      </c>
      <c r="C1" s="42" t="s">
        <v>9</v>
      </c>
      <c r="D1" s="42" t="s">
        <v>205</v>
      </c>
      <c r="E1" s="42" t="s">
        <v>10</v>
      </c>
      <c r="F1" s="42" t="s">
        <v>11</v>
      </c>
      <c r="G1" s="42" t="s">
        <v>12</v>
      </c>
      <c r="H1" s="43" t="s">
        <v>13</v>
      </c>
      <c r="I1" s="2"/>
    </row>
    <row r="2" spans="1:9" ht="19.8" customHeight="1" x14ac:dyDescent="0.3">
      <c r="A2" s="44" t="s">
        <v>206</v>
      </c>
      <c r="B2" s="45" t="s">
        <v>26</v>
      </c>
      <c r="C2" s="46" t="s">
        <v>27</v>
      </c>
      <c r="D2" s="45" t="s">
        <v>1</v>
      </c>
      <c r="E2" s="45" t="s">
        <v>207</v>
      </c>
      <c r="F2" s="45" t="s">
        <v>28</v>
      </c>
      <c r="G2" s="47">
        <v>1</v>
      </c>
      <c r="H2" s="79">
        <v>359</v>
      </c>
      <c r="I2" s="2"/>
    </row>
    <row r="3" spans="1:9" ht="19.8" customHeight="1" x14ac:dyDescent="0.3">
      <c r="A3" s="44" t="s">
        <v>206</v>
      </c>
      <c r="B3" s="45" t="s">
        <v>45</v>
      </c>
      <c r="C3" s="46" t="s">
        <v>46</v>
      </c>
      <c r="D3" s="45" t="s">
        <v>1</v>
      </c>
      <c r="E3" s="45" t="s">
        <v>208</v>
      </c>
      <c r="F3" s="45" t="s">
        <v>47</v>
      </c>
      <c r="G3" s="47">
        <v>3</v>
      </c>
      <c r="H3" s="79">
        <v>369</v>
      </c>
      <c r="I3" s="2"/>
    </row>
    <row r="4" spans="1:9" ht="19.8" customHeight="1" x14ac:dyDescent="0.3">
      <c r="A4" s="44" t="s">
        <v>206</v>
      </c>
      <c r="B4" s="45" t="s">
        <v>45</v>
      </c>
      <c r="C4" s="46" t="s">
        <v>54</v>
      </c>
      <c r="D4" s="45" t="s">
        <v>1</v>
      </c>
      <c r="E4" s="45" t="s">
        <v>209</v>
      </c>
      <c r="F4" s="45" t="s">
        <v>47</v>
      </c>
      <c r="G4" s="47">
        <v>3</v>
      </c>
      <c r="H4" s="79">
        <v>369</v>
      </c>
      <c r="I4" s="2"/>
    </row>
    <row r="5" spans="1:9" ht="19.8" customHeight="1" x14ac:dyDescent="0.3">
      <c r="A5" s="44" t="s">
        <v>206</v>
      </c>
      <c r="B5" s="45" t="s">
        <v>26</v>
      </c>
      <c r="C5" s="46" t="s">
        <v>35</v>
      </c>
      <c r="D5" s="45" t="s">
        <v>1</v>
      </c>
      <c r="E5" s="45" t="s">
        <v>210</v>
      </c>
      <c r="F5" s="45" t="s">
        <v>28</v>
      </c>
      <c r="G5" s="47">
        <v>7</v>
      </c>
      <c r="H5" s="79">
        <v>389</v>
      </c>
      <c r="I5" s="2"/>
    </row>
    <row r="6" spans="1:9" ht="19.8" customHeight="1" x14ac:dyDescent="0.3">
      <c r="A6" s="44" t="s">
        <v>206</v>
      </c>
      <c r="B6" s="45" t="s">
        <v>26</v>
      </c>
      <c r="C6" s="46" t="s">
        <v>39</v>
      </c>
      <c r="D6" s="45" t="s">
        <v>1</v>
      </c>
      <c r="E6" s="45" t="s">
        <v>211</v>
      </c>
      <c r="F6" s="45" t="s">
        <v>28</v>
      </c>
      <c r="G6" s="47">
        <v>9</v>
      </c>
      <c r="H6" s="79">
        <v>389</v>
      </c>
      <c r="I6" s="2"/>
    </row>
    <row r="7" spans="1:9" ht="19.8" customHeight="1" x14ac:dyDescent="0.3">
      <c r="A7" s="44" t="s">
        <v>206</v>
      </c>
      <c r="B7" s="45" t="s">
        <v>67</v>
      </c>
      <c r="C7" s="46" t="s">
        <v>68</v>
      </c>
      <c r="D7" s="45" t="s">
        <v>1</v>
      </c>
      <c r="E7" s="45" t="s">
        <v>212</v>
      </c>
      <c r="F7" s="45" t="s">
        <v>69</v>
      </c>
      <c r="G7" s="47">
        <v>2</v>
      </c>
      <c r="H7" s="79">
        <v>400</v>
      </c>
      <c r="I7" s="2"/>
    </row>
    <row r="8" spans="1:9" ht="19.8" customHeight="1" x14ac:dyDescent="0.3">
      <c r="A8" s="44" t="s">
        <v>206</v>
      </c>
      <c r="B8" s="45" t="s">
        <v>72</v>
      </c>
      <c r="C8" s="46" t="s">
        <v>73</v>
      </c>
      <c r="D8" s="45" t="s">
        <v>1</v>
      </c>
      <c r="E8" s="45" t="s">
        <v>213</v>
      </c>
      <c r="F8" s="45" t="s">
        <v>69</v>
      </c>
      <c r="G8" s="47">
        <v>9</v>
      </c>
      <c r="H8" s="79">
        <v>401</v>
      </c>
      <c r="I8" s="2"/>
    </row>
    <row r="9" spans="1:9" ht="19.8" customHeight="1" x14ac:dyDescent="0.3">
      <c r="A9" s="44" t="s">
        <v>206</v>
      </c>
      <c r="B9" s="45" t="s">
        <v>72</v>
      </c>
      <c r="C9" s="46" t="s">
        <v>76</v>
      </c>
      <c r="D9" s="45" t="s">
        <v>1</v>
      </c>
      <c r="E9" s="45" t="s">
        <v>214</v>
      </c>
      <c r="F9" s="45" t="s">
        <v>69</v>
      </c>
      <c r="G9" s="47">
        <v>1</v>
      </c>
      <c r="H9" s="79">
        <v>401</v>
      </c>
      <c r="I9" s="2"/>
    </row>
    <row r="10" spans="1:9" ht="19.8" customHeight="1" x14ac:dyDescent="0.3">
      <c r="A10" s="44" t="s">
        <v>206</v>
      </c>
      <c r="B10" s="45" t="s">
        <v>45</v>
      </c>
      <c r="C10" s="46" t="s">
        <v>55</v>
      </c>
      <c r="D10" s="45" t="s">
        <v>1</v>
      </c>
      <c r="E10" s="45" t="s">
        <v>215</v>
      </c>
      <c r="F10" s="45" t="s">
        <v>47</v>
      </c>
      <c r="G10" s="47">
        <v>9</v>
      </c>
      <c r="H10" s="79">
        <v>409</v>
      </c>
      <c r="I10" s="2"/>
    </row>
    <row r="11" spans="1:9" ht="19.8" customHeight="1" x14ac:dyDescent="0.3">
      <c r="A11" s="44" t="s">
        <v>206</v>
      </c>
      <c r="B11" s="45" t="s">
        <v>45</v>
      </c>
      <c r="C11" s="46" t="s">
        <v>58</v>
      </c>
      <c r="D11" s="45" t="s">
        <v>1</v>
      </c>
      <c r="E11" s="45" t="s">
        <v>216</v>
      </c>
      <c r="F11" s="45" t="s">
        <v>47</v>
      </c>
      <c r="G11" s="47">
        <v>9</v>
      </c>
      <c r="H11" s="79">
        <v>409</v>
      </c>
      <c r="I11" s="2"/>
    </row>
    <row r="12" spans="1:9" ht="19.8" customHeight="1" x14ac:dyDescent="0.3">
      <c r="A12" s="44" t="s">
        <v>206</v>
      </c>
      <c r="B12" s="45" t="s">
        <v>45</v>
      </c>
      <c r="C12" s="46" t="s">
        <v>59</v>
      </c>
      <c r="D12" s="45" t="s">
        <v>1</v>
      </c>
      <c r="E12" s="45" t="s">
        <v>217</v>
      </c>
      <c r="F12" s="45" t="s">
        <v>47</v>
      </c>
      <c r="G12" s="47">
        <v>6</v>
      </c>
      <c r="H12" s="79">
        <v>409</v>
      </c>
      <c r="I12" s="2"/>
    </row>
    <row r="13" spans="1:9" ht="19.8" customHeight="1" x14ac:dyDescent="0.3">
      <c r="A13" s="44" t="s">
        <v>206</v>
      </c>
      <c r="B13" s="45" t="s">
        <v>45</v>
      </c>
      <c r="C13" s="46" t="s">
        <v>60</v>
      </c>
      <c r="D13" s="45" t="s">
        <v>1</v>
      </c>
      <c r="E13" s="45" t="s">
        <v>218</v>
      </c>
      <c r="F13" s="45" t="s">
        <v>47</v>
      </c>
      <c r="G13" s="47">
        <v>9</v>
      </c>
      <c r="H13" s="79">
        <v>409</v>
      </c>
      <c r="I13" s="2"/>
    </row>
    <row r="14" spans="1:9" ht="19.8" customHeight="1" x14ac:dyDescent="0.3">
      <c r="A14" s="44" t="s">
        <v>206</v>
      </c>
      <c r="B14" s="45" t="s">
        <v>45</v>
      </c>
      <c r="C14" s="46" t="s">
        <v>61</v>
      </c>
      <c r="D14" s="45" t="s">
        <v>1</v>
      </c>
      <c r="E14" s="45" t="s">
        <v>219</v>
      </c>
      <c r="F14" s="45" t="s">
        <v>47</v>
      </c>
      <c r="G14" s="47">
        <v>8</v>
      </c>
      <c r="H14" s="79">
        <v>409</v>
      </c>
      <c r="I14" s="2"/>
    </row>
    <row r="15" spans="1:9" ht="19.8" customHeight="1" x14ac:dyDescent="0.3">
      <c r="A15" s="44" t="s">
        <v>206</v>
      </c>
      <c r="B15" s="45" t="s">
        <v>77</v>
      </c>
      <c r="C15" s="46" t="s">
        <v>78</v>
      </c>
      <c r="D15" s="45" t="s">
        <v>1</v>
      </c>
      <c r="E15" s="45" t="s">
        <v>220</v>
      </c>
      <c r="F15" s="45" t="s">
        <v>79</v>
      </c>
      <c r="G15" s="47">
        <v>9</v>
      </c>
      <c r="H15" s="79">
        <v>417</v>
      </c>
      <c r="I15" s="2"/>
    </row>
    <row r="16" spans="1:9" ht="19.8" customHeight="1" x14ac:dyDescent="0.3">
      <c r="A16" s="44" t="s">
        <v>206</v>
      </c>
      <c r="B16" s="45" t="s">
        <v>26</v>
      </c>
      <c r="C16" s="46" t="s">
        <v>41</v>
      </c>
      <c r="D16" s="45" t="s">
        <v>1</v>
      </c>
      <c r="E16" s="45" t="s">
        <v>221</v>
      </c>
      <c r="F16" s="45" t="s">
        <v>28</v>
      </c>
      <c r="G16" s="47">
        <v>6</v>
      </c>
      <c r="H16" s="79">
        <v>459</v>
      </c>
      <c r="I16" s="2"/>
    </row>
    <row r="17" spans="1:9" ht="19.8" customHeight="1" x14ac:dyDescent="0.3">
      <c r="A17" s="44" t="s">
        <v>206</v>
      </c>
      <c r="B17" s="45" t="s">
        <v>45</v>
      </c>
      <c r="C17" s="46" t="s">
        <v>46</v>
      </c>
      <c r="D17" s="45" t="s">
        <v>1</v>
      </c>
      <c r="E17" s="45" t="s">
        <v>208</v>
      </c>
      <c r="F17" s="45" t="s">
        <v>50</v>
      </c>
      <c r="G17" s="47">
        <v>3</v>
      </c>
      <c r="H17" s="79">
        <v>469</v>
      </c>
      <c r="I17" s="2"/>
    </row>
    <row r="18" spans="1:9" ht="19.8" customHeight="1" x14ac:dyDescent="0.3">
      <c r="A18" s="44" t="s">
        <v>206</v>
      </c>
      <c r="B18" s="45" t="s">
        <v>45</v>
      </c>
      <c r="C18" s="46" t="s">
        <v>54</v>
      </c>
      <c r="D18" s="45" t="s">
        <v>1</v>
      </c>
      <c r="E18" s="45" t="s">
        <v>209</v>
      </c>
      <c r="F18" s="45" t="s">
        <v>50</v>
      </c>
      <c r="G18" s="47">
        <v>3</v>
      </c>
      <c r="H18" s="79">
        <v>469</v>
      </c>
      <c r="I18" s="2"/>
    </row>
    <row r="19" spans="1:9" ht="19.8" customHeight="1" x14ac:dyDescent="0.3">
      <c r="A19" s="44" t="s">
        <v>206</v>
      </c>
      <c r="B19" s="45" t="s">
        <v>77</v>
      </c>
      <c r="C19" s="46" t="s">
        <v>82</v>
      </c>
      <c r="D19" s="45" t="s">
        <v>1</v>
      </c>
      <c r="E19" s="45" t="s">
        <v>222</v>
      </c>
      <c r="F19" s="45" t="s">
        <v>79</v>
      </c>
      <c r="G19" s="47">
        <v>9</v>
      </c>
      <c r="H19" s="79">
        <v>473</v>
      </c>
      <c r="I19" s="2"/>
    </row>
    <row r="20" spans="1:9" ht="19.8" customHeight="1" x14ac:dyDescent="0.3">
      <c r="A20" s="44" t="s">
        <v>206</v>
      </c>
      <c r="B20" s="45" t="s">
        <v>26</v>
      </c>
      <c r="C20" s="46" t="s">
        <v>27</v>
      </c>
      <c r="D20" s="45" t="s">
        <v>1</v>
      </c>
      <c r="E20" s="45" t="s">
        <v>207</v>
      </c>
      <c r="F20" s="45" t="s">
        <v>31</v>
      </c>
      <c r="G20" s="47">
        <v>1</v>
      </c>
      <c r="H20" s="79">
        <v>509</v>
      </c>
      <c r="I20" s="2"/>
    </row>
    <row r="21" spans="1:9" ht="19.8" customHeight="1" x14ac:dyDescent="0.3">
      <c r="A21" s="44" t="s">
        <v>206</v>
      </c>
      <c r="B21" s="45" t="s">
        <v>45</v>
      </c>
      <c r="C21" s="46" t="s">
        <v>55</v>
      </c>
      <c r="D21" s="45" t="s">
        <v>1</v>
      </c>
      <c r="E21" s="45" t="s">
        <v>215</v>
      </c>
      <c r="F21" s="45" t="s">
        <v>50</v>
      </c>
      <c r="G21" s="47">
        <v>9</v>
      </c>
      <c r="H21" s="79">
        <v>509</v>
      </c>
      <c r="I21" s="2"/>
    </row>
    <row r="22" spans="1:9" ht="19.8" customHeight="1" x14ac:dyDescent="0.3">
      <c r="A22" s="44" t="s">
        <v>206</v>
      </c>
      <c r="B22" s="45" t="s">
        <v>45</v>
      </c>
      <c r="C22" s="46" t="s">
        <v>58</v>
      </c>
      <c r="D22" s="45" t="s">
        <v>1</v>
      </c>
      <c r="E22" s="45" t="s">
        <v>216</v>
      </c>
      <c r="F22" s="45" t="s">
        <v>50</v>
      </c>
      <c r="G22" s="47">
        <v>9</v>
      </c>
      <c r="H22" s="79">
        <v>509</v>
      </c>
      <c r="I22" s="2"/>
    </row>
    <row r="23" spans="1:9" ht="19.8" customHeight="1" x14ac:dyDescent="0.3">
      <c r="A23" s="44" t="s">
        <v>206</v>
      </c>
      <c r="B23" s="45" t="s">
        <v>45</v>
      </c>
      <c r="C23" s="46" t="s">
        <v>59</v>
      </c>
      <c r="D23" s="45" t="s">
        <v>1</v>
      </c>
      <c r="E23" s="45" t="s">
        <v>217</v>
      </c>
      <c r="F23" s="45" t="s">
        <v>50</v>
      </c>
      <c r="G23" s="47">
        <v>6</v>
      </c>
      <c r="H23" s="79">
        <v>509</v>
      </c>
      <c r="I23" s="2"/>
    </row>
    <row r="24" spans="1:9" ht="19.8" customHeight="1" x14ac:dyDescent="0.3">
      <c r="A24" s="44" t="s">
        <v>206</v>
      </c>
      <c r="B24" s="45" t="s">
        <v>45</v>
      </c>
      <c r="C24" s="46" t="s">
        <v>60</v>
      </c>
      <c r="D24" s="45" t="s">
        <v>1</v>
      </c>
      <c r="E24" s="45" t="s">
        <v>218</v>
      </c>
      <c r="F24" s="45" t="s">
        <v>50</v>
      </c>
      <c r="G24" s="47">
        <v>9</v>
      </c>
      <c r="H24" s="79">
        <v>509</v>
      </c>
      <c r="I24" s="2"/>
    </row>
    <row r="25" spans="1:9" ht="19.8" customHeight="1" x14ac:dyDescent="0.3">
      <c r="A25" s="44" t="s">
        <v>206</v>
      </c>
      <c r="B25" s="45" t="s">
        <v>45</v>
      </c>
      <c r="C25" s="46" t="s">
        <v>61</v>
      </c>
      <c r="D25" s="45" t="s">
        <v>1</v>
      </c>
      <c r="E25" s="45" t="s">
        <v>219</v>
      </c>
      <c r="F25" s="45" t="s">
        <v>50</v>
      </c>
      <c r="G25" s="47">
        <v>8</v>
      </c>
      <c r="H25" s="79">
        <v>509</v>
      </c>
      <c r="I25" s="2"/>
    </row>
    <row r="26" spans="1:9" ht="19.8" customHeight="1" x14ac:dyDescent="0.3">
      <c r="A26" s="48" t="s">
        <v>206</v>
      </c>
      <c r="B26" s="49" t="s">
        <v>85</v>
      </c>
      <c r="C26" s="50" t="s">
        <v>86</v>
      </c>
      <c r="D26" s="49" t="s">
        <v>1</v>
      </c>
      <c r="E26" s="49" t="s">
        <v>196</v>
      </c>
      <c r="F26" s="49" t="s">
        <v>87</v>
      </c>
      <c r="G26" s="51">
        <v>9</v>
      </c>
      <c r="H26" s="80">
        <v>526</v>
      </c>
      <c r="I26" s="2"/>
    </row>
    <row r="27" spans="1:9" ht="19.8" customHeight="1" x14ac:dyDescent="0.3">
      <c r="A27" s="81">
        <v>45992</v>
      </c>
      <c r="B27" s="45" t="s">
        <v>26</v>
      </c>
      <c r="C27" s="46" t="s">
        <v>35</v>
      </c>
      <c r="D27" s="45" t="s">
        <v>1</v>
      </c>
      <c r="E27" s="82">
        <v>1.1284722222222221</v>
      </c>
      <c r="F27" s="45" t="s">
        <v>31</v>
      </c>
      <c r="G27" s="47">
        <v>7</v>
      </c>
      <c r="H27" s="79">
        <v>539</v>
      </c>
      <c r="I27" s="2"/>
    </row>
    <row r="28" spans="1:9" ht="19.8" customHeight="1" x14ac:dyDescent="0.3">
      <c r="A28" s="81">
        <v>45992</v>
      </c>
      <c r="B28" s="45" t="s">
        <v>26</v>
      </c>
      <c r="C28" s="46" t="s">
        <v>39</v>
      </c>
      <c r="D28" s="45" t="s">
        <v>1</v>
      </c>
      <c r="E28" s="82">
        <v>1.8888888888888891</v>
      </c>
      <c r="F28" s="45" t="s">
        <v>31</v>
      </c>
      <c r="G28" s="47">
        <v>9</v>
      </c>
      <c r="H28" s="79">
        <v>539</v>
      </c>
      <c r="I28" s="2"/>
    </row>
    <row r="29" spans="1:9" ht="19.8" customHeight="1" x14ac:dyDescent="0.3">
      <c r="A29" s="81">
        <v>45992</v>
      </c>
      <c r="B29" s="45" t="s">
        <v>77</v>
      </c>
      <c r="C29" s="46" t="s">
        <v>78</v>
      </c>
      <c r="D29" s="45" t="s">
        <v>1</v>
      </c>
      <c r="E29" s="82">
        <v>1.1736111111111109</v>
      </c>
      <c r="F29" s="45" t="s">
        <v>33</v>
      </c>
      <c r="G29" s="47">
        <v>9</v>
      </c>
      <c r="H29" s="79">
        <v>540</v>
      </c>
      <c r="I29" s="2"/>
    </row>
    <row r="30" spans="1:9" ht="19.8" customHeight="1" x14ac:dyDescent="0.3">
      <c r="A30" s="81">
        <v>45992</v>
      </c>
      <c r="B30" s="45" t="s">
        <v>45</v>
      </c>
      <c r="C30" s="46" t="s">
        <v>46</v>
      </c>
      <c r="D30" s="45" t="s">
        <v>1</v>
      </c>
      <c r="E30" s="82">
        <v>1.256944444444444</v>
      </c>
      <c r="F30" s="45" t="s">
        <v>52</v>
      </c>
      <c r="G30" s="47">
        <v>3</v>
      </c>
      <c r="H30" s="79">
        <v>559</v>
      </c>
      <c r="I30" s="2"/>
    </row>
    <row r="31" spans="1:9" ht="19.8" customHeight="1" x14ac:dyDescent="0.3">
      <c r="A31" s="81">
        <v>45992</v>
      </c>
      <c r="B31" s="45" t="s">
        <v>45</v>
      </c>
      <c r="C31" s="46" t="s">
        <v>54</v>
      </c>
      <c r="D31" s="45" t="s">
        <v>1</v>
      </c>
      <c r="E31" s="82">
        <v>1.395833333333333</v>
      </c>
      <c r="F31" s="45" t="s">
        <v>52</v>
      </c>
      <c r="G31" s="47">
        <v>3</v>
      </c>
      <c r="H31" s="79">
        <v>559</v>
      </c>
      <c r="I31" s="2"/>
    </row>
    <row r="32" spans="1:9" ht="19.8" customHeight="1" x14ac:dyDescent="0.3">
      <c r="A32" s="81">
        <v>45992</v>
      </c>
      <c r="B32" s="45" t="s">
        <v>45</v>
      </c>
      <c r="C32" s="46" t="s">
        <v>63</v>
      </c>
      <c r="D32" s="45" t="s">
        <v>1</v>
      </c>
      <c r="E32" s="82">
        <v>1.645833333333333</v>
      </c>
      <c r="F32" s="45" t="s">
        <v>47</v>
      </c>
      <c r="G32" s="47">
        <v>9</v>
      </c>
      <c r="H32" s="79">
        <v>569</v>
      </c>
      <c r="I32" s="2"/>
    </row>
    <row r="33" spans="1:9" ht="19.8" customHeight="1" x14ac:dyDescent="0.3">
      <c r="A33" s="81">
        <v>45992</v>
      </c>
      <c r="B33" s="45" t="s">
        <v>107</v>
      </c>
      <c r="C33" s="46" t="s">
        <v>108</v>
      </c>
      <c r="D33" s="45" t="s">
        <v>1</v>
      </c>
      <c r="E33" s="82">
        <v>1.229166666666667</v>
      </c>
      <c r="F33" s="45" t="s">
        <v>109</v>
      </c>
      <c r="G33" s="47">
        <v>9</v>
      </c>
      <c r="H33" s="79">
        <v>579</v>
      </c>
      <c r="I33" s="2"/>
    </row>
    <row r="34" spans="1:9" ht="19.8" customHeight="1" x14ac:dyDescent="0.3">
      <c r="A34" s="81">
        <v>45992</v>
      </c>
      <c r="B34" s="45" t="s">
        <v>107</v>
      </c>
      <c r="C34" s="46" t="s">
        <v>111</v>
      </c>
      <c r="D34" s="45" t="s">
        <v>1</v>
      </c>
      <c r="E34" s="82">
        <v>1.145833333333333</v>
      </c>
      <c r="F34" s="45" t="s">
        <v>109</v>
      </c>
      <c r="G34" s="47">
        <v>9</v>
      </c>
      <c r="H34" s="79">
        <v>579</v>
      </c>
      <c r="I34" s="2"/>
    </row>
    <row r="35" spans="1:9" ht="19.8" customHeight="1" x14ac:dyDescent="0.3">
      <c r="A35" s="81">
        <v>45992</v>
      </c>
      <c r="B35" s="45" t="s">
        <v>107</v>
      </c>
      <c r="C35" s="46" t="s">
        <v>112</v>
      </c>
      <c r="D35" s="45" t="s">
        <v>1</v>
      </c>
      <c r="E35" s="82">
        <v>1.2777777777777779</v>
      </c>
      <c r="F35" s="45" t="s">
        <v>109</v>
      </c>
      <c r="G35" s="47">
        <v>9</v>
      </c>
      <c r="H35" s="79">
        <v>579</v>
      </c>
      <c r="I35" s="2"/>
    </row>
    <row r="36" spans="1:9" ht="19.8" customHeight="1" x14ac:dyDescent="0.3">
      <c r="A36" s="81">
        <v>45992</v>
      </c>
      <c r="B36" s="45" t="s">
        <v>107</v>
      </c>
      <c r="C36" s="46" t="s">
        <v>113</v>
      </c>
      <c r="D36" s="45" t="s">
        <v>1</v>
      </c>
      <c r="E36" s="82">
        <v>1.4861111111111109</v>
      </c>
      <c r="F36" s="45" t="s">
        <v>109</v>
      </c>
      <c r="G36" s="47">
        <v>9</v>
      </c>
      <c r="H36" s="79">
        <v>579</v>
      </c>
      <c r="I36" s="2"/>
    </row>
    <row r="37" spans="1:9" ht="19.8" customHeight="1" x14ac:dyDescent="0.3">
      <c r="A37" s="81">
        <v>45992</v>
      </c>
      <c r="B37" s="45" t="s">
        <v>107</v>
      </c>
      <c r="C37" s="46" t="s">
        <v>114</v>
      </c>
      <c r="D37" s="45" t="s">
        <v>1</v>
      </c>
      <c r="E37" s="82">
        <v>1.5138888888888891</v>
      </c>
      <c r="F37" s="45" t="s">
        <v>109</v>
      </c>
      <c r="G37" s="47">
        <v>9</v>
      </c>
      <c r="H37" s="79">
        <v>579</v>
      </c>
      <c r="I37" s="2"/>
    </row>
    <row r="38" spans="1:9" ht="19.8" customHeight="1" x14ac:dyDescent="0.3">
      <c r="A38" s="83">
        <v>45992</v>
      </c>
      <c r="B38" s="49" t="s">
        <v>85</v>
      </c>
      <c r="C38" s="50" t="s">
        <v>92</v>
      </c>
      <c r="D38" s="49" t="s">
        <v>1</v>
      </c>
      <c r="E38" s="84">
        <v>1.614583333333333</v>
      </c>
      <c r="F38" s="49" t="s">
        <v>87</v>
      </c>
      <c r="G38" s="51">
        <v>6</v>
      </c>
      <c r="H38" s="80">
        <v>586</v>
      </c>
      <c r="I38" s="2"/>
    </row>
    <row r="39" spans="1:9" ht="19.8" customHeight="1" x14ac:dyDescent="0.3">
      <c r="A39" s="81">
        <v>45992</v>
      </c>
      <c r="B39" s="45" t="s">
        <v>77</v>
      </c>
      <c r="C39" s="46" t="s">
        <v>82</v>
      </c>
      <c r="D39" s="45" t="s">
        <v>1</v>
      </c>
      <c r="E39" s="82">
        <v>1.3923611111111109</v>
      </c>
      <c r="F39" s="45" t="s">
        <v>33</v>
      </c>
      <c r="G39" s="47">
        <v>9</v>
      </c>
      <c r="H39" s="79">
        <v>596</v>
      </c>
      <c r="I39" s="2"/>
    </row>
    <row r="40" spans="1:9" ht="19.8" customHeight="1" x14ac:dyDescent="0.3">
      <c r="A40" s="81">
        <v>45992</v>
      </c>
      <c r="B40" s="45" t="s">
        <v>45</v>
      </c>
      <c r="C40" s="46" t="s">
        <v>55</v>
      </c>
      <c r="D40" s="45" t="s">
        <v>1</v>
      </c>
      <c r="E40" s="82">
        <v>1.854166666666667</v>
      </c>
      <c r="F40" s="45" t="s">
        <v>52</v>
      </c>
      <c r="G40" s="47">
        <v>9</v>
      </c>
      <c r="H40" s="79">
        <v>599</v>
      </c>
      <c r="I40" s="2"/>
    </row>
    <row r="41" spans="1:9" ht="19.8" customHeight="1" x14ac:dyDescent="0.3">
      <c r="A41" s="81">
        <v>45992</v>
      </c>
      <c r="B41" s="45" t="s">
        <v>45</v>
      </c>
      <c r="C41" s="46" t="s">
        <v>58</v>
      </c>
      <c r="D41" s="45" t="s">
        <v>1</v>
      </c>
      <c r="E41" s="82">
        <v>1.46875</v>
      </c>
      <c r="F41" s="45" t="s">
        <v>52</v>
      </c>
      <c r="G41" s="47">
        <v>9</v>
      </c>
      <c r="H41" s="79">
        <v>599</v>
      </c>
      <c r="I41" s="2"/>
    </row>
    <row r="42" spans="1:9" ht="19.8" customHeight="1" x14ac:dyDescent="0.3">
      <c r="A42" s="81">
        <v>45992</v>
      </c>
      <c r="B42" s="45" t="s">
        <v>45</v>
      </c>
      <c r="C42" s="46" t="s">
        <v>59</v>
      </c>
      <c r="D42" s="45" t="s">
        <v>1</v>
      </c>
      <c r="E42" s="82">
        <v>1.5173611111111109</v>
      </c>
      <c r="F42" s="45" t="s">
        <v>52</v>
      </c>
      <c r="G42" s="47">
        <v>6</v>
      </c>
      <c r="H42" s="79">
        <v>599</v>
      </c>
      <c r="I42" s="2"/>
    </row>
    <row r="43" spans="1:9" ht="19.8" customHeight="1" x14ac:dyDescent="0.3">
      <c r="A43" s="81">
        <v>45992</v>
      </c>
      <c r="B43" s="45" t="s">
        <v>45</v>
      </c>
      <c r="C43" s="46" t="s">
        <v>60</v>
      </c>
      <c r="D43" s="45" t="s">
        <v>1</v>
      </c>
      <c r="E43" s="82">
        <v>1.9027777777777779</v>
      </c>
      <c r="F43" s="45" t="s">
        <v>52</v>
      </c>
      <c r="G43" s="47">
        <v>9</v>
      </c>
      <c r="H43" s="79">
        <v>599</v>
      </c>
      <c r="I43" s="2"/>
    </row>
    <row r="44" spans="1:9" ht="19.8" customHeight="1" x14ac:dyDescent="0.3">
      <c r="A44" s="81">
        <v>45992</v>
      </c>
      <c r="B44" s="45" t="s">
        <v>45</v>
      </c>
      <c r="C44" s="46" t="s">
        <v>61</v>
      </c>
      <c r="D44" s="45" t="s">
        <v>1</v>
      </c>
      <c r="E44" s="82">
        <v>1.7986111111111109</v>
      </c>
      <c r="F44" s="45" t="s">
        <v>52</v>
      </c>
      <c r="G44" s="47">
        <v>8</v>
      </c>
      <c r="H44" s="79">
        <v>599</v>
      </c>
      <c r="I44" s="2"/>
    </row>
    <row r="45" spans="1:9" ht="19.8" customHeight="1" x14ac:dyDescent="0.3">
      <c r="A45" s="81">
        <v>45992</v>
      </c>
      <c r="B45" s="45" t="s">
        <v>26</v>
      </c>
      <c r="C45" s="46" t="s">
        <v>41</v>
      </c>
      <c r="D45" s="45" t="s">
        <v>1</v>
      </c>
      <c r="E45" s="82">
        <v>1.788194444444444</v>
      </c>
      <c r="F45" s="45" t="s">
        <v>31</v>
      </c>
      <c r="G45" s="47">
        <v>6</v>
      </c>
      <c r="H45" s="79">
        <v>609</v>
      </c>
      <c r="I45" s="2"/>
    </row>
    <row r="46" spans="1:9" ht="19.8" customHeight="1" x14ac:dyDescent="0.3">
      <c r="A46" s="81">
        <v>45992</v>
      </c>
      <c r="B46" s="45" t="s">
        <v>107</v>
      </c>
      <c r="C46" s="46" t="s">
        <v>115</v>
      </c>
      <c r="D46" s="45" t="s">
        <v>1</v>
      </c>
      <c r="E46" s="82">
        <v>1.958333333333333</v>
      </c>
      <c r="F46" s="45" t="s">
        <v>116</v>
      </c>
      <c r="G46" s="47">
        <v>2</v>
      </c>
      <c r="H46" s="79">
        <v>637</v>
      </c>
      <c r="I46" s="2"/>
    </row>
    <row r="47" spans="1:9" ht="19.8" customHeight="1" x14ac:dyDescent="0.3">
      <c r="A47" s="83">
        <v>45992</v>
      </c>
      <c r="B47" s="49" t="s">
        <v>85</v>
      </c>
      <c r="C47" s="50" t="s">
        <v>97</v>
      </c>
      <c r="D47" s="49" t="s">
        <v>1</v>
      </c>
      <c r="E47" s="84">
        <v>1.006944444444444</v>
      </c>
      <c r="F47" s="49" t="s">
        <v>87</v>
      </c>
      <c r="G47" s="51">
        <v>7</v>
      </c>
      <c r="H47" s="80">
        <v>646</v>
      </c>
      <c r="I47" s="2"/>
    </row>
    <row r="48" spans="1:9" ht="19.8" customHeight="1" x14ac:dyDescent="0.3">
      <c r="A48" s="83">
        <v>45992</v>
      </c>
      <c r="B48" s="49" t="s">
        <v>85</v>
      </c>
      <c r="C48" s="50" t="s">
        <v>102</v>
      </c>
      <c r="D48" s="49" t="s">
        <v>1</v>
      </c>
      <c r="E48" s="84">
        <v>1.4236111111111109</v>
      </c>
      <c r="F48" s="49" t="s">
        <v>87</v>
      </c>
      <c r="G48" s="51">
        <v>4</v>
      </c>
      <c r="H48" s="80">
        <v>646</v>
      </c>
      <c r="I48" s="2"/>
    </row>
    <row r="49" spans="1:9" ht="19.8" customHeight="1" x14ac:dyDescent="0.3">
      <c r="A49" s="81">
        <v>45992</v>
      </c>
      <c r="B49" s="45" t="s">
        <v>45</v>
      </c>
      <c r="C49" s="46" t="s">
        <v>63</v>
      </c>
      <c r="D49" s="45" t="s">
        <v>1</v>
      </c>
      <c r="E49" s="82">
        <v>1.645833333333333</v>
      </c>
      <c r="F49" s="45" t="s">
        <v>50</v>
      </c>
      <c r="G49" s="47">
        <v>9</v>
      </c>
      <c r="H49" s="79">
        <v>669</v>
      </c>
      <c r="I49" s="2"/>
    </row>
    <row r="50" spans="1:9" ht="19.8" customHeight="1" x14ac:dyDescent="0.3">
      <c r="A50" s="81">
        <v>45992</v>
      </c>
      <c r="B50" s="45" t="s">
        <v>107</v>
      </c>
      <c r="C50" s="46" t="s">
        <v>118</v>
      </c>
      <c r="D50" s="45" t="s">
        <v>1</v>
      </c>
      <c r="E50" s="82">
        <v>1.0138888888888891</v>
      </c>
      <c r="F50" s="45" t="s">
        <v>116</v>
      </c>
      <c r="G50" s="47">
        <v>1</v>
      </c>
      <c r="H50" s="79">
        <v>712</v>
      </c>
      <c r="I50" s="2"/>
    </row>
    <row r="51" spans="1:9" ht="19.8" customHeight="1" x14ac:dyDescent="0.3">
      <c r="A51" s="81">
        <v>45992</v>
      </c>
      <c r="B51" s="45" t="s">
        <v>45</v>
      </c>
      <c r="C51" s="46" t="s">
        <v>63</v>
      </c>
      <c r="D51" s="45" t="s">
        <v>1</v>
      </c>
      <c r="E51" s="82">
        <v>1.645833333333333</v>
      </c>
      <c r="F51" s="45" t="s">
        <v>52</v>
      </c>
      <c r="G51" s="47">
        <v>9</v>
      </c>
      <c r="H51" s="79">
        <v>759</v>
      </c>
      <c r="I51" s="2"/>
    </row>
    <row r="52" spans="1:9" ht="19.8" customHeight="1" x14ac:dyDescent="0.3">
      <c r="A52" s="81">
        <v>45992</v>
      </c>
      <c r="B52" s="45" t="s">
        <v>107</v>
      </c>
      <c r="C52" s="46" t="s">
        <v>120</v>
      </c>
      <c r="D52" s="45" t="s">
        <v>1</v>
      </c>
      <c r="E52" s="82">
        <v>1.774305555555556</v>
      </c>
      <c r="F52" s="45" t="s">
        <v>116</v>
      </c>
      <c r="G52" s="47">
        <v>7</v>
      </c>
      <c r="H52" s="79">
        <v>795</v>
      </c>
      <c r="I52" s="2"/>
    </row>
    <row r="53" spans="1:9" ht="19.8" customHeight="1" x14ac:dyDescent="0.3">
      <c r="A53" s="81">
        <v>45992</v>
      </c>
      <c r="B53" s="45" t="s">
        <v>122</v>
      </c>
      <c r="C53" s="46" t="s">
        <v>123</v>
      </c>
      <c r="D53" s="45" t="s">
        <v>1</v>
      </c>
      <c r="E53" s="82">
        <v>1.930555555555556</v>
      </c>
      <c r="F53" s="45" t="s">
        <v>124</v>
      </c>
      <c r="G53" s="47">
        <v>9</v>
      </c>
      <c r="H53" s="79">
        <v>935</v>
      </c>
      <c r="I53" s="2"/>
    </row>
    <row r="54" spans="1:9" ht="19.8" customHeight="1" x14ac:dyDescent="0.3">
      <c r="A54" s="81">
        <v>45992</v>
      </c>
      <c r="B54" s="45" t="s">
        <v>122</v>
      </c>
      <c r="C54" s="46" t="s">
        <v>128</v>
      </c>
      <c r="D54" s="45" t="s">
        <v>1</v>
      </c>
      <c r="E54" s="82">
        <v>1.3784722222222221</v>
      </c>
      <c r="F54" s="45" t="s">
        <v>124</v>
      </c>
      <c r="G54" s="47">
        <v>9</v>
      </c>
      <c r="H54" s="79">
        <v>935</v>
      </c>
      <c r="I54" s="2"/>
    </row>
    <row r="55" spans="1:9" ht="19.8" customHeight="1" x14ac:dyDescent="0.3">
      <c r="A55" s="81">
        <v>45992</v>
      </c>
      <c r="B55" s="45" t="s">
        <v>122</v>
      </c>
      <c r="C55" s="46" t="s">
        <v>129</v>
      </c>
      <c r="D55" s="45" t="s">
        <v>1</v>
      </c>
      <c r="E55" s="82">
        <v>1.6111111111111109</v>
      </c>
      <c r="F55" s="45" t="s">
        <v>124</v>
      </c>
      <c r="G55" s="47">
        <v>9</v>
      </c>
      <c r="H55" s="79">
        <v>935</v>
      </c>
      <c r="I55" s="2"/>
    </row>
    <row r="56" spans="1:9" ht="19.8" customHeight="1" x14ac:dyDescent="0.3">
      <c r="A56" s="81">
        <v>45992</v>
      </c>
      <c r="B56" s="45" t="s">
        <v>122</v>
      </c>
      <c r="C56" s="46" t="s">
        <v>130</v>
      </c>
      <c r="D56" s="45" t="s">
        <v>1</v>
      </c>
      <c r="E56" s="82">
        <v>1.239583333333333</v>
      </c>
      <c r="F56" s="45" t="s">
        <v>124</v>
      </c>
      <c r="G56" s="47">
        <v>9</v>
      </c>
      <c r="H56" s="79">
        <v>935</v>
      </c>
      <c r="I56" s="2"/>
    </row>
    <row r="57" spans="1:9" ht="19.8" customHeight="1" x14ac:dyDescent="0.3">
      <c r="A57" s="81">
        <v>45992</v>
      </c>
      <c r="B57" s="45" t="s">
        <v>122</v>
      </c>
      <c r="C57" s="46" t="s">
        <v>123</v>
      </c>
      <c r="D57" s="45" t="s">
        <v>1</v>
      </c>
      <c r="E57" s="82">
        <v>1.930555555555556</v>
      </c>
      <c r="F57" s="45" t="s">
        <v>126</v>
      </c>
      <c r="G57" s="47">
        <v>9</v>
      </c>
      <c r="H57" s="79">
        <v>980</v>
      </c>
      <c r="I57" s="2"/>
    </row>
    <row r="58" spans="1:9" ht="19.8" customHeight="1" x14ac:dyDescent="0.3">
      <c r="A58" s="81">
        <v>45992</v>
      </c>
      <c r="B58" s="45" t="s">
        <v>122</v>
      </c>
      <c r="C58" s="46" t="s">
        <v>128</v>
      </c>
      <c r="D58" s="45" t="s">
        <v>1</v>
      </c>
      <c r="E58" s="82">
        <v>1.3784722222222221</v>
      </c>
      <c r="F58" s="45" t="s">
        <v>126</v>
      </c>
      <c r="G58" s="47">
        <v>9</v>
      </c>
      <c r="H58" s="79">
        <v>980</v>
      </c>
      <c r="I58" s="2"/>
    </row>
    <row r="59" spans="1:9" ht="19.8" customHeight="1" x14ac:dyDescent="0.3">
      <c r="A59" s="81">
        <v>45992</v>
      </c>
      <c r="B59" s="45" t="s">
        <v>122</v>
      </c>
      <c r="C59" s="46" t="s">
        <v>129</v>
      </c>
      <c r="D59" s="45" t="s">
        <v>1</v>
      </c>
      <c r="E59" s="82">
        <v>1.6111111111111109</v>
      </c>
      <c r="F59" s="45" t="s">
        <v>126</v>
      </c>
      <c r="G59" s="47">
        <v>9</v>
      </c>
      <c r="H59" s="79">
        <v>980</v>
      </c>
      <c r="I59" s="2"/>
    </row>
    <row r="60" spans="1:9" ht="19.8" customHeight="1" x14ac:dyDescent="0.3">
      <c r="A60" s="81">
        <v>45992</v>
      </c>
      <c r="B60" s="45" t="s">
        <v>122</v>
      </c>
      <c r="C60" s="46" t="s">
        <v>130</v>
      </c>
      <c r="D60" s="45" t="s">
        <v>1</v>
      </c>
      <c r="E60" s="82">
        <v>1.239583333333333</v>
      </c>
      <c r="F60" s="45" t="s">
        <v>126</v>
      </c>
      <c r="G60" s="47">
        <v>9</v>
      </c>
      <c r="H60" s="79">
        <v>980</v>
      </c>
      <c r="I60" s="2"/>
    </row>
    <row r="61" spans="1:9" ht="19.8" customHeight="1" x14ac:dyDescent="0.3">
      <c r="A61" s="81">
        <v>45992</v>
      </c>
      <c r="B61" s="45" t="s">
        <v>26</v>
      </c>
      <c r="C61" s="46" t="s">
        <v>35</v>
      </c>
      <c r="D61" s="45" t="s">
        <v>1</v>
      </c>
      <c r="E61" s="82">
        <v>1.1284722222222221</v>
      </c>
      <c r="F61" s="45" t="s">
        <v>33</v>
      </c>
      <c r="G61" s="47">
        <v>7</v>
      </c>
      <c r="H61" s="52" t="s">
        <v>34</v>
      </c>
      <c r="I61" s="2"/>
    </row>
    <row r="62" spans="1:9" ht="19.8" customHeight="1" x14ac:dyDescent="0.3">
      <c r="A62" s="81">
        <v>45992</v>
      </c>
      <c r="B62" s="45" t="s">
        <v>26</v>
      </c>
      <c r="C62" s="46" t="s">
        <v>27</v>
      </c>
      <c r="D62" s="45" t="s">
        <v>1</v>
      </c>
      <c r="E62" s="82">
        <v>1.302083333333333</v>
      </c>
      <c r="F62" s="45" t="s">
        <v>33</v>
      </c>
      <c r="G62" s="47">
        <v>1</v>
      </c>
      <c r="H62" s="52" t="s">
        <v>34</v>
      </c>
      <c r="I62" s="2"/>
    </row>
    <row r="63" spans="1:9" ht="19.8" customHeight="1" x14ac:dyDescent="0.3">
      <c r="A63" s="81">
        <v>45992</v>
      </c>
      <c r="B63" s="45" t="s">
        <v>26</v>
      </c>
      <c r="C63" s="46" t="s">
        <v>39</v>
      </c>
      <c r="D63" s="45" t="s">
        <v>1</v>
      </c>
      <c r="E63" s="82">
        <v>1.8888888888888891</v>
      </c>
      <c r="F63" s="45" t="s">
        <v>33</v>
      </c>
      <c r="G63" s="47">
        <v>9</v>
      </c>
      <c r="H63" s="52" t="s">
        <v>34</v>
      </c>
      <c r="I63" s="2"/>
    </row>
    <row r="64" spans="1:9" ht="19.8" customHeight="1" x14ac:dyDescent="0.3">
      <c r="A64" s="81">
        <v>45992</v>
      </c>
      <c r="B64" s="45" t="s">
        <v>26</v>
      </c>
      <c r="C64" s="46" t="s">
        <v>41</v>
      </c>
      <c r="D64" s="45" t="s">
        <v>1</v>
      </c>
      <c r="E64" s="82">
        <v>1.788194444444444</v>
      </c>
      <c r="F64" s="45" t="s">
        <v>33</v>
      </c>
      <c r="G64" s="47">
        <v>6</v>
      </c>
      <c r="H64" s="52" t="s">
        <v>34</v>
      </c>
      <c r="I64" s="2"/>
    </row>
    <row r="65" spans="1:9" ht="19.8" customHeight="1" x14ac:dyDescent="0.3">
      <c r="A65" s="81">
        <v>45992</v>
      </c>
      <c r="B65" s="45" t="s">
        <v>122</v>
      </c>
      <c r="C65" s="46" t="s">
        <v>131</v>
      </c>
      <c r="D65" s="45" t="s">
        <v>1</v>
      </c>
      <c r="E65" s="82">
        <v>1.8888888888888891</v>
      </c>
      <c r="F65" s="45" t="s">
        <v>126</v>
      </c>
      <c r="G65" s="47">
        <v>4</v>
      </c>
      <c r="H65" s="52" t="s">
        <v>132</v>
      </c>
      <c r="I65" s="2"/>
    </row>
    <row r="66" spans="1:9" ht="19.8" customHeight="1" x14ac:dyDescent="0.3">
      <c r="A66" s="81">
        <v>45992</v>
      </c>
      <c r="B66" s="45" t="s">
        <v>122</v>
      </c>
      <c r="C66" s="46" t="s">
        <v>133</v>
      </c>
      <c r="D66" s="45" t="s">
        <v>1</v>
      </c>
      <c r="E66" s="82">
        <v>1.302083333333333</v>
      </c>
      <c r="F66" s="45" t="s">
        <v>126</v>
      </c>
      <c r="G66" s="47">
        <v>4</v>
      </c>
      <c r="H66" s="52" t="s">
        <v>132</v>
      </c>
      <c r="I66" s="2"/>
    </row>
    <row r="67" spans="1:9" ht="19.8" customHeight="1" x14ac:dyDescent="0.3">
      <c r="A67" s="81">
        <v>45992</v>
      </c>
      <c r="B67" s="45" t="s">
        <v>122</v>
      </c>
      <c r="C67" s="46" t="s">
        <v>134</v>
      </c>
      <c r="D67" s="45" t="s">
        <v>1</v>
      </c>
      <c r="E67" s="82">
        <v>1.006944444444444</v>
      </c>
      <c r="F67" s="45" t="s">
        <v>124</v>
      </c>
      <c r="G67" s="47">
        <v>3</v>
      </c>
      <c r="H67" s="52" t="s">
        <v>135</v>
      </c>
      <c r="I67" s="2"/>
    </row>
    <row r="68" spans="1:9" ht="19.8" customHeight="1" x14ac:dyDescent="0.3">
      <c r="A68" s="81">
        <v>45992</v>
      </c>
      <c r="B68" s="45" t="s">
        <v>122</v>
      </c>
      <c r="C68" s="46" t="s">
        <v>137</v>
      </c>
      <c r="D68" s="45" t="s">
        <v>1</v>
      </c>
      <c r="E68" s="82">
        <v>1.1423611111111109</v>
      </c>
      <c r="F68" s="45" t="s">
        <v>124</v>
      </c>
      <c r="G68" s="47">
        <v>9</v>
      </c>
      <c r="H68" s="52" t="s">
        <v>135</v>
      </c>
      <c r="I68" s="2"/>
    </row>
    <row r="69" spans="1:9" ht="19.8" customHeight="1" x14ac:dyDescent="0.3">
      <c r="A69" s="81">
        <v>45992</v>
      </c>
      <c r="B69" s="45" t="s">
        <v>122</v>
      </c>
      <c r="C69" s="46" t="s">
        <v>138</v>
      </c>
      <c r="D69" s="45" t="s">
        <v>1</v>
      </c>
      <c r="E69" s="82">
        <v>1.71875</v>
      </c>
      <c r="F69" s="45" t="s">
        <v>124</v>
      </c>
      <c r="G69" s="47">
        <v>9</v>
      </c>
      <c r="H69" s="52" t="s">
        <v>135</v>
      </c>
      <c r="I69" s="2"/>
    </row>
    <row r="70" spans="1:9" ht="19.8" customHeight="1" x14ac:dyDescent="0.3">
      <c r="A70" s="81">
        <v>45992</v>
      </c>
      <c r="B70" s="45" t="s">
        <v>122</v>
      </c>
      <c r="C70" s="46" t="s">
        <v>139</v>
      </c>
      <c r="D70" s="45" t="s">
        <v>1</v>
      </c>
      <c r="E70" s="82">
        <v>1.8298611111111109</v>
      </c>
      <c r="F70" s="45" t="s">
        <v>124</v>
      </c>
      <c r="G70" s="47">
        <v>9</v>
      </c>
      <c r="H70" s="52" t="s">
        <v>135</v>
      </c>
      <c r="I70" s="2"/>
    </row>
    <row r="71" spans="1:9" ht="19.8" customHeight="1" x14ac:dyDescent="0.3">
      <c r="A71" s="81">
        <v>45992</v>
      </c>
      <c r="B71" s="45" t="s">
        <v>122</v>
      </c>
      <c r="C71" s="46" t="s">
        <v>134</v>
      </c>
      <c r="D71" s="45" t="s">
        <v>1</v>
      </c>
      <c r="E71" s="82">
        <v>1.006944444444444</v>
      </c>
      <c r="F71" s="45" t="s">
        <v>126</v>
      </c>
      <c r="G71" s="47">
        <v>3</v>
      </c>
      <c r="H71" s="52" t="s">
        <v>136</v>
      </c>
      <c r="I71" s="2"/>
    </row>
    <row r="72" spans="1:9" ht="19.8" customHeight="1" x14ac:dyDescent="0.3">
      <c r="A72" s="81">
        <v>45992</v>
      </c>
      <c r="B72" s="45" t="s">
        <v>122</v>
      </c>
      <c r="C72" s="46" t="s">
        <v>137</v>
      </c>
      <c r="D72" s="45" t="s">
        <v>1</v>
      </c>
      <c r="E72" s="82">
        <v>1.1423611111111109</v>
      </c>
      <c r="F72" s="45" t="s">
        <v>126</v>
      </c>
      <c r="G72" s="47">
        <v>9</v>
      </c>
      <c r="H72" s="52" t="s">
        <v>136</v>
      </c>
      <c r="I72" s="2"/>
    </row>
    <row r="73" spans="1:9" ht="19.8" customHeight="1" x14ac:dyDescent="0.3">
      <c r="A73" s="81">
        <v>45992</v>
      </c>
      <c r="B73" s="45" t="s">
        <v>122</v>
      </c>
      <c r="C73" s="46" t="s">
        <v>138</v>
      </c>
      <c r="D73" s="45" t="s">
        <v>1</v>
      </c>
      <c r="E73" s="82">
        <v>1.71875</v>
      </c>
      <c r="F73" s="45" t="s">
        <v>126</v>
      </c>
      <c r="G73" s="47">
        <v>9</v>
      </c>
      <c r="H73" s="52" t="s">
        <v>136</v>
      </c>
      <c r="I73" s="2"/>
    </row>
    <row r="74" spans="1:9" ht="19.8" customHeight="1" x14ac:dyDescent="0.3">
      <c r="A74" s="81">
        <v>45992</v>
      </c>
      <c r="B74" s="45" t="s">
        <v>122</v>
      </c>
      <c r="C74" s="46" t="s">
        <v>139</v>
      </c>
      <c r="D74" s="45" t="s">
        <v>1</v>
      </c>
      <c r="E74" s="82">
        <v>1.8298611111111109</v>
      </c>
      <c r="F74" s="45" t="s">
        <v>126</v>
      </c>
      <c r="G74" s="47">
        <v>9</v>
      </c>
      <c r="H74" s="52" t="s">
        <v>136</v>
      </c>
      <c r="I74" s="2"/>
    </row>
    <row r="75" spans="1:9" ht="19.8" customHeight="1" x14ac:dyDescent="0.3">
      <c r="A75" s="81">
        <v>45992</v>
      </c>
      <c r="B75" s="45" t="s">
        <v>122</v>
      </c>
      <c r="C75" s="46" t="s">
        <v>140</v>
      </c>
      <c r="D75" s="45" t="s">
        <v>1</v>
      </c>
      <c r="E75" s="82">
        <v>1.1284722222222221</v>
      </c>
      <c r="F75" s="45" t="s">
        <v>126</v>
      </c>
      <c r="G75" s="47">
        <v>4</v>
      </c>
      <c r="H75" s="52" t="s">
        <v>141</v>
      </c>
      <c r="I75" s="2"/>
    </row>
    <row r="76" spans="1:9" ht="19.8" customHeight="1" x14ac:dyDescent="0.3">
      <c r="A76" s="85">
        <v>45992</v>
      </c>
      <c r="B76" s="53" t="s">
        <v>122</v>
      </c>
      <c r="C76" s="54" t="s">
        <v>142</v>
      </c>
      <c r="D76" s="53" t="s">
        <v>1</v>
      </c>
      <c r="E76" s="86">
        <v>1.788194444444444</v>
      </c>
      <c r="F76" s="53" t="s">
        <v>126</v>
      </c>
      <c r="G76" s="55">
        <v>4</v>
      </c>
      <c r="H76" s="56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57" t="s">
        <v>204</v>
      </c>
      <c r="B1" s="57" t="s">
        <v>8</v>
      </c>
      <c r="C1" s="57" t="s">
        <v>9</v>
      </c>
      <c r="D1" s="57" t="s">
        <v>205</v>
      </c>
      <c r="E1" s="57" t="s">
        <v>10</v>
      </c>
      <c r="F1" s="57" t="s">
        <v>11</v>
      </c>
      <c r="G1" s="57" t="s">
        <v>12</v>
      </c>
      <c r="H1" s="57" t="s">
        <v>13</v>
      </c>
      <c r="I1" s="57" t="s">
        <v>223</v>
      </c>
    </row>
    <row r="2" spans="1:9" ht="15.6" x14ac:dyDescent="0.3">
      <c r="A2" s="58" t="s">
        <v>206</v>
      </c>
      <c r="B2" s="58" t="s">
        <v>85</v>
      </c>
      <c r="C2" s="58" t="s">
        <v>86</v>
      </c>
      <c r="D2" s="58" t="s">
        <v>1</v>
      </c>
      <c r="E2" s="58" t="s">
        <v>196</v>
      </c>
      <c r="F2" s="58" t="s">
        <v>87</v>
      </c>
      <c r="G2" s="58" t="s">
        <v>74</v>
      </c>
      <c r="H2" s="58" t="s">
        <v>88</v>
      </c>
      <c r="I2" s="59" t="s">
        <v>224</v>
      </c>
    </row>
    <row r="3" spans="1:9" ht="15.6" x14ac:dyDescent="0.3">
      <c r="A3" s="58" t="s">
        <v>206</v>
      </c>
      <c r="B3" s="58" t="s">
        <v>85</v>
      </c>
      <c r="C3" s="58" t="s">
        <v>92</v>
      </c>
      <c r="D3" s="58" t="s">
        <v>1</v>
      </c>
      <c r="E3" s="58" t="s">
        <v>188</v>
      </c>
      <c r="F3" s="58" t="s">
        <v>87</v>
      </c>
      <c r="G3" s="58" t="s">
        <v>42</v>
      </c>
      <c r="H3" s="58" t="s">
        <v>93</v>
      </c>
      <c r="I3" s="59" t="s">
        <v>224</v>
      </c>
    </row>
    <row r="4" spans="1:9" ht="15.6" x14ac:dyDescent="0.3">
      <c r="A4" s="58" t="s">
        <v>206</v>
      </c>
      <c r="B4" s="58" t="s">
        <v>85</v>
      </c>
      <c r="C4" s="58" t="s">
        <v>97</v>
      </c>
      <c r="D4" s="58" t="s">
        <v>1</v>
      </c>
      <c r="E4" s="58" t="s">
        <v>173</v>
      </c>
      <c r="F4" s="58" t="s">
        <v>87</v>
      </c>
      <c r="G4" s="58" t="s">
        <v>36</v>
      </c>
      <c r="H4" s="58" t="s">
        <v>98</v>
      </c>
      <c r="I4" s="59" t="s">
        <v>224</v>
      </c>
    </row>
    <row r="5" spans="1:9" ht="15.6" x14ac:dyDescent="0.3">
      <c r="A5" s="58" t="s">
        <v>206</v>
      </c>
      <c r="B5" s="58" t="s">
        <v>85</v>
      </c>
      <c r="C5" s="58" t="s">
        <v>102</v>
      </c>
      <c r="D5" s="58" t="s">
        <v>1</v>
      </c>
      <c r="E5" s="58" t="s">
        <v>182</v>
      </c>
      <c r="F5" s="58" t="s">
        <v>87</v>
      </c>
      <c r="G5" s="58" t="s">
        <v>103</v>
      </c>
      <c r="H5" s="58" t="s">
        <v>98</v>
      </c>
      <c r="I5" s="59" t="s">
        <v>224</v>
      </c>
    </row>
    <row r="6" spans="1:9" ht="15.6" x14ac:dyDescent="0.3">
      <c r="A6" s="60" t="s">
        <v>206</v>
      </c>
      <c r="B6" s="60" t="s">
        <v>26</v>
      </c>
      <c r="C6" s="60" t="s">
        <v>27</v>
      </c>
      <c r="D6" s="60" t="s">
        <v>1</v>
      </c>
      <c r="E6" s="60" t="s">
        <v>207</v>
      </c>
      <c r="F6" s="60" t="s">
        <v>28</v>
      </c>
      <c r="G6" s="60" t="s">
        <v>29</v>
      </c>
      <c r="H6" s="60" t="s">
        <v>30</v>
      </c>
      <c r="I6" s="61" t="s">
        <v>225</v>
      </c>
    </row>
    <row r="7" spans="1:9" ht="15.6" x14ac:dyDescent="0.3">
      <c r="A7" s="60" t="s">
        <v>206</v>
      </c>
      <c r="B7" s="60" t="s">
        <v>45</v>
      </c>
      <c r="C7" s="60" t="s">
        <v>46</v>
      </c>
      <c r="D7" s="60" t="s">
        <v>1</v>
      </c>
      <c r="E7" s="60" t="s">
        <v>208</v>
      </c>
      <c r="F7" s="60" t="s">
        <v>47</v>
      </c>
      <c r="G7" s="60" t="s">
        <v>48</v>
      </c>
      <c r="H7" s="60" t="s">
        <v>49</v>
      </c>
      <c r="I7" s="61" t="s">
        <v>226</v>
      </c>
    </row>
    <row r="8" spans="1:9" ht="15.6" x14ac:dyDescent="0.3">
      <c r="A8" s="60" t="s">
        <v>206</v>
      </c>
      <c r="B8" s="60" t="s">
        <v>45</v>
      </c>
      <c r="C8" s="60" t="s">
        <v>54</v>
      </c>
      <c r="D8" s="60" t="s">
        <v>1</v>
      </c>
      <c r="E8" s="60" t="s">
        <v>209</v>
      </c>
      <c r="F8" s="60" t="s">
        <v>47</v>
      </c>
      <c r="G8" s="60" t="s">
        <v>48</v>
      </c>
      <c r="H8" s="60" t="s">
        <v>49</v>
      </c>
      <c r="I8" s="61" t="s">
        <v>226</v>
      </c>
    </row>
    <row r="9" spans="1:9" ht="15.6" x14ac:dyDescent="0.3">
      <c r="A9" s="60" t="s">
        <v>206</v>
      </c>
      <c r="B9" s="60" t="s">
        <v>67</v>
      </c>
      <c r="C9" s="60" t="s">
        <v>68</v>
      </c>
      <c r="D9" s="60" t="s">
        <v>1</v>
      </c>
      <c r="E9" s="60" t="s">
        <v>212</v>
      </c>
      <c r="F9" s="60" t="s">
        <v>69</v>
      </c>
      <c r="G9" s="60" t="s">
        <v>70</v>
      </c>
      <c r="H9" s="60" t="s">
        <v>71</v>
      </c>
      <c r="I9" s="62" t="s">
        <v>227</v>
      </c>
    </row>
    <row r="10" spans="1:9" ht="15.6" x14ac:dyDescent="0.3">
      <c r="A10" s="60" t="s">
        <v>206</v>
      </c>
      <c r="B10" s="60" t="s">
        <v>72</v>
      </c>
      <c r="C10" s="60" t="s">
        <v>73</v>
      </c>
      <c r="D10" s="60" t="s">
        <v>1</v>
      </c>
      <c r="E10" s="60" t="s">
        <v>213</v>
      </c>
      <c r="F10" s="60" t="s">
        <v>69</v>
      </c>
      <c r="G10" s="60" t="s">
        <v>74</v>
      </c>
      <c r="H10" s="60" t="s">
        <v>75</v>
      </c>
      <c r="I10" s="62" t="s">
        <v>227</v>
      </c>
    </row>
    <row r="11" spans="1:9" ht="15.6" x14ac:dyDescent="0.3">
      <c r="A11" s="60" t="s">
        <v>206</v>
      </c>
      <c r="B11" s="60" t="s">
        <v>72</v>
      </c>
      <c r="C11" s="60" t="s">
        <v>76</v>
      </c>
      <c r="D11" s="60" t="s">
        <v>1</v>
      </c>
      <c r="E11" s="60" t="s">
        <v>214</v>
      </c>
      <c r="F11" s="60" t="s">
        <v>69</v>
      </c>
      <c r="G11" s="60" t="s">
        <v>29</v>
      </c>
      <c r="H11" s="60" t="s">
        <v>75</v>
      </c>
      <c r="I11" s="62" t="s">
        <v>228</v>
      </c>
    </row>
    <row r="12" spans="1:9" ht="15.6" x14ac:dyDescent="0.3">
      <c r="A12" s="60" t="s">
        <v>206</v>
      </c>
      <c r="B12" s="60" t="s">
        <v>45</v>
      </c>
      <c r="C12" s="60" t="s">
        <v>58</v>
      </c>
      <c r="D12" s="60" t="s">
        <v>1</v>
      </c>
      <c r="E12" s="60" t="s">
        <v>216</v>
      </c>
      <c r="F12" s="60" t="s">
        <v>47</v>
      </c>
      <c r="G12" s="60" t="s">
        <v>40</v>
      </c>
      <c r="H12" s="60" t="s">
        <v>56</v>
      </c>
      <c r="I12" s="61" t="s">
        <v>229</v>
      </c>
    </row>
    <row r="13" spans="1:9" ht="15.6" x14ac:dyDescent="0.3">
      <c r="A13" s="60" t="s">
        <v>206</v>
      </c>
      <c r="B13" s="60" t="s">
        <v>45</v>
      </c>
      <c r="C13" s="60" t="s">
        <v>59</v>
      </c>
      <c r="D13" s="60" t="s">
        <v>1</v>
      </c>
      <c r="E13" s="60" t="s">
        <v>217</v>
      </c>
      <c r="F13" s="60" t="s">
        <v>47</v>
      </c>
      <c r="G13" s="60" t="s">
        <v>42</v>
      </c>
      <c r="H13" s="60" t="s">
        <v>56</v>
      </c>
      <c r="I13" s="61" t="s">
        <v>229</v>
      </c>
    </row>
    <row r="14" spans="1:9" ht="15.6" x14ac:dyDescent="0.3">
      <c r="A14" s="60" t="s">
        <v>206</v>
      </c>
      <c r="B14" s="60" t="s">
        <v>77</v>
      </c>
      <c r="C14" s="60" t="s">
        <v>78</v>
      </c>
      <c r="D14" s="60" t="s">
        <v>1</v>
      </c>
      <c r="E14" s="60" t="s">
        <v>220</v>
      </c>
      <c r="F14" s="60" t="s">
        <v>79</v>
      </c>
      <c r="G14" s="60" t="s">
        <v>40</v>
      </c>
      <c r="H14" s="60" t="s">
        <v>80</v>
      </c>
      <c r="I14" s="62" t="s">
        <v>230</v>
      </c>
    </row>
    <row r="15" spans="1:9" ht="15.6" x14ac:dyDescent="0.3">
      <c r="A15" s="60" t="s">
        <v>206</v>
      </c>
      <c r="B15" s="60" t="s">
        <v>45</v>
      </c>
      <c r="C15" s="60" t="s">
        <v>46</v>
      </c>
      <c r="D15" s="60" t="s">
        <v>1</v>
      </c>
      <c r="E15" s="60" t="s">
        <v>208</v>
      </c>
      <c r="F15" s="60" t="s">
        <v>50</v>
      </c>
      <c r="G15" s="60" t="s">
        <v>48</v>
      </c>
      <c r="H15" s="60" t="s">
        <v>51</v>
      </c>
      <c r="I15" s="62" t="s">
        <v>231</v>
      </c>
    </row>
    <row r="16" spans="1:9" ht="15.6" x14ac:dyDescent="0.3">
      <c r="A16" s="60" t="s">
        <v>206</v>
      </c>
      <c r="B16" s="60" t="s">
        <v>45</v>
      </c>
      <c r="C16" s="60" t="s">
        <v>54</v>
      </c>
      <c r="D16" s="60" t="s">
        <v>1</v>
      </c>
      <c r="E16" s="60" t="s">
        <v>209</v>
      </c>
      <c r="F16" s="60" t="s">
        <v>50</v>
      </c>
      <c r="G16" s="60" t="s">
        <v>48</v>
      </c>
      <c r="H16" s="60" t="s">
        <v>51</v>
      </c>
      <c r="I16" s="62" t="s">
        <v>231</v>
      </c>
    </row>
    <row r="17" spans="1:9" ht="15.6" x14ac:dyDescent="0.3">
      <c r="A17" s="60" t="s">
        <v>206</v>
      </c>
      <c r="B17" s="60" t="s">
        <v>77</v>
      </c>
      <c r="C17" s="60" t="s">
        <v>82</v>
      </c>
      <c r="D17" s="60" t="s">
        <v>1</v>
      </c>
      <c r="E17" s="60" t="s">
        <v>222</v>
      </c>
      <c r="F17" s="60" t="s">
        <v>79</v>
      </c>
      <c r="G17" s="60" t="s">
        <v>40</v>
      </c>
      <c r="H17" s="60" t="s">
        <v>83</v>
      </c>
      <c r="I17" s="62" t="s">
        <v>232</v>
      </c>
    </row>
    <row r="18" spans="1:9" ht="15.6" x14ac:dyDescent="0.3">
      <c r="A18" s="60" t="s">
        <v>206</v>
      </c>
      <c r="B18" s="60" t="s">
        <v>26</v>
      </c>
      <c r="C18" s="60" t="s">
        <v>27</v>
      </c>
      <c r="D18" s="60" t="s">
        <v>1</v>
      </c>
      <c r="E18" s="60" t="s">
        <v>207</v>
      </c>
      <c r="F18" s="60" t="s">
        <v>31</v>
      </c>
      <c r="G18" s="60" t="s">
        <v>29</v>
      </c>
      <c r="H18" s="60" t="s">
        <v>32</v>
      </c>
      <c r="I18" s="61" t="s">
        <v>225</v>
      </c>
    </row>
    <row r="19" spans="1:9" ht="15.6" x14ac:dyDescent="0.3">
      <c r="A19" s="60" t="s">
        <v>206</v>
      </c>
      <c r="B19" s="60" t="s">
        <v>45</v>
      </c>
      <c r="C19" s="60" t="s">
        <v>58</v>
      </c>
      <c r="D19" s="60" t="s">
        <v>1</v>
      </c>
      <c r="E19" s="60" t="s">
        <v>216</v>
      </c>
      <c r="F19" s="60" t="s">
        <v>50</v>
      </c>
      <c r="G19" s="60" t="s">
        <v>40</v>
      </c>
      <c r="H19" s="60" t="s">
        <v>32</v>
      </c>
      <c r="I19" s="61" t="s">
        <v>233</v>
      </c>
    </row>
    <row r="20" spans="1:9" ht="15.6" x14ac:dyDescent="0.3">
      <c r="A20" s="60" t="s">
        <v>206</v>
      </c>
      <c r="B20" s="60" t="s">
        <v>45</v>
      </c>
      <c r="C20" s="60" t="s">
        <v>59</v>
      </c>
      <c r="D20" s="60" t="s">
        <v>1</v>
      </c>
      <c r="E20" s="60" t="s">
        <v>217</v>
      </c>
      <c r="F20" s="60" t="s">
        <v>50</v>
      </c>
      <c r="G20" s="60" t="s">
        <v>42</v>
      </c>
      <c r="H20" s="60" t="s">
        <v>32</v>
      </c>
      <c r="I20" s="61" t="s">
        <v>233</v>
      </c>
    </row>
    <row r="21" spans="1:9" ht="15.6" x14ac:dyDescent="0.3">
      <c r="A21" s="60" t="s">
        <v>206</v>
      </c>
      <c r="B21" s="60" t="s">
        <v>77</v>
      </c>
      <c r="C21" s="60" t="s">
        <v>78</v>
      </c>
      <c r="D21" s="60" t="s">
        <v>1</v>
      </c>
      <c r="E21" s="60" t="s">
        <v>220</v>
      </c>
      <c r="F21" s="60" t="s">
        <v>33</v>
      </c>
      <c r="G21" s="60" t="s">
        <v>40</v>
      </c>
      <c r="H21" s="60" t="s">
        <v>81</v>
      </c>
      <c r="I21" s="63" t="s">
        <v>234</v>
      </c>
    </row>
    <row r="22" spans="1:9" ht="15.6" x14ac:dyDescent="0.3">
      <c r="A22" s="60" t="s">
        <v>206</v>
      </c>
      <c r="B22" s="60" t="s">
        <v>45</v>
      </c>
      <c r="C22" s="60" t="s">
        <v>46</v>
      </c>
      <c r="D22" s="60" t="s">
        <v>1</v>
      </c>
      <c r="E22" s="60" t="s">
        <v>208</v>
      </c>
      <c r="F22" s="60" t="s">
        <v>52</v>
      </c>
      <c r="G22" s="60" t="s">
        <v>48</v>
      </c>
      <c r="H22" s="60" t="s">
        <v>53</v>
      </c>
      <c r="I22" s="63" t="s">
        <v>235</v>
      </c>
    </row>
    <row r="23" spans="1:9" ht="15.6" x14ac:dyDescent="0.3">
      <c r="A23" s="60" t="s">
        <v>206</v>
      </c>
      <c r="B23" s="60" t="s">
        <v>45</v>
      </c>
      <c r="C23" s="60" t="s">
        <v>54</v>
      </c>
      <c r="D23" s="60" t="s">
        <v>1</v>
      </c>
      <c r="E23" s="60" t="s">
        <v>209</v>
      </c>
      <c r="F23" s="60" t="s">
        <v>52</v>
      </c>
      <c r="G23" s="60" t="s">
        <v>48</v>
      </c>
      <c r="H23" s="60" t="s">
        <v>53</v>
      </c>
      <c r="I23" s="63" t="s">
        <v>235</v>
      </c>
    </row>
    <row r="24" spans="1:9" ht="15.6" x14ac:dyDescent="0.3">
      <c r="A24" s="60" t="s">
        <v>206</v>
      </c>
      <c r="B24" s="60" t="s">
        <v>77</v>
      </c>
      <c r="C24" s="60" t="s">
        <v>82</v>
      </c>
      <c r="D24" s="60" t="s">
        <v>1</v>
      </c>
      <c r="E24" s="60" t="s">
        <v>222</v>
      </c>
      <c r="F24" s="60" t="s">
        <v>33</v>
      </c>
      <c r="G24" s="60" t="s">
        <v>40</v>
      </c>
      <c r="H24" s="60" t="s">
        <v>84</v>
      </c>
      <c r="I24" s="63" t="s">
        <v>236</v>
      </c>
    </row>
    <row r="25" spans="1:9" ht="15.6" x14ac:dyDescent="0.3">
      <c r="A25" s="60" t="s">
        <v>206</v>
      </c>
      <c r="B25" s="60" t="s">
        <v>45</v>
      </c>
      <c r="C25" s="60" t="s">
        <v>55</v>
      </c>
      <c r="D25" s="60" t="s">
        <v>1</v>
      </c>
      <c r="E25" s="60" t="s">
        <v>215</v>
      </c>
      <c r="F25" s="60" t="s">
        <v>52</v>
      </c>
      <c r="G25" s="60" t="s">
        <v>40</v>
      </c>
      <c r="H25" s="60" t="s">
        <v>57</v>
      </c>
      <c r="I25" s="63" t="s">
        <v>237</v>
      </c>
    </row>
    <row r="26" spans="1:9" ht="15.6" x14ac:dyDescent="0.3">
      <c r="A26" s="60" t="s">
        <v>206</v>
      </c>
      <c r="B26" s="60" t="s">
        <v>45</v>
      </c>
      <c r="C26" s="60" t="s">
        <v>58</v>
      </c>
      <c r="D26" s="60" t="s">
        <v>1</v>
      </c>
      <c r="E26" s="60" t="s">
        <v>216</v>
      </c>
      <c r="F26" s="60" t="s">
        <v>52</v>
      </c>
      <c r="G26" s="60" t="s">
        <v>40</v>
      </c>
      <c r="H26" s="60" t="s">
        <v>57</v>
      </c>
      <c r="I26" s="63" t="s">
        <v>236</v>
      </c>
    </row>
    <row r="27" spans="1:9" ht="15.6" x14ac:dyDescent="0.3">
      <c r="A27" s="60" t="s">
        <v>206</v>
      </c>
      <c r="B27" s="60" t="s">
        <v>45</v>
      </c>
      <c r="C27" s="60" t="s">
        <v>59</v>
      </c>
      <c r="D27" s="60" t="s">
        <v>1</v>
      </c>
      <c r="E27" s="60" t="s">
        <v>217</v>
      </c>
      <c r="F27" s="60" t="s">
        <v>52</v>
      </c>
      <c r="G27" s="60" t="s">
        <v>42</v>
      </c>
      <c r="H27" s="60" t="s">
        <v>57</v>
      </c>
      <c r="I27" s="63" t="s">
        <v>236</v>
      </c>
    </row>
    <row r="28" spans="1:9" ht="15.6" x14ac:dyDescent="0.3">
      <c r="A28" s="60" t="s">
        <v>206</v>
      </c>
      <c r="B28" s="60" t="s">
        <v>45</v>
      </c>
      <c r="C28" s="60" t="s">
        <v>60</v>
      </c>
      <c r="D28" s="60" t="s">
        <v>1</v>
      </c>
      <c r="E28" s="60" t="s">
        <v>218</v>
      </c>
      <c r="F28" s="60" t="s">
        <v>52</v>
      </c>
      <c r="G28" s="60" t="s">
        <v>40</v>
      </c>
      <c r="H28" s="60" t="s">
        <v>57</v>
      </c>
      <c r="I28" s="63" t="s">
        <v>237</v>
      </c>
    </row>
    <row r="29" spans="1:9" ht="15.6" x14ac:dyDescent="0.3">
      <c r="A29" s="60" t="s">
        <v>206</v>
      </c>
      <c r="B29" s="60" t="s">
        <v>45</v>
      </c>
      <c r="C29" s="60" t="s">
        <v>61</v>
      </c>
      <c r="D29" s="60" t="s">
        <v>1</v>
      </c>
      <c r="E29" s="60" t="s">
        <v>219</v>
      </c>
      <c r="F29" s="60" t="s">
        <v>52</v>
      </c>
      <c r="G29" s="60" t="s">
        <v>62</v>
      </c>
      <c r="H29" s="60" t="s">
        <v>57</v>
      </c>
      <c r="I29" s="63" t="s">
        <v>237</v>
      </c>
    </row>
    <row r="30" spans="1:9" ht="15.6" x14ac:dyDescent="0.3">
      <c r="A30" s="60" t="s">
        <v>206</v>
      </c>
      <c r="B30" s="60" t="s">
        <v>107</v>
      </c>
      <c r="C30" s="60" t="s">
        <v>115</v>
      </c>
      <c r="D30" s="60" t="s">
        <v>1</v>
      </c>
      <c r="E30" s="60" t="s">
        <v>238</v>
      </c>
      <c r="F30" s="60" t="s">
        <v>116</v>
      </c>
      <c r="G30" s="60" t="s">
        <v>70</v>
      </c>
      <c r="H30" s="60" t="s">
        <v>117</v>
      </c>
      <c r="I30" s="61" t="s">
        <v>226</v>
      </c>
    </row>
    <row r="31" spans="1:9" ht="15.6" x14ac:dyDescent="0.3">
      <c r="A31" s="60" t="s">
        <v>206</v>
      </c>
      <c r="B31" s="60" t="s">
        <v>107</v>
      </c>
      <c r="C31" s="60" t="s">
        <v>118</v>
      </c>
      <c r="D31" s="60" t="s">
        <v>1</v>
      </c>
      <c r="E31" s="60" t="s">
        <v>239</v>
      </c>
      <c r="F31" s="60" t="s">
        <v>116</v>
      </c>
      <c r="G31" s="60" t="s">
        <v>29</v>
      </c>
      <c r="H31" s="60" t="s">
        <v>119</v>
      </c>
      <c r="I31" s="62" t="s">
        <v>232</v>
      </c>
    </row>
    <row r="32" spans="1:9" ht="15.6" x14ac:dyDescent="0.3">
      <c r="A32" s="60" t="s">
        <v>206</v>
      </c>
      <c r="B32" s="60" t="s">
        <v>45</v>
      </c>
      <c r="C32" s="60" t="s">
        <v>63</v>
      </c>
      <c r="D32" s="60" t="s">
        <v>1</v>
      </c>
      <c r="E32" s="60" t="s">
        <v>240</v>
      </c>
      <c r="F32" s="60" t="s">
        <v>52</v>
      </c>
      <c r="G32" s="60" t="s">
        <v>40</v>
      </c>
      <c r="H32" s="60" t="s">
        <v>66</v>
      </c>
      <c r="I32" s="63" t="s">
        <v>241</v>
      </c>
    </row>
    <row r="33" spans="1:9" ht="15.6" x14ac:dyDescent="0.3">
      <c r="A33" s="60" t="s">
        <v>206</v>
      </c>
      <c r="B33" s="60" t="s">
        <v>122</v>
      </c>
      <c r="C33" s="60" t="s">
        <v>123</v>
      </c>
      <c r="D33" s="60" t="s">
        <v>1</v>
      </c>
      <c r="E33" s="60" t="s">
        <v>242</v>
      </c>
      <c r="F33" s="60" t="s">
        <v>126</v>
      </c>
      <c r="G33" s="60" t="s">
        <v>74</v>
      </c>
      <c r="H33" s="60" t="s">
        <v>127</v>
      </c>
      <c r="I33" s="63" t="s">
        <v>243</v>
      </c>
    </row>
    <row r="34" spans="1:9" ht="15.6" x14ac:dyDescent="0.3">
      <c r="A34" s="60" t="s">
        <v>206</v>
      </c>
      <c r="B34" s="60" t="s">
        <v>122</v>
      </c>
      <c r="C34" s="60" t="s">
        <v>128</v>
      </c>
      <c r="D34" s="60" t="s">
        <v>1</v>
      </c>
      <c r="E34" s="60" t="s">
        <v>244</v>
      </c>
      <c r="F34" s="60" t="s">
        <v>126</v>
      </c>
      <c r="G34" s="60" t="s">
        <v>74</v>
      </c>
      <c r="H34" s="60" t="s">
        <v>127</v>
      </c>
      <c r="I34" s="63" t="s">
        <v>245</v>
      </c>
    </row>
    <row r="35" spans="1:9" ht="15.6" x14ac:dyDescent="0.3">
      <c r="A35" s="60" t="s">
        <v>206</v>
      </c>
      <c r="B35" s="60" t="s">
        <v>122</v>
      </c>
      <c r="C35" s="60" t="s">
        <v>129</v>
      </c>
      <c r="D35" s="60" t="s">
        <v>1</v>
      </c>
      <c r="E35" s="60" t="s">
        <v>246</v>
      </c>
      <c r="F35" s="60" t="s">
        <v>126</v>
      </c>
      <c r="G35" s="60" t="s">
        <v>74</v>
      </c>
      <c r="H35" s="60" t="s">
        <v>127</v>
      </c>
      <c r="I35" s="63" t="s">
        <v>247</v>
      </c>
    </row>
    <row r="36" spans="1:9" ht="15.6" x14ac:dyDescent="0.3">
      <c r="A36" s="60" t="s">
        <v>206</v>
      </c>
      <c r="B36" s="60" t="s">
        <v>122</v>
      </c>
      <c r="C36" s="60" t="s">
        <v>130</v>
      </c>
      <c r="D36" s="60" t="s">
        <v>1</v>
      </c>
      <c r="E36" s="60" t="s">
        <v>248</v>
      </c>
      <c r="F36" s="60" t="s">
        <v>126</v>
      </c>
      <c r="G36" s="60" t="s">
        <v>74</v>
      </c>
      <c r="H36" s="60" t="s">
        <v>127</v>
      </c>
      <c r="I36" s="63" t="s">
        <v>245</v>
      </c>
    </row>
    <row r="37" spans="1:9" ht="15.6" x14ac:dyDescent="0.3">
      <c r="A37" s="60" t="s">
        <v>206</v>
      </c>
      <c r="B37" s="60" t="s">
        <v>26</v>
      </c>
      <c r="C37" s="60" t="s">
        <v>35</v>
      </c>
      <c r="D37" s="60" t="s">
        <v>1</v>
      </c>
      <c r="E37" s="60" t="s">
        <v>210</v>
      </c>
      <c r="F37" s="60" t="s">
        <v>33</v>
      </c>
      <c r="G37" s="60" t="s">
        <v>36</v>
      </c>
      <c r="H37" s="60" t="s">
        <v>34</v>
      </c>
      <c r="I37" s="63" t="s">
        <v>249</v>
      </c>
    </row>
    <row r="38" spans="1:9" ht="15.6" x14ac:dyDescent="0.3">
      <c r="A38" s="60" t="s">
        <v>206</v>
      </c>
      <c r="B38" s="60" t="s">
        <v>26</v>
      </c>
      <c r="C38" s="60" t="s">
        <v>27</v>
      </c>
      <c r="D38" s="60" t="s">
        <v>1</v>
      </c>
      <c r="E38" s="60" t="s">
        <v>207</v>
      </c>
      <c r="F38" s="60" t="s">
        <v>33</v>
      </c>
      <c r="G38" s="60" t="s">
        <v>29</v>
      </c>
      <c r="H38" s="60" t="s">
        <v>34</v>
      </c>
      <c r="I38" s="63" t="s">
        <v>249</v>
      </c>
    </row>
    <row r="39" spans="1:9" ht="15.6" x14ac:dyDescent="0.3">
      <c r="A39" s="60" t="s">
        <v>206</v>
      </c>
      <c r="B39" s="60" t="s">
        <v>26</v>
      </c>
      <c r="C39" s="60" t="s">
        <v>39</v>
      </c>
      <c r="D39" s="60" t="s">
        <v>1</v>
      </c>
      <c r="E39" s="60" t="s">
        <v>211</v>
      </c>
      <c r="F39" s="60" t="s">
        <v>33</v>
      </c>
      <c r="G39" s="60" t="s">
        <v>40</v>
      </c>
      <c r="H39" s="60" t="s">
        <v>34</v>
      </c>
      <c r="I39" s="62" t="s">
        <v>231</v>
      </c>
    </row>
    <row r="40" spans="1:9" ht="15.6" x14ac:dyDescent="0.3">
      <c r="A40" s="60" t="s">
        <v>206</v>
      </c>
      <c r="B40" s="60" t="s">
        <v>26</v>
      </c>
      <c r="C40" s="60" t="s">
        <v>41</v>
      </c>
      <c r="D40" s="60" t="s">
        <v>1</v>
      </c>
      <c r="E40" s="60" t="s">
        <v>221</v>
      </c>
      <c r="F40" s="60" t="s">
        <v>33</v>
      </c>
      <c r="G40" s="60" t="s">
        <v>42</v>
      </c>
      <c r="H40" s="60" t="s">
        <v>34</v>
      </c>
      <c r="I40" s="62" t="s">
        <v>250</v>
      </c>
    </row>
    <row r="41" spans="1:9" ht="15.6" x14ac:dyDescent="0.3">
      <c r="A41" s="60" t="s">
        <v>206</v>
      </c>
      <c r="B41" s="60" t="s">
        <v>122</v>
      </c>
      <c r="C41" s="60" t="s">
        <v>131</v>
      </c>
      <c r="D41" s="60" t="s">
        <v>1</v>
      </c>
      <c r="E41" s="60" t="s">
        <v>211</v>
      </c>
      <c r="F41" s="60" t="s">
        <v>126</v>
      </c>
      <c r="G41" s="60" t="s">
        <v>103</v>
      </c>
      <c r="H41" s="60" t="s">
        <v>132</v>
      </c>
      <c r="I41" s="62" t="s">
        <v>230</v>
      </c>
    </row>
    <row r="42" spans="1:9" ht="15.6" x14ac:dyDescent="0.3">
      <c r="A42" s="60" t="s">
        <v>206</v>
      </c>
      <c r="B42" s="60" t="s">
        <v>122</v>
      </c>
      <c r="C42" s="60" t="s">
        <v>133</v>
      </c>
      <c r="D42" s="60" t="s">
        <v>1</v>
      </c>
      <c r="E42" s="60" t="s">
        <v>207</v>
      </c>
      <c r="F42" s="60" t="s">
        <v>126</v>
      </c>
      <c r="G42" s="60" t="s">
        <v>103</v>
      </c>
      <c r="H42" s="60" t="s">
        <v>132</v>
      </c>
      <c r="I42" s="63" t="s">
        <v>251</v>
      </c>
    </row>
    <row r="43" spans="1:9" ht="15.6" x14ac:dyDescent="0.3">
      <c r="A43" s="60" t="s">
        <v>206</v>
      </c>
      <c r="B43" s="60" t="s">
        <v>122</v>
      </c>
      <c r="C43" s="60" t="s">
        <v>134</v>
      </c>
      <c r="D43" s="60" t="s">
        <v>1</v>
      </c>
      <c r="E43" s="60" t="s">
        <v>173</v>
      </c>
      <c r="F43" s="60" t="s">
        <v>126</v>
      </c>
      <c r="G43" s="60" t="s">
        <v>48</v>
      </c>
      <c r="H43" s="60" t="s">
        <v>136</v>
      </c>
      <c r="I43" s="63" t="s">
        <v>252</v>
      </c>
    </row>
    <row r="44" spans="1:9" ht="15.6" x14ac:dyDescent="0.3">
      <c r="A44" s="60" t="s">
        <v>206</v>
      </c>
      <c r="B44" s="60" t="s">
        <v>122</v>
      </c>
      <c r="C44" s="60" t="s">
        <v>137</v>
      </c>
      <c r="D44" s="60" t="s">
        <v>1</v>
      </c>
      <c r="E44" s="60" t="s">
        <v>253</v>
      </c>
      <c r="F44" s="60" t="s">
        <v>126</v>
      </c>
      <c r="G44" s="60" t="s">
        <v>74</v>
      </c>
      <c r="H44" s="60" t="s">
        <v>136</v>
      </c>
      <c r="I44" s="63" t="s">
        <v>252</v>
      </c>
    </row>
    <row r="45" spans="1:9" ht="15.6" x14ac:dyDescent="0.3">
      <c r="A45" s="60" t="s">
        <v>206</v>
      </c>
      <c r="B45" s="60" t="s">
        <v>122</v>
      </c>
      <c r="C45" s="60" t="s">
        <v>138</v>
      </c>
      <c r="D45" s="60" t="s">
        <v>1</v>
      </c>
      <c r="E45" s="60" t="s">
        <v>254</v>
      </c>
      <c r="F45" s="60" t="s">
        <v>126</v>
      </c>
      <c r="G45" s="60" t="s">
        <v>74</v>
      </c>
      <c r="H45" s="60" t="s">
        <v>136</v>
      </c>
      <c r="I45" s="62" t="s">
        <v>228</v>
      </c>
    </row>
    <row r="46" spans="1:9" ht="15.6" x14ac:dyDescent="0.3">
      <c r="A46" s="60" t="s">
        <v>206</v>
      </c>
      <c r="B46" s="60" t="s">
        <v>122</v>
      </c>
      <c r="C46" s="60" t="s">
        <v>139</v>
      </c>
      <c r="D46" s="60" t="s">
        <v>1</v>
      </c>
      <c r="E46" s="60" t="s">
        <v>255</v>
      </c>
      <c r="F46" s="60" t="s">
        <v>126</v>
      </c>
      <c r="G46" s="60" t="s">
        <v>74</v>
      </c>
      <c r="H46" s="60" t="s">
        <v>136</v>
      </c>
      <c r="I46" s="61" t="s">
        <v>226</v>
      </c>
    </row>
    <row r="47" spans="1:9" ht="15.6" x14ac:dyDescent="0.3">
      <c r="A47" s="60" t="s">
        <v>206</v>
      </c>
      <c r="B47" s="60" t="s">
        <v>122</v>
      </c>
      <c r="C47" s="60" t="s">
        <v>140</v>
      </c>
      <c r="D47" s="60" t="s">
        <v>1</v>
      </c>
      <c r="E47" s="60" t="s">
        <v>210</v>
      </c>
      <c r="F47" s="60" t="s">
        <v>126</v>
      </c>
      <c r="G47" s="60" t="s">
        <v>103</v>
      </c>
      <c r="H47" s="60" t="s">
        <v>141</v>
      </c>
      <c r="I47" s="62" t="s">
        <v>230</v>
      </c>
    </row>
    <row r="48" spans="1:9" ht="15.6" x14ac:dyDescent="0.3">
      <c r="A48" s="60" t="s">
        <v>206</v>
      </c>
      <c r="B48" s="60" t="s">
        <v>122</v>
      </c>
      <c r="C48" s="60" t="s">
        <v>142</v>
      </c>
      <c r="D48" s="60" t="s">
        <v>1</v>
      </c>
      <c r="E48" s="60" t="s">
        <v>221</v>
      </c>
      <c r="F48" s="60" t="s">
        <v>126</v>
      </c>
      <c r="G48" s="60" t="s">
        <v>103</v>
      </c>
      <c r="H48" s="60" t="s">
        <v>141</v>
      </c>
      <c r="I48" s="62" t="s">
        <v>232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2025-11-29T09:39:26Z</dcterms:created>
  <dcterms:modified xsi:type="dcterms:W3CDTF">2025-11-29T09:39:34Z</dcterms:modified>
</cp:coreProperties>
</file>