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52451C6-321B-453C-81A5-E3205CFFF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5EE032F3-7C0F-449D-AE0B-E7E8D0AF8B4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X7 &amp; U20 &amp; O15 &amp; I15 </t>
        </r>
        <r>
          <rPr>
            <b/>
            <sz val="10"/>
            <color indexed="8"/>
            <rFont val="Calibri"/>
            <family val="2"/>
          </rPr>
          <t>&amp; P32</t>
        </r>
      </text>
    </comment>
    <comment ref="B2" authorId="0" shapeId="0" xr:uid="{E990A619-D84A-4797-BEA8-58F72343278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X7 &amp; U20 &amp; O15 &amp; I15 </t>
        </r>
        <r>
          <rPr>
            <b/>
            <sz val="10"/>
            <color indexed="8"/>
            <rFont val="Calibri"/>
            <family val="2"/>
          </rPr>
          <t>&amp; P32</t>
        </r>
      </text>
    </comment>
    <comment ref="C2" authorId="0" shapeId="0" xr:uid="{24A4B7B6-617E-42EE-9637-D2C8566835C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X7 &amp; U20 &amp; O15 &amp; I15 </t>
        </r>
        <r>
          <rPr>
            <b/>
            <sz val="10"/>
            <color indexed="8"/>
            <rFont val="Calibri"/>
            <family val="2"/>
          </rPr>
          <t>&amp; P32</t>
        </r>
      </text>
    </comment>
    <comment ref="D2" authorId="0" shapeId="0" xr:uid="{6F64D863-3201-49F7-8AD0-EE2BD175B84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X7 &amp; U20 &amp; O15 &amp; I15 </t>
        </r>
        <r>
          <rPr>
            <b/>
            <sz val="10"/>
            <color indexed="8"/>
            <rFont val="Calibri"/>
            <family val="2"/>
          </rPr>
          <t>&amp; P32</t>
        </r>
      </text>
    </comment>
    <comment ref="E2" authorId="0" shapeId="0" xr:uid="{47CA1DC1-9860-4B24-A4E3-09F455E34E9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X7 &amp; U20 &amp; O15 &amp; I15 </t>
        </r>
        <r>
          <rPr>
            <b/>
            <sz val="10"/>
            <color indexed="8"/>
            <rFont val="Calibri"/>
            <family val="2"/>
          </rPr>
          <t>&amp; P32</t>
        </r>
      </text>
    </comment>
    <comment ref="F2" authorId="0" shapeId="0" xr:uid="{8CA5D788-662D-4032-8223-AB3C888A593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X7 &amp; U20 &amp; O15 &amp; I15 </t>
        </r>
        <r>
          <rPr>
            <b/>
            <sz val="10"/>
            <color indexed="8"/>
            <rFont val="Calibri"/>
            <family val="2"/>
          </rPr>
          <t>&amp; P32</t>
        </r>
      </text>
    </comment>
    <comment ref="G2" authorId="0" shapeId="0" xr:uid="{050B66D3-0432-4BF3-95C2-F33106CBA5C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X7 &amp; U20 &amp; O15 &amp; I15 </t>
        </r>
        <r>
          <rPr>
            <b/>
            <sz val="10"/>
            <color indexed="8"/>
            <rFont val="Calibri"/>
            <family val="2"/>
          </rPr>
          <t>&amp; P32</t>
        </r>
      </text>
    </comment>
    <comment ref="H2" authorId="0" shapeId="0" xr:uid="{EDCEFC9E-BDD8-438E-96E1-FCDAEEC59A4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X7 &amp; U20 &amp; O15 &amp; I15 </t>
        </r>
        <r>
          <rPr>
            <b/>
            <sz val="10"/>
            <color indexed="8"/>
            <rFont val="Calibri"/>
            <family val="2"/>
          </rPr>
          <t>&amp; P32</t>
        </r>
      </text>
    </comment>
    <comment ref="A3" authorId="0" shapeId="0" xr:uid="{92E0DB75-2E4C-46CD-85D0-4B8AE61A679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T3]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W6 &amp; T6 &amp; X7 &amp; U16 &amp; O3 &amp; I31 </t>
        </r>
        <r>
          <rPr>
            <b/>
            <sz val="10"/>
            <color indexed="8"/>
            <rFont val="Calibri"/>
            <family val="2"/>
          </rPr>
          <t>&amp; P70</t>
        </r>
      </text>
    </comment>
    <comment ref="B3" authorId="0" shapeId="0" xr:uid="{FC47726B-80EC-4974-B6E0-72060719965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T3]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W6 &amp; T6 &amp; X7 &amp; U16 &amp; O3 &amp; I31 </t>
        </r>
        <r>
          <rPr>
            <b/>
            <sz val="10"/>
            <color indexed="8"/>
            <rFont val="Calibri"/>
            <family val="2"/>
          </rPr>
          <t>&amp; P70</t>
        </r>
      </text>
    </comment>
    <comment ref="C3" authorId="0" shapeId="0" xr:uid="{7F159657-57FA-40EF-99B5-E1FC7BB4992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T3]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W6 &amp; T6 &amp; X7 &amp; U16 &amp; O3 &amp; I31 </t>
        </r>
        <r>
          <rPr>
            <b/>
            <sz val="10"/>
            <color indexed="8"/>
            <rFont val="Calibri"/>
            <family val="2"/>
          </rPr>
          <t>&amp; P70</t>
        </r>
      </text>
    </comment>
    <comment ref="D3" authorId="0" shapeId="0" xr:uid="{56740E18-EA9C-4C0E-A313-336ED8CE353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T3]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W6 &amp; T6 &amp; X7 &amp; U16 &amp; O3 &amp; I31 </t>
        </r>
        <r>
          <rPr>
            <b/>
            <sz val="10"/>
            <color indexed="8"/>
            <rFont val="Calibri"/>
            <family val="2"/>
          </rPr>
          <t>&amp; P70</t>
        </r>
      </text>
    </comment>
    <comment ref="E3" authorId="0" shapeId="0" xr:uid="{C9AA9F4F-A34E-4F70-822A-C4F1105D6A3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T3]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W6 &amp; T6 &amp; X7 &amp; U16 &amp; O3 &amp; I31 </t>
        </r>
        <r>
          <rPr>
            <b/>
            <sz val="10"/>
            <color indexed="8"/>
            <rFont val="Calibri"/>
            <family val="2"/>
          </rPr>
          <t>&amp; P70</t>
        </r>
      </text>
    </comment>
    <comment ref="F3" authorId="0" shapeId="0" xr:uid="{57787BA4-5984-4E3C-B854-1AB643DD1C9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T3]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W6 &amp; T6 &amp; X7 &amp; U16 &amp; O3 &amp; I31 </t>
        </r>
        <r>
          <rPr>
            <b/>
            <sz val="10"/>
            <color indexed="8"/>
            <rFont val="Calibri"/>
            <family val="2"/>
          </rPr>
          <t>&amp; P70</t>
        </r>
      </text>
    </comment>
    <comment ref="G3" authorId="0" shapeId="0" xr:uid="{C5FA2C1C-2700-456E-BF48-E19A37B4FF1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T3]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W6 &amp; T6 &amp; X7 &amp; U16 &amp; O3 &amp; I31 </t>
        </r>
        <r>
          <rPr>
            <b/>
            <sz val="10"/>
            <color indexed="8"/>
            <rFont val="Calibri"/>
            <family val="2"/>
          </rPr>
          <t>&amp; P70</t>
        </r>
      </text>
    </comment>
    <comment ref="H3" authorId="0" shapeId="0" xr:uid="{3B5EFFF0-7BF9-4D74-A330-0BEF3A240B2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T3]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W6 &amp; T6 &amp; X7 &amp; U16 &amp; O3 &amp; I31 </t>
        </r>
        <r>
          <rPr>
            <b/>
            <sz val="10"/>
            <color indexed="8"/>
            <rFont val="Calibri"/>
            <family val="2"/>
          </rPr>
          <t>&amp; P70</t>
        </r>
      </text>
    </comment>
    <comment ref="A81" authorId="0" shapeId="0" xr:uid="{28E1175E-5913-4AB2-8A89-883C7EDFB8A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99.4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T5 &amp; X18 &amp; U9 &amp;</t>
        </r>
        <r>
          <rPr>
            <b/>
            <sz val="10"/>
            <color indexed="8"/>
            <rFont val="Calibri"/>
            <family val="2"/>
          </rPr>
          <t xml:space="preserve"> P132</t>
        </r>
      </text>
    </comment>
    <comment ref="B81" authorId="0" shapeId="0" xr:uid="{0401131D-4323-438A-90D2-AF59AF1DCF5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99.4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T5 &amp; X18 &amp; U9 &amp;</t>
        </r>
        <r>
          <rPr>
            <b/>
            <sz val="10"/>
            <color indexed="8"/>
            <rFont val="Calibri"/>
            <family val="2"/>
          </rPr>
          <t xml:space="preserve"> P132</t>
        </r>
      </text>
    </comment>
    <comment ref="C81" authorId="0" shapeId="0" xr:uid="{792C405E-8AD7-47DD-AC12-3A76A6B0EAF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99.4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T5 &amp; X18 &amp; U9 &amp;</t>
        </r>
        <r>
          <rPr>
            <b/>
            <sz val="10"/>
            <color indexed="8"/>
            <rFont val="Calibri"/>
            <family val="2"/>
          </rPr>
          <t xml:space="preserve"> P132</t>
        </r>
      </text>
    </comment>
    <comment ref="D81" authorId="0" shapeId="0" xr:uid="{1D097851-9D62-416E-9E5C-C19C2478310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99.4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T5 &amp; X18 &amp; U9 &amp;</t>
        </r>
        <r>
          <rPr>
            <b/>
            <sz val="10"/>
            <color indexed="8"/>
            <rFont val="Calibri"/>
            <family val="2"/>
          </rPr>
          <t xml:space="preserve"> P132</t>
        </r>
      </text>
    </comment>
    <comment ref="E81" authorId="0" shapeId="0" xr:uid="{74F311DA-F8E3-437C-95C9-EA9C9CE4CEE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99.4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T5 &amp; X18 &amp; U9 &amp;</t>
        </r>
        <r>
          <rPr>
            <b/>
            <sz val="10"/>
            <color indexed="8"/>
            <rFont val="Calibri"/>
            <family val="2"/>
          </rPr>
          <t xml:space="preserve"> P132</t>
        </r>
      </text>
    </comment>
    <comment ref="F81" authorId="0" shapeId="0" xr:uid="{4A0FC078-6195-4A07-BD85-95DCA646A83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99.4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T5 &amp; X18 &amp; U9 &amp;</t>
        </r>
        <r>
          <rPr>
            <b/>
            <sz val="10"/>
            <color indexed="8"/>
            <rFont val="Calibri"/>
            <family val="2"/>
          </rPr>
          <t xml:space="preserve"> P132</t>
        </r>
      </text>
    </comment>
    <comment ref="G81" authorId="0" shapeId="0" xr:uid="{CCE9F24F-F30F-459E-9B4F-8AB1976FB54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99.4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T5 &amp; X18 &amp; U9 &amp;</t>
        </r>
        <r>
          <rPr>
            <b/>
            <sz val="10"/>
            <color indexed="8"/>
            <rFont val="Calibri"/>
            <family val="2"/>
          </rPr>
          <t xml:space="preserve"> P132</t>
        </r>
      </text>
    </comment>
    <comment ref="H81" authorId="0" shapeId="0" xr:uid="{0A60D49A-40E5-4E34-B305-EC4B51AE992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99.4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T5 &amp; X18 &amp; U9 &amp;</t>
        </r>
        <r>
          <rPr>
            <b/>
            <sz val="10"/>
            <color indexed="8"/>
            <rFont val="Calibri"/>
            <family val="2"/>
          </rPr>
          <t xml:space="preserve"> P132</t>
        </r>
      </text>
    </comment>
    <comment ref="A82" authorId="0" shapeId="0" xr:uid="{46F2B783-2735-498E-B152-1D7B58D68D2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96.7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02-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U2 &amp;</t>
        </r>
        <r>
          <rPr>
            <b/>
            <sz val="10"/>
            <color indexed="8"/>
            <rFont val="Calibri"/>
            <family val="2"/>
          </rPr>
          <t xml:space="preserve"> P171</t>
        </r>
      </text>
    </comment>
    <comment ref="B82" authorId="0" shapeId="0" xr:uid="{2D21C226-0420-4B5F-9F88-D090BA8F09C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96.7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02-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U2 &amp;</t>
        </r>
        <r>
          <rPr>
            <b/>
            <sz val="10"/>
            <color indexed="8"/>
            <rFont val="Calibri"/>
            <family val="2"/>
          </rPr>
          <t xml:space="preserve"> P171</t>
        </r>
      </text>
    </comment>
    <comment ref="C82" authorId="0" shapeId="0" xr:uid="{E63798D7-B67E-48BF-9627-7EC88203CCF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96.7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02-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U2 &amp;</t>
        </r>
        <r>
          <rPr>
            <b/>
            <sz val="10"/>
            <color indexed="8"/>
            <rFont val="Calibri"/>
            <family val="2"/>
          </rPr>
          <t xml:space="preserve"> P171</t>
        </r>
      </text>
    </comment>
    <comment ref="D82" authorId="0" shapeId="0" xr:uid="{C3E87B9C-F4EA-4833-A033-492A79E92CE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96.7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02-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U2 &amp;</t>
        </r>
        <r>
          <rPr>
            <b/>
            <sz val="10"/>
            <color indexed="8"/>
            <rFont val="Calibri"/>
            <family val="2"/>
          </rPr>
          <t xml:space="preserve"> P171</t>
        </r>
      </text>
    </comment>
    <comment ref="E82" authorId="0" shapeId="0" xr:uid="{8D7F2539-5E14-4C74-92D2-F464F839CEB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96.7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02-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U2 &amp;</t>
        </r>
        <r>
          <rPr>
            <b/>
            <sz val="10"/>
            <color indexed="8"/>
            <rFont val="Calibri"/>
            <family val="2"/>
          </rPr>
          <t xml:space="preserve"> P171</t>
        </r>
      </text>
    </comment>
    <comment ref="F82" authorId="0" shapeId="0" xr:uid="{C006048A-5CD6-46B9-B28A-34C4C39DA7B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96.7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02-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U2 &amp;</t>
        </r>
        <r>
          <rPr>
            <b/>
            <sz val="10"/>
            <color indexed="8"/>
            <rFont val="Calibri"/>
            <family val="2"/>
          </rPr>
          <t xml:space="preserve"> P171</t>
        </r>
      </text>
    </comment>
    <comment ref="G82" authorId="0" shapeId="0" xr:uid="{A0348CAE-494E-4465-B601-C746547AEAA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96.7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02-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U2 &amp;</t>
        </r>
        <r>
          <rPr>
            <b/>
            <sz val="10"/>
            <color indexed="8"/>
            <rFont val="Calibri"/>
            <family val="2"/>
          </rPr>
          <t xml:space="preserve"> P171</t>
        </r>
      </text>
    </comment>
    <comment ref="H82" authorId="0" shapeId="0" xr:uid="{09E39FA5-5CF0-4C01-9A3A-3145BA2B0DE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96.7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02-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U2 &amp;</t>
        </r>
        <r>
          <rPr>
            <b/>
            <sz val="10"/>
            <color indexed="8"/>
            <rFont val="Calibri"/>
            <family val="2"/>
          </rPr>
          <t xml:space="preserve"> P171</t>
        </r>
      </text>
    </comment>
    <comment ref="A163" authorId="0" shapeId="0" xr:uid="{B2AF93B4-DCE3-4D65-ACFB-4FE08810F6F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93.5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T1 &amp; X6 &amp; U15 &amp; E44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B163" authorId="0" shapeId="0" xr:uid="{0EE56CED-DF0E-4A08-8161-CD3A2452B79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93.5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T1 &amp; X6 &amp; U15 &amp; E44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C163" authorId="0" shapeId="0" xr:uid="{DD229DD4-485C-4384-8D2B-42490D5CBAC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93.5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T1 &amp; X6 &amp; U15 &amp; E44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D163" authorId="0" shapeId="0" xr:uid="{94B8D43D-DA36-4D89-BE2D-F9813E54E36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93.5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T1 &amp; X6 &amp; U15 &amp; E44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E163" authorId="0" shapeId="0" xr:uid="{1539A443-9785-4AAC-A87A-86E05CF4591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93.5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T1 &amp; X6 &amp; U15 &amp; E44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F163" authorId="0" shapeId="0" xr:uid="{92DBBC55-DBD6-4A2A-88AC-0A0B702C3F7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93.5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T1 &amp; X6 &amp; U15 &amp; E44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G163" authorId="0" shapeId="0" xr:uid="{A7243E7A-77D9-481E-9336-68B37576F66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93.5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T1 &amp; X6 &amp; U15 &amp; E44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H163" authorId="0" shapeId="0" xr:uid="{D72D0263-9882-4796-A783-223FBB1F776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93.5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T1 &amp; X6 &amp; U15 &amp; E44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A166" authorId="0" shapeId="0" xr:uid="{FD9ACA35-E758-461F-802B-63D6A74F54E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86.9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S4]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17-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S5 &amp; X2 &amp; U3 &amp; O2 &amp; I4 &amp;</t>
        </r>
        <r>
          <rPr>
            <b/>
            <sz val="10"/>
            <color indexed="8"/>
            <rFont val="Calibri"/>
            <family val="2"/>
          </rPr>
          <t xml:space="preserve"> P129</t>
        </r>
      </text>
    </comment>
    <comment ref="B166" authorId="0" shapeId="0" xr:uid="{200F3022-0F9A-48E1-9B9B-7BCBDE0AEE5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86.9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S4]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17-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S5 &amp; X2 &amp; U3 &amp; O2 &amp; I4 &amp;</t>
        </r>
        <r>
          <rPr>
            <b/>
            <sz val="10"/>
            <color indexed="8"/>
            <rFont val="Calibri"/>
            <family val="2"/>
          </rPr>
          <t xml:space="preserve"> P129</t>
        </r>
      </text>
    </comment>
    <comment ref="C166" authorId="0" shapeId="0" xr:uid="{FB9D0C03-39D3-4C61-98C8-2015E6C5951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86.9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S4]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17-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S5 &amp; X2 &amp; U3 &amp; O2 &amp; I4 &amp;</t>
        </r>
        <r>
          <rPr>
            <b/>
            <sz val="10"/>
            <color indexed="8"/>
            <rFont val="Calibri"/>
            <family val="2"/>
          </rPr>
          <t xml:space="preserve"> P129</t>
        </r>
      </text>
    </comment>
    <comment ref="D166" authorId="0" shapeId="0" xr:uid="{1F785897-B22E-4394-AC1C-2D6A229684D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86.9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S4]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17-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S5 &amp; X2 &amp; U3 &amp; O2 &amp; I4 &amp;</t>
        </r>
        <r>
          <rPr>
            <b/>
            <sz val="10"/>
            <color indexed="8"/>
            <rFont val="Calibri"/>
            <family val="2"/>
          </rPr>
          <t xml:space="preserve"> P129</t>
        </r>
      </text>
    </comment>
    <comment ref="E166" authorId="0" shapeId="0" xr:uid="{9E37BFCD-07BA-40B7-B754-B458AC9A822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86.9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S4]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17-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S5 &amp; X2 &amp; U3 &amp; O2 &amp; I4 &amp;</t>
        </r>
        <r>
          <rPr>
            <b/>
            <sz val="10"/>
            <color indexed="8"/>
            <rFont val="Calibri"/>
            <family val="2"/>
          </rPr>
          <t xml:space="preserve"> P129</t>
        </r>
      </text>
    </comment>
    <comment ref="F166" authorId="0" shapeId="0" xr:uid="{32A66D56-C0D1-4ABF-A18B-CD7634CC7CA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86.9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S4]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17-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S5 &amp; X2 &amp; U3 &amp; O2 &amp; I4 &amp;</t>
        </r>
        <r>
          <rPr>
            <b/>
            <sz val="10"/>
            <color indexed="8"/>
            <rFont val="Calibri"/>
            <family val="2"/>
          </rPr>
          <t xml:space="preserve"> P129</t>
        </r>
      </text>
    </comment>
    <comment ref="G166" authorId="0" shapeId="0" xr:uid="{E1F5D7E1-13E5-444D-8415-8D8C8AF4F0C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86.9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S4]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17-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S5 &amp; X2 &amp; U3 &amp; O2 &amp; I4 &amp;</t>
        </r>
        <r>
          <rPr>
            <b/>
            <sz val="10"/>
            <color indexed="8"/>
            <rFont val="Calibri"/>
            <family val="2"/>
          </rPr>
          <t xml:space="preserve"> P129</t>
        </r>
      </text>
    </comment>
    <comment ref="H166" authorId="0" shapeId="0" xr:uid="{5570DEC7-42FA-4452-B408-F7A2D7B34C6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86.9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S4]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17-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S5 &amp; X2 &amp; U3 &amp; O2 &amp; I4 &amp;</t>
        </r>
        <r>
          <rPr>
            <b/>
            <sz val="10"/>
            <color indexed="8"/>
            <rFont val="Calibri"/>
            <family val="2"/>
          </rPr>
          <t xml:space="preserve"> P129</t>
        </r>
      </text>
    </comment>
    <comment ref="A214" authorId="0" shapeId="0" xr:uid="{5FCEF19C-F6E1-49D9-911E-B65DB80A535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</t>
        </r>
        <r>
          <rPr>
            <b/>
            <sz val="10"/>
            <color indexed="8"/>
            <rFont val="Calibri"/>
            <family val="2"/>
          </rPr>
          <t>13]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O20 &amp; I30 </t>
        </r>
        <r>
          <rPr>
            <b/>
            <sz val="10"/>
            <color indexed="8"/>
            <rFont val="Calibri"/>
            <family val="2"/>
          </rPr>
          <t>&amp; P97</t>
        </r>
      </text>
    </comment>
    <comment ref="B214" authorId="0" shapeId="0" xr:uid="{FC25C06B-4E02-4AD4-BF6D-784EFCED288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</t>
        </r>
        <r>
          <rPr>
            <b/>
            <sz val="10"/>
            <color indexed="8"/>
            <rFont val="Calibri"/>
            <family val="2"/>
          </rPr>
          <t>13]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O20 &amp; I30 </t>
        </r>
        <r>
          <rPr>
            <b/>
            <sz val="10"/>
            <color indexed="8"/>
            <rFont val="Calibri"/>
            <family val="2"/>
          </rPr>
          <t>&amp; P97</t>
        </r>
      </text>
    </comment>
    <comment ref="C214" authorId="0" shapeId="0" xr:uid="{CD8F8886-7939-49DA-B12A-C95FC1A80FF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</t>
        </r>
        <r>
          <rPr>
            <b/>
            <sz val="10"/>
            <color indexed="8"/>
            <rFont val="Calibri"/>
            <family val="2"/>
          </rPr>
          <t>13]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O20 &amp; I30 </t>
        </r>
        <r>
          <rPr>
            <b/>
            <sz val="10"/>
            <color indexed="8"/>
            <rFont val="Calibri"/>
            <family val="2"/>
          </rPr>
          <t>&amp; P97</t>
        </r>
      </text>
    </comment>
    <comment ref="D214" authorId="0" shapeId="0" xr:uid="{86F0DA98-6322-4E2D-B1A8-6D94AA7FB4E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</t>
        </r>
        <r>
          <rPr>
            <b/>
            <sz val="10"/>
            <color indexed="8"/>
            <rFont val="Calibri"/>
            <family val="2"/>
          </rPr>
          <t>13]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O20 &amp; I30 </t>
        </r>
        <r>
          <rPr>
            <b/>
            <sz val="10"/>
            <color indexed="8"/>
            <rFont val="Calibri"/>
            <family val="2"/>
          </rPr>
          <t>&amp; P97</t>
        </r>
      </text>
    </comment>
    <comment ref="E214" authorId="0" shapeId="0" xr:uid="{60E8C275-125A-483C-922C-59FF2DBAA3F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</t>
        </r>
        <r>
          <rPr>
            <b/>
            <sz val="10"/>
            <color indexed="8"/>
            <rFont val="Calibri"/>
            <family val="2"/>
          </rPr>
          <t>13]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O20 &amp; I30 </t>
        </r>
        <r>
          <rPr>
            <b/>
            <sz val="10"/>
            <color indexed="8"/>
            <rFont val="Calibri"/>
            <family val="2"/>
          </rPr>
          <t>&amp; P97</t>
        </r>
      </text>
    </comment>
    <comment ref="F214" authorId="0" shapeId="0" xr:uid="{CB4E9069-502A-4C71-84EE-7ECEF855E6B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</t>
        </r>
        <r>
          <rPr>
            <b/>
            <sz val="10"/>
            <color indexed="8"/>
            <rFont val="Calibri"/>
            <family val="2"/>
          </rPr>
          <t>13]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O20 &amp; I30 </t>
        </r>
        <r>
          <rPr>
            <b/>
            <sz val="10"/>
            <color indexed="8"/>
            <rFont val="Calibri"/>
            <family val="2"/>
          </rPr>
          <t>&amp; P97</t>
        </r>
      </text>
    </comment>
    <comment ref="G214" authorId="0" shapeId="0" xr:uid="{CB9F6F96-956D-4010-A47D-6425AF02625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</t>
        </r>
        <r>
          <rPr>
            <b/>
            <sz val="10"/>
            <color indexed="8"/>
            <rFont val="Calibri"/>
            <family val="2"/>
          </rPr>
          <t>13]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O20 &amp; I30 </t>
        </r>
        <r>
          <rPr>
            <b/>
            <sz val="10"/>
            <color indexed="8"/>
            <rFont val="Calibri"/>
            <family val="2"/>
          </rPr>
          <t>&amp; P97</t>
        </r>
      </text>
    </comment>
    <comment ref="H214" authorId="0" shapeId="0" xr:uid="{1C1930F6-23BF-4691-8AB0-E1DE6B13631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</t>
        </r>
        <r>
          <rPr>
            <b/>
            <sz val="10"/>
            <color indexed="8"/>
            <rFont val="Calibri"/>
            <family val="2"/>
          </rPr>
          <t>13]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O20 &amp; I30 </t>
        </r>
        <r>
          <rPr>
            <b/>
            <sz val="10"/>
            <color indexed="8"/>
            <rFont val="Calibri"/>
            <family val="2"/>
          </rPr>
          <t>&amp; P97</t>
        </r>
      </text>
    </comment>
    <comment ref="A215" authorId="0" shapeId="0" xr:uid="{AB4BB910-9164-4C3A-B069-028B1553D63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73.2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X4 &amp; U15 &amp; O18 &amp; I15 &amp; E45 </t>
        </r>
        <r>
          <rPr>
            <b/>
            <sz val="10"/>
            <color indexed="8"/>
            <rFont val="Calibri"/>
            <family val="2"/>
          </rPr>
          <t>&amp; P23</t>
        </r>
      </text>
    </comment>
    <comment ref="B215" authorId="0" shapeId="0" xr:uid="{9546791C-C0D4-4119-A71B-4A57BFF1723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73.2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X4 &amp; U15 &amp; O18 &amp; I15 &amp; E45 </t>
        </r>
        <r>
          <rPr>
            <b/>
            <sz val="10"/>
            <color indexed="8"/>
            <rFont val="Calibri"/>
            <family val="2"/>
          </rPr>
          <t>&amp; P23</t>
        </r>
      </text>
    </comment>
    <comment ref="C215" authorId="0" shapeId="0" xr:uid="{A163B43B-652A-464E-8DCA-E738F44EC72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73.2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X4 &amp; U15 &amp; O18 &amp; I15 &amp; E45 </t>
        </r>
        <r>
          <rPr>
            <b/>
            <sz val="10"/>
            <color indexed="8"/>
            <rFont val="Calibri"/>
            <family val="2"/>
          </rPr>
          <t>&amp; P23</t>
        </r>
      </text>
    </comment>
    <comment ref="D215" authorId="0" shapeId="0" xr:uid="{0DD7D785-5E3D-4045-8954-DCF7E88D69C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73.2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X4 &amp; U15 &amp; O18 &amp; I15 &amp; E45 </t>
        </r>
        <r>
          <rPr>
            <b/>
            <sz val="10"/>
            <color indexed="8"/>
            <rFont val="Calibri"/>
            <family val="2"/>
          </rPr>
          <t>&amp; P23</t>
        </r>
      </text>
    </comment>
    <comment ref="E215" authorId="0" shapeId="0" xr:uid="{099A0432-4ED2-4687-9574-E0886ABE6B1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73.2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X4 &amp; U15 &amp; O18 &amp; I15 &amp; E45 </t>
        </r>
        <r>
          <rPr>
            <b/>
            <sz val="10"/>
            <color indexed="8"/>
            <rFont val="Calibri"/>
            <family val="2"/>
          </rPr>
          <t>&amp; P23</t>
        </r>
      </text>
    </comment>
    <comment ref="F215" authorId="0" shapeId="0" xr:uid="{23765504-ABD9-4013-A10A-388A838BB02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73.2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X4 &amp; U15 &amp; O18 &amp; I15 &amp; E45 </t>
        </r>
        <r>
          <rPr>
            <b/>
            <sz val="10"/>
            <color indexed="8"/>
            <rFont val="Calibri"/>
            <family val="2"/>
          </rPr>
          <t>&amp; P23</t>
        </r>
      </text>
    </comment>
    <comment ref="G215" authorId="0" shapeId="0" xr:uid="{B39CB60C-54FB-4BEE-863D-89A1DF343A0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73.2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X4 &amp; U15 &amp; O18 &amp; I15 &amp; E45 </t>
        </r>
        <r>
          <rPr>
            <b/>
            <sz val="10"/>
            <color indexed="8"/>
            <rFont val="Calibri"/>
            <family val="2"/>
          </rPr>
          <t>&amp; P23</t>
        </r>
      </text>
    </comment>
    <comment ref="H215" authorId="0" shapeId="0" xr:uid="{1ED11743-A5AF-49E4-B4EF-50EA0352F32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73.2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W1 &amp; X4 &amp; U15 &amp; O18 &amp; I15 &amp; E45 </t>
        </r>
        <r>
          <rPr>
            <b/>
            <sz val="10"/>
            <color indexed="8"/>
            <rFont val="Calibri"/>
            <family val="2"/>
          </rPr>
          <t>&amp; P23</t>
        </r>
      </text>
    </comment>
    <comment ref="A216" authorId="0" shapeId="0" xr:uid="{C8F627B1-FED7-4D84-ACB1-DD22A540FAC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44.0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X4 &amp; U23 &amp; I2 </t>
        </r>
        <r>
          <rPr>
            <b/>
            <sz val="10"/>
            <color indexed="8"/>
            <rFont val="Calibri"/>
            <family val="2"/>
          </rPr>
          <t>&amp; P44</t>
        </r>
      </text>
    </comment>
    <comment ref="B216" authorId="0" shapeId="0" xr:uid="{DB74C72E-98EC-4A02-ADD7-04444CE1678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44.0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X4 &amp; U23 &amp; I2 </t>
        </r>
        <r>
          <rPr>
            <b/>
            <sz val="10"/>
            <color indexed="8"/>
            <rFont val="Calibri"/>
            <family val="2"/>
          </rPr>
          <t>&amp; P44</t>
        </r>
      </text>
    </comment>
    <comment ref="C216" authorId="0" shapeId="0" xr:uid="{A9EE16A8-C358-4A96-B01A-7FDB756046E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44.0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X4 &amp; U23 &amp; I2 </t>
        </r>
        <r>
          <rPr>
            <b/>
            <sz val="10"/>
            <color indexed="8"/>
            <rFont val="Calibri"/>
            <family val="2"/>
          </rPr>
          <t>&amp; P44</t>
        </r>
      </text>
    </comment>
    <comment ref="D216" authorId="0" shapeId="0" xr:uid="{FE475DE1-8210-4ED4-9647-5DF512AF144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44.0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X4 &amp; U23 &amp; I2 </t>
        </r>
        <r>
          <rPr>
            <b/>
            <sz val="10"/>
            <color indexed="8"/>
            <rFont val="Calibri"/>
            <family val="2"/>
          </rPr>
          <t>&amp; P44</t>
        </r>
      </text>
    </comment>
    <comment ref="E216" authorId="0" shapeId="0" xr:uid="{8CF5D49A-6AB8-4D89-AFA1-91008371BA2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44.0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X4 &amp; U23 &amp; I2 </t>
        </r>
        <r>
          <rPr>
            <b/>
            <sz val="10"/>
            <color indexed="8"/>
            <rFont val="Calibri"/>
            <family val="2"/>
          </rPr>
          <t>&amp; P44</t>
        </r>
      </text>
    </comment>
    <comment ref="F216" authorId="0" shapeId="0" xr:uid="{7878BFFC-9023-4F2A-8FCF-64FD1369C8A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44.0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X4 &amp; U23 &amp; I2 </t>
        </r>
        <r>
          <rPr>
            <b/>
            <sz val="10"/>
            <color indexed="8"/>
            <rFont val="Calibri"/>
            <family val="2"/>
          </rPr>
          <t>&amp; P44</t>
        </r>
      </text>
    </comment>
    <comment ref="G216" authorId="0" shapeId="0" xr:uid="{AA166A02-DF5E-43B8-BBF4-5FC80C211BA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44.0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X4 &amp; U23 &amp; I2 </t>
        </r>
        <r>
          <rPr>
            <b/>
            <sz val="10"/>
            <color indexed="8"/>
            <rFont val="Calibri"/>
            <family val="2"/>
          </rPr>
          <t>&amp; P44</t>
        </r>
      </text>
    </comment>
    <comment ref="H216" authorId="0" shapeId="0" xr:uid="{32E03C05-3815-488A-B882-39D3F2BA400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44.0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X4 &amp; U23 &amp; I2 </t>
        </r>
        <r>
          <rPr>
            <b/>
            <sz val="10"/>
            <color indexed="8"/>
            <rFont val="Calibri"/>
            <family val="2"/>
          </rPr>
          <t>&amp; P44</t>
        </r>
      </text>
    </comment>
    <comment ref="A295" authorId="0" shapeId="0" xr:uid="{5E1BBFC8-3163-4289-B287-0DEA7DF575D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30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8]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S4 &amp; W2 &amp; X10 &amp; U5 &amp; O13 &amp; I21</t>
        </r>
        <r>
          <rPr>
            <b/>
            <sz val="10"/>
            <color indexed="8"/>
            <rFont val="Calibri"/>
            <family val="2"/>
          </rPr>
          <t xml:space="preserve"> &amp; P1</t>
        </r>
      </text>
    </comment>
    <comment ref="B295" authorId="0" shapeId="0" xr:uid="{22F98E34-E540-4665-9079-39503FA9ECE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30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8]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S4 &amp; W2 &amp; X10 &amp; U5 &amp; O13 &amp; I21</t>
        </r>
        <r>
          <rPr>
            <b/>
            <sz val="10"/>
            <color indexed="8"/>
            <rFont val="Calibri"/>
            <family val="2"/>
          </rPr>
          <t xml:space="preserve"> &amp; P1</t>
        </r>
      </text>
    </comment>
    <comment ref="C295" authorId="0" shapeId="0" xr:uid="{B8028844-3B28-4631-9B63-01BC15737E9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30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8]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S4 &amp; W2 &amp; X10 &amp; U5 &amp; O13 &amp; I21</t>
        </r>
        <r>
          <rPr>
            <b/>
            <sz val="10"/>
            <color indexed="8"/>
            <rFont val="Calibri"/>
            <family val="2"/>
          </rPr>
          <t xml:space="preserve"> &amp; P1</t>
        </r>
      </text>
    </comment>
    <comment ref="D295" authorId="0" shapeId="0" xr:uid="{E3CCAB73-BA9C-4E99-BA7F-5CD5C3270F8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30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8]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S4 &amp; W2 &amp; X10 &amp; U5 &amp; O13 &amp; I21</t>
        </r>
        <r>
          <rPr>
            <b/>
            <sz val="10"/>
            <color indexed="8"/>
            <rFont val="Calibri"/>
            <family val="2"/>
          </rPr>
          <t xml:space="preserve"> &amp; P1</t>
        </r>
      </text>
    </comment>
    <comment ref="E295" authorId="0" shapeId="0" xr:uid="{4D40BB0F-EE53-4B73-9147-6B428DE095E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30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8]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S4 &amp; W2 &amp; X10 &amp; U5 &amp; O13 &amp; I21</t>
        </r>
        <r>
          <rPr>
            <b/>
            <sz val="10"/>
            <color indexed="8"/>
            <rFont val="Calibri"/>
            <family val="2"/>
          </rPr>
          <t xml:space="preserve"> &amp; P1</t>
        </r>
      </text>
    </comment>
    <comment ref="F295" authorId="0" shapeId="0" xr:uid="{3CA7E532-EFEB-435A-AA74-C69AF513A46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30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8]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S4 &amp; W2 &amp; X10 &amp; U5 &amp; O13 &amp; I21</t>
        </r>
        <r>
          <rPr>
            <b/>
            <sz val="10"/>
            <color indexed="8"/>
            <rFont val="Calibri"/>
            <family val="2"/>
          </rPr>
          <t xml:space="preserve"> &amp; P1</t>
        </r>
      </text>
    </comment>
    <comment ref="G295" authorId="0" shapeId="0" xr:uid="{0F0C32A5-4B61-48AB-8840-205E40666EB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30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8]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S4 &amp; W2 &amp; X10 &amp; U5 &amp; O13 &amp; I21</t>
        </r>
        <r>
          <rPr>
            <b/>
            <sz val="10"/>
            <color indexed="8"/>
            <rFont val="Calibri"/>
            <family val="2"/>
          </rPr>
          <t xml:space="preserve"> &amp; P1</t>
        </r>
      </text>
    </comment>
    <comment ref="H295" authorId="0" shapeId="0" xr:uid="{310E9334-D8F5-436E-9D93-0E0E3483F87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SM492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33.9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57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30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8]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168]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G1 &amp; S4 &amp; W2 &amp; X10 &amp; U5 &amp; O13 &amp; I21</t>
        </r>
        <r>
          <rPr>
            <b/>
            <sz val="10"/>
            <color indexed="8"/>
            <rFont val="Calibri"/>
            <family val="2"/>
          </rPr>
          <t xml:space="preserve"> &amp; P1</t>
        </r>
      </text>
    </comment>
  </commentList>
</comments>
</file>

<file path=xl/sharedStrings.xml><?xml version="1.0" encoding="utf-8"?>
<sst xmlns="http://schemas.openxmlformats.org/spreadsheetml/2006/main" count="4020" uniqueCount="387">
  <si>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</si>
  <si>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</si>
  <si>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</si>
  <si>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</si>
  <si>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</si>
  <si>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</si>
  <si>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</si>
  <si>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</si>
  <si>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</si>
  <si>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</si>
  <si>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</si>
  <si>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</si>
  <si>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</si>
  <si>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</si>
  <si>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</si>
  <si>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</si>
  <si>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</si>
  <si>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</si>
  <si>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</si>
  <si>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</si>
  <si>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</si>
  <si>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</si>
  <si>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</si>
  <si>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</si>
  <si>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</si>
  <si>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</si>
  <si>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</si>
  <si>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</si>
  <si>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</si>
  <si>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</si>
  <si>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</si>
  <si>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</si>
  <si>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</si>
  <si>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</si>
  <si>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</si>
  <si>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</si>
  <si>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3 FOR SAME CLASS</t>
  </si>
  <si>
    <t>SM492</t>
  </si>
  <si>
    <t>2025-11-29 00:00:00</t>
  </si>
  <si>
    <t>T3</t>
  </si>
  <si>
    <t>S2 &amp; W6 &amp; T6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</si>
  <si>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</si>
  <si>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</si>
  <si>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</si>
  <si>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</si>
  <si>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</si>
  <si>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</si>
  <si>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flyadeal</t>
  </si>
  <si>
    <t>F3-755</t>
  </si>
  <si>
    <t>03:05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</si>
  <si>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</si>
  <si>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</si>
  <si>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</si>
  <si>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</si>
  <si>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</si>
  <si>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</si>
  <si>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</si>
  <si>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</si>
  <si>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</si>
  <si>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10 FOR SAME CLASS</t>
  </si>
  <si>
    <t>F3-763</t>
  </si>
  <si>
    <t>21:20</t>
  </si>
  <si>
    <t>9 FOR SAME CLASS</t>
  </si>
  <si>
    <t>F3-761</t>
  </si>
  <si>
    <t>18:55</t>
  </si>
  <si>
    <t>459 SAR</t>
  </si>
  <si>
    <t>609 SAR</t>
  </si>
  <si>
    <t>Air Arabia Egypt</t>
  </si>
  <si>
    <t>E5-328</t>
  </si>
  <si>
    <t>09:25</t>
  </si>
  <si>
    <t>Cabin: 10 KG / Check-in: 30 KG</t>
  </si>
  <si>
    <t>473 SAR</t>
  </si>
  <si>
    <t>596 SAR</t>
  </si>
  <si>
    <t>E5-362</t>
  </si>
  <si>
    <t>04:10</t>
  </si>
  <si>
    <t>417 SAR</t>
  </si>
  <si>
    <t>540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</si>
  <si>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</si>
  <si>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</si>
  <si>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</si>
  <si>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</si>
  <si>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</si>
  <si>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</si>
  <si>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</si>
  <si>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</si>
  <si>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</si>
  <si>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</si>
  <si>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</si>
  <si>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369 SAR</t>
  </si>
  <si>
    <t>469 SAR</t>
  </si>
  <si>
    <t>559 SAR</t>
  </si>
  <si>
    <t>XY-583</t>
  </si>
  <si>
    <t>11:15</t>
  </si>
  <si>
    <t>XY-571</t>
  </si>
  <si>
    <t>12:25</t>
  </si>
  <si>
    <t>XY-589</t>
  </si>
  <si>
    <t>19:10</t>
  </si>
  <si>
    <t>8 FOR SAME CLASS</t>
  </si>
  <si>
    <t>XY-567</t>
  </si>
  <si>
    <t>21:40</t>
  </si>
  <si>
    <t>1 FOR SAME CLASS</t>
  </si>
  <si>
    <t>XY-577</t>
  </si>
  <si>
    <t>09:30</t>
  </si>
  <si>
    <t>5 FOR SAME CLASS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</si>
  <si>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</si>
  <si>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</si>
  <si>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</si>
  <si>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</si>
  <si>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</si>
  <si>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</si>
  <si>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</si>
  <si>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</si>
  <si>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</si>
  <si>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</si>
  <si>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</si>
  <si>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</si>
  <si>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</si>
  <si>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</si>
  <si>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2 FOR SAME CLASS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</si>
  <si>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</si>
  <si>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</si>
  <si>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</si>
  <si>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</si>
  <si>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</si>
  <si>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</si>
  <si>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</si>
  <si>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</si>
  <si>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712 SAR</t>
  </si>
  <si>
    <t>SM-480</t>
  </si>
  <si>
    <t>00:10</t>
  </si>
  <si>
    <t>7 FOR SAME CLASS</t>
  </si>
  <si>
    <t>646 SAR</t>
  </si>
  <si>
    <t>Nesma Airlines</t>
  </si>
  <si>
    <t>NE-173</t>
  </si>
  <si>
    <t>05:00</t>
  </si>
  <si>
    <t>400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</si>
  <si>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</si>
  <si>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</si>
  <si>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</si>
  <si>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</si>
  <si>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</si>
  <si>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</si>
  <si>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</si>
  <si>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</si>
  <si>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</si>
  <si>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</si>
  <si>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</si>
  <si>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</si>
  <si>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</si>
  <si>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</si>
  <si>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</si>
  <si>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</si>
  <si>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</si>
  <si>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</si>
  <si>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</si>
  <si>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</si>
  <si>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</si>
  <si>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</si>
  <si>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</si>
  <si>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</si>
  <si>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</si>
  <si>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</si>
  <si>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1,349 SAR</t>
  </si>
  <si>
    <t>NP-128</t>
  </si>
  <si>
    <t>16:00</t>
  </si>
  <si>
    <t>503 SAR</t>
  </si>
  <si>
    <t>SV-6895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</si>
  <si>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</si>
  <si>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</si>
  <si>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</si>
  <si>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</si>
  <si>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</si>
  <si>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</si>
  <si>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</si>
  <si>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</si>
  <si>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</si>
  <si>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</si>
  <si>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</si>
  <si>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</si>
  <si>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</si>
  <si>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</si>
  <si>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</si>
  <si>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</si>
  <si>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</si>
  <si>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</si>
  <si>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</si>
  <si>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</si>
  <si>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</si>
  <si>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</si>
  <si>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</si>
  <si>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</si>
  <si>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359 SAR</t>
  </si>
  <si>
    <t>05:20</t>
  </si>
  <si>
    <t>421 SAR</t>
  </si>
  <si>
    <t>544 SAR</t>
  </si>
  <si>
    <t>18:30</t>
  </si>
  <si>
    <t>13:25</t>
  </si>
  <si>
    <t>471 SAR</t>
  </si>
  <si>
    <t>17:45</t>
  </si>
  <si>
    <t>NE-171</t>
  </si>
  <si>
    <t>06:35</t>
  </si>
  <si>
    <t>23:15</t>
  </si>
  <si>
    <t>SM-472</t>
  </si>
  <si>
    <t>SM-424</t>
  </si>
  <si>
    <t>22:25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</si>
  <si>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</si>
  <si>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</si>
  <si>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</si>
  <si>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</si>
  <si>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</si>
  <si>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</si>
  <si>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</si>
  <si>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</si>
  <si>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</si>
  <si>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</si>
  <si>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</si>
  <si>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</si>
  <si>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</si>
  <si>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</si>
  <si>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</si>
  <si>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</si>
  <si>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X9</t>
  </si>
  <si>
    <t>S1 &amp; T1 &amp; X6 &amp; U15 &amp; E44 &amp; P90</t>
  </si>
  <si>
    <t>706 SAR</t>
  </si>
  <si>
    <t>2025-11-17 00:00:00</t>
  </si>
  <si>
    <t>S4</t>
  </si>
  <si>
    <t>G1 &amp; S5 &amp; X2 &amp; U3 &amp; O2 &amp; I4 &amp; P129</t>
  </si>
  <si>
    <t>Cabin: 7 KG | Check-in: 20 KG</t>
  </si>
  <si>
    <t>329 SAR</t>
  </si>
  <si>
    <t>449 SAR</t>
  </si>
  <si>
    <t>Cabin: 10 KG | Check-in: 30 KG</t>
  </si>
  <si>
    <t>Cabin: 0 KG | Check-in: 15 KG</t>
  </si>
  <si>
    <t>419 SAR</t>
  </si>
  <si>
    <t>20:40</t>
  </si>
  <si>
    <t>745 SAR</t>
  </si>
  <si>
    <t>12:55</t>
  </si>
  <si>
    <t>1,524 SAR</t>
  </si>
  <si>
    <t>12:30</t>
  </si>
  <si>
    <t>1,204 SAR</t>
  </si>
  <si>
    <t>SM-422</t>
  </si>
  <si>
    <t>SM422</t>
  </si>
  <si>
    <t>U9</t>
  </si>
  <si>
    <t>U4 &amp; O20 &amp; I30 &amp; P97</t>
  </si>
  <si>
    <t>S2 &amp; W1 &amp; X4 &amp; U15 &amp; O18 &amp; I15 &amp; E45 &amp; P23</t>
  </si>
  <si>
    <t>S1 &amp; X4 &amp; U23 &amp; I2 &amp; P44</t>
  </si>
  <si>
    <t>07:55</t>
  </si>
  <si>
    <t>361 SAR</t>
  </si>
  <si>
    <t>484 SAR</t>
  </si>
  <si>
    <t>429 SAR</t>
  </si>
  <si>
    <t>519 SAR</t>
  </si>
  <si>
    <t>489 SAR</t>
  </si>
  <si>
    <t>589 SAR</t>
  </si>
  <si>
    <t>679 SAR</t>
  </si>
  <si>
    <t>549 SAR</t>
  </si>
  <si>
    <t>639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</si>
  <si>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</si>
  <si>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</si>
  <si>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</si>
  <si>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</si>
  <si>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</si>
  <si>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</si>
  <si>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</si>
  <si>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</si>
  <si>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</si>
  <si>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</si>
  <si>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</si>
  <si>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</si>
  <si>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</si>
  <si>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</si>
  <si>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</si>
  <si>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</si>
  <si>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</si>
  <si>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</si>
  <si>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</si>
  <si>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</si>
  <si>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</si>
  <si>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I9</t>
  </si>
  <si>
    <t>G1 &amp; S4 &amp; W2 &amp; X10 &amp; U5 &amp; O13 &amp; I21 &amp; P1</t>
  </si>
  <si>
    <t>355 SAR</t>
  </si>
  <si>
    <t>479 SAR</t>
  </si>
  <si>
    <t>E5-322</t>
  </si>
  <si>
    <t>23:25</t>
  </si>
  <si>
    <t>E5-383</t>
  </si>
  <si>
    <t>16:15</t>
  </si>
  <si>
    <t>393 SAR</t>
  </si>
  <si>
    <t>516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</si>
  <si>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</si>
  <si>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</si>
  <si>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</si>
  <si>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</si>
  <si>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</si>
  <si>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</si>
  <si>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</si>
  <si>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</si>
  <si>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</si>
  <si>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</si>
  <si>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</si>
  <si>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</si>
  <si>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</si>
  <si>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</si>
  <si>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</si>
  <si>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</si>
  <si>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</si>
  <si>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</si>
  <si>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</si>
  <si>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</si>
  <si>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</si>
  <si>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</si>
  <si>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</si>
  <si>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</si>
  <si>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</si>
  <si>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</si>
  <si>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</si>
  <si>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</si>
  <si>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</si>
  <si>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</si>
  <si>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</si>
  <si>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</si>
  <si>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</si>
  <si>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</si>
  <si>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</si>
  <si>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</si>
  <si>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</si>
  <si>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</si>
  <si>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</si>
  <si>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</si>
  <si>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T6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</si>
  <si>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</si>
  <si>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</si>
  <si>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</si>
  <si>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</si>
  <si>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</si>
  <si>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</si>
  <si>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</si>
  <si>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</si>
  <si>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</si>
  <si>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</si>
  <si>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</si>
  <si>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</si>
  <si>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</si>
  <si>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</si>
  <si>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</si>
  <si>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</si>
  <si>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</si>
  <si>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</si>
  <si>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</si>
  <si>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</si>
  <si>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</si>
  <si>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</si>
  <si>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X6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</si>
  <si>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</si>
  <si>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</si>
  <si>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</si>
  <si>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</si>
  <si>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</si>
  <si>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</si>
  <si>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</si>
  <si>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</si>
  <si>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</si>
  <si>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</si>
  <si>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</si>
  <si>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</si>
  <si>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</si>
  <si>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</si>
  <si>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</si>
  <si>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</si>
  <si>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</si>
  <si>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</si>
  <si>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</si>
  <si>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</si>
  <si>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</si>
  <si>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</si>
  <si>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</si>
  <si>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</si>
  <si>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</si>
  <si>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</si>
  <si>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X10</t>
  </si>
  <si>
    <t>U5</t>
  </si>
  <si>
    <t>O13</t>
  </si>
  <si>
    <t>I21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</si>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</sst>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8.5"/>
      <color indexed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49" fontId="13" fillId="15" borderId="4" xfId="0" applyNumberFormat="1" applyFont="1" applyFill="1" applyBorder="1" applyAlignment="1">
      <alignment horizontal="center" vertical="center"/>
    </xf>
    <xf numFmtId="1" fontId="13" fillId="15" borderId="5" xfId="0" applyNumberFormat="1" applyFont="1" applyFill="1" applyBorder="1" applyAlignment="1">
      <alignment horizontal="center" vertical="center"/>
    </xf>
    <xf numFmtId="16" fontId="13" fillId="15" borderId="5" xfId="0" applyNumberFormat="1" applyFont="1" applyFill="1" applyBorder="1" applyAlignment="1">
      <alignment horizontal="center" vertical="center"/>
    </xf>
    <xf numFmtId="49" fontId="15" fillId="15" borderId="5" xfId="0" applyNumberFormat="1" applyFont="1" applyFill="1" applyBorder="1" applyAlignment="1">
      <alignment horizontal="center" vertical="center"/>
    </xf>
    <xf numFmtId="49" fontId="13" fillId="15" borderId="6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7" fontId="21" fillId="9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6" fillId="11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1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13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6" fontId="16" fillId="15" borderId="2" xfId="0" applyNumberFormat="1" applyFont="1" applyFill="1" applyBorder="1" applyAlignment="1">
      <alignment horizontal="center" vertical="center"/>
    </xf>
    <xf numFmtId="167" fontId="14" fillId="15" borderId="5" xfId="0" applyNumberFormat="1" applyFont="1" applyFill="1" applyBorder="1" applyAlignment="1">
      <alignment horizontal="center" vertical="center"/>
    </xf>
    <xf numFmtId="166" fontId="13" fillId="15" borderId="5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4" fillId="9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15" fontId="27" fillId="17" borderId="0" xfId="0" applyNumberFormat="1" applyFont="1" applyFill="1" applyAlignment="1">
      <alignment horizontal="center" vertical="center"/>
    </xf>
    <xf numFmtId="167" fontId="27" fillId="17" borderId="0" xfId="0" applyNumberFormat="1" applyFont="1" applyFill="1" applyAlignment="1">
      <alignment horizontal="center" vertical="center"/>
    </xf>
    <xf numFmtId="1" fontId="27" fillId="17" borderId="0" xfId="0" applyNumberFormat="1" applyFont="1" applyFill="1" applyAlignment="1">
      <alignment horizontal="center" vertical="center"/>
    </xf>
    <xf numFmtId="0" fontId="27" fillId="17" borderId="0" xfId="0" applyNumberFormat="1" applyFont="1" applyFill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20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19" xfId="0" applyFont="1" applyBorder="1"/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64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70" totalsRowShown="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6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7" t="s">
        <v>0</v>
      </c>
      <c r="B1" s="151"/>
      <c r="C1" s="151"/>
      <c r="D1" s="151"/>
      <c r="E1" s="151"/>
      <c r="F1" s="1" t="s">
        <v>1</v>
      </c>
      <c r="G1" s="1" t="s">
        <v>2</v>
      </c>
      <c r="H1" s="166">
        <v>45992</v>
      </c>
      <c r="I1" s="151"/>
      <c r="J1" s="151"/>
      <c r="K1" s="151"/>
      <c r="L1" s="151"/>
      <c r="M1" s="1" t="s">
        <v>3</v>
      </c>
      <c r="N1" s="165">
        <v>45996</v>
      </c>
      <c r="O1" s="151"/>
      <c r="P1" s="151"/>
      <c r="Q1" s="151"/>
      <c r="R1" s="151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9" t="s">
        <v>4</v>
      </c>
      <c r="B2" s="151"/>
      <c r="C2" s="151"/>
      <c r="D2" s="151"/>
      <c r="E2" s="151"/>
      <c r="F2" s="151"/>
      <c r="G2" s="160">
        <v>45990.557717037038</v>
      </c>
      <c r="H2" s="151"/>
      <c r="I2" s="151"/>
      <c r="J2" s="151"/>
      <c r="K2" s="150">
        <v>45990.557717037038</v>
      </c>
      <c r="L2" s="151"/>
      <c r="M2" s="151"/>
      <c r="N2" s="151"/>
      <c r="O2" s="151"/>
      <c r="P2" s="151"/>
      <c r="Q2" s="151"/>
      <c r="R2" s="15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70" t="s">
        <v>5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1" t="s">
        <v>6</v>
      </c>
      <c r="B4" s="156"/>
      <c r="C4" s="156"/>
      <c r="D4" s="156"/>
      <c r="E4" s="156"/>
      <c r="F4" s="157"/>
      <c r="G4" s="91">
        <v>45992</v>
      </c>
      <c r="H4" s="168" t="s">
        <v>7</v>
      </c>
      <c r="I4" s="156"/>
      <c r="J4" s="156"/>
      <c r="K4" s="156"/>
      <c r="L4" s="156"/>
      <c r="M4" s="156"/>
      <c r="N4" s="156"/>
      <c r="O4" s="156"/>
      <c r="P4" s="156"/>
      <c r="Q4" s="156"/>
      <c r="R4" s="15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92">
        <v>0.96875</v>
      </c>
      <c r="D6" s="7" t="s">
        <v>28</v>
      </c>
      <c r="E6" s="7" t="s">
        <v>29</v>
      </c>
      <c r="F6" s="7" t="s">
        <v>30</v>
      </c>
      <c r="G6" s="159"/>
      <c r="H6" s="8" t="s">
        <v>31</v>
      </c>
      <c r="I6" s="93">
        <v>0.54759999999999998</v>
      </c>
      <c r="J6" s="9">
        <v>92</v>
      </c>
      <c r="K6" s="10" t="s">
        <v>32</v>
      </c>
      <c r="L6" s="9">
        <v>27</v>
      </c>
      <c r="M6" s="9">
        <v>0</v>
      </c>
      <c r="N6" s="9">
        <v>2</v>
      </c>
      <c r="O6" s="11" t="s">
        <v>33</v>
      </c>
      <c r="P6" s="94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5">
        <v>0.50694444444444442</v>
      </c>
      <c r="D7" s="13" t="s">
        <v>28</v>
      </c>
      <c r="E7" s="13" t="s">
        <v>36</v>
      </c>
      <c r="F7" s="13" t="s">
        <v>30</v>
      </c>
      <c r="G7" s="153"/>
      <c r="H7" s="14" t="s">
        <v>37</v>
      </c>
      <c r="I7" s="96">
        <v>0.83930000000000005</v>
      </c>
      <c r="J7" s="15">
        <v>141</v>
      </c>
      <c r="K7" s="16" t="s">
        <v>38</v>
      </c>
      <c r="L7" s="15">
        <v>9</v>
      </c>
      <c r="M7" s="15">
        <v>1</v>
      </c>
      <c r="N7" s="15">
        <v>3</v>
      </c>
      <c r="O7" s="17" t="s">
        <v>39</v>
      </c>
      <c r="P7" s="97">
        <v>0.50694444444444442</v>
      </c>
      <c r="Q7" s="15">
        <v>168</v>
      </c>
      <c r="R7" s="18" t="s">
        <v>40</v>
      </c>
    </row>
    <row r="8" spans="1:92" ht="15" customHeight="1" x14ac:dyDescent="0.3">
      <c r="A8" s="19" t="s">
        <v>41</v>
      </c>
      <c r="B8" s="19" t="s">
        <v>42</v>
      </c>
      <c r="C8" s="98">
        <v>0.96875</v>
      </c>
      <c r="D8" s="19" t="s">
        <v>43</v>
      </c>
      <c r="E8" s="19" t="s">
        <v>44</v>
      </c>
      <c r="F8" s="19" t="s">
        <v>45</v>
      </c>
      <c r="G8" s="153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62" t="s">
        <v>46</v>
      </c>
      <c r="B9" s="163"/>
      <c r="C9" s="163"/>
      <c r="D9" s="163"/>
      <c r="E9" s="163"/>
      <c r="F9" s="164"/>
      <c r="G9" s="153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47</v>
      </c>
      <c r="B10" s="28" t="s">
        <v>48</v>
      </c>
      <c r="C10" s="99" t="s">
        <v>49</v>
      </c>
      <c r="D10" s="28" t="s">
        <v>50</v>
      </c>
      <c r="E10" s="28" t="s">
        <v>51</v>
      </c>
      <c r="F10" s="28" t="s">
        <v>52</v>
      </c>
      <c r="G10" s="153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47</v>
      </c>
      <c r="B11" s="28" t="s">
        <v>48</v>
      </c>
      <c r="C11" s="99" t="s">
        <v>49</v>
      </c>
      <c r="D11" s="28" t="s">
        <v>53</v>
      </c>
      <c r="E11" s="28" t="s">
        <v>51</v>
      </c>
      <c r="F11" s="28" t="s">
        <v>54</v>
      </c>
      <c r="G11" s="153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47</v>
      </c>
      <c r="B12" s="28" t="s">
        <v>48</v>
      </c>
      <c r="C12" s="99" t="s">
        <v>49</v>
      </c>
      <c r="D12" s="28" t="s">
        <v>55</v>
      </c>
      <c r="E12" s="28" t="s">
        <v>51</v>
      </c>
      <c r="F12" s="28" t="s">
        <v>56</v>
      </c>
      <c r="G12" s="153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47</v>
      </c>
      <c r="B13" s="28" t="s">
        <v>57</v>
      </c>
      <c r="C13" s="99" t="s">
        <v>58</v>
      </c>
      <c r="D13" s="28" t="s">
        <v>50</v>
      </c>
      <c r="E13" s="28" t="s">
        <v>59</v>
      </c>
      <c r="F13" s="28" t="s">
        <v>52</v>
      </c>
      <c r="G13" s="153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47</v>
      </c>
      <c r="B14" s="28" t="s">
        <v>57</v>
      </c>
      <c r="C14" s="99" t="s">
        <v>58</v>
      </c>
      <c r="D14" s="28" t="s">
        <v>53</v>
      </c>
      <c r="E14" s="28" t="s">
        <v>59</v>
      </c>
      <c r="F14" s="28" t="s">
        <v>54</v>
      </c>
      <c r="G14" s="153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47</v>
      </c>
      <c r="B15" s="28" t="s">
        <v>57</v>
      </c>
      <c r="C15" s="99" t="s">
        <v>58</v>
      </c>
      <c r="D15" s="28" t="s">
        <v>55</v>
      </c>
      <c r="E15" s="28" t="s">
        <v>59</v>
      </c>
      <c r="F15" s="28" t="s">
        <v>56</v>
      </c>
      <c r="G15" s="153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47</v>
      </c>
      <c r="B16" s="28" t="s">
        <v>60</v>
      </c>
      <c r="C16" s="99" t="s">
        <v>61</v>
      </c>
      <c r="D16" s="28" t="s">
        <v>50</v>
      </c>
      <c r="E16" s="28" t="s">
        <v>62</v>
      </c>
      <c r="F16" s="28" t="s">
        <v>52</v>
      </c>
      <c r="G16" s="153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47</v>
      </c>
      <c r="B17" s="28" t="s">
        <v>60</v>
      </c>
      <c r="C17" s="99" t="s">
        <v>61</v>
      </c>
      <c r="D17" s="28" t="s">
        <v>53</v>
      </c>
      <c r="E17" s="28" t="s">
        <v>62</v>
      </c>
      <c r="F17" s="28" t="s">
        <v>54</v>
      </c>
      <c r="G17" s="153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47</v>
      </c>
      <c r="B18" s="28" t="s">
        <v>60</v>
      </c>
      <c r="C18" s="99" t="s">
        <v>61</v>
      </c>
      <c r="D18" s="28" t="s">
        <v>55</v>
      </c>
      <c r="E18" s="28" t="s">
        <v>62</v>
      </c>
      <c r="F18" s="28" t="s">
        <v>56</v>
      </c>
      <c r="G18" s="153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47</v>
      </c>
      <c r="B19" s="28" t="s">
        <v>63</v>
      </c>
      <c r="C19" s="99" t="s">
        <v>64</v>
      </c>
      <c r="D19" s="28" t="s">
        <v>50</v>
      </c>
      <c r="E19" s="28" t="s">
        <v>51</v>
      </c>
      <c r="F19" s="28" t="s">
        <v>65</v>
      </c>
      <c r="G19" s="153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47</v>
      </c>
      <c r="B20" s="28" t="s">
        <v>63</v>
      </c>
      <c r="C20" s="99" t="s">
        <v>64</v>
      </c>
      <c r="D20" s="28" t="s">
        <v>53</v>
      </c>
      <c r="E20" s="28" t="s">
        <v>51</v>
      </c>
      <c r="F20" s="28" t="s">
        <v>66</v>
      </c>
      <c r="G20" s="153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47</v>
      </c>
      <c r="B21" s="28" t="s">
        <v>63</v>
      </c>
      <c r="C21" s="99" t="s">
        <v>64</v>
      </c>
      <c r="D21" s="28" t="s">
        <v>55</v>
      </c>
      <c r="E21" s="28" t="s">
        <v>51</v>
      </c>
      <c r="F21" s="28" t="s">
        <v>56</v>
      </c>
      <c r="G21" s="153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67</v>
      </c>
      <c r="B22" s="28" t="s">
        <v>68</v>
      </c>
      <c r="C22" s="99" t="s">
        <v>69</v>
      </c>
      <c r="D22" s="28" t="s">
        <v>70</v>
      </c>
      <c r="E22" s="28" t="s">
        <v>62</v>
      </c>
      <c r="F22" s="28" t="s">
        <v>71</v>
      </c>
      <c r="G22" s="153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67</v>
      </c>
      <c r="B23" s="28" t="s">
        <v>68</v>
      </c>
      <c r="C23" s="99" t="s">
        <v>69</v>
      </c>
      <c r="D23" s="28" t="s">
        <v>55</v>
      </c>
      <c r="E23" s="28" t="s">
        <v>62</v>
      </c>
      <c r="F23" s="28" t="s">
        <v>72</v>
      </c>
      <c r="G23" s="153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67</v>
      </c>
      <c r="B24" s="28" t="s">
        <v>73</v>
      </c>
      <c r="C24" s="99" t="s">
        <v>74</v>
      </c>
      <c r="D24" s="28" t="s">
        <v>70</v>
      </c>
      <c r="E24" s="28" t="s">
        <v>62</v>
      </c>
      <c r="F24" s="28" t="s">
        <v>75</v>
      </c>
      <c r="G24" s="153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67</v>
      </c>
      <c r="B25" s="28" t="s">
        <v>73</v>
      </c>
      <c r="C25" s="99" t="s">
        <v>74</v>
      </c>
      <c r="D25" s="28" t="s">
        <v>55</v>
      </c>
      <c r="E25" s="28" t="s">
        <v>62</v>
      </c>
      <c r="F25" s="28" t="s">
        <v>76</v>
      </c>
      <c r="G25" s="153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77</v>
      </c>
      <c r="B26" s="28" t="s">
        <v>78</v>
      </c>
      <c r="C26" s="99" t="s">
        <v>79</v>
      </c>
      <c r="D26" s="28" t="s">
        <v>80</v>
      </c>
      <c r="E26" s="28" t="s">
        <v>62</v>
      </c>
      <c r="F26" s="28" t="s">
        <v>81</v>
      </c>
      <c r="G26" s="153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77</v>
      </c>
      <c r="B27" s="28" t="s">
        <v>78</v>
      </c>
      <c r="C27" s="99" t="s">
        <v>79</v>
      </c>
      <c r="D27" s="28" t="s">
        <v>82</v>
      </c>
      <c r="E27" s="28" t="s">
        <v>62</v>
      </c>
      <c r="F27" s="28" t="s">
        <v>83</v>
      </c>
      <c r="G27" s="153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77</v>
      </c>
      <c r="B28" s="28" t="s">
        <v>78</v>
      </c>
      <c r="C28" s="99" t="s">
        <v>79</v>
      </c>
      <c r="D28" s="28" t="s">
        <v>84</v>
      </c>
      <c r="E28" s="28" t="s">
        <v>62</v>
      </c>
      <c r="F28" s="28" t="s">
        <v>85</v>
      </c>
      <c r="G28" s="153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77</v>
      </c>
      <c r="B29" s="28" t="s">
        <v>86</v>
      </c>
      <c r="C29" s="99" t="s">
        <v>87</v>
      </c>
      <c r="D29" s="28" t="s">
        <v>80</v>
      </c>
      <c r="E29" s="28" t="s">
        <v>44</v>
      </c>
      <c r="F29" s="28" t="s">
        <v>88</v>
      </c>
      <c r="G29" s="153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77</v>
      </c>
      <c r="B30" s="28" t="s">
        <v>86</v>
      </c>
      <c r="C30" s="99" t="s">
        <v>87</v>
      </c>
      <c r="D30" s="28" t="s">
        <v>82</v>
      </c>
      <c r="E30" s="28" t="s">
        <v>44</v>
      </c>
      <c r="F30" s="28" t="s">
        <v>89</v>
      </c>
      <c r="G30" s="153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77</v>
      </c>
      <c r="B31" s="28" t="s">
        <v>86</v>
      </c>
      <c r="C31" s="99" t="s">
        <v>87</v>
      </c>
      <c r="D31" s="28" t="s">
        <v>84</v>
      </c>
      <c r="E31" s="28" t="s">
        <v>44</v>
      </c>
      <c r="F31" s="28" t="s">
        <v>90</v>
      </c>
      <c r="G31" s="153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77</v>
      </c>
      <c r="B32" s="28" t="s">
        <v>91</v>
      </c>
      <c r="C32" s="99" t="s">
        <v>92</v>
      </c>
      <c r="D32" s="28" t="s">
        <v>80</v>
      </c>
      <c r="E32" s="28" t="s">
        <v>62</v>
      </c>
      <c r="F32" s="28" t="s">
        <v>81</v>
      </c>
      <c r="G32" s="153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77</v>
      </c>
      <c r="B33" s="28" t="s">
        <v>91</v>
      </c>
      <c r="C33" s="99" t="s">
        <v>92</v>
      </c>
      <c r="D33" s="28" t="s">
        <v>82</v>
      </c>
      <c r="E33" s="28" t="s">
        <v>62</v>
      </c>
      <c r="F33" s="28" t="s">
        <v>83</v>
      </c>
      <c r="G33" s="153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77</v>
      </c>
      <c r="B34" s="28" t="s">
        <v>91</v>
      </c>
      <c r="C34" s="99" t="s">
        <v>92</v>
      </c>
      <c r="D34" s="28" t="s">
        <v>84</v>
      </c>
      <c r="E34" s="28" t="s">
        <v>62</v>
      </c>
      <c r="F34" s="28" t="s">
        <v>85</v>
      </c>
      <c r="G34" s="153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77</v>
      </c>
      <c r="B35" s="28" t="s">
        <v>93</v>
      </c>
      <c r="C35" s="99" t="s">
        <v>94</v>
      </c>
      <c r="D35" s="28" t="s">
        <v>80</v>
      </c>
      <c r="E35" s="28" t="s">
        <v>51</v>
      </c>
      <c r="F35" s="28" t="s">
        <v>81</v>
      </c>
      <c r="G35" s="153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77</v>
      </c>
      <c r="B36" s="28" t="s">
        <v>93</v>
      </c>
      <c r="C36" s="99" t="s">
        <v>94</v>
      </c>
      <c r="D36" s="28" t="s">
        <v>82</v>
      </c>
      <c r="E36" s="28" t="s">
        <v>51</v>
      </c>
      <c r="F36" s="28" t="s">
        <v>83</v>
      </c>
      <c r="G36" s="153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77</v>
      </c>
      <c r="B37" s="28" t="s">
        <v>93</v>
      </c>
      <c r="C37" s="99" t="s">
        <v>94</v>
      </c>
      <c r="D37" s="28" t="s">
        <v>84</v>
      </c>
      <c r="E37" s="28" t="s">
        <v>51</v>
      </c>
      <c r="F37" s="28" t="s">
        <v>85</v>
      </c>
      <c r="G37" s="153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77</v>
      </c>
      <c r="B38" s="28" t="s">
        <v>95</v>
      </c>
      <c r="C38" s="99" t="s">
        <v>96</v>
      </c>
      <c r="D38" s="28" t="s">
        <v>80</v>
      </c>
      <c r="E38" s="28" t="s">
        <v>97</v>
      </c>
      <c r="F38" s="28" t="s">
        <v>81</v>
      </c>
      <c r="G38" s="153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77</v>
      </c>
      <c r="B39" s="28" t="s">
        <v>95</v>
      </c>
      <c r="C39" s="99" t="s">
        <v>96</v>
      </c>
      <c r="D39" s="28" t="s">
        <v>82</v>
      </c>
      <c r="E39" s="28" t="s">
        <v>97</v>
      </c>
      <c r="F39" s="28" t="s">
        <v>83</v>
      </c>
      <c r="G39" s="153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77</v>
      </c>
      <c r="B40" s="28" t="s">
        <v>95</v>
      </c>
      <c r="C40" s="99" t="s">
        <v>96</v>
      </c>
      <c r="D40" s="28" t="s">
        <v>84</v>
      </c>
      <c r="E40" s="28" t="s">
        <v>97</v>
      </c>
      <c r="F40" s="28" t="s">
        <v>85</v>
      </c>
      <c r="G40" s="153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77</v>
      </c>
      <c r="B41" s="28" t="s">
        <v>98</v>
      </c>
      <c r="C41" s="99" t="s">
        <v>99</v>
      </c>
      <c r="D41" s="28" t="s">
        <v>80</v>
      </c>
      <c r="E41" s="28" t="s">
        <v>100</v>
      </c>
      <c r="F41" s="28" t="s">
        <v>88</v>
      </c>
      <c r="G41" s="153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77</v>
      </c>
      <c r="B42" s="28" t="s">
        <v>98</v>
      </c>
      <c r="C42" s="99" t="s">
        <v>99</v>
      </c>
      <c r="D42" s="28" t="s">
        <v>82</v>
      </c>
      <c r="E42" s="28" t="s">
        <v>100</v>
      </c>
      <c r="F42" s="28" t="s">
        <v>89</v>
      </c>
      <c r="G42" s="153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77</v>
      </c>
      <c r="B43" s="28" t="s">
        <v>98</v>
      </c>
      <c r="C43" s="99" t="s">
        <v>99</v>
      </c>
      <c r="D43" s="28" t="s">
        <v>84</v>
      </c>
      <c r="E43" s="28" t="s">
        <v>100</v>
      </c>
      <c r="F43" s="28" t="s">
        <v>90</v>
      </c>
      <c r="G43" s="153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77</v>
      </c>
      <c r="B44" s="28" t="s">
        <v>101</v>
      </c>
      <c r="C44" s="99" t="s">
        <v>102</v>
      </c>
      <c r="D44" s="28" t="s">
        <v>80</v>
      </c>
      <c r="E44" s="28" t="s">
        <v>103</v>
      </c>
      <c r="F44" s="28" t="s">
        <v>88</v>
      </c>
      <c r="G44" s="153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77</v>
      </c>
      <c r="B45" s="28" t="s">
        <v>101</v>
      </c>
      <c r="C45" s="99" t="s">
        <v>102</v>
      </c>
      <c r="D45" s="28" t="s">
        <v>82</v>
      </c>
      <c r="E45" s="28" t="s">
        <v>103</v>
      </c>
      <c r="F45" s="28" t="s">
        <v>89</v>
      </c>
      <c r="G45" s="153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77</v>
      </c>
      <c r="B46" s="28" t="s">
        <v>101</v>
      </c>
      <c r="C46" s="99" t="s">
        <v>102</v>
      </c>
      <c r="D46" s="28" t="s">
        <v>84</v>
      </c>
      <c r="E46" s="28" t="s">
        <v>103</v>
      </c>
      <c r="F46" s="28" t="s">
        <v>90</v>
      </c>
      <c r="G46" s="153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77</v>
      </c>
      <c r="B47" s="28" t="s">
        <v>104</v>
      </c>
      <c r="C47" s="99" t="s">
        <v>105</v>
      </c>
      <c r="D47" s="28" t="s">
        <v>80</v>
      </c>
      <c r="E47" s="28" t="s">
        <v>62</v>
      </c>
      <c r="F47" s="28" t="s">
        <v>106</v>
      </c>
      <c r="G47" s="153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77</v>
      </c>
      <c r="B48" s="28" t="s">
        <v>104</v>
      </c>
      <c r="C48" s="99" t="s">
        <v>105</v>
      </c>
      <c r="D48" s="28" t="s">
        <v>82</v>
      </c>
      <c r="E48" s="28" t="s">
        <v>62</v>
      </c>
      <c r="F48" s="28" t="s">
        <v>107</v>
      </c>
      <c r="G48" s="153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77</v>
      </c>
      <c r="B49" s="28" t="s">
        <v>104</v>
      </c>
      <c r="C49" s="99" t="s">
        <v>105</v>
      </c>
      <c r="D49" s="28" t="s">
        <v>84</v>
      </c>
      <c r="E49" s="28" t="s">
        <v>62</v>
      </c>
      <c r="F49" s="28" t="s">
        <v>108</v>
      </c>
      <c r="G49" s="153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41</v>
      </c>
      <c r="B50" s="28" t="s">
        <v>109</v>
      </c>
      <c r="C50" s="99" t="s">
        <v>110</v>
      </c>
      <c r="D50" s="28" t="s">
        <v>111</v>
      </c>
      <c r="E50" s="28" t="s">
        <v>97</v>
      </c>
      <c r="F50" s="28" t="s">
        <v>112</v>
      </c>
      <c r="G50" s="153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41</v>
      </c>
      <c r="B51" s="28" t="s">
        <v>113</v>
      </c>
      <c r="C51" s="99" t="s">
        <v>114</v>
      </c>
      <c r="D51" s="28" t="s">
        <v>43</v>
      </c>
      <c r="E51" s="28" t="s">
        <v>29</v>
      </c>
      <c r="F51" s="28" t="s">
        <v>115</v>
      </c>
      <c r="G51" s="153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41</v>
      </c>
      <c r="B52" s="28" t="s">
        <v>116</v>
      </c>
      <c r="C52" s="99" t="s">
        <v>117</v>
      </c>
      <c r="D52" s="28" t="s">
        <v>111</v>
      </c>
      <c r="E52" s="28" t="s">
        <v>118</v>
      </c>
      <c r="F52" s="28" t="s">
        <v>119</v>
      </c>
      <c r="G52" s="153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120</v>
      </c>
      <c r="B53" s="28" t="s">
        <v>121</v>
      </c>
      <c r="C53" s="99" t="s">
        <v>122</v>
      </c>
      <c r="D53" s="28" t="s">
        <v>123</v>
      </c>
      <c r="E53" s="28" t="s">
        <v>29</v>
      </c>
      <c r="F53" s="28" t="s">
        <v>124</v>
      </c>
      <c r="G53" s="153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41</v>
      </c>
      <c r="B54" s="28" t="s">
        <v>125</v>
      </c>
      <c r="C54" s="99" t="s">
        <v>126</v>
      </c>
      <c r="D54" s="28" t="s">
        <v>111</v>
      </c>
      <c r="E54" s="28" t="s">
        <v>100</v>
      </c>
      <c r="F54" s="28" t="s">
        <v>127</v>
      </c>
      <c r="G54" s="153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128</v>
      </c>
      <c r="C55" s="99" t="s">
        <v>129</v>
      </c>
      <c r="D55" s="28" t="s">
        <v>28</v>
      </c>
      <c r="E55" s="28" t="s">
        <v>130</v>
      </c>
      <c r="F55" s="28" t="s">
        <v>131</v>
      </c>
      <c r="G55" s="153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132</v>
      </c>
      <c r="B56" s="28" t="s">
        <v>133</v>
      </c>
      <c r="C56" s="99" t="s">
        <v>134</v>
      </c>
      <c r="D56" s="28" t="s">
        <v>123</v>
      </c>
      <c r="E56" s="28" t="s">
        <v>118</v>
      </c>
      <c r="F56" s="28" t="s">
        <v>135</v>
      </c>
      <c r="G56" s="153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136</v>
      </c>
      <c r="C57" s="99" t="s">
        <v>137</v>
      </c>
      <c r="D57" s="28" t="s">
        <v>28</v>
      </c>
      <c r="E57" s="28" t="s">
        <v>51</v>
      </c>
      <c r="F57" s="28" t="s">
        <v>30</v>
      </c>
      <c r="G57" s="153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138</v>
      </c>
      <c r="B58" s="28" t="s">
        <v>139</v>
      </c>
      <c r="C58" s="99" t="s">
        <v>61</v>
      </c>
      <c r="D58" s="28" t="s">
        <v>140</v>
      </c>
      <c r="E58" s="28" t="s">
        <v>44</v>
      </c>
      <c r="F58" s="28" t="s">
        <v>141</v>
      </c>
      <c r="G58" s="153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138</v>
      </c>
      <c r="B59" s="28" t="s">
        <v>142</v>
      </c>
      <c r="C59" s="99" t="s">
        <v>129</v>
      </c>
      <c r="D59" s="28" t="s">
        <v>143</v>
      </c>
      <c r="E59" s="28" t="s">
        <v>118</v>
      </c>
      <c r="F59" s="28" t="s">
        <v>144</v>
      </c>
      <c r="G59" s="153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138</v>
      </c>
      <c r="B60" s="28" t="s">
        <v>142</v>
      </c>
      <c r="C60" s="99" t="s">
        <v>129</v>
      </c>
      <c r="D60" s="28" t="s">
        <v>140</v>
      </c>
      <c r="E60" s="28" t="s">
        <v>118</v>
      </c>
      <c r="F60" s="28" t="s">
        <v>145</v>
      </c>
      <c r="G60" s="153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146</v>
      </c>
      <c r="C61" s="99" t="s">
        <v>147</v>
      </c>
      <c r="D61" s="28" t="s">
        <v>28</v>
      </c>
      <c r="E61" s="28" t="s">
        <v>44</v>
      </c>
      <c r="F61" s="28" t="s">
        <v>131</v>
      </c>
      <c r="G61" s="153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138</v>
      </c>
      <c r="B62" s="28" t="s">
        <v>148</v>
      </c>
      <c r="C62" s="99" t="s">
        <v>149</v>
      </c>
      <c r="D62" s="28" t="s">
        <v>143</v>
      </c>
      <c r="E62" s="28" t="s">
        <v>29</v>
      </c>
      <c r="F62" s="28" t="s">
        <v>144</v>
      </c>
      <c r="G62" s="153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138</v>
      </c>
      <c r="B63" s="28" t="s">
        <v>148</v>
      </c>
      <c r="C63" s="99" t="s">
        <v>149</v>
      </c>
      <c r="D63" s="28" t="s">
        <v>140</v>
      </c>
      <c r="E63" s="28" t="s">
        <v>29</v>
      </c>
      <c r="F63" s="28" t="s">
        <v>145</v>
      </c>
      <c r="G63" s="153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138</v>
      </c>
      <c r="B64" s="28" t="s">
        <v>150</v>
      </c>
      <c r="C64" s="99" t="s">
        <v>151</v>
      </c>
      <c r="D64" s="28" t="s">
        <v>143</v>
      </c>
      <c r="E64" s="28" t="s">
        <v>29</v>
      </c>
      <c r="F64" s="28" t="s">
        <v>152</v>
      </c>
      <c r="G64" s="153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138</v>
      </c>
      <c r="B65" s="28" t="s">
        <v>150</v>
      </c>
      <c r="C65" s="99" t="s">
        <v>151</v>
      </c>
      <c r="D65" s="28" t="s">
        <v>140</v>
      </c>
      <c r="E65" s="28" t="s">
        <v>29</v>
      </c>
      <c r="F65" s="28" t="s">
        <v>153</v>
      </c>
      <c r="G65" s="153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138</v>
      </c>
      <c r="B66" s="28" t="s">
        <v>154</v>
      </c>
      <c r="C66" s="99" t="s">
        <v>155</v>
      </c>
      <c r="D66" s="28" t="s">
        <v>143</v>
      </c>
      <c r="E66" s="28" t="s">
        <v>29</v>
      </c>
      <c r="F66" s="28" t="s">
        <v>144</v>
      </c>
      <c r="G66" s="153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138</v>
      </c>
      <c r="B67" s="28" t="s">
        <v>154</v>
      </c>
      <c r="C67" s="99" t="s">
        <v>155</v>
      </c>
      <c r="D67" s="28" t="s">
        <v>140</v>
      </c>
      <c r="E67" s="28" t="s">
        <v>29</v>
      </c>
      <c r="F67" s="28" t="s">
        <v>145</v>
      </c>
      <c r="G67" s="153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138</v>
      </c>
      <c r="B68" s="28" t="s">
        <v>156</v>
      </c>
      <c r="C68" s="99" t="s">
        <v>157</v>
      </c>
      <c r="D68" s="28" t="s">
        <v>143</v>
      </c>
      <c r="E68" s="28" t="s">
        <v>29</v>
      </c>
      <c r="F68" s="28" t="s">
        <v>144</v>
      </c>
      <c r="G68" s="153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138</v>
      </c>
      <c r="B69" s="28" t="s">
        <v>156</v>
      </c>
      <c r="C69" s="99" t="s">
        <v>157</v>
      </c>
      <c r="D69" s="28" t="s">
        <v>140</v>
      </c>
      <c r="E69" s="28" t="s">
        <v>29</v>
      </c>
      <c r="F69" s="28" t="s">
        <v>145</v>
      </c>
      <c r="G69" s="153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138</v>
      </c>
      <c r="B70" s="28" t="s">
        <v>158</v>
      </c>
      <c r="C70" s="99" t="s">
        <v>58</v>
      </c>
      <c r="D70" s="28" t="s">
        <v>140</v>
      </c>
      <c r="E70" s="28" t="s">
        <v>44</v>
      </c>
      <c r="F70" s="28" t="s">
        <v>141</v>
      </c>
      <c r="G70" s="153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138</v>
      </c>
      <c r="B71" s="28" t="s">
        <v>159</v>
      </c>
      <c r="C71" s="99" t="s">
        <v>160</v>
      </c>
      <c r="D71" s="28" t="s">
        <v>143</v>
      </c>
      <c r="E71" s="28" t="s">
        <v>29</v>
      </c>
      <c r="F71" s="28" t="s">
        <v>152</v>
      </c>
      <c r="G71" s="153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138</v>
      </c>
      <c r="B72" s="28" t="s">
        <v>159</v>
      </c>
      <c r="C72" s="99" t="s">
        <v>160</v>
      </c>
      <c r="D72" s="28" t="s">
        <v>140</v>
      </c>
      <c r="E72" s="28" t="s">
        <v>29</v>
      </c>
      <c r="F72" s="28" t="s">
        <v>153</v>
      </c>
      <c r="G72" s="153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138</v>
      </c>
      <c r="B73" s="28" t="s">
        <v>161</v>
      </c>
      <c r="C73" s="99" t="s">
        <v>49</v>
      </c>
      <c r="D73" s="28" t="s">
        <v>140</v>
      </c>
      <c r="E73" s="28" t="s">
        <v>44</v>
      </c>
      <c r="F73" s="28" t="s">
        <v>162</v>
      </c>
      <c r="G73" s="153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120</v>
      </c>
      <c r="B74" s="28" t="s">
        <v>163</v>
      </c>
      <c r="C74" s="99" t="s">
        <v>164</v>
      </c>
      <c r="D74" s="28" t="s">
        <v>123</v>
      </c>
      <c r="E74" s="28" t="s">
        <v>29</v>
      </c>
      <c r="F74" s="28" t="s">
        <v>165</v>
      </c>
      <c r="G74" s="153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138</v>
      </c>
      <c r="B75" s="28" t="s">
        <v>166</v>
      </c>
      <c r="C75" s="99" t="s">
        <v>64</v>
      </c>
      <c r="D75" s="28" t="s">
        <v>140</v>
      </c>
      <c r="E75" s="28" t="s">
        <v>44</v>
      </c>
      <c r="F75" s="28" t="s">
        <v>162</v>
      </c>
      <c r="G75" s="153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138</v>
      </c>
      <c r="B76" s="28" t="s">
        <v>167</v>
      </c>
      <c r="C76" s="99" t="s">
        <v>168</v>
      </c>
      <c r="D76" s="28" t="s">
        <v>143</v>
      </c>
      <c r="E76" s="28" t="s">
        <v>29</v>
      </c>
      <c r="F76" s="28" t="s">
        <v>152</v>
      </c>
      <c r="G76" s="153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138</v>
      </c>
      <c r="B77" s="28" t="s">
        <v>167</v>
      </c>
      <c r="C77" s="99" t="s">
        <v>168</v>
      </c>
      <c r="D77" s="28" t="s">
        <v>140</v>
      </c>
      <c r="E77" s="28" t="s">
        <v>29</v>
      </c>
      <c r="F77" s="28" t="s">
        <v>153</v>
      </c>
      <c r="G77" s="153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41</v>
      </c>
      <c r="B78" s="28" t="s">
        <v>169</v>
      </c>
      <c r="C78" s="99" t="s">
        <v>170</v>
      </c>
      <c r="D78" s="28" t="s">
        <v>43</v>
      </c>
      <c r="E78" s="28" t="s">
        <v>29</v>
      </c>
      <c r="F78" s="28" t="s">
        <v>115</v>
      </c>
      <c r="G78" s="153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41</v>
      </c>
      <c r="B79" s="28" t="s">
        <v>171</v>
      </c>
      <c r="C79" s="99" t="s">
        <v>172</v>
      </c>
      <c r="D79" s="28" t="s">
        <v>43</v>
      </c>
      <c r="E79" s="28" t="s">
        <v>29</v>
      </c>
      <c r="F79" s="28" t="s">
        <v>115</v>
      </c>
      <c r="G79" s="153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41</v>
      </c>
      <c r="B80" s="28" t="s">
        <v>173</v>
      </c>
      <c r="C80" s="99" t="s">
        <v>174</v>
      </c>
      <c r="D80" s="28" t="s">
        <v>43</v>
      </c>
      <c r="E80" s="28" t="s">
        <v>29</v>
      </c>
      <c r="F80" s="28" t="s">
        <v>115</v>
      </c>
      <c r="G80" s="153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175</v>
      </c>
      <c r="C81" s="99" t="s">
        <v>176</v>
      </c>
      <c r="D81" s="28" t="s">
        <v>28</v>
      </c>
      <c r="E81" s="28" t="s">
        <v>29</v>
      </c>
      <c r="F81" s="28" t="s">
        <v>177</v>
      </c>
      <c r="G81" s="153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138</v>
      </c>
      <c r="B82" s="28" t="s">
        <v>178</v>
      </c>
      <c r="C82" s="99" t="s">
        <v>179</v>
      </c>
      <c r="D82" s="28" t="s">
        <v>143</v>
      </c>
      <c r="E82" s="28" t="s">
        <v>29</v>
      </c>
      <c r="F82" s="28" t="s">
        <v>152</v>
      </c>
      <c r="G82" s="153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138</v>
      </c>
      <c r="B83" s="28" t="s">
        <v>178</v>
      </c>
      <c r="C83" s="99" t="s">
        <v>179</v>
      </c>
      <c r="D83" s="28" t="s">
        <v>140</v>
      </c>
      <c r="E83" s="28" t="s">
        <v>29</v>
      </c>
      <c r="F83" s="28" t="s">
        <v>153</v>
      </c>
      <c r="G83" s="153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41</v>
      </c>
      <c r="B84" s="29" t="s">
        <v>180</v>
      </c>
      <c r="C84" s="100" t="s">
        <v>181</v>
      </c>
      <c r="D84" s="29" t="s">
        <v>43</v>
      </c>
      <c r="E84" s="29" t="s">
        <v>29</v>
      </c>
      <c r="F84" s="29" t="s">
        <v>115</v>
      </c>
      <c r="G84" s="154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47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</row>
    <row r="86" spans="1:18" ht="22.05" customHeight="1" thickTop="1" thickBot="1" x14ac:dyDescent="0.35">
      <c r="A86" s="155" t="s">
        <v>6</v>
      </c>
      <c r="B86" s="156"/>
      <c r="C86" s="156"/>
      <c r="D86" s="156"/>
      <c r="E86" s="156"/>
      <c r="F86" s="157"/>
      <c r="G86" s="101">
        <v>45993</v>
      </c>
      <c r="H86" s="158" t="s">
        <v>7</v>
      </c>
      <c r="I86" s="156"/>
      <c r="J86" s="156"/>
      <c r="K86" s="156"/>
      <c r="L86" s="156"/>
      <c r="M86" s="156"/>
      <c r="N86" s="156"/>
      <c r="O86" s="156"/>
      <c r="P86" s="156"/>
      <c r="Q86" s="156"/>
      <c r="R86" s="157"/>
    </row>
    <row r="87" spans="1:18" ht="24" customHeight="1" x14ac:dyDescent="0.3">
      <c r="A87" s="33" t="s">
        <v>8</v>
      </c>
      <c r="B87" s="33" t="s">
        <v>9</v>
      </c>
      <c r="C87" s="102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103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102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182</v>
      </c>
      <c r="C88" s="104">
        <v>0.6875</v>
      </c>
      <c r="D88" s="38" t="s">
        <v>28</v>
      </c>
      <c r="E88" s="38" t="s">
        <v>100</v>
      </c>
      <c r="F88" s="38" t="s">
        <v>30</v>
      </c>
      <c r="G88" s="152"/>
      <c r="H88" s="39" t="s">
        <v>183</v>
      </c>
      <c r="I88" s="105">
        <v>0.99399999999999999</v>
      </c>
      <c r="J88" s="40">
        <v>167</v>
      </c>
      <c r="K88" s="41" t="s">
        <v>38</v>
      </c>
      <c r="L88" s="40">
        <v>18</v>
      </c>
      <c r="M88" s="40">
        <v>1</v>
      </c>
      <c r="N88" s="40">
        <v>1</v>
      </c>
      <c r="O88" s="42" t="s">
        <v>184</v>
      </c>
      <c r="P88" s="106">
        <v>0.6875</v>
      </c>
      <c r="Q88" s="40">
        <v>168</v>
      </c>
      <c r="R88" s="43" t="s">
        <v>185</v>
      </c>
    </row>
    <row r="89" spans="1:18" ht="15" customHeight="1" x14ac:dyDescent="0.3">
      <c r="A89" s="13" t="s">
        <v>26</v>
      </c>
      <c r="B89" s="13" t="s">
        <v>27</v>
      </c>
      <c r="C89" s="95">
        <v>0.32291666666666669</v>
      </c>
      <c r="D89" s="13" t="s">
        <v>28</v>
      </c>
      <c r="E89" s="13" t="s">
        <v>51</v>
      </c>
      <c r="F89" s="13" t="s">
        <v>186</v>
      </c>
      <c r="G89" s="153"/>
      <c r="H89" s="14" t="s">
        <v>31</v>
      </c>
      <c r="I89" s="107">
        <v>0.96650000000000003</v>
      </c>
      <c r="J89" s="15">
        <v>173</v>
      </c>
      <c r="K89" s="16" t="s">
        <v>187</v>
      </c>
      <c r="L89" s="15">
        <v>0</v>
      </c>
      <c r="M89" s="15">
        <v>0</v>
      </c>
      <c r="N89" s="15">
        <v>0</v>
      </c>
      <c r="O89" s="17" t="s">
        <v>188</v>
      </c>
      <c r="P89" s="97">
        <v>0.32291666666666669</v>
      </c>
      <c r="Q89" s="15">
        <v>179</v>
      </c>
      <c r="R89" s="18" t="s">
        <v>189</v>
      </c>
    </row>
    <row r="90" spans="1:18" ht="15" customHeight="1" x14ac:dyDescent="0.3">
      <c r="A90" s="19" t="s">
        <v>41</v>
      </c>
      <c r="B90" s="19" t="s">
        <v>42</v>
      </c>
      <c r="C90" s="98">
        <v>0.32291666666666669</v>
      </c>
      <c r="D90" s="19" t="s">
        <v>111</v>
      </c>
      <c r="E90" s="19" t="s">
        <v>44</v>
      </c>
      <c r="F90" s="19" t="s">
        <v>190</v>
      </c>
      <c r="G90" s="153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62" t="s">
        <v>46</v>
      </c>
      <c r="B91" s="163"/>
      <c r="C91" s="163"/>
      <c r="D91" s="163"/>
      <c r="E91" s="163"/>
      <c r="F91" s="164"/>
      <c r="G91" s="153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47</v>
      </c>
      <c r="B92" s="28" t="s">
        <v>48</v>
      </c>
      <c r="C92" s="99" t="s">
        <v>49</v>
      </c>
      <c r="D92" s="28" t="s">
        <v>50</v>
      </c>
      <c r="E92" s="28" t="s">
        <v>51</v>
      </c>
      <c r="F92" s="28" t="s">
        <v>191</v>
      </c>
      <c r="G92" s="153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47</v>
      </c>
      <c r="B93" s="28" t="s">
        <v>48</v>
      </c>
      <c r="C93" s="99" t="s">
        <v>49</v>
      </c>
      <c r="D93" s="28" t="s">
        <v>53</v>
      </c>
      <c r="E93" s="28" t="s">
        <v>51</v>
      </c>
      <c r="F93" s="28" t="s">
        <v>83</v>
      </c>
      <c r="G93" s="153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47</v>
      </c>
      <c r="B94" s="28" t="s">
        <v>48</v>
      </c>
      <c r="C94" s="99" t="s">
        <v>49</v>
      </c>
      <c r="D94" s="28" t="s">
        <v>55</v>
      </c>
      <c r="E94" s="28" t="s">
        <v>51</v>
      </c>
      <c r="F94" s="28" t="s">
        <v>56</v>
      </c>
      <c r="G94" s="153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47</v>
      </c>
      <c r="B95" s="28" t="s">
        <v>57</v>
      </c>
      <c r="C95" s="99" t="s">
        <v>58</v>
      </c>
      <c r="D95" s="28" t="s">
        <v>50</v>
      </c>
      <c r="E95" s="28" t="s">
        <v>100</v>
      </c>
      <c r="F95" s="28" t="s">
        <v>52</v>
      </c>
      <c r="G95" s="153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47</v>
      </c>
      <c r="B96" s="28" t="s">
        <v>57</v>
      </c>
      <c r="C96" s="99" t="s">
        <v>58</v>
      </c>
      <c r="D96" s="28" t="s">
        <v>53</v>
      </c>
      <c r="E96" s="28" t="s">
        <v>100</v>
      </c>
      <c r="F96" s="28" t="s">
        <v>54</v>
      </c>
      <c r="G96" s="153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47</v>
      </c>
      <c r="B97" s="28" t="s">
        <v>57</v>
      </c>
      <c r="C97" s="99" t="s">
        <v>58</v>
      </c>
      <c r="D97" s="28" t="s">
        <v>55</v>
      </c>
      <c r="E97" s="28" t="s">
        <v>100</v>
      </c>
      <c r="F97" s="28" t="s">
        <v>56</v>
      </c>
      <c r="G97" s="153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47</v>
      </c>
      <c r="B98" s="28" t="s">
        <v>60</v>
      </c>
      <c r="C98" s="99" t="s">
        <v>61</v>
      </c>
      <c r="D98" s="28" t="s">
        <v>50</v>
      </c>
      <c r="E98" s="28" t="s">
        <v>44</v>
      </c>
      <c r="F98" s="28" t="s">
        <v>191</v>
      </c>
      <c r="G98" s="153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47</v>
      </c>
      <c r="B99" s="28" t="s">
        <v>60</v>
      </c>
      <c r="C99" s="99" t="s">
        <v>61</v>
      </c>
      <c r="D99" s="28" t="s">
        <v>53</v>
      </c>
      <c r="E99" s="28" t="s">
        <v>44</v>
      </c>
      <c r="F99" s="28" t="s">
        <v>83</v>
      </c>
      <c r="G99" s="153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47</v>
      </c>
      <c r="B100" s="28" t="s">
        <v>60</v>
      </c>
      <c r="C100" s="99" t="s">
        <v>61</v>
      </c>
      <c r="D100" s="28" t="s">
        <v>55</v>
      </c>
      <c r="E100" s="28" t="s">
        <v>44</v>
      </c>
      <c r="F100" s="28" t="s">
        <v>56</v>
      </c>
      <c r="G100" s="153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47</v>
      </c>
      <c r="B101" s="28" t="s">
        <v>63</v>
      </c>
      <c r="C101" s="99" t="s">
        <v>64</v>
      </c>
      <c r="D101" s="28" t="s">
        <v>50</v>
      </c>
      <c r="E101" s="28" t="s">
        <v>118</v>
      </c>
      <c r="F101" s="28" t="s">
        <v>52</v>
      </c>
      <c r="G101" s="153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47</v>
      </c>
      <c r="B102" s="28" t="s">
        <v>63</v>
      </c>
      <c r="C102" s="99" t="s">
        <v>64</v>
      </c>
      <c r="D102" s="28" t="s">
        <v>53</v>
      </c>
      <c r="E102" s="28" t="s">
        <v>118</v>
      </c>
      <c r="F102" s="28" t="s">
        <v>54</v>
      </c>
      <c r="G102" s="153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47</v>
      </c>
      <c r="B103" s="28" t="s">
        <v>63</v>
      </c>
      <c r="C103" s="99" t="s">
        <v>64</v>
      </c>
      <c r="D103" s="28" t="s">
        <v>55</v>
      </c>
      <c r="E103" s="28" t="s">
        <v>118</v>
      </c>
      <c r="F103" s="28" t="s">
        <v>56</v>
      </c>
      <c r="G103" s="153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67</v>
      </c>
      <c r="B104" s="28" t="s">
        <v>73</v>
      </c>
      <c r="C104" s="99" t="s">
        <v>192</v>
      </c>
      <c r="D104" s="28" t="s">
        <v>70</v>
      </c>
      <c r="E104" s="28" t="s">
        <v>62</v>
      </c>
      <c r="F104" s="28" t="s">
        <v>193</v>
      </c>
      <c r="G104" s="153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67</v>
      </c>
      <c r="B105" s="28" t="s">
        <v>73</v>
      </c>
      <c r="C105" s="99" t="s">
        <v>192</v>
      </c>
      <c r="D105" s="28" t="s">
        <v>55</v>
      </c>
      <c r="E105" s="28" t="s">
        <v>62</v>
      </c>
      <c r="F105" s="28" t="s">
        <v>194</v>
      </c>
      <c r="G105" s="153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77</v>
      </c>
      <c r="B106" s="28" t="s">
        <v>78</v>
      </c>
      <c r="C106" s="99" t="s">
        <v>79</v>
      </c>
      <c r="D106" s="28" t="s">
        <v>80</v>
      </c>
      <c r="E106" s="28" t="s">
        <v>103</v>
      </c>
      <c r="F106" s="28" t="s">
        <v>88</v>
      </c>
      <c r="G106" s="153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77</v>
      </c>
      <c r="B107" s="28" t="s">
        <v>78</v>
      </c>
      <c r="C107" s="99" t="s">
        <v>79</v>
      </c>
      <c r="D107" s="28" t="s">
        <v>82</v>
      </c>
      <c r="E107" s="28" t="s">
        <v>103</v>
      </c>
      <c r="F107" s="28" t="s">
        <v>89</v>
      </c>
      <c r="G107" s="153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77</v>
      </c>
      <c r="B108" s="28" t="s">
        <v>78</v>
      </c>
      <c r="C108" s="99" t="s">
        <v>79</v>
      </c>
      <c r="D108" s="28" t="s">
        <v>84</v>
      </c>
      <c r="E108" s="28" t="s">
        <v>103</v>
      </c>
      <c r="F108" s="28" t="s">
        <v>90</v>
      </c>
      <c r="G108" s="153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77</v>
      </c>
      <c r="B109" s="28" t="s">
        <v>86</v>
      </c>
      <c r="C109" s="99" t="s">
        <v>87</v>
      </c>
      <c r="D109" s="28" t="s">
        <v>80</v>
      </c>
      <c r="E109" s="28" t="s">
        <v>44</v>
      </c>
      <c r="F109" s="28" t="s">
        <v>88</v>
      </c>
      <c r="G109" s="153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77</v>
      </c>
      <c r="B110" s="28" t="s">
        <v>86</v>
      </c>
      <c r="C110" s="99" t="s">
        <v>87</v>
      </c>
      <c r="D110" s="28" t="s">
        <v>82</v>
      </c>
      <c r="E110" s="28" t="s">
        <v>44</v>
      </c>
      <c r="F110" s="28" t="s">
        <v>89</v>
      </c>
      <c r="G110" s="153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77</v>
      </c>
      <c r="B111" s="28" t="s">
        <v>86</v>
      </c>
      <c r="C111" s="99" t="s">
        <v>87</v>
      </c>
      <c r="D111" s="28" t="s">
        <v>84</v>
      </c>
      <c r="E111" s="28" t="s">
        <v>44</v>
      </c>
      <c r="F111" s="28" t="s">
        <v>90</v>
      </c>
      <c r="G111" s="153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77</v>
      </c>
      <c r="B112" s="28" t="s">
        <v>91</v>
      </c>
      <c r="C112" s="99" t="s">
        <v>58</v>
      </c>
      <c r="D112" s="28" t="s">
        <v>80</v>
      </c>
      <c r="E112" s="28" t="s">
        <v>130</v>
      </c>
      <c r="F112" s="28" t="s">
        <v>81</v>
      </c>
      <c r="G112" s="153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77</v>
      </c>
      <c r="B113" s="28" t="s">
        <v>91</v>
      </c>
      <c r="C113" s="99" t="s">
        <v>58</v>
      </c>
      <c r="D113" s="28" t="s">
        <v>82</v>
      </c>
      <c r="E113" s="28" t="s">
        <v>130</v>
      </c>
      <c r="F113" s="28" t="s">
        <v>83</v>
      </c>
      <c r="G113" s="153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77</v>
      </c>
      <c r="B114" s="28" t="s">
        <v>91</v>
      </c>
      <c r="C114" s="99" t="s">
        <v>58</v>
      </c>
      <c r="D114" s="28" t="s">
        <v>84</v>
      </c>
      <c r="E114" s="28" t="s">
        <v>130</v>
      </c>
      <c r="F114" s="28" t="s">
        <v>85</v>
      </c>
      <c r="G114" s="153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77</v>
      </c>
      <c r="B115" s="28" t="s">
        <v>93</v>
      </c>
      <c r="C115" s="99" t="s">
        <v>94</v>
      </c>
      <c r="D115" s="28" t="s">
        <v>80</v>
      </c>
      <c r="E115" s="28" t="s">
        <v>51</v>
      </c>
      <c r="F115" s="28" t="s">
        <v>88</v>
      </c>
      <c r="G115" s="153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77</v>
      </c>
      <c r="B116" s="28" t="s">
        <v>93</v>
      </c>
      <c r="C116" s="99" t="s">
        <v>94</v>
      </c>
      <c r="D116" s="28" t="s">
        <v>82</v>
      </c>
      <c r="E116" s="28" t="s">
        <v>51</v>
      </c>
      <c r="F116" s="28" t="s">
        <v>89</v>
      </c>
      <c r="G116" s="153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77</v>
      </c>
      <c r="B117" s="28" t="s">
        <v>93</v>
      </c>
      <c r="C117" s="99" t="s">
        <v>94</v>
      </c>
      <c r="D117" s="28" t="s">
        <v>84</v>
      </c>
      <c r="E117" s="28" t="s">
        <v>51</v>
      </c>
      <c r="F117" s="28" t="s">
        <v>90</v>
      </c>
      <c r="G117" s="153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77</v>
      </c>
      <c r="B118" s="28" t="s">
        <v>98</v>
      </c>
      <c r="C118" s="99" t="s">
        <v>99</v>
      </c>
      <c r="D118" s="28" t="s">
        <v>80</v>
      </c>
      <c r="E118" s="28" t="s">
        <v>118</v>
      </c>
      <c r="F118" s="28" t="s">
        <v>88</v>
      </c>
      <c r="G118" s="153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77</v>
      </c>
      <c r="B119" s="28" t="s">
        <v>98</v>
      </c>
      <c r="C119" s="99" t="s">
        <v>99</v>
      </c>
      <c r="D119" s="28" t="s">
        <v>82</v>
      </c>
      <c r="E119" s="28" t="s">
        <v>118</v>
      </c>
      <c r="F119" s="28" t="s">
        <v>89</v>
      </c>
      <c r="G119" s="153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77</v>
      </c>
      <c r="B120" s="28" t="s">
        <v>98</v>
      </c>
      <c r="C120" s="99" t="s">
        <v>99</v>
      </c>
      <c r="D120" s="28" t="s">
        <v>84</v>
      </c>
      <c r="E120" s="28" t="s">
        <v>118</v>
      </c>
      <c r="F120" s="28" t="s">
        <v>90</v>
      </c>
      <c r="G120" s="153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77</v>
      </c>
      <c r="B121" s="28" t="s">
        <v>95</v>
      </c>
      <c r="C121" s="99" t="s">
        <v>96</v>
      </c>
      <c r="D121" s="28" t="s">
        <v>80</v>
      </c>
      <c r="E121" s="28" t="s">
        <v>44</v>
      </c>
      <c r="F121" s="28" t="s">
        <v>88</v>
      </c>
      <c r="G121" s="153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77</v>
      </c>
      <c r="B122" s="28" t="s">
        <v>95</v>
      </c>
      <c r="C122" s="99" t="s">
        <v>96</v>
      </c>
      <c r="D122" s="28" t="s">
        <v>82</v>
      </c>
      <c r="E122" s="28" t="s">
        <v>44</v>
      </c>
      <c r="F122" s="28" t="s">
        <v>89</v>
      </c>
      <c r="G122" s="153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77</v>
      </c>
      <c r="B123" s="28" t="s">
        <v>95</v>
      </c>
      <c r="C123" s="99" t="s">
        <v>96</v>
      </c>
      <c r="D123" s="28" t="s">
        <v>84</v>
      </c>
      <c r="E123" s="28" t="s">
        <v>44</v>
      </c>
      <c r="F123" s="28" t="s">
        <v>90</v>
      </c>
      <c r="G123" s="153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77</v>
      </c>
      <c r="B124" s="28" t="s">
        <v>101</v>
      </c>
      <c r="C124" s="99" t="s">
        <v>102</v>
      </c>
      <c r="D124" s="28" t="s">
        <v>80</v>
      </c>
      <c r="E124" s="28" t="s">
        <v>62</v>
      </c>
      <c r="F124" s="28" t="s">
        <v>88</v>
      </c>
      <c r="G124" s="153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77</v>
      </c>
      <c r="B125" s="28" t="s">
        <v>101</v>
      </c>
      <c r="C125" s="99" t="s">
        <v>102</v>
      </c>
      <c r="D125" s="28" t="s">
        <v>82</v>
      </c>
      <c r="E125" s="28" t="s">
        <v>62</v>
      </c>
      <c r="F125" s="28" t="s">
        <v>89</v>
      </c>
      <c r="G125" s="153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77</v>
      </c>
      <c r="B126" s="28" t="s">
        <v>101</v>
      </c>
      <c r="C126" s="99" t="s">
        <v>102</v>
      </c>
      <c r="D126" s="28" t="s">
        <v>84</v>
      </c>
      <c r="E126" s="28" t="s">
        <v>62</v>
      </c>
      <c r="F126" s="28" t="s">
        <v>90</v>
      </c>
      <c r="G126" s="153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77</v>
      </c>
      <c r="B127" s="28" t="s">
        <v>104</v>
      </c>
      <c r="C127" s="99" t="s">
        <v>105</v>
      </c>
      <c r="D127" s="28" t="s">
        <v>80</v>
      </c>
      <c r="E127" s="28" t="s">
        <v>62</v>
      </c>
      <c r="F127" s="28" t="s">
        <v>81</v>
      </c>
      <c r="G127" s="153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77</v>
      </c>
      <c r="B128" s="28" t="s">
        <v>104</v>
      </c>
      <c r="C128" s="99" t="s">
        <v>105</v>
      </c>
      <c r="D128" s="28" t="s">
        <v>82</v>
      </c>
      <c r="E128" s="28" t="s">
        <v>62</v>
      </c>
      <c r="F128" s="28" t="s">
        <v>83</v>
      </c>
      <c r="G128" s="153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77</v>
      </c>
      <c r="B129" s="28" t="s">
        <v>104</v>
      </c>
      <c r="C129" s="99" t="s">
        <v>105</v>
      </c>
      <c r="D129" s="28" t="s">
        <v>84</v>
      </c>
      <c r="E129" s="28" t="s">
        <v>62</v>
      </c>
      <c r="F129" s="28" t="s">
        <v>85</v>
      </c>
      <c r="G129" s="153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41</v>
      </c>
      <c r="B130" s="28" t="s">
        <v>109</v>
      </c>
      <c r="C130" s="99" t="s">
        <v>195</v>
      </c>
      <c r="D130" s="28" t="s">
        <v>111</v>
      </c>
      <c r="E130" s="28" t="s">
        <v>29</v>
      </c>
      <c r="F130" s="28" t="s">
        <v>112</v>
      </c>
      <c r="G130" s="153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41</v>
      </c>
      <c r="B131" s="28" t="s">
        <v>113</v>
      </c>
      <c r="C131" s="99" t="s">
        <v>192</v>
      </c>
      <c r="D131" s="28" t="s">
        <v>43</v>
      </c>
      <c r="E131" s="28" t="s">
        <v>29</v>
      </c>
      <c r="F131" s="28" t="s">
        <v>115</v>
      </c>
      <c r="G131" s="153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41</v>
      </c>
      <c r="B132" s="28" t="s">
        <v>116</v>
      </c>
      <c r="C132" s="99" t="s">
        <v>117</v>
      </c>
      <c r="D132" s="28" t="s">
        <v>43</v>
      </c>
      <c r="E132" s="28" t="s">
        <v>29</v>
      </c>
      <c r="F132" s="28" t="s">
        <v>115</v>
      </c>
      <c r="G132" s="153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41</v>
      </c>
      <c r="B133" s="28" t="s">
        <v>125</v>
      </c>
      <c r="C133" s="99" t="s">
        <v>126</v>
      </c>
      <c r="D133" s="28" t="s">
        <v>43</v>
      </c>
      <c r="E133" s="28" t="s">
        <v>29</v>
      </c>
      <c r="F133" s="28" t="s">
        <v>115</v>
      </c>
      <c r="G133" s="153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26</v>
      </c>
      <c r="B134" s="28" t="s">
        <v>128</v>
      </c>
      <c r="C134" s="99" t="s">
        <v>196</v>
      </c>
      <c r="D134" s="28" t="s">
        <v>28</v>
      </c>
      <c r="E134" s="28" t="s">
        <v>118</v>
      </c>
      <c r="F134" s="28" t="s">
        <v>197</v>
      </c>
      <c r="G134" s="153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132</v>
      </c>
      <c r="B135" s="28" t="s">
        <v>133</v>
      </c>
      <c r="C135" s="99" t="s">
        <v>198</v>
      </c>
      <c r="D135" s="28" t="s">
        <v>123</v>
      </c>
      <c r="E135" s="28" t="s">
        <v>51</v>
      </c>
      <c r="F135" s="28" t="s">
        <v>135</v>
      </c>
      <c r="G135" s="153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132</v>
      </c>
      <c r="B136" s="28" t="s">
        <v>199</v>
      </c>
      <c r="C136" s="99" t="s">
        <v>200</v>
      </c>
      <c r="D136" s="28" t="s">
        <v>123</v>
      </c>
      <c r="E136" s="28" t="s">
        <v>29</v>
      </c>
      <c r="F136" s="28" t="s">
        <v>135</v>
      </c>
      <c r="G136" s="153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26</v>
      </c>
      <c r="B137" s="28" t="s">
        <v>136</v>
      </c>
      <c r="C137" s="99" t="s">
        <v>137</v>
      </c>
      <c r="D137" s="28" t="s">
        <v>28</v>
      </c>
      <c r="E137" s="28" t="s">
        <v>130</v>
      </c>
      <c r="F137" s="28" t="s">
        <v>177</v>
      </c>
      <c r="G137" s="153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138</v>
      </c>
      <c r="B138" s="28" t="s">
        <v>139</v>
      </c>
      <c r="C138" s="99" t="s">
        <v>61</v>
      </c>
      <c r="D138" s="28" t="s">
        <v>140</v>
      </c>
      <c r="E138" s="28" t="s">
        <v>44</v>
      </c>
      <c r="F138" s="28" t="s">
        <v>141</v>
      </c>
      <c r="G138" s="153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138</v>
      </c>
      <c r="B139" s="28" t="s">
        <v>142</v>
      </c>
      <c r="C139" s="99" t="s">
        <v>129</v>
      </c>
      <c r="D139" s="28" t="s">
        <v>143</v>
      </c>
      <c r="E139" s="28" t="s">
        <v>29</v>
      </c>
      <c r="F139" s="28" t="s">
        <v>152</v>
      </c>
      <c r="G139" s="153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138</v>
      </c>
      <c r="B140" s="28" t="s">
        <v>142</v>
      </c>
      <c r="C140" s="99" t="s">
        <v>129</v>
      </c>
      <c r="D140" s="28" t="s">
        <v>140</v>
      </c>
      <c r="E140" s="28" t="s">
        <v>29</v>
      </c>
      <c r="F140" s="28" t="s">
        <v>153</v>
      </c>
      <c r="G140" s="153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26</v>
      </c>
      <c r="B141" s="28" t="s">
        <v>146</v>
      </c>
      <c r="C141" s="99" t="s">
        <v>201</v>
      </c>
      <c r="D141" s="28" t="s">
        <v>28</v>
      </c>
      <c r="E141" s="28" t="s">
        <v>44</v>
      </c>
      <c r="F141" s="28" t="s">
        <v>197</v>
      </c>
      <c r="G141" s="153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26</v>
      </c>
      <c r="B142" s="28" t="s">
        <v>202</v>
      </c>
      <c r="C142" s="99" t="s">
        <v>114</v>
      </c>
      <c r="D142" s="28" t="s">
        <v>28</v>
      </c>
      <c r="E142" s="28" t="s">
        <v>29</v>
      </c>
      <c r="F142" s="28" t="s">
        <v>197</v>
      </c>
      <c r="G142" s="153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138</v>
      </c>
      <c r="B143" s="28" t="s">
        <v>148</v>
      </c>
      <c r="C143" s="99" t="s">
        <v>149</v>
      </c>
      <c r="D143" s="28" t="s">
        <v>143</v>
      </c>
      <c r="E143" s="28" t="s">
        <v>29</v>
      </c>
      <c r="F143" s="28" t="s">
        <v>152</v>
      </c>
      <c r="G143" s="153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138</v>
      </c>
      <c r="B144" s="28" t="s">
        <v>148</v>
      </c>
      <c r="C144" s="99" t="s">
        <v>149</v>
      </c>
      <c r="D144" s="28" t="s">
        <v>140</v>
      </c>
      <c r="E144" s="28" t="s">
        <v>29</v>
      </c>
      <c r="F144" s="28" t="s">
        <v>153</v>
      </c>
      <c r="G144" s="153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138</v>
      </c>
      <c r="B145" s="28" t="s">
        <v>150</v>
      </c>
      <c r="C145" s="99" t="s">
        <v>151</v>
      </c>
      <c r="D145" s="28" t="s">
        <v>143</v>
      </c>
      <c r="E145" s="28" t="s">
        <v>29</v>
      </c>
      <c r="F145" s="28" t="s">
        <v>152</v>
      </c>
      <c r="G145" s="153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138</v>
      </c>
      <c r="B146" s="28" t="s">
        <v>150</v>
      </c>
      <c r="C146" s="99" t="s">
        <v>151</v>
      </c>
      <c r="D146" s="28" t="s">
        <v>140</v>
      </c>
      <c r="E146" s="28" t="s">
        <v>29</v>
      </c>
      <c r="F146" s="28" t="s">
        <v>153</v>
      </c>
      <c r="G146" s="153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26</v>
      </c>
      <c r="B147" s="28" t="s">
        <v>203</v>
      </c>
      <c r="C147" s="99" t="s">
        <v>204</v>
      </c>
      <c r="D147" s="28" t="s">
        <v>28</v>
      </c>
      <c r="E147" s="28" t="s">
        <v>29</v>
      </c>
      <c r="F147" s="28" t="s">
        <v>197</v>
      </c>
      <c r="G147" s="153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138</v>
      </c>
      <c r="B148" s="28" t="s">
        <v>154</v>
      </c>
      <c r="C148" s="99" t="s">
        <v>155</v>
      </c>
      <c r="D148" s="28" t="s">
        <v>143</v>
      </c>
      <c r="E148" s="28" t="s">
        <v>29</v>
      </c>
      <c r="F148" s="28" t="s">
        <v>152</v>
      </c>
      <c r="G148" s="153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138</v>
      </c>
      <c r="B149" s="28" t="s">
        <v>154</v>
      </c>
      <c r="C149" s="99" t="s">
        <v>155</v>
      </c>
      <c r="D149" s="28" t="s">
        <v>140</v>
      </c>
      <c r="E149" s="28" t="s">
        <v>29</v>
      </c>
      <c r="F149" s="28" t="s">
        <v>153</v>
      </c>
      <c r="G149" s="153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138</v>
      </c>
      <c r="B150" s="28" t="s">
        <v>158</v>
      </c>
      <c r="C150" s="99" t="s">
        <v>58</v>
      </c>
      <c r="D150" s="28" t="s">
        <v>140</v>
      </c>
      <c r="E150" s="28" t="s">
        <v>44</v>
      </c>
      <c r="F150" s="28" t="s">
        <v>162</v>
      </c>
      <c r="G150" s="153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138</v>
      </c>
      <c r="B151" s="28" t="s">
        <v>156</v>
      </c>
      <c r="C151" s="99" t="s">
        <v>157</v>
      </c>
      <c r="D151" s="28" t="s">
        <v>143</v>
      </c>
      <c r="E151" s="28" t="s">
        <v>29</v>
      </c>
      <c r="F151" s="28" t="s">
        <v>152</v>
      </c>
      <c r="G151" s="153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138</v>
      </c>
      <c r="B152" s="28" t="s">
        <v>156</v>
      </c>
      <c r="C152" s="99" t="s">
        <v>157</v>
      </c>
      <c r="D152" s="28" t="s">
        <v>140</v>
      </c>
      <c r="E152" s="28" t="s">
        <v>29</v>
      </c>
      <c r="F152" s="28" t="s">
        <v>153</v>
      </c>
      <c r="G152" s="153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138</v>
      </c>
      <c r="B153" s="28" t="s">
        <v>159</v>
      </c>
      <c r="C153" s="99" t="s">
        <v>160</v>
      </c>
      <c r="D153" s="28" t="s">
        <v>143</v>
      </c>
      <c r="E153" s="28" t="s">
        <v>29</v>
      </c>
      <c r="F153" s="28" t="s">
        <v>152</v>
      </c>
      <c r="G153" s="153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138</v>
      </c>
      <c r="B154" s="28" t="s">
        <v>159</v>
      </c>
      <c r="C154" s="99" t="s">
        <v>160</v>
      </c>
      <c r="D154" s="28" t="s">
        <v>140</v>
      </c>
      <c r="E154" s="28" t="s">
        <v>29</v>
      </c>
      <c r="F154" s="28" t="s">
        <v>153</v>
      </c>
      <c r="G154" s="153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120</v>
      </c>
      <c r="B155" s="28" t="s">
        <v>205</v>
      </c>
      <c r="C155" s="99" t="s">
        <v>206</v>
      </c>
      <c r="D155" s="28" t="s">
        <v>123</v>
      </c>
      <c r="E155" s="28" t="s">
        <v>29</v>
      </c>
      <c r="F155" s="28" t="s">
        <v>124</v>
      </c>
      <c r="G155" s="153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138</v>
      </c>
      <c r="B156" s="28" t="s">
        <v>161</v>
      </c>
      <c r="C156" s="99" t="s">
        <v>49</v>
      </c>
      <c r="D156" s="28" t="s">
        <v>140</v>
      </c>
      <c r="E156" s="28" t="s">
        <v>44</v>
      </c>
      <c r="F156" s="28" t="s">
        <v>207</v>
      </c>
      <c r="G156" s="153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120</v>
      </c>
      <c r="B157" s="28" t="s">
        <v>163</v>
      </c>
      <c r="C157" s="99" t="s">
        <v>164</v>
      </c>
      <c r="D157" s="28" t="s">
        <v>123</v>
      </c>
      <c r="E157" s="28" t="s">
        <v>29</v>
      </c>
      <c r="F157" s="28" t="s">
        <v>124</v>
      </c>
      <c r="G157" s="153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138</v>
      </c>
      <c r="B158" s="28" t="s">
        <v>166</v>
      </c>
      <c r="C158" s="99" t="s">
        <v>64</v>
      </c>
      <c r="D158" s="28" t="s">
        <v>140</v>
      </c>
      <c r="E158" s="28" t="s">
        <v>44</v>
      </c>
      <c r="F158" s="28" t="s">
        <v>162</v>
      </c>
      <c r="G158" s="153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138</v>
      </c>
      <c r="B159" s="28" t="s">
        <v>167</v>
      </c>
      <c r="C159" s="99" t="s">
        <v>168</v>
      </c>
      <c r="D159" s="28" t="s">
        <v>143</v>
      </c>
      <c r="E159" s="28" t="s">
        <v>29</v>
      </c>
      <c r="F159" s="28" t="s">
        <v>152</v>
      </c>
      <c r="G159" s="153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138</v>
      </c>
      <c r="B160" s="28" t="s">
        <v>167</v>
      </c>
      <c r="C160" s="99" t="s">
        <v>168</v>
      </c>
      <c r="D160" s="28" t="s">
        <v>140</v>
      </c>
      <c r="E160" s="28" t="s">
        <v>29</v>
      </c>
      <c r="F160" s="28" t="s">
        <v>153</v>
      </c>
      <c r="G160" s="153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41</v>
      </c>
      <c r="B161" s="28" t="s">
        <v>171</v>
      </c>
      <c r="C161" s="99" t="s">
        <v>172</v>
      </c>
      <c r="D161" s="28" t="s">
        <v>43</v>
      </c>
      <c r="E161" s="28" t="s">
        <v>29</v>
      </c>
      <c r="F161" s="28" t="s">
        <v>115</v>
      </c>
      <c r="G161" s="153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41</v>
      </c>
      <c r="B162" s="28" t="s">
        <v>173</v>
      </c>
      <c r="C162" s="99" t="s">
        <v>174</v>
      </c>
      <c r="D162" s="28" t="s">
        <v>43</v>
      </c>
      <c r="E162" s="28" t="s">
        <v>29</v>
      </c>
      <c r="F162" s="28" t="s">
        <v>115</v>
      </c>
      <c r="G162" s="153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26</v>
      </c>
      <c r="B163" s="28" t="s">
        <v>175</v>
      </c>
      <c r="C163" s="99" t="s">
        <v>208</v>
      </c>
      <c r="D163" s="28" t="s">
        <v>28</v>
      </c>
      <c r="E163" s="28" t="s">
        <v>130</v>
      </c>
      <c r="F163" s="28" t="s">
        <v>197</v>
      </c>
      <c r="G163" s="153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138</v>
      </c>
      <c r="B164" s="28" t="s">
        <v>178</v>
      </c>
      <c r="C164" s="99" t="s">
        <v>179</v>
      </c>
      <c r="D164" s="28" t="s">
        <v>143</v>
      </c>
      <c r="E164" s="28" t="s">
        <v>29</v>
      </c>
      <c r="F164" s="28" t="s">
        <v>209</v>
      </c>
      <c r="G164" s="153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138</v>
      </c>
      <c r="B165" s="28" t="s">
        <v>178</v>
      </c>
      <c r="C165" s="99" t="s">
        <v>179</v>
      </c>
      <c r="D165" s="28" t="s">
        <v>140</v>
      </c>
      <c r="E165" s="28" t="s">
        <v>29</v>
      </c>
      <c r="F165" s="28" t="s">
        <v>210</v>
      </c>
      <c r="G165" s="153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41</v>
      </c>
      <c r="B166" s="29" t="s">
        <v>180</v>
      </c>
      <c r="C166" s="100" t="s">
        <v>211</v>
      </c>
      <c r="D166" s="29" t="s">
        <v>43</v>
      </c>
      <c r="E166" s="29" t="s">
        <v>29</v>
      </c>
      <c r="F166" s="29" t="s">
        <v>115</v>
      </c>
      <c r="G166" s="154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47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9"/>
    </row>
    <row r="168" spans="1:18" ht="22.05" customHeight="1" thickTop="1" thickBot="1" x14ac:dyDescent="0.35">
      <c r="A168" s="155" t="s">
        <v>6</v>
      </c>
      <c r="B168" s="156"/>
      <c r="C168" s="156"/>
      <c r="D168" s="156"/>
      <c r="E168" s="156"/>
      <c r="F168" s="157"/>
      <c r="G168" s="101">
        <v>45994</v>
      </c>
      <c r="H168" s="158" t="s">
        <v>7</v>
      </c>
      <c r="I168" s="156"/>
      <c r="J168" s="156"/>
      <c r="K168" s="156"/>
      <c r="L168" s="156"/>
      <c r="M168" s="156"/>
      <c r="N168" s="156"/>
      <c r="O168" s="156"/>
      <c r="P168" s="156"/>
      <c r="Q168" s="156"/>
      <c r="R168" s="157"/>
    </row>
    <row r="169" spans="1:18" ht="24" customHeight="1" x14ac:dyDescent="0.3">
      <c r="A169" s="33" t="s">
        <v>8</v>
      </c>
      <c r="B169" s="33" t="s">
        <v>9</v>
      </c>
      <c r="C169" s="102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103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102" t="s">
        <v>23</v>
      </c>
      <c r="Q169" s="36" t="s">
        <v>24</v>
      </c>
      <c r="R169" s="33" t="s">
        <v>25</v>
      </c>
    </row>
    <row r="170" spans="1:18" ht="15" customHeight="1" x14ac:dyDescent="0.3">
      <c r="A170" s="44" t="s">
        <v>47</v>
      </c>
      <c r="B170" s="44" t="s">
        <v>212</v>
      </c>
      <c r="C170" s="108">
        <v>0.28472222222222221</v>
      </c>
      <c r="D170" s="44" t="s">
        <v>213</v>
      </c>
      <c r="E170" s="44" t="s">
        <v>130</v>
      </c>
      <c r="F170" s="44" t="s">
        <v>214</v>
      </c>
      <c r="G170" s="159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45" t="s">
        <v>47</v>
      </c>
      <c r="B171" s="45" t="s">
        <v>212</v>
      </c>
      <c r="C171" s="109">
        <v>0.28472222222222221</v>
      </c>
      <c r="D171" s="45" t="s">
        <v>215</v>
      </c>
      <c r="E171" s="45" t="s">
        <v>130</v>
      </c>
      <c r="F171" s="45" t="s">
        <v>216</v>
      </c>
      <c r="G171" s="153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45" t="s">
        <v>47</v>
      </c>
      <c r="B172" s="45" t="s">
        <v>212</v>
      </c>
      <c r="C172" s="109">
        <v>0.28472222222222221</v>
      </c>
      <c r="D172" s="45" t="s">
        <v>217</v>
      </c>
      <c r="E172" s="45" t="s">
        <v>130</v>
      </c>
      <c r="F172" s="45" t="s">
        <v>218</v>
      </c>
      <c r="G172" s="153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45" t="s">
        <v>47</v>
      </c>
      <c r="B173" s="45" t="s">
        <v>212</v>
      </c>
      <c r="C173" s="109">
        <v>0.28472222222222221</v>
      </c>
      <c r="D173" s="45" t="s">
        <v>219</v>
      </c>
      <c r="E173" s="45" t="s">
        <v>130</v>
      </c>
      <c r="F173" s="45" t="s">
        <v>220</v>
      </c>
      <c r="G173" s="153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46" t="s">
        <v>26</v>
      </c>
      <c r="B174" s="46" t="s">
        <v>27</v>
      </c>
      <c r="C174" s="110">
        <v>0.2673611111111111</v>
      </c>
      <c r="D174" s="46" t="s">
        <v>28</v>
      </c>
      <c r="E174" s="46" t="s">
        <v>29</v>
      </c>
      <c r="F174" s="46" t="s">
        <v>177</v>
      </c>
      <c r="G174" s="153"/>
      <c r="H174" s="47" t="s">
        <v>31</v>
      </c>
      <c r="I174" s="111">
        <v>0.9345</v>
      </c>
      <c r="J174" s="48">
        <v>157</v>
      </c>
      <c r="K174" s="49" t="s">
        <v>38</v>
      </c>
      <c r="L174" s="48">
        <v>9</v>
      </c>
      <c r="M174" s="48">
        <v>2</v>
      </c>
      <c r="N174" s="48">
        <v>2</v>
      </c>
      <c r="O174" s="50" t="s">
        <v>221</v>
      </c>
      <c r="P174" s="112">
        <v>0.2673611111111111</v>
      </c>
      <c r="Q174" s="48">
        <v>168</v>
      </c>
      <c r="R174" s="51" t="s">
        <v>222</v>
      </c>
    </row>
    <row r="175" spans="1:18" ht="15" customHeight="1" x14ac:dyDescent="0.3">
      <c r="A175" s="52" t="s">
        <v>26</v>
      </c>
      <c r="B175" s="52" t="s">
        <v>35</v>
      </c>
      <c r="C175" s="113">
        <v>0.33333333333333331</v>
      </c>
      <c r="D175" s="52" t="s">
        <v>28</v>
      </c>
      <c r="E175" s="52" t="s">
        <v>44</v>
      </c>
      <c r="F175" s="52" t="s">
        <v>223</v>
      </c>
      <c r="G175" s="153"/>
      <c r="H175" s="39" t="s">
        <v>37</v>
      </c>
      <c r="I175" s="105">
        <v>0.86899999999999999</v>
      </c>
      <c r="J175" s="40">
        <v>146</v>
      </c>
      <c r="K175" s="41" t="s">
        <v>224</v>
      </c>
      <c r="L175" s="40">
        <v>0</v>
      </c>
      <c r="M175" s="40">
        <v>0</v>
      </c>
      <c r="N175" s="40">
        <v>0</v>
      </c>
      <c r="O175" s="42" t="s">
        <v>225</v>
      </c>
      <c r="P175" s="106">
        <v>0.33333333333333331</v>
      </c>
      <c r="Q175" s="40">
        <v>168</v>
      </c>
      <c r="R175" s="43" t="s">
        <v>226</v>
      </c>
    </row>
    <row r="176" spans="1:18" ht="15" customHeight="1" x14ac:dyDescent="0.3">
      <c r="A176" s="19" t="s">
        <v>41</v>
      </c>
      <c r="B176" s="19" t="s">
        <v>42</v>
      </c>
      <c r="C176" s="98">
        <v>0.2673611111111111</v>
      </c>
      <c r="D176" s="19" t="s">
        <v>43</v>
      </c>
      <c r="E176" s="19" t="s">
        <v>44</v>
      </c>
      <c r="F176" s="19" t="s">
        <v>45</v>
      </c>
      <c r="G176" s="153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62" t="s">
        <v>46</v>
      </c>
      <c r="B177" s="163"/>
      <c r="C177" s="163"/>
      <c r="D177" s="163"/>
      <c r="E177" s="163"/>
      <c r="F177" s="164"/>
      <c r="G177" s="153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77</v>
      </c>
      <c r="B178" s="28" t="s">
        <v>78</v>
      </c>
      <c r="C178" s="99" t="s">
        <v>79</v>
      </c>
      <c r="D178" s="28" t="s">
        <v>227</v>
      </c>
      <c r="E178" s="28" t="s">
        <v>44</v>
      </c>
      <c r="F178" s="28" t="s">
        <v>88</v>
      </c>
      <c r="G178" s="153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77</v>
      </c>
      <c r="B179" s="28" t="s">
        <v>86</v>
      </c>
      <c r="C179" s="99" t="s">
        <v>87</v>
      </c>
      <c r="D179" s="28" t="s">
        <v>227</v>
      </c>
      <c r="E179" s="28" t="s">
        <v>62</v>
      </c>
      <c r="F179" s="28" t="s">
        <v>88</v>
      </c>
      <c r="G179" s="153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77</v>
      </c>
      <c r="B180" s="28" t="s">
        <v>91</v>
      </c>
      <c r="C180" s="99" t="s">
        <v>58</v>
      </c>
      <c r="D180" s="28" t="s">
        <v>227</v>
      </c>
      <c r="E180" s="28" t="s">
        <v>100</v>
      </c>
      <c r="F180" s="28" t="s">
        <v>228</v>
      </c>
      <c r="G180" s="153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77</v>
      </c>
      <c r="B181" s="28" t="s">
        <v>93</v>
      </c>
      <c r="C181" s="99" t="s">
        <v>94</v>
      </c>
      <c r="D181" s="28" t="s">
        <v>227</v>
      </c>
      <c r="E181" s="28" t="s">
        <v>62</v>
      </c>
      <c r="F181" s="28" t="s">
        <v>81</v>
      </c>
      <c r="G181" s="153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77</v>
      </c>
      <c r="B182" s="28" t="s">
        <v>98</v>
      </c>
      <c r="C182" s="99" t="s">
        <v>99</v>
      </c>
      <c r="D182" s="28" t="s">
        <v>227</v>
      </c>
      <c r="E182" s="28" t="s">
        <v>51</v>
      </c>
      <c r="F182" s="28" t="s">
        <v>229</v>
      </c>
      <c r="G182" s="153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77</v>
      </c>
      <c r="B183" s="28" t="s">
        <v>95</v>
      </c>
      <c r="C183" s="99" t="s">
        <v>96</v>
      </c>
      <c r="D183" s="28" t="s">
        <v>227</v>
      </c>
      <c r="E183" s="28" t="s">
        <v>44</v>
      </c>
      <c r="F183" s="28" t="s">
        <v>81</v>
      </c>
      <c r="G183" s="153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77</v>
      </c>
      <c r="B184" s="28" t="s">
        <v>101</v>
      </c>
      <c r="C184" s="99" t="s">
        <v>102</v>
      </c>
      <c r="D184" s="28" t="s">
        <v>227</v>
      </c>
      <c r="E184" s="28" t="s">
        <v>103</v>
      </c>
      <c r="F184" s="28" t="s">
        <v>88</v>
      </c>
      <c r="G184" s="153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77</v>
      </c>
      <c r="B185" s="28" t="s">
        <v>104</v>
      </c>
      <c r="C185" s="99" t="s">
        <v>105</v>
      </c>
      <c r="D185" s="28" t="s">
        <v>227</v>
      </c>
      <c r="E185" s="28" t="s">
        <v>62</v>
      </c>
      <c r="F185" s="28" t="s">
        <v>81</v>
      </c>
      <c r="G185" s="153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67</v>
      </c>
      <c r="B186" s="28" t="s">
        <v>68</v>
      </c>
      <c r="C186" s="99" t="s">
        <v>69</v>
      </c>
      <c r="D186" s="28" t="s">
        <v>230</v>
      </c>
      <c r="E186" s="28" t="s">
        <v>62</v>
      </c>
      <c r="F186" s="28" t="s">
        <v>81</v>
      </c>
      <c r="G186" s="153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47</v>
      </c>
      <c r="B187" s="28" t="s">
        <v>48</v>
      </c>
      <c r="C187" s="99" t="s">
        <v>49</v>
      </c>
      <c r="D187" s="28" t="s">
        <v>231</v>
      </c>
      <c r="E187" s="28" t="s">
        <v>59</v>
      </c>
      <c r="F187" s="28" t="s">
        <v>191</v>
      </c>
      <c r="G187" s="153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47</v>
      </c>
      <c r="B188" s="28" t="s">
        <v>57</v>
      </c>
      <c r="C188" s="99" t="s">
        <v>58</v>
      </c>
      <c r="D188" s="28" t="s">
        <v>231</v>
      </c>
      <c r="E188" s="28" t="s">
        <v>36</v>
      </c>
      <c r="F188" s="28" t="s">
        <v>191</v>
      </c>
      <c r="G188" s="153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47</v>
      </c>
      <c r="B189" s="28" t="s">
        <v>60</v>
      </c>
      <c r="C189" s="99" t="s">
        <v>61</v>
      </c>
      <c r="D189" s="28" t="s">
        <v>231</v>
      </c>
      <c r="E189" s="28" t="s">
        <v>44</v>
      </c>
      <c r="F189" s="28" t="s">
        <v>232</v>
      </c>
      <c r="G189" s="153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47</v>
      </c>
      <c r="B190" s="28" t="s">
        <v>63</v>
      </c>
      <c r="C190" s="99" t="s">
        <v>64</v>
      </c>
      <c r="D190" s="28" t="s">
        <v>231</v>
      </c>
      <c r="E190" s="28" t="s">
        <v>100</v>
      </c>
      <c r="F190" s="28" t="s">
        <v>65</v>
      </c>
      <c r="G190" s="153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41</v>
      </c>
      <c r="B191" s="28" t="s">
        <v>109</v>
      </c>
      <c r="C191" s="99" t="s">
        <v>195</v>
      </c>
      <c r="D191" s="28" t="s">
        <v>111</v>
      </c>
      <c r="E191" s="28" t="s">
        <v>29</v>
      </c>
      <c r="F191" s="28" t="s">
        <v>112</v>
      </c>
      <c r="G191" s="153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41</v>
      </c>
      <c r="B192" s="28" t="s">
        <v>116</v>
      </c>
      <c r="C192" s="99" t="s">
        <v>117</v>
      </c>
      <c r="D192" s="28" t="s">
        <v>43</v>
      </c>
      <c r="E192" s="28" t="s">
        <v>29</v>
      </c>
      <c r="F192" s="28" t="s">
        <v>115</v>
      </c>
      <c r="G192" s="153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41</v>
      </c>
      <c r="B193" s="28" t="s">
        <v>125</v>
      </c>
      <c r="C193" s="99" t="s">
        <v>126</v>
      </c>
      <c r="D193" s="28" t="s">
        <v>43</v>
      </c>
      <c r="E193" s="28" t="s">
        <v>29</v>
      </c>
      <c r="F193" s="28" t="s">
        <v>115</v>
      </c>
      <c r="G193" s="153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132</v>
      </c>
      <c r="B194" s="28" t="s">
        <v>133</v>
      </c>
      <c r="C194" s="99" t="s">
        <v>233</v>
      </c>
      <c r="D194" s="28" t="s">
        <v>123</v>
      </c>
      <c r="E194" s="28" t="s">
        <v>44</v>
      </c>
      <c r="F194" s="28" t="s">
        <v>234</v>
      </c>
      <c r="G194" s="153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132</v>
      </c>
      <c r="B195" s="28" t="s">
        <v>199</v>
      </c>
      <c r="C195" s="99" t="s">
        <v>235</v>
      </c>
      <c r="D195" s="28" t="s">
        <v>123</v>
      </c>
      <c r="E195" s="28" t="s">
        <v>29</v>
      </c>
      <c r="F195" s="28" t="s">
        <v>135</v>
      </c>
      <c r="G195" s="153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26</v>
      </c>
      <c r="B196" s="28" t="s">
        <v>136</v>
      </c>
      <c r="C196" s="99" t="s">
        <v>137</v>
      </c>
      <c r="D196" s="28" t="s">
        <v>28</v>
      </c>
      <c r="E196" s="28" t="s">
        <v>29</v>
      </c>
      <c r="F196" s="28" t="s">
        <v>177</v>
      </c>
      <c r="G196" s="153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138</v>
      </c>
      <c r="B197" s="28" t="s">
        <v>139</v>
      </c>
      <c r="C197" s="99" t="s">
        <v>61</v>
      </c>
      <c r="D197" s="28" t="s">
        <v>140</v>
      </c>
      <c r="E197" s="28" t="s">
        <v>44</v>
      </c>
      <c r="F197" s="28" t="s">
        <v>162</v>
      </c>
      <c r="G197" s="153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138</v>
      </c>
      <c r="B198" s="28" t="s">
        <v>142</v>
      </c>
      <c r="C198" s="99" t="s">
        <v>129</v>
      </c>
      <c r="D198" s="28" t="s">
        <v>143</v>
      </c>
      <c r="E198" s="28" t="s">
        <v>29</v>
      </c>
      <c r="F198" s="28" t="s">
        <v>209</v>
      </c>
      <c r="G198" s="153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138</v>
      </c>
      <c r="B199" s="28" t="s">
        <v>142</v>
      </c>
      <c r="C199" s="99" t="s">
        <v>129</v>
      </c>
      <c r="D199" s="28" t="s">
        <v>140</v>
      </c>
      <c r="E199" s="28" t="s">
        <v>29</v>
      </c>
      <c r="F199" s="28" t="s">
        <v>210</v>
      </c>
      <c r="G199" s="153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26</v>
      </c>
      <c r="B200" s="28" t="s">
        <v>146</v>
      </c>
      <c r="C200" s="99" t="s">
        <v>94</v>
      </c>
      <c r="D200" s="28" t="s">
        <v>28</v>
      </c>
      <c r="E200" s="28" t="s">
        <v>29</v>
      </c>
      <c r="F200" s="28" t="s">
        <v>177</v>
      </c>
      <c r="G200" s="153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138</v>
      </c>
      <c r="B201" s="28" t="s">
        <v>148</v>
      </c>
      <c r="C201" s="99" t="s">
        <v>149</v>
      </c>
      <c r="D201" s="28" t="s">
        <v>143</v>
      </c>
      <c r="E201" s="28" t="s">
        <v>29</v>
      </c>
      <c r="F201" s="28" t="s">
        <v>209</v>
      </c>
      <c r="G201" s="153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138</v>
      </c>
      <c r="B202" s="28" t="s">
        <v>148</v>
      </c>
      <c r="C202" s="99" t="s">
        <v>149</v>
      </c>
      <c r="D202" s="28" t="s">
        <v>140</v>
      </c>
      <c r="E202" s="28" t="s">
        <v>29</v>
      </c>
      <c r="F202" s="28" t="s">
        <v>210</v>
      </c>
      <c r="G202" s="153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138</v>
      </c>
      <c r="B203" s="28" t="s">
        <v>150</v>
      </c>
      <c r="C203" s="99" t="s">
        <v>151</v>
      </c>
      <c r="D203" s="28" t="s">
        <v>143</v>
      </c>
      <c r="E203" s="28" t="s">
        <v>29</v>
      </c>
      <c r="F203" s="28" t="s">
        <v>144</v>
      </c>
      <c r="G203" s="153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138</v>
      </c>
      <c r="B204" s="28" t="s">
        <v>150</v>
      </c>
      <c r="C204" s="99" t="s">
        <v>151</v>
      </c>
      <c r="D204" s="28" t="s">
        <v>140</v>
      </c>
      <c r="E204" s="28" t="s">
        <v>29</v>
      </c>
      <c r="F204" s="28" t="s">
        <v>145</v>
      </c>
      <c r="G204" s="153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138</v>
      </c>
      <c r="B205" s="28" t="s">
        <v>154</v>
      </c>
      <c r="C205" s="99" t="s">
        <v>155</v>
      </c>
      <c r="D205" s="28" t="s">
        <v>143</v>
      </c>
      <c r="E205" s="28" t="s">
        <v>29</v>
      </c>
      <c r="F205" s="28" t="s">
        <v>144</v>
      </c>
      <c r="G205" s="153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138</v>
      </c>
      <c r="B206" s="28" t="s">
        <v>154</v>
      </c>
      <c r="C206" s="99" t="s">
        <v>155</v>
      </c>
      <c r="D206" s="28" t="s">
        <v>140</v>
      </c>
      <c r="E206" s="28" t="s">
        <v>29</v>
      </c>
      <c r="F206" s="28" t="s">
        <v>145</v>
      </c>
      <c r="G206" s="153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138</v>
      </c>
      <c r="B207" s="28" t="s">
        <v>158</v>
      </c>
      <c r="C207" s="99" t="s">
        <v>58</v>
      </c>
      <c r="D207" s="28" t="s">
        <v>140</v>
      </c>
      <c r="E207" s="28" t="s">
        <v>44</v>
      </c>
      <c r="F207" s="28" t="s">
        <v>141</v>
      </c>
      <c r="G207" s="153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138</v>
      </c>
      <c r="B208" s="28" t="s">
        <v>156</v>
      </c>
      <c r="C208" s="99" t="s">
        <v>157</v>
      </c>
      <c r="D208" s="28" t="s">
        <v>143</v>
      </c>
      <c r="E208" s="28" t="s">
        <v>29</v>
      </c>
      <c r="F208" s="28" t="s">
        <v>152</v>
      </c>
      <c r="G208" s="153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138</v>
      </c>
      <c r="B209" s="28" t="s">
        <v>156</v>
      </c>
      <c r="C209" s="99" t="s">
        <v>157</v>
      </c>
      <c r="D209" s="28" t="s">
        <v>140</v>
      </c>
      <c r="E209" s="28" t="s">
        <v>29</v>
      </c>
      <c r="F209" s="28" t="s">
        <v>153</v>
      </c>
      <c r="G209" s="153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138</v>
      </c>
      <c r="B210" s="28" t="s">
        <v>159</v>
      </c>
      <c r="C210" s="99" t="s">
        <v>160</v>
      </c>
      <c r="D210" s="28" t="s">
        <v>143</v>
      </c>
      <c r="E210" s="28" t="s">
        <v>29</v>
      </c>
      <c r="F210" s="28" t="s">
        <v>209</v>
      </c>
      <c r="G210" s="153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138</v>
      </c>
      <c r="B211" s="28" t="s">
        <v>159</v>
      </c>
      <c r="C211" s="99" t="s">
        <v>160</v>
      </c>
      <c r="D211" s="28" t="s">
        <v>140</v>
      </c>
      <c r="E211" s="28" t="s">
        <v>29</v>
      </c>
      <c r="F211" s="28" t="s">
        <v>210</v>
      </c>
      <c r="G211" s="153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138</v>
      </c>
      <c r="B212" s="28" t="s">
        <v>161</v>
      </c>
      <c r="C212" s="99" t="s">
        <v>49</v>
      </c>
      <c r="D212" s="28" t="s">
        <v>140</v>
      </c>
      <c r="E212" s="28" t="s">
        <v>44</v>
      </c>
      <c r="F212" s="28" t="s">
        <v>207</v>
      </c>
      <c r="G212" s="153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120</v>
      </c>
      <c r="B213" s="28" t="s">
        <v>163</v>
      </c>
      <c r="C213" s="99" t="s">
        <v>164</v>
      </c>
      <c r="D213" s="28" t="s">
        <v>123</v>
      </c>
      <c r="E213" s="28" t="s">
        <v>97</v>
      </c>
      <c r="F213" s="28" t="s">
        <v>124</v>
      </c>
      <c r="G213" s="153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138</v>
      </c>
      <c r="B214" s="28" t="s">
        <v>166</v>
      </c>
      <c r="C214" s="99" t="s">
        <v>64</v>
      </c>
      <c r="D214" s="28" t="s">
        <v>140</v>
      </c>
      <c r="E214" s="28" t="s">
        <v>44</v>
      </c>
      <c r="F214" s="28" t="s">
        <v>236</v>
      </c>
      <c r="G214" s="153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138</v>
      </c>
      <c r="B215" s="28" t="s">
        <v>167</v>
      </c>
      <c r="C215" s="99" t="s">
        <v>168</v>
      </c>
      <c r="D215" s="28" t="s">
        <v>143</v>
      </c>
      <c r="E215" s="28" t="s">
        <v>29</v>
      </c>
      <c r="F215" s="28" t="s">
        <v>152</v>
      </c>
      <c r="G215" s="153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138</v>
      </c>
      <c r="B216" s="28" t="s">
        <v>167</v>
      </c>
      <c r="C216" s="99" t="s">
        <v>168</v>
      </c>
      <c r="D216" s="28" t="s">
        <v>140</v>
      </c>
      <c r="E216" s="28" t="s">
        <v>29</v>
      </c>
      <c r="F216" s="28" t="s">
        <v>153</v>
      </c>
      <c r="G216" s="153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41</v>
      </c>
      <c r="B217" s="28" t="s">
        <v>169</v>
      </c>
      <c r="C217" s="99" t="s">
        <v>170</v>
      </c>
      <c r="D217" s="28" t="s">
        <v>43</v>
      </c>
      <c r="E217" s="28" t="s">
        <v>29</v>
      </c>
      <c r="F217" s="28" t="s">
        <v>115</v>
      </c>
      <c r="G217" s="153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41</v>
      </c>
      <c r="B218" s="28" t="s">
        <v>171</v>
      </c>
      <c r="C218" s="99" t="s">
        <v>172</v>
      </c>
      <c r="D218" s="28" t="s">
        <v>43</v>
      </c>
      <c r="E218" s="28" t="s">
        <v>29</v>
      </c>
      <c r="F218" s="28" t="s">
        <v>115</v>
      </c>
      <c r="G218" s="153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41</v>
      </c>
      <c r="B219" s="28" t="s">
        <v>173</v>
      </c>
      <c r="C219" s="99" t="s">
        <v>174</v>
      </c>
      <c r="D219" s="28" t="s">
        <v>43</v>
      </c>
      <c r="E219" s="28" t="s">
        <v>29</v>
      </c>
      <c r="F219" s="28" t="s">
        <v>115</v>
      </c>
      <c r="G219" s="153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26</v>
      </c>
      <c r="B220" s="28" t="s">
        <v>175</v>
      </c>
      <c r="C220" s="99" t="s">
        <v>237</v>
      </c>
      <c r="D220" s="28" t="s">
        <v>28</v>
      </c>
      <c r="E220" s="28" t="s">
        <v>29</v>
      </c>
      <c r="F220" s="28" t="s">
        <v>238</v>
      </c>
      <c r="G220" s="153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138</v>
      </c>
      <c r="B221" s="28" t="s">
        <v>178</v>
      </c>
      <c r="C221" s="99" t="s">
        <v>179</v>
      </c>
      <c r="D221" s="28" t="s">
        <v>143</v>
      </c>
      <c r="E221" s="28" t="s">
        <v>29</v>
      </c>
      <c r="F221" s="28" t="s">
        <v>209</v>
      </c>
      <c r="G221" s="153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138</v>
      </c>
      <c r="B222" s="28" t="s">
        <v>178</v>
      </c>
      <c r="C222" s="99" t="s">
        <v>179</v>
      </c>
      <c r="D222" s="28" t="s">
        <v>140</v>
      </c>
      <c r="E222" s="28" t="s">
        <v>29</v>
      </c>
      <c r="F222" s="28" t="s">
        <v>210</v>
      </c>
      <c r="G222" s="153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thickBot="1" x14ac:dyDescent="0.35">
      <c r="A223" s="29" t="s">
        <v>41</v>
      </c>
      <c r="B223" s="29" t="s">
        <v>180</v>
      </c>
      <c r="C223" s="100" t="s">
        <v>181</v>
      </c>
      <c r="D223" s="29" t="s">
        <v>43</v>
      </c>
      <c r="E223" s="29" t="s">
        <v>29</v>
      </c>
      <c r="F223" s="29" t="s">
        <v>115</v>
      </c>
      <c r="G223" s="154"/>
      <c r="H223" s="30"/>
      <c r="I223" s="30"/>
      <c r="J223" s="30"/>
      <c r="K223" s="30"/>
      <c r="L223" s="30"/>
      <c r="M223" s="30"/>
      <c r="N223" s="30"/>
      <c r="O223" s="31"/>
      <c r="P223" s="30"/>
      <c r="Q223" s="32"/>
      <c r="R223" s="32"/>
    </row>
    <row r="224" spans="1:18" ht="17.399999999999999" customHeight="1" thickBot="1" x14ac:dyDescent="0.35">
      <c r="A224" s="147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9"/>
    </row>
    <row r="225" spans="1:18" ht="22.05" customHeight="1" thickTop="1" thickBot="1" x14ac:dyDescent="0.35">
      <c r="A225" s="155" t="s">
        <v>6</v>
      </c>
      <c r="B225" s="156"/>
      <c r="C225" s="156"/>
      <c r="D225" s="156"/>
      <c r="E225" s="156"/>
      <c r="F225" s="157"/>
      <c r="G225" s="101">
        <v>45995</v>
      </c>
      <c r="H225" s="158" t="s">
        <v>7</v>
      </c>
      <c r="I225" s="156"/>
      <c r="J225" s="156"/>
      <c r="K225" s="156"/>
      <c r="L225" s="156"/>
      <c r="M225" s="156"/>
      <c r="N225" s="156"/>
      <c r="O225" s="156"/>
      <c r="P225" s="156"/>
      <c r="Q225" s="156"/>
      <c r="R225" s="157"/>
    </row>
    <row r="226" spans="1:18" ht="24" customHeight="1" x14ac:dyDescent="0.3">
      <c r="A226" s="33" t="s">
        <v>8</v>
      </c>
      <c r="B226" s="33" t="s">
        <v>9</v>
      </c>
      <c r="C226" s="102" t="s">
        <v>10</v>
      </c>
      <c r="D226" s="33" t="s">
        <v>11</v>
      </c>
      <c r="E226" s="33" t="s">
        <v>12</v>
      </c>
      <c r="F226" s="34" t="s">
        <v>13</v>
      </c>
      <c r="G226" s="35" t="s">
        <v>14</v>
      </c>
      <c r="H226" s="33" t="s">
        <v>15</v>
      </c>
      <c r="I226" s="103" t="s">
        <v>16</v>
      </c>
      <c r="J226" s="36" t="s">
        <v>17</v>
      </c>
      <c r="K226" s="37" t="s">
        <v>18</v>
      </c>
      <c r="L226" s="36" t="s">
        <v>19</v>
      </c>
      <c r="M226" s="36" t="s">
        <v>20</v>
      </c>
      <c r="N226" s="36" t="s">
        <v>21</v>
      </c>
      <c r="O226" s="33" t="s">
        <v>22</v>
      </c>
      <c r="P226" s="102" t="s">
        <v>23</v>
      </c>
      <c r="Q226" s="36" t="s">
        <v>24</v>
      </c>
      <c r="R226" s="33" t="s">
        <v>25</v>
      </c>
    </row>
    <row r="227" spans="1:18" ht="15" customHeight="1" x14ac:dyDescent="0.3">
      <c r="A227" s="53" t="s">
        <v>26</v>
      </c>
      <c r="B227" s="53" t="s">
        <v>239</v>
      </c>
      <c r="C227" s="114">
        <v>8.3333333333333329E-2</v>
      </c>
      <c r="D227" s="53" t="s">
        <v>28</v>
      </c>
      <c r="E227" s="53" t="s">
        <v>29</v>
      </c>
      <c r="F227" s="53" t="s">
        <v>197</v>
      </c>
      <c r="G227" s="159"/>
      <c r="H227" s="54" t="s">
        <v>240</v>
      </c>
      <c r="I227" s="115">
        <v>0.89880000000000004</v>
      </c>
      <c r="J227" s="55">
        <v>151</v>
      </c>
      <c r="K227" s="56" t="s">
        <v>32</v>
      </c>
      <c r="L227" s="55">
        <v>37</v>
      </c>
      <c r="M227" s="55">
        <v>0</v>
      </c>
      <c r="N227" s="55">
        <v>13</v>
      </c>
      <c r="O227" s="57" t="s">
        <v>241</v>
      </c>
      <c r="P227" s="116">
        <v>8.3333333333333329E-2</v>
      </c>
      <c r="Q227" s="55">
        <v>168</v>
      </c>
      <c r="R227" s="58" t="s">
        <v>242</v>
      </c>
    </row>
    <row r="228" spans="1:18" ht="15" customHeight="1" x14ac:dyDescent="0.3">
      <c r="A228" s="59" t="s">
        <v>26</v>
      </c>
      <c r="B228" s="59" t="s">
        <v>182</v>
      </c>
      <c r="C228" s="117">
        <v>0.70833333333333337</v>
      </c>
      <c r="D228" s="59" t="s">
        <v>28</v>
      </c>
      <c r="E228" s="59" t="s">
        <v>29</v>
      </c>
      <c r="F228" s="59" t="s">
        <v>177</v>
      </c>
      <c r="G228" s="153"/>
      <c r="H228" s="60" t="s">
        <v>183</v>
      </c>
      <c r="I228" s="118">
        <v>0.73209999999999997</v>
      </c>
      <c r="J228" s="61">
        <v>123</v>
      </c>
      <c r="K228" s="62" t="s">
        <v>32</v>
      </c>
      <c r="L228" s="61">
        <v>8</v>
      </c>
      <c r="M228" s="61">
        <v>0</v>
      </c>
      <c r="N228" s="61">
        <v>1</v>
      </c>
      <c r="O228" s="63" t="s">
        <v>221</v>
      </c>
      <c r="P228" s="119">
        <v>0.70833333333333337</v>
      </c>
      <c r="Q228" s="61">
        <v>168</v>
      </c>
      <c r="R228" s="64" t="s">
        <v>243</v>
      </c>
    </row>
    <row r="229" spans="1:18" ht="15" customHeight="1" x14ac:dyDescent="0.3">
      <c r="A229" s="65" t="s">
        <v>26</v>
      </c>
      <c r="B229" s="65" t="s">
        <v>27</v>
      </c>
      <c r="C229" s="120">
        <v>0.51736111111111116</v>
      </c>
      <c r="D229" s="65" t="s">
        <v>28</v>
      </c>
      <c r="E229" s="65" t="s">
        <v>29</v>
      </c>
      <c r="F229" s="65" t="s">
        <v>177</v>
      </c>
      <c r="G229" s="153"/>
      <c r="H229" s="66" t="s">
        <v>31</v>
      </c>
      <c r="I229" s="121">
        <v>0.4405</v>
      </c>
      <c r="J229" s="67">
        <v>74</v>
      </c>
      <c r="K229" s="68" t="s">
        <v>32</v>
      </c>
      <c r="L229" s="67">
        <v>15</v>
      </c>
      <c r="M229" s="67">
        <v>0</v>
      </c>
      <c r="N229" s="67">
        <v>1</v>
      </c>
      <c r="O229" s="69" t="s">
        <v>221</v>
      </c>
      <c r="P229" s="122">
        <v>0.51736111111111116</v>
      </c>
      <c r="Q229" s="67">
        <v>168</v>
      </c>
      <c r="R229" s="70" t="s">
        <v>244</v>
      </c>
    </row>
    <row r="230" spans="1:18" ht="15" customHeight="1" x14ac:dyDescent="0.3">
      <c r="A230" s="19" t="s">
        <v>41</v>
      </c>
      <c r="B230" s="19" t="s">
        <v>42</v>
      </c>
      <c r="C230" s="98">
        <v>0.51736111111111116</v>
      </c>
      <c r="D230" s="19" t="s">
        <v>43</v>
      </c>
      <c r="E230" s="19" t="s">
        <v>44</v>
      </c>
      <c r="F230" s="19" t="s">
        <v>45</v>
      </c>
      <c r="G230" s="153"/>
      <c r="H230" s="20"/>
      <c r="I230" s="21"/>
      <c r="J230" s="21"/>
      <c r="K230" s="21"/>
      <c r="L230" s="21"/>
      <c r="M230" s="21"/>
      <c r="N230" s="21"/>
      <c r="O230" s="22"/>
      <c r="P230" s="21"/>
      <c r="Q230" s="23"/>
      <c r="R230" s="24"/>
    </row>
    <row r="231" spans="1:18" ht="18" x14ac:dyDescent="0.3">
      <c r="A231" s="162" t="s">
        <v>46</v>
      </c>
      <c r="B231" s="163"/>
      <c r="C231" s="163"/>
      <c r="D231" s="163"/>
      <c r="E231" s="163"/>
      <c r="F231" s="164"/>
      <c r="G231" s="153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47</v>
      </c>
      <c r="B232" s="28" t="s">
        <v>48</v>
      </c>
      <c r="C232" s="99" t="s">
        <v>49</v>
      </c>
      <c r="D232" s="28" t="s">
        <v>50</v>
      </c>
      <c r="E232" s="28" t="s">
        <v>44</v>
      </c>
      <c r="F232" s="28" t="s">
        <v>191</v>
      </c>
      <c r="G232" s="153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47</v>
      </c>
      <c r="B233" s="28" t="s">
        <v>48</v>
      </c>
      <c r="C233" s="99" t="s">
        <v>49</v>
      </c>
      <c r="D233" s="28" t="s">
        <v>53</v>
      </c>
      <c r="E233" s="28" t="s">
        <v>44</v>
      </c>
      <c r="F233" s="28" t="s">
        <v>83</v>
      </c>
      <c r="G233" s="153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47</v>
      </c>
      <c r="B234" s="28" t="s">
        <v>48</v>
      </c>
      <c r="C234" s="99" t="s">
        <v>49</v>
      </c>
      <c r="D234" s="28" t="s">
        <v>55</v>
      </c>
      <c r="E234" s="28" t="s">
        <v>44</v>
      </c>
      <c r="F234" s="28" t="s">
        <v>56</v>
      </c>
      <c r="G234" s="153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47</v>
      </c>
      <c r="B235" s="28" t="s">
        <v>57</v>
      </c>
      <c r="C235" s="99" t="s">
        <v>58</v>
      </c>
      <c r="D235" s="28" t="s">
        <v>50</v>
      </c>
      <c r="E235" s="28" t="s">
        <v>103</v>
      </c>
      <c r="F235" s="28" t="s">
        <v>191</v>
      </c>
      <c r="G235" s="153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47</v>
      </c>
      <c r="B236" s="28" t="s">
        <v>57</v>
      </c>
      <c r="C236" s="99" t="s">
        <v>58</v>
      </c>
      <c r="D236" s="28" t="s">
        <v>53</v>
      </c>
      <c r="E236" s="28" t="s">
        <v>103</v>
      </c>
      <c r="F236" s="28" t="s">
        <v>83</v>
      </c>
      <c r="G236" s="153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47</v>
      </c>
      <c r="B237" s="28" t="s">
        <v>57</v>
      </c>
      <c r="C237" s="99" t="s">
        <v>58</v>
      </c>
      <c r="D237" s="28" t="s">
        <v>55</v>
      </c>
      <c r="E237" s="28" t="s">
        <v>103</v>
      </c>
      <c r="F237" s="28" t="s">
        <v>56</v>
      </c>
      <c r="G237" s="153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47</v>
      </c>
      <c r="B238" s="28" t="s">
        <v>60</v>
      </c>
      <c r="C238" s="99" t="s">
        <v>61</v>
      </c>
      <c r="D238" s="28" t="s">
        <v>50</v>
      </c>
      <c r="E238" s="28" t="s">
        <v>59</v>
      </c>
      <c r="F238" s="28" t="s">
        <v>232</v>
      </c>
      <c r="G238" s="153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47</v>
      </c>
      <c r="B239" s="28" t="s">
        <v>60</v>
      </c>
      <c r="C239" s="99" t="s">
        <v>61</v>
      </c>
      <c r="D239" s="28" t="s">
        <v>53</v>
      </c>
      <c r="E239" s="28" t="s">
        <v>59</v>
      </c>
      <c r="F239" s="28" t="s">
        <v>106</v>
      </c>
      <c r="G239" s="153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47</v>
      </c>
      <c r="B240" s="28" t="s">
        <v>60</v>
      </c>
      <c r="C240" s="99" t="s">
        <v>61</v>
      </c>
      <c r="D240" s="28" t="s">
        <v>55</v>
      </c>
      <c r="E240" s="28" t="s">
        <v>59</v>
      </c>
      <c r="F240" s="28" t="s">
        <v>56</v>
      </c>
      <c r="G240" s="153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47</v>
      </c>
      <c r="B241" s="28" t="s">
        <v>63</v>
      </c>
      <c r="C241" s="99" t="s">
        <v>64</v>
      </c>
      <c r="D241" s="28" t="s">
        <v>50</v>
      </c>
      <c r="E241" s="28" t="s">
        <v>103</v>
      </c>
      <c r="F241" s="28" t="s">
        <v>65</v>
      </c>
      <c r="G241" s="153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47</v>
      </c>
      <c r="B242" s="28" t="s">
        <v>63</v>
      </c>
      <c r="C242" s="99" t="s">
        <v>64</v>
      </c>
      <c r="D242" s="28" t="s">
        <v>53</v>
      </c>
      <c r="E242" s="28" t="s">
        <v>103</v>
      </c>
      <c r="F242" s="28" t="s">
        <v>66</v>
      </c>
      <c r="G242" s="153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47</v>
      </c>
      <c r="B243" s="28" t="s">
        <v>63</v>
      </c>
      <c r="C243" s="99" t="s">
        <v>64</v>
      </c>
      <c r="D243" s="28" t="s">
        <v>55</v>
      </c>
      <c r="E243" s="28" t="s">
        <v>103</v>
      </c>
      <c r="F243" s="28" t="s">
        <v>56</v>
      </c>
      <c r="G243" s="153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67</v>
      </c>
      <c r="B244" s="28" t="s">
        <v>68</v>
      </c>
      <c r="C244" s="99" t="s">
        <v>245</v>
      </c>
      <c r="D244" s="28" t="s">
        <v>70</v>
      </c>
      <c r="E244" s="28" t="s">
        <v>62</v>
      </c>
      <c r="F244" s="28" t="s">
        <v>246</v>
      </c>
      <c r="G244" s="153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67</v>
      </c>
      <c r="B245" s="28" t="s">
        <v>68</v>
      </c>
      <c r="C245" s="99" t="s">
        <v>245</v>
      </c>
      <c r="D245" s="28" t="s">
        <v>55</v>
      </c>
      <c r="E245" s="28" t="s">
        <v>62</v>
      </c>
      <c r="F245" s="28" t="s">
        <v>247</v>
      </c>
      <c r="G245" s="153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77</v>
      </c>
      <c r="B246" s="28" t="s">
        <v>78</v>
      </c>
      <c r="C246" s="99" t="s">
        <v>79</v>
      </c>
      <c r="D246" s="28" t="s">
        <v>80</v>
      </c>
      <c r="E246" s="28" t="s">
        <v>62</v>
      </c>
      <c r="F246" s="28" t="s">
        <v>81</v>
      </c>
      <c r="G246" s="153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77</v>
      </c>
      <c r="B247" s="28" t="s">
        <v>78</v>
      </c>
      <c r="C247" s="99" t="s">
        <v>79</v>
      </c>
      <c r="D247" s="28" t="s">
        <v>82</v>
      </c>
      <c r="E247" s="28" t="s">
        <v>62</v>
      </c>
      <c r="F247" s="28" t="s">
        <v>83</v>
      </c>
      <c r="G247" s="153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x14ac:dyDescent="0.3">
      <c r="A248" s="28" t="s">
        <v>77</v>
      </c>
      <c r="B248" s="28" t="s">
        <v>78</v>
      </c>
      <c r="C248" s="99" t="s">
        <v>79</v>
      </c>
      <c r="D248" s="28" t="s">
        <v>84</v>
      </c>
      <c r="E248" s="28" t="s">
        <v>62</v>
      </c>
      <c r="F248" s="28" t="s">
        <v>85</v>
      </c>
      <c r="G248" s="153"/>
      <c r="H248" s="25"/>
      <c r="I248" s="25"/>
      <c r="J248" s="25"/>
      <c r="K248" s="25"/>
      <c r="L248" s="25"/>
      <c r="M248" s="25"/>
      <c r="N248" s="25"/>
      <c r="O248" s="26"/>
      <c r="P248" s="25"/>
      <c r="Q248" s="27"/>
      <c r="R248" s="27"/>
    </row>
    <row r="249" spans="1:18" ht="15" customHeight="1" x14ac:dyDescent="0.3">
      <c r="A249" s="28" t="s">
        <v>77</v>
      </c>
      <c r="B249" s="28" t="s">
        <v>86</v>
      </c>
      <c r="C249" s="99" t="s">
        <v>87</v>
      </c>
      <c r="D249" s="28" t="s">
        <v>80</v>
      </c>
      <c r="E249" s="28" t="s">
        <v>97</v>
      </c>
      <c r="F249" s="28" t="s">
        <v>88</v>
      </c>
      <c r="G249" s="153"/>
      <c r="H249" s="25"/>
      <c r="I249" s="25"/>
      <c r="J249" s="25"/>
      <c r="K249" s="25"/>
      <c r="L249" s="25"/>
      <c r="M249" s="25"/>
      <c r="N249" s="25"/>
      <c r="O249" s="26"/>
      <c r="P249" s="25"/>
      <c r="Q249" s="27"/>
      <c r="R249" s="27"/>
    </row>
    <row r="250" spans="1:18" ht="15" customHeight="1" x14ac:dyDescent="0.3">
      <c r="A250" s="28" t="s">
        <v>77</v>
      </c>
      <c r="B250" s="28" t="s">
        <v>86</v>
      </c>
      <c r="C250" s="99" t="s">
        <v>87</v>
      </c>
      <c r="D250" s="28" t="s">
        <v>82</v>
      </c>
      <c r="E250" s="28" t="s">
        <v>97</v>
      </c>
      <c r="F250" s="28" t="s">
        <v>89</v>
      </c>
      <c r="G250" s="153"/>
      <c r="H250" s="25"/>
      <c r="I250" s="25"/>
      <c r="J250" s="25"/>
      <c r="K250" s="25"/>
      <c r="L250" s="25"/>
      <c r="M250" s="25"/>
      <c r="N250" s="25"/>
      <c r="O250" s="26"/>
      <c r="P250" s="25"/>
      <c r="Q250" s="27"/>
      <c r="R250" s="27"/>
    </row>
    <row r="251" spans="1:18" ht="15" customHeight="1" x14ac:dyDescent="0.3">
      <c r="A251" s="28" t="s">
        <v>77</v>
      </c>
      <c r="B251" s="28" t="s">
        <v>86</v>
      </c>
      <c r="C251" s="99" t="s">
        <v>87</v>
      </c>
      <c r="D251" s="28" t="s">
        <v>84</v>
      </c>
      <c r="E251" s="28" t="s">
        <v>97</v>
      </c>
      <c r="F251" s="28" t="s">
        <v>90</v>
      </c>
      <c r="G251" s="153"/>
      <c r="H251" s="25"/>
      <c r="I251" s="25"/>
      <c r="J251" s="25"/>
      <c r="K251" s="25"/>
      <c r="L251" s="25"/>
      <c r="M251" s="25"/>
      <c r="N251" s="25"/>
      <c r="O251" s="26"/>
      <c r="P251" s="25"/>
      <c r="Q251" s="27"/>
      <c r="R251" s="27"/>
    </row>
    <row r="252" spans="1:18" ht="15" customHeight="1" x14ac:dyDescent="0.3">
      <c r="A252" s="28" t="s">
        <v>77</v>
      </c>
      <c r="B252" s="28" t="s">
        <v>91</v>
      </c>
      <c r="C252" s="99" t="s">
        <v>58</v>
      </c>
      <c r="D252" s="28" t="s">
        <v>80</v>
      </c>
      <c r="E252" s="28" t="s">
        <v>97</v>
      </c>
      <c r="F252" s="28" t="s">
        <v>228</v>
      </c>
      <c r="G252" s="153"/>
      <c r="H252" s="25"/>
      <c r="I252" s="25"/>
      <c r="J252" s="25"/>
      <c r="K252" s="25"/>
      <c r="L252" s="25"/>
      <c r="M252" s="25"/>
      <c r="N252" s="25"/>
      <c r="O252" s="26"/>
      <c r="P252" s="25"/>
      <c r="Q252" s="27"/>
      <c r="R252" s="27"/>
    </row>
    <row r="253" spans="1:18" ht="15" customHeight="1" x14ac:dyDescent="0.3">
      <c r="A253" s="28" t="s">
        <v>77</v>
      </c>
      <c r="B253" s="28" t="s">
        <v>91</v>
      </c>
      <c r="C253" s="99" t="s">
        <v>58</v>
      </c>
      <c r="D253" s="28" t="s">
        <v>82</v>
      </c>
      <c r="E253" s="28" t="s">
        <v>97</v>
      </c>
      <c r="F253" s="28" t="s">
        <v>248</v>
      </c>
      <c r="G253" s="153"/>
      <c r="H253" s="25"/>
      <c r="I253" s="25"/>
      <c r="J253" s="25"/>
      <c r="K253" s="25"/>
      <c r="L253" s="25"/>
      <c r="M253" s="25"/>
      <c r="N253" s="25"/>
      <c r="O253" s="26"/>
      <c r="P253" s="25"/>
      <c r="Q253" s="27"/>
      <c r="R253" s="27"/>
    </row>
    <row r="254" spans="1:18" ht="15" customHeight="1" x14ac:dyDescent="0.3">
      <c r="A254" s="28" t="s">
        <v>77</v>
      </c>
      <c r="B254" s="28" t="s">
        <v>91</v>
      </c>
      <c r="C254" s="99" t="s">
        <v>58</v>
      </c>
      <c r="D254" s="28" t="s">
        <v>84</v>
      </c>
      <c r="E254" s="28" t="s">
        <v>97</v>
      </c>
      <c r="F254" s="28" t="s">
        <v>249</v>
      </c>
      <c r="G254" s="153"/>
      <c r="H254" s="25"/>
      <c r="I254" s="25"/>
      <c r="J254" s="25"/>
      <c r="K254" s="25"/>
      <c r="L254" s="25"/>
      <c r="M254" s="25"/>
      <c r="N254" s="25"/>
      <c r="O254" s="26"/>
      <c r="P254" s="25"/>
      <c r="Q254" s="27"/>
      <c r="R254" s="27"/>
    </row>
    <row r="255" spans="1:18" ht="15" customHeight="1" x14ac:dyDescent="0.3">
      <c r="A255" s="28" t="s">
        <v>77</v>
      </c>
      <c r="B255" s="28" t="s">
        <v>93</v>
      </c>
      <c r="C255" s="99" t="s">
        <v>94</v>
      </c>
      <c r="D255" s="28" t="s">
        <v>80</v>
      </c>
      <c r="E255" s="28" t="s">
        <v>51</v>
      </c>
      <c r="F255" s="28" t="s">
        <v>88</v>
      </c>
      <c r="G255" s="153"/>
      <c r="H255" s="25"/>
      <c r="I255" s="25"/>
      <c r="J255" s="25"/>
      <c r="K255" s="25"/>
      <c r="L255" s="25"/>
      <c r="M255" s="25"/>
      <c r="N255" s="25"/>
      <c r="O255" s="26"/>
      <c r="P255" s="25"/>
      <c r="Q255" s="27"/>
      <c r="R255" s="27"/>
    </row>
    <row r="256" spans="1:18" ht="15" customHeight="1" x14ac:dyDescent="0.3">
      <c r="A256" s="28" t="s">
        <v>77</v>
      </c>
      <c r="B256" s="28" t="s">
        <v>93</v>
      </c>
      <c r="C256" s="99" t="s">
        <v>94</v>
      </c>
      <c r="D256" s="28" t="s">
        <v>82</v>
      </c>
      <c r="E256" s="28" t="s">
        <v>51</v>
      </c>
      <c r="F256" s="28" t="s">
        <v>89</v>
      </c>
      <c r="G256" s="153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77</v>
      </c>
      <c r="B257" s="28" t="s">
        <v>93</v>
      </c>
      <c r="C257" s="99" t="s">
        <v>94</v>
      </c>
      <c r="D257" s="28" t="s">
        <v>84</v>
      </c>
      <c r="E257" s="28" t="s">
        <v>51</v>
      </c>
      <c r="F257" s="28" t="s">
        <v>90</v>
      </c>
      <c r="G257" s="153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77</v>
      </c>
      <c r="B258" s="28" t="s">
        <v>95</v>
      </c>
      <c r="C258" s="99" t="s">
        <v>96</v>
      </c>
      <c r="D258" s="28" t="s">
        <v>80</v>
      </c>
      <c r="E258" s="28" t="s">
        <v>100</v>
      </c>
      <c r="F258" s="28" t="s">
        <v>250</v>
      </c>
      <c r="G258" s="153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77</v>
      </c>
      <c r="B259" s="28" t="s">
        <v>95</v>
      </c>
      <c r="C259" s="99" t="s">
        <v>96</v>
      </c>
      <c r="D259" s="28" t="s">
        <v>82</v>
      </c>
      <c r="E259" s="28" t="s">
        <v>100</v>
      </c>
      <c r="F259" s="28" t="s">
        <v>251</v>
      </c>
      <c r="G259" s="153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77</v>
      </c>
      <c r="B260" s="28" t="s">
        <v>95</v>
      </c>
      <c r="C260" s="99" t="s">
        <v>96</v>
      </c>
      <c r="D260" s="28" t="s">
        <v>84</v>
      </c>
      <c r="E260" s="28" t="s">
        <v>100</v>
      </c>
      <c r="F260" s="28" t="s">
        <v>252</v>
      </c>
      <c r="G260" s="153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77</v>
      </c>
      <c r="B261" s="28" t="s">
        <v>98</v>
      </c>
      <c r="C261" s="99" t="s">
        <v>99</v>
      </c>
      <c r="D261" s="28" t="s">
        <v>80</v>
      </c>
      <c r="E261" s="28" t="s">
        <v>44</v>
      </c>
      <c r="F261" s="28" t="s">
        <v>88</v>
      </c>
      <c r="G261" s="153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77</v>
      </c>
      <c r="B262" s="28" t="s">
        <v>98</v>
      </c>
      <c r="C262" s="99" t="s">
        <v>99</v>
      </c>
      <c r="D262" s="28" t="s">
        <v>82</v>
      </c>
      <c r="E262" s="28" t="s">
        <v>44</v>
      </c>
      <c r="F262" s="28" t="s">
        <v>89</v>
      </c>
      <c r="G262" s="153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77</v>
      </c>
      <c r="B263" s="28" t="s">
        <v>98</v>
      </c>
      <c r="C263" s="99" t="s">
        <v>99</v>
      </c>
      <c r="D263" s="28" t="s">
        <v>84</v>
      </c>
      <c r="E263" s="28" t="s">
        <v>44</v>
      </c>
      <c r="F263" s="28" t="s">
        <v>90</v>
      </c>
      <c r="G263" s="153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77</v>
      </c>
      <c r="B264" s="28" t="s">
        <v>101</v>
      </c>
      <c r="C264" s="99" t="s">
        <v>102</v>
      </c>
      <c r="D264" s="28" t="s">
        <v>80</v>
      </c>
      <c r="E264" s="28" t="s">
        <v>62</v>
      </c>
      <c r="F264" s="28" t="s">
        <v>88</v>
      </c>
      <c r="G264" s="153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77</v>
      </c>
      <c r="B265" s="28" t="s">
        <v>101</v>
      </c>
      <c r="C265" s="99" t="s">
        <v>102</v>
      </c>
      <c r="D265" s="28" t="s">
        <v>82</v>
      </c>
      <c r="E265" s="28" t="s">
        <v>62</v>
      </c>
      <c r="F265" s="28" t="s">
        <v>89</v>
      </c>
      <c r="G265" s="153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77</v>
      </c>
      <c r="B266" s="28" t="s">
        <v>101</v>
      </c>
      <c r="C266" s="99" t="s">
        <v>102</v>
      </c>
      <c r="D266" s="28" t="s">
        <v>84</v>
      </c>
      <c r="E266" s="28" t="s">
        <v>62</v>
      </c>
      <c r="F266" s="28" t="s">
        <v>90</v>
      </c>
      <c r="G266" s="153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77</v>
      </c>
      <c r="B267" s="28" t="s">
        <v>104</v>
      </c>
      <c r="C267" s="99" t="s">
        <v>105</v>
      </c>
      <c r="D267" s="28" t="s">
        <v>80</v>
      </c>
      <c r="E267" s="28" t="s">
        <v>62</v>
      </c>
      <c r="F267" s="28" t="s">
        <v>229</v>
      </c>
      <c r="G267" s="153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77</v>
      </c>
      <c r="B268" s="28" t="s">
        <v>104</v>
      </c>
      <c r="C268" s="99" t="s">
        <v>105</v>
      </c>
      <c r="D268" s="28" t="s">
        <v>82</v>
      </c>
      <c r="E268" s="28" t="s">
        <v>62</v>
      </c>
      <c r="F268" s="28" t="s">
        <v>253</v>
      </c>
      <c r="G268" s="153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77</v>
      </c>
      <c r="B269" s="28" t="s">
        <v>104</v>
      </c>
      <c r="C269" s="99" t="s">
        <v>105</v>
      </c>
      <c r="D269" s="28" t="s">
        <v>84</v>
      </c>
      <c r="E269" s="28" t="s">
        <v>62</v>
      </c>
      <c r="F269" s="28" t="s">
        <v>254</v>
      </c>
      <c r="G269" s="153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41</v>
      </c>
      <c r="B270" s="28" t="s">
        <v>109</v>
      </c>
      <c r="C270" s="99" t="s">
        <v>195</v>
      </c>
      <c r="D270" s="28" t="s">
        <v>111</v>
      </c>
      <c r="E270" s="28" t="s">
        <v>29</v>
      </c>
      <c r="F270" s="28" t="s">
        <v>112</v>
      </c>
      <c r="G270" s="153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41</v>
      </c>
      <c r="B271" s="28" t="s">
        <v>113</v>
      </c>
      <c r="C271" s="99" t="s">
        <v>114</v>
      </c>
      <c r="D271" s="28" t="s">
        <v>43</v>
      </c>
      <c r="E271" s="28" t="s">
        <v>29</v>
      </c>
      <c r="F271" s="28" t="s">
        <v>115</v>
      </c>
      <c r="G271" s="153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41</v>
      </c>
      <c r="B272" s="28" t="s">
        <v>116</v>
      </c>
      <c r="C272" s="99" t="s">
        <v>255</v>
      </c>
      <c r="D272" s="28" t="s">
        <v>111</v>
      </c>
      <c r="E272" s="28" t="s">
        <v>44</v>
      </c>
      <c r="F272" s="28" t="s">
        <v>119</v>
      </c>
      <c r="G272" s="153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26</v>
      </c>
      <c r="B273" s="28" t="s">
        <v>256</v>
      </c>
      <c r="C273" s="99" t="s">
        <v>257</v>
      </c>
      <c r="D273" s="28" t="s">
        <v>28</v>
      </c>
      <c r="E273" s="28" t="s">
        <v>29</v>
      </c>
      <c r="F273" s="28" t="s">
        <v>258</v>
      </c>
      <c r="G273" s="153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41</v>
      </c>
      <c r="B274" s="28" t="s">
        <v>125</v>
      </c>
      <c r="C274" s="99" t="s">
        <v>126</v>
      </c>
      <c r="D274" s="28" t="s">
        <v>43</v>
      </c>
      <c r="E274" s="28" t="s">
        <v>29</v>
      </c>
      <c r="F274" s="28" t="s">
        <v>115</v>
      </c>
      <c r="G274" s="153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26</v>
      </c>
      <c r="B275" s="28" t="s">
        <v>128</v>
      </c>
      <c r="C275" s="99" t="s">
        <v>198</v>
      </c>
      <c r="D275" s="28" t="s">
        <v>28</v>
      </c>
      <c r="E275" s="28" t="s">
        <v>118</v>
      </c>
      <c r="F275" s="28" t="s">
        <v>30</v>
      </c>
      <c r="G275" s="153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132</v>
      </c>
      <c r="B276" s="28" t="s">
        <v>133</v>
      </c>
      <c r="C276" s="99" t="s">
        <v>259</v>
      </c>
      <c r="D276" s="28" t="s">
        <v>123</v>
      </c>
      <c r="E276" s="28" t="s">
        <v>29</v>
      </c>
      <c r="F276" s="28" t="s">
        <v>135</v>
      </c>
      <c r="G276" s="153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132</v>
      </c>
      <c r="B277" s="28" t="s">
        <v>199</v>
      </c>
      <c r="C277" s="99" t="s">
        <v>260</v>
      </c>
      <c r="D277" s="28" t="s">
        <v>123</v>
      </c>
      <c r="E277" s="28" t="s">
        <v>29</v>
      </c>
      <c r="F277" s="28" t="s">
        <v>135</v>
      </c>
      <c r="G277" s="153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26</v>
      </c>
      <c r="B278" s="28" t="s">
        <v>136</v>
      </c>
      <c r="C278" s="99" t="s">
        <v>261</v>
      </c>
      <c r="D278" s="28" t="s">
        <v>28</v>
      </c>
      <c r="E278" s="28" t="s">
        <v>29</v>
      </c>
      <c r="F278" s="28" t="s">
        <v>131</v>
      </c>
      <c r="G278" s="153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138</v>
      </c>
      <c r="B279" s="28" t="s">
        <v>139</v>
      </c>
      <c r="C279" s="99" t="s">
        <v>61</v>
      </c>
      <c r="D279" s="28" t="s">
        <v>140</v>
      </c>
      <c r="E279" s="28" t="s">
        <v>44</v>
      </c>
      <c r="F279" s="28" t="s">
        <v>162</v>
      </c>
      <c r="G279" s="153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138</v>
      </c>
      <c r="B280" s="28" t="s">
        <v>142</v>
      </c>
      <c r="C280" s="99" t="s">
        <v>129</v>
      </c>
      <c r="D280" s="28" t="s">
        <v>143</v>
      </c>
      <c r="E280" s="28" t="s">
        <v>29</v>
      </c>
      <c r="F280" s="28" t="s">
        <v>152</v>
      </c>
      <c r="G280" s="153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138</v>
      </c>
      <c r="B281" s="28" t="s">
        <v>142</v>
      </c>
      <c r="C281" s="99" t="s">
        <v>129</v>
      </c>
      <c r="D281" s="28" t="s">
        <v>140</v>
      </c>
      <c r="E281" s="28" t="s">
        <v>29</v>
      </c>
      <c r="F281" s="28" t="s">
        <v>153</v>
      </c>
      <c r="G281" s="153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26</v>
      </c>
      <c r="B282" s="28" t="s">
        <v>262</v>
      </c>
      <c r="C282" s="99" t="s">
        <v>263</v>
      </c>
      <c r="D282" s="28" t="s">
        <v>28</v>
      </c>
      <c r="E282" s="28" t="s">
        <v>29</v>
      </c>
      <c r="F282" s="28" t="s">
        <v>258</v>
      </c>
      <c r="G282" s="153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26</v>
      </c>
      <c r="B283" s="28" t="s">
        <v>146</v>
      </c>
      <c r="C283" s="99" t="s">
        <v>264</v>
      </c>
      <c r="D283" s="28" t="s">
        <v>28</v>
      </c>
      <c r="E283" s="28" t="s">
        <v>29</v>
      </c>
      <c r="F283" s="28" t="s">
        <v>258</v>
      </c>
      <c r="G283" s="153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26</v>
      </c>
      <c r="B284" s="28" t="s">
        <v>202</v>
      </c>
      <c r="C284" s="99" t="s">
        <v>265</v>
      </c>
      <c r="D284" s="28" t="s">
        <v>28</v>
      </c>
      <c r="E284" s="28" t="s">
        <v>100</v>
      </c>
      <c r="F284" s="28" t="s">
        <v>258</v>
      </c>
      <c r="G284" s="153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138</v>
      </c>
      <c r="B285" s="28" t="s">
        <v>148</v>
      </c>
      <c r="C285" s="99" t="s">
        <v>149</v>
      </c>
      <c r="D285" s="28" t="s">
        <v>143</v>
      </c>
      <c r="E285" s="28" t="s">
        <v>29</v>
      </c>
      <c r="F285" s="28" t="s">
        <v>209</v>
      </c>
      <c r="G285" s="153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138</v>
      </c>
      <c r="B286" s="28" t="s">
        <v>148</v>
      </c>
      <c r="C286" s="99" t="s">
        <v>149</v>
      </c>
      <c r="D286" s="28" t="s">
        <v>140</v>
      </c>
      <c r="E286" s="28" t="s">
        <v>29</v>
      </c>
      <c r="F286" s="28" t="s">
        <v>210</v>
      </c>
      <c r="G286" s="153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138</v>
      </c>
      <c r="B287" s="28" t="s">
        <v>150</v>
      </c>
      <c r="C287" s="99" t="s">
        <v>151</v>
      </c>
      <c r="D287" s="28" t="s">
        <v>143</v>
      </c>
      <c r="E287" s="28" t="s">
        <v>29</v>
      </c>
      <c r="F287" s="28" t="s">
        <v>152</v>
      </c>
      <c r="G287" s="153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138</v>
      </c>
      <c r="B288" s="28" t="s">
        <v>150</v>
      </c>
      <c r="C288" s="99" t="s">
        <v>151</v>
      </c>
      <c r="D288" s="28" t="s">
        <v>140</v>
      </c>
      <c r="E288" s="28" t="s">
        <v>29</v>
      </c>
      <c r="F288" s="28" t="s">
        <v>153</v>
      </c>
      <c r="G288" s="153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26</v>
      </c>
      <c r="B289" s="28" t="s">
        <v>203</v>
      </c>
      <c r="C289" s="99" t="s">
        <v>266</v>
      </c>
      <c r="D289" s="28" t="s">
        <v>28</v>
      </c>
      <c r="E289" s="28" t="s">
        <v>29</v>
      </c>
      <c r="F289" s="28" t="s">
        <v>197</v>
      </c>
      <c r="G289" s="153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138</v>
      </c>
      <c r="B290" s="28" t="s">
        <v>154</v>
      </c>
      <c r="C290" s="99" t="s">
        <v>155</v>
      </c>
      <c r="D290" s="28" t="s">
        <v>143</v>
      </c>
      <c r="E290" s="28" t="s">
        <v>29</v>
      </c>
      <c r="F290" s="28" t="s">
        <v>267</v>
      </c>
      <c r="G290" s="153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138</v>
      </c>
      <c r="B291" s="28" t="s">
        <v>154</v>
      </c>
      <c r="C291" s="99" t="s">
        <v>155</v>
      </c>
      <c r="D291" s="28" t="s">
        <v>140</v>
      </c>
      <c r="E291" s="28" t="s">
        <v>29</v>
      </c>
      <c r="F291" s="28" t="s">
        <v>268</v>
      </c>
      <c r="G291" s="153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138</v>
      </c>
      <c r="B292" s="28" t="s">
        <v>156</v>
      </c>
      <c r="C292" s="99" t="s">
        <v>157</v>
      </c>
      <c r="D292" s="28" t="s">
        <v>143</v>
      </c>
      <c r="E292" s="28" t="s">
        <v>29</v>
      </c>
      <c r="F292" s="28" t="s">
        <v>269</v>
      </c>
      <c r="G292" s="153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138</v>
      </c>
      <c r="B293" s="28" t="s">
        <v>156</v>
      </c>
      <c r="C293" s="99" t="s">
        <v>157</v>
      </c>
      <c r="D293" s="28" t="s">
        <v>140</v>
      </c>
      <c r="E293" s="28" t="s">
        <v>29</v>
      </c>
      <c r="F293" s="28" t="s">
        <v>270</v>
      </c>
      <c r="G293" s="153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138</v>
      </c>
      <c r="B294" s="28" t="s">
        <v>158</v>
      </c>
      <c r="C294" s="99" t="s">
        <v>58</v>
      </c>
      <c r="D294" s="28" t="s">
        <v>140</v>
      </c>
      <c r="E294" s="28" t="s">
        <v>44</v>
      </c>
      <c r="F294" s="28" t="s">
        <v>207</v>
      </c>
      <c r="G294" s="153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138</v>
      </c>
      <c r="B295" s="28" t="s">
        <v>159</v>
      </c>
      <c r="C295" s="99" t="s">
        <v>160</v>
      </c>
      <c r="D295" s="28" t="s">
        <v>143</v>
      </c>
      <c r="E295" s="28" t="s">
        <v>29</v>
      </c>
      <c r="F295" s="28" t="s">
        <v>209</v>
      </c>
      <c r="G295" s="153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138</v>
      </c>
      <c r="B296" s="28" t="s">
        <v>159</v>
      </c>
      <c r="C296" s="99" t="s">
        <v>160</v>
      </c>
      <c r="D296" s="28" t="s">
        <v>140</v>
      </c>
      <c r="E296" s="28" t="s">
        <v>29</v>
      </c>
      <c r="F296" s="28" t="s">
        <v>210</v>
      </c>
      <c r="G296" s="153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138</v>
      </c>
      <c r="B297" s="28" t="s">
        <v>161</v>
      </c>
      <c r="C297" s="99" t="s">
        <v>49</v>
      </c>
      <c r="D297" s="28" t="s">
        <v>140</v>
      </c>
      <c r="E297" s="28" t="s">
        <v>44</v>
      </c>
      <c r="F297" s="28" t="s">
        <v>207</v>
      </c>
      <c r="G297" s="153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120</v>
      </c>
      <c r="B298" s="28" t="s">
        <v>163</v>
      </c>
      <c r="C298" s="99" t="s">
        <v>164</v>
      </c>
      <c r="D298" s="28" t="s">
        <v>123</v>
      </c>
      <c r="E298" s="28" t="s">
        <v>44</v>
      </c>
      <c r="F298" s="28" t="s">
        <v>124</v>
      </c>
      <c r="G298" s="153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138</v>
      </c>
      <c r="B299" s="28" t="s">
        <v>166</v>
      </c>
      <c r="C299" s="99" t="s">
        <v>64</v>
      </c>
      <c r="D299" s="28" t="s">
        <v>140</v>
      </c>
      <c r="E299" s="28" t="s">
        <v>44</v>
      </c>
      <c r="F299" s="28" t="s">
        <v>162</v>
      </c>
      <c r="G299" s="153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138</v>
      </c>
      <c r="B300" s="28" t="s">
        <v>167</v>
      </c>
      <c r="C300" s="99" t="s">
        <v>168</v>
      </c>
      <c r="D300" s="28" t="s">
        <v>143</v>
      </c>
      <c r="E300" s="28" t="s">
        <v>29</v>
      </c>
      <c r="F300" s="28" t="s">
        <v>271</v>
      </c>
      <c r="G300" s="153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138</v>
      </c>
      <c r="B301" s="28" t="s">
        <v>167</v>
      </c>
      <c r="C301" s="99" t="s">
        <v>168</v>
      </c>
      <c r="D301" s="28" t="s">
        <v>140</v>
      </c>
      <c r="E301" s="28" t="s">
        <v>29</v>
      </c>
      <c r="F301" s="28" t="s">
        <v>272</v>
      </c>
      <c r="G301" s="153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41</v>
      </c>
      <c r="B302" s="28" t="s">
        <v>169</v>
      </c>
      <c r="C302" s="99" t="s">
        <v>170</v>
      </c>
      <c r="D302" s="28" t="s">
        <v>43</v>
      </c>
      <c r="E302" s="28" t="s">
        <v>29</v>
      </c>
      <c r="F302" s="28" t="s">
        <v>115</v>
      </c>
      <c r="G302" s="153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41</v>
      </c>
      <c r="B303" s="28" t="s">
        <v>171</v>
      </c>
      <c r="C303" s="99" t="s">
        <v>200</v>
      </c>
      <c r="D303" s="28" t="s">
        <v>111</v>
      </c>
      <c r="E303" s="28" t="s">
        <v>100</v>
      </c>
      <c r="F303" s="28" t="s">
        <v>273</v>
      </c>
      <c r="G303" s="153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41</v>
      </c>
      <c r="B304" s="28" t="s">
        <v>173</v>
      </c>
      <c r="C304" s="99" t="s">
        <v>174</v>
      </c>
      <c r="D304" s="28" t="s">
        <v>43</v>
      </c>
      <c r="E304" s="28" t="s">
        <v>29</v>
      </c>
      <c r="F304" s="28" t="s">
        <v>115</v>
      </c>
      <c r="G304" s="153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138</v>
      </c>
      <c r="B305" s="28" t="s">
        <v>178</v>
      </c>
      <c r="C305" s="99" t="s">
        <v>274</v>
      </c>
      <c r="D305" s="28" t="s">
        <v>143</v>
      </c>
      <c r="E305" s="28" t="s">
        <v>29</v>
      </c>
      <c r="F305" s="28" t="s">
        <v>209</v>
      </c>
      <c r="G305" s="153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138</v>
      </c>
      <c r="B306" s="28" t="s">
        <v>178</v>
      </c>
      <c r="C306" s="99" t="s">
        <v>274</v>
      </c>
      <c r="D306" s="28" t="s">
        <v>140</v>
      </c>
      <c r="E306" s="28" t="s">
        <v>29</v>
      </c>
      <c r="F306" s="28" t="s">
        <v>210</v>
      </c>
      <c r="G306" s="153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thickBot="1" x14ac:dyDescent="0.35">
      <c r="A307" s="29" t="s">
        <v>41</v>
      </c>
      <c r="B307" s="29" t="s">
        <v>180</v>
      </c>
      <c r="C307" s="100" t="s">
        <v>275</v>
      </c>
      <c r="D307" s="29" t="s">
        <v>43</v>
      </c>
      <c r="E307" s="29" t="s">
        <v>29</v>
      </c>
      <c r="F307" s="29" t="s">
        <v>115</v>
      </c>
      <c r="G307" s="154"/>
      <c r="H307" s="30"/>
      <c r="I307" s="30"/>
      <c r="J307" s="30"/>
      <c r="K307" s="30"/>
      <c r="L307" s="30"/>
      <c r="M307" s="30"/>
      <c r="N307" s="30"/>
      <c r="O307" s="31"/>
      <c r="P307" s="30"/>
      <c r="Q307" s="32"/>
      <c r="R307" s="32"/>
    </row>
    <row r="308" spans="1:18" ht="17.399999999999999" customHeight="1" thickBot="1" x14ac:dyDescent="0.35">
      <c r="A308" s="147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9"/>
    </row>
    <row r="309" spans="1:18" ht="22.05" customHeight="1" thickTop="1" thickBot="1" x14ac:dyDescent="0.35">
      <c r="A309" s="155" t="s">
        <v>6</v>
      </c>
      <c r="B309" s="156"/>
      <c r="C309" s="156"/>
      <c r="D309" s="156"/>
      <c r="E309" s="156"/>
      <c r="F309" s="157"/>
      <c r="G309" s="101">
        <v>45996</v>
      </c>
      <c r="H309" s="158" t="s">
        <v>7</v>
      </c>
      <c r="I309" s="156"/>
      <c r="J309" s="156"/>
      <c r="K309" s="156"/>
      <c r="L309" s="156"/>
      <c r="M309" s="156"/>
      <c r="N309" s="156"/>
      <c r="O309" s="156"/>
      <c r="P309" s="156"/>
      <c r="Q309" s="156"/>
      <c r="R309" s="157"/>
    </row>
    <row r="310" spans="1:18" ht="24" customHeight="1" x14ac:dyDescent="0.3">
      <c r="A310" s="33" t="s">
        <v>8</v>
      </c>
      <c r="B310" s="33" t="s">
        <v>9</v>
      </c>
      <c r="C310" s="102" t="s">
        <v>10</v>
      </c>
      <c r="D310" s="33" t="s">
        <v>11</v>
      </c>
      <c r="E310" s="33" t="s">
        <v>12</v>
      </c>
      <c r="F310" s="34" t="s">
        <v>13</v>
      </c>
      <c r="G310" s="35" t="s">
        <v>14</v>
      </c>
      <c r="H310" s="33" t="s">
        <v>15</v>
      </c>
      <c r="I310" s="103" t="s">
        <v>16</v>
      </c>
      <c r="J310" s="36" t="s">
        <v>17</v>
      </c>
      <c r="K310" s="37" t="s">
        <v>18</v>
      </c>
      <c r="L310" s="36" t="s">
        <v>19</v>
      </c>
      <c r="M310" s="36" t="s">
        <v>20</v>
      </c>
      <c r="N310" s="36" t="s">
        <v>21</v>
      </c>
      <c r="O310" s="33" t="s">
        <v>22</v>
      </c>
      <c r="P310" s="102" t="s">
        <v>23</v>
      </c>
      <c r="Q310" s="36" t="s">
        <v>24</v>
      </c>
      <c r="R310" s="33" t="s">
        <v>25</v>
      </c>
    </row>
    <row r="311" spans="1:18" ht="15" customHeight="1" x14ac:dyDescent="0.3">
      <c r="A311" s="71" t="s">
        <v>26</v>
      </c>
      <c r="B311" s="71" t="s">
        <v>35</v>
      </c>
      <c r="C311" s="123">
        <v>0.29166666666666669</v>
      </c>
      <c r="D311" s="71" t="s">
        <v>28</v>
      </c>
      <c r="E311" s="71" t="s">
        <v>29</v>
      </c>
      <c r="F311" s="71" t="s">
        <v>124</v>
      </c>
      <c r="G311" s="159"/>
      <c r="H311" s="14" t="s">
        <v>37</v>
      </c>
      <c r="I311" s="124">
        <v>0.33929999999999999</v>
      </c>
      <c r="J311" s="15">
        <v>57</v>
      </c>
      <c r="K311" s="16" t="s">
        <v>38</v>
      </c>
      <c r="L311" s="15">
        <v>30</v>
      </c>
      <c r="M311" s="15">
        <v>1</v>
      </c>
      <c r="N311" s="15">
        <v>8</v>
      </c>
      <c r="O311" s="17" t="s">
        <v>276</v>
      </c>
      <c r="P311" s="97">
        <v>0.29166666666666669</v>
      </c>
      <c r="Q311" s="15">
        <v>168</v>
      </c>
      <c r="R311" s="18" t="s">
        <v>277</v>
      </c>
    </row>
    <row r="312" spans="1:18" ht="18" x14ac:dyDescent="0.3">
      <c r="A312" s="162" t="s">
        <v>46</v>
      </c>
      <c r="B312" s="163"/>
      <c r="C312" s="163"/>
      <c r="D312" s="163"/>
      <c r="E312" s="163"/>
      <c r="F312" s="164"/>
      <c r="G312" s="153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67</v>
      </c>
      <c r="B313" s="28" t="s">
        <v>68</v>
      </c>
      <c r="C313" s="99" t="s">
        <v>69</v>
      </c>
      <c r="D313" s="28" t="s">
        <v>70</v>
      </c>
      <c r="E313" s="28" t="s">
        <v>62</v>
      </c>
      <c r="F313" s="28" t="s">
        <v>278</v>
      </c>
      <c r="G313" s="153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67</v>
      </c>
      <c r="B314" s="28" t="s">
        <v>68</v>
      </c>
      <c r="C314" s="99" t="s">
        <v>69</v>
      </c>
      <c r="D314" s="28" t="s">
        <v>55</v>
      </c>
      <c r="E314" s="28" t="s">
        <v>62</v>
      </c>
      <c r="F314" s="28" t="s">
        <v>279</v>
      </c>
      <c r="G314" s="153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67</v>
      </c>
      <c r="B315" s="28" t="s">
        <v>280</v>
      </c>
      <c r="C315" s="99" t="s">
        <v>281</v>
      </c>
      <c r="D315" s="28" t="s">
        <v>70</v>
      </c>
      <c r="E315" s="28" t="s">
        <v>62</v>
      </c>
      <c r="F315" s="28" t="s">
        <v>278</v>
      </c>
      <c r="G315" s="153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67</v>
      </c>
      <c r="B316" s="28" t="s">
        <v>280</v>
      </c>
      <c r="C316" s="99" t="s">
        <v>281</v>
      </c>
      <c r="D316" s="28" t="s">
        <v>55</v>
      </c>
      <c r="E316" s="28" t="s">
        <v>62</v>
      </c>
      <c r="F316" s="28" t="s">
        <v>279</v>
      </c>
      <c r="G316" s="153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67</v>
      </c>
      <c r="B317" s="28" t="s">
        <v>282</v>
      </c>
      <c r="C317" s="99" t="s">
        <v>283</v>
      </c>
      <c r="D317" s="28" t="s">
        <v>70</v>
      </c>
      <c r="E317" s="28" t="s">
        <v>62</v>
      </c>
      <c r="F317" s="28" t="s">
        <v>284</v>
      </c>
      <c r="G317" s="153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67</v>
      </c>
      <c r="B318" s="28" t="s">
        <v>282</v>
      </c>
      <c r="C318" s="99" t="s">
        <v>283</v>
      </c>
      <c r="D318" s="28" t="s">
        <v>55</v>
      </c>
      <c r="E318" s="28" t="s">
        <v>62</v>
      </c>
      <c r="F318" s="28" t="s">
        <v>285</v>
      </c>
      <c r="G318" s="153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47</v>
      </c>
      <c r="B319" s="28" t="s">
        <v>48</v>
      </c>
      <c r="C319" s="99" t="s">
        <v>49</v>
      </c>
      <c r="D319" s="28" t="s">
        <v>50</v>
      </c>
      <c r="E319" s="28" t="s">
        <v>51</v>
      </c>
      <c r="F319" s="28" t="s">
        <v>191</v>
      </c>
      <c r="G319" s="153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47</v>
      </c>
      <c r="B320" s="28" t="s">
        <v>48</v>
      </c>
      <c r="C320" s="99" t="s">
        <v>49</v>
      </c>
      <c r="D320" s="28" t="s">
        <v>53</v>
      </c>
      <c r="E320" s="28" t="s">
        <v>51</v>
      </c>
      <c r="F320" s="28" t="s">
        <v>83</v>
      </c>
      <c r="G320" s="153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47</v>
      </c>
      <c r="B321" s="28" t="s">
        <v>48</v>
      </c>
      <c r="C321" s="99" t="s">
        <v>49</v>
      </c>
      <c r="D321" s="28" t="s">
        <v>55</v>
      </c>
      <c r="E321" s="28" t="s">
        <v>51</v>
      </c>
      <c r="F321" s="28" t="s">
        <v>56</v>
      </c>
      <c r="G321" s="153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47</v>
      </c>
      <c r="B322" s="28" t="s">
        <v>57</v>
      </c>
      <c r="C322" s="99" t="s">
        <v>58</v>
      </c>
      <c r="D322" s="28" t="s">
        <v>50</v>
      </c>
      <c r="E322" s="28" t="s">
        <v>103</v>
      </c>
      <c r="F322" s="28" t="s">
        <v>228</v>
      </c>
      <c r="G322" s="153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47</v>
      </c>
      <c r="B323" s="28" t="s">
        <v>57</v>
      </c>
      <c r="C323" s="99" t="s">
        <v>58</v>
      </c>
      <c r="D323" s="28" t="s">
        <v>53</v>
      </c>
      <c r="E323" s="28" t="s">
        <v>103</v>
      </c>
      <c r="F323" s="28" t="s">
        <v>279</v>
      </c>
      <c r="G323" s="153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47</v>
      </c>
      <c r="B324" s="28" t="s">
        <v>57</v>
      </c>
      <c r="C324" s="99" t="s">
        <v>58</v>
      </c>
      <c r="D324" s="28" t="s">
        <v>55</v>
      </c>
      <c r="E324" s="28" t="s">
        <v>103</v>
      </c>
      <c r="F324" s="28" t="s">
        <v>56</v>
      </c>
      <c r="G324" s="153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47</v>
      </c>
      <c r="B325" s="28" t="s">
        <v>60</v>
      </c>
      <c r="C325" s="99" t="s">
        <v>61</v>
      </c>
      <c r="D325" s="28" t="s">
        <v>50</v>
      </c>
      <c r="E325" s="28" t="s">
        <v>100</v>
      </c>
      <c r="F325" s="28" t="s">
        <v>228</v>
      </c>
      <c r="G325" s="153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47</v>
      </c>
      <c r="B326" s="28" t="s">
        <v>60</v>
      </c>
      <c r="C326" s="99" t="s">
        <v>61</v>
      </c>
      <c r="D326" s="28" t="s">
        <v>53</v>
      </c>
      <c r="E326" s="28" t="s">
        <v>100</v>
      </c>
      <c r="F326" s="28" t="s">
        <v>279</v>
      </c>
      <c r="G326" s="153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47</v>
      </c>
      <c r="B327" s="28" t="s">
        <v>60</v>
      </c>
      <c r="C327" s="99" t="s">
        <v>61</v>
      </c>
      <c r="D327" s="28" t="s">
        <v>55</v>
      </c>
      <c r="E327" s="28" t="s">
        <v>100</v>
      </c>
      <c r="F327" s="28" t="s">
        <v>56</v>
      </c>
      <c r="G327" s="153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47</v>
      </c>
      <c r="B328" s="28" t="s">
        <v>63</v>
      </c>
      <c r="C328" s="99" t="s">
        <v>64</v>
      </c>
      <c r="D328" s="28" t="s">
        <v>50</v>
      </c>
      <c r="E328" s="28" t="s">
        <v>130</v>
      </c>
      <c r="F328" s="28" t="s">
        <v>191</v>
      </c>
      <c r="G328" s="153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47</v>
      </c>
      <c r="B329" s="28" t="s">
        <v>63</v>
      </c>
      <c r="C329" s="99" t="s">
        <v>64</v>
      </c>
      <c r="D329" s="28" t="s">
        <v>53</v>
      </c>
      <c r="E329" s="28" t="s">
        <v>130</v>
      </c>
      <c r="F329" s="28" t="s">
        <v>83</v>
      </c>
      <c r="G329" s="153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47</v>
      </c>
      <c r="B330" s="28" t="s">
        <v>63</v>
      </c>
      <c r="C330" s="99" t="s">
        <v>64</v>
      </c>
      <c r="D330" s="28" t="s">
        <v>55</v>
      </c>
      <c r="E330" s="28" t="s">
        <v>130</v>
      </c>
      <c r="F330" s="28" t="s">
        <v>56</v>
      </c>
      <c r="G330" s="153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77</v>
      </c>
      <c r="B331" s="28" t="s">
        <v>78</v>
      </c>
      <c r="C331" s="99" t="s">
        <v>79</v>
      </c>
      <c r="D331" s="28" t="s">
        <v>80</v>
      </c>
      <c r="E331" s="28" t="s">
        <v>44</v>
      </c>
      <c r="F331" s="28" t="s">
        <v>88</v>
      </c>
      <c r="G331" s="153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x14ac:dyDescent="0.3">
      <c r="A332" s="28" t="s">
        <v>77</v>
      </c>
      <c r="B332" s="28" t="s">
        <v>78</v>
      </c>
      <c r="C332" s="99" t="s">
        <v>79</v>
      </c>
      <c r="D332" s="28" t="s">
        <v>82</v>
      </c>
      <c r="E332" s="28" t="s">
        <v>44</v>
      </c>
      <c r="F332" s="28" t="s">
        <v>89</v>
      </c>
      <c r="G332" s="153"/>
      <c r="H332" s="25"/>
      <c r="I332" s="25"/>
      <c r="J332" s="25"/>
      <c r="K332" s="25"/>
      <c r="L332" s="25"/>
      <c r="M332" s="25"/>
      <c r="N332" s="25"/>
      <c r="O332" s="26"/>
      <c r="P332" s="25"/>
      <c r="Q332" s="27"/>
      <c r="R332" s="27"/>
    </row>
    <row r="333" spans="1:18" ht="15" customHeight="1" x14ac:dyDescent="0.3">
      <c r="A333" s="28" t="s">
        <v>77</v>
      </c>
      <c r="B333" s="28" t="s">
        <v>78</v>
      </c>
      <c r="C333" s="99" t="s">
        <v>79</v>
      </c>
      <c r="D333" s="28" t="s">
        <v>84</v>
      </c>
      <c r="E333" s="28" t="s">
        <v>44</v>
      </c>
      <c r="F333" s="28" t="s">
        <v>90</v>
      </c>
      <c r="G333" s="153"/>
      <c r="H333" s="25"/>
      <c r="I333" s="25"/>
      <c r="J333" s="25"/>
      <c r="K333" s="25"/>
      <c r="L333" s="25"/>
      <c r="M333" s="25"/>
      <c r="N333" s="25"/>
      <c r="O333" s="26"/>
      <c r="P333" s="25"/>
      <c r="Q333" s="27"/>
      <c r="R333" s="27"/>
    </row>
    <row r="334" spans="1:18" ht="15" customHeight="1" x14ac:dyDescent="0.3">
      <c r="A334" s="28" t="s">
        <v>77</v>
      </c>
      <c r="B334" s="28" t="s">
        <v>86</v>
      </c>
      <c r="C334" s="99" t="s">
        <v>87</v>
      </c>
      <c r="D334" s="28" t="s">
        <v>80</v>
      </c>
      <c r="E334" s="28" t="s">
        <v>62</v>
      </c>
      <c r="F334" s="28" t="s">
        <v>88</v>
      </c>
      <c r="G334" s="153"/>
      <c r="H334" s="25"/>
      <c r="I334" s="25"/>
      <c r="J334" s="25"/>
      <c r="K334" s="25"/>
      <c r="L334" s="25"/>
      <c r="M334" s="25"/>
      <c r="N334" s="25"/>
      <c r="O334" s="26"/>
      <c r="P334" s="25"/>
      <c r="Q334" s="27"/>
      <c r="R334" s="27"/>
    </row>
    <row r="335" spans="1:18" ht="15" customHeight="1" x14ac:dyDescent="0.3">
      <c r="A335" s="28" t="s">
        <v>77</v>
      </c>
      <c r="B335" s="28" t="s">
        <v>86</v>
      </c>
      <c r="C335" s="99" t="s">
        <v>87</v>
      </c>
      <c r="D335" s="28" t="s">
        <v>82</v>
      </c>
      <c r="E335" s="28" t="s">
        <v>62</v>
      </c>
      <c r="F335" s="28" t="s">
        <v>89</v>
      </c>
      <c r="G335" s="153"/>
      <c r="H335" s="25"/>
      <c r="I335" s="25"/>
      <c r="J335" s="25"/>
      <c r="K335" s="25"/>
      <c r="L335" s="25"/>
      <c r="M335" s="25"/>
      <c r="N335" s="25"/>
      <c r="O335" s="26"/>
      <c r="P335" s="25"/>
      <c r="Q335" s="27"/>
      <c r="R335" s="27"/>
    </row>
    <row r="336" spans="1:18" ht="15" customHeight="1" x14ac:dyDescent="0.3">
      <c r="A336" s="28" t="s">
        <v>77</v>
      </c>
      <c r="B336" s="28" t="s">
        <v>86</v>
      </c>
      <c r="C336" s="99" t="s">
        <v>87</v>
      </c>
      <c r="D336" s="28" t="s">
        <v>84</v>
      </c>
      <c r="E336" s="28" t="s">
        <v>62</v>
      </c>
      <c r="F336" s="28" t="s">
        <v>90</v>
      </c>
      <c r="G336" s="153"/>
      <c r="H336" s="25"/>
      <c r="I336" s="25"/>
      <c r="J336" s="25"/>
      <c r="K336" s="25"/>
      <c r="L336" s="25"/>
      <c r="M336" s="25"/>
      <c r="N336" s="25"/>
      <c r="O336" s="26"/>
      <c r="P336" s="25"/>
      <c r="Q336" s="27"/>
      <c r="R336" s="27"/>
    </row>
    <row r="337" spans="1:18" ht="15" customHeight="1" x14ac:dyDescent="0.3">
      <c r="A337" s="28" t="s">
        <v>77</v>
      </c>
      <c r="B337" s="28" t="s">
        <v>91</v>
      </c>
      <c r="C337" s="99" t="s">
        <v>92</v>
      </c>
      <c r="D337" s="28" t="s">
        <v>80</v>
      </c>
      <c r="E337" s="28" t="s">
        <v>103</v>
      </c>
      <c r="F337" s="28" t="s">
        <v>228</v>
      </c>
      <c r="G337" s="153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77</v>
      </c>
      <c r="B338" s="28" t="s">
        <v>91</v>
      </c>
      <c r="C338" s="99" t="s">
        <v>92</v>
      </c>
      <c r="D338" s="28" t="s">
        <v>82</v>
      </c>
      <c r="E338" s="28" t="s">
        <v>103</v>
      </c>
      <c r="F338" s="28" t="s">
        <v>248</v>
      </c>
      <c r="G338" s="153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77</v>
      </c>
      <c r="B339" s="28" t="s">
        <v>91</v>
      </c>
      <c r="C339" s="99" t="s">
        <v>92</v>
      </c>
      <c r="D339" s="28" t="s">
        <v>84</v>
      </c>
      <c r="E339" s="28" t="s">
        <v>103</v>
      </c>
      <c r="F339" s="28" t="s">
        <v>249</v>
      </c>
      <c r="G339" s="153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77</v>
      </c>
      <c r="B340" s="28" t="s">
        <v>93</v>
      </c>
      <c r="C340" s="99" t="s">
        <v>94</v>
      </c>
      <c r="D340" s="28" t="s">
        <v>80</v>
      </c>
      <c r="E340" s="28" t="s">
        <v>62</v>
      </c>
      <c r="F340" s="28" t="s">
        <v>88</v>
      </c>
      <c r="G340" s="153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77</v>
      </c>
      <c r="B341" s="28" t="s">
        <v>93</v>
      </c>
      <c r="C341" s="99" t="s">
        <v>94</v>
      </c>
      <c r="D341" s="28" t="s">
        <v>82</v>
      </c>
      <c r="E341" s="28" t="s">
        <v>62</v>
      </c>
      <c r="F341" s="28" t="s">
        <v>89</v>
      </c>
      <c r="G341" s="153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77</v>
      </c>
      <c r="B342" s="28" t="s">
        <v>93</v>
      </c>
      <c r="C342" s="99" t="s">
        <v>94</v>
      </c>
      <c r="D342" s="28" t="s">
        <v>84</v>
      </c>
      <c r="E342" s="28" t="s">
        <v>62</v>
      </c>
      <c r="F342" s="28" t="s">
        <v>90</v>
      </c>
      <c r="G342" s="153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77</v>
      </c>
      <c r="B343" s="28" t="s">
        <v>98</v>
      </c>
      <c r="C343" s="99" t="s">
        <v>99</v>
      </c>
      <c r="D343" s="28" t="s">
        <v>80</v>
      </c>
      <c r="E343" s="28" t="s">
        <v>62</v>
      </c>
      <c r="F343" s="28" t="s">
        <v>229</v>
      </c>
      <c r="G343" s="153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77</v>
      </c>
      <c r="B344" s="28" t="s">
        <v>98</v>
      </c>
      <c r="C344" s="99" t="s">
        <v>99</v>
      </c>
      <c r="D344" s="28" t="s">
        <v>82</v>
      </c>
      <c r="E344" s="28" t="s">
        <v>62</v>
      </c>
      <c r="F344" s="28" t="s">
        <v>253</v>
      </c>
      <c r="G344" s="153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77</v>
      </c>
      <c r="B345" s="28" t="s">
        <v>98</v>
      </c>
      <c r="C345" s="99" t="s">
        <v>99</v>
      </c>
      <c r="D345" s="28" t="s">
        <v>84</v>
      </c>
      <c r="E345" s="28" t="s">
        <v>62</v>
      </c>
      <c r="F345" s="28" t="s">
        <v>254</v>
      </c>
      <c r="G345" s="153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77</v>
      </c>
      <c r="B346" s="28" t="s">
        <v>95</v>
      </c>
      <c r="C346" s="99" t="s">
        <v>96</v>
      </c>
      <c r="D346" s="28" t="s">
        <v>80</v>
      </c>
      <c r="E346" s="28" t="s">
        <v>97</v>
      </c>
      <c r="F346" s="28" t="s">
        <v>88</v>
      </c>
      <c r="G346" s="153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77</v>
      </c>
      <c r="B347" s="28" t="s">
        <v>95</v>
      </c>
      <c r="C347" s="99" t="s">
        <v>96</v>
      </c>
      <c r="D347" s="28" t="s">
        <v>82</v>
      </c>
      <c r="E347" s="28" t="s">
        <v>97</v>
      </c>
      <c r="F347" s="28" t="s">
        <v>89</v>
      </c>
      <c r="G347" s="153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77</v>
      </c>
      <c r="B348" s="28" t="s">
        <v>95</v>
      </c>
      <c r="C348" s="99" t="s">
        <v>96</v>
      </c>
      <c r="D348" s="28" t="s">
        <v>84</v>
      </c>
      <c r="E348" s="28" t="s">
        <v>97</v>
      </c>
      <c r="F348" s="28" t="s">
        <v>90</v>
      </c>
      <c r="G348" s="153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77</v>
      </c>
      <c r="B349" s="28" t="s">
        <v>101</v>
      </c>
      <c r="C349" s="99" t="s">
        <v>102</v>
      </c>
      <c r="D349" s="28" t="s">
        <v>80</v>
      </c>
      <c r="E349" s="28" t="s">
        <v>130</v>
      </c>
      <c r="F349" s="28" t="s">
        <v>228</v>
      </c>
      <c r="G349" s="153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77</v>
      </c>
      <c r="B350" s="28" t="s">
        <v>101</v>
      </c>
      <c r="C350" s="99" t="s">
        <v>102</v>
      </c>
      <c r="D350" s="28" t="s">
        <v>82</v>
      </c>
      <c r="E350" s="28" t="s">
        <v>130</v>
      </c>
      <c r="F350" s="28" t="s">
        <v>248</v>
      </c>
      <c r="G350" s="153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77</v>
      </c>
      <c r="B351" s="28" t="s">
        <v>101</v>
      </c>
      <c r="C351" s="99" t="s">
        <v>102</v>
      </c>
      <c r="D351" s="28" t="s">
        <v>84</v>
      </c>
      <c r="E351" s="28" t="s">
        <v>130</v>
      </c>
      <c r="F351" s="28" t="s">
        <v>249</v>
      </c>
      <c r="G351" s="153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77</v>
      </c>
      <c r="B352" s="28" t="s">
        <v>104</v>
      </c>
      <c r="C352" s="99" t="s">
        <v>105</v>
      </c>
      <c r="D352" s="28" t="s">
        <v>80</v>
      </c>
      <c r="E352" s="28" t="s">
        <v>97</v>
      </c>
      <c r="F352" s="28" t="s">
        <v>88</v>
      </c>
      <c r="G352" s="153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77</v>
      </c>
      <c r="B353" s="28" t="s">
        <v>104</v>
      </c>
      <c r="C353" s="99" t="s">
        <v>105</v>
      </c>
      <c r="D353" s="28" t="s">
        <v>82</v>
      </c>
      <c r="E353" s="28" t="s">
        <v>97</v>
      </c>
      <c r="F353" s="28" t="s">
        <v>89</v>
      </c>
      <c r="G353" s="153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77</v>
      </c>
      <c r="B354" s="28" t="s">
        <v>104</v>
      </c>
      <c r="C354" s="99" t="s">
        <v>105</v>
      </c>
      <c r="D354" s="28" t="s">
        <v>84</v>
      </c>
      <c r="E354" s="28" t="s">
        <v>97</v>
      </c>
      <c r="F354" s="28" t="s">
        <v>90</v>
      </c>
      <c r="G354" s="153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41</v>
      </c>
      <c r="B355" s="28" t="s">
        <v>109</v>
      </c>
      <c r="C355" s="99" t="s">
        <v>195</v>
      </c>
      <c r="D355" s="28" t="s">
        <v>111</v>
      </c>
      <c r="E355" s="28" t="s">
        <v>29</v>
      </c>
      <c r="F355" s="28" t="s">
        <v>112</v>
      </c>
      <c r="G355" s="153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41</v>
      </c>
      <c r="B356" s="28" t="s">
        <v>113</v>
      </c>
      <c r="C356" s="99" t="s">
        <v>114</v>
      </c>
      <c r="D356" s="28" t="s">
        <v>43</v>
      </c>
      <c r="E356" s="28" t="s">
        <v>29</v>
      </c>
      <c r="F356" s="28" t="s">
        <v>286</v>
      </c>
      <c r="G356" s="153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26</v>
      </c>
      <c r="B357" s="28" t="s">
        <v>128</v>
      </c>
      <c r="C357" s="99" t="s">
        <v>137</v>
      </c>
      <c r="D357" s="28" t="s">
        <v>28</v>
      </c>
      <c r="E357" s="28" t="s">
        <v>29</v>
      </c>
      <c r="F357" s="28" t="s">
        <v>124</v>
      </c>
      <c r="G357" s="153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26</v>
      </c>
      <c r="B358" s="28" t="s">
        <v>136</v>
      </c>
      <c r="C358" s="99" t="s">
        <v>287</v>
      </c>
      <c r="D358" s="28" t="s">
        <v>28</v>
      </c>
      <c r="E358" s="28" t="s">
        <v>103</v>
      </c>
      <c r="F358" s="28" t="s">
        <v>258</v>
      </c>
      <c r="G358" s="153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138</v>
      </c>
      <c r="B359" s="28" t="s">
        <v>139</v>
      </c>
      <c r="C359" s="99" t="s">
        <v>61</v>
      </c>
      <c r="D359" s="28" t="s">
        <v>140</v>
      </c>
      <c r="E359" s="28" t="s">
        <v>44</v>
      </c>
      <c r="F359" s="28" t="s">
        <v>207</v>
      </c>
      <c r="G359" s="153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138</v>
      </c>
      <c r="B360" s="28" t="s">
        <v>142</v>
      </c>
      <c r="C360" s="99" t="s">
        <v>129</v>
      </c>
      <c r="D360" s="28" t="s">
        <v>143</v>
      </c>
      <c r="E360" s="28" t="s">
        <v>29</v>
      </c>
      <c r="F360" s="28" t="s">
        <v>152</v>
      </c>
      <c r="G360" s="153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138</v>
      </c>
      <c r="B361" s="28" t="s">
        <v>142</v>
      </c>
      <c r="C361" s="99" t="s">
        <v>129</v>
      </c>
      <c r="D361" s="28" t="s">
        <v>140</v>
      </c>
      <c r="E361" s="28" t="s">
        <v>29</v>
      </c>
      <c r="F361" s="28" t="s">
        <v>153</v>
      </c>
      <c r="G361" s="153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26</v>
      </c>
      <c r="B362" s="28" t="s">
        <v>146</v>
      </c>
      <c r="C362" s="99" t="s">
        <v>288</v>
      </c>
      <c r="D362" s="28" t="s">
        <v>28</v>
      </c>
      <c r="E362" s="28" t="s">
        <v>118</v>
      </c>
      <c r="F362" s="28" t="s">
        <v>124</v>
      </c>
      <c r="G362" s="153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26</v>
      </c>
      <c r="B363" s="28" t="s">
        <v>202</v>
      </c>
      <c r="C363" s="99" t="s">
        <v>289</v>
      </c>
      <c r="D363" s="28" t="s">
        <v>28</v>
      </c>
      <c r="E363" s="28" t="s">
        <v>44</v>
      </c>
      <c r="F363" s="28" t="s">
        <v>197</v>
      </c>
      <c r="G363" s="153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138</v>
      </c>
      <c r="B364" s="28" t="s">
        <v>148</v>
      </c>
      <c r="C364" s="99" t="s">
        <v>149</v>
      </c>
      <c r="D364" s="28" t="s">
        <v>143</v>
      </c>
      <c r="E364" s="28" t="s">
        <v>29</v>
      </c>
      <c r="F364" s="28" t="s">
        <v>209</v>
      </c>
      <c r="G364" s="153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138</v>
      </c>
      <c r="B365" s="28" t="s">
        <v>148</v>
      </c>
      <c r="C365" s="99" t="s">
        <v>149</v>
      </c>
      <c r="D365" s="28" t="s">
        <v>140</v>
      </c>
      <c r="E365" s="28" t="s">
        <v>29</v>
      </c>
      <c r="F365" s="28" t="s">
        <v>210</v>
      </c>
      <c r="G365" s="153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138</v>
      </c>
      <c r="B366" s="28" t="s">
        <v>150</v>
      </c>
      <c r="C366" s="99" t="s">
        <v>151</v>
      </c>
      <c r="D366" s="28" t="s">
        <v>143</v>
      </c>
      <c r="E366" s="28" t="s">
        <v>29</v>
      </c>
      <c r="F366" s="28" t="s">
        <v>152</v>
      </c>
      <c r="G366" s="153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138</v>
      </c>
      <c r="B367" s="28" t="s">
        <v>150</v>
      </c>
      <c r="C367" s="99" t="s">
        <v>151</v>
      </c>
      <c r="D367" s="28" t="s">
        <v>140</v>
      </c>
      <c r="E367" s="28" t="s">
        <v>29</v>
      </c>
      <c r="F367" s="28" t="s">
        <v>153</v>
      </c>
      <c r="G367" s="153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26</v>
      </c>
      <c r="B368" s="28" t="s">
        <v>203</v>
      </c>
      <c r="C368" s="99" t="s">
        <v>265</v>
      </c>
      <c r="D368" s="28" t="s">
        <v>28</v>
      </c>
      <c r="E368" s="28" t="s">
        <v>97</v>
      </c>
      <c r="F368" s="28" t="s">
        <v>258</v>
      </c>
      <c r="G368" s="153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138</v>
      </c>
      <c r="B369" s="28" t="s">
        <v>154</v>
      </c>
      <c r="C369" s="99" t="s">
        <v>155</v>
      </c>
      <c r="D369" s="28" t="s">
        <v>143</v>
      </c>
      <c r="E369" s="28" t="s">
        <v>97</v>
      </c>
      <c r="F369" s="28" t="s">
        <v>209</v>
      </c>
      <c r="G369" s="153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138</v>
      </c>
      <c r="B370" s="28" t="s">
        <v>154</v>
      </c>
      <c r="C370" s="99" t="s">
        <v>155</v>
      </c>
      <c r="D370" s="28" t="s">
        <v>140</v>
      </c>
      <c r="E370" s="28" t="s">
        <v>97</v>
      </c>
      <c r="F370" s="28" t="s">
        <v>210</v>
      </c>
      <c r="G370" s="153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138</v>
      </c>
      <c r="B371" s="28" t="s">
        <v>156</v>
      </c>
      <c r="C371" s="99" t="s">
        <v>157</v>
      </c>
      <c r="D371" s="28" t="s">
        <v>143</v>
      </c>
      <c r="E371" s="28" t="s">
        <v>29</v>
      </c>
      <c r="F371" s="28" t="s">
        <v>144</v>
      </c>
      <c r="G371" s="153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138</v>
      </c>
      <c r="B372" s="28" t="s">
        <v>156</v>
      </c>
      <c r="C372" s="99" t="s">
        <v>157</v>
      </c>
      <c r="D372" s="28" t="s">
        <v>140</v>
      </c>
      <c r="E372" s="28" t="s">
        <v>29</v>
      </c>
      <c r="F372" s="28" t="s">
        <v>145</v>
      </c>
      <c r="G372" s="153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138</v>
      </c>
      <c r="B373" s="28" t="s">
        <v>158</v>
      </c>
      <c r="C373" s="99" t="s">
        <v>58</v>
      </c>
      <c r="D373" s="28" t="s">
        <v>140</v>
      </c>
      <c r="E373" s="28" t="s">
        <v>44</v>
      </c>
      <c r="F373" s="28" t="s">
        <v>290</v>
      </c>
      <c r="G373" s="153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138</v>
      </c>
      <c r="B374" s="28" t="s">
        <v>159</v>
      </c>
      <c r="C374" s="99" t="s">
        <v>160</v>
      </c>
      <c r="D374" s="28" t="s">
        <v>143</v>
      </c>
      <c r="E374" s="28" t="s">
        <v>29</v>
      </c>
      <c r="F374" s="28" t="s">
        <v>209</v>
      </c>
      <c r="G374" s="153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138</v>
      </c>
      <c r="B375" s="28" t="s">
        <v>159</v>
      </c>
      <c r="C375" s="99" t="s">
        <v>160</v>
      </c>
      <c r="D375" s="28" t="s">
        <v>140</v>
      </c>
      <c r="E375" s="28" t="s">
        <v>29</v>
      </c>
      <c r="F375" s="28" t="s">
        <v>210</v>
      </c>
      <c r="G375" s="153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138</v>
      </c>
      <c r="B376" s="28" t="s">
        <v>161</v>
      </c>
      <c r="C376" s="99" t="s">
        <v>49</v>
      </c>
      <c r="D376" s="28" t="s">
        <v>140</v>
      </c>
      <c r="E376" s="28" t="s">
        <v>44</v>
      </c>
      <c r="F376" s="28" t="s">
        <v>207</v>
      </c>
      <c r="G376" s="153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120</v>
      </c>
      <c r="B377" s="28" t="s">
        <v>163</v>
      </c>
      <c r="C377" s="99" t="s">
        <v>164</v>
      </c>
      <c r="D377" s="28" t="s">
        <v>123</v>
      </c>
      <c r="E377" s="28" t="s">
        <v>103</v>
      </c>
      <c r="F377" s="28" t="s">
        <v>124</v>
      </c>
      <c r="G377" s="153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138</v>
      </c>
      <c r="B378" s="28" t="s">
        <v>166</v>
      </c>
      <c r="C378" s="99" t="s">
        <v>64</v>
      </c>
      <c r="D378" s="28" t="s">
        <v>140</v>
      </c>
      <c r="E378" s="28" t="s">
        <v>44</v>
      </c>
      <c r="F378" s="28" t="s">
        <v>207</v>
      </c>
      <c r="G378" s="153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138</v>
      </c>
      <c r="B379" s="28" t="s">
        <v>167</v>
      </c>
      <c r="C379" s="99" t="s">
        <v>168</v>
      </c>
      <c r="D379" s="28" t="s">
        <v>143</v>
      </c>
      <c r="E379" s="28" t="s">
        <v>29</v>
      </c>
      <c r="F379" s="28" t="s">
        <v>209</v>
      </c>
      <c r="G379" s="153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138</v>
      </c>
      <c r="B380" s="28" t="s">
        <v>167</v>
      </c>
      <c r="C380" s="99" t="s">
        <v>168</v>
      </c>
      <c r="D380" s="28" t="s">
        <v>140</v>
      </c>
      <c r="E380" s="28" t="s">
        <v>29</v>
      </c>
      <c r="F380" s="28" t="s">
        <v>210</v>
      </c>
      <c r="G380" s="153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41</v>
      </c>
      <c r="B381" s="28" t="s">
        <v>169</v>
      </c>
      <c r="C381" s="99" t="s">
        <v>170</v>
      </c>
      <c r="D381" s="28" t="s">
        <v>43</v>
      </c>
      <c r="E381" s="28" t="s">
        <v>29</v>
      </c>
      <c r="F381" s="28" t="s">
        <v>115</v>
      </c>
      <c r="G381" s="153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41</v>
      </c>
      <c r="B382" s="28" t="s">
        <v>171</v>
      </c>
      <c r="C382" s="99" t="s">
        <v>172</v>
      </c>
      <c r="D382" s="28" t="s">
        <v>43</v>
      </c>
      <c r="E382" s="28" t="s">
        <v>29</v>
      </c>
      <c r="F382" s="28" t="s">
        <v>115</v>
      </c>
      <c r="G382" s="153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41</v>
      </c>
      <c r="B383" s="28" t="s">
        <v>173</v>
      </c>
      <c r="C383" s="99" t="s">
        <v>174</v>
      </c>
      <c r="D383" s="28" t="s">
        <v>43</v>
      </c>
      <c r="E383" s="28" t="s">
        <v>29</v>
      </c>
      <c r="F383" s="28" t="s">
        <v>115</v>
      </c>
      <c r="G383" s="153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26</v>
      </c>
      <c r="B384" s="28" t="s">
        <v>175</v>
      </c>
      <c r="C384" s="99" t="s">
        <v>291</v>
      </c>
      <c r="D384" s="28" t="s">
        <v>28</v>
      </c>
      <c r="E384" s="28" t="s">
        <v>29</v>
      </c>
      <c r="F384" s="28" t="s">
        <v>186</v>
      </c>
      <c r="G384" s="153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138</v>
      </c>
      <c r="B385" s="28" t="s">
        <v>178</v>
      </c>
      <c r="C385" s="99" t="s">
        <v>179</v>
      </c>
      <c r="D385" s="28" t="s">
        <v>143</v>
      </c>
      <c r="E385" s="28" t="s">
        <v>29</v>
      </c>
      <c r="F385" s="28" t="s">
        <v>209</v>
      </c>
      <c r="G385" s="153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9" t="s">
        <v>138</v>
      </c>
      <c r="B386" s="29" t="s">
        <v>178</v>
      </c>
      <c r="C386" s="100" t="s">
        <v>179</v>
      </c>
      <c r="D386" s="29" t="s">
        <v>140</v>
      </c>
      <c r="E386" s="29" t="s">
        <v>29</v>
      </c>
      <c r="F386" s="29" t="s">
        <v>210</v>
      </c>
      <c r="G386" s="154"/>
      <c r="H386" s="30"/>
      <c r="I386" s="30"/>
      <c r="J386" s="30"/>
      <c r="K386" s="30"/>
      <c r="L386" s="30"/>
      <c r="M386" s="30"/>
      <c r="N386" s="30"/>
      <c r="O386" s="31"/>
      <c r="P386" s="30"/>
      <c r="Q386" s="32"/>
      <c r="R386" s="32"/>
    </row>
  </sheetData>
  <mergeCells count="31">
    <mergeCell ref="G311:G386"/>
    <mergeCell ref="H309:R309"/>
    <mergeCell ref="H1:L1"/>
    <mergeCell ref="A1:E1"/>
    <mergeCell ref="H168:R168"/>
    <mergeCell ref="H4:R4"/>
    <mergeCell ref="A86:F86"/>
    <mergeCell ref="A2:F2"/>
    <mergeCell ref="A3:R3"/>
    <mergeCell ref="G6:G84"/>
    <mergeCell ref="A312:F312"/>
    <mergeCell ref="A85:R85"/>
    <mergeCell ref="A309:F309"/>
    <mergeCell ref="G170:G223"/>
    <mergeCell ref="N1:R1"/>
    <mergeCell ref="A224:R224"/>
    <mergeCell ref="A9:F9"/>
    <mergeCell ref="H225:R225"/>
    <mergeCell ref="A177:F177"/>
    <mergeCell ref="A308:R308"/>
    <mergeCell ref="K2:R2"/>
    <mergeCell ref="A167:R167"/>
    <mergeCell ref="G88:G166"/>
    <mergeCell ref="A225:F225"/>
    <mergeCell ref="H86:R86"/>
    <mergeCell ref="G227:G307"/>
    <mergeCell ref="A168:F168"/>
    <mergeCell ref="G2:J2"/>
    <mergeCell ref="A4:F4"/>
    <mergeCell ref="A91:F91"/>
    <mergeCell ref="A231:F2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4" bestFit="1" customWidth="1"/>
    <col min="2" max="2" width="9.77734375" style="134" bestFit="1" customWidth="1"/>
    <col min="3" max="3" width="7.88671875" style="134" bestFit="1" customWidth="1"/>
    <col min="4" max="4" width="6.77734375" style="134" bestFit="1" customWidth="1"/>
    <col min="5" max="5" width="9.21875" style="134" bestFit="1" customWidth="1"/>
    <col min="6" max="6" width="5.21875" style="134" bestFit="1" customWidth="1"/>
    <col min="7" max="7" width="10" style="134" bestFit="1" customWidth="1"/>
    <col min="8" max="9" width="8.5546875" style="134" bestFit="1" customWidth="1"/>
    <col min="10" max="10" width="8" style="134" bestFit="1" customWidth="1"/>
    <col min="11" max="11" width="12.21875" style="134" bestFit="1" customWidth="1"/>
    <col min="12" max="12" width="20.6640625" style="134" bestFit="1" customWidth="1"/>
    <col min="13" max="13" width="8.77734375" style="134" bestFit="1" customWidth="1" outlineLevel="2"/>
    <col min="14" max="14" width="7.33203125" style="134" bestFit="1" customWidth="1" outlineLevel="2"/>
    <col min="15" max="15" width="9.109375" style="134" bestFit="1" customWidth="1" outlineLevel="2"/>
    <col min="16" max="16" width="15.33203125" style="134" bestFit="1" customWidth="1"/>
    <col min="17" max="24" width="3.88671875" style="134" bestFit="1" customWidth="1"/>
    <col min="25" max="25" width="4.21875" style="134" bestFit="1" customWidth="1"/>
    <col min="26" max="26" width="3.88671875" style="134" bestFit="1" customWidth="1"/>
    <col min="27" max="27" width="4.77734375" style="134" bestFit="1" customWidth="1"/>
    <col min="28" max="28" width="3.88671875" style="134" bestFit="1" customWidth="1"/>
    <col min="29" max="29" width="5.109375" style="134" bestFit="1" customWidth="1"/>
    <col min="30" max="31" width="5.33203125" style="134" bestFit="1" customWidth="1"/>
    <col min="32" max="32" width="4.44140625" style="134" bestFit="1" customWidth="1"/>
    <col min="33" max="33" width="5" style="134" bestFit="1" customWidth="1"/>
    <col min="34" max="34" width="3.88671875" style="134" bestFit="1" customWidth="1"/>
    <col min="35" max="35" width="6.21875" style="134" bestFit="1" customWidth="1"/>
    <col min="36" max="36" width="3.88671875" style="134" bestFit="1" customWidth="1"/>
    <col min="37" max="16384" width="8.88671875" style="134"/>
  </cols>
  <sheetData>
    <row r="1" spans="1:36" x14ac:dyDescent="0.3">
      <c r="A1" s="133" t="s">
        <v>292</v>
      </c>
      <c r="B1" s="133" t="s">
        <v>293</v>
      </c>
      <c r="C1" s="133" t="s">
        <v>294</v>
      </c>
      <c r="D1" s="133" t="s">
        <v>23</v>
      </c>
      <c r="E1" s="133" t="s">
        <v>295</v>
      </c>
      <c r="F1" s="133" t="s">
        <v>296</v>
      </c>
      <c r="G1" s="133" t="s">
        <v>16</v>
      </c>
      <c r="H1" s="133" t="s">
        <v>297</v>
      </c>
      <c r="I1" s="133" t="s">
        <v>298</v>
      </c>
      <c r="J1" s="133" t="s">
        <v>299</v>
      </c>
      <c r="K1" s="133" t="s">
        <v>300</v>
      </c>
      <c r="L1" s="133" t="s">
        <v>18</v>
      </c>
      <c r="M1" s="133" t="s">
        <v>20</v>
      </c>
      <c r="N1" s="133" t="s">
        <v>21</v>
      </c>
      <c r="O1" s="133" t="s">
        <v>19</v>
      </c>
      <c r="P1" s="133" t="s">
        <v>22</v>
      </c>
      <c r="Q1" s="133" t="s">
        <v>301</v>
      </c>
      <c r="R1" s="133" t="s">
        <v>302</v>
      </c>
      <c r="S1" s="133" t="s">
        <v>303</v>
      </c>
      <c r="T1" s="133" t="s">
        <v>304</v>
      </c>
      <c r="U1" s="133" t="s">
        <v>305</v>
      </c>
      <c r="V1" s="133" t="s">
        <v>306</v>
      </c>
      <c r="W1" s="133" t="s">
        <v>307</v>
      </c>
      <c r="X1" s="133" t="s">
        <v>308</v>
      </c>
      <c r="Y1" s="133" t="s">
        <v>309</v>
      </c>
      <c r="Z1" s="133" t="s">
        <v>310</v>
      </c>
      <c r="AA1" s="133" t="s">
        <v>311</v>
      </c>
      <c r="AB1" s="133" t="s">
        <v>312</v>
      </c>
      <c r="AC1" s="133" t="s">
        <v>313</v>
      </c>
      <c r="AD1" s="133" t="s">
        <v>314</v>
      </c>
      <c r="AE1" s="133" t="s">
        <v>315</v>
      </c>
      <c r="AF1" s="133" t="s">
        <v>316</v>
      </c>
      <c r="AG1" s="133" t="s">
        <v>317</v>
      </c>
      <c r="AH1" s="133" t="s">
        <v>318</v>
      </c>
      <c r="AI1" s="133" t="s">
        <v>319</v>
      </c>
      <c r="AJ1" s="133" t="s">
        <v>320</v>
      </c>
    </row>
    <row r="2" spans="1:36" x14ac:dyDescent="0.3">
      <c r="A2" s="135" t="s">
        <v>321</v>
      </c>
      <c r="B2" s="136">
        <v>45992</v>
      </c>
      <c r="C2" s="137" t="s">
        <v>37</v>
      </c>
      <c r="D2" s="138" t="s">
        <v>275</v>
      </c>
      <c r="E2" s="137" t="s">
        <v>1</v>
      </c>
      <c r="F2" s="137" t="s">
        <v>322</v>
      </c>
      <c r="G2" s="139">
        <v>0.83930000000000005</v>
      </c>
      <c r="H2" s="140">
        <v>168</v>
      </c>
      <c r="I2" s="140">
        <v>141</v>
      </c>
      <c r="J2" s="140">
        <v>70</v>
      </c>
      <c r="K2" s="137" t="s">
        <v>323</v>
      </c>
      <c r="L2" s="141" t="s">
        <v>38</v>
      </c>
      <c r="M2" s="140">
        <v>1</v>
      </c>
      <c r="N2" s="140">
        <v>3</v>
      </c>
      <c r="O2" s="140">
        <v>9</v>
      </c>
      <c r="P2" s="137" t="s">
        <v>39</v>
      </c>
      <c r="Q2" s="133"/>
      <c r="R2" s="133"/>
      <c r="S2" s="133"/>
      <c r="T2" s="133"/>
      <c r="U2" s="133"/>
      <c r="V2" s="133"/>
      <c r="W2" s="133"/>
      <c r="X2" s="133"/>
      <c r="Y2" s="133"/>
      <c r="Z2" s="140" t="s">
        <v>324</v>
      </c>
      <c r="AA2" s="140" t="s">
        <v>325</v>
      </c>
      <c r="AB2" s="140" t="s">
        <v>326</v>
      </c>
      <c r="AC2" s="140" t="s">
        <v>327</v>
      </c>
      <c r="AD2" s="140" t="s">
        <v>328</v>
      </c>
      <c r="AE2" s="140" t="s">
        <v>329</v>
      </c>
      <c r="AF2" s="140" t="s">
        <v>330</v>
      </c>
      <c r="AG2" s="133"/>
      <c r="AH2" s="133"/>
      <c r="AI2" s="140" t="s">
        <v>331</v>
      </c>
      <c r="AJ2" s="133"/>
    </row>
    <row r="3" spans="1:36" x14ac:dyDescent="0.3">
      <c r="A3" s="135" t="s">
        <v>321</v>
      </c>
      <c r="B3" s="136">
        <v>45992</v>
      </c>
      <c r="C3" s="137" t="s">
        <v>31</v>
      </c>
      <c r="D3" s="138" t="s">
        <v>201</v>
      </c>
      <c r="E3" s="137" t="s">
        <v>1</v>
      </c>
      <c r="F3" s="137" t="s">
        <v>322</v>
      </c>
      <c r="G3" s="139">
        <v>0.54759999999999998</v>
      </c>
      <c r="H3" s="140">
        <v>168</v>
      </c>
      <c r="I3" s="140">
        <v>92</v>
      </c>
      <c r="J3" s="140">
        <v>32</v>
      </c>
      <c r="K3" s="137" t="s">
        <v>323</v>
      </c>
      <c r="L3" s="141" t="s">
        <v>32</v>
      </c>
      <c r="M3" s="140">
        <v>0</v>
      </c>
      <c r="N3" s="140">
        <v>2</v>
      </c>
      <c r="O3" s="140">
        <v>27</v>
      </c>
      <c r="P3" s="137" t="s">
        <v>33</v>
      </c>
      <c r="Q3" s="133"/>
      <c r="R3" s="133"/>
      <c r="S3" s="133"/>
      <c r="T3" s="133"/>
      <c r="U3" s="133"/>
      <c r="V3" s="133"/>
      <c r="W3" s="133"/>
      <c r="X3" s="133"/>
      <c r="Y3" s="133"/>
      <c r="Z3" s="140" t="s">
        <v>324</v>
      </c>
      <c r="AA3" s="140" t="s">
        <v>332</v>
      </c>
      <c r="AB3" s="133"/>
      <c r="AC3" s="140" t="s">
        <v>327</v>
      </c>
      <c r="AD3" s="140" t="s">
        <v>333</v>
      </c>
      <c r="AE3" s="140" t="s">
        <v>334</v>
      </c>
      <c r="AF3" s="140" t="s">
        <v>335</v>
      </c>
      <c r="AG3" s="133"/>
      <c r="AH3" s="133"/>
      <c r="AI3" s="140" t="s">
        <v>336</v>
      </c>
      <c r="AJ3" s="133"/>
    </row>
    <row r="4" spans="1:36" x14ac:dyDescent="0.3">
      <c r="A4" s="135" t="s">
        <v>337</v>
      </c>
      <c r="B4" s="136">
        <v>45993</v>
      </c>
      <c r="C4" s="137" t="s">
        <v>31</v>
      </c>
      <c r="D4" s="138" t="s">
        <v>338</v>
      </c>
      <c r="E4" s="137" t="s">
        <v>1</v>
      </c>
      <c r="F4" s="137" t="s">
        <v>322</v>
      </c>
      <c r="G4" s="139">
        <v>0.96650000000000003</v>
      </c>
      <c r="H4" s="140">
        <v>179</v>
      </c>
      <c r="I4" s="140">
        <v>173</v>
      </c>
      <c r="J4" s="140">
        <v>171</v>
      </c>
      <c r="K4" s="137" t="s">
        <v>323</v>
      </c>
      <c r="L4" s="141" t="s">
        <v>187</v>
      </c>
      <c r="M4" s="140">
        <v>0</v>
      </c>
      <c r="N4" s="140">
        <v>0</v>
      </c>
      <c r="O4" s="140">
        <v>0</v>
      </c>
      <c r="P4" s="137" t="s">
        <v>188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40" t="s">
        <v>339</v>
      </c>
      <c r="AE4" s="133"/>
      <c r="AF4" s="133"/>
      <c r="AG4" s="133"/>
      <c r="AH4" s="133"/>
      <c r="AI4" s="140" t="s">
        <v>340</v>
      </c>
      <c r="AJ4" s="133"/>
    </row>
    <row r="5" spans="1:36" x14ac:dyDescent="0.3">
      <c r="A5" s="135" t="s">
        <v>337</v>
      </c>
      <c r="B5" s="136">
        <v>45993</v>
      </c>
      <c r="C5" s="137" t="s">
        <v>183</v>
      </c>
      <c r="D5" s="138" t="s">
        <v>341</v>
      </c>
      <c r="E5" s="137" t="s">
        <v>1</v>
      </c>
      <c r="F5" s="137" t="s">
        <v>322</v>
      </c>
      <c r="G5" s="139">
        <v>0.99399999999999999</v>
      </c>
      <c r="H5" s="140">
        <v>168</v>
      </c>
      <c r="I5" s="140">
        <v>167</v>
      </c>
      <c r="J5" s="140">
        <v>132</v>
      </c>
      <c r="K5" s="137" t="s">
        <v>323</v>
      </c>
      <c r="L5" s="141" t="s">
        <v>38</v>
      </c>
      <c r="M5" s="140">
        <v>1</v>
      </c>
      <c r="N5" s="140">
        <v>1</v>
      </c>
      <c r="O5" s="140">
        <v>18</v>
      </c>
      <c r="P5" s="137" t="s">
        <v>184</v>
      </c>
      <c r="Q5" s="133"/>
      <c r="R5" s="133"/>
      <c r="S5" s="133"/>
      <c r="T5" s="133"/>
      <c r="U5" s="133"/>
      <c r="V5" s="133"/>
      <c r="W5" s="133"/>
      <c r="X5" s="133"/>
      <c r="Y5" s="133"/>
      <c r="Z5" s="140" t="s">
        <v>342</v>
      </c>
      <c r="AA5" s="133"/>
      <c r="AB5" s="140" t="s">
        <v>343</v>
      </c>
      <c r="AC5" s="140" t="s">
        <v>344</v>
      </c>
      <c r="AD5" s="140" t="s">
        <v>241</v>
      </c>
      <c r="AE5" s="133"/>
      <c r="AF5" s="133"/>
      <c r="AG5" s="133"/>
      <c r="AH5" s="133"/>
      <c r="AI5" s="140" t="s">
        <v>345</v>
      </c>
      <c r="AJ5" s="133"/>
    </row>
    <row r="6" spans="1:36" x14ac:dyDescent="0.3">
      <c r="A6" s="135" t="s">
        <v>346</v>
      </c>
      <c r="B6" s="136">
        <v>45994</v>
      </c>
      <c r="C6" s="137" t="s">
        <v>31</v>
      </c>
      <c r="D6" s="138" t="s">
        <v>347</v>
      </c>
      <c r="E6" s="137" t="s">
        <v>1</v>
      </c>
      <c r="F6" s="137" t="s">
        <v>322</v>
      </c>
      <c r="G6" s="139">
        <v>0.9345</v>
      </c>
      <c r="H6" s="140">
        <v>168</v>
      </c>
      <c r="I6" s="140">
        <v>157</v>
      </c>
      <c r="J6" s="140">
        <v>134</v>
      </c>
      <c r="K6" s="137" t="s">
        <v>323</v>
      </c>
      <c r="L6" s="141" t="s">
        <v>38</v>
      </c>
      <c r="M6" s="140">
        <v>2</v>
      </c>
      <c r="N6" s="140">
        <v>2</v>
      </c>
      <c r="O6" s="140">
        <v>9</v>
      </c>
      <c r="P6" s="137" t="s">
        <v>221</v>
      </c>
      <c r="Q6" s="133"/>
      <c r="R6" s="133"/>
      <c r="S6" s="133"/>
      <c r="T6" s="133"/>
      <c r="U6" s="133"/>
      <c r="V6" s="133"/>
      <c r="W6" s="133"/>
      <c r="X6" s="133"/>
      <c r="Y6" s="133"/>
      <c r="Z6" s="140" t="s">
        <v>348</v>
      </c>
      <c r="AA6" s="133"/>
      <c r="AB6" s="140" t="s">
        <v>184</v>
      </c>
      <c r="AC6" s="140" t="s">
        <v>349</v>
      </c>
      <c r="AD6" s="140" t="s">
        <v>350</v>
      </c>
      <c r="AE6" s="133"/>
      <c r="AF6" s="133"/>
      <c r="AG6" s="140" t="s">
        <v>351</v>
      </c>
      <c r="AH6" s="133"/>
      <c r="AI6" s="140" t="s">
        <v>352</v>
      </c>
      <c r="AJ6" s="133"/>
    </row>
    <row r="7" spans="1:36" x14ac:dyDescent="0.3">
      <c r="A7" s="135" t="s">
        <v>346</v>
      </c>
      <c r="B7" s="136">
        <v>45994</v>
      </c>
      <c r="C7" s="137" t="s">
        <v>37</v>
      </c>
      <c r="D7" s="138" t="s">
        <v>264</v>
      </c>
      <c r="E7" s="137" t="s">
        <v>1</v>
      </c>
      <c r="F7" s="137" t="s">
        <v>322</v>
      </c>
      <c r="G7" s="139">
        <v>0.86899999999999999</v>
      </c>
      <c r="H7" s="140">
        <v>168</v>
      </c>
      <c r="I7" s="140">
        <v>146</v>
      </c>
      <c r="J7" s="140">
        <v>129</v>
      </c>
      <c r="K7" s="137" t="s">
        <v>323</v>
      </c>
      <c r="L7" s="141" t="s">
        <v>224</v>
      </c>
      <c r="M7" s="140">
        <v>0</v>
      </c>
      <c r="N7" s="140">
        <v>0</v>
      </c>
      <c r="O7" s="140">
        <v>0</v>
      </c>
      <c r="P7" s="137" t="s">
        <v>225</v>
      </c>
      <c r="Q7" s="133"/>
      <c r="R7" s="133"/>
      <c r="S7" s="133"/>
      <c r="T7" s="133"/>
      <c r="U7" s="133"/>
      <c r="V7" s="133"/>
      <c r="W7" s="133"/>
      <c r="X7" s="133"/>
      <c r="Y7" s="140" t="s">
        <v>353</v>
      </c>
      <c r="Z7" s="140" t="s">
        <v>354</v>
      </c>
      <c r="AA7" s="133"/>
      <c r="AB7" s="133"/>
      <c r="AC7" s="140" t="s">
        <v>355</v>
      </c>
      <c r="AD7" s="140" t="s">
        <v>356</v>
      </c>
      <c r="AE7" s="140" t="s">
        <v>357</v>
      </c>
      <c r="AF7" s="140" t="s">
        <v>358</v>
      </c>
      <c r="AG7" s="133"/>
      <c r="AH7" s="133"/>
      <c r="AI7" s="140" t="s">
        <v>359</v>
      </c>
      <c r="AJ7" s="133"/>
    </row>
    <row r="8" spans="1:36" x14ac:dyDescent="0.3">
      <c r="A8" s="135" t="s">
        <v>360</v>
      </c>
      <c r="B8" s="136">
        <v>45995</v>
      </c>
      <c r="C8" s="137" t="s">
        <v>240</v>
      </c>
      <c r="D8" s="138" t="s">
        <v>361</v>
      </c>
      <c r="E8" s="137" t="s">
        <v>1</v>
      </c>
      <c r="F8" s="137" t="s">
        <v>322</v>
      </c>
      <c r="G8" s="139">
        <v>0.89880000000000004</v>
      </c>
      <c r="H8" s="140">
        <v>168</v>
      </c>
      <c r="I8" s="140">
        <v>151</v>
      </c>
      <c r="J8" s="140">
        <v>97</v>
      </c>
      <c r="K8" s="137" t="s">
        <v>323</v>
      </c>
      <c r="L8" s="141" t="s">
        <v>32</v>
      </c>
      <c r="M8" s="140">
        <v>0</v>
      </c>
      <c r="N8" s="140">
        <v>13</v>
      </c>
      <c r="O8" s="140">
        <v>37</v>
      </c>
      <c r="P8" s="137" t="s">
        <v>241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40" t="s">
        <v>362</v>
      </c>
      <c r="AE8" s="140" t="s">
        <v>363</v>
      </c>
      <c r="AF8" s="140" t="s">
        <v>364</v>
      </c>
      <c r="AG8" s="133"/>
      <c r="AH8" s="133"/>
      <c r="AI8" s="140" t="s">
        <v>365</v>
      </c>
      <c r="AJ8" s="133"/>
    </row>
    <row r="9" spans="1:36" x14ac:dyDescent="0.3">
      <c r="A9" s="135" t="s">
        <v>360</v>
      </c>
      <c r="B9" s="136">
        <v>45995</v>
      </c>
      <c r="C9" s="137" t="s">
        <v>31</v>
      </c>
      <c r="D9" s="138" t="s">
        <v>94</v>
      </c>
      <c r="E9" s="137" t="s">
        <v>1</v>
      </c>
      <c r="F9" s="137" t="s">
        <v>322</v>
      </c>
      <c r="G9" s="139">
        <v>0.4405</v>
      </c>
      <c r="H9" s="140">
        <v>168</v>
      </c>
      <c r="I9" s="140">
        <v>74</v>
      </c>
      <c r="J9" s="140">
        <v>44</v>
      </c>
      <c r="K9" s="137" t="s">
        <v>323</v>
      </c>
      <c r="L9" s="141" t="s">
        <v>32</v>
      </c>
      <c r="M9" s="140">
        <v>0</v>
      </c>
      <c r="N9" s="140">
        <v>1</v>
      </c>
      <c r="O9" s="140">
        <v>15</v>
      </c>
      <c r="P9" s="137" t="s">
        <v>221</v>
      </c>
      <c r="Q9" s="133"/>
      <c r="R9" s="133"/>
      <c r="S9" s="133"/>
      <c r="T9" s="133"/>
      <c r="U9" s="133"/>
      <c r="V9" s="133"/>
      <c r="W9" s="133"/>
      <c r="X9" s="133"/>
      <c r="Y9" s="133"/>
      <c r="Z9" s="140" t="s">
        <v>348</v>
      </c>
      <c r="AA9" s="133"/>
      <c r="AB9" s="133"/>
      <c r="AC9" s="140" t="s">
        <v>366</v>
      </c>
      <c r="AD9" s="140" t="s">
        <v>367</v>
      </c>
      <c r="AE9" s="133"/>
      <c r="AF9" s="140" t="s">
        <v>368</v>
      </c>
      <c r="AG9" s="133"/>
      <c r="AH9" s="133"/>
      <c r="AI9" s="140" t="s">
        <v>369</v>
      </c>
      <c r="AJ9" s="133"/>
    </row>
    <row r="10" spans="1:36" x14ac:dyDescent="0.3">
      <c r="A10" s="135" t="s">
        <v>360</v>
      </c>
      <c r="B10" s="136">
        <v>45995</v>
      </c>
      <c r="C10" s="137" t="s">
        <v>183</v>
      </c>
      <c r="D10" s="138" t="s">
        <v>370</v>
      </c>
      <c r="E10" s="137" t="s">
        <v>1</v>
      </c>
      <c r="F10" s="137" t="s">
        <v>322</v>
      </c>
      <c r="G10" s="139">
        <v>0.73209999999999997</v>
      </c>
      <c r="H10" s="140">
        <v>168</v>
      </c>
      <c r="I10" s="140">
        <v>123</v>
      </c>
      <c r="J10" s="140">
        <v>68</v>
      </c>
      <c r="K10" s="137" t="s">
        <v>323</v>
      </c>
      <c r="L10" s="141" t="s">
        <v>32</v>
      </c>
      <c r="M10" s="140">
        <v>0</v>
      </c>
      <c r="N10" s="140">
        <v>1</v>
      </c>
      <c r="O10" s="140">
        <v>8</v>
      </c>
      <c r="P10" s="137" t="s">
        <v>221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40" t="s">
        <v>324</v>
      </c>
      <c r="AA10" s="140" t="s">
        <v>332</v>
      </c>
      <c r="AB10" s="133"/>
      <c r="AC10" s="140" t="s">
        <v>366</v>
      </c>
      <c r="AD10" s="140" t="s">
        <v>350</v>
      </c>
      <c r="AE10" s="140" t="s">
        <v>371</v>
      </c>
      <c r="AF10" s="140" t="s">
        <v>335</v>
      </c>
      <c r="AG10" s="140" t="s">
        <v>372</v>
      </c>
      <c r="AH10" s="133"/>
      <c r="AI10" s="140" t="s">
        <v>373</v>
      </c>
      <c r="AJ10" s="133"/>
    </row>
    <row r="11" spans="1:36" x14ac:dyDescent="0.3">
      <c r="A11" s="135" t="s">
        <v>374</v>
      </c>
      <c r="B11" s="136">
        <v>45996</v>
      </c>
      <c r="C11" s="137" t="s">
        <v>37</v>
      </c>
      <c r="D11" s="138" t="s">
        <v>260</v>
      </c>
      <c r="E11" s="137" t="s">
        <v>1</v>
      </c>
      <c r="F11" s="137" t="s">
        <v>322</v>
      </c>
      <c r="G11" s="139">
        <v>0.33929999999999999</v>
      </c>
      <c r="H11" s="140">
        <v>168</v>
      </c>
      <c r="I11" s="140">
        <v>57</v>
      </c>
      <c r="J11" s="140">
        <v>0</v>
      </c>
      <c r="K11" s="137" t="s">
        <v>323</v>
      </c>
      <c r="L11" s="141" t="s">
        <v>38</v>
      </c>
      <c r="M11" s="140">
        <v>1</v>
      </c>
      <c r="N11" s="140">
        <v>8</v>
      </c>
      <c r="O11" s="140">
        <v>30</v>
      </c>
      <c r="P11" s="137" t="s">
        <v>276</v>
      </c>
      <c r="Q11" s="133"/>
      <c r="R11" s="133"/>
      <c r="S11" s="133"/>
      <c r="T11" s="133"/>
      <c r="U11" s="133"/>
      <c r="V11" s="133"/>
      <c r="W11" s="133"/>
      <c r="X11" s="133"/>
      <c r="Y11" s="140" t="s">
        <v>353</v>
      </c>
      <c r="Z11" s="140" t="s">
        <v>225</v>
      </c>
      <c r="AA11" s="140" t="s">
        <v>375</v>
      </c>
      <c r="AB11" s="133"/>
      <c r="AC11" s="140" t="s">
        <v>376</v>
      </c>
      <c r="AD11" s="140" t="s">
        <v>377</v>
      </c>
      <c r="AE11" s="140" t="s">
        <v>378</v>
      </c>
      <c r="AF11" s="140" t="s">
        <v>379</v>
      </c>
      <c r="AG11" s="133"/>
      <c r="AH11" s="133"/>
      <c r="AI11" s="140" t="s">
        <v>380</v>
      </c>
      <c r="AJ11" s="133"/>
    </row>
    <row r="12" spans="1:36" ht="21" x14ac:dyDescent="0.3">
      <c r="A12" s="142" t="s">
        <v>386</v>
      </c>
      <c r="B12" s="143"/>
      <c r="C12" s="142">
        <f>SUBTOTAL(103,JED_ATZ_LF_LEGACY[Flt])</f>
        <v>10</v>
      </c>
      <c r="D12" s="142"/>
      <c r="E12" s="142">
        <f>SUBTOTAL(103,JED_ATZ_LF_LEGACY[Brd-Off])</f>
        <v>10</v>
      </c>
      <c r="F12" s="142"/>
      <c r="G12" s="144">
        <f>SUBTOTAL(101,JED_ATZ_LF_LEGACY[LF%])</f>
        <v>0.75615999999999994</v>
      </c>
      <c r="H12" s="145">
        <f>SUBTOTAL(109,JED_ATZ_LF_LEGACY[CAP])</f>
        <v>1691</v>
      </c>
      <c r="I12" s="145">
        <f>SUBTOTAL(109,JED_ATZ_LF_LEGACY[BKG(Y)])</f>
        <v>1281</v>
      </c>
      <c r="J12" s="145">
        <f>SUBTOTAL(109,JED_ATZ_LF_LEGACY[GRP(Y)])</f>
        <v>877</v>
      </c>
      <c r="K12" s="142"/>
      <c r="L12" s="143"/>
      <c r="M12" s="145">
        <f>SUBTOTAL(109,JED_ATZ_LF_LEGACY[TO-DAY])</f>
        <v>5</v>
      </c>
      <c r="N12" s="145">
        <f>SUBTOTAL(109,JED_ATZ_LF_LEGACY[Y-DAY])</f>
        <v>31</v>
      </c>
      <c r="O12" s="145">
        <f>SUBTOTAL(109,JED_ATZ_LF_LEGACY[WEEKLY])</f>
        <v>153</v>
      </c>
      <c r="P12" s="146"/>
      <c r="Q12" s="145">
        <f>SUBTOTAL(109,JED_ATZ_LF_LEGACY[Y])</f>
        <v>0</v>
      </c>
      <c r="R12" s="145">
        <f>SUBTOTAL(109,JED_ATZ_LF_LEGACY[B])</f>
        <v>0</v>
      </c>
      <c r="S12" s="145">
        <f>SUBTOTAL(109,JED_ATZ_LF_LEGACY[M])</f>
        <v>0</v>
      </c>
      <c r="T12" s="145">
        <f>SUBTOTAL(109,JED_ATZ_LF_LEGACY[H])</f>
        <v>0</v>
      </c>
      <c r="U12" s="145">
        <f>SUBTOTAL(109,JED_ATZ_LF_LEGACY[Q])</f>
        <v>0</v>
      </c>
      <c r="V12" s="145">
        <f>SUBTOTAL(109,JED_ATZ_LF_LEGACY[K])</f>
        <v>0</v>
      </c>
      <c r="W12" s="145">
        <f>SUBTOTAL(109,JED_ATZ_LF_LEGACY[V])</f>
        <v>0</v>
      </c>
      <c r="X12" s="145">
        <f>SUBTOTAL(109,JED_ATZ_LF_LEGACY[L])</f>
        <v>0</v>
      </c>
      <c r="Y12" s="145">
        <f>SUBTOTAL(109,JED_ATZ_LF_LEGACY[G])</f>
        <v>0</v>
      </c>
      <c r="Z12" s="145">
        <f>SUBTOTAL(109,JED_ATZ_LF_LEGACY[S])</f>
        <v>0</v>
      </c>
      <c r="AA12" s="145">
        <f>SUBTOTAL(109,JED_ATZ_LF_LEGACY[W])</f>
        <v>0</v>
      </c>
      <c r="AB12" s="145">
        <f>SUBTOTAL(109,JED_ATZ_LF_LEGACY[T])</f>
        <v>0</v>
      </c>
      <c r="AC12" s="145">
        <f>SUBTOTAL(109,JED_ATZ_LF_LEGACY[X])</f>
        <v>0</v>
      </c>
      <c r="AD12" s="145">
        <f>SUBTOTAL(109,JED_ATZ_LF_LEGACY[U])</f>
        <v>0</v>
      </c>
      <c r="AE12" s="145">
        <f>SUBTOTAL(109,JED_ATZ_LF_LEGACY[O])</f>
        <v>0</v>
      </c>
      <c r="AF12" s="145">
        <f>SUBTOTAL(109,JED_ATZ_LF_LEGACY[I])</f>
        <v>0</v>
      </c>
      <c r="AG12" s="145">
        <f>SUBTOTAL(109,JED_ATZ_LF_LEGACY[E])</f>
        <v>0</v>
      </c>
      <c r="AH12" s="145">
        <f>SUBTOTAL(109,JED_ATZ_LF_LEGACY[A])</f>
        <v>0</v>
      </c>
      <c r="AI12" s="145">
        <f>SUBTOTAL(109,JED_ATZ_LF_LEGACY[P])</f>
        <v>0</v>
      </c>
      <c r="AJ12" s="145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0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77734375" hidden="1" customWidth="1"/>
  </cols>
  <sheetData>
    <row r="1" spans="1:9" ht="18" x14ac:dyDescent="0.3">
      <c r="A1" s="72" t="s">
        <v>381</v>
      </c>
      <c r="B1" s="73" t="s">
        <v>8</v>
      </c>
      <c r="C1" s="73" t="s">
        <v>9</v>
      </c>
      <c r="D1" s="73" t="s">
        <v>382</v>
      </c>
      <c r="E1" s="73" t="s">
        <v>10</v>
      </c>
      <c r="F1" s="73" t="s">
        <v>11</v>
      </c>
      <c r="G1" s="73" t="s">
        <v>12</v>
      </c>
      <c r="H1" s="74" t="s">
        <v>13</v>
      </c>
      <c r="I1" s="27"/>
    </row>
    <row r="2" spans="1:9" ht="19.8" customHeight="1" x14ac:dyDescent="0.3">
      <c r="A2" s="75" t="s">
        <v>383</v>
      </c>
      <c r="B2" s="76" t="s">
        <v>26</v>
      </c>
      <c r="C2" s="77" t="s">
        <v>27</v>
      </c>
      <c r="D2" s="76" t="s">
        <v>1</v>
      </c>
      <c r="E2" s="76" t="s">
        <v>201</v>
      </c>
      <c r="F2" s="76" t="s">
        <v>28</v>
      </c>
      <c r="G2" s="78">
        <v>9</v>
      </c>
      <c r="H2" s="125">
        <v>586</v>
      </c>
      <c r="I2" s="27"/>
    </row>
    <row r="3" spans="1:9" ht="19.8" customHeight="1" x14ac:dyDescent="0.3">
      <c r="A3" s="126">
        <v>45992</v>
      </c>
      <c r="B3" s="76" t="s">
        <v>26</v>
      </c>
      <c r="C3" s="77" t="s">
        <v>35</v>
      </c>
      <c r="D3" s="76" t="s">
        <v>1</v>
      </c>
      <c r="E3" s="127">
        <v>1.506944444444444</v>
      </c>
      <c r="F3" s="76" t="s">
        <v>28</v>
      </c>
      <c r="G3" s="78">
        <v>3</v>
      </c>
      <c r="H3" s="125">
        <v>586</v>
      </c>
      <c r="I3" s="27"/>
    </row>
    <row r="4" spans="1:9" ht="19.8" customHeight="1" x14ac:dyDescent="0.3">
      <c r="A4" s="128">
        <v>45992</v>
      </c>
      <c r="B4" s="79" t="s">
        <v>41</v>
      </c>
      <c r="C4" s="80" t="s">
        <v>42</v>
      </c>
      <c r="D4" s="79" t="s">
        <v>1</v>
      </c>
      <c r="E4" s="129">
        <v>1.96875</v>
      </c>
      <c r="F4" s="79" t="s">
        <v>43</v>
      </c>
      <c r="G4" s="81">
        <v>4</v>
      </c>
      <c r="H4" s="130">
        <v>640</v>
      </c>
      <c r="I4" s="27"/>
    </row>
    <row r="5" spans="1:9" ht="19.8" customHeight="1" x14ac:dyDescent="0.3">
      <c r="A5" s="82"/>
      <c r="B5" s="83"/>
      <c r="C5" s="83"/>
      <c r="D5" s="83"/>
      <c r="E5" s="83"/>
      <c r="F5" s="84" t="s">
        <v>384</v>
      </c>
      <c r="G5" s="83"/>
      <c r="H5" s="85"/>
      <c r="I5" s="27"/>
    </row>
    <row r="6" spans="1:9" ht="19.8" customHeight="1" x14ac:dyDescent="0.3">
      <c r="A6" s="128">
        <v>45992</v>
      </c>
      <c r="B6" s="79" t="s">
        <v>77</v>
      </c>
      <c r="C6" s="80" t="s">
        <v>86</v>
      </c>
      <c r="D6" s="79" t="s">
        <v>385</v>
      </c>
      <c r="E6" s="129">
        <v>1.256944444444444</v>
      </c>
      <c r="F6" s="79" t="s">
        <v>80</v>
      </c>
      <c r="G6" s="81">
        <v>4</v>
      </c>
      <c r="H6" s="130">
        <v>369</v>
      </c>
      <c r="I6" s="27"/>
    </row>
    <row r="7" spans="1:9" ht="19.8" customHeight="1" x14ac:dyDescent="0.3">
      <c r="A7" s="128">
        <v>45992</v>
      </c>
      <c r="B7" s="79" t="s">
        <v>77</v>
      </c>
      <c r="C7" s="80" t="s">
        <v>98</v>
      </c>
      <c r="D7" s="79" t="s">
        <v>385</v>
      </c>
      <c r="E7" s="129">
        <v>1.9027777777777779</v>
      </c>
      <c r="F7" s="79" t="s">
        <v>80</v>
      </c>
      <c r="G7" s="81">
        <v>1</v>
      </c>
      <c r="H7" s="130">
        <v>369</v>
      </c>
      <c r="I7" s="27"/>
    </row>
    <row r="8" spans="1:9" ht="19.8" customHeight="1" x14ac:dyDescent="0.3">
      <c r="A8" s="128">
        <v>45992</v>
      </c>
      <c r="B8" s="79" t="s">
        <v>77</v>
      </c>
      <c r="C8" s="80" t="s">
        <v>101</v>
      </c>
      <c r="D8" s="79" t="s">
        <v>385</v>
      </c>
      <c r="E8" s="129">
        <v>1.395833333333333</v>
      </c>
      <c r="F8" s="79" t="s">
        <v>80</v>
      </c>
      <c r="G8" s="81">
        <v>5</v>
      </c>
      <c r="H8" s="130">
        <v>369</v>
      </c>
      <c r="I8" s="27"/>
    </row>
    <row r="9" spans="1:9" ht="19.8" customHeight="1" x14ac:dyDescent="0.3">
      <c r="A9" s="128">
        <v>45992</v>
      </c>
      <c r="B9" s="79" t="s">
        <v>47</v>
      </c>
      <c r="C9" s="80" t="s">
        <v>48</v>
      </c>
      <c r="D9" s="79" t="s">
        <v>385</v>
      </c>
      <c r="E9" s="129">
        <v>1.1284722222222221</v>
      </c>
      <c r="F9" s="79" t="s">
        <v>50</v>
      </c>
      <c r="G9" s="81">
        <v>6</v>
      </c>
      <c r="H9" s="130">
        <v>389</v>
      </c>
      <c r="I9" s="27"/>
    </row>
    <row r="10" spans="1:9" ht="19.8" customHeight="1" x14ac:dyDescent="0.3">
      <c r="A10" s="128">
        <v>45992</v>
      </c>
      <c r="B10" s="79" t="s">
        <v>47</v>
      </c>
      <c r="C10" s="80" t="s">
        <v>57</v>
      </c>
      <c r="D10" s="79" t="s">
        <v>385</v>
      </c>
      <c r="E10" s="129">
        <v>1.302083333333333</v>
      </c>
      <c r="F10" s="79" t="s">
        <v>50</v>
      </c>
      <c r="G10" s="81">
        <v>10</v>
      </c>
      <c r="H10" s="130">
        <v>389</v>
      </c>
      <c r="I10" s="27"/>
    </row>
    <row r="11" spans="1:9" ht="19.8" customHeight="1" x14ac:dyDescent="0.3">
      <c r="A11" s="128">
        <v>45992</v>
      </c>
      <c r="B11" s="79" t="s">
        <v>47</v>
      </c>
      <c r="C11" s="80" t="s">
        <v>60</v>
      </c>
      <c r="D11" s="79" t="s">
        <v>385</v>
      </c>
      <c r="E11" s="129">
        <v>1.8888888888888891</v>
      </c>
      <c r="F11" s="79" t="s">
        <v>50</v>
      </c>
      <c r="G11" s="81">
        <v>9</v>
      </c>
      <c r="H11" s="130">
        <v>389</v>
      </c>
      <c r="I11" s="27"/>
    </row>
    <row r="12" spans="1:9" ht="19.8" customHeight="1" x14ac:dyDescent="0.3">
      <c r="A12" s="128">
        <v>45992</v>
      </c>
      <c r="B12" s="79" t="s">
        <v>132</v>
      </c>
      <c r="C12" s="80" t="s">
        <v>133</v>
      </c>
      <c r="D12" s="79" t="s">
        <v>385</v>
      </c>
      <c r="E12" s="129">
        <v>1.208333333333333</v>
      </c>
      <c r="F12" s="79" t="s">
        <v>123</v>
      </c>
      <c r="G12" s="81">
        <v>2</v>
      </c>
      <c r="H12" s="130">
        <v>400</v>
      </c>
      <c r="I12" s="27"/>
    </row>
    <row r="13" spans="1:9" ht="19.8" customHeight="1" x14ac:dyDescent="0.3">
      <c r="A13" s="128">
        <v>45992</v>
      </c>
      <c r="B13" s="79" t="s">
        <v>120</v>
      </c>
      <c r="C13" s="80" t="s">
        <v>121</v>
      </c>
      <c r="D13" s="79" t="s">
        <v>385</v>
      </c>
      <c r="E13" s="129">
        <v>1.3125</v>
      </c>
      <c r="F13" s="79" t="s">
        <v>123</v>
      </c>
      <c r="G13" s="81">
        <v>9</v>
      </c>
      <c r="H13" s="130">
        <v>401</v>
      </c>
      <c r="I13" s="27"/>
    </row>
    <row r="14" spans="1:9" ht="19.8" customHeight="1" x14ac:dyDescent="0.3">
      <c r="A14" s="128">
        <v>45992</v>
      </c>
      <c r="B14" s="79" t="s">
        <v>77</v>
      </c>
      <c r="C14" s="80" t="s">
        <v>78</v>
      </c>
      <c r="D14" s="79" t="s">
        <v>385</v>
      </c>
      <c r="E14" s="129">
        <v>1.854166666666667</v>
      </c>
      <c r="F14" s="79" t="s">
        <v>80</v>
      </c>
      <c r="G14" s="81">
        <v>9</v>
      </c>
      <c r="H14" s="130">
        <v>409</v>
      </c>
      <c r="I14" s="27"/>
    </row>
    <row r="15" spans="1:9" ht="19.8" customHeight="1" x14ac:dyDescent="0.3">
      <c r="A15" s="128">
        <v>45992</v>
      </c>
      <c r="B15" s="79" t="s">
        <v>77</v>
      </c>
      <c r="C15" s="80" t="s">
        <v>91</v>
      </c>
      <c r="D15" s="79" t="s">
        <v>385</v>
      </c>
      <c r="E15" s="129">
        <v>1.46875</v>
      </c>
      <c r="F15" s="79" t="s">
        <v>80</v>
      </c>
      <c r="G15" s="81">
        <v>9</v>
      </c>
      <c r="H15" s="130">
        <v>409</v>
      </c>
      <c r="I15" s="27"/>
    </row>
    <row r="16" spans="1:9" ht="19.8" customHeight="1" x14ac:dyDescent="0.3">
      <c r="A16" s="128">
        <v>45992</v>
      </c>
      <c r="B16" s="79" t="s">
        <v>77</v>
      </c>
      <c r="C16" s="80" t="s">
        <v>93</v>
      </c>
      <c r="D16" s="79" t="s">
        <v>385</v>
      </c>
      <c r="E16" s="129">
        <v>1.5173611111111109</v>
      </c>
      <c r="F16" s="79" t="s">
        <v>80</v>
      </c>
      <c r="G16" s="81">
        <v>6</v>
      </c>
      <c r="H16" s="130">
        <v>409</v>
      </c>
      <c r="I16" s="27"/>
    </row>
    <row r="17" spans="1:9" ht="19.8" customHeight="1" x14ac:dyDescent="0.3">
      <c r="A17" s="128">
        <v>45992</v>
      </c>
      <c r="B17" s="79" t="s">
        <v>77</v>
      </c>
      <c r="C17" s="80" t="s">
        <v>95</v>
      </c>
      <c r="D17" s="79" t="s">
        <v>385</v>
      </c>
      <c r="E17" s="129">
        <v>1.7986111111111109</v>
      </c>
      <c r="F17" s="79" t="s">
        <v>80</v>
      </c>
      <c r="G17" s="81">
        <v>8</v>
      </c>
      <c r="H17" s="130">
        <v>409</v>
      </c>
      <c r="I17" s="27"/>
    </row>
    <row r="18" spans="1:9" ht="19.8" customHeight="1" x14ac:dyDescent="0.3">
      <c r="A18" s="128">
        <v>45992</v>
      </c>
      <c r="B18" s="79" t="s">
        <v>67</v>
      </c>
      <c r="C18" s="80" t="s">
        <v>73</v>
      </c>
      <c r="D18" s="79" t="s">
        <v>385</v>
      </c>
      <c r="E18" s="129">
        <v>1.1736111111111109</v>
      </c>
      <c r="F18" s="79" t="s">
        <v>70</v>
      </c>
      <c r="G18" s="81">
        <v>9</v>
      </c>
      <c r="H18" s="130">
        <v>417</v>
      </c>
      <c r="I18" s="27"/>
    </row>
    <row r="19" spans="1:9" ht="19.8" customHeight="1" x14ac:dyDescent="0.3">
      <c r="A19" s="128">
        <v>45992</v>
      </c>
      <c r="B19" s="79" t="s">
        <v>47</v>
      </c>
      <c r="C19" s="80" t="s">
        <v>63</v>
      </c>
      <c r="D19" s="79" t="s">
        <v>385</v>
      </c>
      <c r="E19" s="129">
        <v>1.788194444444444</v>
      </c>
      <c r="F19" s="79" t="s">
        <v>50</v>
      </c>
      <c r="G19" s="81">
        <v>6</v>
      </c>
      <c r="H19" s="130">
        <v>459</v>
      </c>
      <c r="I19" s="27"/>
    </row>
    <row r="20" spans="1:9" ht="19.8" customHeight="1" x14ac:dyDescent="0.3">
      <c r="A20" s="128">
        <v>45992</v>
      </c>
      <c r="B20" s="79" t="s">
        <v>77</v>
      </c>
      <c r="C20" s="80" t="s">
        <v>86</v>
      </c>
      <c r="D20" s="79" t="s">
        <v>385</v>
      </c>
      <c r="E20" s="129">
        <v>1.256944444444444</v>
      </c>
      <c r="F20" s="79" t="s">
        <v>82</v>
      </c>
      <c r="G20" s="81">
        <v>4</v>
      </c>
      <c r="H20" s="130">
        <v>469</v>
      </c>
      <c r="I20" s="27"/>
    </row>
    <row r="21" spans="1:9" ht="19.8" customHeight="1" x14ac:dyDescent="0.3">
      <c r="A21" s="128">
        <v>45992</v>
      </c>
      <c r="B21" s="79" t="s">
        <v>77</v>
      </c>
      <c r="C21" s="80" t="s">
        <v>98</v>
      </c>
      <c r="D21" s="79" t="s">
        <v>385</v>
      </c>
      <c r="E21" s="129">
        <v>1.9027777777777779</v>
      </c>
      <c r="F21" s="79" t="s">
        <v>82</v>
      </c>
      <c r="G21" s="81">
        <v>1</v>
      </c>
      <c r="H21" s="130">
        <v>469</v>
      </c>
      <c r="I21" s="27"/>
    </row>
    <row r="22" spans="1:9" ht="19.8" customHeight="1" x14ac:dyDescent="0.3">
      <c r="A22" s="128">
        <v>45992</v>
      </c>
      <c r="B22" s="79" t="s">
        <v>77</v>
      </c>
      <c r="C22" s="80" t="s">
        <v>101</v>
      </c>
      <c r="D22" s="79" t="s">
        <v>385</v>
      </c>
      <c r="E22" s="129">
        <v>1.395833333333333</v>
      </c>
      <c r="F22" s="79" t="s">
        <v>82</v>
      </c>
      <c r="G22" s="81">
        <v>5</v>
      </c>
      <c r="H22" s="130">
        <v>469</v>
      </c>
      <c r="I22" s="27"/>
    </row>
    <row r="23" spans="1:9" ht="19.8" customHeight="1" x14ac:dyDescent="0.3">
      <c r="A23" s="128">
        <v>45992</v>
      </c>
      <c r="B23" s="79" t="s">
        <v>67</v>
      </c>
      <c r="C23" s="80" t="s">
        <v>68</v>
      </c>
      <c r="D23" s="79" t="s">
        <v>385</v>
      </c>
      <c r="E23" s="129">
        <v>1.3923611111111109</v>
      </c>
      <c r="F23" s="79" t="s">
        <v>70</v>
      </c>
      <c r="G23" s="81">
        <v>9</v>
      </c>
      <c r="H23" s="130">
        <v>473</v>
      </c>
      <c r="I23" s="27"/>
    </row>
    <row r="24" spans="1:9" ht="19.8" customHeight="1" x14ac:dyDescent="0.3">
      <c r="A24" s="128">
        <v>45992</v>
      </c>
      <c r="B24" s="79" t="s">
        <v>120</v>
      </c>
      <c r="C24" s="80" t="s">
        <v>163</v>
      </c>
      <c r="D24" s="79" t="s">
        <v>385</v>
      </c>
      <c r="E24" s="129">
        <v>1.666666666666667</v>
      </c>
      <c r="F24" s="79" t="s">
        <v>123</v>
      </c>
      <c r="G24" s="81">
        <v>9</v>
      </c>
      <c r="H24" s="130">
        <v>503</v>
      </c>
      <c r="I24" s="27"/>
    </row>
    <row r="25" spans="1:9" ht="19.8" customHeight="1" x14ac:dyDescent="0.3">
      <c r="A25" s="128">
        <v>45992</v>
      </c>
      <c r="B25" s="79" t="s">
        <v>77</v>
      </c>
      <c r="C25" s="80" t="s">
        <v>78</v>
      </c>
      <c r="D25" s="79" t="s">
        <v>385</v>
      </c>
      <c r="E25" s="129">
        <v>1.854166666666667</v>
      </c>
      <c r="F25" s="79" t="s">
        <v>82</v>
      </c>
      <c r="G25" s="81">
        <v>9</v>
      </c>
      <c r="H25" s="130">
        <v>509</v>
      </c>
      <c r="I25" s="27"/>
    </row>
    <row r="26" spans="1:9" ht="19.8" customHeight="1" x14ac:dyDescent="0.3">
      <c r="A26" s="128">
        <v>45992</v>
      </c>
      <c r="B26" s="79" t="s">
        <v>77</v>
      </c>
      <c r="C26" s="80" t="s">
        <v>91</v>
      </c>
      <c r="D26" s="79" t="s">
        <v>385</v>
      </c>
      <c r="E26" s="129">
        <v>1.46875</v>
      </c>
      <c r="F26" s="79" t="s">
        <v>82</v>
      </c>
      <c r="G26" s="81">
        <v>9</v>
      </c>
      <c r="H26" s="130">
        <v>509</v>
      </c>
      <c r="I26" s="27"/>
    </row>
    <row r="27" spans="1:9" ht="19.8" customHeight="1" x14ac:dyDescent="0.3">
      <c r="A27" s="128">
        <v>45992</v>
      </c>
      <c r="B27" s="79" t="s">
        <v>77</v>
      </c>
      <c r="C27" s="80" t="s">
        <v>93</v>
      </c>
      <c r="D27" s="79" t="s">
        <v>385</v>
      </c>
      <c r="E27" s="129">
        <v>1.5173611111111109</v>
      </c>
      <c r="F27" s="79" t="s">
        <v>82</v>
      </c>
      <c r="G27" s="81">
        <v>6</v>
      </c>
      <c r="H27" s="130">
        <v>509</v>
      </c>
      <c r="I27" s="27"/>
    </row>
    <row r="28" spans="1:9" ht="19.8" customHeight="1" x14ac:dyDescent="0.3">
      <c r="A28" s="128">
        <v>45992</v>
      </c>
      <c r="B28" s="79" t="s">
        <v>77</v>
      </c>
      <c r="C28" s="80" t="s">
        <v>95</v>
      </c>
      <c r="D28" s="79" t="s">
        <v>385</v>
      </c>
      <c r="E28" s="129">
        <v>1.7986111111111109</v>
      </c>
      <c r="F28" s="79" t="s">
        <v>82</v>
      </c>
      <c r="G28" s="81">
        <v>8</v>
      </c>
      <c r="H28" s="130">
        <v>509</v>
      </c>
      <c r="I28" s="27"/>
    </row>
    <row r="29" spans="1:9" ht="19.8" customHeight="1" x14ac:dyDescent="0.3">
      <c r="A29" s="128">
        <v>45992</v>
      </c>
      <c r="B29" s="79" t="s">
        <v>26</v>
      </c>
      <c r="C29" s="80" t="s">
        <v>175</v>
      </c>
      <c r="D29" s="79" t="s">
        <v>385</v>
      </c>
      <c r="E29" s="129">
        <v>1.979166666666667</v>
      </c>
      <c r="F29" s="79" t="s">
        <v>28</v>
      </c>
      <c r="G29" s="81">
        <v>9</v>
      </c>
      <c r="H29" s="130">
        <v>526</v>
      </c>
      <c r="I29" s="27"/>
    </row>
    <row r="30" spans="1:9" ht="19.8" customHeight="1" x14ac:dyDescent="0.3">
      <c r="A30" s="128">
        <v>45992</v>
      </c>
      <c r="B30" s="79" t="s">
        <v>47</v>
      </c>
      <c r="C30" s="80" t="s">
        <v>48</v>
      </c>
      <c r="D30" s="79" t="s">
        <v>385</v>
      </c>
      <c r="E30" s="129">
        <v>1.1284722222222221</v>
      </c>
      <c r="F30" s="79" t="s">
        <v>53</v>
      </c>
      <c r="G30" s="81">
        <v>6</v>
      </c>
      <c r="H30" s="130">
        <v>539</v>
      </c>
      <c r="I30" s="27"/>
    </row>
    <row r="31" spans="1:9" ht="19.8" customHeight="1" x14ac:dyDescent="0.3">
      <c r="A31" s="128">
        <v>45992</v>
      </c>
      <c r="B31" s="79" t="s">
        <v>47</v>
      </c>
      <c r="C31" s="80" t="s">
        <v>57</v>
      </c>
      <c r="D31" s="79" t="s">
        <v>385</v>
      </c>
      <c r="E31" s="129">
        <v>1.302083333333333</v>
      </c>
      <c r="F31" s="79" t="s">
        <v>53</v>
      </c>
      <c r="G31" s="81">
        <v>10</v>
      </c>
      <c r="H31" s="130">
        <v>539</v>
      </c>
      <c r="I31" s="27"/>
    </row>
    <row r="32" spans="1:9" ht="19.8" customHeight="1" x14ac:dyDescent="0.3">
      <c r="A32" s="128">
        <v>45992</v>
      </c>
      <c r="B32" s="79" t="s">
        <v>47</v>
      </c>
      <c r="C32" s="80" t="s">
        <v>60</v>
      </c>
      <c r="D32" s="79" t="s">
        <v>385</v>
      </c>
      <c r="E32" s="129">
        <v>1.8888888888888891</v>
      </c>
      <c r="F32" s="79" t="s">
        <v>53</v>
      </c>
      <c r="G32" s="81">
        <v>9</v>
      </c>
      <c r="H32" s="130">
        <v>539</v>
      </c>
      <c r="I32" s="27"/>
    </row>
    <row r="33" spans="1:9" ht="19.8" customHeight="1" x14ac:dyDescent="0.3">
      <c r="A33" s="128">
        <v>45992</v>
      </c>
      <c r="B33" s="79" t="s">
        <v>67</v>
      </c>
      <c r="C33" s="80" t="s">
        <v>73</v>
      </c>
      <c r="D33" s="79" t="s">
        <v>385</v>
      </c>
      <c r="E33" s="129">
        <v>1.1736111111111109</v>
      </c>
      <c r="F33" s="79" t="s">
        <v>55</v>
      </c>
      <c r="G33" s="81">
        <v>9</v>
      </c>
      <c r="H33" s="130">
        <v>540</v>
      </c>
      <c r="I33" s="27"/>
    </row>
    <row r="34" spans="1:9" ht="19.8" customHeight="1" x14ac:dyDescent="0.3">
      <c r="A34" s="128">
        <v>45992</v>
      </c>
      <c r="B34" s="79" t="s">
        <v>77</v>
      </c>
      <c r="C34" s="80" t="s">
        <v>86</v>
      </c>
      <c r="D34" s="79" t="s">
        <v>385</v>
      </c>
      <c r="E34" s="129">
        <v>1.256944444444444</v>
      </c>
      <c r="F34" s="79" t="s">
        <v>84</v>
      </c>
      <c r="G34" s="81">
        <v>4</v>
      </c>
      <c r="H34" s="130">
        <v>559</v>
      </c>
      <c r="I34" s="27"/>
    </row>
    <row r="35" spans="1:9" ht="19.8" customHeight="1" x14ac:dyDescent="0.3">
      <c r="A35" s="128">
        <v>45992</v>
      </c>
      <c r="B35" s="79" t="s">
        <v>77</v>
      </c>
      <c r="C35" s="80" t="s">
        <v>98</v>
      </c>
      <c r="D35" s="79" t="s">
        <v>385</v>
      </c>
      <c r="E35" s="129">
        <v>1.9027777777777779</v>
      </c>
      <c r="F35" s="79" t="s">
        <v>84</v>
      </c>
      <c r="G35" s="81">
        <v>1</v>
      </c>
      <c r="H35" s="130">
        <v>559</v>
      </c>
      <c r="I35" s="27"/>
    </row>
    <row r="36" spans="1:9" ht="19.8" customHeight="1" x14ac:dyDescent="0.3">
      <c r="A36" s="128">
        <v>45992</v>
      </c>
      <c r="B36" s="79" t="s">
        <v>77</v>
      </c>
      <c r="C36" s="80" t="s">
        <v>101</v>
      </c>
      <c r="D36" s="79" t="s">
        <v>385</v>
      </c>
      <c r="E36" s="129">
        <v>1.395833333333333</v>
      </c>
      <c r="F36" s="79" t="s">
        <v>84</v>
      </c>
      <c r="G36" s="81">
        <v>5</v>
      </c>
      <c r="H36" s="130">
        <v>559</v>
      </c>
      <c r="I36" s="27"/>
    </row>
    <row r="37" spans="1:9" ht="19.8" customHeight="1" x14ac:dyDescent="0.3">
      <c r="A37" s="128">
        <v>45992</v>
      </c>
      <c r="B37" s="79" t="s">
        <v>77</v>
      </c>
      <c r="C37" s="80" t="s">
        <v>104</v>
      </c>
      <c r="D37" s="79" t="s">
        <v>385</v>
      </c>
      <c r="E37" s="129">
        <v>1.645833333333333</v>
      </c>
      <c r="F37" s="79" t="s">
        <v>80</v>
      </c>
      <c r="G37" s="81">
        <v>9</v>
      </c>
      <c r="H37" s="130">
        <v>569</v>
      </c>
      <c r="I37" s="27"/>
    </row>
    <row r="38" spans="1:9" ht="19.8" customHeight="1" x14ac:dyDescent="0.3">
      <c r="A38" s="128">
        <v>45992</v>
      </c>
      <c r="B38" s="79" t="s">
        <v>41</v>
      </c>
      <c r="C38" s="80" t="s">
        <v>113</v>
      </c>
      <c r="D38" s="79" t="s">
        <v>385</v>
      </c>
      <c r="E38" s="129">
        <v>1.229166666666667</v>
      </c>
      <c r="F38" s="79" t="s">
        <v>43</v>
      </c>
      <c r="G38" s="81">
        <v>9</v>
      </c>
      <c r="H38" s="130">
        <v>579</v>
      </c>
      <c r="I38" s="27"/>
    </row>
    <row r="39" spans="1:9" ht="19.8" customHeight="1" x14ac:dyDescent="0.3">
      <c r="A39" s="128">
        <v>45992</v>
      </c>
      <c r="B39" s="79" t="s">
        <v>41</v>
      </c>
      <c r="C39" s="80" t="s">
        <v>169</v>
      </c>
      <c r="D39" s="79" t="s">
        <v>385</v>
      </c>
      <c r="E39" s="129">
        <v>1.145833333333333</v>
      </c>
      <c r="F39" s="79" t="s">
        <v>43</v>
      </c>
      <c r="G39" s="81">
        <v>9</v>
      </c>
      <c r="H39" s="130">
        <v>579</v>
      </c>
      <c r="I39" s="27"/>
    </row>
    <row r="40" spans="1:9" ht="19.8" customHeight="1" x14ac:dyDescent="0.3">
      <c r="A40" s="128">
        <v>45992</v>
      </c>
      <c r="B40" s="79" t="s">
        <v>41</v>
      </c>
      <c r="C40" s="80" t="s">
        <v>171</v>
      </c>
      <c r="D40" s="79" t="s">
        <v>385</v>
      </c>
      <c r="E40" s="129">
        <v>1.2777777777777779</v>
      </c>
      <c r="F40" s="79" t="s">
        <v>43</v>
      </c>
      <c r="G40" s="81">
        <v>9</v>
      </c>
      <c r="H40" s="130">
        <v>579</v>
      </c>
      <c r="I40" s="27"/>
    </row>
    <row r="41" spans="1:9" ht="19.8" customHeight="1" x14ac:dyDescent="0.3">
      <c r="A41" s="128">
        <v>45992</v>
      </c>
      <c r="B41" s="79" t="s">
        <v>41</v>
      </c>
      <c r="C41" s="80" t="s">
        <v>173</v>
      </c>
      <c r="D41" s="79" t="s">
        <v>385</v>
      </c>
      <c r="E41" s="129">
        <v>1.4861111111111109</v>
      </c>
      <c r="F41" s="79" t="s">
        <v>43</v>
      </c>
      <c r="G41" s="81">
        <v>9</v>
      </c>
      <c r="H41" s="130">
        <v>579</v>
      </c>
      <c r="I41" s="27"/>
    </row>
    <row r="42" spans="1:9" ht="19.8" customHeight="1" x14ac:dyDescent="0.3">
      <c r="A42" s="128">
        <v>45992</v>
      </c>
      <c r="B42" s="79" t="s">
        <v>41</v>
      </c>
      <c r="C42" s="80" t="s">
        <v>180</v>
      </c>
      <c r="D42" s="79" t="s">
        <v>385</v>
      </c>
      <c r="E42" s="129">
        <v>1.5138888888888891</v>
      </c>
      <c r="F42" s="79" t="s">
        <v>43</v>
      </c>
      <c r="G42" s="81">
        <v>9</v>
      </c>
      <c r="H42" s="130">
        <v>579</v>
      </c>
      <c r="I42" s="27"/>
    </row>
    <row r="43" spans="1:9" ht="19.8" customHeight="1" x14ac:dyDescent="0.3">
      <c r="A43" s="128">
        <v>45992</v>
      </c>
      <c r="B43" s="79" t="s">
        <v>26</v>
      </c>
      <c r="C43" s="80" t="s">
        <v>136</v>
      </c>
      <c r="D43" s="79" t="s">
        <v>385</v>
      </c>
      <c r="E43" s="129">
        <v>1.614583333333333</v>
      </c>
      <c r="F43" s="79" t="s">
        <v>28</v>
      </c>
      <c r="G43" s="81">
        <v>6</v>
      </c>
      <c r="H43" s="130">
        <v>586</v>
      </c>
      <c r="I43" s="27"/>
    </row>
    <row r="44" spans="1:9" ht="19.8" customHeight="1" x14ac:dyDescent="0.3">
      <c r="A44" s="128">
        <v>45992</v>
      </c>
      <c r="B44" s="79" t="s">
        <v>67</v>
      </c>
      <c r="C44" s="80" t="s">
        <v>68</v>
      </c>
      <c r="D44" s="79" t="s">
        <v>385</v>
      </c>
      <c r="E44" s="129">
        <v>1.3923611111111109</v>
      </c>
      <c r="F44" s="79" t="s">
        <v>55</v>
      </c>
      <c r="G44" s="81">
        <v>9</v>
      </c>
      <c r="H44" s="130">
        <v>596</v>
      </c>
      <c r="I44" s="27"/>
    </row>
    <row r="45" spans="1:9" ht="19.8" customHeight="1" x14ac:dyDescent="0.3">
      <c r="A45" s="128">
        <v>45992</v>
      </c>
      <c r="B45" s="79" t="s">
        <v>77</v>
      </c>
      <c r="C45" s="80" t="s">
        <v>78</v>
      </c>
      <c r="D45" s="79" t="s">
        <v>385</v>
      </c>
      <c r="E45" s="129">
        <v>1.854166666666667</v>
      </c>
      <c r="F45" s="79" t="s">
        <v>84</v>
      </c>
      <c r="G45" s="81">
        <v>9</v>
      </c>
      <c r="H45" s="130">
        <v>599</v>
      </c>
      <c r="I45" s="27"/>
    </row>
    <row r="46" spans="1:9" ht="19.8" customHeight="1" x14ac:dyDescent="0.3">
      <c r="A46" s="128">
        <v>45992</v>
      </c>
      <c r="B46" s="79" t="s">
        <v>77</v>
      </c>
      <c r="C46" s="80" t="s">
        <v>91</v>
      </c>
      <c r="D46" s="79" t="s">
        <v>385</v>
      </c>
      <c r="E46" s="129">
        <v>1.46875</v>
      </c>
      <c r="F46" s="79" t="s">
        <v>84</v>
      </c>
      <c r="G46" s="81">
        <v>9</v>
      </c>
      <c r="H46" s="130">
        <v>599</v>
      </c>
      <c r="I46" s="27"/>
    </row>
    <row r="47" spans="1:9" ht="19.8" customHeight="1" x14ac:dyDescent="0.3">
      <c r="A47" s="128">
        <v>45992</v>
      </c>
      <c r="B47" s="79" t="s">
        <v>77</v>
      </c>
      <c r="C47" s="80" t="s">
        <v>93</v>
      </c>
      <c r="D47" s="79" t="s">
        <v>385</v>
      </c>
      <c r="E47" s="129">
        <v>1.5173611111111109</v>
      </c>
      <c r="F47" s="79" t="s">
        <v>84</v>
      </c>
      <c r="G47" s="81">
        <v>6</v>
      </c>
      <c r="H47" s="130">
        <v>599</v>
      </c>
      <c r="I47" s="27"/>
    </row>
    <row r="48" spans="1:9" ht="19.8" customHeight="1" x14ac:dyDescent="0.3">
      <c r="A48" s="128">
        <v>45992</v>
      </c>
      <c r="B48" s="79" t="s">
        <v>77</v>
      </c>
      <c r="C48" s="80" t="s">
        <v>95</v>
      </c>
      <c r="D48" s="79" t="s">
        <v>385</v>
      </c>
      <c r="E48" s="129">
        <v>1.7986111111111109</v>
      </c>
      <c r="F48" s="79" t="s">
        <v>84</v>
      </c>
      <c r="G48" s="81">
        <v>8</v>
      </c>
      <c r="H48" s="130">
        <v>599</v>
      </c>
      <c r="I48" s="27"/>
    </row>
    <row r="49" spans="1:9" ht="19.8" customHeight="1" x14ac:dyDescent="0.3">
      <c r="A49" s="128">
        <v>45992</v>
      </c>
      <c r="B49" s="79" t="s">
        <v>47</v>
      </c>
      <c r="C49" s="80" t="s">
        <v>63</v>
      </c>
      <c r="D49" s="79" t="s">
        <v>385</v>
      </c>
      <c r="E49" s="129">
        <v>1.788194444444444</v>
      </c>
      <c r="F49" s="79" t="s">
        <v>53</v>
      </c>
      <c r="G49" s="81">
        <v>6</v>
      </c>
      <c r="H49" s="130">
        <v>609</v>
      </c>
      <c r="I49" s="27"/>
    </row>
    <row r="50" spans="1:9" ht="19.8" customHeight="1" x14ac:dyDescent="0.3">
      <c r="A50" s="128">
        <v>45992</v>
      </c>
      <c r="B50" s="79" t="s">
        <v>41</v>
      </c>
      <c r="C50" s="80" t="s">
        <v>116</v>
      </c>
      <c r="D50" s="79" t="s">
        <v>385</v>
      </c>
      <c r="E50" s="129">
        <v>1.958333333333333</v>
      </c>
      <c r="F50" s="79" t="s">
        <v>111</v>
      </c>
      <c r="G50" s="81">
        <v>2</v>
      </c>
      <c r="H50" s="130">
        <v>637</v>
      </c>
      <c r="I50" s="27"/>
    </row>
    <row r="51" spans="1:9" ht="19.8" customHeight="1" x14ac:dyDescent="0.3">
      <c r="A51" s="128">
        <v>45992</v>
      </c>
      <c r="B51" s="79" t="s">
        <v>26</v>
      </c>
      <c r="C51" s="80" t="s">
        <v>128</v>
      </c>
      <c r="D51" s="79" t="s">
        <v>385</v>
      </c>
      <c r="E51" s="129">
        <v>1.006944444444444</v>
      </c>
      <c r="F51" s="79" t="s">
        <v>28</v>
      </c>
      <c r="G51" s="81">
        <v>7</v>
      </c>
      <c r="H51" s="130">
        <v>646</v>
      </c>
      <c r="I51" s="27"/>
    </row>
    <row r="52" spans="1:9" ht="19.8" customHeight="1" x14ac:dyDescent="0.3">
      <c r="A52" s="128">
        <v>45992</v>
      </c>
      <c r="B52" s="79" t="s">
        <v>26</v>
      </c>
      <c r="C52" s="80" t="s">
        <v>146</v>
      </c>
      <c r="D52" s="79" t="s">
        <v>385</v>
      </c>
      <c r="E52" s="129">
        <v>1.4236111111111109</v>
      </c>
      <c r="F52" s="79" t="s">
        <v>28</v>
      </c>
      <c r="G52" s="81">
        <v>4</v>
      </c>
      <c r="H52" s="130">
        <v>646</v>
      </c>
      <c r="I52" s="27"/>
    </row>
    <row r="53" spans="1:9" ht="19.8" customHeight="1" x14ac:dyDescent="0.3">
      <c r="A53" s="128">
        <v>45992</v>
      </c>
      <c r="B53" s="79" t="s">
        <v>77</v>
      </c>
      <c r="C53" s="80" t="s">
        <v>104</v>
      </c>
      <c r="D53" s="79" t="s">
        <v>385</v>
      </c>
      <c r="E53" s="129">
        <v>1.645833333333333</v>
      </c>
      <c r="F53" s="79" t="s">
        <v>82</v>
      </c>
      <c r="G53" s="81">
        <v>9</v>
      </c>
      <c r="H53" s="130">
        <v>669</v>
      </c>
      <c r="I53" s="27"/>
    </row>
    <row r="54" spans="1:9" ht="19.8" customHeight="1" x14ac:dyDescent="0.3">
      <c r="A54" s="128">
        <v>45992</v>
      </c>
      <c r="B54" s="79" t="s">
        <v>41</v>
      </c>
      <c r="C54" s="80" t="s">
        <v>125</v>
      </c>
      <c r="D54" s="79" t="s">
        <v>385</v>
      </c>
      <c r="E54" s="129">
        <v>1.0138888888888891</v>
      </c>
      <c r="F54" s="79" t="s">
        <v>111</v>
      </c>
      <c r="G54" s="81">
        <v>1</v>
      </c>
      <c r="H54" s="130">
        <v>712</v>
      </c>
      <c r="I54" s="27"/>
    </row>
    <row r="55" spans="1:9" ht="19.8" customHeight="1" x14ac:dyDescent="0.3">
      <c r="A55" s="128">
        <v>45992</v>
      </c>
      <c r="B55" s="79" t="s">
        <v>77</v>
      </c>
      <c r="C55" s="80" t="s">
        <v>104</v>
      </c>
      <c r="D55" s="79" t="s">
        <v>385</v>
      </c>
      <c r="E55" s="129">
        <v>1.645833333333333</v>
      </c>
      <c r="F55" s="79" t="s">
        <v>84</v>
      </c>
      <c r="G55" s="81">
        <v>9</v>
      </c>
      <c r="H55" s="130">
        <v>759</v>
      </c>
      <c r="I55" s="27"/>
    </row>
    <row r="56" spans="1:9" ht="19.8" customHeight="1" x14ac:dyDescent="0.3">
      <c r="A56" s="128">
        <v>45992</v>
      </c>
      <c r="B56" s="79" t="s">
        <v>41</v>
      </c>
      <c r="C56" s="80" t="s">
        <v>109</v>
      </c>
      <c r="D56" s="79" t="s">
        <v>385</v>
      </c>
      <c r="E56" s="129">
        <v>1.774305555555556</v>
      </c>
      <c r="F56" s="79" t="s">
        <v>111</v>
      </c>
      <c r="G56" s="81">
        <v>8</v>
      </c>
      <c r="H56" s="130">
        <v>795</v>
      </c>
      <c r="I56" s="27"/>
    </row>
    <row r="57" spans="1:9" ht="19.8" customHeight="1" x14ac:dyDescent="0.3">
      <c r="A57" s="128">
        <v>45992</v>
      </c>
      <c r="B57" s="79" t="s">
        <v>138</v>
      </c>
      <c r="C57" s="80" t="s">
        <v>150</v>
      </c>
      <c r="D57" s="79" t="s">
        <v>385</v>
      </c>
      <c r="E57" s="129">
        <v>1.930555555555556</v>
      </c>
      <c r="F57" s="79" t="s">
        <v>143</v>
      </c>
      <c r="G57" s="81">
        <v>9</v>
      </c>
      <c r="H57" s="130">
        <v>935</v>
      </c>
      <c r="I57" s="27"/>
    </row>
    <row r="58" spans="1:9" ht="19.8" customHeight="1" x14ac:dyDescent="0.3">
      <c r="A58" s="128">
        <v>45992</v>
      </c>
      <c r="B58" s="79" t="s">
        <v>138</v>
      </c>
      <c r="C58" s="80" t="s">
        <v>159</v>
      </c>
      <c r="D58" s="79" t="s">
        <v>385</v>
      </c>
      <c r="E58" s="129">
        <v>1.3784722222222221</v>
      </c>
      <c r="F58" s="79" t="s">
        <v>143</v>
      </c>
      <c r="G58" s="81">
        <v>9</v>
      </c>
      <c r="H58" s="130">
        <v>935</v>
      </c>
      <c r="I58" s="27"/>
    </row>
    <row r="59" spans="1:9" ht="19.8" customHeight="1" x14ac:dyDescent="0.3">
      <c r="A59" s="128">
        <v>45992</v>
      </c>
      <c r="B59" s="79" t="s">
        <v>138</v>
      </c>
      <c r="C59" s="80" t="s">
        <v>167</v>
      </c>
      <c r="D59" s="79" t="s">
        <v>385</v>
      </c>
      <c r="E59" s="129">
        <v>1.6111111111111109</v>
      </c>
      <c r="F59" s="79" t="s">
        <v>143</v>
      </c>
      <c r="G59" s="81">
        <v>9</v>
      </c>
      <c r="H59" s="130">
        <v>935</v>
      </c>
      <c r="I59" s="27"/>
    </row>
    <row r="60" spans="1:9" ht="19.8" customHeight="1" x14ac:dyDescent="0.3">
      <c r="A60" s="128">
        <v>45992</v>
      </c>
      <c r="B60" s="79" t="s">
        <v>138</v>
      </c>
      <c r="C60" s="80" t="s">
        <v>178</v>
      </c>
      <c r="D60" s="79" t="s">
        <v>385</v>
      </c>
      <c r="E60" s="129">
        <v>1.239583333333333</v>
      </c>
      <c r="F60" s="79" t="s">
        <v>143</v>
      </c>
      <c r="G60" s="81">
        <v>9</v>
      </c>
      <c r="H60" s="130">
        <v>935</v>
      </c>
      <c r="I60" s="27"/>
    </row>
    <row r="61" spans="1:9" ht="19.8" customHeight="1" x14ac:dyDescent="0.3">
      <c r="A61" s="128">
        <v>45992</v>
      </c>
      <c r="B61" s="79" t="s">
        <v>138</v>
      </c>
      <c r="C61" s="80" t="s">
        <v>150</v>
      </c>
      <c r="D61" s="79" t="s">
        <v>385</v>
      </c>
      <c r="E61" s="129">
        <v>1.930555555555556</v>
      </c>
      <c r="F61" s="79" t="s">
        <v>140</v>
      </c>
      <c r="G61" s="81">
        <v>9</v>
      </c>
      <c r="H61" s="130">
        <v>980</v>
      </c>
      <c r="I61" s="27"/>
    </row>
    <row r="62" spans="1:9" ht="19.8" customHeight="1" x14ac:dyDescent="0.3">
      <c r="A62" s="128">
        <v>45992</v>
      </c>
      <c r="B62" s="79" t="s">
        <v>138</v>
      </c>
      <c r="C62" s="80" t="s">
        <v>159</v>
      </c>
      <c r="D62" s="79" t="s">
        <v>385</v>
      </c>
      <c r="E62" s="129">
        <v>1.3784722222222221</v>
      </c>
      <c r="F62" s="79" t="s">
        <v>140</v>
      </c>
      <c r="G62" s="81">
        <v>9</v>
      </c>
      <c r="H62" s="130">
        <v>980</v>
      </c>
      <c r="I62" s="27"/>
    </row>
    <row r="63" spans="1:9" ht="19.8" customHeight="1" x14ac:dyDescent="0.3">
      <c r="A63" s="128">
        <v>45992</v>
      </c>
      <c r="B63" s="79" t="s">
        <v>138</v>
      </c>
      <c r="C63" s="80" t="s">
        <v>167</v>
      </c>
      <c r="D63" s="79" t="s">
        <v>385</v>
      </c>
      <c r="E63" s="129">
        <v>1.6111111111111109</v>
      </c>
      <c r="F63" s="79" t="s">
        <v>140</v>
      </c>
      <c r="G63" s="81">
        <v>9</v>
      </c>
      <c r="H63" s="130">
        <v>980</v>
      </c>
      <c r="I63" s="27"/>
    </row>
    <row r="64" spans="1:9" ht="19.8" customHeight="1" x14ac:dyDescent="0.3">
      <c r="A64" s="128">
        <v>45992</v>
      </c>
      <c r="B64" s="79" t="s">
        <v>138</v>
      </c>
      <c r="C64" s="80" t="s">
        <v>178</v>
      </c>
      <c r="D64" s="79" t="s">
        <v>385</v>
      </c>
      <c r="E64" s="129">
        <v>1.239583333333333</v>
      </c>
      <c r="F64" s="79" t="s">
        <v>140</v>
      </c>
      <c r="G64" s="81">
        <v>9</v>
      </c>
      <c r="H64" s="130">
        <v>980</v>
      </c>
      <c r="I64" s="27"/>
    </row>
    <row r="65" spans="1:9" ht="19.8" customHeight="1" x14ac:dyDescent="0.3">
      <c r="A65" s="128">
        <v>45992</v>
      </c>
      <c r="B65" s="79" t="s">
        <v>47</v>
      </c>
      <c r="C65" s="80" t="s">
        <v>48</v>
      </c>
      <c r="D65" s="79" t="s">
        <v>385</v>
      </c>
      <c r="E65" s="129">
        <v>1.1284722222222221</v>
      </c>
      <c r="F65" s="79" t="s">
        <v>55</v>
      </c>
      <c r="G65" s="81">
        <v>6</v>
      </c>
      <c r="H65" s="86" t="s">
        <v>56</v>
      </c>
      <c r="I65" s="27"/>
    </row>
    <row r="66" spans="1:9" ht="19.8" customHeight="1" x14ac:dyDescent="0.3">
      <c r="A66" s="128">
        <v>45992</v>
      </c>
      <c r="B66" s="79" t="s">
        <v>47</v>
      </c>
      <c r="C66" s="80" t="s">
        <v>57</v>
      </c>
      <c r="D66" s="79" t="s">
        <v>385</v>
      </c>
      <c r="E66" s="129">
        <v>1.302083333333333</v>
      </c>
      <c r="F66" s="79" t="s">
        <v>55</v>
      </c>
      <c r="G66" s="81">
        <v>10</v>
      </c>
      <c r="H66" s="86" t="s">
        <v>56</v>
      </c>
      <c r="I66" s="27"/>
    </row>
    <row r="67" spans="1:9" ht="19.8" customHeight="1" x14ac:dyDescent="0.3">
      <c r="A67" s="128">
        <v>45992</v>
      </c>
      <c r="B67" s="79" t="s">
        <v>47</v>
      </c>
      <c r="C67" s="80" t="s">
        <v>60</v>
      </c>
      <c r="D67" s="79" t="s">
        <v>385</v>
      </c>
      <c r="E67" s="129">
        <v>1.8888888888888891</v>
      </c>
      <c r="F67" s="79" t="s">
        <v>55</v>
      </c>
      <c r="G67" s="81">
        <v>9</v>
      </c>
      <c r="H67" s="86" t="s">
        <v>56</v>
      </c>
      <c r="I67" s="27"/>
    </row>
    <row r="68" spans="1:9" ht="19.8" customHeight="1" x14ac:dyDescent="0.3">
      <c r="A68" s="128">
        <v>45992</v>
      </c>
      <c r="B68" s="79" t="s">
        <v>47</v>
      </c>
      <c r="C68" s="80" t="s">
        <v>63</v>
      </c>
      <c r="D68" s="79" t="s">
        <v>385</v>
      </c>
      <c r="E68" s="129">
        <v>1.788194444444444</v>
      </c>
      <c r="F68" s="79" t="s">
        <v>55</v>
      </c>
      <c r="G68" s="81">
        <v>6</v>
      </c>
      <c r="H68" s="86" t="s">
        <v>56</v>
      </c>
      <c r="I68" s="27"/>
    </row>
    <row r="69" spans="1:9" ht="19.8" customHeight="1" x14ac:dyDescent="0.3">
      <c r="A69" s="128">
        <v>45992</v>
      </c>
      <c r="B69" s="79" t="s">
        <v>138</v>
      </c>
      <c r="C69" s="80" t="s">
        <v>139</v>
      </c>
      <c r="D69" s="79" t="s">
        <v>385</v>
      </c>
      <c r="E69" s="129">
        <v>1.8888888888888891</v>
      </c>
      <c r="F69" s="79" t="s">
        <v>140</v>
      </c>
      <c r="G69" s="81">
        <v>4</v>
      </c>
      <c r="H69" s="86" t="s">
        <v>141</v>
      </c>
      <c r="I69" s="27"/>
    </row>
    <row r="70" spans="1:9" ht="19.8" customHeight="1" x14ac:dyDescent="0.3">
      <c r="A70" s="128">
        <v>45992</v>
      </c>
      <c r="B70" s="79" t="s">
        <v>138</v>
      </c>
      <c r="C70" s="80" t="s">
        <v>158</v>
      </c>
      <c r="D70" s="79" t="s">
        <v>385</v>
      </c>
      <c r="E70" s="129">
        <v>1.302083333333333</v>
      </c>
      <c r="F70" s="79" t="s">
        <v>140</v>
      </c>
      <c r="G70" s="81">
        <v>4</v>
      </c>
      <c r="H70" s="86" t="s">
        <v>141</v>
      </c>
      <c r="I70" s="27"/>
    </row>
    <row r="71" spans="1:9" ht="19.8" customHeight="1" x14ac:dyDescent="0.3">
      <c r="A71" s="128">
        <v>45992</v>
      </c>
      <c r="B71" s="79" t="s">
        <v>138</v>
      </c>
      <c r="C71" s="80" t="s">
        <v>142</v>
      </c>
      <c r="D71" s="79" t="s">
        <v>385</v>
      </c>
      <c r="E71" s="129">
        <v>1.006944444444444</v>
      </c>
      <c r="F71" s="79" t="s">
        <v>143</v>
      </c>
      <c r="G71" s="81">
        <v>2</v>
      </c>
      <c r="H71" s="86" t="s">
        <v>144</v>
      </c>
      <c r="I71" s="27"/>
    </row>
    <row r="72" spans="1:9" ht="19.8" customHeight="1" x14ac:dyDescent="0.3">
      <c r="A72" s="128">
        <v>45992</v>
      </c>
      <c r="B72" s="79" t="s">
        <v>138</v>
      </c>
      <c r="C72" s="80" t="s">
        <v>148</v>
      </c>
      <c r="D72" s="79" t="s">
        <v>385</v>
      </c>
      <c r="E72" s="129">
        <v>1.1423611111111109</v>
      </c>
      <c r="F72" s="79" t="s">
        <v>143</v>
      </c>
      <c r="G72" s="81">
        <v>9</v>
      </c>
      <c r="H72" s="86" t="s">
        <v>144</v>
      </c>
      <c r="I72" s="27"/>
    </row>
    <row r="73" spans="1:9" ht="19.8" customHeight="1" x14ac:dyDescent="0.3">
      <c r="A73" s="128">
        <v>45992</v>
      </c>
      <c r="B73" s="79" t="s">
        <v>138</v>
      </c>
      <c r="C73" s="80" t="s">
        <v>154</v>
      </c>
      <c r="D73" s="79" t="s">
        <v>385</v>
      </c>
      <c r="E73" s="129">
        <v>1.71875</v>
      </c>
      <c r="F73" s="79" t="s">
        <v>143</v>
      </c>
      <c r="G73" s="81">
        <v>9</v>
      </c>
      <c r="H73" s="86" t="s">
        <v>144</v>
      </c>
      <c r="I73" s="27"/>
    </row>
    <row r="74" spans="1:9" ht="19.8" customHeight="1" x14ac:dyDescent="0.3">
      <c r="A74" s="128">
        <v>45992</v>
      </c>
      <c r="B74" s="79" t="s">
        <v>138</v>
      </c>
      <c r="C74" s="80" t="s">
        <v>156</v>
      </c>
      <c r="D74" s="79" t="s">
        <v>385</v>
      </c>
      <c r="E74" s="129">
        <v>1.8298611111111109</v>
      </c>
      <c r="F74" s="79" t="s">
        <v>143</v>
      </c>
      <c r="G74" s="81">
        <v>9</v>
      </c>
      <c r="H74" s="86" t="s">
        <v>144</v>
      </c>
      <c r="I74" s="27"/>
    </row>
    <row r="75" spans="1:9" ht="19.8" customHeight="1" x14ac:dyDescent="0.3">
      <c r="A75" s="128">
        <v>45992</v>
      </c>
      <c r="B75" s="79" t="s">
        <v>138</v>
      </c>
      <c r="C75" s="80" t="s">
        <v>142</v>
      </c>
      <c r="D75" s="79" t="s">
        <v>385</v>
      </c>
      <c r="E75" s="129">
        <v>1.006944444444444</v>
      </c>
      <c r="F75" s="79" t="s">
        <v>140</v>
      </c>
      <c r="G75" s="81">
        <v>2</v>
      </c>
      <c r="H75" s="86" t="s">
        <v>145</v>
      </c>
      <c r="I75" s="27"/>
    </row>
    <row r="76" spans="1:9" ht="19.8" customHeight="1" x14ac:dyDescent="0.3">
      <c r="A76" s="128">
        <v>45992</v>
      </c>
      <c r="B76" s="79" t="s">
        <v>138</v>
      </c>
      <c r="C76" s="80" t="s">
        <v>148</v>
      </c>
      <c r="D76" s="79" t="s">
        <v>385</v>
      </c>
      <c r="E76" s="129">
        <v>1.1423611111111109</v>
      </c>
      <c r="F76" s="79" t="s">
        <v>140</v>
      </c>
      <c r="G76" s="81">
        <v>9</v>
      </c>
      <c r="H76" s="86" t="s">
        <v>145</v>
      </c>
      <c r="I76" s="27"/>
    </row>
    <row r="77" spans="1:9" ht="19.8" customHeight="1" x14ac:dyDescent="0.3">
      <c r="A77" s="128">
        <v>45992</v>
      </c>
      <c r="B77" s="79" t="s">
        <v>138</v>
      </c>
      <c r="C77" s="80" t="s">
        <v>154</v>
      </c>
      <c r="D77" s="79" t="s">
        <v>385</v>
      </c>
      <c r="E77" s="129">
        <v>1.71875</v>
      </c>
      <c r="F77" s="79" t="s">
        <v>140</v>
      </c>
      <c r="G77" s="81">
        <v>9</v>
      </c>
      <c r="H77" s="86" t="s">
        <v>145</v>
      </c>
      <c r="I77" s="27"/>
    </row>
    <row r="78" spans="1:9" ht="19.8" customHeight="1" x14ac:dyDescent="0.3">
      <c r="A78" s="128">
        <v>45992</v>
      </c>
      <c r="B78" s="79" t="s">
        <v>138</v>
      </c>
      <c r="C78" s="80" t="s">
        <v>156</v>
      </c>
      <c r="D78" s="79" t="s">
        <v>385</v>
      </c>
      <c r="E78" s="129">
        <v>1.8298611111111109</v>
      </c>
      <c r="F78" s="79" t="s">
        <v>140</v>
      </c>
      <c r="G78" s="81">
        <v>9</v>
      </c>
      <c r="H78" s="86" t="s">
        <v>145</v>
      </c>
      <c r="I78" s="27"/>
    </row>
    <row r="79" spans="1:9" ht="19.8" customHeight="1" x14ac:dyDescent="0.3">
      <c r="A79" s="128">
        <v>45992</v>
      </c>
      <c r="B79" s="79" t="s">
        <v>138</v>
      </c>
      <c r="C79" s="80" t="s">
        <v>161</v>
      </c>
      <c r="D79" s="79" t="s">
        <v>385</v>
      </c>
      <c r="E79" s="129">
        <v>1.1284722222222221</v>
      </c>
      <c r="F79" s="79" t="s">
        <v>140</v>
      </c>
      <c r="G79" s="81">
        <v>4</v>
      </c>
      <c r="H79" s="86" t="s">
        <v>162</v>
      </c>
      <c r="I79" s="27"/>
    </row>
    <row r="80" spans="1:9" ht="19.8" customHeight="1" x14ac:dyDescent="0.3">
      <c r="A80" s="131">
        <v>45992</v>
      </c>
      <c r="B80" s="87" t="s">
        <v>138</v>
      </c>
      <c r="C80" s="88" t="s">
        <v>166</v>
      </c>
      <c r="D80" s="87" t="s">
        <v>385</v>
      </c>
      <c r="E80" s="132">
        <v>1.788194444444444</v>
      </c>
      <c r="F80" s="87" t="s">
        <v>140</v>
      </c>
      <c r="G80" s="89">
        <v>4</v>
      </c>
      <c r="H80" s="90" t="s">
        <v>162</v>
      </c>
      <c r="I80" s="27"/>
    </row>
    <row r="81" spans="1:9" ht="19.8" customHeight="1" x14ac:dyDescent="0.3">
      <c r="A81" s="126">
        <v>45993</v>
      </c>
      <c r="B81" s="76" t="s">
        <v>26</v>
      </c>
      <c r="C81" s="77" t="s">
        <v>182</v>
      </c>
      <c r="D81" s="76" t="s">
        <v>1</v>
      </c>
      <c r="E81" s="127">
        <v>1.6875</v>
      </c>
      <c r="F81" s="76" t="s">
        <v>28</v>
      </c>
      <c r="G81" s="78">
        <v>1</v>
      </c>
      <c r="H81" s="125">
        <v>586</v>
      </c>
      <c r="I81" s="27"/>
    </row>
    <row r="82" spans="1:9" ht="19.8" customHeight="1" x14ac:dyDescent="0.3">
      <c r="A82" s="126">
        <v>45993</v>
      </c>
      <c r="B82" s="76" t="s">
        <v>26</v>
      </c>
      <c r="C82" s="77" t="s">
        <v>27</v>
      </c>
      <c r="D82" s="76" t="s">
        <v>1</v>
      </c>
      <c r="E82" s="127">
        <v>1.322916666666667</v>
      </c>
      <c r="F82" s="76" t="s">
        <v>28</v>
      </c>
      <c r="G82" s="78">
        <v>6</v>
      </c>
      <c r="H82" s="125">
        <v>781</v>
      </c>
      <c r="I82" s="27"/>
    </row>
    <row r="83" spans="1:9" ht="19.8" customHeight="1" x14ac:dyDescent="0.3">
      <c r="A83" s="128">
        <v>45993</v>
      </c>
      <c r="B83" s="79" t="s">
        <v>41</v>
      </c>
      <c r="C83" s="80" t="s">
        <v>42</v>
      </c>
      <c r="D83" s="79" t="s">
        <v>1</v>
      </c>
      <c r="E83" s="129">
        <v>1.322916666666667</v>
      </c>
      <c r="F83" s="79" t="s">
        <v>111</v>
      </c>
      <c r="G83" s="81">
        <v>4</v>
      </c>
      <c r="H83" s="130">
        <v>860</v>
      </c>
      <c r="I83" s="27"/>
    </row>
    <row r="84" spans="1:9" ht="19.8" customHeight="1" x14ac:dyDescent="0.3">
      <c r="A84" s="82"/>
      <c r="B84" s="83"/>
      <c r="C84" s="83"/>
      <c r="D84" s="83"/>
      <c r="E84" s="83"/>
      <c r="F84" s="84" t="s">
        <v>384</v>
      </c>
      <c r="G84" s="83"/>
      <c r="H84" s="85"/>
      <c r="I84" s="27"/>
    </row>
    <row r="85" spans="1:9" ht="19.8" customHeight="1" x14ac:dyDescent="0.3">
      <c r="A85" s="128">
        <v>45993</v>
      </c>
      <c r="B85" s="79" t="s">
        <v>47</v>
      </c>
      <c r="C85" s="80" t="s">
        <v>48</v>
      </c>
      <c r="D85" s="79" t="s">
        <v>385</v>
      </c>
      <c r="E85" s="129">
        <v>1.1284722222222221</v>
      </c>
      <c r="F85" s="79" t="s">
        <v>50</v>
      </c>
      <c r="G85" s="81">
        <v>6</v>
      </c>
      <c r="H85" s="130">
        <v>359</v>
      </c>
      <c r="I85" s="27"/>
    </row>
    <row r="86" spans="1:9" ht="19.8" customHeight="1" x14ac:dyDescent="0.3">
      <c r="A86" s="128">
        <v>45993</v>
      </c>
      <c r="B86" s="79" t="s">
        <v>47</v>
      </c>
      <c r="C86" s="80" t="s">
        <v>60</v>
      </c>
      <c r="D86" s="79" t="s">
        <v>385</v>
      </c>
      <c r="E86" s="129">
        <v>1.8888888888888891</v>
      </c>
      <c r="F86" s="79" t="s">
        <v>50</v>
      </c>
      <c r="G86" s="81">
        <v>4</v>
      </c>
      <c r="H86" s="130">
        <v>359</v>
      </c>
      <c r="I86" s="27"/>
    </row>
    <row r="87" spans="1:9" ht="19.8" customHeight="1" x14ac:dyDescent="0.3">
      <c r="A87" s="128">
        <v>45993</v>
      </c>
      <c r="B87" s="79" t="s">
        <v>77</v>
      </c>
      <c r="C87" s="80" t="s">
        <v>78</v>
      </c>
      <c r="D87" s="79" t="s">
        <v>385</v>
      </c>
      <c r="E87" s="129">
        <v>1.854166666666667</v>
      </c>
      <c r="F87" s="79" t="s">
        <v>80</v>
      </c>
      <c r="G87" s="81">
        <v>5</v>
      </c>
      <c r="H87" s="130">
        <v>369</v>
      </c>
      <c r="I87" s="27"/>
    </row>
    <row r="88" spans="1:9" ht="19.8" customHeight="1" x14ac:dyDescent="0.3">
      <c r="A88" s="128">
        <v>45993</v>
      </c>
      <c r="B88" s="79" t="s">
        <v>77</v>
      </c>
      <c r="C88" s="80" t="s">
        <v>86</v>
      </c>
      <c r="D88" s="79" t="s">
        <v>385</v>
      </c>
      <c r="E88" s="129">
        <v>1.256944444444444</v>
      </c>
      <c r="F88" s="79" t="s">
        <v>80</v>
      </c>
      <c r="G88" s="81">
        <v>4</v>
      </c>
      <c r="H88" s="130">
        <v>369</v>
      </c>
      <c r="I88" s="27"/>
    </row>
    <row r="89" spans="1:9" ht="19.8" customHeight="1" x14ac:dyDescent="0.3">
      <c r="A89" s="128">
        <v>45993</v>
      </c>
      <c r="B89" s="79" t="s">
        <v>77</v>
      </c>
      <c r="C89" s="80" t="s">
        <v>93</v>
      </c>
      <c r="D89" s="79" t="s">
        <v>385</v>
      </c>
      <c r="E89" s="129">
        <v>1.5173611111111109</v>
      </c>
      <c r="F89" s="79" t="s">
        <v>80</v>
      </c>
      <c r="G89" s="81">
        <v>6</v>
      </c>
      <c r="H89" s="130">
        <v>369</v>
      </c>
      <c r="I89" s="27"/>
    </row>
    <row r="90" spans="1:9" ht="19.8" customHeight="1" x14ac:dyDescent="0.3">
      <c r="A90" s="128">
        <v>45993</v>
      </c>
      <c r="B90" s="79" t="s">
        <v>77</v>
      </c>
      <c r="C90" s="80" t="s">
        <v>98</v>
      </c>
      <c r="D90" s="79" t="s">
        <v>385</v>
      </c>
      <c r="E90" s="129">
        <v>1.9027777777777779</v>
      </c>
      <c r="F90" s="79" t="s">
        <v>80</v>
      </c>
      <c r="G90" s="81">
        <v>2</v>
      </c>
      <c r="H90" s="130">
        <v>369</v>
      </c>
      <c r="I90" s="27"/>
    </row>
    <row r="91" spans="1:9" ht="19.8" customHeight="1" x14ac:dyDescent="0.3">
      <c r="A91" s="128">
        <v>45993</v>
      </c>
      <c r="B91" s="79" t="s">
        <v>77</v>
      </c>
      <c r="C91" s="80" t="s">
        <v>95</v>
      </c>
      <c r="D91" s="79" t="s">
        <v>385</v>
      </c>
      <c r="E91" s="129">
        <v>1.7986111111111109</v>
      </c>
      <c r="F91" s="79" t="s">
        <v>80</v>
      </c>
      <c r="G91" s="81">
        <v>4</v>
      </c>
      <c r="H91" s="130">
        <v>369</v>
      </c>
      <c r="I91" s="27"/>
    </row>
    <row r="92" spans="1:9" ht="19.8" customHeight="1" x14ac:dyDescent="0.3">
      <c r="A92" s="128">
        <v>45993</v>
      </c>
      <c r="B92" s="79" t="s">
        <v>77</v>
      </c>
      <c r="C92" s="80" t="s">
        <v>101</v>
      </c>
      <c r="D92" s="79" t="s">
        <v>385</v>
      </c>
      <c r="E92" s="129">
        <v>1.395833333333333</v>
      </c>
      <c r="F92" s="79" t="s">
        <v>80</v>
      </c>
      <c r="G92" s="81">
        <v>9</v>
      </c>
      <c r="H92" s="130">
        <v>369</v>
      </c>
      <c r="I92" s="27"/>
    </row>
    <row r="93" spans="1:9" ht="19.8" customHeight="1" x14ac:dyDescent="0.3">
      <c r="A93" s="128">
        <v>45993</v>
      </c>
      <c r="B93" s="79" t="s">
        <v>47</v>
      </c>
      <c r="C93" s="80" t="s">
        <v>57</v>
      </c>
      <c r="D93" s="79" t="s">
        <v>385</v>
      </c>
      <c r="E93" s="129">
        <v>1.302083333333333</v>
      </c>
      <c r="F93" s="79" t="s">
        <v>50</v>
      </c>
      <c r="G93" s="81">
        <v>1</v>
      </c>
      <c r="H93" s="130">
        <v>389</v>
      </c>
      <c r="I93" s="27"/>
    </row>
    <row r="94" spans="1:9" ht="19.8" customHeight="1" x14ac:dyDescent="0.3">
      <c r="A94" s="128">
        <v>45993</v>
      </c>
      <c r="B94" s="79" t="s">
        <v>47</v>
      </c>
      <c r="C94" s="80" t="s">
        <v>63</v>
      </c>
      <c r="D94" s="79" t="s">
        <v>385</v>
      </c>
      <c r="E94" s="129">
        <v>1.788194444444444</v>
      </c>
      <c r="F94" s="79" t="s">
        <v>50</v>
      </c>
      <c r="G94" s="81">
        <v>2</v>
      </c>
      <c r="H94" s="130">
        <v>389</v>
      </c>
      <c r="I94" s="27"/>
    </row>
    <row r="95" spans="1:9" ht="19.8" customHeight="1" x14ac:dyDescent="0.3">
      <c r="A95" s="128">
        <v>45993</v>
      </c>
      <c r="B95" s="79" t="s">
        <v>132</v>
      </c>
      <c r="C95" s="80" t="s">
        <v>133</v>
      </c>
      <c r="D95" s="79" t="s">
        <v>385</v>
      </c>
      <c r="E95" s="129">
        <v>1.739583333333333</v>
      </c>
      <c r="F95" s="79" t="s">
        <v>123</v>
      </c>
      <c r="G95" s="81">
        <v>6</v>
      </c>
      <c r="H95" s="130">
        <v>400</v>
      </c>
      <c r="I95" s="27"/>
    </row>
    <row r="96" spans="1:9" ht="19.8" customHeight="1" x14ac:dyDescent="0.3">
      <c r="A96" s="128">
        <v>45993</v>
      </c>
      <c r="B96" s="79" t="s">
        <v>132</v>
      </c>
      <c r="C96" s="80" t="s">
        <v>199</v>
      </c>
      <c r="D96" s="79" t="s">
        <v>385</v>
      </c>
      <c r="E96" s="129">
        <v>1.274305555555556</v>
      </c>
      <c r="F96" s="79" t="s">
        <v>123</v>
      </c>
      <c r="G96" s="81">
        <v>9</v>
      </c>
      <c r="H96" s="130">
        <v>400</v>
      </c>
      <c r="I96" s="27"/>
    </row>
    <row r="97" spans="1:9" ht="19.8" customHeight="1" x14ac:dyDescent="0.3">
      <c r="A97" s="128">
        <v>45993</v>
      </c>
      <c r="B97" s="79" t="s">
        <v>120</v>
      </c>
      <c r="C97" s="80" t="s">
        <v>205</v>
      </c>
      <c r="D97" s="79" t="s">
        <v>385</v>
      </c>
      <c r="E97" s="129">
        <v>1.0451388888888891</v>
      </c>
      <c r="F97" s="79" t="s">
        <v>123</v>
      </c>
      <c r="G97" s="81">
        <v>9</v>
      </c>
      <c r="H97" s="130">
        <v>401</v>
      </c>
      <c r="I97" s="27"/>
    </row>
    <row r="98" spans="1:9" ht="19.8" customHeight="1" x14ac:dyDescent="0.3">
      <c r="A98" s="128">
        <v>45993</v>
      </c>
      <c r="B98" s="79" t="s">
        <v>120</v>
      </c>
      <c r="C98" s="80" t="s">
        <v>163</v>
      </c>
      <c r="D98" s="79" t="s">
        <v>385</v>
      </c>
      <c r="E98" s="129">
        <v>1.666666666666667</v>
      </c>
      <c r="F98" s="79" t="s">
        <v>123</v>
      </c>
      <c r="G98" s="81">
        <v>9</v>
      </c>
      <c r="H98" s="130">
        <v>401</v>
      </c>
      <c r="I98" s="27"/>
    </row>
    <row r="99" spans="1:9" ht="19.8" customHeight="1" x14ac:dyDescent="0.3">
      <c r="A99" s="128">
        <v>45993</v>
      </c>
      <c r="B99" s="79" t="s">
        <v>77</v>
      </c>
      <c r="C99" s="80" t="s">
        <v>91</v>
      </c>
      <c r="D99" s="79" t="s">
        <v>385</v>
      </c>
      <c r="E99" s="129">
        <v>1.302083333333333</v>
      </c>
      <c r="F99" s="79" t="s">
        <v>80</v>
      </c>
      <c r="G99" s="81">
        <v>7</v>
      </c>
      <c r="H99" s="130">
        <v>409</v>
      </c>
      <c r="I99" s="27"/>
    </row>
    <row r="100" spans="1:9" ht="19.8" customHeight="1" x14ac:dyDescent="0.3">
      <c r="A100" s="128">
        <v>45993</v>
      </c>
      <c r="B100" s="79" t="s">
        <v>77</v>
      </c>
      <c r="C100" s="80" t="s">
        <v>104</v>
      </c>
      <c r="D100" s="79" t="s">
        <v>385</v>
      </c>
      <c r="E100" s="129">
        <v>1.645833333333333</v>
      </c>
      <c r="F100" s="79" t="s">
        <v>80</v>
      </c>
      <c r="G100" s="81">
        <v>9</v>
      </c>
      <c r="H100" s="130">
        <v>409</v>
      </c>
      <c r="I100" s="27"/>
    </row>
    <row r="101" spans="1:9" ht="19.8" customHeight="1" x14ac:dyDescent="0.3">
      <c r="A101" s="128">
        <v>45993</v>
      </c>
      <c r="B101" s="79" t="s">
        <v>67</v>
      </c>
      <c r="C101" s="80" t="s">
        <v>73</v>
      </c>
      <c r="D101" s="79" t="s">
        <v>385</v>
      </c>
      <c r="E101" s="129">
        <v>1.2222222222222221</v>
      </c>
      <c r="F101" s="79" t="s">
        <v>70</v>
      </c>
      <c r="G101" s="81">
        <v>9</v>
      </c>
      <c r="H101" s="130">
        <v>421</v>
      </c>
      <c r="I101" s="27"/>
    </row>
    <row r="102" spans="1:9" ht="19.8" customHeight="1" x14ac:dyDescent="0.3">
      <c r="A102" s="128">
        <v>45993</v>
      </c>
      <c r="B102" s="79" t="s">
        <v>77</v>
      </c>
      <c r="C102" s="80" t="s">
        <v>78</v>
      </c>
      <c r="D102" s="79" t="s">
        <v>385</v>
      </c>
      <c r="E102" s="129">
        <v>1.854166666666667</v>
      </c>
      <c r="F102" s="79" t="s">
        <v>82</v>
      </c>
      <c r="G102" s="81">
        <v>5</v>
      </c>
      <c r="H102" s="130">
        <v>469</v>
      </c>
      <c r="I102" s="27"/>
    </row>
    <row r="103" spans="1:9" ht="19.8" customHeight="1" x14ac:dyDescent="0.3">
      <c r="A103" s="128">
        <v>45993</v>
      </c>
      <c r="B103" s="79" t="s">
        <v>77</v>
      </c>
      <c r="C103" s="80" t="s">
        <v>86</v>
      </c>
      <c r="D103" s="79" t="s">
        <v>385</v>
      </c>
      <c r="E103" s="129">
        <v>1.256944444444444</v>
      </c>
      <c r="F103" s="79" t="s">
        <v>82</v>
      </c>
      <c r="G103" s="81">
        <v>4</v>
      </c>
      <c r="H103" s="130">
        <v>469</v>
      </c>
      <c r="I103" s="27"/>
    </row>
    <row r="104" spans="1:9" ht="19.8" customHeight="1" x14ac:dyDescent="0.3">
      <c r="A104" s="128">
        <v>45993</v>
      </c>
      <c r="B104" s="79" t="s">
        <v>77</v>
      </c>
      <c r="C104" s="80" t="s">
        <v>93</v>
      </c>
      <c r="D104" s="79" t="s">
        <v>385</v>
      </c>
      <c r="E104" s="129">
        <v>1.5173611111111109</v>
      </c>
      <c r="F104" s="79" t="s">
        <v>82</v>
      </c>
      <c r="G104" s="81">
        <v>6</v>
      </c>
      <c r="H104" s="130">
        <v>469</v>
      </c>
      <c r="I104" s="27"/>
    </row>
    <row r="105" spans="1:9" ht="19.8" customHeight="1" x14ac:dyDescent="0.3">
      <c r="A105" s="128">
        <v>45993</v>
      </c>
      <c r="B105" s="79" t="s">
        <v>77</v>
      </c>
      <c r="C105" s="80" t="s">
        <v>98</v>
      </c>
      <c r="D105" s="79" t="s">
        <v>385</v>
      </c>
      <c r="E105" s="129">
        <v>1.9027777777777779</v>
      </c>
      <c r="F105" s="79" t="s">
        <v>82</v>
      </c>
      <c r="G105" s="81">
        <v>2</v>
      </c>
      <c r="H105" s="130">
        <v>469</v>
      </c>
      <c r="I105" s="27"/>
    </row>
    <row r="106" spans="1:9" ht="19.8" customHeight="1" x14ac:dyDescent="0.3">
      <c r="A106" s="128">
        <v>45993</v>
      </c>
      <c r="B106" s="79" t="s">
        <v>77</v>
      </c>
      <c r="C106" s="80" t="s">
        <v>95</v>
      </c>
      <c r="D106" s="79" t="s">
        <v>385</v>
      </c>
      <c r="E106" s="129">
        <v>1.7986111111111109</v>
      </c>
      <c r="F106" s="79" t="s">
        <v>82</v>
      </c>
      <c r="G106" s="81">
        <v>4</v>
      </c>
      <c r="H106" s="130">
        <v>469</v>
      </c>
      <c r="I106" s="27"/>
    </row>
    <row r="107" spans="1:9" ht="19.8" customHeight="1" x14ac:dyDescent="0.3">
      <c r="A107" s="128">
        <v>45993</v>
      </c>
      <c r="B107" s="79" t="s">
        <v>77</v>
      </c>
      <c r="C107" s="80" t="s">
        <v>101</v>
      </c>
      <c r="D107" s="79" t="s">
        <v>385</v>
      </c>
      <c r="E107" s="129">
        <v>1.395833333333333</v>
      </c>
      <c r="F107" s="79" t="s">
        <v>82</v>
      </c>
      <c r="G107" s="81">
        <v>9</v>
      </c>
      <c r="H107" s="130">
        <v>469</v>
      </c>
      <c r="I107" s="27"/>
    </row>
    <row r="108" spans="1:9" ht="19.8" customHeight="1" x14ac:dyDescent="0.3">
      <c r="A108" s="128">
        <v>45993</v>
      </c>
      <c r="B108" s="79" t="s">
        <v>26</v>
      </c>
      <c r="C108" s="80" t="s">
        <v>128</v>
      </c>
      <c r="D108" s="79" t="s">
        <v>385</v>
      </c>
      <c r="E108" s="129">
        <v>1.5590277777777779</v>
      </c>
      <c r="F108" s="79" t="s">
        <v>28</v>
      </c>
      <c r="G108" s="81">
        <v>2</v>
      </c>
      <c r="H108" s="130">
        <v>471</v>
      </c>
      <c r="I108" s="27"/>
    </row>
    <row r="109" spans="1:9" ht="19.8" customHeight="1" x14ac:dyDescent="0.3">
      <c r="A109" s="128">
        <v>45993</v>
      </c>
      <c r="B109" s="79" t="s">
        <v>26</v>
      </c>
      <c r="C109" s="80" t="s">
        <v>146</v>
      </c>
      <c r="D109" s="79" t="s">
        <v>385</v>
      </c>
      <c r="E109" s="129">
        <v>1.96875</v>
      </c>
      <c r="F109" s="79" t="s">
        <v>28</v>
      </c>
      <c r="G109" s="81">
        <v>4</v>
      </c>
      <c r="H109" s="130">
        <v>471</v>
      </c>
      <c r="I109" s="27"/>
    </row>
    <row r="110" spans="1:9" ht="19.8" customHeight="1" x14ac:dyDescent="0.3">
      <c r="A110" s="128">
        <v>45993</v>
      </c>
      <c r="B110" s="79" t="s">
        <v>26</v>
      </c>
      <c r="C110" s="80" t="s">
        <v>202</v>
      </c>
      <c r="D110" s="79" t="s">
        <v>385</v>
      </c>
      <c r="E110" s="129">
        <v>1.229166666666667</v>
      </c>
      <c r="F110" s="79" t="s">
        <v>28</v>
      </c>
      <c r="G110" s="81">
        <v>9</v>
      </c>
      <c r="H110" s="130">
        <v>471</v>
      </c>
      <c r="I110" s="27"/>
    </row>
    <row r="111" spans="1:9" ht="19.8" customHeight="1" x14ac:dyDescent="0.3">
      <c r="A111" s="128">
        <v>45993</v>
      </c>
      <c r="B111" s="79" t="s">
        <v>26</v>
      </c>
      <c r="C111" s="80" t="s">
        <v>203</v>
      </c>
      <c r="D111" s="79" t="s">
        <v>385</v>
      </c>
      <c r="E111" s="129">
        <v>1.9340277777777779</v>
      </c>
      <c r="F111" s="79" t="s">
        <v>28</v>
      </c>
      <c r="G111" s="81">
        <v>9</v>
      </c>
      <c r="H111" s="130">
        <v>471</v>
      </c>
      <c r="I111" s="27"/>
    </row>
    <row r="112" spans="1:9" ht="19.8" customHeight="1" x14ac:dyDescent="0.3">
      <c r="A112" s="128">
        <v>45993</v>
      </c>
      <c r="B112" s="79" t="s">
        <v>26</v>
      </c>
      <c r="C112" s="80" t="s">
        <v>175</v>
      </c>
      <c r="D112" s="79" t="s">
        <v>385</v>
      </c>
      <c r="E112" s="129">
        <v>1.729166666666667</v>
      </c>
      <c r="F112" s="79" t="s">
        <v>28</v>
      </c>
      <c r="G112" s="81">
        <v>7</v>
      </c>
      <c r="H112" s="130">
        <v>471</v>
      </c>
      <c r="I112" s="27"/>
    </row>
    <row r="113" spans="1:9" ht="19.8" customHeight="1" x14ac:dyDescent="0.3">
      <c r="A113" s="128">
        <v>45993</v>
      </c>
      <c r="B113" s="79" t="s">
        <v>47</v>
      </c>
      <c r="C113" s="80" t="s">
        <v>48</v>
      </c>
      <c r="D113" s="79" t="s">
        <v>385</v>
      </c>
      <c r="E113" s="129">
        <v>1.1284722222222221</v>
      </c>
      <c r="F113" s="79" t="s">
        <v>53</v>
      </c>
      <c r="G113" s="81">
        <v>6</v>
      </c>
      <c r="H113" s="130">
        <v>509</v>
      </c>
      <c r="I113" s="27"/>
    </row>
    <row r="114" spans="1:9" ht="19.8" customHeight="1" x14ac:dyDescent="0.3">
      <c r="A114" s="128">
        <v>45993</v>
      </c>
      <c r="B114" s="79" t="s">
        <v>47</v>
      </c>
      <c r="C114" s="80" t="s">
        <v>60</v>
      </c>
      <c r="D114" s="79" t="s">
        <v>385</v>
      </c>
      <c r="E114" s="129">
        <v>1.8888888888888891</v>
      </c>
      <c r="F114" s="79" t="s">
        <v>53</v>
      </c>
      <c r="G114" s="81">
        <v>4</v>
      </c>
      <c r="H114" s="130">
        <v>509</v>
      </c>
      <c r="I114" s="27"/>
    </row>
    <row r="115" spans="1:9" ht="19.8" customHeight="1" x14ac:dyDescent="0.3">
      <c r="A115" s="128">
        <v>45993</v>
      </c>
      <c r="B115" s="79" t="s">
        <v>77</v>
      </c>
      <c r="C115" s="80" t="s">
        <v>91</v>
      </c>
      <c r="D115" s="79" t="s">
        <v>385</v>
      </c>
      <c r="E115" s="129">
        <v>1.302083333333333</v>
      </c>
      <c r="F115" s="79" t="s">
        <v>82</v>
      </c>
      <c r="G115" s="81">
        <v>7</v>
      </c>
      <c r="H115" s="130">
        <v>509</v>
      </c>
      <c r="I115" s="27"/>
    </row>
    <row r="116" spans="1:9" ht="19.8" customHeight="1" x14ac:dyDescent="0.3">
      <c r="A116" s="128">
        <v>45993</v>
      </c>
      <c r="B116" s="79" t="s">
        <v>77</v>
      </c>
      <c r="C116" s="80" t="s">
        <v>104</v>
      </c>
      <c r="D116" s="79" t="s">
        <v>385</v>
      </c>
      <c r="E116" s="129">
        <v>1.645833333333333</v>
      </c>
      <c r="F116" s="79" t="s">
        <v>82</v>
      </c>
      <c r="G116" s="81">
        <v>9</v>
      </c>
      <c r="H116" s="130">
        <v>509</v>
      </c>
      <c r="I116" s="27"/>
    </row>
    <row r="117" spans="1:9" ht="19.8" customHeight="1" x14ac:dyDescent="0.3">
      <c r="A117" s="128">
        <v>45993</v>
      </c>
      <c r="B117" s="79" t="s">
        <v>26</v>
      </c>
      <c r="C117" s="80" t="s">
        <v>136</v>
      </c>
      <c r="D117" s="79" t="s">
        <v>385</v>
      </c>
      <c r="E117" s="129">
        <v>1.614583333333333</v>
      </c>
      <c r="F117" s="79" t="s">
        <v>28</v>
      </c>
      <c r="G117" s="81">
        <v>7</v>
      </c>
      <c r="H117" s="130">
        <v>526</v>
      </c>
      <c r="I117" s="27"/>
    </row>
    <row r="118" spans="1:9" ht="19.8" customHeight="1" x14ac:dyDescent="0.3">
      <c r="A118" s="128">
        <v>45993</v>
      </c>
      <c r="B118" s="79" t="s">
        <v>47</v>
      </c>
      <c r="C118" s="80" t="s">
        <v>57</v>
      </c>
      <c r="D118" s="79" t="s">
        <v>385</v>
      </c>
      <c r="E118" s="129">
        <v>1.302083333333333</v>
      </c>
      <c r="F118" s="79" t="s">
        <v>53</v>
      </c>
      <c r="G118" s="81">
        <v>1</v>
      </c>
      <c r="H118" s="130">
        <v>539</v>
      </c>
      <c r="I118" s="27"/>
    </row>
    <row r="119" spans="1:9" ht="19.8" customHeight="1" x14ac:dyDescent="0.3">
      <c r="A119" s="128">
        <v>45993</v>
      </c>
      <c r="B119" s="79" t="s">
        <v>47</v>
      </c>
      <c r="C119" s="80" t="s">
        <v>63</v>
      </c>
      <c r="D119" s="79" t="s">
        <v>385</v>
      </c>
      <c r="E119" s="129">
        <v>1.788194444444444</v>
      </c>
      <c r="F119" s="79" t="s">
        <v>53</v>
      </c>
      <c r="G119" s="81">
        <v>2</v>
      </c>
      <c r="H119" s="130">
        <v>539</v>
      </c>
      <c r="I119" s="27"/>
    </row>
    <row r="120" spans="1:9" ht="19.8" customHeight="1" x14ac:dyDescent="0.3">
      <c r="A120" s="128">
        <v>45993</v>
      </c>
      <c r="B120" s="79" t="s">
        <v>67</v>
      </c>
      <c r="C120" s="80" t="s">
        <v>73</v>
      </c>
      <c r="D120" s="79" t="s">
        <v>385</v>
      </c>
      <c r="E120" s="129">
        <v>1.2222222222222221</v>
      </c>
      <c r="F120" s="79" t="s">
        <v>55</v>
      </c>
      <c r="G120" s="81">
        <v>9</v>
      </c>
      <c r="H120" s="130">
        <v>544</v>
      </c>
      <c r="I120" s="27"/>
    </row>
    <row r="121" spans="1:9" ht="19.8" customHeight="1" x14ac:dyDescent="0.3">
      <c r="A121" s="128">
        <v>45993</v>
      </c>
      <c r="B121" s="79" t="s">
        <v>77</v>
      </c>
      <c r="C121" s="80" t="s">
        <v>78</v>
      </c>
      <c r="D121" s="79" t="s">
        <v>385</v>
      </c>
      <c r="E121" s="129">
        <v>1.854166666666667</v>
      </c>
      <c r="F121" s="79" t="s">
        <v>84</v>
      </c>
      <c r="G121" s="81">
        <v>5</v>
      </c>
      <c r="H121" s="130">
        <v>559</v>
      </c>
      <c r="I121" s="27"/>
    </row>
    <row r="122" spans="1:9" ht="19.8" customHeight="1" x14ac:dyDescent="0.3">
      <c r="A122" s="128">
        <v>45993</v>
      </c>
      <c r="B122" s="79" t="s">
        <v>77</v>
      </c>
      <c r="C122" s="80" t="s">
        <v>86</v>
      </c>
      <c r="D122" s="79" t="s">
        <v>385</v>
      </c>
      <c r="E122" s="129">
        <v>1.256944444444444</v>
      </c>
      <c r="F122" s="79" t="s">
        <v>84</v>
      </c>
      <c r="G122" s="81">
        <v>4</v>
      </c>
      <c r="H122" s="130">
        <v>559</v>
      </c>
      <c r="I122" s="27"/>
    </row>
    <row r="123" spans="1:9" ht="19.8" customHeight="1" x14ac:dyDescent="0.3">
      <c r="A123" s="128">
        <v>45993</v>
      </c>
      <c r="B123" s="79" t="s">
        <v>77</v>
      </c>
      <c r="C123" s="80" t="s">
        <v>93</v>
      </c>
      <c r="D123" s="79" t="s">
        <v>385</v>
      </c>
      <c r="E123" s="129">
        <v>1.5173611111111109</v>
      </c>
      <c r="F123" s="79" t="s">
        <v>84</v>
      </c>
      <c r="G123" s="81">
        <v>6</v>
      </c>
      <c r="H123" s="130">
        <v>559</v>
      </c>
      <c r="I123" s="27"/>
    </row>
    <row r="124" spans="1:9" ht="19.8" customHeight="1" x14ac:dyDescent="0.3">
      <c r="A124" s="128">
        <v>45993</v>
      </c>
      <c r="B124" s="79" t="s">
        <v>77</v>
      </c>
      <c r="C124" s="80" t="s">
        <v>98</v>
      </c>
      <c r="D124" s="79" t="s">
        <v>385</v>
      </c>
      <c r="E124" s="129">
        <v>1.9027777777777779</v>
      </c>
      <c r="F124" s="79" t="s">
        <v>84</v>
      </c>
      <c r="G124" s="81">
        <v>2</v>
      </c>
      <c r="H124" s="130">
        <v>559</v>
      </c>
      <c r="I124" s="27"/>
    </row>
    <row r="125" spans="1:9" ht="19.8" customHeight="1" x14ac:dyDescent="0.3">
      <c r="A125" s="128">
        <v>45993</v>
      </c>
      <c r="B125" s="79" t="s">
        <v>77</v>
      </c>
      <c r="C125" s="80" t="s">
        <v>95</v>
      </c>
      <c r="D125" s="79" t="s">
        <v>385</v>
      </c>
      <c r="E125" s="129">
        <v>1.7986111111111109</v>
      </c>
      <c r="F125" s="79" t="s">
        <v>84</v>
      </c>
      <c r="G125" s="81">
        <v>4</v>
      </c>
      <c r="H125" s="130">
        <v>559</v>
      </c>
      <c r="I125" s="27"/>
    </row>
    <row r="126" spans="1:9" ht="19.8" customHeight="1" x14ac:dyDescent="0.3">
      <c r="A126" s="128">
        <v>45993</v>
      </c>
      <c r="B126" s="79" t="s">
        <v>77</v>
      </c>
      <c r="C126" s="80" t="s">
        <v>101</v>
      </c>
      <c r="D126" s="79" t="s">
        <v>385</v>
      </c>
      <c r="E126" s="129">
        <v>1.395833333333333</v>
      </c>
      <c r="F126" s="79" t="s">
        <v>84</v>
      </c>
      <c r="G126" s="81">
        <v>9</v>
      </c>
      <c r="H126" s="130">
        <v>559</v>
      </c>
      <c r="I126" s="27"/>
    </row>
    <row r="127" spans="1:9" ht="19.8" customHeight="1" x14ac:dyDescent="0.3">
      <c r="A127" s="128">
        <v>45993</v>
      </c>
      <c r="B127" s="79" t="s">
        <v>41</v>
      </c>
      <c r="C127" s="80" t="s">
        <v>113</v>
      </c>
      <c r="D127" s="79" t="s">
        <v>385</v>
      </c>
      <c r="E127" s="129">
        <v>1.2222222222222221</v>
      </c>
      <c r="F127" s="79" t="s">
        <v>43</v>
      </c>
      <c r="G127" s="81">
        <v>9</v>
      </c>
      <c r="H127" s="130">
        <v>579</v>
      </c>
      <c r="I127" s="27"/>
    </row>
    <row r="128" spans="1:9" ht="19.8" customHeight="1" x14ac:dyDescent="0.3">
      <c r="A128" s="128">
        <v>45993</v>
      </c>
      <c r="B128" s="79" t="s">
        <v>41</v>
      </c>
      <c r="C128" s="80" t="s">
        <v>116</v>
      </c>
      <c r="D128" s="79" t="s">
        <v>385</v>
      </c>
      <c r="E128" s="129">
        <v>1.958333333333333</v>
      </c>
      <c r="F128" s="79" t="s">
        <v>43</v>
      </c>
      <c r="G128" s="81">
        <v>9</v>
      </c>
      <c r="H128" s="130">
        <v>579</v>
      </c>
      <c r="I128" s="27"/>
    </row>
    <row r="129" spans="1:9" ht="19.8" customHeight="1" x14ac:dyDescent="0.3">
      <c r="A129" s="128">
        <v>45993</v>
      </c>
      <c r="B129" s="79" t="s">
        <v>41</v>
      </c>
      <c r="C129" s="80" t="s">
        <v>125</v>
      </c>
      <c r="D129" s="79" t="s">
        <v>385</v>
      </c>
      <c r="E129" s="129">
        <v>1.0138888888888891</v>
      </c>
      <c r="F129" s="79" t="s">
        <v>43</v>
      </c>
      <c r="G129" s="81">
        <v>9</v>
      </c>
      <c r="H129" s="130">
        <v>579</v>
      </c>
      <c r="I129" s="27"/>
    </row>
    <row r="130" spans="1:9" ht="19.8" customHeight="1" x14ac:dyDescent="0.3">
      <c r="A130" s="128">
        <v>45993</v>
      </c>
      <c r="B130" s="79" t="s">
        <v>41</v>
      </c>
      <c r="C130" s="80" t="s">
        <v>171</v>
      </c>
      <c r="D130" s="79" t="s">
        <v>385</v>
      </c>
      <c r="E130" s="129">
        <v>1.2777777777777779</v>
      </c>
      <c r="F130" s="79" t="s">
        <v>43</v>
      </c>
      <c r="G130" s="81">
        <v>9</v>
      </c>
      <c r="H130" s="130">
        <v>579</v>
      </c>
      <c r="I130" s="27"/>
    </row>
    <row r="131" spans="1:9" ht="19.8" customHeight="1" x14ac:dyDescent="0.3">
      <c r="A131" s="128">
        <v>45993</v>
      </c>
      <c r="B131" s="79" t="s">
        <v>41</v>
      </c>
      <c r="C131" s="80" t="s">
        <v>173</v>
      </c>
      <c r="D131" s="79" t="s">
        <v>385</v>
      </c>
      <c r="E131" s="129">
        <v>1.4861111111111109</v>
      </c>
      <c r="F131" s="79" t="s">
        <v>43</v>
      </c>
      <c r="G131" s="81">
        <v>9</v>
      </c>
      <c r="H131" s="130">
        <v>579</v>
      </c>
      <c r="I131" s="27"/>
    </row>
    <row r="132" spans="1:9" ht="19.8" customHeight="1" x14ac:dyDescent="0.3">
      <c r="A132" s="128">
        <v>45993</v>
      </c>
      <c r="B132" s="79" t="s">
        <v>41</v>
      </c>
      <c r="C132" s="80" t="s">
        <v>180</v>
      </c>
      <c r="D132" s="79" t="s">
        <v>385</v>
      </c>
      <c r="E132" s="129">
        <v>1.5486111111111109</v>
      </c>
      <c r="F132" s="79" t="s">
        <v>43</v>
      </c>
      <c r="G132" s="81">
        <v>9</v>
      </c>
      <c r="H132" s="130">
        <v>579</v>
      </c>
      <c r="I132" s="27"/>
    </row>
    <row r="133" spans="1:9" ht="19.8" customHeight="1" x14ac:dyDescent="0.3">
      <c r="A133" s="128">
        <v>45993</v>
      </c>
      <c r="B133" s="79" t="s">
        <v>77</v>
      </c>
      <c r="C133" s="80" t="s">
        <v>91</v>
      </c>
      <c r="D133" s="79" t="s">
        <v>385</v>
      </c>
      <c r="E133" s="129">
        <v>1.302083333333333</v>
      </c>
      <c r="F133" s="79" t="s">
        <v>84</v>
      </c>
      <c r="G133" s="81">
        <v>7</v>
      </c>
      <c r="H133" s="130">
        <v>599</v>
      </c>
      <c r="I133" s="27"/>
    </row>
    <row r="134" spans="1:9" ht="19.8" customHeight="1" x14ac:dyDescent="0.3">
      <c r="A134" s="128">
        <v>45993</v>
      </c>
      <c r="B134" s="79" t="s">
        <v>77</v>
      </c>
      <c r="C134" s="80" t="s">
        <v>104</v>
      </c>
      <c r="D134" s="79" t="s">
        <v>385</v>
      </c>
      <c r="E134" s="129">
        <v>1.645833333333333</v>
      </c>
      <c r="F134" s="79" t="s">
        <v>84</v>
      </c>
      <c r="G134" s="81">
        <v>9</v>
      </c>
      <c r="H134" s="130">
        <v>599</v>
      </c>
      <c r="I134" s="27"/>
    </row>
    <row r="135" spans="1:9" ht="19.8" customHeight="1" x14ac:dyDescent="0.3">
      <c r="A135" s="128">
        <v>45993</v>
      </c>
      <c r="B135" s="79" t="s">
        <v>138</v>
      </c>
      <c r="C135" s="80" t="s">
        <v>178</v>
      </c>
      <c r="D135" s="79" t="s">
        <v>385</v>
      </c>
      <c r="E135" s="129">
        <v>1.239583333333333</v>
      </c>
      <c r="F135" s="79" t="s">
        <v>143</v>
      </c>
      <c r="G135" s="81">
        <v>9</v>
      </c>
      <c r="H135" s="130">
        <v>678</v>
      </c>
      <c r="I135" s="27"/>
    </row>
    <row r="136" spans="1:9" ht="19.8" customHeight="1" x14ac:dyDescent="0.3">
      <c r="A136" s="128">
        <v>45993</v>
      </c>
      <c r="B136" s="79" t="s">
        <v>138</v>
      </c>
      <c r="C136" s="80" t="s">
        <v>178</v>
      </c>
      <c r="D136" s="79" t="s">
        <v>385</v>
      </c>
      <c r="E136" s="129">
        <v>1.239583333333333</v>
      </c>
      <c r="F136" s="79" t="s">
        <v>140</v>
      </c>
      <c r="G136" s="81">
        <v>9</v>
      </c>
      <c r="H136" s="130">
        <v>723</v>
      </c>
      <c r="I136" s="27"/>
    </row>
    <row r="137" spans="1:9" ht="19.8" customHeight="1" x14ac:dyDescent="0.3">
      <c r="A137" s="128">
        <v>45993</v>
      </c>
      <c r="B137" s="79" t="s">
        <v>41</v>
      </c>
      <c r="C137" s="80" t="s">
        <v>109</v>
      </c>
      <c r="D137" s="79" t="s">
        <v>385</v>
      </c>
      <c r="E137" s="129">
        <v>1.770833333333333</v>
      </c>
      <c r="F137" s="79" t="s">
        <v>111</v>
      </c>
      <c r="G137" s="81">
        <v>9</v>
      </c>
      <c r="H137" s="130">
        <v>795</v>
      </c>
      <c r="I137" s="27"/>
    </row>
    <row r="138" spans="1:9" ht="19.8" customHeight="1" x14ac:dyDescent="0.3">
      <c r="A138" s="128">
        <v>45993</v>
      </c>
      <c r="B138" s="79" t="s">
        <v>138</v>
      </c>
      <c r="C138" s="80" t="s">
        <v>142</v>
      </c>
      <c r="D138" s="79" t="s">
        <v>385</v>
      </c>
      <c r="E138" s="129">
        <v>1.006944444444444</v>
      </c>
      <c r="F138" s="79" t="s">
        <v>143</v>
      </c>
      <c r="G138" s="81">
        <v>9</v>
      </c>
      <c r="H138" s="130">
        <v>935</v>
      </c>
      <c r="I138" s="27"/>
    </row>
    <row r="139" spans="1:9" ht="19.8" customHeight="1" x14ac:dyDescent="0.3">
      <c r="A139" s="128">
        <v>45993</v>
      </c>
      <c r="B139" s="79" t="s">
        <v>138</v>
      </c>
      <c r="C139" s="80" t="s">
        <v>148</v>
      </c>
      <c r="D139" s="79" t="s">
        <v>385</v>
      </c>
      <c r="E139" s="129">
        <v>1.1423611111111109</v>
      </c>
      <c r="F139" s="79" t="s">
        <v>143</v>
      </c>
      <c r="G139" s="81">
        <v>9</v>
      </c>
      <c r="H139" s="130">
        <v>935</v>
      </c>
      <c r="I139" s="27"/>
    </row>
    <row r="140" spans="1:9" ht="19.8" customHeight="1" x14ac:dyDescent="0.3">
      <c r="A140" s="128">
        <v>45993</v>
      </c>
      <c r="B140" s="79" t="s">
        <v>138</v>
      </c>
      <c r="C140" s="80" t="s">
        <v>150</v>
      </c>
      <c r="D140" s="79" t="s">
        <v>385</v>
      </c>
      <c r="E140" s="129">
        <v>1.930555555555556</v>
      </c>
      <c r="F140" s="79" t="s">
        <v>143</v>
      </c>
      <c r="G140" s="81">
        <v>9</v>
      </c>
      <c r="H140" s="130">
        <v>935</v>
      </c>
      <c r="I140" s="27"/>
    </row>
    <row r="141" spans="1:9" ht="19.8" customHeight="1" x14ac:dyDescent="0.3">
      <c r="A141" s="128">
        <v>45993</v>
      </c>
      <c r="B141" s="79" t="s">
        <v>138</v>
      </c>
      <c r="C141" s="80" t="s">
        <v>154</v>
      </c>
      <c r="D141" s="79" t="s">
        <v>385</v>
      </c>
      <c r="E141" s="129">
        <v>1.71875</v>
      </c>
      <c r="F141" s="79" t="s">
        <v>143</v>
      </c>
      <c r="G141" s="81">
        <v>9</v>
      </c>
      <c r="H141" s="130">
        <v>935</v>
      </c>
      <c r="I141" s="27"/>
    </row>
    <row r="142" spans="1:9" ht="19.8" customHeight="1" x14ac:dyDescent="0.3">
      <c r="A142" s="128">
        <v>45993</v>
      </c>
      <c r="B142" s="79" t="s">
        <v>138</v>
      </c>
      <c r="C142" s="80" t="s">
        <v>156</v>
      </c>
      <c r="D142" s="79" t="s">
        <v>385</v>
      </c>
      <c r="E142" s="129">
        <v>1.8298611111111109</v>
      </c>
      <c r="F142" s="79" t="s">
        <v>143</v>
      </c>
      <c r="G142" s="81">
        <v>9</v>
      </c>
      <c r="H142" s="130">
        <v>935</v>
      </c>
      <c r="I142" s="27"/>
    </row>
    <row r="143" spans="1:9" ht="19.8" customHeight="1" x14ac:dyDescent="0.3">
      <c r="A143" s="128">
        <v>45993</v>
      </c>
      <c r="B143" s="79" t="s">
        <v>138</v>
      </c>
      <c r="C143" s="80" t="s">
        <v>159</v>
      </c>
      <c r="D143" s="79" t="s">
        <v>385</v>
      </c>
      <c r="E143" s="129">
        <v>1.3784722222222221</v>
      </c>
      <c r="F143" s="79" t="s">
        <v>143</v>
      </c>
      <c r="G143" s="81">
        <v>9</v>
      </c>
      <c r="H143" s="130">
        <v>935</v>
      </c>
      <c r="I143" s="27"/>
    </row>
    <row r="144" spans="1:9" ht="19.8" customHeight="1" x14ac:dyDescent="0.3">
      <c r="A144" s="128">
        <v>45993</v>
      </c>
      <c r="B144" s="79" t="s">
        <v>138</v>
      </c>
      <c r="C144" s="80" t="s">
        <v>167</v>
      </c>
      <c r="D144" s="79" t="s">
        <v>385</v>
      </c>
      <c r="E144" s="129">
        <v>1.6111111111111109</v>
      </c>
      <c r="F144" s="79" t="s">
        <v>143</v>
      </c>
      <c r="G144" s="81">
        <v>9</v>
      </c>
      <c r="H144" s="130">
        <v>935</v>
      </c>
      <c r="I144" s="27"/>
    </row>
    <row r="145" spans="1:9" ht="19.8" customHeight="1" x14ac:dyDescent="0.3">
      <c r="A145" s="128">
        <v>45993</v>
      </c>
      <c r="B145" s="79" t="s">
        <v>138</v>
      </c>
      <c r="C145" s="80" t="s">
        <v>142</v>
      </c>
      <c r="D145" s="79" t="s">
        <v>385</v>
      </c>
      <c r="E145" s="129">
        <v>1.006944444444444</v>
      </c>
      <c r="F145" s="79" t="s">
        <v>140</v>
      </c>
      <c r="G145" s="81">
        <v>9</v>
      </c>
      <c r="H145" s="130">
        <v>980</v>
      </c>
      <c r="I145" s="27"/>
    </row>
    <row r="146" spans="1:9" ht="19.8" customHeight="1" x14ac:dyDescent="0.3">
      <c r="A146" s="128">
        <v>45993</v>
      </c>
      <c r="B146" s="79" t="s">
        <v>138</v>
      </c>
      <c r="C146" s="80" t="s">
        <v>148</v>
      </c>
      <c r="D146" s="79" t="s">
        <v>385</v>
      </c>
      <c r="E146" s="129">
        <v>1.1423611111111109</v>
      </c>
      <c r="F146" s="79" t="s">
        <v>140</v>
      </c>
      <c r="G146" s="81">
        <v>9</v>
      </c>
      <c r="H146" s="130">
        <v>980</v>
      </c>
      <c r="I146" s="27"/>
    </row>
    <row r="147" spans="1:9" ht="19.8" customHeight="1" x14ac:dyDescent="0.3">
      <c r="A147" s="128">
        <v>45993</v>
      </c>
      <c r="B147" s="79" t="s">
        <v>138</v>
      </c>
      <c r="C147" s="80" t="s">
        <v>150</v>
      </c>
      <c r="D147" s="79" t="s">
        <v>385</v>
      </c>
      <c r="E147" s="129">
        <v>1.930555555555556</v>
      </c>
      <c r="F147" s="79" t="s">
        <v>140</v>
      </c>
      <c r="G147" s="81">
        <v>9</v>
      </c>
      <c r="H147" s="130">
        <v>980</v>
      </c>
      <c r="I147" s="27"/>
    </row>
    <row r="148" spans="1:9" ht="19.8" customHeight="1" x14ac:dyDescent="0.3">
      <c r="A148" s="128">
        <v>45993</v>
      </c>
      <c r="B148" s="79" t="s">
        <v>138</v>
      </c>
      <c r="C148" s="80" t="s">
        <v>154</v>
      </c>
      <c r="D148" s="79" t="s">
        <v>385</v>
      </c>
      <c r="E148" s="129">
        <v>1.71875</v>
      </c>
      <c r="F148" s="79" t="s">
        <v>140</v>
      </c>
      <c r="G148" s="81">
        <v>9</v>
      </c>
      <c r="H148" s="130">
        <v>980</v>
      </c>
      <c r="I148" s="27"/>
    </row>
    <row r="149" spans="1:9" ht="19.8" customHeight="1" x14ac:dyDescent="0.3">
      <c r="A149" s="128">
        <v>45993</v>
      </c>
      <c r="B149" s="79" t="s">
        <v>138</v>
      </c>
      <c r="C149" s="80" t="s">
        <v>156</v>
      </c>
      <c r="D149" s="79" t="s">
        <v>385</v>
      </c>
      <c r="E149" s="129">
        <v>1.8298611111111109</v>
      </c>
      <c r="F149" s="79" t="s">
        <v>140</v>
      </c>
      <c r="G149" s="81">
        <v>9</v>
      </c>
      <c r="H149" s="130">
        <v>980</v>
      </c>
      <c r="I149" s="27"/>
    </row>
    <row r="150" spans="1:9" ht="19.8" customHeight="1" x14ac:dyDescent="0.3">
      <c r="A150" s="128">
        <v>45993</v>
      </c>
      <c r="B150" s="79" t="s">
        <v>138</v>
      </c>
      <c r="C150" s="80" t="s">
        <v>159</v>
      </c>
      <c r="D150" s="79" t="s">
        <v>385</v>
      </c>
      <c r="E150" s="129">
        <v>1.3784722222222221</v>
      </c>
      <c r="F150" s="79" t="s">
        <v>140</v>
      </c>
      <c r="G150" s="81">
        <v>9</v>
      </c>
      <c r="H150" s="130">
        <v>980</v>
      </c>
      <c r="I150" s="27"/>
    </row>
    <row r="151" spans="1:9" ht="19.8" customHeight="1" x14ac:dyDescent="0.3">
      <c r="A151" s="128">
        <v>45993</v>
      </c>
      <c r="B151" s="79" t="s">
        <v>138</v>
      </c>
      <c r="C151" s="80" t="s">
        <v>167</v>
      </c>
      <c r="D151" s="79" t="s">
        <v>385</v>
      </c>
      <c r="E151" s="129">
        <v>1.6111111111111109</v>
      </c>
      <c r="F151" s="79" t="s">
        <v>140</v>
      </c>
      <c r="G151" s="81">
        <v>9</v>
      </c>
      <c r="H151" s="130">
        <v>980</v>
      </c>
      <c r="I151" s="27"/>
    </row>
    <row r="152" spans="1:9" ht="19.8" customHeight="1" x14ac:dyDescent="0.3">
      <c r="A152" s="128">
        <v>45993</v>
      </c>
      <c r="B152" s="79" t="s">
        <v>47</v>
      </c>
      <c r="C152" s="80" t="s">
        <v>48</v>
      </c>
      <c r="D152" s="79" t="s">
        <v>385</v>
      </c>
      <c r="E152" s="129">
        <v>1.1284722222222221</v>
      </c>
      <c r="F152" s="79" t="s">
        <v>55</v>
      </c>
      <c r="G152" s="81">
        <v>6</v>
      </c>
      <c r="H152" s="86" t="s">
        <v>56</v>
      </c>
      <c r="I152" s="27"/>
    </row>
    <row r="153" spans="1:9" ht="19.8" customHeight="1" x14ac:dyDescent="0.3">
      <c r="A153" s="128">
        <v>45993</v>
      </c>
      <c r="B153" s="79" t="s">
        <v>47</v>
      </c>
      <c r="C153" s="80" t="s">
        <v>57</v>
      </c>
      <c r="D153" s="79" t="s">
        <v>385</v>
      </c>
      <c r="E153" s="129">
        <v>1.302083333333333</v>
      </c>
      <c r="F153" s="79" t="s">
        <v>55</v>
      </c>
      <c r="G153" s="81">
        <v>1</v>
      </c>
      <c r="H153" s="86" t="s">
        <v>56</v>
      </c>
      <c r="I153" s="27"/>
    </row>
    <row r="154" spans="1:9" ht="19.8" customHeight="1" x14ac:dyDescent="0.3">
      <c r="A154" s="128">
        <v>45993</v>
      </c>
      <c r="B154" s="79" t="s">
        <v>47</v>
      </c>
      <c r="C154" s="80" t="s">
        <v>60</v>
      </c>
      <c r="D154" s="79" t="s">
        <v>385</v>
      </c>
      <c r="E154" s="129">
        <v>1.8888888888888891</v>
      </c>
      <c r="F154" s="79" t="s">
        <v>55</v>
      </c>
      <c r="G154" s="81">
        <v>4</v>
      </c>
      <c r="H154" s="86" t="s">
        <v>56</v>
      </c>
      <c r="I154" s="27"/>
    </row>
    <row r="155" spans="1:9" ht="19.8" customHeight="1" x14ac:dyDescent="0.3">
      <c r="A155" s="128">
        <v>45993</v>
      </c>
      <c r="B155" s="79" t="s">
        <v>47</v>
      </c>
      <c r="C155" s="80" t="s">
        <v>63</v>
      </c>
      <c r="D155" s="79" t="s">
        <v>385</v>
      </c>
      <c r="E155" s="129">
        <v>1.788194444444444</v>
      </c>
      <c r="F155" s="79" t="s">
        <v>55</v>
      </c>
      <c r="G155" s="81">
        <v>2</v>
      </c>
      <c r="H155" s="86" t="s">
        <v>56</v>
      </c>
      <c r="I155" s="27"/>
    </row>
    <row r="156" spans="1:9" ht="19.8" customHeight="1" x14ac:dyDescent="0.3">
      <c r="A156" s="128">
        <v>45993</v>
      </c>
      <c r="B156" s="79" t="s">
        <v>138</v>
      </c>
      <c r="C156" s="80" t="s">
        <v>161</v>
      </c>
      <c r="D156" s="79" t="s">
        <v>385</v>
      </c>
      <c r="E156" s="129">
        <v>1.1284722222222221</v>
      </c>
      <c r="F156" s="79" t="s">
        <v>140</v>
      </c>
      <c r="G156" s="81">
        <v>4</v>
      </c>
      <c r="H156" s="86" t="s">
        <v>207</v>
      </c>
      <c r="I156" s="27"/>
    </row>
    <row r="157" spans="1:9" ht="19.8" customHeight="1" x14ac:dyDescent="0.3">
      <c r="A157" s="128">
        <v>45993</v>
      </c>
      <c r="B157" s="79" t="s">
        <v>138</v>
      </c>
      <c r="C157" s="80" t="s">
        <v>139</v>
      </c>
      <c r="D157" s="79" t="s">
        <v>385</v>
      </c>
      <c r="E157" s="129">
        <v>1.8888888888888891</v>
      </c>
      <c r="F157" s="79" t="s">
        <v>140</v>
      </c>
      <c r="G157" s="81">
        <v>4</v>
      </c>
      <c r="H157" s="86" t="s">
        <v>141</v>
      </c>
      <c r="I157" s="27"/>
    </row>
    <row r="158" spans="1:9" ht="19.8" customHeight="1" x14ac:dyDescent="0.3">
      <c r="A158" s="128">
        <v>45993</v>
      </c>
      <c r="B158" s="79" t="s">
        <v>138</v>
      </c>
      <c r="C158" s="80" t="s">
        <v>158</v>
      </c>
      <c r="D158" s="79" t="s">
        <v>385</v>
      </c>
      <c r="E158" s="129">
        <v>1.302083333333333</v>
      </c>
      <c r="F158" s="79" t="s">
        <v>140</v>
      </c>
      <c r="G158" s="81">
        <v>4</v>
      </c>
      <c r="H158" s="86" t="s">
        <v>162</v>
      </c>
      <c r="I158" s="27"/>
    </row>
    <row r="159" spans="1:9" ht="19.8" customHeight="1" x14ac:dyDescent="0.3">
      <c r="A159" s="131">
        <v>45993</v>
      </c>
      <c r="B159" s="87" t="s">
        <v>138</v>
      </c>
      <c r="C159" s="88" t="s">
        <v>166</v>
      </c>
      <c r="D159" s="87" t="s">
        <v>385</v>
      </c>
      <c r="E159" s="132">
        <v>1.788194444444444</v>
      </c>
      <c r="F159" s="87" t="s">
        <v>140</v>
      </c>
      <c r="G159" s="89">
        <v>4</v>
      </c>
      <c r="H159" s="90" t="s">
        <v>162</v>
      </c>
      <c r="I159" s="27"/>
    </row>
    <row r="160" spans="1:9" ht="19.8" customHeight="1" x14ac:dyDescent="0.3">
      <c r="A160" s="128">
        <v>45994</v>
      </c>
      <c r="B160" s="79" t="s">
        <v>47</v>
      </c>
      <c r="C160" s="80" t="s">
        <v>212</v>
      </c>
      <c r="D160" s="79" t="s">
        <v>1</v>
      </c>
      <c r="E160" s="129">
        <v>1.2847222222222221</v>
      </c>
      <c r="F160" s="79" t="s">
        <v>213</v>
      </c>
      <c r="G160" s="81">
        <v>7</v>
      </c>
      <c r="H160" s="130">
        <v>379</v>
      </c>
      <c r="I160" s="27"/>
    </row>
    <row r="161" spans="1:9" ht="19.8" customHeight="1" x14ac:dyDescent="0.3">
      <c r="A161" s="128">
        <v>45994</v>
      </c>
      <c r="B161" s="79" t="s">
        <v>47</v>
      </c>
      <c r="C161" s="80" t="s">
        <v>212</v>
      </c>
      <c r="D161" s="79" t="s">
        <v>1</v>
      </c>
      <c r="E161" s="129">
        <v>1.2847222222222221</v>
      </c>
      <c r="F161" s="79" t="s">
        <v>215</v>
      </c>
      <c r="G161" s="81">
        <v>7</v>
      </c>
      <c r="H161" s="130">
        <v>438</v>
      </c>
      <c r="I161" s="27"/>
    </row>
    <row r="162" spans="1:9" ht="19.8" customHeight="1" x14ac:dyDescent="0.3">
      <c r="A162" s="128">
        <v>45994</v>
      </c>
      <c r="B162" s="79" t="s">
        <v>47</v>
      </c>
      <c r="C162" s="80" t="s">
        <v>212</v>
      </c>
      <c r="D162" s="79" t="s">
        <v>1</v>
      </c>
      <c r="E162" s="129">
        <v>1.2847222222222221</v>
      </c>
      <c r="F162" s="79" t="s">
        <v>217</v>
      </c>
      <c r="G162" s="81">
        <v>7</v>
      </c>
      <c r="H162" s="130">
        <v>462</v>
      </c>
      <c r="I162" s="27"/>
    </row>
    <row r="163" spans="1:9" ht="19.8" customHeight="1" x14ac:dyDescent="0.3">
      <c r="A163" s="126">
        <v>45994</v>
      </c>
      <c r="B163" s="76" t="s">
        <v>26</v>
      </c>
      <c r="C163" s="77" t="s">
        <v>27</v>
      </c>
      <c r="D163" s="76" t="s">
        <v>1</v>
      </c>
      <c r="E163" s="127">
        <v>1.2673611111111109</v>
      </c>
      <c r="F163" s="76" t="s">
        <v>28</v>
      </c>
      <c r="G163" s="78">
        <v>9</v>
      </c>
      <c r="H163" s="125">
        <v>526</v>
      </c>
      <c r="I163" s="27"/>
    </row>
    <row r="164" spans="1:9" ht="19.8" customHeight="1" x14ac:dyDescent="0.3">
      <c r="A164" s="128">
        <v>45994</v>
      </c>
      <c r="B164" s="79" t="s">
        <v>47</v>
      </c>
      <c r="C164" s="80" t="s">
        <v>212</v>
      </c>
      <c r="D164" s="79" t="s">
        <v>1</v>
      </c>
      <c r="E164" s="129">
        <v>1.2847222222222221</v>
      </c>
      <c r="F164" s="79" t="s">
        <v>219</v>
      </c>
      <c r="G164" s="81">
        <v>7</v>
      </c>
      <c r="H164" s="130">
        <v>629</v>
      </c>
      <c r="I164" s="27"/>
    </row>
    <row r="165" spans="1:9" ht="19.8" customHeight="1" x14ac:dyDescent="0.3">
      <c r="A165" s="128">
        <v>45994</v>
      </c>
      <c r="B165" s="79" t="s">
        <v>41</v>
      </c>
      <c r="C165" s="80" t="s">
        <v>42</v>
      </c>
      <c r="D165" s="79" t="s">
        <v>1</v>
      </c>
      <c r="E165" s="129">
        <v>1.2673611111111109</v>
      </c>
      <c r="F165" s="79" t="s">
        <v>43</v>
      </c>
      <c r="G165" s="81">
        <v>4</v>
      </c>
      <c r="H165" s="130">
        <v>640</v>
      </c>
      <c r="I165" s="27"/>
    </row>
    <row r="166" spans="1:9" ht="19.8" customHeight="1" x14ac:dyDescent="0.3">
      <c r="A166" s="126">
        <v>45994</v>
      </c>
      <c r="B166" s="76" t="s">
        <v>26</v>
      </c>
      <c r="C166" s="77" t="s">
        <v>35</v>
      </c>
      <c r="D166" s="76" t="s">
        <v>1</v>
      </c>
      <c r="E166" s="127">
        <v>1.333333333333333</v>
      </c>
      <c r="F166" s="76" t="s">
        <v>28</v>
      </c>
      <c r="G166" s="78">
        <v>4</v>
      </c>
      <c r="H166" s="125">
        <v>706</v>
      </c>
      <c r="I166" s="27"/>
    </row>
    <row r="167" spans="1:9" ht="19.8" customHeight="1" x14ac:dyDescent="0.3">
      <c r="A167" s="82"/>
      <c r="B167" s="83"/>
      <c r="C167" s="83"/>
      <c r="D167" s="83"/>
      <c r="E167" s="83"/>
      <c r="F167" s="84" t="s">
        <v>384</v>
      </c>
      <c r="G167" s="83"/>
      <c r="H167" s="85"/>
      <c r="I167" s="27"/>
    </row>
    <row r="168" spans="1:9" ht="19.8" customHeight="1" x14ac:dyDescent="0.3">
      <c r="A168" s="128">
        <v>45994</v>
      </c>
      <c r="B168" s="79" t="s">
        <v>77</v>
      </c>
      <c r="C168" s="80" t="s">
        <v>91</v>
      </c>
      <c r="D168" s="79" t="s">
        <v>385</v>
      </c>
      <c r="E168" s="129">
        <v>1.302083333333333</v>
      </c>
      <c r="F168" s="79" t="s">
        <v>227</v>
      </c>
      <c r="G168" s="81">
        <v>1</v>
      </c>
      <c r="H168" s="130">
        <v>329</v>
      </c>
      <c r="I168" s="27"/>
    </row>
    <row r="169" spans="1:9" ht="19.8" customHeight="1" x14ac:dyDescent="0.3">
      <c r="A169" s="128">
        <v>45994</v>
      </c>
      <c r="B169" s="79" t="s">
        <v>47</v>
      </c>
      <c r="C169" s="80" t="s">
        <v>48</v>
      </c>
      <c r="D169" s="79" t="s">
        <v>385</v>
      </c>
      <c r="E169" s="129">
        <v>1.1284722222222221</v>
      </c>
      <c r="F169" s="79" t="s">
        <v>231</v>
      </c>
      <c r="G169" s="81">
        <v>10</v>
      </c>
      <c r="H169" s="130">
        <v>359</v>
      </c>
      <c r="I169" s="27"/>
    </row>
    <row r="170" spans="1:9" ht="19.8" customHeight="1" x14ac:dyDescent="0.3">
      <c r="A170" s="128">
        <v>45994</v>
      </c>
      <c r="B170" s="79" t="s">
        <v>47</v>
      </c>
      <c r="C170" s="80" t="s">
        <v>57</v>
      </c>
      <c r="D170" s="79" t="s">
        <v>385</v>
      </c>
      <c r="E170" s="129">
        <v>1.302083333333333</v>
      </c>
      <c r="F170" s="79" t="s">
        <v>231</v>
      </c>
      <c r="G170" s="81">
        <v>3</v>
      </c>
      <c r="H170" s="130">
        <v>359</v>
      </c>
      <c r="I170" s="27"/>
    </row>
    <row r="171" spans="1:9" ht="19.8" customHeight="1" x14ac:dyDescent="0.3">
      <c r="A171" s="128">
        <v>45994</v>
      </c>
      <c r="B171" s="79" t="s">
        <v>77</v>
      </c>
      <c r="C171" s="80" t="s">
        <v>78</v>
      </c>
      <c r="D171" s="79" t="s">
        <v>385</v>
      </c>
      <c r="E171" s="129">
        <v>1.854166666666667</v>
      </c>
      <c r="F171" s="79" t="s">
        <v>227</v>
      </c>
      <c r="G171" s="81">
        <v>4</v>
      </c>
      <c r="H171" s="130">
        <v>369</v>
      </c>
      <c r="I171" s="27"/>
    </row>
    <row r="172" spans="1:9" ht="19.8" customHeight="1" x14ac:dyDescent="0.3">
      <c r="A172" s="128">
        <v>45994</v>
      </c>
      <c r="B172" s="79" t="s">
        <v>77</v>
      </c>
      <c r="C172" s="80" t="s">
        <v>86</v>
      </c>
      <c r="D172" s="79" t="s">
        <v>385</v>
      </c>
      <c r="E172" s="129">
        <v>1.256944444444444</v>
      </c>
      <c r="F172" s="79" t="s">
        <v>227</v>
      </c>
      <c r="G172" s="81">
        <v>9</v>
      </c>
      <c r="H172" s="130">
        <v>369</v>
      </c>
      <c r="I172" s="27"/>
    </row>
    <row r="173" spans="1:9" ht="19.8" customHeight="1" x14ac:dyDescent="0.3">
      <c r="A173" s="128">
        <v>45994</v>
      </c>
      <c r="B173" s="79" t="s">
        <v>77</v>
      </c>
      <c r="C173" s="80" t="s">
        <v>101</v>
      </c>
      <c r="D173" s="79" t="s">
        <v>385</v>
      </c>
      <c r="E173" s="129">
        <v>1.395833333333333</v>
      </c>
      <c r="F173" s="79" t="s">
        <v>227</v>
      </c>
      <c r="G173" s="81">
        <v>5</v>
      </c>
      <c r="H173" s="130">
        <v>369</v>
      </c>
      <c r="I173" s="27"/>
    </row>
    <row r="174" spans="1:9" ht="19.8" customHeight="1" x14ac:dyDescent="0.3">
      <c r="A174" s="128">
        <v>45994</v>
      </c>
      <c r="B174" s="79" t="s">
        <v>132</v>
      </c>
      <c r="C174" s="80" t="s">
        <v>199</v>
      </c>
      <c r="D174" s="79" t="s">
        <v>385</v>
      </c>
      <c r="E174" s="129">
        <v>1.538194444444444</v>
      </c>
      <c r="F174" s="79" t="s">
        <v>123</v>
      </c>
      <c r="G174" s="81">
        <v>9</v>
      </c>
      <c r="H174" s="130">
        <v>400</v>
      </c>
      <c r="I174" s="27"/>
    </row>
    <row r="175" spans="1:9" ht="19.8" customHeight="1" x14ac:dyDescent="0.3">
      <c r="A175" s="128">
        <v>45994</v>
      </c>
      <c r="B175" s="79" t="s">
        <v>120</v>
      </c>
      <c r="C175" s="80" t="s">
        <v>163</v>
      </c>
      <c r="D175" s="79" t="s">
        <v>385</v>
      </c>
      <c r="E175" s="129">
        <v>1.666666666666667</v>
      </c>
      <c r="F175" s="79" t="s">
        <v>123</v>
      </c>
      <c r="G175" s="81">
        <v>8</v>
      </c>
      <c r="H175" s="130">
        <v>401</v>
      </c>
      <c r="I175" s="27"/>
    </row>
    <row r="176" spans="1:9" ht="19.8" customHeight="1" x14ac:dyDescent="0.3">
      <c r="A176" s="128">
        <v>45994</v>
      </c>
      <c r="B176" s="79" t="s">
        <v>77</v>
      </c>
      <c r="C176" s="80" t="s">
        <v>93</v>
      </c>
      <c r="D176" s="79" t="s">
        <v>385</v>
      </c>
      <c r="E176" s="129">
        <v>1.5173611111111109</v>
      </c>
      <c r="F176" s="79" t="s">
        <v>227</v>
      </c>
      <c r="G176" s="81">
        <v>9</v>
      </c>
      <c r="H176" s="130">
        <v>409</v>
      </c>
      <c r="I176" s="27"/>
    </row>
    <row r="177" spans="1:9" ht="19.8" customHeight="1" x14ac:dyDescent="0.3">
      <c r="A177" s="128">
        <v>45994</v>
      </c>
      <c r="B177" s="79" t="s">
        <v>77</v>
      </c>
      <c r="C177" s="80" t="s">
        <v>95</v>
      </c>
      <c r="D177" s="79" t="s">
        <v>385</v>
      </c>
      <c r="E177" s="129">
        <v>1.7986111111111109</v>
      </c>
      <c r="F177" s="79" t="s">
        <v>227</v>
      </c>
      <c r="G177" s="81">
        <v>4</v>
      </c>
      <c r="H177" s="130">
        <v>409</v>
      </c>
      <c r="I177" s="27"/>
    </row>
    <row r="178" spans="1:9" ht="19.8" customHeight="1" x14ac:dyDescent="0.3">
      <c r="A178" s="128">
        <v>45994</v>
      </c>
      <c r="B178" s="79" t="s">
        <v>77</v>
      </c>
      <c r="C178" s="80" t="s">
        <v>104</v>
      </c>
      <c r="D178" s="79" t="s">
        <v>385</v>
      </c>
      <c r="E178" s="129">
        <v>1.645833333333333</v>
      </c>
      <c r="F178" s="79" t="s">
        <v>227</v>
      </c>
      <c r="G178" s="81">
        <v>9</v>
      </c>
      <c r="H178" s="130">
        <v>409</v>
      </c>
      <c r="I178" s="27"/>
    </row>
    <row r="179" spans="1:9" ht="19.8" customHeight="1" x14ac:dyDescent="0.3">
      <c r="A179" s="128">
        <v>45994</v>
      </c>
      <c r="B179" s="79" t="s">
        <v>67</v>
      </c>
      <c r="C179" s="80" t="s">
        <v>68</v>
      </c>
      <c r="D179" s="79" t="s">
        <v>385</v>
      </c>
      <c r="E179" s="129">
        <v>1.3923611111111109</v>
      </c>
      <c r="F179" s="79" t="s">
        <v>230</v>
      </c>
      <c r="G179" s="81">
        <v>9</v>
      </c>
      <c r="H179" s="130">
        <v>409</v>
      </c>
      <c r="I179" s="27"/>
    </row>
    <row r="180" spans="1:9" ht="19.8" customHeight="1" x14ac:dyDescent="0.3">
      <c r="A180" s="128">
        <v>45994</v>
      </c>
      <c r="B180" s="79" t="s">
        <v>47</v>
      </c>
      <c r="C180" s="80" t="s">
        <v>60</v>
      </c>
      <c r="D180" s="79" t="s">
        <v>385</v>
      </c>
      <c r="E180" s="129">
        <v>1.8888888888888891</v>
      </c>
      <c r="F180" s="79" t="s">
        <v>231</v>
      </c>
      <c r="G180" s="81">
        <v>4</v>
      </c>
      <c r="H180" s="130">
        <v>419</v>
      </c>
      <c r="I180" s="27"/>
    </row>
    <row r="181" spans="1:9" ht="19.8" customHeight="1" x14ac:dyDescent="0.3">
      <c r="A181" s="128">
        <v>45994</v>
      </c>
      <c r="B181" s="79" t="s">
        <v>77</v>
      </c>
      <c r="C181" s="80" t="s">
        <v>98</v>
      </c>
      <c r="D181" s="79" t="s">
        <v>385</v>
      </c>
      <c r="E181" s="129">
        <v>1.9027777777777779</v>
      </c>
      <c r="F181" s="79" t="s">
        <v>227</v>
      </c>
      <c r="G181" s="81">
        <v>6</v>
      </c>
      <c r="H181" s="130">
        <v>449</v>
      </c>
      <c r="I181" s="27"/>
    </row>
    <row r="182" spans="1:9" ht="19.8" customHeight="1" x14ac:dyDescent="0.3">
      <c r="A182" s="128">
        <v>45994</v>
      </c>
      <c r="B182" s="79" t="s">
        <v>47</v>
      </c>
      <c r="C182" s="80" t="s">
        <v>63</v>
      </c>
      <c r="D182" s="79" t="s">
        <v>385</v>
      </c>
      <c r="E182" s="129">
        <v>1.788194444444444</v>
      </c>
      <c r="F182" s="79" t="s">
        <v>231</v>
      </c>
      <c r="G182" s="81">
        <v>1</v>
      </c>
      <c r="H182" s="130">
        <v>459</v>
      </c>
      <c r="I182" s="27"/>
    </row>
    <row r="183" spans="1:9" ht="19.8" customHeight="1" x14ac:dyDescent="0.3">
      <c r="A183" s="128">
        <v>45994</v>
      </c>
      <c r="B183" s="79" t="s">
        <v>26</v>
      </c>
      <c r="C183" s="80" t="s">
        <v>136</v>
      </c>
      <c r="D183" s="79" t="s">
        <v>385</v>
      </c>
      <c r="E183" s="129">
        <v>1.614583333333333</v>
      </c>
      <c r="F183" s="79" t="s">
        <v>28</v>
      </c>
      <c r="G183" s="81">
        <v>9</v>
      </c>
      <c r="H183" s="130">
        <v>526</v>
      </c>
      <c r="I183" s="27"/>
    </row>
    <row r="184" spans="1:9" ht="19.8" customHeight="1" x14ac:dyDescent="0.3">
      <c r="A184" s="128">
        <v>45994</v>
      </c>
      <c r="B184" s="79" t="s">
        <v>26</v>
      </c>
      <c r="C184" s="80" t="s">
        <v>146</v>
      </c>
      <c r="D184" s="79" t="s">
        <v>385</v>
      </c>
      <c r="E184" s="129">
        <v>1.5173611111111109</v>
      </c>
      <c r="F184" s="79" t="s">
        <v>28</v>
      </c>
      <c r="G184" s="81">
        <v>9</v>
      </c>
      <c r="H184" s="130">
        <v>526</v>
      </c>
      <c r="I184" s="27"/>
    </row>
    <row r="185" spans="1:9" ht="19.8" customHeight="1" x14ac:dyDescent="0.3">
      <c r="A185" s="128">
        <v>45994</v>
      </c>
      <c r="B185" s="79" t="s">
        <v>41</v>
      </c>
      <c r="C185" s="80" t="s">
        <v>116</v>
      </c>
      <c r="D185" s="79" t="s">
        <v>385</v>
      </c>
      <c r="E185" s="129">
        <v>1.958333333333333</v>
      </c>
      <c r="F185" s="79" t="s">
        <v>43</v>
      </c>
      <c r="G185" s="81">
        <v>9</v>
      </c>
      <c r="H185" s="130">
        <v>579</v>
      </c>
      <c r="I185" s="27"/>
    </row>
    <row r="186" spans="1:9" ht="19.8" customHeight="1" x14ac:dyDescent="0.3">
      <c r="A186" s="128">
        <v>45994</v>
      </c>
      <c r="B186" s="79" t="s">
        <v>41</v>
      </c>
      <c r="C186" s="80" t="s">
        <v>125</v>
      </c>
      <c r="D186" s="79" t="s">
        <v>385</v>
      </c>
      <c r="E186" s="129">
        <v>1.0138888888888891</v>
      </c>
      <c r="F186" s="79" t="s">
        <v>43</v>
      </c>
      <c r="G186" s="81">
        <v>9</v>
      </c>
      <c r="H186" s="130">
        <v>579</v>
      </c>
      <c r="I186" s="27"/>
    </row>
    <row r="187" spans="1:9" ht="19.8" customHeight="1" x14ac:dyDescent="0.3">
      <c r="A187" s="128">
        <v>45994</v>
      </c>
      <c r="B187" s="79" t="s">
        <v>41</v>
      </c>
      <c r="C187" s="80" t="s">
        <v>169</v>
      </c>
      <c r="D187" s="79" t="s">
        <v>385</v>
      </c>
      <c r="E187" s="129">
        <v>1.145833333333333</v>
      </c>
      <c r="F187" s="79" t="s">
        <v>43</v>
      </c>
      <c r="G187" s="81">
        <v>9</v>
      </c>
      <c r="H187" s="130">
        <v>579</v>
      </c>
      <c r="I187" s="27"/>
    </row>
    <row r="188" spans="1:9" ht="19.8" customHeight="1" x14ac:dyDescent="0.3">
      <c r="A188" s="128">
        <v>45994</v>
      </c>
      <c r="B188" s="79" t="s">
        <v>41</v>
      </c>
      <c r="C188" s="80" t="s">
        <v>171</v>
      </c>
      <c r="D188" s="79" t="s">
        <v>385</v>
      </c>
      <c r="E188" s="129">
        <v>1.2777777777777779</v>
      </c>
      <c r="F188" s="79" t="s">
        <v>43</v>
      </c>
      <c r="G188" s="81">
        <v>9</v>
      </c>
      <c r="H188" s="130">
        <v>579</v>
      </c>
      <c r="I188" s="27"/>
    </row>
    <row r="189" spans="1:9" ht="19.8" customHeight="1" x14ac:dyDescent="0.3">
      <c r="A189" s="128">
        <v>45994</v>
      </c>
      <c r="B189" s="79" t="s">
        <v>41</v>
      </c>
      <c r="C189" s="80" t="s">
        <v>173</v>
      </c>
      <c r="D189" s="79" t="s">
        <v>385</v>
      </c>
      <c r="E189" s="129">
        <v>1.4861111111111109</v>
      </c>
      <c r="F189" s="79" t="s">
        <v>43</v>
      </c>
      <c r="G189" s="81">
        <v>9</v>
      </c>
      <c r="H189" s="130">
        <v>579</v>
      </c>
      <c r="I189" s="27"/>
    </row>
    <row r="190" spans="1:9" ht="19.8" customHeight="1" x14ac:dyDescent="0.3">
      <c r="A190" s="128">
        <v>45994</v>
      </c>
      <c r="B190" s="79" t="s">
        <v>41</v>
      </c>
      <c r="C190" s="80" t="s">
        <v>180</v>
      </c>
      <c r="D190" s="79" t="s">
        <v>385</v>
      </c>
      <c r="E190" s="129">
        <v>1.5138888888888891</v>
      </c>
      <c r="F190" s="79" t="s">
        <v>43</v>
      </c>
      <c r="G190" s="81">
        <v>9</v>
      </c>
      <c r="H190" s="130">
        <v>579</v>
      </c>
      <c r="I190" s="27"/>
    </row>
    <row r="191" spans="1:9" ht="19.8" customHeight="1" x14ac:dyDescent="0.3">
      <c r="A191" s="128">
        <v>45994</v>
      </c>
      <c r="B191" s="79" t="s">
        <v>138</v>
      </c>
      <c r="C191" s="80" t="s">
        <v>142</v>
      </c>
      <c r="D191" s="79" t="s">
        <v>385</v>
      </c>
      <c r="E191" s="129">
        <v>1.006944444444444</v>
      </c>
      <c r="F191" s="79" t="s">
        <v>143</v>
      </c>
      <c r="G191" s="81">
        <v>9</v>
      </c>
      <c r="H191" s="130">
        <v>678</v>
      </c>
      <c r="I191" s="27"/>
    </row>
    <row r="192" spans="1:9" ht="19.8" customHeight="1" x14ac:dyDescent="0.3">
      <c r="A192" s="128">
        <v>45994</v>
      </c>
      <c r="B192" s="79" t="s">
        <v>138</v>
      </c>
      <c r="C192" s="80" t="s">
        <v>148</v>
      </c>
      <c r="D192" s="79" t="s">
        <v>385</v>
      </c>
      <c r="E192" s="129">
        <v>1.1423611111111109</v>
      </c>
      <c r="F192" s="79" t="s">
        <v>143</v>
      </c>
      <c r="G192" s="81">
        <v>9</v>
      </c>
      <c r="H192" s="130">
        <v>678</v>
      </c>
      <c r="I192" s="27"/>
    </row>
    <row r="193" spans="1:9" ht="19.8" customHeight="1" x14ac:dyDescent="0.3">
      <c r="A193" s="128">
        <v>45994</v>
      </c>
      <c r="B193" s="79" t="s">
        <v>138</v>
      </c>
      <c r="C193" s="80" t="s">
        <v>159</v>
      </c>
      <c r="D193" s="79" t="s">
        <v>385</v>
      </c>
      <c r="E193" s="129">
        <v>1.3784722222222221</v>
      </c>
      <c r="F193" s="79" t="s">
        <v>143</v>
      </c>
      <c r="G193" s="81">
        <v>9</v>
      </c>
      <c r="H193" s="130">
        <v>678</v>
      </c>
      <c r="I193" s="27"/>
    </row>
    <row r="194" spans="1:9" ht="19.8" customHeight="1" x14ac:dyDescent="0.3">
      <c r="A194" s="128">
        <v>45994</v>
      </c>
      <c r="B194" s="79" t="s">
        <v>138</v>
      </c>
      <c r="C194" s="80" t="s">
        <v>178</v>
      </c>
      <c r="D194" s="79" t="s">
        <v>385</v>
      </c>
      <c r="E194" s="129">
        <v>1.239583333333333</v>
      </c>
      <c r="F194" s="79" t="s">
        <v>143</v>
      </c>
      <c r="G194" s="81">
        <v>9</v>
      </c>
      <c r="H194" s="130">
        <v>678</v>
      </c>
      <c r="I194" s="27"/>
    </row>
    <row r="195" spans="1:9" ht="19.8" customHeight="1" x14ac:dyDescent="0.3">
      <c r="A195" s="128">
        <v>45994</v>
      </c>
      <c r="B195" s="79" t="s">
        <v>138</v>
      </c>
      <c r="C195" s="80" t="s">
        <v>142</v>
      </c>
      <c r="D195" s="79" t="s">
        <v>385</v>
      </c>
      <c r="E195" s="129">
        <v>1.006944444444444</v>
      </c>
      <c r="F195" s="79" t="s">
        <v>140</v>
      </c>
      <c r="G195" s="81">
        <v>9</v>
      </c>
      <c r="H195" s="130">
        <v>723</v>
      </c>
      <c r="I195" s="27"/>
    </row>
    <row r="196" spans="1:9" ht="19.8" customHeight="1" x14ac:dyDescent="0.3">
      <c r="A196" s="128">
        <v>45994</v>
      </c>
      <c r="B196" s="79" t="s">
        <v>138</v>
      </c>
      <c r="C196" s="80" t="s">
        <v>148</v>
      </c>
      <c r="D196" s="79" t="s">
        <v>385</v>
      </c>
      <c r="E196" s="129">
        <v>1.1423611111111109</v>
      </c>
      <c r="F196" s="79" t="s">
        <v>140</v>
      </c>
      <c r="G196" s="81">
        <v>9</v>
      </c>
      <c r="H196" s="130">
        <v>723</v>
      </c>
      <c r="I196" s="27"/>
    </row>
    <row r="197" spans="1:9" ht="19.8" customHeight="1" x14ac:dyDescent="0.3">
      <c r="A197" s="128">
        <v>45994</v>
      </c>
      <c r="B197" s="79" t="s">
        <v>138</v>
      </c>
      <c r="C197" s="80" t="s">
        <v>159</v>
      </c>
      <c r="D197" s="79" t="s">
        <v>385</v>
      </c>
      <c r="E197" s="129">
        <v>1.3784722222222221</v>
      </c>
      <c r="F197" s="79" t="s">
        <v>140</v>
      </c>
      <c r="G197" s="81">
        <v>9</v>
      </c>
      <c r="H197" s="130">
        <v>723</v>
      </c>
      <c r="I197" s="27"/>
    </row>
    <row r="198" spans="1:9" ht="19.8" customHeight="1" x14ac:dyDescent="0.3">
      <c r="A198" s="128">
        <v>45994</v>
      </c>
      <c r="B198" s="79" t="s">
        <v>138</v>
      </c>
      <c r="C198" s="80" t="s">
        <v>178</v>
      </c>
      <c r="D198" s="79" t="s">
        <v>385</v>
      </c>
      <c r="E198" s="129">
        <v>1.239583333333333</v>
      </c>
      <c r="F198" s="79" t="s">
        <v>140</v>
      </c>
      <c r="G198" s="81">
        <v>9</v>
      </c>
      <c r="H198" s="130">
        <v>723</v>
      </c>
      <c r="I198" s="27"/>
    </row>
    <row r="199" spans="1:9" ht="19.8" customHeight="1" x14ac:dyDescent="0.3">
      <c r="A199" s="128">
        <v>45994</v>
      </c>
      <c r="B199" s="79" t="s">
        <v>132</v>
      </c>
      <c r="C199" s="80" t="s">
        <v>133</v>
      </c>
      <c r="D199" s="79" t="s">
        <v>385</v>
      </c>
      <c r="E199" s="129">
        <v>1.8611111111111109</v>
      </c>
      <c r="F199" s="79" t="s">
        <v>123</v>
      </c>
      <c r="G199" s="81">
        <v>4</v>
      </c>
      <c r="H199" s="130">
        <v>745</v>
      </c>
      <c r="I199" s="27"/>
    </row>
    <row r="200" spans="1:9" ht="19.8" customHeight="1" x14ac:dyDescent="0.3">
      <c r="A200" s="128">
        <v>45994</v>
      </c>
      <c r="B200" s="79" t="s">
        <v>41</v>
      </c>
      <c r="C200" s="80" t="s">
        <v>109</v>
      </c>
      <c r="D200" s="79" t="s">
        <v>385</v>
      </c>
      <c r="E200" s="129">
        <v>1.770833333333333</v>
      </c>
      <c r="F200" s="79" t="s">
        <v>111</v>
      </c>
      <c r="G200" s="81">
        <v>9</v>
      </c>
      <c r="H200" s="130">
        <v>795</v>
      </c>
      <c r="I200" s="27"/>
    </row>
    <row r="201" spans="1:9" ht="19.8" customHeight="1" x14ac:dyDescent="0.3">
      <c r="A201" s="128">
        <v>45994</v>
      </c>
      <c r="B201" s="79" t="s">
        <v>138</v>
      </c>
      <c r="C201" s="80" t="s">
        <v>156</v>
      </c>
      <c r="D201" s="79" t="s">
        <v>385</v>
      </c>
      <c r="E201" s="129">
        <v>1.8298611111111109</v>
      </c>
      <c r="F201" s="79" t="s">
        <v>143</v>
      </c>
      <c r="G201" s="81">
        <v>9</v>
      </c>
      <c r="H201" s="130">
        <v>935</v>
      </c>
      <c r="I201" s="27"/>
    </row>
    <row r="202" spans="1:9" ht="19.8" customHeight="1" x14ac:dyDescent="0.3">
      <c r="A202" s="128">
        <v>45994</v>
      </c>
      <c r="B202" s="79" t="s">
        <v>138</v>
      </c>
      <c r="C202" s="80" t="s">
        <v>167</v>
      </c>
      <c r="D202" s="79" t="s">
        <v>385</v>
      </c>
      <c r="E202" s="129">
        <v>1.6111111111111109</v>
      </c>
      <c r="F202" s="79" t="s">
        <v>143</v>
      </c>
      <c r="G202" s="81">
        <v>9</v>
      </c>
      <c r="H202" s="130">
        <v>935</v>
      </c>
      <c r="I202" s="27"/>
    </row>
    <row r="203" spans="1:9" ht="19.8" customHeight="1" x14ac:dyDescent="0.3">
      <c r="A203" s="128">
        <v>45994</v>
      </c>
      <c r="B203" s="79" t="s">
        <v>138</v>
      </c>
      <c r="C203" s="80" t="s">
        <v>156</v>
      </c>
      <c r="D203" s="79" t="s">
        <v>385</v>
      </c>
      <c r="E203" s="129">
        <v>1.8298611111111109</v>
      </c>
      <c r="F203" s="79" t="s">
        <v>140</v>
      </c>
      <c r="G203" s="81">
        <v>9</v>
      </c>
      <c r="H203" s="130">
        <v>980</v>
      </c>
      <c r="I203" s="27"/>
    </row>
    <row r="204" spans="1:9" ht="19.8" customHeight="1" x14ac:dyDescent="0.3">
      <c r="A204" s="128">
        <v>45994</v>
      </c>
      <c r="B204" s="79" t="s">
        <v>138</v>
      </c>
      <c r="C204" s="80" t="s">
        <v>167</v>
      </c>
      <c r="D204" s="79" t="s">
        <v>385</v>
      </c>
      <c r="E204" s="129">
        <v>1.6111111111111109</v>
      </c>
      <c r="F204" s="79" t="s">
        <v>140</v>
      </c>
      <c r="G204" s="81">
        <v>9</v>
      </c>
      <c r="H204" s="130">
        <v>980</v>
      </c>
      <c r="I204" s="27"/>
    </row>
    <row r="205" spans="1:9" ht="19.8" customHeight="1" x14ac:dyDescent="0.3">
      <c r="A205" s="128">
        <v>45994</v>
      </c>
      <c r="B205" s="79" t="s">
        <v>138</v>
      </c>
      <c r="C205" s="80" t="s">
        <v>161</v>
      </c>
      <c r="D205" s="79" t="s">
        <v>385</v>
      </c>
      <c r="E205" s="129">
        <v>1.1284722222222221</v>
      </c>
      <c r="F205" s="79" t="s">
        <v>140</v>
      </c>
      <c r="G205" s="81">
        <v>4</v>
      </c>
      <c r="H205" s="86" t="s">
        <v>207</v>
      </c>
      <c r="I205" s="27"/>
    </row>
    <row r="206" spans="1:9" ht="19.8" customHeight="1" x14ac:dyDescent="0.3">
      <c r="A206" s="128">
        <v>45994</v>
      </c>
      <c r="B206" s="79" t="s">
        <v>26</v>
      </c>
      <c r="C206" s="80" t="s">
        <v>175</v>
      </c>
      <c r="D206" s="79" t="s">
        <v>385</v>
      </c>
      <c r="E206" s="129">
        <v>1.520833333333333</v>
      </c>
      <c r="F206" s="79" t="s">
        <v>28</v>
      </c>
      <c r="G206" s="81">
        <v>9</v>
      </c>
      <c r="H206" s="86" t="s">
        <v>238</v>
      </c>
      <c r="I206" s="27"/>
    </row>
    <row r="207" spans="1:9" ht="19.8" customHeight="1" x14ac:dyDescent="0.3">
      <c r="A207" s="128">
        <v>45994</v>
      </c>
      <c r="B207" s="79" t="s">
        <v>138</v>
      </c>
      <c r="C207" s="80" t="s">
        <v>158</v>
      </c>
      <c r="D207" s="79" t="s">
        <v>385</v>
      </c>
      <c r="E207" s="129">
        <v>1.302083333333333</v>
      </c>
      <c r="F207" s="79" t="s">
        <v>140</v>
      </c>
      <c r="G207" s="81">
        <v>4</v>
      </c>
      <c r="H207" s="86" t="s">
        <v>141</v>
      </c>
      <c r="I207" s="27"/>
    </row>
    <row r="208" spans="1:9" ht="19.8" customHeight="1" x14ac:dyDescent="0.3">
      <c r="A208" s="128">
        <v>45994</v>
      </c>
      <c r="B208" s="79" t="s">
        <v>138</v>
      </c>
      <c r="C208" s="80" t="s">
        <v>150</v>
      </c>
      <c r="D208" s="79" t="s">
        <v>385</v>
      </c>
      <c r="E208" s="129">
        <v>1.930555555555556</v>
      </c>
      <c r="F208" s="79" t="s">
        <v>143</v>
      </c>
      <c r="G208" s="81">
        <v>9</v>
      </c>
      <c r="H208" s="86" t="s">
        <v>144</v>
      </c>
      <c r="I208" s="27"/>
    </row>
    <row r="209" spans="1:9" ht="19.8" customHeight="1" x14ac:dyDescent="0.3">
      <c r="A209" s="128">
        <v>45994</v>
      </c>
      <c r="B209" s="79" t="s">
        <v>138</v>
      </c>
      <c r="C209" s="80" t="s">
        <v>154</v>
      </c>
      <c r="D209" s="79" t="s">
        <v>385</v>
      </c>
      <c r="E209" s="129">
        <v>1.71875</v>
      </c>
      <c r="F209" s="79" t="s">
        <v>143</v>
      </c>
      <c r="G209" s="81">
        <v>9</v>
      </c>
      <c r="H209" s="86" t="s">
        <v>144</v>
      </c>
      <c r="I209" s="27"/>
    </row>
    <row r="210" spans="1:9" ht="19.8" customHeight="1" x14ac:dyDescent="0.3">
      <c r="A210" s="128">
        <v>45994</v>
      </c>
      <c r="B210" s="79" t="s">
        <v>138</v>
      </c>
      <c r="C210" s="80" t="s">
        <v>150</v>
      </c>
      <c r="D210" s="79" t="s">
        <v>385</v>
      </c>
      <c r="E210" s="129">
        <v>1.930555555555556</v>
      </c>
      <c r="F210" s="79" t="s">
        <v>140</v>
      </c>
      <c r="G210" s="81">
        <v>9</v>
      </c>
      <c r="H210" s="86" t="s">
        <v>145</v>
      </c>
      <c r="I210" s="27"/>
    </row>
    <row r="211" spans="1:9" ht="19.8" customHeight="1" x14ac:dyDescent="0.3">
      <c r="A211" s="128">
        <v>45994</v>
      </c>
      <c r="B211" s="79" t="s">
        <v>138</v>
      </c>
      <c r="C211" s="80" t="s">
        <v>154</v>
      </c>
      <c r="D211" s="79" t="s">
        <v>385</v>
      </c>
      <c r="E211" s="129">
        <v>1.71875</v>
      </c>
      <c r="F211" s="79" t="s">
        <v>140</v>
      </c>
      <c r="G211" s="81">
        <v>9</v>
      </c>
      <c r="H211" s="86" t="s">
        <v>145</v>
      </c>
      <c r="I211" s="27"/>
    </row>
    <row r="212" spans="1:9" ht="19.8" customHeight="1" x14ac:dyDescent="0.3">
      <c r="A212" s="128">
        <v>45994</v>
      </c>
      <c r="B212" s="79" t="s">
        <v>138</v>
      </c>
      <c r="C212" s="80" t="s">
        <v>139</v>
      </c>
      <c r="D212" s="79" t="s">
        <v>385</v>
      </c>
      <c r="E212" s="129">
        <v>1.8888888888888891</v>
      </c>
      <c r="F212" s="79" t="s">
        <v>140</v>
      </c>
      <c r="G212" s="81">
        <v>4</v>
      </c>
      <c r="H212" s="86" t="s">
        <v>162</v>
      </c>
      <c r="I212" s="27"/>
    </row>
    <row r="213" spans="1:9" ht="19.8" customHeight="1" x14ac:dyDescent="0.3">
      <c r="A213" s="131">
        <v>45994</v>
      </c>
      <c r="B213" s="87" t="s">
        <v>138</v>
      </c>
      <c r="C213" s="88" t="s">
        <v>166</v>
      </c>
      <c r="D213" s="87" t="s">
        <v>385</v>
      </c>
      <c r="E213" s="132">
        <v>1.788194444444444</v>
      </c>
      <c r="F213" s="87" t="s">
        <v>140</v>
      </c>
      <c r="G213" s="89">
        <v>4</v>
      </c>
      <c r="H213" s="90" t="s">
        <v>236</v>
      </c>
      <c r="I213" s="27"/>
    </row>
    <row r="214" spans="1:9" ht="19.8" customHeight="1" x14ac:dyDescent="0.3">
      <c r="A214" s="126">
        <v>45995</v>
      </c>
      <c r="B214" s="76" t="s">
        <v>26</v>
      </c>
      <c r="C214" s="77" t="s">
        <v>239</v>
      </c>
      <c r="D214" s="76" t="s">
        <v>1</v>
      </c>
      <c r="E214" s="127">
        <v>1.083333333333333</v>
      </c>
      <c r="F214" s="76" t="s">
        <v>28</v>
      </c>
      <c r="G214" s="78">
        <v>9</v>
      </c>
      <c r="H214" s="125">
        <v>471</v>
      </c>
      <c r="I214" s="27"/>
    </row>
    <row r="215" spans="1:9" ht="19.8" customHeight="1" x14ac:dyDescent="0.3">
      <c r="A215" s="126">
        <v>45995</v>
      </c>
      <c r="B215" s="76" t="s">
        <v>26</v>
      </c>
      <c r="C215" s="77" t="s">
        <v>182</v>
      </c>
      <c r="D215" s="76" t="s">
        <v>1</v>
      </c>
      <c r="E215" s="127">
        <v>1.708333333333333</v>
      </c>
      <c r="F215" s="76" t="s">
        <v>28</v>
      </c>
      <c r="G215" s="78">
        <v>9</v>
      </c>
      <c r="H215" s="125">
        <v>526</v>
      </c>
      <c r="I215" s="27"/>
    </row>
    <row r="216" spans="1:9" ht="19.8" customHeight="1" x14ac:dyDescent="0.3">
      <c r="A216" s="126">
        <v>45995</v>
      </c>
      <c r="B216" s="76" t="s">
        <v>26</v>
      </c>
      <c r="C216" s="77" t="s">
        <v>27</v>
      </c>
      <c r="D216" s="76" t="s">
        <v>1</v>
      </c>
      <c r="E216" s="127">
        <v>1.5173611111111109</v>
      </c>
      <c r="F216" s="76" t="s">
        <v>28</v>
      </c>
      <c r="G216" s="78">
        <v>9</v>
      </c>
      <c r="H216" s="125">
        <v>526</v>
      </c>
      <c r="I216" s="27"/>
    </row>
    <row r="217" spans="1:9" ht="19.8" customHeight="1" x14ac:dyDescent="0.3">
      <c r="A217" s="128">
        <v>45995</v>
      </c>
      <c r="B217" s="79" t="s">
        <v>41</v>
      </c>
      <c r="C217" s="80" t="s">
        <v>42</v>
      </c>
      <c r="D217" s="79" t="s">
        <v>1</v>
      </c>
      <c r="E217" s="129">
        <v>1.5173611111111109</v>
      </c>
      <c r="F217" s="79" t="s">
        <v>43</v>
      </c>
      <c r="G217" s="81">
        <v>4</v>
      </c>
      <c r="H217" s="130">
        <v>640</v>
      </c>
      <c r="I217" s="27"/>
    </row>
    <row r="218" spans="1:9" ht="19.8" customHeight="1" x14ac:dyDescent="0.3">
      <c r="A218" s="82"/>
      <c r="B218" s="83"/>
      <c r="C218" s="83"/>
      <c r="D218" s="83"/>
      <c r="E218" s="83"/>
      <c r="F218" s="84" t="s">
        <v>384</v>
      </c>
      <c r="G218" s="83"/>
      <c r="H218" s="85"/>
      <c r="I218" s="27"/>
    </row>
    <row r="219" spans="1:9" ht="19.8" customHeight="1" x14ac:dyDescent="0.3">
      <c r="A219" s="128">
        <v>45995</v>
      </c>
      <c r="B219" s="79" t="s">
        <v>77</v>
      </c>
      <c r="C219" s="80" t="s">
        <v>91</v>
      </c>
      <c r="D219" s="79" t="s">
        <v>385</v>
      </c>
      <c r="E219" s="129">
        <v>1.302083333333333</v>
      </c>
      <c r="F219" s="79" t="s">
        <v>80</v>
      </c>
      <c r="G219" s="81">
        <v>8</v>
      </c>
      <c r="H219" s="130">
        <v>329</v>
      </c>
      <c r="I219" s="27"/>
    </row>
    <row r="220" spans="1:9" ht="19.8" customHeight="1" x14ac:dyDescent="0.3">
      <c r="A220" s="128">
        <v>45995</v>
      </c>
      <c r="B220" s="79" t="s">
        <v>47</v>
      </c>
      <c r="C220" s="80" t="s">
        <v>48</v>
      </c>
      <c r="D220" s="79" t="s">
        <v>385</v>
      </c>
      <c r="E220" s="129">
        <v>1.1284722222222221</v>
      </c>
      <c r="F220" s="79" t="s">
        <v>50</v>
      </c>
      <c r="G220" s="81">
        <v>4</v>
      </c>
      <c r="H220" s="130">
        <v>359</v>
      </c>
      <c r="I220" s="27"/>
    </row>
    <row r="221" spans="1:9" ht="19.8" customHeight="1" x14ac:dyDescent="0.3">
      <c r="A221" s="128">
        <v>45995</v>
      </c>
      <c r="B221" s="79" t="s">
        <v>47</v>
      </c>
      <c r="C221" s="80" t="s">
        <v>57</v>
      </c>
      <c r="D221" s="79" t="s">
        <v>385</v>
      </c>
      <c r="E221" s="129">
        <v>1.302083333333333</v>
      </c>
      <c r="F221" s="79" t="s">
        <v>50</v>
      </c>
      <c r="G221" s="81">
        <v>5</v>
      </c>
      <c r="H221" s="130">
        <v>359</v>
      </c>
      <c r="I221" s="27"/>
    </row>
    <row r="222" spans="1:9" ht="19.8" customHeight="1" x14ac:dyDescent="0.3">
      <c r="A222" s="128">
        <v>45995</v>
      </c>
      <c r="B222" s="79" t="s">
        <v>67</v>
      </c>
      <c r="C222" s="80" t="s">
        <v>68</v>
      </c>
      <c r="D222" s="79" t="s">
        <v>385</v>
      </c>
      <c r="E222" s="129">
        <v>1.3298611111111109</v>
      </c>
      <c r="F222" s="79" t="s">
        <v>70</v>
      </c>
      <c r="G222" s="81">
        <v>9</v>
      </c>
      <c r="H222" s="130">
        <v>361</v>
      </c>
      <c r="I222" s="27"/>
    </row>
    <row r="223" spans="1:9" ht="19.8" customHeight="1" x14ac:dyDescent="0.3">
      <c r="A223" s="128">
        <v>45995</v>
      </c>
      <c r="B223" s="79" t="s">
        <v>77</v>
      </c>
      <c r="C223" s="80" t="s">
        <v>86</v>
      </c>
      <c r="D223" s="79" t="s">
        <v>385</v>
      </c>
      <c r="E223" s="129">
        <v>1.256944444444444</v>
      </c>
      <c r="F223" s="79" t="s">
        <v>80</v>
      </c>
      <c r="G223" s="81">
        <v>8</v>
      </c>
      <c r="H223" s="130">
        <v>369</v>
      </c>
      <c r="I223" s="27"/>
    </row>
    <row r="224" spans="1:9" ht="19.8" customHeight="1" x14ac:dyDescent="0.3">
      <c r="A224" s="128">
        <v>45995</v>
      </c>
      <c r="B224" s="79" t="s">
        <v>77</v>
      </c>
      <c r="C224" s="80" t="s">
        <v>93</v>
      </c>
      <c r="D224" s="79" t="s">
        <v>385</v>
      </c>
      <c r="E224" s="129">
        <v>1.5173611111111109</v>
      </c>
      <c r="F224" s="79" t="s">
        <v>80</v>
      </c>
      <c r="G224" s="81">
        <v>6</v>
      </c>
      <c r="H224" s="130">
        <v>369</v>
      </c>
      <c r="I224" s="27"/>
    </row>
    <row r="225" spans="1:9" ht="19.8" customHeight="1" x14ac:dyDescent="0.3">
      <c r="A225" s="128">
        <v>45995</v>
      </c>
      <c r="B225" s="79" t="s">
        <v>77</v>
      </c>
      <c r="C225" s="80" t="s">
        <v>98</v>
      </c>
      <c r="D225" s="79" t="s">
        <v>385</v>
      </c>
      <c r="E225" s="129">
        <v>1.9027777777777779</v>
      </c>
      <c r="F225" s="79" t="s">
        <v>80</v>
      </c>
      <c r="G225" s="81">
        <v>4</v>
      </c>
      <c r="H225" s="130">
        <v>369</v>
      </c>
      <c r="I225" s="27"/>
    </row>
    <row r="226" spans="1:9" ht="19.8" customHeight="1" x14ac:dyDescent="0.3">
      <c r="A226" s="128">
        <v>45995</v>
      </c>
      <c r="B226" s="79" t="s">
        <v>77</v>
      </c>
      <c r="C226" s="80" t="s">
        <v>101</v>
      </c>
      <c r="D226" s="79" t="s">
        <v>385</v>
      </c>
      <c r="E226" s="129">
        <v>1.395833333333333</v>
      </c>
      <c r="F226" s="79" t="s">
        <v>80</v>
      </c>
      <c r="G226" s="81">
        <v>9</v>
      </c>
      <c r="H226" s="130">
        <v>369</v>
      </c>
      <c r="I226" s="27"/>
    </row>
    <row r="227" spans="1:9" ht="19.8" customHeight="1" x14ac:dyDescent="0.3">
      <c r="A227" s="128">
        <v>45995</v>
      </c>
      <c r="B227" s="79" t="s">
        <v>132</v>
      </c>
      <c r="C227" s="80" t="s">
        <v>133</v>
      </c>
      <c r="D227" s="79" t="s">
        <v>385</v>
      </c>
      <c r="E227" s="129">
        <v>1.59375</v>
      </c>
      <c r="F227" s="79" t="s">
        <v>123</v>
      </c>
      <c r="G227" s="81">
        <v>9</v>
      </c>
      <c r="H227" s="130">
        <v>400</v>
      </c>
      <c r="I227" s="27"/>
    </row>
    <row r="228" spans="1:9" ht="19.8" customHeight="1" x14ac:dyDescent="0.3">
      <c r="A228" s="128">
        <v>45995</v>
      </c>
      <c r="B228" s="79" t="s">
        <v>132</v>
      </c>
      <c r="C228" s="80" t="s">
        <v>199</v>
      </c>
      <c r="D228" s="79" t="s">
        <v>385</v>
      </c>
      <c r="E228" s="129">
        <v>1.291666666666667</v>
      </c>
      <c r="F228" s="79" t="s">
        <v>123</v>
      </c>
      <c r="G228" s="81">
        <v>9</v>
      </c>
      <c r="H228" s="130">
        <v>400</v>
      </c>
      <c r="I228" s="27"/>
    </row>
    <row r="229" spans="1:9" ht="19.8" customHeight="1" x14ac:dyDescent="0.3">
      <c r="A229" s="128">
        <v>45995</v>
      </c>
      <c r="B229" s="79" t="s">
        <v>120</v>
      </c>
      <c r="C229" s="80" t="s">
        <v>163</v>
      </c>
      <c r="D229" s="79" t="s">
        <v>385</v>
      </c>
      <c r="E229" s="129">
        <v>1.666666666666667</v>
      </c>
      <c r="F229" s="79" t="s">
        <v>123</v>
      </c>
      <c r="G229" s="81">
        <v>4</v>
      </c>
      <c r="H229" s="130">
        <v>401</v>
      </c>
      <c r="I229" s="27"/>
    </row>
    <row r="230" spans="1:9" ht="19.8" customHeight="1" x14ac:dyDescent="0.3">
      <c r="A230" s="128">
        <v>45995</v>
      </c>
      <c r="B230" s="79" t="s">
        <v>77</v>
      </c>
      <c r="C230" s="80" t="s">
        <v>78</v>
      </c>
      <c r="D230" s="79" t="s">
        <v>385</v>
      </c>
      <c r="E230" s="129">
        <v>1.854166666666667</v>
      </c>
      <c r="F230" s="79" t="s">
        <v>80</v>
      </c>
      <c r="G230" s="81">
        <v>9</v>
      </c>
      <c r="H230" s="130">
        <v>409</v>
      </c>
      <c r="I230" s="27"/>
    </row>
    <row r="231" spans="1:9" ht="19.8" customHeight="1" x14ac:dyDescent="0.3">
      <c r="A231" s="128">
        <v>45995</v>
      </c>
      <c r="B231" s="79" t="s">
        <v>47</v>
      </c>
      <c r="C231" s="80" t="s">
        <v>60</v>
      </c>
      <c r="D231" s="79" t="s">
        <v>385</v>
      </c>
      <c r="E231" s="129">
        <v>1.8888888888888891</v>
      </c>
      <c r="F231" s="79" t="s">
        <v>50</v>
      </c>
      <c r="G231" s="81">
        <v>10</v>
      </c>
      <c r="H231" s="130">
        <v>419</v>
      </c>
      <c r="I231" s="27"/>
    </row>
    <row r="232" spans="1:9" ht="19.8" customHeight="1" x14ac:dyDescent="0.3">
      <c r="A232" s="128">
        <v>45995</v>
      </c>
      <c r="B232" s="79" t="s">
        <v>77</v>
      </c>
      <c r="C232" s="80" t="s">
        <v>91</v>
      </c>
      <c r="D232" s="79" t="s">
        <v>385</v>
      </c>
      <c r="E232" s="129">
        <v>1.302083333333333</v>
      </c>
      <c r="F232" s="79" t="s">
        <v>82</v>
      </c>
      <c r="G232" s="81">
        <v>8</v>
      </c>
      <c r="H232" s="130">
        <v>429</v>
      </c>
      <c r="I232" s="27"/>
    </row>
    <row r="233" spans="1:9" ht="19.8" customHeight="1" x14ac:dyDescent="0.3">
      <c r="A233" s="128">
        <v>45995</v>
      </c>
      <c r="B233" s="79" t="s">
        <v>26</v>
      </c>
      <c r="C233" s="80" t="s">
        <v>256</v>
      </c>
      <c r="D233" s="79" t="s">
        <v>385</v>
      </c>
      <c r="E233" s="129">
        <v>1.2534722222222221</v>
      </c>
      <c r="F233" s="79" t="s">
        <v>28</v>
      </c>
      <c r="G233" s="81">
        <v>9</v>
      </c>
      <c r="H233" s="130">
        <v>436</v>
      </c>
      <c r="I233" s="27"/>
    </row>
    <row r="234" spans="1:9" ht="19.8" customHeight="1" x14ac:dyDescent="0.3">
      <c r="A234" s="128">
        <v>45995</v>
      </c>
      <c r="B234" s="79" t="s">
        <v>26</v>
      </c>
      <c r="C234" s="80" t="s">
        <v>262</v>
      </c>
      <c r="D234" s="79" t="s">
        <v>385</v>
      </c>
      <c r="E234" s="129">
        <v>1.364583333333333</v>
      </c>
      <c r="F234" s="79" t="s">
        <v>28</v>
      </c>
      <c r="G234" s="81">
        <v>9</v>
      </c>
      <c r="H234" s="130">
        <v>436</v>
      </c>
      <c r="I234" s="27"/>
    </row>
    <row r="235" spans="1:9" ht="19.8" customHeight="1" x14ac:dyDescent="0.3">
      <c r="A235" s="128">
        <v>45995</v>
      </c>
      <c r="B235" s="79" t="s">
        <v>26</v>
      </c>
      <c r="C235" s="80" t="s">
        <v>146</v>
      </c>
      <c r="D235" s="79" t="s">
        <v>385</v>
      </c>
      <c r="E235" s="129">
        <v>1.333333333333333</v>
      </c>
      <c r="F235" s="79" t="s">
        <v>28</v>
      </c>
      <c r="G235" s="81">
        <v>9</v>
      </c>
      <c r="H235" s="130">
        <v>436</v>
      </c>
      <c r="I235" s="27"/>
    </row>
    <row r="236" spans="1:9" ht="19.8" customHeight="1" x14ac:dyDescent="0.3">
      <c r="A236" s="128">
        <v>45995</v>
      </c>
      <c r="B236" s="79" t="s">
        <v>26</v>
      </c>
      <c r="C236" s="80" t="s">
        <v>202</v>
      </c>
      <c r="D236" s="79" t="s">
        <v>385</v>
      </c>
      <c r="E236" s="129">
        <v>1.114583333333333</v>
      </c>
      <c r="F236" s="79" t="s">
        <v>28</v>
      </c>
      <c r="G236" s="81">
        <v>1</v>
      </c>
      <c r="H236" s="130">
        <v>436</v>
      </c>
      <c r="I236" s="27"/>
    </row>
    <row r="237" spans="1:9" ht="19.8" customHeight="1" x14ac:dyDescent="0.3">
      <c r="A237" s="128">
        <v>45995</v>
      </c>
      <c r="B237" s="79" t="s">
        <v>77</v>
      </c>
      <c r="C237" s="80" t="s">
        <v>104</v>
      </c>
      <c r="D237" s="79" t="s">
        <v>385</v>
      </c>
      <c r="E237" s="129">
        <v>1.645833333333333</v>
      </c>
      <c r="F237" s="79" t="s">
        <v>80</v>
      </c>
      <c r="G237" s="81">
        <v>9</v>
      </c>
      <c r="H237" s="130">
        <v>449</v>
      </c>
      <c r="I237" s="27"/>
    </row>
    <row r="238" spans="1:9" ht="19.8" customHeight="1" x14ac:dyDescent="0.3">
      <c r="A238" s="128">
        <v>45995</v>
      </c>
      <c r="B238" s="79" t="s">
        <v>47</v>
      </c>
      <c r="C238" s="80" t="s">
        <v>63</v>
      </c>
      <c r="D238" s="79" t="s">
        <v>385</v>
      </c>
      <c r="E238" s="129">
        <v>1.788194444444444</v>
      </c>
      <c r="F238" s="79" t="s">
        <v>50</v>
      </c>
      <c r="G238" s="81">
        <v>5</v>
      </c>
      <c r="H238" s="130">
        <v>459</v>
      </c>
      <c r="I238" s="27"/>
    </row>
    <row r="239" spans="1:9" ht="19.8" customHeight="1" x14ac:dyDescent="0.3">
      <c r="A239" s="128">
        <v>45995</v>
      </c>
      <c r="B239" s="79" t="s">
        <v>77</v>
      </c>
      <c r="C239" s="80" t="s">
        <v>86</v>
      </c>
      <c r="D239" s="79" t="s">
        <v>385</v>
      </c>
      <c r="E239" s="129">
        <v>1.256944444444444</v>
      </c>
      <c r="F239" s="79" t="s">
        <v>82</v>
      </c>
      <c r="G239" s="81">
        <v>8</v>
      </c>
      <c r="H239" s="130">
        <v>469</v>
      </c>
      <c r="I239" s="27"/>
    </row>
    <row r="240" spans="1:9" ht="19.8" customHeight="1" x14ac:dyDescent="0.3">
      <c r="A240" s="128">
        <v>45995</v>
      </c>
      <c r="B240" s="79" t="s">
        <v>77</v>
      </c>
      <c r="C240" s="80" t="s">
        <v>93</v>
      </c>
      <c r="D240" s="79" t="s">
        <v>385</v>
      </c>
      <c r="E240" s="129">
        <v>1.5173611111111109</v>
      </c>
      <c r="F240" s="79" t="s">
        <v>82</v>
      </c>
      <c r="G240" s="81">
        <v>6</v>
      </c>
      <c r="H240" s="130">
        <v>469</v>
      </c>
      <c r="I240" s="27"/>
    </row>
    <row r="241" spans="1:9" ht="19.8" customHeight="1" x14ac:dyDescent="0.3">
      <c r="A241" s="128">
        <v>45995</v>
      </c>
      <c r="B241" s="79" t="s">
        <v>77</v>
      </c>
      <c r="C241" s="80" t="s">
        <v>98</v>
      </c>
      <c r="D241" s="79" t="s">
        <v>385</v>
      </c>
      <c r="E241" s="129">
        <v>1.9027777777777779</v>
      </c>
      <c r="F241" s="79" t="s">
        <v>82</v>
      </c>
      <c r="G241" s="81">
        <v>4</v>
      </c>
      <c r="H241" s="130">
        <v>469</v>
      </c>
      <c r="I241" s="27"/>
    </row>
    <row r="242" spans="1:9" ht="19.8" customHeight="1" x14ac:dyDescent="0.3">
      <c r="A242" s="128">
        <v>45995</v>
      </c>
      <c r="B242" s="79" t="s">
        <v>77</v>
      </c>
      <c r="C242" s="80" t="s">
        <v>101</v>
      </c>
      <c r="D242" s="79" t="s">
        <v>385</v>
      </c>
      <c r="E242" s="129">
        <v>1.395833333333333</v>
      </c>
      <c r="F242" s="79" t="s">
        <v>82</v>
      </c>
      <c r="G242" s="81">
        <v>9</v>
      </c>
      <c r="H242" s="130">
        <v>469</v>
      </c>
      <c r="I242" s="27"/>
    </row>
    <row r="243" spans="1:9" ht="19.8" customHeight="1" x14ac:dyDescent="0.3">
      <c r="A243" s="128">
        <v>45995</v>
      </c>
      <c r="B243" s="79" t="s">
        <v>26</v>
      </c>
      <c r="C243" s="80" t="s">
        <v>203</v>
      </c>
      <c r="D243" s="79" t="s">
        <v>385</v>
      </c>
      <c r="E243" s="129">
        <v>1.0486111111111109</v>
      </c>
      <c r="F243" s="79" t="s">
        <v>28</v>
      </c>
      <c r="G243" s="81">
        <v>9</v>
      </c>
      <c r="H243" s="130">
        <v>471</v>
      </c>
      <c r="I243" s="27"/>
    </row>
    <row r="244" spans="1:9" ht="19.8" customHeight="1" x14ac:dyDescent="0.3">
      <c r="A244" s="128">
        <v>45995</v>
      </c>
      <c r="B244" s="79" t="s">
        <v>67</v>
      </c>
      <c r="C244" s="80" t="s">
        <v>68</v>
      </c>
      <c r="D244" s="79" t="s">
        <v>385</v>
      </c>
      <c r="E244" s="129">
        <v>1.3298611111111109</v>
      </c>
      <c r="F244" s="79" t="s">
        <v>55</v>
      </c>
      <c r="G244" s="81">
        <v>9</v>
      </c>
      <c r="H244" s="130">
        <v>484</v>
      </c>
      <c r="I244" s="27"/>
    </row>
    <row r="245" spans="1:9" ht="19.8" customHeight="1" x14ac:dyDescent="0.3">
      <c r="A245" s="128">
        <v>45995</v>
      </c>
      <c r="B245" s="79" t="s">
        <v>77</v>
      </c>
      <c r="C245" s="80" t="s">
        <v>95</v>
      </c>
      <c r="D245" s="79" t="s">
        <v>385</v>
      </c>
      <c r="E245" s="129">
        <v>1.7986111111111109</v>
      </c>
      <c r="F245" s="79" t="s">
        <v>80</v>
      </c>
      <c r="G245" s="81">
        <v>1</v>
      </c>
      <c r="H245" s="130">
        <v>489</v>
      </c>
      <c r="I245" s="27"/>
    </row>
    <row r="246" spans="1:9" ht="19.8" customHeight="1" x14ac:dyDescent="0.3">
      <c r="A246" s="128">
        <v>45995</v>
      </c>
      <c r="B246" s="79" t="s">
        <v>47</v>
      </c>
      <c r="C246" s="80" t="s">
        <v>48</v>
      </c>
      <c r="D246" s="79" t="s">
        <v>385</v>
      </c>
      <c r="E246" s="129">
        <v>1.1284722222222221</v>
      </c>
      <c r="F246" s="79" t="s">
        <v>53</v>
      </c>
      <c r="G246" s="81">
        <v>4</v>
      </c>
      <c r="H246" s="130">
        <v>509</v>
      </c>
      <c r="I246" s="27"/>
    </row>
    <row r="247" spans="1:9" ht="19.8" customHeight="1" x14ac:dyDescent="0.3">
      <c r="A247" s="128">
        <v>45995</v>
      </c>
      <c r="B247" s="79" t="s">
        <v>47</v>
      </c>
      <c r="C247" s="80" t="s">
        <v>57</v>
      </c>
      <c r="D247" s="79" t="s">
        <v>385</v>
      </c>
      <c r="E247" s="129">
        <v>1.302083333333333</v>
      </c>
      <c r="F247" s="79" t="s">
        <v>53</v>
      </c>
      <c r="G247" s="81">
        <v>5</v>
      </c>
      <c r="H247" s="130">
        <v>509</v>
      </c>
      <c r="I247" s="27"/>
    </row>
    <row r="248" spans="1:9" ht="19.8" customHeight="1" x14ac:dyDescent="0.3">
      <c r="A248" s="128">
        <v>45995</v>
      </c>
      <c r="B248" s="79" t="s">
        <v>77</v>
      </c>
      <c r="C248" s="80" t="s">
        <v>78</v>
      </c>
      <c r="D248" s="79" t="s">
        <v>385</v>
      </c>
      <c r="E248" s="129">
        <v>1.854166666666667</v>
      </c>
      <c r="F248" s="79" t="s">
        <v>82</v>
      </c>
      <c r="G248" s="81">
        <v>9</v>
      </c>
      <c r="H248" s="130">
        <v>509</v>
      </c>
      <c r="I248" s="27"/>
    </row>
    <row r="249" spans="1:9" ht="19.8" customHeight="1" x14ac:dyDescent="0.3">
      <c r="A249" s="128">
        <v>45995</v>
      </c>
      <c r="B249" s="79" t="s">
        <v>77</v>
      </c>
      <c r="C249" s="80" t="s">
        <v>91</v>
      </c>
      <c r="D249" s="79" t="s">
        <v>385</v>
      </c>
      <c r="E249" s="129">
        <v>1.302083333333333</v>
      </c>
      <c r="F249" s="79" t="s">
        <v>84</v>
      </c>
      <c r="G249" s="81">
        <v>8</v>
      </c>
      <c r="H249" s="130">
        <v>519</v>
      </c>
      <c r="I249" s="27"/>
    </row>
    <row r="250" spans="1:9" ht="19.8" customHeight="1" x14ac:dyDescent="0.3">
      <c r="A250" s="128">
        <v>45995</v>
      </c>
      <c r="B250" s="79" t="s">
        <v>77</v>
      </c>
      <c r="C250" s="80" t="s">
        <v>104</v>
      </c>
      <c r="D250" s="79" t="s">
        <v>385</v>
      </c>
      <c r="E250" s="129">
        <v>1.645833333333333</v>
      </c>
      <c r="F250" s="79" t="s">
        <v>82</v>
      </c>
      <c r="G250" s="81">
        <v>9</v>
      </c>
      <c r="H250" s="130">
        <v>549</v>
      </c>
      <c r="I250" s="27"/>
    </row>
    <row r="251" spans="1:9" ht="19.8" customHeight="1" x14ac:dyDescent="0.3">
      <c r="A251" s="128">
        <v>45995</v>
      </c>
      <c r="B251" s="79" t="s">
        <v>77</v>
      </c>
      <c r="C251" s="80" t="s">
        <v>86</v>
      </c>
      <c r="D251" s="79" t="s">
        <v>385</v>
      </c>
      <c r="E251" s="129">
        <v>1.256944444444444</v>
      </c>
      <c r="F251" s="79" t="s">
        <v>84</v>
      </c>
      <c r="G251" s="81">
        <v>8</v>
      </c>
      <c r="H251" s="130">
        <v>559</v>
      </c>
      <c r="I251" s="27"/>
    </row>
    <row r="252" spans="1:9" ht="19.8" customHeight="1" x14ac:dyDescent="0.3">
      <c r="A252" s="128">
        <v>45995</v>
      </c>
      <c r="B252" s="79" t="s">
        <v>77</v>
      </c>
      <c r="C252" s="80" t="s">
        <v>93</v>
      </c>
      <c r="D252" s="79" t="s">
        <v>385</v>
      </c>
      <c r="E252" s="129">
        <v>1.5173611111111109</v>
      </c>
      <c r="F252" s="79" t="s">
        <v>84</v>
      </c>
      <c r="G252" s="81">
        <v>6</v>
      </c>
      <c r="H252" s="130">
        <v>559</v>
      </c>
      <c r="I252" s="27"/>
    </row>
    <row r="253" spans="1:9" ht="19.8" customHeight="1" x14ac:dyDescent="0.3">
      <c r="A253" s="128">
        <v>45995</v>
      </c>
      <c r="B253" s="79" t="s">
        <v>77</v>
      </c>
      <c r="C253" s="80" t="s">
        <v>98</v>
      </c>
      <c r="D253" s="79" t="s">
        <v>385</v>
      </c>
      <c r="E253" s="129">
        <v>1.9027777777777779</v>
      </c>
      <c r="F253" s="79" t="s">
        <v>84</v>
      </c>
      <c r="G253" s="81">
        <v>4</v>
      </c>
      <c r="H253" s="130">
        <v>559</v>
      </c>
      <c r="I253" s="27"/>
    </row>
    <row r="254" spans="1:9" ht="19.8" customHeight="1" x14ac:dyDescent="0.3">
      <c r="A254" s="128">
        <v>45995</v>
      </c>
      <c r="B254" s="79" t="s">
        <v>77</v>
      </c>
      <c r="C254" s="80" t="s">
        <v>101</v>
      </c>
      <c r="D254" s="79" t="s">
        <v>385</v>
      </c>
      <c r="E254" s="129">
        <v>1.395833333333333</v>
      </c>
      <c r="F254" s="79" t="s">
        <v>84</v>
      </c>
      <c r="G254" s="81">
        <v>9</v>
      </c>
      <c r="H254" s="130">
        <v>559</v>
      </c>
      <c r="I254" s="27"/>
    </row>
    <row r="255" spans="1:9" ht="19.8" customHeight="1" x14ac:dyDescent="0.3">
      <c r="A255" s="128">
        <v>45995</v>
      </c>
      <c r="B255" s="79" t="s">
        <v>47</v>
      </c>
      <c r="C255" s="80" t="s">
        <v>60</v>
      </c>
      <c r="D255" s="79" t="s">
        <v>385</v>
      </c>
      <c r="E255" s="129">
        <v>1.8888888888888891</v>
      </c>
      <c r="F255" s="79" t="s">
        <v>53</v>
      </c>
      <c r="G255" s="81">
        <v>10</v>
      </c>
      <c r="H255" s="130">
        <v>569</v>
      </c>
      <c r="I255" s="27"/>
    </row>
    <row r="256" spans="1:9" ht="19.8" customHeight="1" x14ac:dyDescent="0.3">
      <c r="A256" s="128">
        <v>45995</v>
      </c>
      <c r="B256" s="79" t="s">
        <v>41</v>
      </c>
      <c r="C256" s="80" t="s">
        <v>113</v>
      </c>
      <c r="D256" s="79" t="s">
        <v>385</v>
      </c>
      <c r="E256" s="129">
        <v>1.229166666666667</v>
      </c>
      <c r="F256" s="79" t="s">
        <v>43</v>
      </c>
      <c r="G256" s="81">
        <v>9</v>
      </c>
      <c r="H256" s="130">
        <v>579</v>
      </c>
      <c r="I256" s="27"/>
    </row>
    <row r="257" spans="1:9" ht="19.8" customHeight="1" x14ac:dyDescent="0.3">
      <c r="A257" s="128">
        <v>45995</v>
      </c>
      <c r="B257" s="79" t="s">
        <v>41</v>
      </c>
      <c r="C257" s="80" t="s">
        <v>125</v>
      </c>
      <c r="D257" s="79" t="s">
        <v>385</v>
      </c>
      <c r="E257" s="129">
        <v>1.0138888888888891</v>
      </c>
      <c r="F257" s="79" t="s">
        <v>43</v>
      </c>
      <c r="G257" s="81">
        <v>9</v>
      </c>
      <c r="H257" s="130">
        <v>579</v>
      </c>
      <c r="I257" s="27"/>
    </row>
    <row r="258" spans="1:9" ht="19.8" customHeight="1" x14ac:dyDescent="0.3">
      <c r="A258" s="128">
        <v>45995</v>
      </c>
      <c r="B258" s="79" t="s">
        <v>41</v>
      </c>
      <c r="C258" s="80" t="s">
        <v>169</v>
      </c>
      <c r="D258" s="79" t="s">
        <v>385</v>
      </c>
      <c r="E258" s="129">
        <v>1.145833333333333</v>
      </c>
      <c r="F258" s="79" t="s">
        <v>43</v>
      </c>
      <c r="G258" s="81">
        <v>9</v>
      </c>
      <c r="H258" s="130">
        <v>579</v>
      </c>
      <c r="I258" s="27"/>
    </row>
    <row r="259" spans="1:9" ht="19.8" customHeight="1" x14ac:dyDescent="0.3">
      <c r="A259" s="128">
        <v>45995</v>
      </c>
      <c r="B259" s="79" t="s">
        <v>41</v>
      </c>
      <c r="C259" s="80" t="s">
        <v>173</v>
      </c>
      <c r="D259" s="79" t="s">
        <v>385</v>
      </c>
      <c r="E259" s="129">
        <v>1.4861111111111109</v>
      </c>
      <c r="F259" s="79" t="s">
        <v>43</v>
      </c>
      <c r="G259" s="81">
        <v>9</v>
      </c>
      <c r="H259" s="130">
        <v>579</v>
      </c>
      <c r="I259" s="27"/>
    </row>
    <row r="260" spans="1:9" ht="19.8" customHeight="1" x14ac:dyDescent="0.3">
      <c r="A260" s="128">
        <v>45995</v>
      </c>
      <c r="B260" s="79" t="s">
        <v>41</v>
      </c>
      <c r="C260" s="80" t="s">
        <v>180</v>
      </c>
      <c r="D260" s="79" t="s">
        <v>385</v>
      </c>
      <c r="E260" s="129">
        <v>1.506944444444444</v>
      </c>
      <c r="F260" s="79" t="s">
        <v>43</v>
      </c>
      <c r="G260" s="81">
        <v>9</v>
      </c>
      <c r="H260" s="130">
        <v>579</v>
      </c>
      <c r="I260" s="27"/>
    </row>
    <row r="261" spans="1:9" ht="19.8" customHeight="1" x14ac:dyDescent="0.3">
      <c r="A261" s="128">
        <v>45995</v>
      </c>
      <c r="B261" s="79" t="s">
        <v>26</v>
      </c>
      <c r="C261" s="80" t="s">
        <v>128</v>
      </c>
      <c r="D261" s="79" t="s">
        <v>385</v>
      </c>
      <c r="E261" s="129">
        <v>1.739583333333333</v>
      </c>
      <c r="F261" s="79" t="s">
        <v>28</v>
      </c>
      <c r="G261" s="81">
        <v>2</v>
      </c>
      <c r="H261" s="130">
        <v>586</v>
      </c>
      <c r="I261" s="27"/>
    </row>
    <row r="262" spans="1:9" ht="19.8" customHeight="1" x14ac:dyDescent="0.3">
      <c r="A262" s="128">
        <v>45995</v>
      </c>
      <c r="B262" s="79" t="s">
        <v>77</v>
      </c>
      <c r="C262" s="80" t="s">
        <v>95</v>
      </c>
      <c r="D262" s="79" t="s">
        <v>385</v>
      </c>
      <c r="E262" s="129">
        <v>1.7986111111111109</v>
      </c>
      <c r="F262" s="79" t="s">
        <v>82</v>
      </c>
      <c r="G262" s="81">
        <v>1</v>
      </c>
      <c r="H262" s="130">
        <v>589</v>
      </c>
      <c r="I262" s="27"/>
    </row>
    <row r="263" spans="1:9" ht="19.8" customHeight="1" x14ac:dyDescent="0.3">
      <c r="A263" s="128">
        <v>45995</v>
      </c>
      <c r="B263" s="79" t="s">
        <v>77</v>
      </c>
      <c r="C263" s="80" t="s">
        <v>78</v>
      </c>
      <c r="D263" s="79" t="s">
        <v>385</v>
      </c>
      <c r="E263" s="129">
        <v>1.854166666666667</v>
      </c>
      <c r="F263" s="79" t="s">
        <v>84</v>
      </c>
      <c r="G263" s="81">
        <v>9</v>
      </c>
      <c r="H263" s="130">
        <v>599</v>
      </c>
      <c r="I263" s="27"/>
    </row>
    <row r="264" spans="1:9" ht="19.8" customHeight="1" x14ac:dyDescent="0.3">
      <c r="A264" s="128">
        <v>45995</v>
      </c>
      <c r="B264" s="79" t="s">
        <v>47</v>
      </c>
      <c r="C264" s="80" t="s">
        <v>63</v>
      </c>
      <c r="D264" s="79" t="s">
        <v>385</v>
      </c>
      <c r="E264" s="129">
        <v>1.788194444444444</v>
      </c>
      <c r="F264" s="79" t="s">
        <v>53</v>
      </c>
      <c r="G264" s="81">
        <v>5</v>
      </c>
      <c r="H264" s="130">
        <v>609</v>
      </c>
      <c r="I264" s="27"/>
    </row>
    <row r="265" spans="1:9" ht="19.8" customHeight="1" x14ac:dyDescent="0.3">
      <c r="A265" s="128">
        <v>45995</v>
      </c>
      <c r="B265" s="79" t="s">
        <v>41</v>
      </c>
      <c r="C265" s="80" t="s">
        <v>116</v>
      </c>
      <c r="D265" s="79" t="s">
        <v>385</v>
      </c>
      <c r="E265" s="129">
        <v>1.9652777777777779</v>
      </c>
      <c r="F265" s="79" t="s">
        <v>111</v>
      </c>
      <c r="G265" s="81">
        <v>4</v>
      </c>
      <c r="H265" s="130">
        <v>637</v>
      </c>
      <c r="I265" s="27"/>
    </row>
    <row r="266" spans="1:9" ht="19.8" customHeight="1" x14ac:dyDescent="0.3">
      <c r="A266" s="128">
        <v>45995</v>
      </c>
      <c r="B266" s="79" t="s">
        <v>77</v>
      </c>
      <c r="C266" s="80" t="s">
        <v>104</v>
      </c>
      <c r="D266" s="79" t="s">
        <v>385</v>
      </c>
      <c r="E266" s="129">
        <v>1.645833333333333</v>
      </c>
      <c r="F266" s="79" t="s">
        <v>84</v>
      </c>
      <c r="G266" s="81">
        <v>9</v>
      </c>
      <c r="H266" s="130">
        <v>639</v>
      </c>
      <c r="I266" s="27"/>
    </row>
    <row r="267" spans="1:9" ht="19.8" customHeight="1" x14ac:dyDescent="0.3">
      <c r="A267" s="128">
        <v>45995</v>
      </c>
      <c r="B267" s="79" t="s">
        <v>26</v>
      </c>
      <c r="C267" s="80" t="s">
        <v>136</v>
      </c>
      <c r="D267" s="79" t="s">
        <v>385</v>
      </c>
      <c r="E267" s="129">
        <v>1.583333333333333</v>
      </c>
      <c r="F267" s="79" t="s">
        <v>28</v>
      </c>
      <c r="G267" s="81">
        <v>9</v>
      </c>
      <c r="H267" s="130">
        <v>646</v>
      </c>
      <c r="I267" s="27"/>
    </row>
    <row r="268" spans="1:9" ht="19.8" customHeight="1" x14ac:dyDescent="0.3">
      <c r="A268" s="128">
        <v>45995</v>
      </c>
      <c r="B268" s="79" t="s">
        <v>138</v>
      </c>
      <c r="C268" s="80" t="s">
        <v>148</v>
      </c>
      <c r="D268" s="79" t="s">
        <v>385</v>
      </c>
      <c r="E268" s="129">
        <v>1.1423611111111109</v>
      </c>
      <c r="F268" s="79" t="s">
        <v>143</v>
      </c>
      <c r="G268" s="81">
        <v>9</v>
      </c>
      <c r="H268" s="130">
        <v>678</v>
      </c>
      <c r="I268" s="27"/>
    </row>
    <row r="269" spans="1:9" ht="19.8" customHeight="1" x14ac:dyDescent="0.3">
      <c r="A269" s="128">
        <v>45995</v>
      </c>
      <c r="B269" s="79" t="s">
        <v>138</v>
      </c>
      <c r="C269" s="80" t="s">
        <v>159</v>
      </c>
      <c r="D269" s="79" t="s">
        <v>385</v>
      </c>
      <c r="E269" s="129">
        <v>1.3784722222222221</v>
      </c>
      <c r="F269" s="79" t="s">
        <v>143</v>
      </c>
      <c r="G269" s="81">
        <v>9</v>
      </c>
      <c r="H269" s="130">
        <v>678</v>
      </c>
      <c r="I269" s="27"/>
    </row>
    <row r="270" spans="1:9" ht="19.8" customHeight="1" x14ac:dyDescent="0.3">
      <c r="A270" s="128">
        <v>45995</v>
      </c>
      <c r="B270" s="79" t="s">
        <v>138</v>
      </c>
      <c r="C270" s="80" t="s">
        <v>178</v>
      </c>
      <c r="D270" s="79" t="s">
        <v>385</v>
      </c>
      <c r="E270" s="129">
        <v>1.243055555555556</v>
      </c>
      <c r="F270" s="79" t="s">
        <v>143</v>
      </c>
      <c r="G270" s="81">
        <v>9</v>
      </c>
      <c r="H270" s="130">
        <v>678</v>
      </c>
      <c r="I270" s="27"/>
    </row>
    <row r="271" spans="1:9" ht="19.8" customHeight="1" x14ac:dyDescent="0.3">
      <c r="A271" s="128">
        <v>45995</v>
      </c>
      <c r="B271" s="79" t="s">
        <v>77</v>
      </c>
      <c r="C271" s="80" t="s">
        <v>95</v>
      </c>
      <c r="D271" s="79" t="s">
        <v>385</v>
      </c>
      <c r="E271" s="129">
        <v>1.7986111111111109</v>
      </c>
      <c r="F271" s="79" t="s">
        <v>84</v>
      </c>
      <c r="G271" s="81">
        <v>1</v>
      </c>
      <c r="H271" s="130">
        <v>679</v>
      </c>
      <c r="I271" s="27"/>
    </row>
    <row r="272" spans="1:9" ht="19.8" customHeight="1" x14ac:dyDescent="0.3">
      <c r="A272" s="128">
        <v>45995</v>
      </c>
      <c r="B272" s="79" t="s">
        <v>138</v>
      </c>
      <c r="C272" s="80" t="s">
        <v>148</v>
      </c>
      <c r="D272" s="79" t="s">
        <v>385</v>
      </c>
      <c r="E272" s="129">
        <v>1.1423611111111109</v>
      </c>
      <c r="F272" s="79" t="s">
        <v>140</v>
      </c>
      <c r="G272" s="81">
        <v>9</v>
      </c>
      <c r="H272" s="130">
        <v>723</v>
      </c>
      <c r="I272" s="27"/>
    </row>
    <row r="273" spans="1:9" ht="19.8" customHeight="1" x14ac:dyDescent="0.3">
      <c r="A273" s="128">
        <v>45995</v>
      </c>
      <c r="B273" s="79" t="s">
        <v>138</v>
      </c>
      <c r="C273" s="80" t="s">
        <v>159</v>
      </c>
      <c r="D273" s="79" t="s">
        <v>385</v>
      </c>
      <c r="E273" s="129">
        <v>1.3784722222222221</v>
      </c>
      <c r="F273" s="79" t="s">
        <v>140</v>
      </c>
      <c r="G273" s="81">
        <v>9</v>
      </c>
      <c r="H273" s="130">
        <v>723</v>
      </c>
      <c r="I273" s="27"/>
    </row>
    <row r="274" spans="1:9" ht="19.8" customHeight="1" x14ac:dyDescent="0.3">
      <c r="A274" s="128">
        <v>45995</v>
      </c>
      <c r="B274" s="79" t="s">
        <v>138</v>
      </c>
      <c r="C274" s="80" t="s">
        <v>178</v>
      </c>
      <c r="D274" s="79" t="s">
        <v>385</v>
      </c>
      <c r="E274" s="129">
        <v>1.243055555555556</v>
      </c>
      <c r="F274" s="79" t="s">
        <v>140</v>
      </c>
      <c r="G274" s="81">
        <v>9</v>
      </c>
      <c r="H274" s="130">
        <v>723</v>
      </c>
      <c r="I274" s="27"/>
    </row>
    <row r="275" spans="1:9" ht="19.8" customHeight="1" x14ac:dyDescent="0.3">
      <c r="A275" s="128">
        <v>45995</v>
      </c>
      <c r="B275" s="79" t="s">
        <v>41</v>
      </c>
      <c r="C275" s="80" t="s">
        <v>109</v>
      </c>
      <c r="D275" s="79" t="s">
        <v>385</v>
      </c>
      <c r="E275" s="129">
        <v>1.770833333333333</v>
      </c>
      <c r="F275" s="79" t="s">
        <v>111</v>
      </c>
      <c r="G275" s="81">
        <v>9</v>
      </c>
      <c r="H275" s="130">
        <v>795</v>
      </c>
      <c r="I275" s="27"/>
    </row>
    <row r="276" spans="1:9" ht="19.8" customHeight="1" x14ac:dyDescent="0.3">
      <c r="A276" s="128">
        <v>45995</v>
      </c>
      <c r="B276" s="79" t="s">
        <v>138</v>
      </c>
      <c r="C276" s="80" t="s">
        <v>167</v>
      </c>
      <c r="D276" s="79" t="s">
        <v>385</v>
      </c>
      <c r="E276" s="129">
        <v>1.6111111111111109</v>
      </c>
      <c r="F276" s="79" t="s">
        <v>143</v>
      </c>
      <c r="G276" s="81">
        <v>9</v>
      </c>
      <c r="H276" s="130">
        <v>797</v>
      </c>
      <c r="I276" s="27"/>
    </row>
    <row r="277" spans="1:9" ht="19.8" customHeight="1" x14ac:dyDescent="0.3">
      <c r="A277" s="128">
        <v>45995</v>
      </c>
      <c r="B277" s="79" t="s">
        <v>138</v>
      </c>
      <c r="C277" s="80" t="s">
        <v>167</v>
      </c>
      <c r="D277" s="79" t="s">
        <v>385</v>
      </c>
      <c r="E277" s="129">
        <v>1.6111111111111109</v>
      </c>
      <c r="F277" s="79" t="s">
        <v>140</v>
      </c>
      <c r="G277" s="81">
        <v>9</v>
      </c>
      <c r="H277" s="130">
        <v>842</v>
      </c>
      <c r="I277" s="27"/>
    </row>
    <row r="278" spans="1:9" ht="19.8" customHeight="1" x14ac:dyDescent="0.3">
      <c r="A278" s="128">
        <v>45995</v>
      </c>
      <c r="B278" s="79" t="s">
        <v>138</v>
      </c>
      <c r="C278" s="80" t="s">
        <v>142</v>
      </c>
      <c r="D278" s="79" t="s">
        <v>385</v>
      </c>
      <c r="E278" s="129">
        <v>1.006944444444444</v>
      </c>
      <c r="F278" s="79" t="s">
        <v>143</v>
      </c>
      <c r="G278" s="81">
        <v>9</v>
      </c>
      <c r="H278" s="130">
        <v>935</v>
      </c>
      <c r="I278" s="27"/>
    </row>
    <row r="279" spans="1:9" ht="19.8" customHeight="1" x14ac:dyDescent="0.3">
      <c r="A279" s="128">
        <v>45995</v>
      </c>
      <c r="B279" s="79" t="s">
        <v>138</v>
      </c>
      <c r="C279" s="80" t="s">
        <v>150</v>
      </c>
      <c r="D279" s="79" t="s">
        <v>385</v>
      </c>
      <c r="E279" s="129">
        <v>1.930555555555556</v>
      </c>
      <c r="F279" s="79" t="s">
        <v>143</v>
      </c>
      <c r="G279" s="81">
        <v>9</v>
      </c>
      <c r="H279" s="130">
        <v>935</v>
      </c>
      <c r="I279" s="27"/>
    </row>
    <row r="280" spans="1:9" ht="19.8" customHeight="1" x14ac:dyDescent="0.3">
      <c r="A280" s="128">
        <v>45995</v>
      </c>
      <c r="B280" s="79" t="s">
        <v>138</v>
      </c>
      <c r="C280" s="80" t="s">
        <v>142</v>
      </c>
      <c r="D280" s="79" t="s">
        <v>385</v>
      </c>
      <c r="E280" s="129">
        <v>1.006944444444444</v>
      </c>
      <c r="F280" s="79" t="s">
        <v>140</v>
      </c>
      <c r="G280" s="81">
        <v>9</v>
      </c>
      <c r="H280" s="130">
        <v>980</v>
      </c>
      <c r="I280" s="27"/>
    </row>
    <row r="281" spans="1:9" ht="19.8" customHeight="1" x14ac:dyDescent="0.3">
      <c r="A281" s="128">
        <v>45995</v>
      </c>
      <c r="B281" s="79" t="s">
        <v>138</v>
      </c>
      <c r="C281" s="80" t="s">
        <v>150</v>
      </c>
      <c r="D281" s="79" t="s">
        <v>385</v>
      </c>
      <c r="E281" s="129">
        <v>1.930555555555556</v>
      </c>
      <c r="F281" s="79" t="s">
        <v>140</v>
      </c>
      <c r="G281" s="81">
        <v>9</v>
      </c>
      <c r="H281" s="130">
        <v>980</v>
      </c>
      <c r="I281" s="27"/>
    </row>
    <row r="282" spans="1:9" ht="19.8" customHeight="1" x14ac:dyDescent="0.3">
      <c r="A282" s="128">
        <v>45995</v>
      </c>
      <c r="B282" s="79" t="s">
        <v>41</v>
      </c>
      <c r="C282" s="80" t="s">
        <v>171</v>
      </c>
      <c r="D282" s="79" t="s">
        <v>385</v>
      </c>
      <c r="E282" s="129">
        <v>1.274305555555556</v>
      </c>
      <c r="F282" s="79" t="s">
        <v>111</v>
      </c>
      <c r="G282" s="81">
        <v>1</v>
      </c>
      <c r="H282" s="130">
        <v>993</v>
      </c>
      <c r="I282" s="27"/>
    </row>
    <row r="283" spans="1:9" ht="19.8" customHeight="1" x14ac:dyDescent="0.3">
      <c r="A283" s="128">
        <v>45995</v>
      </c>
      <c r="B283" s="79" t="s">
        <v>138</v>
      </c>
      <c r="C283" s="80" t="s">
        <v>154</v>
      </c>
      <c r="D283" s="79" t="s">
        <v>385</v>
      </c>
      <c r="E283" s="129">
        <v>1.71875</v>
      </c>
      <c r="F283" s="79" t="s">
        <v>143</v>
      </c>
      <c r="G283" s="81">
        <v>9</v>
      </c>
      <c r="H283" s="86" t="s">
        <v>267</v>
      </c>
      <c r="I283" s="27"/>
    </row>
    <row r="284" spans="1:9" ht="19.8" customHeight="1" x14ac:dyDescent="0.3">
      <c r="A284" s="128">
        <v>45995</v>
      </c>
      <c r="B284" s="79" t="s">
        <v>47</v>
      </c>
      <c r="C284" s="80" t="s">
        <v>48</v>
      </c>
      <c r="D284" s="79" t="s">
        <v>385</v>
      </c>
      <c r="E284" s="129">
        <v>1.1284722222222221</v>
      </c>
      <c r="F284" s="79" t="s">
        <v>55</v>
      </c>
      <c r="G284" s="81">
        <v>4</v>
      </c>
      <c r="H284" s="86" t="s">
        <v>56</v>
      </c>
      <c r="I284" s="27"/>
    </row>
    <row r="285" spans="1:9" ht="19.8" customHeight="1" x14ac:dyDescent="0.3">
      <c r="A285" s="128">
        <v>45995</v>
      </c>
      <c r="B285" s="79" t="s">
        <v>47</v>
      </c>
      <c r="C285" s="80" t="s">
        <v>57</v>
      </c>
      <c r="D285" s="79" t="s">
        <v>385</v>
      </c>
      <c r="E285" s="129">
        <v>1.302083333333333</v>
      </c>
      <c r="F285" s="79" t="s">
        <v>55</v>
      </c>
      <c r="G285" s="81">
        <v>5</v>
      </c>
      <c r="H285" s="86" t="s">
        <v>56</v>
      </c>
      <c r="I285" s="27"/>
    </row>
    <row r="286" spans="1:9" ht="19.8" customHeight="1" x14ac:dyDescent="0.3">
      <c r="A286" s="128">
        <v>45995</v>
      </c>
      <c r="B286" s="79" t="s">
        <v>47</v>
      </c>
      <c r="C286" s="80" t="s">
        <v>60</v>
      </c>
      <c r="D286" s="79" t="s">
        <v>385</v>
      </c>
      <c r="E286" s="129">
        <v>1.8888888888888891</v>
      </c>
      <c r="F286" s="79" t="s">
        <v>55</v>
      </c>
      <c r="G286" s="81">
        <v>10</v>
      </c>
      <c r="H286" s="86" t="s">
        <v>56</v>
      </c>
      <c r="I286" s="27"/>
    </row>
    <row r="287" spans="1:9" ht="19.8" customHeight="1" x14ac:dyDescent="0.3">
      <c r="A287" s="128">
        <v>45995</v>
      </c>
      <c r="B287" s="79" t="s">
        <v>47</v>
      </c>
      <c r="C287" s="80" t="s">
        <v>63</v>
      </c>
      <c r="D287" s="79" t="s">
        <v>385</v>
      </c>
      <c r="E287" s="129">
        <v>1.788194444444444</v>
      </c>
      <c r="F287" s="79" t="s">
        <v>55</v>
      </c>
      <c r="G287" s="81">
        <v>5</v>
      </c>
      <c r="H287" s="86" t="s">
        <v>56</v>
      </c>
      <c r="I287" s="27"/>
    </row>
    <row r="288" spans="1:9" ht="19.8" customHeight="1" x14ac:dyDescent="0.3">
      <c r="A288" s="128">
        <v>45995</v>
      </c>
      <c r="B288" s="79" t="s">
        <v>138</v>
      </c>
      <c r="C288" s="80" t="s">
        <v>154</v>
      </c>
      <c r="D288" s="79" t="s">
        <v>385</v>
      </c>
      <c r="E288" s="129">
        <v>1.71875</v>
      </c>
      <c r="F288" s="79" t="s">
        <v>140</v>
      </c>
      <c r="G288" s="81">
        <v>9</v>
      </c>
      <c r="H288" s="86" t="s">
        <v>268</v>
      </c>
      <c r="I288" s="27"/>
    </row>
    <row r="289" spans="1:9" ht="19.8" customHeight="1" x14ac:dyDescent="0.3">
      <c r="A289" s="128">
        <v>45995</v>
      </c>
      <c r="B289" s="79" t="s">
        <v>138</v>
      </c>
      <c r="C289" s="80" t="s">
        <v>158</v>
      </c>
      <c r="D289" s="79" t="s">
        <v>385</v>
      </c>
      <c r="E289" s="129">
        <v>1.302083333333333</v>
      </c>
      <c r="F289" s="79" t="s">
        <v>140</v>
      </c>
      <c r="G289" s="81">
        <v>4</v>
      </c>
      <c r="H289" s="86" t="s">
        <v>207</v>
      </c>
      <c r="I289" s="27"/>
    </row>
    <row r="290" spans="1:9" ht="19.8" customHeight="1" x14ac:dyDescent="0.3">
      <c r="A290" s="128">
        <v>45995</v>
      </c>
      <c r="B290" s="79" t="s">
        <v>138</v>
      </c>
      <c r="C290" s="80" t="s">
        <v>161</v>
      </c>
      <c r="D290" s="79" t="s">
        <v>385</v>
      </c>
      <c r="E290" s="129">
        <v>1.1284722222222221</v>
      </c>
      <c r="F290" s="79" t="s">
        <v>140</v>
      </c>
      <c r="G290" s="81">
        <v>4</v>
      </c>
      <c r="H290" s="86" t="s">
        <v>207</v>
      </c>
      <c r="I290" s="27"/>
    </row>
    <row r="291" spans="1:9" ht="19.8" customHeight="1" x14ac:dyDescent="0.3">
      <c r="A291" s="128">
        <v>45995</v>
      </c>
      <c r="B291" s="79" t="s">
        <v>138</v>
      </c>
      <c r="C291" s="80" t="s">
        <v>139</v>
      </c>
      <c r="D291" s="79" t="s">
        <v>385</v>
      </c>
      <c r="E291" s="129">
        <v>1.8888888888888891</v>
      </c>
      <c r="F291" s="79" t="s">
        <v>140</v>
      </c>
      <c r="G291" s="81">
        <v>4</v>
      </c>
      <c r="H291" s="86" t="s">
        <v>162</v>
      </c>
      <c r="I291" s="27"/>
    </row>
    <row r="292" spans="1:9" ht="19.8" customHeight="1" x14ac:dyDescent="0.3">
      <c r="A292" s="128">
        <v>45995</v>
      </c>
      <c r="B292" s="79" t="s">
        <v>138</v>
      </c>
      <c r="C292" s="80" t="s">
        <v>166</v>
      </c>
      <c r="D292" s="79" t="s">
        <v>385</v>
      </c>
      <c r="E292" s="129">
        <v>1.788194444444444</v>
      </c>
      <c r="F292" s="79" t="s">
        <v>140</v>
      </c>
      <c r="G292" s="81">
        <v>4</v>
      </c>
      <c r="H292" s="86" t="s">
        <v>162</v>
      </c>
      <c r="I292" s="27"/>
    </row>
    <row r="293" spans="1:9" ht="19.8" customHeight="1" x14ac:dyDescent="0.3">
      <c r="A293" s="128">
        <v>45995</v>
      </c>
      <c r="B293" s="79" t="s">
        <v>138</v>
      </c>
      <c r="C293" s="80" t="s">
        <v>156</v>
      </c>
      <c r="D293" s="79" t="s">
        <v>385</v>
      </c>
      <c r="E293" s="129">
        <v>1.8298611111111109</v>
      </c>
      <c r="F293" s="79" t="s">
        <v>143</v>
      </c>
      <c r="G293" s="81">
        <v>9</v>
      </c>
      <c r="H293" s="86" t="s">
        <v>269</v>
      </c>
      <c r="I293" s="27"/>
    </row>
    <row r="294" spans="1:9" ht="19.8" customHeight="1" x14ac:dyDescent="0.3">
      <c r="A294" s="131">
        <v>45995</v>
      </c>
      <c r="B294" s="87" t="s">
        <v>138</v>
      </c>
      <c r="C294" s="88" t="s">
        <v>156</v>
      </c>
      <c r="D294" s="87" t="s">
        <v>385</v>
      </c>
      <c r="E294" s="132">
        <v>1.8298611111111109</v>
      </c>
      <c r="F294" s="87" t="s">
        <v>140</v>
      </c>
      <c r="G294" s="89">
        <v>9</v>
      </c>
      <c r="H294" s="90" t="s">
        <v>270</v>
      </c>
      <c r="I294" s="27"/>
    </row>
    <row r="295" spans="1:9" ht="19.8" customHeight="1" x14ac:dyDescent="0.3">
      <c r="A295" s="126">
        <v>45996</v>
      </c>
      <c r="B295" s="76" t="s">
        <v>26</v>
      </c>
      <c r="C295" s="77" t="s">
        <v>35</v>
      </c>
      <c r="D295" s="76" t="s">
        <v>1</v>
      </c>
      <c r="E295" s="127">
        <v>1.291666666666667</v>
      </c>
      <c r="F295" s="76" t="s">
        <v>28</v>
      </c>
      <c r="G295" s="78">
        <v>9</v>
      </c>
      <c r="H295" s="125">
        <v>401</v>
      </c>
      <c r="I295" s="27"/>
    </row>
    <row r="296" spans="1:9" ht="19.8" customHeight="1" x14ac:dyDescent="0.3">
      <c r="A296" s="82"/>
      <c r="B296" s="83"/>
      <c r="C296" s="83"/>
      <c r="D296" s="83"/>
      <c r="E296" s="83"/>
      <c r="F296" s="84" t="s">
        <v>384</v>
      </c>
      <c r="G296" s="83"/>
      <c r="H296" s="85"/>
      <c r="I296" s="27"/>
    </row>
    <row r="297" spans="1:9" ht="19.8" customHeight="1" x14ac:dyDescent="0.3">
      <c r="A297" s="128">
        <v>45996</v>
      </c>
      <c r="B297" s="79" t="s">
        <v>47</v>
      </c>
      <c r="C297" s="80" t="s">
        <v>57</v>
      </c>
      <c r="D297" s="79" t="s">
        <v>385</v>
      </c>
      <c r="E297" s="129">
        <v>1.302083333333333</v>
      </c>
      <c r="F297" s="79" t="s">
        <v>50</v>
      </c>
      <c r="G297" s="81">
        <v>5</v>
      </c>
      <c r="H297" s="130">
        <v>329</v>
      </c>
      <c r="I297" s="27"/>
    </row>
    <row r="298" spans="1:9" ht="19.8" customHeight="1" x14ac:dyDescent="0.3">
      <c r="A298" s="128">
        <v>45996</v>
      </c>
      <c r="B298" s="79" t="s">
        <v>47</v>
      </c>
      <c r="C298" s="80" t="s">
        <v>60</v>
      </c>
      <c r="D298" s="79" t="s">
        <v>385</v>
      </c>
      <c r="E298" s="129">
        <v>1.8888888888888891</v>
      </c>
      <c r="F298" s="79" t="s">
        <v>50</v>
      </c>
      <c r="G298" s="81">
        <v>1</v>
      </c>
      <c r="H298" s="130">
        <v>329</v>
      </c>
      <c r="I298" s="27"/>
    </row>
    <row r="299" spans="1:9" ht="19.8" customHeight="1" x14ac:dyDescent="0.3">
      <c r="A299" s="128">
        <v>45996</v>
      </c>
      <c r="B299" s="79" t="s">
        <v>77</v>
      </c>
      <c r="C299" s="80" t="s">
        <v>91</v>
      </c>
      <c r="D299" s="79" t="s">
        <v>385</v>
      </c>
      <c r="E299" s="129">
        <v>1.46875</v>
      </c>
      <c r="F299" s="79" t="s">
        <v>80</v>
      </c>
      <c r="G299" s="81">
        <v>5</v>
      </c>
      <c r="H299" s="130">
        <v>329</v>
      </c>
      <c r="I299" s="27"/>
    </row>
    <row r="300" spans="1:9" ht="19.8" customHeight="1" x14ac:dyDescent="0.3">
      <c r="A300" s="128">
        <v>45996</v>
      </c>
      <c r="B300" s="79" t="s">
        <v>77</v>
      </c>
      <c r="C300" s="80" t="s">
        <v>101</v>
      </c>
      <c r="D300" s="79" t="s">
        <v>385</v>
      </c>
      <c r="E300" s="129">
        <v>1.395833333333333</v>
      </c>
      <c r="F300" s="79" t="s">
        <v>80</v>
      </c>
      <c r="G300" s="81">
        <v>7</v>
      </c>
      <c r="H300" s="130">
        <v>329</v>
      </c>
      <c r="I300" s="27"/>
    </row>
    <row r="301" spans="1:9" ht="19.8" customHeight="1" x14ac:dyDescent="0.3">
      <c r="A301" s="128">
        <v>45996</v>
      </c>
      <c r="B301" s="79" t="s">
        <v>67</v>
      </c>
      <c r="C301" s="80" t="s">
        <v>68</v>
      </c>
      <c r="D301" s="79" t="s">
        <v>385</v>
      </c>
      <c r="E301" s="129">
        <v>1.3923611111111109</v>
      </c>
      <c r="F301" s="79" t="s">
        <v>70</v>
      </c>
      <c r="G301" s="81">
        <v>9</v>
      </c>
      <c r="H301" s="130">
        <v>355</v>
      </c>
      <c r="I301" s="27"/>
    </row>
    <row r="302" spans="1:9" ht="19.8" customHeight="1" x14ac:dyDescent="0.3">
      <c r="A302" s="128">
        <v>45996</v>
      </c>
      <c r="B302" s="79" t="s">
        <v>67</v>
      </c>
      <c r="C302" s="80" t="s">
        <v>280</v>
      </c>
      <c r="D302" s="79" t="s">
        <v>385</v>
      </c>
      <c r="E302" s="129">
        <v>1.975694444444444</v>
      </c>
      <c r="F302" s="79" t="s">
        <v>70</v>
      </c>
      <c r="G302" s="81">
        <v>9</v>
      </c>
      <c r="H302" s="130">
        <v>355</v>
      </c>
      <c r="I302" s="27"/>
    </row>
    <row r="303" spans="1:9" ht="19.8" customHeight="1" x14ac:dyDescent="0.3">
      <c r="A303" s="128">
        <v>45996</v>
      </c>
      <c r="B303" s="79" t="s">
        <v>47</v>
      </c>
      <c r="C303" s="80" t="s">
        <v>48</v>
      </c>
      <c r="D303" s="79" t="s">
        <v>385</v>
      </c>
      <c r="E303" s="129">
        <v>1.1284722222222221</v>
      </c>
      <c r="F303" s="79" t="s">
        <v>50</v>
      </c>
      <c r="G303" s="81">
        <v>6</v>
      </c>
      <c r="H303" s="130">
        <v>359</v>
      </c>
      <c r="I303" s="27"/>
    </row>
    <row r="304" spans="1:9" ht="19.8" customHeight="1" x14ac:dyDescent="0.3">
      <c r="A304" s="128">
        <v>45996</v>
      </c>
      <c r="B304" s="79" t="s">
        <v>47</v>
      </c>
      <c r="C304" s="80" t="s">
        <v>63</v>
      </c>
      <c r="D304" s="79" t="s">
        <v>385</v>
      </c>
      <c r="E304" s="129">
        <v>1.788194444444444</v>
      </c>
      <c r="F304" s="79" t="s">
        <v>50</v>
      </c>
      <c r="G304" s="81">
        <v>7</v>
      </c>
      <c r="H304" s="130">
        <v>359</v>
      </c>
      <c r="I304" s="27"/>
    </row>
    <row r="305" spans="1:9" ht="19.8" customHeight="1" x14ac:dyDescent="0.3">
      <c r="A305" s="128">
        <v>45996</v>
      </c>
      <c r="B305" s="79" t="s">
        <v>77</v>
      </c>
      <c r="C305" s="80" t="s">
        <v>78</v>
      </c>
      <c r="D305" s="79" t="s">
        <v>385</v>
      </c>
      <c r="E305" s="129">
        <v>1.854166666666667</v>
      </c>
      <c r="F305" s="79" t="s">
        <v>80</v>
      </c>
      <c r="G305" s="81">
        <v>4</v>
      </c>
      <c r="H305" s="130">
        <v>369</v>
      </c>
      <c r="I305" s="27"/>
    </row>
    <row r="306" spans="1:9" ht="19.8" customHeight="1" x14ac:dyDescent="0.3">
      <c r="A306" s="128">
        <v>45996</v>
      </c>
      <c r="B306" s="79" t="s">
        <v>77</v>
      </c>
      <c r="C306" s="80" t="s">
        <v>86</v>
      </c>
      <c r="D306" s="79" t="s">
        <v>385</v>
      </c>
      <c r="E306" s="129">
        <v>1.256944444444444</v>
      </c>
      <c r="F306" s="79" t="s">
        <v>80</v>
      </c>
      <c r="G306" s="81">
        <v>9</v>
      </c>
      <c r="H306" s="130">
        <v>369</v>
      </c>
      <c r="I306" s="27"/>
    </row>
    <row r="307" spans="1:9" ht="19.8" customHeight="1" x14ac:dyDescent="0.3">
      <c r="A307" s="128">
        <v>45996</v>
      </c>
      <c r="B307" s="79" t="s">
        <v>77</v>
      </c>
      <c r="C307" s="80" t="s">
        <v>93</v>
      </c>
      <c r="D307" s="79" t="s">
        <v>385</v>
      </c>
      <c r="E307" s="129">
        <v>1.5173611111111109</v>
      </c>
      <c r="F307" s="79" t="s">
        <v>80</v>
      </c>
      <c r="G307" s="81">
        <v>9</v>
      </c>
      <c r="H307" s="130">
        <v>369</v>
      </c>
      <c r="I307" s="27"/>
    </row>
    <row r="308" spans="1:9" ht="19.8" customHeight="1" x14ac:dyDescent="0.3">
      <c r="A308" s="128">
        <v>45996</v>
      </c>
      <c r="B308" s="79" t="s">
        <v>77</v>
      </c>
      <c r="C308" s="80" t="s">
        <v>95</v>
      </c>
      <c r="D308" s="79" t="s">
        <v>385</v>
      </c>
      <c r="E308" s="129">
        <v>1.7986111111111109</v>
      </c>
      <c r="F308" s="79" t="s">
        <v>80</v>
      </c>
      <c r="G308" s="81">
        <v>8</v>
      </c>
      <c r="H308" s="130">
        <v>369</v>
      </c>
      <c r="I308" s="27"/>
    </row>
    <row r="309" spans="1:9" ht="19.8" customHeight="1" x14ac:dyDescent="0.3">
      <c r="A309" s="128">
        <v>45996</v>
      </c>
      <c r="B309" s="79" t="s">
        <v>77</v>
      </c>
      <c r="C309" s="80" t="s">
        <v>104</v>
      </c>
      <c r="D309" s="79" t="s">
        <v>385</v>
      </c>
      <c r="E309" s="129">
        <v>1.645833333333333</v>
      </c>
      <c r="F309" s="79" t="s">
        <v>80</v>
      </c>
      <c r="G309" s="81">
        <v>8</v>
      </c>
      <c r="H309" s="130">
        <v>369</v>
      </c>
      <c r="I309" s="27"/>
    </row>
    <row r="310" spans="1:9" ht="19.8" customHeight="1" x14ac:dyDescent="0.3">
      <c r="A310" s="128">
        <v>45996</v>
      </c>
      <c r="B310" s="79" t="s">
        <v>67</v>
      </c>
      <c r="C310" s="80" t="s">
        <v>282</v>
      </c>
      <c r="D310" s="79" t="s">
        <v>385</v>
      </c>
      <c r="E310" s="129">
        <v>1.677083333333333</v>
      </c>
      <c r="F310" s="79" t="s">
        <v>70</v>
      </c>
      <c r="G310" s="81">
        <v>9</v>
      </c>
      <c r="H310" s="130">
        <v>393</v>
      </c>
      <c r="I310" s="27"/>
    </row>
    <row r="311" spans="1:9" ht="19.8" customHeight="1" x14ac:dyDescent="0.3">
      <c r="A311" s="128">
        <v>45996</v>
      </c>
      <c r="B311" s="79" t="s">
        <v>26</v>
      </c>
      <c r="C311" s="80" t="s">
        <v>128</v>
      </c>
      <c r="D311" s="79" t="s">
        <v>385</v>
      </c>
      <c r="E311" s="129">
        <v>1.614583333333333</v>
      </c>
      <c r="F311" s="79" t="s">
        <v>28</v>
      </c>
      <c r="G311" s="81">
        <v>9</v>
      </c>
      <c r="H311" s="130">
        <v>401</v>
      </c>
      <c r="I311" s="27"/>
    </row>
    <row r="312" spans="1:9" ht="19.8" customHeight="1" x14ac:dyDescent="0.3">
      <c r="A312" s="128">
        <v>45996</v>
      </c>
      <c r="B312" s="79" t="s">
        <v>26</v>
      </c>
      <c r="C312" s="80" t="s">
        <v>146</v>
      </c>
      <c r="D312" s="79" t="s">
        <v>385</v>
      </c>
      <c r="E312" s="129">
        <v>1.319444444444444</v>
      </c>
      <c r="F312" s="79" t="s">
        <v>28</v>
      </c>
      <c r="G312" s="81">
        <v>2</v>
      </c>
      <c r="H312" s="130">
        <v>401</v>
      </c>
      <c r="I312" s="27"/>
    </row>
    <row r="313" spans="1:9" ht="19.8" customHeight="1" x14ac:dyDescent="0.3">
      <c r="A313" s="128">
        <v>45996</v>
      </c>
      <c r="B313" s="79" t="s">
        <v>120</v>
      </c>
      <c r="C313" s="80" t="s">
        <v>163</v>
      </c>
      <c r="D313" s="79" t="s">
        <v>385</v>
      </c>
      <c r="E313" s="129">
        <v>1.666666666666667</v>
      </c>
      <c r="F313" s="79" t="s">
        <v>123</v>
      </c>
      <c r="G313" s="81">
        <v>5</v>
      </c>
      <c r="H313" s="130">
        <v>401</v>
      </c>
      <c r="I313" s="27"/>
    </row>
    <row r="314" spans="1:9" ht="19.8" customHeight="1" x14ac:dyDescent="0.3">
      <c r="A314" s="128">
        <v>45996</v>
      </c>
      <c r="B314" s="79" t="s">
        <v>77</v>
      </c>
      <c r="C314" s="80" t="s">
        <v>91</v>
      </c>
      <c r="D314" s="79" t="s">
        <v>385</v>
      </c>
      <c r="E314" s="129">
        <v>1.46875</v>
      </c>
      <c r="F314" s="79" t="s">
        <v>82</v>
      </c>
      <c r="G314" s="81">
        <v>5</v>
      </c>
      <c r="H314" s="130">
        <v>429</v>
      </c>
      <c r="I314" s="27"/>
    </row>
    <row r="315" spans="1:9" ht="19.8" customHeight="1" x14ac:dyDescent="0.3">
      <c r="A315" s="128">
        <v>45996</v>
      </c>
      <c r="B315" s="79" t="s">
        <v>77</v>
      </c>
      <c r="C315" s="80" t="s">
        <v>101</v>
      </c>
      <c r="D315" s="79" t="s">
        <v>385</v>
      </c>
      <c r="E315" s="129">
        <v>1.395833333333333</v>
      </c>
      <c r="F315" s="79" t="s">
        <v>82</v>
      </c>
      <c r="G315" s="81">
        <v>7</v>
      </c>
      <c r="H315" s="130">
        <v>429</v>
      </c>
      <c r="I315" s="27"/>
    </row>
    <row r="316" spans="1:9" ht="19.8" customHeight="1" x14ac:dyDescent="0.3">
      <c r="A316" s="128">
        <v>45996</v>
      </c>
      <c r="B316" s="79" t="s">
        <v>26</v>
      </c>
      <c r="C316" s="80" t="s">
        <v>136</v>
      </c>
      <c r="D316" s="79" t="s">
        <v>385</v>
      </c>
      <c r="E316" s="129">
        <v>1.458333333333333</v>
      </c>
      <c r="F316" s="79" t="s">
        <v>28</v>
      </c>
      <c r="G316" s="81">
        <v>5</v>
      </c>
      <c r="H316" s="130">
        <v>436</v>
      </c>
      <c r="I316" s="27"/>
    </row>
    <row r="317" spans="1:9" ht="19.8" customHeight="1" x14ac:dyDescent="0.3">
      <c r="A317" s="128">
        <v>45996</v>
      </c>
      <c r="B317" s="79" t="s">
        <v>26</v>
      </c>
      <c r="C317" s="80" t="s">
        <v>203</v>
      </c>
      <c r="D317" s="79" t="s">
        <v>385</v>
      </c>
      <c r="E317" s="129">
        <v>1.114583333333333</v>
      </c>
      <c r="F317" s="79" t="s">
        <v>28</v>
      </c>
      <c r="G317" s="81">
        <v>8</v>
      </c>
      <c r="H317" s="130">
        <v>436</v>
      </c>
      <c r="I317" s="27"/>
    </row>
    <row r="318" spans="1:9" ht="19.8" customHeight="1" x14ac:dyDescent="0.3">
      <c r="A318" s="128">
        <v>45996</v>
      </c>
      <c r="B318" s="79" t="s">
        <v>77</v>
      </c>
      <c r="C318" s="80" t="s">
        <v>98</v>
      </c>
      <c r="D318" s="79" t="s">
        <v>385</v>
      </c>
      <c r="E318" s="129">
        <v>1.9027777777777779</v>
      </c>
      <c r="F318" s="79" t="s">
        <v>80</v>
      </c>
      <c r="G318" s="81">
        <v>9</v>
      </c>
      <c r="H318" s="130">
        <v>449</v>
      </c>
      <c r="I318" s="27"/>
    </row>
    <row r="319" spans="1:9" ht="19.8" customHeight="1" x14ac:dyDescent="0.3">
      <c r="A319" s="128">
        <v>45996</v>
      </c>
      <c r="B319" s="79" t="s">
        <v>77</v>
      </c>
      <c r="C319" s="80" t="s">
        <v>78</v>
      </c>
      <c r="D319" s="79" t="s">
        <v>385</v>
      </c>
      <c r="E319" s="129">
        <v>1.854166666666667</v>
      </c>
      <c r="F319" s="79" t="s">
        <v>82</v>
      </c>
      <c r="G319" s="81">
        <v>4</v>
      </c>
      <c r="H319" s="130">
        <v>469</v>
      </c>
      <c r="I319" s="27"/>
    </row>
    <row r="320" spans="1:9" ht="19.8" customHeight="1" x14ac:dyDescent="0.3">
      <c r="A320" s="128">
        <v>45996</v>
      </c>
      <c r="B320" s="79" t="s">
        <v>77</v>
      </c>
      <c r="C320" s="80" t="s">
        <v>86</v>
      </c>
      <c r="D320" s="79" t="s">
        <v>385</v>
      </c>
      <c r="E320" s="129">
        <v>1.256944444444444</v>
      </c>
      <c r="F320" s="79" t="s">
        <v>82</v>
      </c>
      <c r="G320" s="81">
        <v>9</v>
      </c>
      <c r="H320" s="130">
        <v>469</v>
      </c>
      <c r="I320" s="27"/>
    </row>
    <row r="321" spans="1:9" ht="19.8" customHeight="1" x14ac:dyDescent="0.3">
      <c r="A321" s="128">
        <v>45996</v>
      </c>
      <c r="B321" s="79" t="s">
        <v>77</v>
      </c>
      <c r="C321" s="80" t="s">
        <v>93</v>
      </c>
      <c r="D321" s="79" t="s">
        <v>385</v>
      </c>
      <c r="E321" s="129">
        <v>1.5173611111111109</v>
      </c>
      <c r="F321" s="79" t="s">
        <v>82</v>
      </c>
      <c r="G321" s="81">
        <v>9</v>
      </c>
      <c r="H321" s="130">
        <v>469</v>
      </c>
      <c r="I321" s="27"/>
    </row>
    <row r="322" spans="1:9" ht="19.8" customHeight="1" x14ac:dyDescent="0.3">
      <c r="A322" s="128">
        <v>45996</v>
      </c>
      <c r="B322" s="79" t="s">
        <v>77</v>
      </c>
      <c r="C322" s="80" t="s">
        <v>95</v>
      </c>
      <c r="D322" s="79" t="s">
        <v>385</v>
      </c>
      <c r="E322" s="129">
        <v>1.7986111111111109</v>
      </c>
      <c r="F322" s="79" t="s">
        <v>82</v>
      </c>
      <c r="G322" s="81">
        <v>8</v>
      </c>
      <c r="H322" s="130">
        <v>469</v>
      </c>
      <c r="I322" s="27"/>
    </row>
    <row r="323" spans="1:9" ht="19.8" customHeight="1" x14ac:dyDescent="0.3">
      <c r="A323" s="128">
        <v>45996</v>
      </c>
      <c r="B323" s="79" t="s">
        <v>77</v>
      </c>
      <c r="C323" s="80" t="s">
        <v>104</v>
      </c>
      <c r="D323" s="79" t="s">
        <v>385</v>
      </c>
      <c r="E323" s="129">
        <v>1.645833333333333</v>
      </c>
      <c r="F323" s="79" t="s">
        <v>82</v>
      </c>
      <c r="G323" s="81">
        <v>8</v>
      </c>
      <c r="H323" s="130">
        <v>469</v>
      </c>
      <c r="I323" s="27"/>
    </row>
    <row r="324" spans="1:9" ht="19.8" customHeight="1" x14ac:dyDescent="0.3">
      <c r="A324" s="128">
        <v>45996</v>
      </c>
      <c r="B324" s="79" t="s">
        <v>26</v>
      </c>
      <c r="C324" s="80" t="s">
        <v>202</v>
      </c>
      <c r="D324" s="79" t="s">
        <v>385</v>
      </c>
      <c r="E324" s="129">
        <v>1.7361111111111109</v>
      </c>
      <c r="F324" s="79" t="s">
        <v>28</v>
      </c>
      <c r="G324" s="81">
        <v>4</v>
      </c>
      <c r="H324" s="130">
        <v>471</v>
      </c>
      <c r="I324" s="27"/>
    </row>
    <row r="325" spans="1:9" ht="19.8" customHeight="1" x14ac:dyDescent="0.3">
      <c r="A325" s="128">
        <v>45996</v>
      </c>
      <c r="B325" s="79" t="s">
        <v>67</v>
      </c>
      <c r="C325" s="80" t="s">
        <v>68</v>
      </c>
      <c r="D325" s="79" t="s">
        <v>385</v>
      </c>
      <c r="E325" s="129">
        <v>1.3923611111111109</v>
      </c>
      <c r="F325" s="79" t="s">
        <v>55</v>
      </c>
      <c r="G325" s="81">
        <v>9</v>
      </c>
      <c r="H325" s="130">
        <v>479</v>
      </c>
      <c r="I325" s="27"/>
    </row>
    <row r="326" spans="1:9" ht="19.8" customHeight="1" x14ac:dyDescent="0.3">
      <c r="A326" s="128">
        <v>45996</v>
      </c>
      <c r="B326" s="79" t="s">
        <v>67</v>
      </c>
      <c r="C326" s="80" t="s">
        <v>280</v>
      </c>
      <c r="D326" s="79" t="s">
        <v>385</v>
      </c>
      <c r="E326" s="129">
        <v>1.975694444444444</v>
      </c>
      <c r="F326" s="79" t="s">
        <v>55</v>
      </c>
      <c r="G326" s="81">
        <v>9</v>
      </c>
      <c r="H326" s="130">
        <v>479</v>
      </c>
      <c r="I326" s="27"/>
    </row>
    <row r="327" spans="1:9" ht="19.8" customHeight="1" x14ac:dyDescent="0.3">
      <c r="A327" s="128">
        <v>45996</v>
      </c>
      <c r="B327" s="79" t="s">
        <v>47</v>
      </c>
      <c r="C327" s="80" t="s">
        <v>57</v>
      </c>
      <c r="D327" s="79" t="s">
        <v>385</v>
      </c>
      <c r="E327" s="129">
        <v>1.302083333333333</v>
      </c>
      <c r="F327" s="79" t="s">
        <v>53</v>
      </c>
      <c r="G327" s="81">
        <v>5</v>
      </c>
      <c r="H327" s="130">
        <v>479</v>
      </c>
      <c r="I327" s="27"/>
    </row>
    <row r="328" spans="1:9" ht="19.8" customHeight="1" x14ac:dyDescent="0.3">
      <c r="A328" s="128">
        <v>45996</v>
      </c>
      <c r="B328" s="79" t="s">
        <v>47</v>
      </c>
      <c r="C328" s="80" t="s">
        <v>60</v>
      </c>
      <c r="D328" s="79" t="s">
        <v>385</v>
      </c>
      <c r="E328" s="129">
        <v>1.8888888888888891</v>
      </c>
      <c r="F328" s="79" t="s">
        <v>53</v>
      </c>
      <c r="G328" s="81">
        <v>1</v>
      </c>
      <c r="H328" s="130">
        <v>479</v>
      </c>
      <c r="I328" s="27"/>
    </row>
    <row r="329" spans="1:9" ht="19.8" customHeight="1" x14ac:dyDescent="0.3">
      <c r="A329" s="128">
        <v>45996</v>
      </c>
      <c r="B329" s="79" t="s">
        <v>47</v>
      </c>
      <c r="C329" s="80" t="s">
        <v>48</v>
      </c>
      <c r="D329" s="79" t="s">
        <v>385</v>
      </c>
      <c r="E329" s="129">
        <v>1.1284722222222221</v>
      </c>
      <c r="F329" s="79" t="s">
        <v>53</v>
      </c>
      <c r="G329" s="81">
        <v>6</v>
      </c>
      <c r="H329" s="130">
        <v>509</v>
      </c>
      <c r="I329" s="27"/>
    </row>
    <row r="330" spans="1:9" ht="19.8" customHeight="1" x14ac:dyDescent="0.3">
      <c r="A330" s="128">
        <v>45996</v>
      </c>
      <c r="B330" s="79" t="s">
        <v>47</v>
      </c>
      <c r="C330" s="80" t="s">
        <v>63</v>
      </c>
      <c r="D330" s="79" t="s">
        <v>385</v>
      </c>
      <c r="E330" s="129">
        <v>1.788194444444444</v>
      </c>
      <c r="F330" s="79" t="s">
        <v>53</v>
      </c>
      <c r="G330" s="81">
        <v>7</v>
      </c>
      <c r="H330" s="130">
        <v>509</v>
      </c>
      <c r="I330" s="27"/>
    </row>
    <row r="331" spans="1:9" ht="19.8" customHeight="1" x14ac:dyDescent="0.3">
      <c r="A331" s="128">
        <v>45996</v>
      </c>
      <c r="B331" s="79" t="s">
        <v>67</v>
      </c>
      <c r="C331" s="80" t="s">
        <v>282</v>
      </c>
      <c r="D331" s="79" t="s">
        <v>385</v>
      </c>
      <c r="E331" s="129">
        <v>1.677083333333333</v>
      </c>
      <c r="F331" s="79" t="s">
        <v>55</v>
      </c>
      <c r="G331" s="81">
        <v>9</v>
      </c>
      <c r="H331" s="130">
        <v>516</v>
      </c>
      <c r="I331" s="27"/>
    </row>
    <row r="332" spans="1:9" ht="19.8" customHeight="1" x14ac:dyDescent="0.3">
      <c r="A332" s="128">
        <v>45996</v>
      </c>
      <c r="B332" s="79" t="s">
        <v>77</v>
      </c>
      <c r="C332" s="80" t="s">
        <v>91</v>
      </c>
      <c r="D332" s="79" t="s">
        <v>385</v>
      </c>
      <c r="E332" s="129">
        <v>1.46875</v>
      </c>
      <c r="F332" s="79" t="s">
        <v>84</v>
      </c>
      <c r="G332" s="81">
        <v>5</v>
      </c>
      <c r="H332" s="130">
        <v>519</v>
      </c>
      <c r="I332" s="27"/>
    </row>
    <row r="333" spans="1:9" ht="19.8" customHeight="1" x14ac:dyDescent="0.3">
      <c r="A333" s="128">
        <v>45996</v>
      </c>
      <c r="B333" s="79" t="s">
        <v>77</v>
      </c>
      <c r="C333" s="80" t="s">
        <v>101</v>
      </c>
      <c r="D333" s="79" t="s">
        <v>385</v>
      </c>
      <c r="E333" s="129">
        <v>1.395833333333333</v>
      </c>
      <c r="F333" s="79" t="s">
        <v>84</v>
      </c>
      <c r="G333" s="81">
        <v>7</v>
      </c>
      <c r="H333" s="130">
        <v>519</v>
      </c>
      <c r="I333" s="27"/>
    </row>
    <row r="334" spans="1:9" ht="19.8" customHeight="1" x14ac:dyDescent="0.3">
      <c r="A334" s="128">
        <v>45996</v>
      </c>
      <c r="B334" s="79" t="s">
        <v>77</v>
      </c>
      <c r="C334" s="80" t="s">
        <v>98</v>
      </c>
      <c r="D334" s="79" t="s">
        <v>385</v>
      </c>
      <c r="E334" s="129">
        <v>1.9027777777777779</v>
      </c>
      <c r="F334" s="79" t="s">
        <v>82</v>
      </c>
      <c r="G334" s="81">
        <v>9</v>
      </c>
      <c r="H334" s="130">
        <v>549</v>
      </c>
      <c r="I334" s="27"/>
    </row>
    <row r="335" spans="1:9" ht="19.8" customHeight="1" x14ac:dyDescent="0.3">
      <c r="A335" s="128">
        <v>45996</v>
      </c>
      <c r="B335" s="79" t="s">
        <v>77</v>
      </c>
      <c r="C335" s="80" t="s">
        <v>78</v>
      </c>
      <c r="D335" s="79" t="s">
        <v>385</v>
      </c>
      <c r="E335" s="129">
        <v>1.854166666666667</v>
      </c>
      <c r="F335" s="79" t="s">
        <v>84</v>
      </c>
      <c r="G335" s="81">
        <v>4</v>
      </c>
      <c r="H335" s="130">
        <v>559</v>
      </c>
      <c r="I335" s="27"/>
    </row>
    <row r="336" spans="1:9" ht="19.8" customHeight="1" x14ac:dyDescent="0.3">
      <c r="A336" s="128">
        <v>45996</v>
      </c>
      <c r="B336" s="79" t="s">
        <v>77</v>
      </c>
      <c r="C336" s="80" t="s">
        <v>86</v>
      </c>
      <c r="D336" s="79" t="s">
        <v>385</v>
      </c>
      <c r="E336" s="129">
        <v>1.256944444444444</v>
      </c>
      <c r="F336" s="79" t="s">
        <v>84</v>
      </c>
      <c r="G336" s="81">
        <v>9</v>
      </c>
      <c r="H336" s="130">
        <v>559</v>
      </c>
      <c r="I336" s="27"/>
    </row>
    <row r="337" spans="1:9" ht="19.8" customHeight="1" x14ac:dyDescent="0.3">
      <c r="A337" s="128">
        <v>45996</v>
      </c>
      <c r="B337" s="79" t="s">
        <v>77</v>
      </c>
      <c r="C337" s="80" t="s">
        <v>93</v>
      </c>
      <c r="D337" s="79" t="s">
        <v>385</v>
      </c>
      <c r="E337" s="129">
        <v>1.5173611111111109</v>
      </c>
      <c r="F337" s="79" t="s">
        <v>84</v>
      </c>
      <c r="G337" s="81">
        <v>9</v>
      </c>
      <c r="H337" s="130">
        <v>559</v>
      </c>
      <c r="I337" s="27"/>
    </row>
    <row r="338" spans="1:9" ht="19.8" customHeight="1" x14ac:dyDescent="0.3">
      <c r="A338" s="128">
        <v>45996</v>
      </c>
      <c r="B338" s="79" t="s">
        <v>77</v>
      </c>
      <c r="C338" s="80" t="s">
        <v>95</v>
      </c>
      <c r="D338" s="79" t="s">
        <v>385</v>
      </c>
      <c r="E338" s="129">
        <v>1.7986111111111109</v>
      </c>
      <c r="F338" s="79" t="s">
        <v>84</v>
      </c>
      <c r="G338" s="81">
        <v>8</v>
      </c>
      <c r="H338" s="130">
        <v>559</v>
      </c>
      <c r="I338" s="27"/>
    </row>
    <row r="339" spans="1:9" ht="19.8" customHeight="1" x14ac:dyDescent="0.3">
      <c r="A339" s="128">
        <v>45996</v>
      </c>
      <c r="B339" s="79" t="s">
        <v>77</v>
      </c>
      <c r="C339" s="80" t="s">
        <v>104</v>
      </c>
      <c r="D339" s="79" t="s">
        <v>385</v>
      </c>
      <c r="E339" s="129">
        <v>1.645833333333333</v>
      </c>
      <c r="F339" s="79" t="s">
        <v>84</v>
      </c>
      <c r="G339" s="81">
        <v>8</v>
      </c>
      <c r="H339" s="130">
        <v>559</v>
      </c>
      <c r="I339" s="27"/>
    </row>
    <row r="340" spans="1:9" ht="19.8" customHeight="1" x14ac:dyDescent="0.3">
      <c r="A340" s="128">
        <v>45996</v>
      </c>
      <c r="B340" s="79" t="s">
        <v>41</v>
      </c>
      <c r="C340" s="80" t="s">
        <v>169</v>
      </c>
      <c r="D340" s="79" t="s">
        <v>385</v>
      </c>
      <c r="E340" s="129">
        <v>1.145833333333333</v>
      </c>
      <c r="F340" s="79" t="s">
        <v>43</v>
      </c>
      <c r="G340" s="81">
        <v>9</v>
      </c>
      <c r="H340" s="130">
        <v>579</v>
      </c>
      <c r="I340" s="27"/>
    </row>
    <row r="341" spans="1:9" ht="19.8" customHeight="1" x14ac:dyDescent="0.3">
      <c r="A341" s="128">
        <v>45996</v>
      </c>
      <c r="B341" s="79" t="s">
        <v>41</v>
      </c>
      <c r="C341" s="80" t="s">
        <v>171</v>
      </c>
      <c r="D341" s="79" t="s">
        <v>385</v>
      </c>
      <c r="E341" s="129">
        <v>1.2777777777777779</v>
      </c>
      <c r="F341" s="79" t="s">
        <v>43</v>
      </c>
      <c r="G341" s="81">
        <v>9</v>
      </c>
      <c r="H341" s="130">
        <v>579</v>
      </c>
      <c r="I341" s="27"/>
    </row>
    <row r="342" spans="1:9" ht="19.8" customHeight="1" x14ac:dyDescent="0.3">
      <c r="A342" s="128">
        <v>45996</v>
      </c>
      <c r="B342" s="79" t="s">
        <v>41</v>
      </c>
      <c r="C342" s="80" t="s">
        <v>173</v>
      </c>
      <c r="D342" s="79" t="s">
        <v>385</v>
      </c>
      <c r="E342" s="129">
        <v>1.4861111111111109</v>
      </c>
      <c r="F342" s="79" t="s">
        <v>43</v>
      </c>
      <c r="G342" s="81">
        <v>9</v>
      </c>
      <c r="H342" s="130">
        <v>579</v>
      </c>
      <c r="I342" s="27"/>
    </row>
    <row r="343" spans="1:9" ht="19.8" customHeight="1" x14ac:dyDescent="0.3">
      <c r="A343" s="128">
        <v>45996</v>
      </c>
      <c r="B343" s="79" t="s">
        <v>41</v>
      </c>
      <c r="C343" s="80" t="s">
        <v>113</v>
      </c>
      <c r="D343" s="79" t="s">
        <v>385</v>
      </c>
      <c r="E343" s="129">
        <v>1.229166666666667</v>
      </c>
      <c r="F343" s="79" t="s">
        <v>43</v>
      </c>
      <c r="G343" s="81">
        <v>9</v>
      </c>
      <c r="H343" s="130">
        <v>583</v>
      </c>
      <c r="I343" s="27"/>
    </row>
    <row r="344" spans="1:9" ht="19.8" customHeight="1" x14ac:dyDescent="0.3">
      <c r="A344" s="128">
        <v>45996</v>
      </c>
      <c r="B344" s="79" t="s">
        <v>77</v>
      </c>
      <c r="C344" s="80" t="s">
        <v>98</v>
      </c>
      <c r="D344" s="79" t="s">
        <v>385</v>
      </c>
      <c r="E344" s="129">
        <v>1.9027777777777779</v>
      </c>
      <c r="F344" s="79" t="s">
        <v>84</v>
      </c>
      <c r="G344" s="81">
        <v>9</v>
      </c>
      <c r="H344" s="130">
        <v>639</v>
      </c>
      <c r="I344" s="27"/>
    </row>
    <row r="345" spans="1:9" ht="19.8" customHeight="1" x14ac:dyDescent="0.3">
      <c r="A345" s="128">
        <v>45996</v>
      </c>
      <c r="B345" s="79" t="s">
        <v>138</v>
      </c>
      <c r="C345" s="80" t="s">
        <v>148</v>
      </c>
      <c r="D345" s="79" t="s">
        <v>385</v>
      </c>
      <c r="E345" s="129">
        <v>1.1423611111111109</v>
      </c>
      <c r="F345" s="79" t="s">
        <v>143</v>
      </c>
      <c r="G345" s="81">
        <v>9</v>
      </c>
      <c r="H345" s="130">
        <v>678</v>
      </c>
      <c r="I345" s="27"/>
    </row>
    <row r="346" spans="1:9" ht="19.8" customHeight="1" x14ac:dyDescent="0.3">
      <c r="A346" s="128">
        <v>45996</v>
      </c>
      <c r="B346" s="79" t="s">
        <v>138</v>
      </c>
      <c r="C346" s="80" t="s">
        <v>154</v>
      </c>
      <c r="D346" s="79" t="s">
        <v>385</v>
      </c>
      <c r="E346" s="129">
        <v>1.71875</v>
      </c>
      <c r="F346" s="79" t="s">
        <v>143</v>
      </c>
      <c r="G346" s="81">
        <v>8</v>
      </c>
      <c r="H346" s="130">
        <v>678</v>
      </c>
      <c r="I346" s="27"/>
    </row>
    <row r="347" spans="1:9" ht="19.8" customHeight="1" x14ac:dyDescent="0.3">
      <c r="A347" s="128">
        <v>45996</v>
      </c>
      <c r="B347" s="79" t="s">
        <v>138</v>
      </c>
      <c r="C347" s="80" t="s">
        <v>159</v>
      </c>
      <c r="D347" s="79" t="s">
        <v>385</v>
      </c>
      <c r="E347" s="129">
        <v>1.3784722222222221</v>
      </c>
      <c r="F347" s="79" t="s">
        <v>143</v>
      </c>
      <c r="G347" s="81">
        <v>9</v>
      </c>
      <c r="H347" s="130">
        <v>678</v>
      </c>
      <c r="I347" s="27"/>
    </row>
    <row r="348" spans="1:9" ht="19.8" customHeight="1" x14ac:dyDescent="0.3">
      <c r="A348" s="128">
        <v>45996</v>
      </c>
      <c r="B348" s="79" t="s">
        <v>138</v>
      </c>
      <c r="C348" s="80" t="s">
        <v>167</v>
      </c>
      <c r="D348" s="79" t="s">
        <v>385</v>
      </c>
      <c r="E348" s="129">
        <v>1.6111111111111109</v>
      </c>
      <c r="F348" s="79" t="s">
        <v>143</v>
      </c>
      <c r="G348" s="81">
        <v>9</v>
      </c>
      <c r="H348" s="130">
        <v>678</v>
      </c>
      <c r="I348" s="27"/>
    </row>
    <row r="349" spans="1:9" ht="19.8" customHeight="1" x14ac:dyDescent="0.3">
      <c r="A349" s="128">
        <v>45996</v>
      </c>
      <c r="B349" s="79" t="s">
        <v>138</v>
      </c>
      <c r="C349" s="80" t="s">
        <v>178</v>
      </c>
      <c r="D349" s="79" t="s">
        <v>385</v>
      </c>
      <c r="E349" s="129">
        <v>1.239583333333333</v>
      </c>
      <c r="F349" s="79" t="s">
        <v>143</v>
      </c>
      <c r="G349" s="81">
        <v>9</v>
      </c>
      <c r="H349" s="130">
        <v>678</v>
      </c>
      <c r="I349" s="27"/>
    </row>
    <row r="350" spans="1:9" ht="19.8" customHeight="1" x14ac:dyDescent="0.3">
      <c r="A350" s="128">
        <v>45996</v>
      </c>
      <c r="B350" s="79" t="s">
        <v>138</v>
      </c>
      <c r="C350" s="80" t="s">
        <v>148</v>
      </c>
      <c r="D350" s="79" t="s">
        <v>385</v>
      </c>
      <c r="E350" s="129">
        <v>1.1423611111111109</v>
      </c>
      <c r="F350" s="79" t="s">
        <v>140</v>
      </c>
      <c r="G350" s="81">
        <v>9</v>
      </c>
      <c r="H350" s="130">
        <v>723</v>
      </c>
      <c r="I350" s="27"/>
    </row>
    <row r="351" spans="1:9" ht="19.8" customHeight="1" x14ac:dyDescent="0.3">
      <c r="A351" s="128">
        <v>45996</v>
      </c>
      <c r="B351" s="79" t="s">
        <v>138</v>
      </c>
      <c r="C351" s="80" t="s">
        <v>154</v>
      </c>
      <c r="D351" s="79" t="s">
        <v>385</v>
      </c>
      <c r="E351" s="129">
        <v>1.71875</v>
      </c>
      <c r="F351" s="79" t="s">
        <v>140</v>
      </c>
      <c r="G351" s="81">
        <v>8</v>
      </c>
      <c r="H351" s="130">
        <v>723</v>
      </c>
      <c r="I351" s="27"/>
    </row>
    <row r="352" spans="1:9" ht="19.8" customHeight="1" x14ac:dyDescent="0.3">
      <c r="A352" s="128">
        <v>45996</v>
      </c>
      <c r="B352" s="79" t="s">
        <v>138</v>
      </c>
      <c r="C352" s="80" t="s">
        <v>159</v>
      </c>
      <c r="D352" s="79" t="s">
        <v>385</v>
      </c>
      <c r="E352" s="129">
        <v>1.3784722222222221</v>
      </c>
      <c r="F352" s="79" t="s">
        <v>140</v>
      </c>
      <c r="G352" s="81">
        <v>9</v>
      </c>
      <c r="H352" s="130">
        <v>723</v>
      </c>
      <c r="I352" s="27"/>
    </row>
    <row r="353" spans="1:9" ht="19.8" customHeight="1" x14ac:dyDescent="0.3">
      <c r="A353" s="128">
        <v>45996</v>
      </c>
      <c r="B353" s="79" t="s">
        <v>138</v>
      </c>
      <c r="C353" s="80" t="s">
        <v>167</v>
      </c>
      <c r="D353" s="79" t="s">
        <v>385</v>
      </c>
      <c r="E353" s="129">
        <v>1.6111111111111109</v>
      </c>
      <c r="F353" s="79" t="s">
        <v>140</v>
      </c>
      <c r="G353" s="81">
        <v>9</v>
      </c>
      <c r="H353" s="130">
        <v>723</v>
      </c>
      <c r="I353" s="27"/>
    </row>
    <row r="354" spans="1:9" ht="19.8" customHeight="1" x14ac:dyDescent="0.3">
      <c r="A354" s="128">
        <v>45996</v>
      </c>
      <c r="B354" s="79" t="s">
        <v>138</v>
      </c>
      <c r="C354" s="80" t="s">
        <v>178</v>
      </c>
      <c r="D354" s="79" t="s">
        <v>385</v>
      </c>
      <c r="E354" s="129">
        <v>1.239583333333333</v>
      </c>
      <c r="F354" s="79" t="s">
        <v>140</v>
      </c>
      <c r="G354" s="81">
        <v>9</v>
      </c>
      <c r="H354" s="130">
        <v>723</v>
      </c>
      <c r="I354" s="27"/>
    </row>
    <row r="355" spans="1:9" ht="19.8" customHeight="1" x14ac:dyDescent="0.3">
      <c r="A355" s="128">
        <v>45996</v>
      </c>
      <c r="B355" s="79" t="s">
        <v>26</v>
      </c>
      <c r="C355" s="80" t="s">
        <v>175</v>
      </c>
      <c r="D355" s="79" t="s">
        <v>385</v>
      </c>
      <c r="E355" s="129">
        <v>1.9375</v>
      </c>
      <c r="F355" s="79" t="s">
        <v>28</v>
      </c>
      <c r="G355" s="81">
        <v>9</v>
      </c>
      <c r="H355" s="130">
        <v>781</v>
      </c>
      <c r="I355" s="27"/>
    </row>
    <row r="356" spans="1:9" ht="19.8" customHeight="1" x14ac:dyDescent="0.3">
      <c r="A356" s="128">
        <v>45996</v>
      </c>
      <c r="B356" s="79" t="s">
        <v>41</v>
      </c>
      <c r="C356" s="80" t="s">
        <v>109</v>
      </c>
      <c r="D356" s="79" t="s">
        <v>385</v>
      </c>
      <c r="E356" s="129">
        <v>1.770833333333333</v>
      </c>
      <c r="F356" s="79" t="s">
        <v>111</v>
      </c>
      <c r="G356" s="81">
        <v>9</v>
      </c>
      <c r="H356" s="130">
        <v>795</v>
      </c>
      <c r="I356" s="27"/>
    </row>
    <row r="357" spans="1:9" ht="19.8" customHeight="1" x14ac:dyDescent="0.3">
      <c r="A357" s="128">
        <v>45996</v>
      </c>
      <c r="B357" s="79" t="s">
        <v>138</v>
      </c>
      <c r="C357" s="80" t="s">
        <v>142</v>
      </c>
      <c r="D357" s="79" t="s">
        <v>385</v>
      </c>
      <c r="E357" s="129">
        <v>1.006944444444444</v>
      </c>
      <c r="F357" s="79" t="s">
        <v>143</v>
      </c>
      <c r="G357" s="81">
        <v>9</v>
      </c>
      <c r="H357" s="130">
        <v>935</v>
      </c>
      <c r="I357" s="27"/>
    </row>
    <row r="358" spans="1:9" ht="19.8" customHeight="1" x14ac:dyDescent="0.3">
      <c r="A358" s="128">
        <v>45996</v>
      </c>
      <c r="B358" s="79" t="s">
        <v>138</v>
      </c>
      <c r="C358" s="80" t="s">
        <v>150</v>
      </c>
      <c r="D358" s="79" t="s">
        <v>385</v>
      </c>
      <c r="E358" s="129">
        <v>1.930555555555556</v>
      </c>
      <c r="F358" s="79" t="s">
        <v>143</v>
      </c>
      <c r="G358" s="81">
        <v>9</v>
      </c>
      <c r="H358" s="130">
        <v>935</v>
      </c>
      <c r="I358" s="27"/>
    </row>
    <row r="359" spans="1:9" ht="19.8" customHeight="1" x14ac:dyDescent="0.3">
      <c r="A359" s="128">
        <v>45996</v>
      </c>
      <c r="B359" s="79" t="s">
        <v>138</v>
      </c>
      <c r="C359" s="80" t="s">
        <v>142</v>
      </c>
      <c r="D359" s="79" t="s">
        <v>385</v>
      </c>
      <c r="E359" s="129">
        <v>1.006944444444444</v>
      </c>
      <c r="F359" s="79" t="s">
        <v>140</v>
      </c>
      <c r="G359" s="81">
        <v>9</v>
      </c>
      <c r="H359" s="130">
        <v>980</v>
      </c>
      <c r="I359" s="27"/>
    </row>
    <row r="360" spans="1:9" ht="19.8" customHeight="1" x14ac:dyDescent="0.3">
      <c r="A360" s="128">
        <v>45996</v>
      </c>
      <c r="B360" s="79" t="s">
        <v>138</v>
      </c>
      <c r="C360" s="80" t="s">
        <v>150</v>
      </c>
      <c r="D360" s="79" t="s">
        <v>385</v>
      </c>
      <c r="E360" s="129">
        <v>1.930555555555556</v>
      </c>
      <c r="F360" s="79" t="s">
        <v>140</v>
      </c>
      <c r="G360" s="81">
        <v>9</v>
      </c>
      <c r="H360" s="130">
        <v>980</v>
      </c>
      <c r="I360" s="27"/>
    </row>
    <row r="361" spans="1:9" ht="19.8" customHeight="1" x14ac:dyDescent="0.3">
      <c r="A361" s="128">
        <v>45996</v>
      </c>
      <c r="B361" s="79" t="s">
        <v>47</v>
      </c>
      <c r="C361" s="80" t="s">
        <v>48</v>
      </c>
      <c r="D361" s="79" t="s">
        <v>385</v>
      </c>
      <c r="E361" s="129">
        <v>1.1284722222222221</v>
      </c>
      <c r="F361" s="79" t="s">
        <v>55</v>
      </c>
      <c r="G361" s="81">
        <v>6</v>
      </c>
      <c r="H361" s="86" t="s">
        <v>56</v>
      </c>
      <c r="I361" s="27"/>
    </row>
    <row r="362" spans="1:9" ht="19.8" customHeight="1" x14ac:dyDescent="0.3">
      <c r="A362" s="128">
        <v>45996</v>
      </c>
      <c r="B362" s="79" t="s">
        <v>47</v>
      </c>
      <c r="C362" s="80" t="s">
        <v>57</v>
      </c>
      <c r="D362" s="79" t="s">
        <v>385</v>
      </c>
      <c r="E362" s="129">
        <v>1.302083333333333</v>
      </c>
      <c r="F362" s="79" t="s">
        <v>55</v>
      </c>
      <c r="G362" s="81">
        <v>5</v>
      </c>
      <c r="H362" s="86" t="s">
        <v>56</v>
      </c>
      <c r="I362" s="27"/>
    </row>
    <row r="363" spans="1:9" ht="19.8" customHeight="1" x14ac:dyDescent="0.3">
      <c r="A363" s="128">
        <v>45996</v>
      </c>
      <c r="B363" s="79" t="s">
        <v>47</v>
      </c>
      <c r="C363" s="80" t="s">
        <v>60</v>
      </c>
      <c r="D363" s="79" t="s">
        <v>385</v>
      </c>
      <c r="E363" s="129">
        <v>1.8888888888888891</v>
      </c>
      <c r="F363" s="79" t="s">
        <v>55</v>
      </c>
      <c r="G363" s="81">
        <v>1</v>
      </c>
      <c r="H363" s="86" t="s">
        <v>56</v>
      </c>
      <c r="I363" s="27"/>
    </row>
    <row r="364" spans="1:9" ht="19.8" customHeight="1" x14ac:dyDescent="0.3">
      <c r="A364" s="128">
        <v>45996</v>
      </c>
      <c r="B364" s="79" t="s">
        <v>47</v>
      </c>
      <c r="C364" s="80" t="s">
        <v>63</v>
      </c>
      <c r="D364" s="79" t="s">
        <v>385</v>
      </c>
      <c r="E364" s="129">
        <v>1.788194444444444</v>
      </c>
      <c r="F364" s="79" t="s">
        <v>55</v>
      </c>
      <c r="G364" s="81">
        <v>7</v>
      </c>
      <c r="H364" s="86" t="s">
        <v>56</v>
      </c>
      <c r="I364" s="27"/>
    </row>
    <row r="365" spans="1:9" ht="19.8" customHeight="1" x14ac:dyDescent="0.3">
      <c r="A365" s="128">
        <v>45996</v>
      </c>
      <c r="B365" s="79" t="s">
        <v>138</v>
      </c>
      <c r="C365" s="80" t="s">
        <v>158</v>
      </c>
      <c r="D365" s="79" t="s">
        <v>385</v>
      </c>
      <c r="E365" s="129">
        <v>1.302083333333333</v>
      </c>
      <c r="F365" s="79" t="s">
        <v>140</v>
      </c>
      <c r="G365" s="81">
        <v>4</v>
      </c>
      <c r="H365" s="86" t="s">
        <v>290</v>
      </c>
      <c r="I365" s="27"/>
    </row>
    <row r="366" spans="1:9" ht="19.8" customHeight="1" x14ac:dyDescent="0.3">
      <c r="A366" s="128">
        <v>45996</v>
      </c>
      <c r="B366" s="79" t="s">
        <v>138</v>
      </c>
      <c r="C366" s="80" t="s">
        <v>139</v>
      </c>
      <c r="D366" s="79" t="s">
        <v>385</v>
      </c>
      <c r="E366" s="129">
        <v>1.8888888888888891</v>
      </c>
      <c r="F366" s="79" t="s">
        <v>140</v>
      </c>
      <c r="G366" s="81">
        <v>4</v>
      </c>
      <c r="H366" s="86" t="s">
        <v>207</v>
      </c>
      <c r="I366" s="27"/>
    </row>
    <row r="367" spans="1:9" ht="19.8" customHeight="1" x14ac:dyDescent="0.3">
      <c r="A367" s="128">
        <v>45996</v>
      </c>
      <c r="B367" s="79" t="s">
        <v>138</v>
      </c>
      <c r="C367" s="80" t="s">
        <v>161</v>
      </c>
      <c r="D367" s="79" t="s">
        <v>385</v>
      </c>
      <c r="E367" s="129">
        <v>1.1284722222222221</v>
      </c>
      <c r="F367" s="79" t="s">
        <v>140</v>
      </c>
      <c r="G367" s="81">
        <v>4</v>
      </c>
      <c r="H367" s="86" t="s">
        <v>207</v>
      </c>
      <c r="I367" s="27"/>
    </row>
    <row r="368" spans="1:9" ht="19.8" customHeight="1" x14ac:dyDescent="0.3">
      <c r="A368" s="128">
        <v>45996</v>
      </c>
      <c r="B368" s="79" t="s">
        <v>138</v>
      </c>
      <c r="C368" s="80" t="s">
        <v>166</v>
      </c>
      <c r="D368" s="79" t="s">
        <v>385</v>
      </c>
      <c r="E368" s="129">
        <v>1.788194444444444</v>
      </c>
      <c r="F368" s="79" t="s">
        <v>140</v>
      </c>
      <c r="G368" s="81">
        <v>4</v>
      </c>
      <c r="H368" s="86" t="s">
        <v>207</v>
      </c>
      <c r="I368" s="27"/>
    </row>
    <row r="369" spans="1:9" ht="19.8" customHeight="1" x14ac:dyDescent="0.3">
      <c r="A369" s="128">
        <v>45996</v>
      </c>
      <c r="B369" s="79" t="s">
        <v>138</v>
      </c>
      <c r="C369" s="80" t="s">
        <v>156</v>
      </c>
      <c r="D369" s="79" t="s">
        <v>385</v>
      </c>
      <c r="E369" s="129">
        <v>1.8298611111111109</v>
      </c>
      <c r="F369" s="79" t="s">
        <v>143</v>
      </c>
      <c r="G369" s="81">
        <v>9</v>
      </c>
      <c r="H369" s="86" t="s">
        <v>144</v>
      </c>
      <c r="I369" s="27"/>
    </row>
    <row r="370" spans="1:9" ht="19.8" customHeight="1" x14ac:dyDescent="0.3">
      <c r="A370" s="131">
        <v>45996</v>
      </c>
      <c r="B370" s="87" t="s">
        <v>138</v>
      </c>
      <c r="C370" s="88" t="s">
        <v>156</v>
      </c>
      <c r="D370" s="87" t="s">
        <v>385</v>
      </c>
      <c r="E370" s="132">
        <v>1.8298611111111109</v>
      </c>
      <c r="F370" s="87" t="s">
        <v>140</v>
      </c>
      <c r="G370" s="89">
        <v>9</v>
      </c>
      <c r="H370" s="90" t="s">
        <v>145</v>
      </c>
      <c r="I370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2025-11-29T10:23:06Z</dcterms:created>
  <dcterms:modified xsi:type="dcterms:W3CDTF">2025-11-29T10:23:34Z</dcterms:modified>
</cp:coreProperties>
</file>