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C698030-5F33-4FDF-B08C-9A985E25B7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9" i="2" l="1"/>
  <c r="E99" i="2"/>
  <c r="G99" i="2"/>
  <c r="H99" i="2"/>
  <c r="I99" i="2"/>
  <c r="J99" i="2"/>
  <c r="M99" i="2"/>
  <c r="N99" i="2"/>
  <c r="O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5" authorId="0" shapeId="0" xr:uid="{49571C93-F49A-48F8-AB69-D81BE4241B1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B25" authorId="0" shapeId="0" xr:uid="{968EAF28-56BC-4F50-BBD3-D75200742BC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C25" authorId="0" shapeId="0" xr:uid="{4FBBAC03-E2E4-4DC7-BA78-FBB195AB15E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D25" authorId="0" shapeId="0" xr:uid="{43459E74-061E-4241-A1AE-E717BAA7D2E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E25" authorId="0" shapeId="0" xr:uid="{9B4A04CE-3867-48CE-AE9B-C6EDF9BB298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F25" authorId="0" shapeId="0" xr:uid="{5BD2DB9F-2929-4481-8AD7-E74200ABAFE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G25" authorId="0" shapeId="0" xr:uid="{3D3DA68C-B858-4CF0-BEC3-FD644E00AC1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H25" authorId="0" shapeId="0" xr:uid="{1E47C19E-5C84-4188-8A24-EB4A439A4A4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A37" authorId="0" shapeId="0" xr:uid="{DCFFAE83-FBE8-4888-A84B-9F932AE44B7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B37" authorId="0" shapeId="0" xr:uid="{BC2B7211-7787-4029-B89C-D287A1A6513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C37" authorId="0" shapeId="0" xr:uid="{C4946691-916E-4DFD-A4EC-EA8F0290AE8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D37" authorId="0" shapeId="0" xr:uid="{BECDBA0B-C979-4EA6-A41D-A6ED0A1842B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E37" authorId="0" shapeId="0" xr:uid="{E4C214D8-AB1A-4ACF-99B5-ED4DC3DACF4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F37" authorId="0" shapeId="0" xr:uid="{A6DC90EC-EEF3-474F-A83E-E31C0CEAFE3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G37" authorId="0" shapeId="0" xr:uid="{2828C90A-6727-48EB-83AC-A5C8FFFB21E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H37" authorId="0" shapeId="0" xr:uid="{9A2C422C-34B9-40CC-BD11-37098AFBDF7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A47" authorId="0" shapeId="0" xr:uid="{510D2298-F631-4300-99FB-6CD63ABB63F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B47" authorId="0" shapeId="0" xr:uid="{43AAA821-187E-4819-B8C1-9905B8015E8A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C47" authorId="0" shapeId="0" xr:uid="{10D45585-2EEC-4057-B571-001FEE98695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D47" authorId="0" shapeId="0" xr:uid="{F8105626-99B8-4FC4-93C3-C3812D3E8258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E47" authorId="0" shapeId="0" xr:uid="{39C20571-3330-42B3-BF6B-7758BEB8DFE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F47" authorId="0" shapeId="0" xr:uid="{FFB77C6A-CE87-44D1-91E6-DF099C9F1CB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G47" authorId="0" shapeId="0" xr:uid="{10419A8D-AC38-48B1-BE58-18597771FA9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H47" authorId="0" shapeId="0" xr:uid="{FD1CE165-B03E-4BD7-96E2-AB63BBD90B8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A48" authorId="0" shapeId="0" xr:uid="{F04A13B9-EEA5-4000-9877-090DF13DCBB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B48" authorId="0" shapeId="0" xr:uid="{E237B83A-1101-44A2-80E4-E4C0B9B0A67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C48" authorId="0" shapeId="0" xr:uid="{B41847C7-0460-4FC8-ABDB-2694C80F158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D48" authorId="0" shapeId="0" xr:uid="{ED46BD3F-79E1-445A-934E-61E7FB494AE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E48" authorId="0" shapeId="0" xr:uid="{617BC1D7-332F-4BF1-AA5F-A97390B18A3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F48" authorId="0" shapeId="0" xr:uid="{6BE685AC-195B-4F25-8204-B7CD27F3E2F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G48" authorId="0" shapeId="0" xr:uid="{D1660B26-822A-40E3-8D39-F3189C38769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H48" authorId="0" shapeId="0" xr:uid="{5500AE70-EAB8-4A84-B015-765C083EED1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A99" authorId="0" shapeId="0" xr:uid="{322B089B-321E-49F6-9218-C20D6D29899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B99" authorId="0" shapeId="0" xr:uid="{10D3267F-3953-4078-9F53-DD775551CDE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C99" authorId="0" shapeId="0" xr:uid="{C8D8760F-B7C6-4BBC-931D-ECBDD7ABF79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D99" authorId="0" shapeId="0" xr:uid="{9750EFF2-B390-43E1-9F8F-81BAE81E033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E99" authorId="0" shapeId="0" xr:uid="{4DC89AE9-F36E-4DF1-9916-D8BDAAD7336A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F99" authorId="0" shapeId="0" xr:uid="{506D00D4-3A7A-4F72-AE98-1741A5919FB4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G99" authorId="0" shapeId="0" xr:uid="{8DA67BC5-1175-41F7-9313-602C415849D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H99" authorId="0" shapeId="0" xr:uid="{44138E3A-D4F6-4A82-AB67-75015790655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A100" authorId="0" shapeId="0" xr:uid="{71F324F0-35CC-4B86-9720-043ABD44F01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B100" authorId="0" shapeId="0" xr:uid="{777E8A00-3515-4104-B44B-BCEF6BC1EB8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C100" authorId="0" shapeId="0" xr:uid="{F92ED654-D46C-45EB-824A-AD8A1988A0A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D100" authorId="0" shapeId="0" xr:uid="{169439FE-D98E-434A-BEB5-7071C0DA919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E100" authorId="0" shapeId="0" xr:uid="{CD27BB4F-704E-4CA7-BBF7-65ECF806DF0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F100" authorId="0" shapeId="0" xr:uid="{67C9D684-AAB2-45F1-9E67-2194A9F35A9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G100" authorId="0" shapeId="0" xr:uid="{E1C96910-9330-4CB4-8EAC-D6E4DE56A4D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H100" authorId="0" shapeId="0" xr:uid="{53811EC9-20CF-49A5-965B-086EEF38812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A101" authorId="0" shapeId="0" xr:uid="{F7CE9F00-6898-4AEA-BFA8-9684EE3AE30D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B101" authorId="0" shapeId="0" xr:uid="{C44AA1EA-1664-4E2F-8F1F-7EF1F3DF547B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C101" authorId="0" shapeId="0" xr:uid="{FD7D4959-F89B-4557-9E8F-64A24F6C584C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D101" authorId="0" shapeId="0" xr:uid="{963440F6-FA43-45AA-B4D6-AA3EF429B634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E101" authorId="0" shapeId="0" xr:uid="{A625E8BE-E568-4E15-8A67-76E61DA9F87F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F101" authorId="0" shapeId="0" xr:uid="{E3BE3AF4-40B7-490C-A297-A8DC3A781AD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G101" authorId="0" shapeId="0" xr:uid="{498DAF0A-38F5-492E-9FF3-B15E40FBB53C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H101" authorId="0" shapeId="0" xr:uid="{E4E5F37B-DD7E-4450-A35E-956AE016FBA9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A102" authorId="0" shapeId="0" xr:uid="{323B8D25-A767-4894-BBC4-EEDC965FF09B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B102" authorId="0" shapeId="0" xr:uid="{53E71D85-13AB-498A-88E7-F74384AEAFEA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C102" authorId="0" shapeId="0" xr:uid="{B559D090-A557-4CEB-80DE-315F0CE79AAB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D102" authorId="0" shapeId="0" xr:uid="{D2AC7B4F-E0F4-4C3A-BAD7-09A106E4766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E102" authorId="0" shapeId="0" xr:uid="{E3102FEB-A6E7-4396-9D4E-9AE0F98F4AED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F102" authorId="0" shapeId="0" xr:uid="{2A2EC6E6-A62F-426F-B6A6-4BA64FAF688E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G102" authorId="0" shapeId="0" xr:uid="{E980FB07-1776-4F5B-87B9-2CE80696B76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H102" authorId="0" shapeId="0" xr:uid="{6A555715-0555-4041-BF94-4EA077588C5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A103" authorId="0" shapeId="0" xr:uid="{D39610D8-B2CC-4943-B2F8-3C6A9C907C3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B103" authorId="0" shapeId="0" xr:uid="{D75BF04E-F261-4E53-B47D-C9E0DE4D7A83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C103" authorId="0" shapeId="0" xr:uid="{38FAEE53-ADEE-456B-84E1-ED21165FA06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D103" authorId="0" shapeId="0" xr:uid="{A17E6024-337C-4580-BE4D-D18B32B4677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E103" authorId="0" shapeId="0" xr:uid="{2E699407-149B-4AD1-8B04-2BA91358D06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F103" authorId="0" shapeId="0" xr:uid="{EB3F174C-2F58-4C47-8C1F-7FC6B60DC64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G103" authorId="0" shapeId="0" xr:uid="{80F1585B-C5B9-4A43-B7AA-A29ADECE98F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H103" authorId="0" shapeId="0" xr:uid="{D34CB6BB-3D65-4D1F-8220-13E833657EB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A109" authorId="0" shapeId="0" xr:uid="{50A58685-1487-4196-86D6-0040537D16F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B109" authorId="0" shapeId="0" xr:uid="{3F252A24-9F59-4EEA-8981-19A8797DE5D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C109" authorId="0" shapeId="0" xr:uid="{746989B7-D6E1-4EAC-AB74-FF8939FB8D3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D109" authorId="0" shapeId="0" xr:uid="{7268344A-DDC0-4673-A6CC-7C7AE9BBA3E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E109" authorId="0" shapeId="0" xr:uid="{C4FB79D6-E1BB-4E47-9B47-0F749B4A156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F109" authorId="0" shapeId="0" xr:uid="{F0373405-B92B-42EF-B2A0-4DA48214D94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G109" authorId="0" shapeId="0" xr:uid="{3E5E5C6E-AFB3-4A98-A0F1-67E834A619C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H109" authorId="0" shapeId="0" xr:uid="{9F5DDCFB-538E-4A2A-A70B-F684BC1B5CA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A189" authorId="0" shapeId="0" xr:uid="{63A87368-9B55-4C10-A9DD-1BDE90DA9FC0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B189" authorId="0" shapeId="0" xr:uid="{06EF336B-63C1-4A60-A4B5-F314E5D091E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C189" authorId="0" shapeId="0" xr:uid="{DFA4F970-23B7-4AD3-AE49-4B0DE45E090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D189" authorId="0" shapeId="0" xr:uid="{8526C969-43C0-4F8F-A083-176B66AC938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E189" authorId="0" shapeId="0" xr:uid="{9A0C6C26-3C57-4E1A-A5E6-8A93A4A64B4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F189" authorId="0" shapeId="0" xr:uid="{F5841A7C-A4E3-48D2-9739-19030EFDA6B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G189" authorId="0" shapeId="0" xr:uid="{0349FE77-9514-4916-A0D3-C63CDBB793A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H189" authorId="0" shapeId="0" xr:uid="{BDCD6DE3-6738-483C-97A0-EAD4105AFDD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A190" authorId="0" shapeId="0" xr:uid="{0ACFACBC-DCA7-484D-99A8-3E9874E7146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B190" authorId="0" shapeId="0" xr:uid="{E20597A0-7196-426B-A132-6045D0B36BD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C190" authorId="0" shapeId="0" xr:uid="{C95262B8-CABF-4118-A6C5-36189B20C26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D190" authorId="0" shapeId="0" xr:uid="{E202091D-ED27-49AC-B653-4DE8C9F37DB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E190" authorId="0" shapeId="0" xr:uid="{17D28F8A-1B2C-4C60-9BA4-579AD02B477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F190" authorId="0" shapeId="0" xr:uid="{6D421F88-0EE0-43A5-A985-360832CAA9E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G190" authorId="0" shapeId="0" xr:uid="{5BA59BBF-40C8-4D9E-A0EF-13E64578517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H190" authorId="0" shapeId="0" xr:uid="{AB374CB7-096A-49EA-92D7-AEAE4C38AC2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A227" authorId="0" shapeId="0" xr:uid="{280197D1-391C-433F-BE20-B9FC45D6521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B227" authorId="0" shapeId="0" xr:uid="{6DB6694F-F7F7-44DB-83A3-9C304D3C8EA3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C227" authorId="0" shapeId="0" xr:uid="{25398DCD-6C7E-4283-B94B-C4AC456400D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D227" authorId="0" shapeId="0" xr:uid="{A5C7AAEB-6B16-4025-BE4B-DEA82F3B2A2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E227" authorId="0" shapeId="0" xr:uid="{300A97D3-4E7B-45C1-AF00-29FAE3AF5B9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F227" authorId="0" shapeId="0" xr:uid="{5E0C2067-B881-48E1-BBCC-56A4B2D428A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G227" authorId="0" shapeId="0" xr:uid="{24F60E95-15F2-4EBB-A65E-7D2A6CA0D27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H227" authorId="0" shapeId="0" xr:uid="{E2A2A5C7-A586-4F94-B095-D0FB7BB61234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A246" authorId="0" shapeId="0" xr:uid="{5E29B8DB-0EA4-440E-9CF3-37D9D87C84CA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B246" authorId="0" shapeId="0" xr:uid="{58CA178E-9374-4BAB-AA88-97A3E781FD2D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C246" authorId="0" shapeId="0" xr:uid="{60FAF70B-2754-4919-A037-E46550F19C4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D246" authorId="0" shapeId="0" xr:uid="{02B9B006-0B77-466D-982E-4A949CDE660D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E246" authorId="0" shapeId="0" xr:uid="{59AE0EA9-90FD-49A6-A50A-788ADE4DC07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F246" authorId="0" shapeId="0" xr:uid="{17664F25-6D54-474A-AD70-5FAE56D3E3FA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G246" authorId="0" shapeId="0" xr:uid="{1C4C1FDD-AEB2-4C7E-BE60-94B9C13BD6F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H246" authorId="0" shapeId="0" xr:uid="{38AA2452-013E-4366-9333-62B95D461CE4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A247" authorId="0" shapeId="0" xr:uid="{6F890628-65A1-4B88-87D7-4C96B9AE8B52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B247" authorId="0" shapeId="0" xr:uid="{3E23E26B-902A-45D3-B399-3E4E80B5C51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C247" authorId="0" shapeId="0" xr:uid="{A9F228DC-88E5-4B15-93D3-40CDBC6D0421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D247" authorId="0" shapeId="0" xr:uid="{4E39D97D-6CB9-4D42-8F8F-E9D3CA94DCC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E247" authorId="0" shapeId="0" xr:uid="{D2326AB6-FBF5-4F33-A593-05AF700FB2D4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F247" authorId="0" shapeId="0" xr:uid="{E2211803-03D7-45C7-8242-49774110078F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G247" authorId="0" shapeId="0" xr:uid="{9B2C4075-CA29-48AB-B0F3-FA55D8C41A38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H247" authorId="0" shapeId="0" xr:uid="{36430EE6-05B1-4813-8543-2B8D55254189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A248" authorId="0" shapeId="0" xr:uid="{C243837A-A555-4B7D-A866-D128B0679240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B248" authorId="0" shapeId="0" xr:uid="{21B70201-2340-4289-81CB-B64CCA68A11F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C248" authorId="0" shapeId="0" xr:uid="{5BF089B1-84C1-4E05-B890-606EF4BD41F1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D248" authorId="0" shapeId="0" xr:uid="{1F054C36-9993-4271-A656-EB02EA5CC80F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E248" authorId="0" shapeId="0" xr:uid="{182A4463-ECFD-4896-816B-562E5A3404AA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F248" authorId="0" shapeId="0" xr:uid="{D43B359D-5049-4C5F-BADF-4D5CE2150F3E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G248" authorId="0" shapeId="0" xr:uid="{BBEDD942-1418-4CE8-98AC-C796CDAB42E3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H248" authorId="0" shapeId="0" xr:uid="{C318EFAA-2AA3-43A9-96D1-CCADD35640A8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A249" authorId="0" shapeId="0" xr:uid="{F8C12AB7-082A-4C6A-AD28-E34EF25A95C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B249" authorId="0" shapeId="0" xr:uid="{63419913-7D19-47DC-B13C-21173264A75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C249" authorId="0" shapeId="0" xr:uid="{E5A71938-206B-48F0-B6C9-620ADBE55C9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D249" authorId="0" shapeId="0" xr:uid="{2BFD8F1A-202D-4762-949D-6DBDC4D6A8E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E249" authorId="0" shapeId="0" xr:uid="{DC7E125E-144A-40F9-BB10-A97E3DF31C7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F249" authorId="0" shapeId="0" xr:uid="{681E0068-FCBD-4439-BB18-76CD42A8AB1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G249" authorId="0" shapeId="0" xr:uid="{F1D1E77C-DFC5-4B20-B55A-07A8624A5FD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H249" authorId="0" shapeId="0" xr:uid="{B77138C9-47F0-4F40-8FDF-94FDE6BE813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A250" authorId="0" shapeId="0" xr:uid="{3E40DADA-DC1C-4321-9238-842C39664194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B250" authorId="0" shapeId="0" xr:uid="{99F47A19-95A5-48C3-A1E9-793F08933ECB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C250" authorId="0" shapeId="0" xr:uid="{9BC47237-D6D9-443D-8456-C53F54F2BBF0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D250" authorId="0" shapeId="0" xr:uid="{AA1806E8-DC07-48AA-BE55-771D98E91A45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E250" authorId="0" shapeId="0" xr:uid="{6A106E6A-DD73-4A7A-8EA9-02C6C0F938DE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F250" authorId="0" shapeId="0" xr:uid="{64912E2F-75A9-4167-AFD7-0B228FA42CE4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G250" authorId="0" shapeId="0" xr:uid="{58FB304E-7F24-441B-99C3-F5E3FAEEE7BD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H250" authorId="0" shapeId="0" xr:uid="{9546EA4B-4EA5-4F06-AF79-947DA2AD101A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A251" authorId="0" shapeId="0" xr:uid="{68D996EE-19C4-4F27-98BE-AE8F8099CE3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B251" authorId="0" shapeId="0" xr:uid="{DE601DE1-C044-4E0A-A982-05D8F4876B1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C251" authorId="0" shapeId="0" xr:uid="{21B63415-CB9E-4940-8BD8-238674142F1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D251" authorId="0" shapeId="0" xr:uid="{BA274135-073E-4AD3-806C-FA396E48378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E251" authorId="0" shapeId="0" xr:uid="{CC038B4E-6211-4908-BD4A-E36A4085023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F251" authorId="0" shapeId="0" xr:uid="{B8BD7AA4-F58E-4639-ADAB-7C3B84D8A74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G251" authorId="0" shapeId="0" xr:uid="{5600BD3B-41B5-41E2-A971-03333E5390E0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H251" authorId="0" shapeId="0" xr:uid="{FEAEE173-C523-4FA9-B58D-A3CFD0CB258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A252" authorId="0" shapeId="0" xr:uid="{219F9A82-99EB-4A3B-A7C4-BD2DD39657E4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B252" authorId="0" shapeId="0" xr:uid="{D5AC36F3-2490-4FF0-AF0C-703A898AD4C4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C252" authorId="0" shapeId="0" xr:uid="{C6536F72-D28B-4831-959F-BA8B2247B7A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D252" authorId="0" shapeId="0" xr:uid="{D4B626D1-DAF8-4113-8742-3D830FE3199D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E252" authorId="0" shapeId="0" xr:uid="{FD5034CF-CB84-4845-9D68-61BD24DF71A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F252" authorId="0" shapeId="0" xr:uid="{D0160541-F557-4831-99F8-D02D473C1BA4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G252" authorId="0" shapeId="0" xr:uid="{2443EE26-5E07-46A8-B250-F1E394B7A81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H252" authorId="0" shapeId="0" xr:uid="{4AB99133-5468-4828-BBAC-C32C3DA09B05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A267" authorId="0" shapeId="0" xr:uid="{A5C29BED-0C3C-4CD4-84E2-0DAAADF9E7E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21 PAX] - [TO-DAY » NIL] - [Y-DAY » NIL]_x000D_
[LOWESTAVAIL » I8] - [CAPACITY » 179] - [LST-SOLD » 25-NOV]_x000D_
{CLASSES}_x000D_
U5 &amp; O20 &amp; I22 &amp; P46</t>
        </r>
      </text>
    </comment>
    <comment ref="B267" authorId="0" shapeId="0" xr:uid="{E3BDAF9D-45EE-47C5-B2F5-7AA6962F1DE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21 PAX] - [TO-DAY » NIL] - [Y-DAY » NIL]_x000D_
[LOWESTAVAIL » I8] - [CAPACITY » 179] - [LST-SOLD » 25-NOV]_x000D_
{CLASSES}_x000D_
U5 &amp; O20 &amp; I22 &amp; P46</t>
        </r>
      </text>
    </comment>
    <comment ref="C267" authorId="0" shapeId="0" xr:uid="{1BA9F681-0D4D-42E8-909F-00BD5B8447C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21 PAX] - [TO-DAY » NIL] - [Y-DAY » NIL]_x000D_
[LOWESTAVAIL » I8] - [CAPACITY » 179] - [LST-SOLD » 25-NOV]_x000D_
{CLASSES}_x000D_
U5 &amp; O20 &amp; I22 &amp; P46</t>
        </r>
      </text>
    </comment>
    <comment ref="D267" authorId="0" shapeId="0" xr:uid="{09967700-7DAF-4AD1-9CA2-B1853C54C93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21 PAX] - [TO-DAY » NIL] - [Y-DAY » NIL]_x000D_
[LOWESTAVAIL » I8] - [CAPACITY » 179] - [LST-SOLD » 25-NOV]_x000D_
{CLASSES}_x000D_
U5 &amp; O20 &amp; I22 &amp; P46</t>
        </r>
      </text>
    </comment>
    <comment ref="E267" authorId="0" shapeId="0" xr:uid="{ACB0F571-1104-4ED0-AAFA-94FB8A9975F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21 PAX] - [TO-DAY » NIL] - [Y-DAY » NIL]_x000D_
[LOWESTAVAIL » I8] - [CAPACITY » 179] - [LST-SOLD » 25-NOV]_x000D_
{CLASSES}_x000D_
U5 &amp; O20 &amp; I22 &amp; P46</t>
        </r>
      </text>
    </comment>
    <comment ref="F267" authorId="0" shapeId="0" xr:uid="{B2150BAE-D1BF-4EBB-87ED-46BC36C039FD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21 PAX] - [TO-DAY » NIL] - [Y-DAY » NIL]_x000D_
[LOWESTAVAIL » I8] - [CAPACITY » 179] - [LST-SOLD » 25-NOV]_x000D_
{CLASSES}_x000D_
U5 &amp; O20 &amp; I22 &amp; P46</t>
        </r>
      </text>
    </comment>
    <comment ref="G267" authorId="0" shapeId="0" xr:uid="{B4867420-376C-4C34-8792-D9EF3454054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21 PAX] - [TO-DAY » NIL] - [Y-DAY » NIL]_x000D_
[LOWESTAVAIL » I8] - [CAPACITY » 179] - [LST-SOLD » 25-NOV]_x000D_
{CLASSES}_x000D_
U5 &amp; O20 &amp; I22 &amp; P46</t>
        </r>
      </text>
    </comment>
    <comment ref="H267" authorId="0" shapeId="0" xr:uid="{54B95544-EDC5-41AC-A440-060559740DB5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21 PAX] - [TO-DAY » NIL] - [Y-DAY » NIL]_x000D_
[LOWESTAVAIL » I8] - [CAPACITY » 179] - [LST-SOLD » 25-NOV]_x000D_
{CLASSES}_x000D_
U5 &amp; O20 &amp; I22 &amp; P46</t>
        </r>
      </text>
    </comment>
    <comment ref="A268" authorId="0" shapeId="0" xr:uid="{BD175E32-8CD9-44A6-AE8E-D9D74E8320AC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17 PAX] - [TO-DAY » 1 PAX] - [Y-DAY » NIL]_x000D_
[LOWESTAVAIL » I9] - [CAPACITY » 179] - [LST-SOLD » 29-NOV]_x000D_
{CLASSES}_x000D_
S1 &amp; O12 &amp; I31</t>
        </r>
      </text>
    </comment>
    <comment ref="B268" authorId="0" shapeId="0" xr:uid="{93BAD495-E780-4691-BC43-EE9DE78D27C4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17 PAX] - [TO-DAY » 1 PAX] - [Y-DAY » NIL]_x000D_
[LOWESTAVAIL » I9] - [CAPACITY » 179] - [LST-SOLD » 29-NOV]_x000D_
{CLASSES}_x000D_
S1 &amp; O12 &amp; I31</t>
        </r>
      </text>
    </comment>
    <comment ref="C268" authorId="0" shapeId="0" xr:uid="{EB5CE9F8-351D-45DE-B9E6-7DF6BE3D186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17 PAX] - [TO-DAY » 1 PAX] - [Y-DAY » NIL]_x000D_
[LOWESTAVAIL » I9] - [CAPACITY » 179] - [LST-SOLD » 29-NOV]_x000D_
{CLASSES}_x000D_
S1 &amp; O12 &amp; I31</t>
        </r>
      </text>
    </comment>
    <comment ref="D268" authorId="0" shapeId="0" xr:uid="{19DF91BF-8101-43EC-A7B9-96D4D424915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17 PAX] - [TO-DAY » 1 PAX] - [Y-DAY » NIL]_x000D_
[LOWESTAVAIL » I9] - [CAPACITY » 179] - [LST-SOLD » 29-NOV]_x000D_
{CLASSES}_x000D_
S1 &amp; O12 &amp; I31</t>
        </r>
      </text>
    </comment>
    <comment ref="E268" authorId="0" shapeId="0" xr:uid="{5561D367-5C00-4A34-8290-5BB2E059988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17 PAX] - [TO-DAY » 1 PAX] - [Y-DAY » NIL]_x000D_
[LOWESTAVAIL » I9] - [CAPACITY » 179] - [LST-SOLD » 29-NOV]_x000D_
{CLASSES}_x000D_
S1 &amp; O12 &amp; I31</t>
        </r>
      </text>
    </comment>
    <comment ref="F268" authorId="0" shapeId="0" xr:uid="{5F1A9B44-A2D7-414C-B824-C218C2EC66E3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17 PAX] - [TO-DAY » 1 PAX] - [Y-DAY » NIL]_x000D_
[LOWESTAVAIL » I9] - [CAPACITY » 179] - [LST-SOLD » 29-NOV]_x000D_
{CLASSES}_x000D_
S1 &amp; O12 &amp; I31</t>
        </r>
      </text>
    </comment>
    <comment ref="G268" authorId="0" shapeId="0" xr:uid="{CFF2BBF8-E534-4E6E-9AE0-EA11BA7D6D4A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17 PAX] - [TO-DAY » 1 PAX] - [Y-DAY » NIL]_x000D_
[LOWESTAVAIL » I9] - [CAPACITY » 179] - [LST-SOLD » 29-NOV]_x000D_
{CLASSES}_x000D_
S1 &amp; O12 &amp; I31</t>
        </r>
      </text>
    </comment>
    <comment ref="H268" authorId="0" shapeId="0" xr:uid="{D3EDCBF4-A17B-41AD-B252-43739C8895C2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17 PAX] - [TO-DAY » 1 PAX] - [Y-DAY » NIL]_x000D_
[LOWESTAVAIL » I9] - [CAPACITY » 179] - [LST-SOLD » 29-NOV]_x000D_
{CLASSES}_x000D_
S1 &amp; O12 &amp; I31</t>
        </r>
      </text>
    </comment>
    <comment ref="A272" authorId="0" shapeId="0" xr:uid="{DB8F8DC0-B8EA-42E3-9388-046D76FADC0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B272" authorId="0" shapeId="0" xr:uid="{FBDE584E-9242-4522-978E-2F3D72DF95B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C272" authorId="0" shapeId="0" xr:uid="{5451C00C-474A-4500-9069-F33F273638A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D272" authorId="0" shapeId="0" xr:uid="{EC164797-F9F4-47BE-9A93-868C1DC67070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E272" authorId="0" shapeId="0" xr:uid="{51C3DC0E-C036-463D-984E-BD7678B4015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F272" authorId="0" shapeId="0" xr:uid="{E1E8B387-CEBB-4734-9FF7-8A837BCD77E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G272" authorId="0" shapeId="0" xr:uid="{35D8450A-FFA1-4F46-BF3C-3DCAAA40B19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H272" authorId="0" shapeId="0" xr:uid="{1CB24E1C-E437-4FF5-9B1F-EABE4200010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A273" authorId="0" shapeId="0" xr:uid="{3508461E-E7BD-4843-9C3B-33ED4D29403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B273" authorId="0" shapeId="0" xr:uid="{A1CF9027-258A-4429-88D4-CCE6DBBBE3F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C273" authorId="0" shapeId="0" xr:uid="{C1A2BF7F-20C0-4230-A960-9932B85E195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D273" authorId="0" shapeId="0" xr:uid="{CCFA54FA-F4E6-41FC-9E35-6BE42482DF0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E273" authorId="0" shapeId="0" xr:uid="{F8B4D481-11B3-4774-8B0A-91823786751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F273" authorId="0" shapeId="0" xr:uid="{CDF83DB3-8097-4C9B-B349-27E26F28FBC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G273" authorId="0" shapeId="0" xr:uid="{C2D065E6-B197-4D42-9319-767E98496BC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H273" authorId="0" shapeId="0" xr:uid="{BB5DDB29-EE81-4FED-96A0-48B68586EEF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A280" authorId="0" shapeId="0" xr:uid="{E6BFB425-84AB-488E-80E4-995F5BF803D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B280" authorId="0" shapeId="0" xr:uid="{A9B5D0ED-39DE-43D3-BDD0-54A06B56A965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C280" authorId="0" shapeId="0" xr:uid="{7E6FDADF-9773-4BBE-BE72-FBFFD552F475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D280" authorId="0" shapeId="0" xr:uid="{64924D5B-029E-4E93-B888-559E6E4DAC8C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E280" authorId="0" shapeId="0" xr:uid="{97917F02-0F5F-45F7-A029-F5E6A209FFCE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F280" authorId="0" shapeId="0" xr:uid="{B7F0F6C8-5EAD-4194-82B4-2E971A48FBE0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G280" authorId="0" shapeId="0" xr:uid="{BEB9DFC6-9060-4BA0-A8B9-2831543A6D28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H280" authorId="0" shapeId="0" xr:uid="{FD601B5F-6811-414D-87E6-B3686ADCB394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A311" authorId="0" shapeId="0" xr:uid="{D521BA96-A477-463C-8888-5767F3584F0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B311" authorId="0" shapeId="0" xr:uid="{E34BF69E-14A4-4018-8385-9378087FA1D4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C311" authorId="0" shapeId="0" xr:uid="{C9B45A5A-2FE2-4D92-B44B-1684D349F02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D311" authorId="0" shapeId="0" xr:uid="{FC65FCD8-C35F-4009-99C5-01DDEFB4947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E311" authorId="0" shapeId="0" xr:uid="{62A41355-FECA-418D-ADA9-70065AE06EE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F311" authorId="0" shapeId="0" xr:uid="{1C75DFBD-4AB7-4457-80A2-5E6D05E04D8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G311" authorId="0" shapeId="0" xr:uid="{E1AA6B01-B6AA-48B8-8C87-6B16C825F10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H311" authorId="0" shapeId="0" xr:uid="{95F66755-26AB-44B8-966C-4E2D3686D7E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A340" authorId="0" shapeId="0" xr:uid="{CD3FBEAF-3356-4FE6-83CC-1724067F19DF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12 PAX] - [TO-DAY » NIL] - [Y-DAY » NIL]_x000D_
[LOWESTAVAIL » O3] - [CAPACITY » 179] - [LST-SOLD » 26-NOV]_x000D_
{CLASSES}_x000D_
S1 &amp; U2 &amp; O27 &amp; I10 &amp; P29</t>
        </r>
      </text>
    </comment>
    <comment ref="B340" authorId="0" shapeId="0" xr:uid="{863DD5F4-FC9D-4462-8D2B-18A808081CC4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12 PAX] - [TO-DAY » NIL] - [Y-DAY » NIL]_x000D_
[LOWESTAVAIL » O3] - [CAPACITY » 179] - [LST-SOLD » 26-NOV]_x000D_
{CLASSES}_x000D_
S1 &amp; U2 &amp; O27 &amp; I10 &amp; P29</t>
        </r>
      </text>
    </comment>
    <comment ref="C340" authorId="0" shapeId="0" xr:uid="{7C9CDA95-6237-42D3-84B5-DA8152CEAD84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12 PAX] - [TO-DAY » NIL] - [Y-DAY » NIL]_x000D_
[LOWESTAVAIL » O3] - [CAPACITY » 179] - [LST-SOLD » 26-NOV]_x000D_
{CLASSES}_x000D_
S1 &amp; U2 &amp; O27 &amp; I10 &amp; P29</t>
        </r>
      </text>
    </comment>
    <comment ref="D340" authorId="0" shapeId="0" xr:uid="{6F7CA4B5-92F8-4D67-92FF-66A36EB9C244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12 PAX] - [TO-DAY » NIL] - [Y-DAY » NIL]_x000D_
[LOWESTAVAIL » O3] - [CAPACITY » 179] - [LST-SOLD » 26-NOV]_x000D_
{CLASSES}_x000D_
S1 &amp; U2 &amp; O27 &amp; I10 &amp; P29</t>
        </r>
      </text>
    </comment>
    <comment ref="E340" authorId="0" shapeId="0" xr:uid="{27C44279-CDB2-40B9-BD16-60A1C563DE16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12 PAX] - [TO-DAY » NIL] - [Y-DAY » NIL]_x000D_
[LOWESTAVAIL » O3] - [CAPACITY » 179] - [LST-SOLD » 26-NOV]_x000D_
{CLASSES}_x000D_
S1 &amp; U2 &amp; O27 &amp; I10 &amp; P29</t>
        </r>
      </text>
    </comment>
    <comment ref="F340" authorId="0" shapeId="0" xr:uid="{E3341AD7-CC40-4806-A2AE-38B696B77E3A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12 PAX] - [TO-DAY » NIL] - [Y-DAY » NIL]_x000D_
[LOWESTAVAIL » O3] - [CAPACITY » 179] - [LST-SOLD » 26-NOV]_x000D_
{CLASSES}_x000D_
S1 &amp; U2 &amp; O27 &amp; I10 &amp; P29</t>
        </r>
      </text>
    </comment>
    <comment ref="G340" authorId="0" shapeId="0" xr:uid="{0D34A55D-62A4-4004-87C7-02A20D01DDB7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12 PAX] - [TO-DAY » NIL] - [Y-DAY » NIL]_x000D_
[LOWESTAVAIL » O3] - [CAPACITY » 179] - [LST-SOLD » 26-NOV]_x000D_
{CLASSES}_x000D_
S1 &amp; U2 &amp; O27 &amp; I10 &amp; P29</t>
        </r>
      </text>
    </comment>
    <comment ref="H340" authorId="0" shapeId="0" xr:uid="{A6657E0D-929D-426F-87C1-DAE9B6CB774D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12 PAX] - [TO-DAY » NIL] - [Y-DAY » NIL]_x000D_
[LOWESTAVAIL » O3] - [CAPACITY » 179] - [LST-SOLD » 26-NOV]_x000D_
{CLASSES}_x000D_
S1 &amp; U2 &amp; O27 &amp; I10 &amp; P29</t>
        </r>
      </text>
    </comment>
    <comment ref="A371" authorId="0" shapeId="0" xr:uid="{CF6DA2FC-E9ED-452A-AA57-282236B6A60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1 PAX] - [Y-DAY » NIL]_x000D_
[LOWESTAVAIL » W9] - [CAPACITY » 179] - [LST-SOLD » 29-NOV]_x000D_
{CLASSES}_x000D_
S4 &amp; W3 &amp; X1 &amp; U9 &amp; O16 &amp; I10 &amp; P113</t>
        </r>
      </text>
    </comment>
    <comment ref="B371" authorId="0" shapeId="0" xr:uid="{1FEED468-5024-4793-9EB1-1227AF6EBD6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1 PAX] - [Y-DAY » NIL]_x000D_
[LOWESTAVAIL » W9] - [CAPACITY » 179] - [LST-SOLD » 29-NOV]_x000D_
{CLASSES}_x000D_
S4 &amp; W3 &amp; X1 &amp; U9 &amp; O16 &amp; I10 &amp; P113</t>
        </r>
      </text>
    </comment>
    <comment ref="C371" authorId="0" shapeId="0" xr:uid="{CEEE26E2-A107-43AB-B102-22065AC681C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1 PAX] - [Y-DAY » NIL]_x000D_
[LOWESTAVAIL » W9] - [CAPACITY » 179] - [LST-SOLD » 29-NOV]_x000D_
{CLASSES}_x000D_
S4 &amp; W3 &amp; X1 &amp; U9 &amp; O16 &amp; I10 &amp; P113</t>
        </r>
      </text>
    </comment>
    <comment ref="D371" authorId="0" shapeId="0" xr:uid="{807B92D7-B11F-47D7-9052-B1D725D1FA7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1 PAX] - [Y-DAY » NIL]_x000D_
[LOWESTAVAIL » W9] - [CAPACITY » 179] - [LST-SOLD » 29-NOV]_x000D_
{CLASSES}_x000D_
S4 &amp; W3 &amp; X1 &amp; U9 &amp; O16 &amp; I10 &amp; P113</t>
        </r>
      </text>
    </comment>
    <comment ref="E371" authorId="0" shapeId="0" xr:uid="{3C7D49E1-6C66-4BF6-A8D4-34DB7AED0E6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1 PAX] - [Y-DAY » NIL]_x000D_
[LOWESTAVAIL » W9] - [CAPACITY » 179] - [LST-SOLD » 29-NOV]_x000D_
{CLASSES}_x000D_
S4 &amp; W3 &amp; X1 &amp; U9 &amp; O16 &amp; I10 &amp; P113</t>
        </r>
      </text>
    </comment>
    <comment ref="F371" authorId="0" shapeId="0" xr:uid="{E828B409-39A6-41DF-B2A4-73BEEBAE64C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1 PAX] - [Y-DAY » NIL]_x000D_
[LOWESTAVAIL » W9] - [CAPACITY » 179] - [LST-SOLD » 29-NOV]_x000D_
{CLASSES}_x000D_
S4 &amp; W3 &amp; X1 &amp; U9 &amp; O16 &amp; I10 &amp; P113</t>
        </r>
      </text>
    </comment>
    <comment ref="G371" authorId="0" shapeId="0" xr:uid="{4667EA1D-99C5-4790-AE51-38C9462FFDB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1 PAX] - [Y-DAY » NIL]_x000D_
[LOWESTAVAIL » W9] - [CAPACITY » 179] - [LST-SOLD » 29-NOV]_x000D_
{CLASSES}_x000D_
S4 &amp; W3 &amp; X1 &amp; U9 &amp; O16 &amp; I10 &amp; P113</t>
        </r>
      </text>
    </comment>
    <comment ref="H371" authorId="0" shapeId="0" xr:uid="{1E52F216-F63E-419B-AECB-CBD93C064AA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1 PAX] - [Y-DAY » NIL]_x000D_
[LOWESTAVAIL » W9] - [CAPACITY » 179] - [LST-SOLD » 29-NOV]_x000D_
{CLASSES}_x000D_
S4 &amp; W3 &amp; X1 &amp; U9 &amp; O16 &amp; I10 &amp; P113</t>
        </r>
      </text>
    </comment>
    <comment ref="A397" authorId="0" shapeId="0" xr:uid="{E5460263-A2F2-42E2-9A77-BD70B1AE3B7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101.7%]   -   [SOLD » 182 PAX]_x000D_
[WEEKLY » NIL] - [TO-DAY » NIL] - [Y-DAY » NIL]_x000D_
[LOWESTAVAIL » CLOSED] - [CAPACITY » 179] - [LST-SOLD » 18-NOV]_x000D_
{CLASSES}_x000D_
I5 &amp; E45 &amp; P129 &amp; N3</t>
        </r>
      </text>
    </comment>
    <comment ref="B397" authorId="0" shapeId="0" xr:uid="{7E290DD9-217D-4A80-8078-CAC14665B1A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101.7%]   -   [SOLD » 182 PAX]_x000D_
[WEEKLY » NIL] - [TO-DAY » NIL] - [Y-DAY » NIL]_x000D_
[LOWESTAVAIL » CLOSED] - [CAPACITY » 179] - [LST-SOLD » 18-NOV]_x000D_
{CLASSES}_x000D_
I5 &amp; E45 &amp; P129 &amp; N3</t>
        </r>
      </text>
    </comment>
    <comment ref="C397" authorId="0" shapeId="0" xr:uid="{6150BBFC-4B06-4156-97C1-16B294F627F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101.7%]   -   [SOLD » 182 PAX]_x000D_
[WEEKLY » NIL] - [TO-DAY » NIL] - [Y-DAY » NIL]_x000D_
[LOWESTAVAIL » CLOSED] - [CAPACITY » 179] - [LST-SOLD » 18-NOV]_x000D_
{CLASSES}_x000D_
I5 &amp; E45 &amp; P129 &amp; N3</t>
        </r>
      </text>
    </comment>
    <comment ref="D397" authorId="0" shapeId="0" xr:uid="{3A39C1ED-C293-4227-9D79-7CF2CAE0EE6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101.7%]   -   [SOLD » 182 PAX]_x000D_
[WEEKLY » NIL] - [TO-DAY » NIL] - [Y-DAY » NIL]_x000D_
[LOWESTAVAIL » CLOSED] - [CAPACITY » 179] - [LST-SOLD » 18-NOV]_x000D_
{CLASSES}_x000D_
I5 &amp; E45 &amp; P129 &amp; N3</t>
        </r>
      </text>
    </comment>
    <comment ref="E397" authorId="0" shapeId="0" xr:uid="{0DDD5E3E-385A-4581-8654-F12ED170B27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101.7%]   -   [SOLD » 182 PAX]_x000D_
[WEEKLY » NIL] - [TO-DAY » NIL] - [Y-DAY » NIL]_x000D_
[LOWESTAVAIL » CLOSED] - [CAPACITY » 179] - [LST-SOLD » 18-NOV]_x000D_
{CLASSES}_x000D_
I5 &amp; E45 &amp; P129 &amp; N3</t>
        </r>
      </text>
    </comment>
    <comment ref="F397" authorId="0" shapeId="0" xr:uid="{5555D241-50C2-4603-99CE-A06E7668189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101.7%]   -   [SOLD » 182 PAX]_x000D_
[WEEKLY » NIL] - [TO-DAY » NIL] - [Y-DAY » NIL]_x000D_
[LOWESTAVAIL » CLOSED] - [CAPACITY » 179] - [LST-SOLD » 18-NOV]_x000D_
{CLASSES}_x000D_
I5 &amp; E45 &amp; P129 &amp; N3</t>
        </r>
      </text>
    </comment>
    <comment ref="G397" authorId="0" shapeId="0" xr:uid="{09F88DAB-93E3-409E-B6E1-1F19659985B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101.7%]   -   [SOLD » 182 PAX]_x000D_
[WEEKLY » NIL] - [TO-DAY » NIL] - [Y-DAY » NIL]_x000D_
[LOWESTAVAIL » CLOSED] - [CAPACITY » 179] - [LST-SOLD » 18-NOV]_x000D_
{CLASSES}_x000D_
I5 &amp; E45 &amp; P129 &amp; N3</t>
        </r>
      </text>
    </comment>
    <comment ref="H397" authorId="0" shapeId="0" xr:uid="{5573403D-C688-441E-80C2-6E556C27AAB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101.7%]   -   [SOLD » 182 PAX]_x000D_
[WEEKLY » NIL] - [TO-DAY » NIL] - [Y-DAY » NIL]_x000D_
[LOWESTAVAIL » CLOSED] - [CAPACITY » 179] - [LST-SOLD » 18-NOV]_x000D_
{CLASSES}_x000D_
I5 &amp; E45 &amp; P129 &amp; N3</t>
        </r>
      </text>
    </comment>
    <comment ref="A412" authorId="0" shapeId="0" xr:uid="{39B7ED15-CA65-49A1-BBA6-BFAD2DA8372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30.7%]   -   [SOLD » 55 PAX]_x000D_
[WEEKLY » 28 PAX] - [TO-DAY » NIL] - [Y-DAY » 2]_x000D_
[LOWESTAVAIL » O6] - [CAPACITY » 179] - [LST-SOLD » 28-NOV]_x000D_
{CLASSES}_x000D_
S1 &amp; O24 &amp; I30</t>
        </r>
      </text>
    </comment>
    <comment ref="B412" authorId="0" shapeId="0" xr:uid="{FEB9FA35-97F8-46C6-85D0-E486AD529C5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30.7%]   -   [SOLD » 55 PAX]_x000D_
[WEEKLY » 28 PAX] - [TO-DAY » NIL] - [Y-DAY » 2]_x000D_
[LOWESTAVAIL » O6] - [CAPACITY » 179] - [LST-SOLD » 28-NOV]_x000D_
{CLASSES}_x000D_
S1 &amp; O24 &amp; I30</t>
        </r>
      </text>
    </comment>
    <comment ref="C412" authorId="0" shapeId="0" xr:uid="{7C08B27C-CC64-4236-986B-048BD5E899E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30.7%]   -   [SOLD » 55 PAX]_x000D_
[WEEKLY » 28 PAX] - [TO-DAY » NIL] - [Y-DAY » 2]_x000D_
[LOWESTAVAIL » O6] - [CAPACITY » 179] - [LST-SOLD » 28-NOV]_x000D_
{CLASSES}_x000D_
S1 &amp; O24 &amp; I30</t>
        </r>
      </text>
    </comment>
    <comment ref="D412" authorId="0" shapeId="0" xr:uid="{DD445472-4F5B-4C55-BCBD-6FE90B776BA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30.7%]   -   [SOLD » 55 PAX]_x000D_
[WEEKLY » 28 PAX] - [TO-DAY » NIL] - [Y-DAY » 2]_x000D_
[LOWESTAVAIL » O6] - [CAPACITY » 179] - [LST-SOLD » 28-NOV]_x000D_
{CLASSES}_x000D_
S1 &amp; O24 &amp; I30</t>
        </r>
      </text>
    </comment>
    <comment ref="E412" authorId="0" shapeId="0" xr:uid="{1A3E0BD6-B157-4635-87AF-927532F7922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30.7%]   -   [SOLD » 55 PAX]_x000D_
[WEEKLY » 28 PAX] - [TO-DAY » NIL] - [Y-DAY » 2]_x000D_
[LOWESTAVAIL » O6] - [CAPACITY » 179] - [LST-SOLD » 28-NOV]_x000D_
{CLASSES}_x000D_
S1 &amp; O24 &amp; I30</t>
        </r>
      </text>
    </comment>
    <comment ref="F412" authorId="0" shapeId="0" xr:uid="{B7E7D5E7-C520-4077-AE28-0AA4DE45D76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30.7%]   -   [SOLD » 55 PAX]_x000D_
[WEEKLY » 28 PAX] - [TO-DAY » NIL] - [Y-DAY » 2]_x000D_
[LOWESTAVAIL » O6] - [CAPACITY » 179] - [LST-SOLD » 28-NOV]_x000D_
{CLASSES}_x000D_
S1 &amp; O24 &amp; I30</t>
        </r>
      </text>
    </comment>
    <comment ref="G412" authorId="0" shapeId="0" xr:uid="{0F260784-9FE7-449C-8BBE-9C4209768AD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30.7%]   -   [SOLD » 55 PAX]_x000D_
[WEEKLY » 28 PAX] - [TO-DAY » NIL] - [Y-DAY » 2]_x000D_
[LOWESTAVAIL » O6] - [CAPACITY » 179] - [LST-SOLD » 28-NOV]_x000D_
{CLASSES}_x000D_
S1 &amp; O24 &amp; I30</t>
        </r>
      </text>
    </comment>
    <comment ref="H412" authorId="0" shapeId="0" xr:uid="{5EBD2D74-F4A6-48F2-BB48-4FB7EDC3698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30.7%]   -   [SOLD » 55 PAX]_x000D_
[WEEKLY » 28 PAX] - [TO-DAY » NIL] - [Y-DAY » 2]_x000D_
[LOWESTAVAIL » O6] - [CAPACITY » 179] - [LST-SOLD » 28-NOV]_x000D_
{CLASSES}_x000D_
S1 &amp; O24 &amp; I30</t>
        </r>
      </text>
    </comment>
    <comment ref="A413" authorId="0" shapeId="0" xr:uid="{A71D7C4C-2311-4E9A-8C60-A1AAE2F82D0E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[SOLD » 118 PAX]_x000D_
[WEEKLY » 32 PAX] - [TO-DAY » NIL] - [Y-DAY » NIL]_x000D_
[LOWESTAVAIL » O9] - [CAPACITY » 179] - [LST-SOLD » 27-NOV]_x000D_
{CLASSES}_x000D_
S2 &amp; X7 &amp; U1 &amp; O16 &amp; I20 &amp; E25 &amp; P46 &amp; N1</t>
        </r>
      </text>
    </comment>
    <comment ref="B413" authorId="0" shapeId="0" xr:uid="{B9EE6FB8-3CCA-4D24-B59F-A4B0E0803544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[SOLD » 118 PAX]_x000D_
[WEEKLY » 32 PAX] - [TO-DAY » NIL] - [Y-DAY » NIL]_x000D_
[LOWESTAVAIL » O9] - [CAPACITY » 179] - [LST-SOLD » 27-NOV]_x000D_
{CLASSES}_x000D_
S2 &amp; X7 &amp; U1 &amp; O16 &amp; I20 &amp; E25 &amp; P46 &amp; N1</t>
        </r>
      </text>
    </comment>
    <comment ref="C413" authorId="0" shapeId="0" xr:uid="{21B4A71F-2E49-438B-AB93-3E540B87AC99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[SOLD » 118 PAX]_x000D_
[WEEKLY » 32 PAX] - [TO-DAY » NIL] - [Y-DAY » NIL]_x000D_
[LOWESTAVAIL » O9] - [CAPACITY » 179] - [LST-SOLD » 27-NOV]_x000D_
{CLASSES}_x000D_
S2 &amp; X7 &amp; U1 &amp; O16 &amp; I20 &amp; E25 &amp; P46 &amp; N1</t>
        </r>
      </text>
    </comment>
    <comment ref="D413" authorId="0" shapeId="0" xr:uid="{81AB2529-D369-4FF4-9AB6-BD510F2F7C23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[SOLD » 118 PAX]_x000D_
[WEEKLY » 32 PAX] - [TO-DAY » NIL] - [Y-DAY » NIL]_x000D_
[LOWESTAVAIL » O9] - [CAPACITY » 179] - [LST-SOLD » 27-NOV]_x000D_
{CLASSES}_x000D_
S2 &amp; X7 &amp; U1 &amp; O16 &amp; I20 &amp; E25 &amp; P46 &amp; N1</t>
        </r>
      </text>
    </comment>
    <comment ref="E413" authorId="0" shapeId="0" xr:uid="{291CC9C0-3D32-4C1A-87E2-75ED8A90EE42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[SOLD » 118 PAX]_x000D_
[WEEKLY » 32 PAX] - [TO-DAY » NIL] - [Y-DAY » NIL]_x000D_
[LOWESTAVAIL » O9] - [CAPACITY » 179] - [LST-SOLD » 27-NOV]_x000D_
{CLASSES}_x000D_
S2 &amp; X7 &amp; U1 &amp; O16 &amp; I20 &amp; E25 &amp; P46 &amp; N1</t>
        </r>
      </text>
    </comment>
    <comment ref="F413" authorId="0" shapeId="0" xr:uid="{C5B3B040-F3AD-47C0-BC06-0425CD079350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[SOLD » 118 PAX]_x000D_
[WEEKLY » 32 PAX] - [TO-DAY » NIL] - [Y-DAY » NIL]_x000D_
[LOWESTAVAIL » O9] - [CAPACITY » 179] - [LST-SOLD » 27-NOV]_x000D_
{CLASSES}_x000D_
S2 &amp; X7 &amp; U1 &amp; O16 &amp; I20 &amp; E25 &amp; P46 &amp; N1</t>
        </r>
      </text>
    </comment>
    <comment ref="G413" authorId="0" shapeId="0" xr:uid="{925ED846-6AF2-4194-BC07-92AD718EF263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[SOLD » 118 PAX]_x000D_
[WEEKLY » 32 PAX] - [TO-DAY » NIL] - [Y-DAY » NIL]_x000D_
[LOWESTAVAIL » O9] - [CAPACITY » 179] - [LST-SOLD » 27-NOV]_x000D_
{CLASSES}_x000D_
S2 &amp; X7 &amp; U1 &amp; O16 &amp; I20 &amp; E25 &amp; P46 &amp; N1</t>
        </r>
      </text>
    </comment>
    <comment ref="H413" authorId="0" shapeId="0" xr:uid="{B7F6EFA1-63A9-40A8-BA06-D73D035A5866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65.9%]   -   [SOLD » 118 PAX]_x000D_
[WEEKLY » 32 PAX] - [TO-DAY » NIL] - [Y-DAY » NIL]_x000D_
[LOWESTAVAIL » O9] - [CAPACITY » 179] - [LST-SOLD » 27-NOV]_x000D_
{CLASSES}_x000D_
S2 &amp; X7 &amp; U1 &amp; O16 &amp; I20 &amp; E25 &amp; P46 &amp; N1</t>
        </r>
      </text>
    </comment>
    <comment ref="A417" authorId="0" shapeId="0" xr:uid="{F10D2CE1-D55D-4B8F-A0B9-7EB8AC02468F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[SOLD » 30 PAX]_x000D_
[WEEKLY » 3 PAX] - [TO-DAY » NIL] - [Y-DAY » NIL]_x000D_
[LOWESTAVAIL » U4] - [CAPACITY » 168] - [LST-SOLD » 25-NOV]_x000D_
{CLASSES}_x000D_
S9 &amp; U1 &amp; O10 &amp; I10</t>
        </r>
      </text>
    </comment>
    <comment ref="B417" authorId="0" shapeId="0" xr:uid="{0C2CFE51-A9E8-4791-851C-61DE716B8203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[SOLD » 30 PAX]_x000D_
[WEEKLY » 3 PAX] - [TO-DAY » NIL] - [Y-DAY » NIL]_x000D_
[LOWESTAVAIL » U4] - [CAPACITY » 168] - [LST-SOLD » 25-NOV]_x000D_
{CLASSES}_x000D_
S9 &amp; U1 &amp; O10 &amp; I10</t>
        </r>
      </text>
    </comment>
    <comment ref="C417" authorId="0" shapeId="0" xr:uid="{162CDAC3-3F98-4A36-9D7E-564D0C3BCC76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[SOLD » 30 PAX]_x000D_
[WEEKLY » 3 PAX] - [TO-DAY » NIL] - [Y-DAY » NIL]_x000D_
[LOWESTAVAIL » U4] - [CAPACITY » 168] - [LST-SOLD » 25-NOV]_x000D_
{CLASSES}_x000D_
S9 &amp; U1 &amp; O10 &amp; I10</t>
        </r>
      </text>
    </comment>
    <comment ref="D417" authorId="0" shapeId="0" xr:uid="{C5C02B64-80EF-4F6B-BE76-5CF989994742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[SOLD » 30 PAX]_x000D_
[WEEKLY » 3 PAX] - [TO-DAY » NIL] - [Y-DAY » NIL]_x000D_
[LOWESTAVAIL » U4] - [CAPACITY » 168] - [LST-SOLD » 25-NOV]_x000D_
{CLASSES}_x000D_
S9 &amp; U1 &amp; O10 &amp; I10</t>
        </r>
      </text>
    </comment>
    <comment ref="E417" authorId="0" shapeId="0" xr:uid="{D475B846-AC21-43F1-B5D2-14534FEDD10E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[SOLD » 30 PAX]_x000D_
[WEEKLY » 3 PAX] - [TO-DAY » NIL] - [Y-DAY » NIL]_x000D_
[LOWESTAVAIL » U4] - [CAPACITY » 168] - [LST-SOLD » 25-NOV]_x000D_
{CLASSES}_x000D_
S9 &amp; U1 &amp; O10 &amp; I10</t>
        </r>
      </text>
    </comment>
    <comment ref="F417" authorId="0" shapeId="0" xr:uid="{B80F7DF4-695A-4E7B-9C13-533ABADE42F4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[SOLD » 30 PAX]_x000D_
[WEEKLY » 3 PAX] - [TO-DAY » NIL] - [Y-DAY » NIL]_x000D_
[LOWESTAVAIL » U4] - [CAPACITY » 168] - [LST-SOLD » 25-NOV]_x000D_
{CLASSES}_x000D_
S9 &amp; U1 &amp; O10 &amp; I10</t>
        </r>
      </text>
    </comment>
    <comment ref="G417" authorId="0" shapeId="0" xr:uid="{A561EB40-88B0-4E5D-9B61-72073C11CB53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[SOLD » 30 PAX]_x000D_
[WEEKLY » 3 PAX] - [TO-DAY » NIL] - [Y-DAY » NIL]_x000D_
[LOWESTAVAIL » U4] - [CAPACITY » 168] - [LST-SOLD » 25-NOV]_x000D_
{CLASSES}_x000D_
S9 &amp; U1 &amp; O10 &amp; I10</t>
        </r>
      </text>
    </comment>
    <comment ref="H417" authorId="0" shapeId="0" xr:uid="{4AC514C3-E0E1-49E2-8826-78BC41C4359B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[SOLD » 30 PAX]_x000D_
[WEEKLY » 3 PAX] - [TO-DAY » NIL] - [Y-DAY » NIL]_x000D_
[LOWESTAVAIL » U4] - [CAPACITY » 168] - [LST-SOLD » 25-NOV]_x000D_
{CLASSES}_x000D_
S9 &amp; U1 &amp; O10 &amp; I10</t>
        </r>
      </text>
    </comment>
    <comment ref="A439" authorId="0" shapeId="0" xr:uid="{703E17DE-6802-483E-ACED-E268ED7EF818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4 PAX] - [TO-DAY » NIL] - [Y-DAY » NIL]_x000D_
[LOWESTAVAIL » S9] - [CAPACITY » 179] - [LST-SOLD » 25-NOV]_x000D_
{CLASSES}_x000D_
S6 &amp; U3 &amp; O9 &amp; I9 &amp; P130</t>
        </r>
      </text>
    </comment>
    <comment ref="B439" authorId="0" shapeId="0" xr:uid="{6C0622EB-8535-46AC-94B1-858FA08ACE9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4 PAX] - [TO-DAY » NIL] - [Y-DAY » NIL]_x000D_
[LOWESTAVAIL » S9] - [CAPACITY » 179] - [LST-SOLD » 25-NOV]_x000D_
{CLASSES}_x000D_
S6 &amp; U3 &amp; O9 &amp; I9 &amp; P130</t>
        </r>
      </text>
    </comment>
    <comment ref="C439" authorId="0" shapeId="0" xr:uid="{65C03F1F-5F8C-4705-A903-584AA9457DC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4 PAX] - [TO-DAY » NIL] - [Y-DAY » NIL]_x000D_
[LOWESTAVAIL » S9] - [CAPACITY » 179] - [LST-SOLD » 25-NOV]_x000D_
{CLASSES}_x000D_
S6 &amp; U3 &amp; O9 &amp; I9 &amp; P130</t>
        </r>
      </text>
    </comment>
    <comment ref="D439" authorId="0" shapeId="0" xr:uid="{A897E175-1E2F-4BDB-B093-11077B2D802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4 PAX] - [TO-DAY » NIL] - [Y-DAY » NIL]_x000D_
[LOWESTAVAIL » S9] - [CAPACITY » 179] - [LST-SOLD » 25-NOV]_x000D_
{CLASSES}_x000D_
S6 &amp; U3 &amp; O9 &amp; I9 &amp; P130</t>
        </r>
      </text>
    </comment>
    <comment ref="E439" authorId="0" shapeId="0" xr:uid="{F1E85DF5-0D7A-4255-A0F1-2B8D623998A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4 PAX] - [TO-DAY » NIL] - [Y-DAY » NIL]_x000D_
[LOWESTAVAIL » S9] - [CAPACITY » 179] - [LST-SOLD » 25-NOV]_x000D_
{CLASSES}_x000D_
S6 &amp; U3 &amp; O9 &amp; I9 &amp; P130</t>
        </r>
      </text>
    </comment>
    <comment ref="F439" authorId="0" shapeId="0" xr:uid="{6003BDCE-1347-49A0-9EA3-92EC347B822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4 PAX] - [TO-DAY » NIL] - [Y-DAY » NIL]_x000D_
[LOWESTAVAIL » S9] - [CAPACITY » 179] - [LST-SOLD » 25-NOV]_x000D_
{CLASSES}_x000D_
S6 &amp; U3 &amp; O9 &amp; I9 &amp; P130</t>
        </r>
      </text>
    </comment>
    <comment ref="G439" authorId="0" shapeId="0" xr:uid="{F9E036A5-D5C8-413B-956C-0EA57228700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4 PAX] - [TO-DAY » NIL] - [Y-DAY » NIL]_x000D_
[LOWESTAVAIL » S9] - [CAPACITY » 179] - [LST-SOLD » 25-NOV]_x000D_
{CLASSES}_x000D_
S6 &amp; U3 &amp; O9 &amp; I9 &amp; P130</t>
        </r>
      </text>
    </comment>
    <comment ref="H439" authorId="0" shapeId="0" xr:uid="{5126788A-38C4-463E-8CCC-1AADA4B6AB3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4 PAX] - [TO-DAY » NIL] - [Y-DAY » NIL]_x000D_
[LOWESTAVAIL » S9] - [CAPACITY » 179] - [LST-SOLD » 25-NOV]_x000D_
{CLASSES}_x000D_
S6 &amp; U3 &amp; O9 &amp; I9 &amp; P130</t>
        </r>
      </text>
    </comment>
    <comment ref="A462" authorId="0" shapeId="0" xr:uid="{8B51CF9D-47BB-45F3-8A11-ECF12576C25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4 PAX] - [TO-DAY » NIL] - [Y-DAY » NIL]_x000D_
[LOWESTAVAIL » H5] - [CAPACITY » 179] - [LST-SOLD » 26-NOV]_x000D_
{CLASSES}_x000D_
H1 &amp; O8 &amp; I10 &amp; P155</t>
        </r>
      </text>
    </comment>
    <comment ref="B462" authorId="0" shapeId="0" xr:uid="{EDD85E5C-D404-48A5-B928-2F9928BF81A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4 PAX] - [TO-DAY » NIL] - [Y-DAY » NIL]_x000D_
[LOWESTAVAIL » H5] - [CAPACITY » 179] - [LST-SOLD » 26-NOV]_x000D_
{CLASSES}_x000D_
H1 &amp; O8 &amp; I10 &amp; P155</t>
        </r>
      </text>
    </comment>
    <comment ref="C462" authorId="0" shapeId="0" xr:uid="{40962818-DEEE-4A1B-9AAE-6DE79F199F7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4 PAX] - [TO-DAY » NIL] - [Y-DAY » NIL]_x000D_
[LOWESTAVAIL » H5] - [CAPACITY » 179] - [LST-SOLD » 26-NOV]_x000D_
{CLASSES}_x000D_
H1 &amp; O8 &amp; I10 &amp; P155</t>
        </r>
      </text>
    </comment>
    <comment ref="D462" authorId="0" shapeId="0" xr:uid="{2A71485B-56A3-4345-AC33-2F4561B1032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4 PAX] - [TO-DAY » NIL] - [Y-DAY » NIL]_x000D_
[LOWESTAVAIL » H5] - [CAPACITY » 179] - [LST-SOLD » 26-NOV]_x000D_
{CLASSES}_x000D_
H1 &amp; O8 &amp; I10 &amp; P155</t>
        </r>
      </text>
    </comment>
    <comment ref="E462" authorId="0" shapeId="0" xr:uid="{E46E6720-B301-4517-B06A-828A5F57F6D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4 PAX] - [TO-DAY » NIL] - [Y-DAY » NIL]_x000D_
[LOWESTAVAIL » H5] - [CAPACITY » 179] - [LST-SOLD » 26-NOV]_x000D_
{CLASSES}_x000D_
H1 &amp; O8 &amp; I10 &amp; P155</t>
        </r>
      </text>
    </comment>
    <comment ref="F462" authorId="0" shapeId="0" xr:uid="{0BA009BD-7BBB-4E49-ABF6-7401DF4CE06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4 PAX] - [TO-DAY » NIL] - [Y-DAY » NIL]_x000D_
[LOWESTAVAIL » H5] - [CAPACITY » 179] - [LST-SOLD » 26-NOV]_x000D_
{CLASSES}_x000D_
H1 &amp; O8 &amp; I10 &amp; P155</t>
        </r>
      </text>
    </comment>
    <comment ref="G462" authorId="0" shapeId="0" xr:uid="{47CDFC05-A86F-42F5-82A3-7FE3692203A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4 PAX] - [TO-DAY » NIL] - [Y-DAY » NIL]_x000D_
[LOWESTAVAIL » H5] - [CAPACITY » 179] - [LST-SOLD » 26-NOV]_x000D_
{CLASSES}_x000D_
H1 &amp; O8 &amp; I10 &amp; P155</t>
        </r>
      </text>
    </comment>
    <comment ref="H462" authorId="0" shapeId="0" xr:uid="{E01B1307-EE8D-4A39-ABA5-781AB5A1200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4 PAX] - [TO-DAY » NIL] - [Y-DAY » NIL]_x000D_
[LOWESTAVAIL » H5] - [CAPACITY » 179] - [LST-SOLD » 26-NOV]_x000D_
{CLASSES}_x000D_
H1 &amp; O8 &amp; I10 &amp; P155</t>
        </r>
      </text>
    </comment>
    <comment ref="A490" authorId="0" shapeId="0" xr:uid="{BB7DA4AE-6DE6-4154-A3CD-E9A9BDB9A49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8 PAX] - [TO-DAY » NIL] - [Y-DAY » 1]_x000D_
[LOWESTAVAIL » U2] - [CAPACITY » 179] - [LST-SOLD » 28-NOV]_x000D_
{CLASSES}_x000D_
S1 &amp; U9 &amp; O10 &amp; I10 &amp; P128</t>
        </r>
      </text>
    </comment>
    <comment ref="B490" authorId="0" shapeId="0" xr:uid="{B7ADC0E8-4886-4F64-8DA3-C227BA97119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8 PAX] - [TO-DAY » NIL] - [Y-DAY » 1]_x000D_
[LOWESTAVAIL » U2] - [CAPACITY » 179] - [LST-SOLD » 28-NOV]_x000D_
{CLASSES}_x000D_
S1 &amp; U9 &amp; O10 &amp; I10 &amp; P128</t>
        </r>
      </text>
    </comment>
    <comment ref="C490" authorId="0" shapeId="0" xr:uid="{2C27EAF7-92F2-41D6-8FF0-FCA19BA39C6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8 PAX] - [TO-DAY » NIL] - [Y-DAY » 1]_x000D_
[LOWESTAVAIL » U2] - [CAPACITY » 179] - [LST-SOLD » 28-NOV]_x000D_
{CLASSES}_x000D_
S1 &amp; U9 &amp; O10 &amp; I10 &amp; P128</t>
        </r>
      </text>
    </comment>
    <comment ref="D490" authorId="0" shapeId="0" xr:uid="{85795C0E-2E6B-47CE-94BF-082F0C67904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8 PAX] - [TO-DAY » NIL] - [Y-DAY » 1]_x000D_
[LOWESTAVAIL » U2] - [CAPACITY » 179] - [LST-SOLD » 28-NOV]_x000D_
{CLASSES}_x000D_
S1 &amp; U9 &amp; O10 &amp; I10 &amp; P128</t>
        </r>
      </text>
    </comment>
    <comment ref="E490" authorId="0" shapeId="0" xr:uid="{97313EE2-EDFA-4AB1-AA43-E7E2792FC9C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8 PAX] - [TO-DAY » NIL] - [Y-DAY » 1]_x000D_
[LOWESTAVAIL » U2] - [CAPACITY » 179] - [LST-SOLD » 28-NOV]_x000D_
{CLASSES}_x000D_
S1 &amp; U9 &amp; O10 &amp; I10 &amp; P128</t>
        </r>
      </text>
    </comment>
    <comment ref="F490" authorId="0" shapeId="0" xr:uid="{D346FB32-FF32-4A28-BDB5-3633DECE2C1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8 PAX] - [TO-DAY » NIL] - [Y-DAY » 1]_x000D_
[LOWESTAVAIL » U2] - [CAPACITY » 179] - [LST-SOLD » 28-NOV]_x000D_
{CLASSES}_x000D_
S1 &amp; U9 &amp; O10 &amp; I10 &amp; P128</t>
        </r>
      </text>
    </comment>
    <comment ref="G490" authorId="0" shapeId="0" xr:uid="{11C13E85-DA69-4492-96B8-36C993459D7A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8 PAX] - [TO-DAY » NIL] - [Y-DAY » 1]_x000D_
[LOWESTAVAIL » U2] - [CAPACITY » 179] - [LST-SOLD » 28-NOV]_x000D_
{CLASSES}_x000D_
S1 &amp; U9 &amp; O10 &amp; I10 &amp; P128</t>
        </r>
      </text>
    </comment>
    <comment ref="H490" authorId="0" shapeId="0" xr:uid="{ACB47842-1541-48B7-8DC6-1D590D64AE2B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8 PAX] - [TO-DAY » NIL] - [Y-DAY » 1]_x000D_
[LOWESTAVAIL » U2] - [CAPACITY » 179] - [LST-SOLD » 28-NOV]_x000D_
{CLASSES}_x000D_
S1 &amp; U9 &amp; O10 &amp; I10 &amp; P128</t>
        </r>
      </text>
    </comment>
    <comment ref="A498" authorId="0" shapeId="0" xr:uid="{CB9B8498-B609-459D-90F0-1D279DDEEF00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16 PAX] - [TO-DAY » 2 PAX] - [Y-DAY » NIL]_x000D_
[LOWESTAVAIL » X7] - [CAPACITY » 179] - [LST-SOLD » 29-NOV]_x000D_
{CLASSES}_x000D_
S3 &amp; X3 &amp; U11 &amp; O10 &amp; I10 &amp; P120</t>
        </r>
      </text>
    </comment>
    <comment ref="B498" authorId="0" shapeId="0" xr:uid="{E56E42EB-778C-4BC9-A97D-17370BAD627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16 PAX] - [TO-DAY » 2 PAX] - [Y-DAY » NIL]_x000D_
[LOWESTAVAIL » X7] - [CAPACITY » 179] - [LST-SOLD » 29-NOV]_x000D_
{CLASSES}_x000D_
S3 &amp; X3 &amp; U11 &amp; O10 &amp; I10 &amp; P120</t>
        </r>
      </text>
    </comment>
    <comment ref="C498" authorId="0" shapeId="0" xr:uid="{AA38733A-2FFC-4374-ACC4-B60906660CC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16 PAX] - [TO-DAY » 2 PAX] - [Y-DAY » NIL]_x000D_
[LOWESTAVAIL » X7] - [CAPACITY » 179] - [LST-SOLD » 29-NOV]_x000D_
{CLASSES}_x000D_
S3 &amp; X3 &amp; U11 &amp; O10 &amp; I10 &amp; P120</t>
        </r>
      </text>
    </comment>
    <comment ref="D498" authorId="0" shapeId="0" xr:uid="{3A0047D8-B1AD-4AFE-A99E-4368B6246A5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16 PAX] - [TO-DAY » 2 PAX] - [Y-DAY » NIL]_x000D_
[LOWESTAVAIL » X7] - [CAPACITY » 179] - [LST-SOLD » 29-NOV]_x000D_
{CLASSES}_x000D_
S3 &amp; X3 &amp; U11 &amp; O10 &amp; I10 &amp; P120</t>
        </r>
      </text>
    </comment>
    <comment ref="E498" authorId="0" shapeId="0" xr:uid="{F0F2FD11-82F0-48AE-9BBF-944473D2A44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16 PAX] - [TO-DAY » 2 PAX] - [Y-DAY » NIL]_x000D_
[LOWESTAVAIL » X7] - [CAPACITY » 179] - [LST-SOLD » 29-NOV]_x000D_
{CLASSES}_x000D_
S3 &amp; X3 &amp; U11 &amp; O10 &amp; I10 &amp; P120</t>
        </r>
      </text>
    </comment>
    <comment ref="F498" authorId="0" shapeId="0" xr:uid="{320953EB-1B7E-45E5-A2F0-832AFB4B9D2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16 PAX] - [TO-DAY » 2 PAX] - [Y-DAY » NIL]_x000D_
[LOWESTAVAIL » X7] - [CAPACITY » 179] - [LST-SOLD » 29-NOV]_x000D_
{CLASSES}_x000D_
S3 &amp; X3 &amp; U11 &amp; O10 &amp; I10 &amp; P120</t>
        </r>
      </text>
    </comment>
    <comment ref="G498" authorId="0" shapeId="0" xr:uid="{4040ADE6-2D3E-4DAC-A28C-224B5F81EAF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16 PAX] - [TO-DAY » 2 PAX] - [Y-DAY » NIL]_x000D_
[LOWESTAVAIL » X7] - [CAPACITY » 179] - [LST-SOLD » 29-NOV]_x000D_
{CLASSES}_x000D_
S3 &amp; X3 &amp; U11 &amp; O10 &amp; I10 &amp; P120</t>
        </r>
      </text>
    </comment>
    <comment ref="H498" authorId="0" shapeId="0" xr:uid="{87DDF17F-8170-4A44-A3D9-D194DBD07C7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87.7%]   -   [SOLD » 157 PAX]_x000D_
[WEEKLY » 16 PAX] - [TO-DAY » 2 PAX] - [Y-DAY » NIL]_x000D_
[LOWESTAVAIL » X7] - [CAPACITY » 179] - [LST-SOLD » 29-NOV]_x000D_
{CLASSES}_x000D_
S3 &amp; X3 &amp; U11 &amp; O10 &amp; I10 &amp; P120</t>
        </r>
      </text>
    </comment>
    <comment ref="A512" authorId="0" shapeId="0" xr:uid="{451C82C0-8F1D-470A-95FC-E6CE8899694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3 PAX] - [TO-DAY » NIL] - [Y-DAY » NIL]_x000D_
[LOWESTAVAIL » W9] - [CAPACITY » 179] - [LST-SOLD » 22-NOV]_x000D_
{CLASSES}_x000D_
S1 &amp; U3 &amp; O10 &amp; I10 &amp; P134</t>
        </r>
      </text>
    </comment>
    <comment ref="B512" authorId="0" shapeId="0" xr:uid="{18585346-7C0D-4ED9-BCBA-A987E445861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3 PAX] - [TO-DAY » NIL] - [Y-DAY » NIL]_x000D_
[LOWESTAVAIL » W9] - [CAPACITY » 179] - [LST-SOLD » 22-NOV]_x000D_
{CLASSES}_x000D_
S1 &amp; U3 &amp; O10 &amp; I10 &amp; P134</t>
        </r>
      </text>
    </comment>
    <comment ref="C512" authorId="0" shapeId="0" xr:uid="{8D12CBB0-5285-4085-BF6B-4C07088A1E6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3 PAX] - [TO-DAY » NIL] - [Y-DAY » NIL]_x000D_
[LOWESTAVAIL » W9] - [CAPACITY » 179] - [LST-SOLD » 22-NOV]_x000D_
{CLASSES}_x000D_
S1 &amp; U3 &amp; O10 &amp; I10 &amp; P134</t>
        </r>
      </text>
    </comment>
    <comment ref="D512" authorId="0" shapeId="0" xr:uid="{2FFAD73D-D2AB-46D3-9D32-5C3D1E91A67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3 PAX] - [TO-DAY » NIL] - [Y-DAY » NIL]_x000D_
[LOWESTAVAIL » W9] - [CAPACITY » 179] - [LST-SOLD » 22-NOV]_x000D_
{CLASSES}_x000D_
S1 &amp; U3 &amp; O10 &amp; I10 &amp; P134</t>
        </r>
      </text>
    </comment>
    <comment ref="E512" authorId="0" shapeId="0" xr:uid="{10FAD817-E3FB-4A2F-AECA-26699FFB446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3 PAX] - [TO-DAY » NIL] - [Y-DAY » NIL]_x000D_
[LOWESTAVAIL » W9] - [CAPACITY » 179] - [LST-SOLD » 22-NOV]_x000D_
{CLASSES}_x000D_
S1 &amp; U3 &amp; O10 &amp; I10 &amp; P134</t>
        </r>
      </text>
    </comment>
    <comment ref="F512" authorId="0" shapeId="0" xr:uid="{F1C9BDF4-417B-4349-98CF-90441657A91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3 PAX] - [TO-DAY » NIL] - [Y-DAY » NIL]_x000D_
[LOWESTAVAIL » W9] - [CAPACITY » 179] - [LST-SOLD » 22-NOV]_x000D_
{CLASSES}_x000D_
S1 &amp; U3 &amp; O10 &amp; I10 &amp; P134</t>
        </r>
      </text>
    </comment>
    <comment ref="G512" authorId="0" shapeId="0" xr:uid="{883E7640-3F6F-43E4-A31F-41ECC81DE02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3 PAX] - [TO-DAY » NIL] - [Y-DAY » NIL]_x000D_
[LOWESTAVAIL » W9] - [CAPACITY » 179] - [LST-SOLD » 22-NOV]_x000D_
{CLASSES}_x000D_
S1 &amp; U3 &amp; O10 &amp; I10 &amp; P134</t>
        </r>
      </text>
    </comment>
    <comment ref="H512" authorId="0" shapeId="0" xr:uid="{E35CA575-0EF0-4707-BF26-6E8B06C54E3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3 PAX] - [TO-DAY » NIL] - [Y-DAY » NIL]_x000D_
[LOWESTAVAIL » W9] - [CAPACITY » 179] - [LST-SOLD » 22-NOV]_x000D_
{CLASSES}_x000D_
S1 &amp; U3 &amp; O10 &amp; I10 &amp; P134</t>
        </r>
      </text>
    </comment>
    <comment ref="A513" authorId="0" shapeId="0" xr:uid="{4A426C4D-D781-44DF-B847-CC57F1695C7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161 PAX]_x000D_
[WEEKLY » 4 PAX] - [TO-DAY » NIL] - [Y-DAY » NIL]_x000D_
[LOWESTAVAIL » W9] - [CAPACITY » 179] - [LST-SOLD » 23-NOV]_x000D_
{CLASSES}_x000D_
U2 &amp; O10 &amp; I13 &amp; P136</t>
        </r>
      </text>
    </comment>
    <comment ref="B513" authorId="0" shapeId="0" xr:uid="{30194CB7-7DD7-43B7-93EB-B78C656C43F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161 PAX]_x000D_
[WEEKLY » 4 PAX] - [TO-DAY » NIL] - [Y-DAY » NIL]_x000D_
[LOWESTAVAIL » W9] - [CAPACITY » 179] - [LST-SOLD » 23-NOV]_x000D_
{CLASSES}_x000D_
U2 &amp; O10 &amp; I13 &amp; P136</t>
        </r>
      </text>
    </comment>
    <comment ref="C513" authorId="0" shapeId="0" xr:uid="{95119908-1CA5-4883-84DF-7E17B747A95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161 PAX]_x000D_
[WEEKLY » 4 PAX] - [TO-DAY » NIL] - [Y-DAY » NIL]_x000D_
[LOWESTAVAIL » W9] - [CAPACITY » 179] - [LST-SOLD » 23-NOV]_x000D_
{CLASSES}_x000D_
U2 &amp; O10 &amp; I13 &amp; P136</t>
        </r>
      </text>
    </comment>
    <comment ref="D513" authorId="0" shapeId="0" xr:uid="{569548D5-1494-4091-AEB7-F2BA840437E4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161 PAX]_x000D_
[WEEKLY » 4 PAX] - [TO-DAY » NIL] - [Y-DAY » NIL]_x000D_
[LOWESTAVAIL » W9] - [CAPACITY » 179] - [LST-SOLD » 23-NOV]_x000D_
{CLASSES}_x000D_
U2 &amp; O10 &amp; I13 &amp; P136</t>
        </r>
      </text>
    </comment>
    <comment ref="E513" authorId="0" shapeId="0" xr:uid="{67E62BD9-0A0A-4D63-83A8-E1A7FFBA40DA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161 PAX]_x000D_
[WEEKLY » 4 PAX] - [TO-DAY » NIL] - [Y-DAY » NIL]_x000D_
[LOWESTAVAIL » W9] - [CAPACITY » 179] - [LST-SOLD » 23-NOV]_x000D_
{CLASSES}_x000D_
U2 &amp; O10 &amp; I13 &amp; P136</t>
        </r>
      </text>
    </comment>
    <comment ref="F513" authorId="0" shapeId="0" xr:uid="{5F4A8787-DCA1-4102-942A-6479BEE1F86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161 PAX]_x000D_
[WEEKLY » 4 PAX] - [TO-DAY » NIL] - [Y-DAY » NIL]_x000D_
[LOWESTAVAIL » W9] - [CAPACITY » 179] - [LST-SOLD » 23-NOV]_x000D_
{CLASSES}_x000D_
U2 &amp; O10 &amp; I13 &amp; P136</t>
        </r>
      </text>
    </comment>
    <comment ref="G513" authorId="0" shapeId="0" xr:uid="{6FE2C342-C562-433A-B54F-B6BA2F495F0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161 PAX]_x000D_
[WEEKLY » 4 PAX] - [TO-DAY » NIL] - [Y-DAY » NIL]_x000D_
[LOWESTAVAIL » W9] - [CAPACITY » 179] - [LST-SOLD » 23-NOV]_x000D_
{CLASSES}_x000D_
U2 &amp; O10 &amp; I13 &amp; P136</t>
        </r>
      </text>
    </comment>
    <comment ref="H513" authorId="0" shapeId="0" xr:uid="{758BE81E-33CF-4FDF-89E2-6215165FE248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161 PAX]_x000D_
[WEEKLY » 4 PAX] - [TO-DAY » NIL] - [Y-DAY » NIL]_x000D_
[LOWESTAVAIL » W9] - [CAPACITY » 179] - [LST-SOLD » 23-NOV]_x000D_
{CLASSES}_x000D_
U2 &amp; O10 &amp; I13 &amp; P136</t>
        </r>
      </text>
    </comment>
    <comment ref="A552" authorId="0" shapeId="0" xr:uid="{2A771367-7745-45DF-8B27-A3E0463AF47D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67.0%]   -   [SOLD » 120 PAX]_x000D_
[WEEKLY » 21 PAX] - [TO-DAY » NIL] - [Y-DAY » 2]_x000D_
[LOWESTAVAIL » O6] - [CAPACITY » 179] - [LST-SOLD » 28-NOV]_x000D_
{CLASSES}_x000D_
O9 &amp; I25 &amp; P86</t>
        </r>
      </text>
    </comment>
    <comment ref="B552" authorId="0" shapeId="0" xr:uid="{96156A88-0C40-4F73-9188-FD2C1C05B76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67.0%]   -   [SOLD » 120 PAX]_x000D_
[WEEKLY » 21 PAX] - [TO-DAY » NIL] - [Y-DAY » 2]_x000D_
[LOWESTAVAIL » O6] - [CAPACITY » 179] - [LST-SOLD » 28-NOV]_x000D_
{CLASSES}_x000D_
O9 &amp; I25 &amp; P86</t>
        </r>
      </text>
    </comment>
    <comment ref="C552" authorId="0" shapeId="0" xr:uid="{5786B373-A8A3-4513-AF51-7413751FECE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67.0%]   -   [SOLD » 120 PAX]_x000D_
[WEEKLY » 21 PAX] - [TO-DAY » NIL] - [Y-DAY » 2]_x000D_
[LOWESTAVAIL » O6] - [CAPACITY » 179] - [LST-SOLD » 28-NOV]_x000D_
{CLASSES}_x000D_
O9 &amp; I25 &amp; P86</t>
        </r>
      </text>
    </comment>
    <comment ref="D552" authorId="0" shapeId="0" xr:uid="{F32937EE-E84D-4182-8385-CDC31242685A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67.0%]   -   [SOLD » 120 PAX]_x000D_
[WEEKLY » 21 PAX] - [TO-DAY » NIL] - [Y-DAY » 2]_x000D_
[LOWESTAVAIL » O6] - [CAPACITY » 179] - [LST-SOLD » 28-NOV]_x000D_
{CLASSES}_x000D_
O9 &amp; I25 &amp; P86</t>
        </r>
      </text>
    </comment>
    <comment ref="E552" authorId="0" shapeId="0" xr:uid="{67D12664-8118-449C-9BC4-7698A6FF77B5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67.0%]   -   [SOLD » 120 PAX]_x000D_
[WEEKLY » 21 PAX] - [TO-DAY » NIL] - [Y-DAY » 2]_x000D_
[LOWESTAVAIL » O6] - [CAPACITY » 179] - [LST-SOLD » 28-NOV]_x000D_
{CLASSES}_x000D_
O9 &amp; I25 &amp; P86</t>
        </r>
      </text>
    </comment>
    <comment ref="F552" authorId="0" shapeId="0" xr:uid="{B150A83C-F39B-4CE5-BACF-8A379FC3046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67.0%]   -   [SOLD » 120 PAX]_x000D_
[WEEKLY » 21 PAX] - [TO-DAY » NIL] - [Y-DAY » 2]_x000D_
[LOWESTAVAIL » O6] - [CAPACITY » 179] - [LST-SOLD » 28-NOV]_x000D_
{CLASSES}_x000D_
O9 &amp; I25 &amp; P86</t>
        </r>
      </text>
    </comment>
    <comment ref="G552" authorId="0" shapeId="0" xr:uid="{3F595EA5-C7BA-4506-8123-2F5BF903B07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67.0%]   -   [SOLD » 120 PAX]_x000D_
[WEEKLY » 21 PAX] - [TO-DAY » NIL] - [Y-DAY » 2]_x000D_
[LOWESTAVAIL » O6] - [CAPACITY » 179] - [LST-SOLD » 28-NOV]_x000D_
{CLASSES}_x000D_
O9 &amp; I25 &amp; P86</t>
        </r>
      </text>
    </comment>
    <comment ref="H552" authorId="0" shapeId="0" xr:uid="{C8FD7DB6-6D27-4D74-BF89-52B57B09D93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67.0%]   -   [SOLD » 120 PAX]_x000D_
[WEEKLY » 21 PAX] - [TO-DAY » NIL] - [Y-DAY » 2]_x000D_
[LOWESTAVAIL » O6] - [CAPACITY » 179] - [LST-SOLD » 28-NOV]_x000D_
{CLASSES}_x000D_
O9 &amp; I25 &amp; P86</t>
        </r>
      </text>
    </comment>
    <comment ref="A553" authorId="0" shapeId="0" xr:uid="{907EE1FB-9D7D-4D13-83B8-8463A415EDA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13.4%]   -   [SOLD » 24 PAX]_x000D_
[WEEKLY » 3 PAX] - [TO-DAY » NIL] - [Y-DAY » 1]_x000D_
[LOWESTAVAIL » O9] - [CAPACITY » 179] - [LST-SOLD » 28-NOV]_x000D_
{CLASSES}_x000D_
S1 &amp; U2 &amp; O11 &amp; I10</t>
        </r>
      </text>
    </comment>
    <comment ref="B553" authorId="0" shapeId="0" xr:uid="{D501E888-1311-480B-9A0B-18944D0B83E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13.4%]   -   [SOLD » 24 PAX]_x000D_
[WEEKLY » 3 PAX] - [TO-DAY » NIL] - [Y-DAY » 1]_x000D_
[LOWESTAVAIL » O9] - [CAPACITY » 179] - [LST-SOLD » 28-NOV]_x000D_
{CLASSES}_x000D_
S1 &amp; U2 &amp; O11 &amp; I10</t>
        </r>
      </text>
    </comment>
    <comment ref="C553" authorId="0" shapeId="0" xr:uid="{72C79EEA-A658-4C49-8B3C-AD5BA369531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13.4%]   -   [SOLD » 24 PAX]_x000D_
[WEEKLY » 3 PAX] - [TO-DAY » NIL] - [Y-DAY » 1]_x000D_
[LOWESTAVAIL » O9] - [CAPACITY » 179] - [LST-SOLD » 28-NOV]_x000D_
{CLASSES}_x000D_
S1 &amp; U2 &amp; O11 &amp; I10</t>
        </r>
      </text>
    </comment>
    <comment ref="D553" authorId="0" shapeId="0" xr:uid="{48C57C71-4026-4D63-8DCB-C4C4E415B6E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13.4%]   -   [SOLD » 24 PAX]_x000D_
[WEEKLY » 3 PAX] - [TO-DAY » NIL] - [Y-DAY » 1]_x000D_
[LOWESTAVAIL » O9] - [CAPACITY » 179] - [LST-SOLD » 28-NOV]_x000D_
{CLASSES}_x000D_
S1 &amp; U2 &amp; O11 &amp; I10</t>
        </r>
      </text>
    </comment>
    <comment ref="E553" authorId="0" shapeId="0" xr:uid="{33A00FDA-3278-4478-84AC-4A0D65731F6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13.4%]   -   [SOLD » 24 PAX]_x000D_
[WEEKLY » 3 PAX] - [TO-DAY » NIL] - [Y-DAY » 1]_x000D_
[LOWESTAVAIL » O9] - [CAPACITY » 179] - [LST-SOLD » 28-NOV]_x000D_
{CLASSES}_x000D_
S1 &amp; U2 &amp; O11 &amp; I10</t>
        </r>
      </text>
    </comment>
    <comment ref="F553" authorId="0" shapeId="0" xr:uid="{A949E385-2561-4C18-9F99-6D4A83B2A05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13.4%]   -   [SOLD » 24 PAX]_x000D_
[WEEKLY » 3 PAX] - [TO-DAY » NIL] - [Y-DAY » 1]_x000D_
[LOWESTAVAIL » O9] - [CAPACITY » 179] - [LST-SOLD » 28-NOV]_x000D_
{CLASSES}_x000D_
S1 &amp; U2 &amp; O11 &amp; I10</t>
        </r>
      </text>
    </comment>
    <comment ref="G553" authorId="0" shapeId="0" xr:uid="{C05725B7-9DBF-4A92-A0EB-AAC3DA00F34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13.4%]   -   [SOLD » 24 PAX]_x000D_
[WEEKLY » 3 PAX] - [TO-DAY » NIL] - [Y-DAY » 1]_x000D_
[LOWESTAVAIL » O9] - [CAPACITY » 179] - [LST-SOLD » 28-NOV]_x000D_
{CLASSES}_x000D_
S1 &amp; U2 &amp; O11 &amp; I10</t>
        </r>
      </text>
    </comment>
    <comment ref="H553" authorId="0" shapeId="0" xr:uid="{190F0812-3F62-4D4F-BF2A-F965549AD05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13.4%]   -   [SOLD » 24 PAX]_x000D_
[WEEKLY » 3 PAX] - [TO-DAY » NIL] - [Y-DAY » 1]_x000D_
[LOWESTAVAIL » O9] - [CAPACITY » 179] - [LST-SOLD » 28-NOV]_x000D_
{CLASSES}_x000D_
S1 &amp; U2 &amp; O11 &amp; I10</t>
        </r>
      </text>
    </comment>
    <comment ref="A554" authorId="0" shapeId="0" xr:uid="{9FB3F0F5-2C77-40F4-8F6F-3C335A982216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2]_x000D_
[LOWESTAVAIL » O8] - [CAPACITY » 179] - [LST-SOLD » 28-NOV]_x000D_
{CLASSES}_x000D_
O2 &amp; I20</t>
        </r>
      </text>
    </comment>
    <comment ref="B554" authorId="0" shapeId="0" xr:uid="{CB60B777-97C7-402B-A8C1-4FC3B3E507AB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2]_x000D_
[LOWESTAVAIL » O8] - [CAPACITY » 179] - [LST-SOLD » 28-NOV]_x000D_
{CLASSES}_x000D_
O2 &amp; I20</t>
        </r>
      </text>
    </comment>
    <comment ref="C554" authorId="0" shapeId="0" xr:uid="{8D661D46-67A9-4EE2-9817-748097B365B6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2]_x000D_
[LOWESTAVAIL » O8] - [CAPACITY » 179] - [LST-SOLD » 28-NOV]_x000D_
{CLASSES}_x000D_
O2 &amp; I20</t>
        </r>
      </text>
    </comment>
    <comment ref="D554" authorId="0" shapeId="0" xr:uid="{B4BFE04B-E82C-40CB-8263-3EA513D19F9B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2]_x000D_
[LOWESTAVAIL » O8] - [CAPACITY » 179] - [LST-SOLD » 28-NOV]_x000D_
{CLASSES}_x000D_
O2 &amp; I20</t>
        </r>
      </text>
    </comment>
    <comment ref="E554" authorId="0" shapeId="0" xr:uid="{B00072F9-2BD2-41C0-9A0A-15FD9A6AEA9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2]_x000D_
[LOWESTAVAIL » O8] - [CAPACITY » 179] - [LST-SOLD » 28-NOV]_x000D_
{CLASSES}_x000D_
O2 &amp; I20</t>
        </r>
      </text>
    </comment>
    <comment ref="F554" authorId="0" shapeId="0" xr:uid="{27F08186-89E6-446B-864E-12EF44585B82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2]_x000D_
[LOWESTAVAIL » O8] - [CAPACITY » 179] - [LST-SOLD » 28-NOV]_x000D_
{CLASSES}_x000D_
O2 &amp; I20</t>
        </r>
      </text>
    </comment>
    <comment ref="G554" authorId="0" shapeId="0" xr:uid="{E27B4BF6-3069-4861-A257-31C37545445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2]_x000D_
[LOWESTAVAIL » O8] - [CAPACITY » 179] - [LST-SOLD » 28-NOV]_x000D_
{CLASSES}_x000D_
O2 &amp; I20</t>
        </r>
      </text>
    </comment>
    <comment ref="H554" authorId="0" shapeId="0" xr:uid="{D966A5AD-D345-4E17-ADC6-9C653AE5633C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2]_x000D_
[LOWESTAVAIL » O8] - [CAPACITY » 179] - [LST-SOLD » 28-NOV]_x000D_
{CLASSES}_x000D_
O2 &amp; I20</t>
        </r>
      </text>
    </comment>
    <comment ref="A557" authorId="0" shapeId="0" xr:uid="{B0F96C2D-AE4D-49AB-847D-FDA10A2BD0D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13 PAX] - [TO-DAY » 1 PAX] - [Y-DAY » NIL]_x000D_
[LOWESTAVAIL » U6] - [CAPACITY » 179] - [LST-SOLD » 29-NOV]_x000D_
{CLASSES}_x000D_
O15 &amp; I10 &amp; E45 &amp; P87 &amp; N2</t>
        </r>
      </text>
    </comment>
    <comment ref="B557" authorId="0" shapeId="0" xr:uid="{8F858EE9-A886-4E40-9F98-85E14D03603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13 PAX] - [TO-DAY » 1 PAX] - [Y-DAY » NIL]_x000D_
[LOWESTAVAIL » U6] - [CAPACITY » 179] - [LST-SOLD » 29-NOV]_x000D_
{CLASSES}_x000D_
O15 &amp; I10 &amp; E45 &amp; P87 &amp; N2</t>
        </r>
      </text>
    </comment>
    <comment ref="C557" authorId="0" shapeId="0" xr:uid="{FB933BEC-BADC-4DBE-9887-9A135AADD80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13 PAX] - [TO-DAY » 1 PAX] - [Y-DAY » NIL]_x000D_
[LOWESTAVAIL » U6] - [CAPACITY » 179] - [LST-SOLD » 29-NOV]_x000D_
{CLASSES}_x000D_
O15 &amp; I10 &amp; E45 &amp; P87 &amp; N2</t>
        </r>
      </text>
    </comment>
    <comment ref="D557" authorId="0" shapeId="0" xr:uid="{D9787772-F0C7-4D26-96F7-135E7108CAD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13 PAX] - [TO-DAY » 1 PAX] - [Y-DAY » NIL]_x000D_
[LOWESTAVAIL » U6] - [CAPACITY » 179] - [LST-SOLD » 29-NOV]_x000D_
{CLASSES}_x000D_
O15 &amp; I10 &amp; E45 &amp; P87 &amp; N2</t>
        </r>
      </text>
    </comment>
    <comment ref="E557" authorId="0" shapeId="0" xr:uid="{35368189-AFB9-465B-B1FD-5E9B1AC52DC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13 PAX] - [TO-DAY » 1 PAX] - [Y-DAY » NIL]_x000D_
[LOWESTAVAIL » U6] - [CAPACITY » 179] - [LST-SOLD » 29-NOV]_x000D_
{CLASSES}_x000D_
O15 &amp; I10 &amp; E45 &amp; P87 &amp; N2</t>
        </r>
      </text>
    </comment>
    <comment ref="F557" authorId="0" shapeId="0" xr:uid="{650B1C66-C255-41AD-AEF6-3FBC0B23838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13 PAX] - [TO-DAY » 1 PAX] - [Y-DAY » NIL]_x000D_
[LOWESTAVAIL » U6] - [CAPACITY » 179] - [LST-SOLD » 29-NOV]_x000D_
{CLASSES}_x000D_
O15 &amp; I10 &amp; E45 &amp; P87 &amp; N2</t>
        </r>
      </text>
    </comment>
    <comment ref="G557" authorId="0" shapeId="0" xr:uid="{112B3031-6C88-4124-8709-831E8CCA043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13 PAX] - [TO-DAY » 1 PAX] - [Y-DAY » NIL]_x000D_
[LOWESTAVAIL » U6] - [CAPACITY » 179] - [LST-SOLD » 29-NOV]_x000D_
{CLASSES}_x000D_
O15 &amp; I10 &amp; E45 &amp; P87 &amp; N2</t>
        </r>
      </text>
    </comment>
    <comment ref="H557" authorId="0" shapeId="0" xr:uid="{F24011FD-6B32-4C83-A344-C5DEBCA9278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13 PAX] - [TO-DAY » 1 PAX] - [Y-DAY » NIL]_x000D_
[LOWESTAVAIL » U6] - [CAPACITY » 179] - [LST-SOLD » 29-NOV]_x000D_
{CLASSES}_x000D_
O15 &amp; I10 &amp; E45 &amp; P87 &amp; N2</t>
        </r>
      </text>
    </comment>
    <comment ref="A558" authorId="0" shapeId="0" xr:uid="{1B9E71AA-DCD8-429C-A1C2-0D5554B9023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[SOLD » 132 PAX]_x000D_
[WEEKLY » 17 PAX] - [TO-DAY » 2 PAX] - [Y-DAY » 1]_x000D_
[LOWESTAVAIL » U8] - [CAPACITY » 179] - [LST-SOLD » 29-NOV]_x000D_
{CLASSES}_x000D_
S2 &amp; X1 &amp; U3 &amp; O20 &amp; I10 &amp; P96</t>
        </r>
      </text>
    </comment>
    <comment ref="B558" authorId="0" shapeId="0" xr:uid="{6B7EDE61-7015-4DEC-ACF6-5E3D0073AA7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[SOLD » 132 PAX]_x000D_
[WEEKLY » 17 PAX] - [TO-DAY » 2 PAX] - [Y-DAY » 1]_x000D_
[LOWESTAVAIL » U8] - [CAPACITY » 179] - [LST-SOLD » 29-NOV]_x000D_
{CLASSES}_x000D_
S2 &amp; X1 &amp; U3 &amp; O20 &amp; I10 &amp; P96</t>
        </r>
      </text>
    </comment>
    <comment ref="C558" authorId="0" shapeId="0" xr:uid="{66D9F0E7-EAB6-4C13-A852-174228D20804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[SOLD » 132 PAX]_x000D_
[WEEKLY » 17 PAX] - [TO-DAY » 2 PAX] - [Y-DAY » 1]_x000D_
[LOWESTAVAIL » U8] - [CAPACITY » 179] - [LST-SOLD » 29-NOV]_x000D_
{CLASSES}_x000D_
S2 &amp; X1 &amp; U3 &amp; O20 &amp; I10 &amp; P96</t>
        </r>
      </text>
    </comment>
    <comment ref="D558" authorId="0" shapeId="0" xr:uid="{51722C45-E305-4F3E-A8E8-A201EE6352F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[SOLD » 132 PAX]_x000D_
[WEEKLY » 17 PAX] - [TO-DAY » 2 PAX] - [Y-DAY » 1]_x000D_
[LOWESTAVAIL » U8] - [CAPACITY » 179] - [LST-SOLD » 29-NOV]_x000D_
{CLASSES}_x000D_
S2 &amp; X1 &amp; U3 &amp; O20 &amp; I10 &amp; P96</t>
        </r>
      </text>
    </comment>
    <comment ref="E558" authorId="0" shapeId="0" xr:uid="{6DB944C3-D37B-4918-98C7-78AD30CF3F7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[SOLD » 132 PAX]_x000D_
[WEEKLY » 17 PAX] - [TO-DAY » 2 PAX] - [Y-DAY » 1]_x000D_
[LOWESTAVAIL » U8] - [CAPACITY » 179] - [LST-SOLD » 29-NOV]_x000D_
{CLASSES}_x000D_
S2 &amp; X1 &amp; U3 &amp; O20 &amp; I10 &amp; P96</t>
        </r>
      </text>
    </comment>
    <comment ref="F558" authorId="0" shapeId="0" xr:uid="{6D0A801E-FD48-47A4-82DD-C72EEDF52393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[SOLD » 132 PAX]_x000D_
[WEEKLY » 17 PAX] - [TO-DAY » 2 PAX] - [Y-DAY » 1]_x000D_
[LOWESTAVAIL » U8] - [CAPACITY » 179] - [LST-SOLD » 29-NOV]_x000D_
{CLASSES}_x000D_
S2 &amp; X1 &amp; U3 &amp; O20 &amp; I10 &amp; P96</t>
        </r>
      </text>
    </comment>
    <comment ref="G558" authorId="0" shapeId="0" xr:uid="{4CC42AA7-4743-4DD0-9287-484AB1D88D7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[SOLD » 132 PAX]_x000D_
[WEEKLY » 17 PAX] - [TO-DAY » 2 PAX] - [Y-DAY » 1]_x000D_
[LOWESTAVAIL » U8] - [CAPACITY » 179] - [LST-SOLD » 29-NOV]_x000D_
{CLASSES}_x000D_
S2 &amp; X1 &amp; U3 &amp; O20 &amp; I10 &amp; P96</t>
        </r>
      </text>
    </comment>
    <comment ref="H558" authorId="0" shapeId="0" xr:uid="{885073D3-D543-4390-AEA7-7A10AAF1978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73.7%]   -   [SOLD » 132 PAX]_x000D_
[WEEKLY » 17 PAX] - [TO-DAY » 2 PAX] - [Y-DAY » 1]_x000D_
[LOWESTAVAIL » U8] - [CAPACITY » 179] - [LST-SOLD » 29-NOV]_x000D_
{CLASSES}_x000D_
S2 &amp; X1 &amp; U3 &amp; O20 &amp; I10 &amp; P96</t>
        </r>
      </text>
    </comment>
    <comment ref="A560" authorId="0" shapeId="0" xr:uid="{4EAE5C20-84CF-4DF4-A9F5-4DAF83511530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5 PAX] - [TO-DAY » NIL] - [Y-DAY » NIL]_x000D_
[LOWESTAVAIL » X4] - [CAPACITY » 179] - [LST-SOLD » 24-NOV]_x000D_
{CLASSES}_x000D_
O6 &amp; I20 &amp; P133</t>
        </r>
      </text>
    </comment>
    <comment ref="B560" authorId="0" shapeId="0" xr:uid="{60B372DC-A873-4AA3-97DA-C0586D2E387C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5 PAX] - [TO-DAY » NIL] - [Y-DAY » NIL]_x000D_
[LOWESTAVAIL » X4] - [CAPACITY » 179] - [LST-SOLD » 24-NOV]_x000D_
{CLASSES}_x000D_
O6 &amp; I20 &amp; P133</t>
        </r>
      </text>
    </comment>
    <comment ref="C560" authorId="0" shapeId="0" xr:uid="{72F5B2A5-D962-4EBC-B9C7-2F4BB0F6F4E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5 PAX] - [TO-DAY » NIL] - [Y-DAY » NIL]_x000D_
[LOWESTAVAIL » X4] - [CAPACITY » 179] - [LST-SOLD » 24-NOV]_x000D_
{CLASSES}_x000D_
O6 &amp; I20 &amp; P133</t>
        </r>
      </text>
    </comment>
    <comment ref="D560" authorId="0" shapeId="0" xr:uid="{980512B8-7597-4942-A4B0-F6FE1BF1487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5 PAX] - [TO-DAY » NIL] - [Y-DAY » NIL]_x000D_
[LOWESTAVAIL » X4] - [CAPACITY » 179] - [LST-SOLD » 24-NOV]_x000D_
{CLASSES}_x000D_
O6 &amp; I20 &amp; P133</t>
        </r>
      </text>
    </comment>
    <comment ref="E560" authorId="0" shapeId="0" xr:uid="{FDDD2C0E-39C0-4A02-AF25-0A667C4971A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5 PAX] - [TO-DAY » NIL] - [Y-DAY » NIL]_x000D_
[LOWESTAVAIL » X4] - [CAPACITY » 179] - [LST-SOLD » 24-NOV]_x000D_
{CLASSES}_x000D_
O6 &amp; I20 &amp; P133</t>
        </r>
      </text>
    </comment>
    <comment ref="F560" authorId="0" shapeId="0" xr:uid="{EB9554CB-7A35-4D20-B0BE-943B00D34AC6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5 PAX] - [TO-DAY » NIL] - [Y-DAY » NIL]_x000D_
[LOWESTAVAIL » X4] - [CAPACITY » 179] - [LST-SOLD » 24-NOV]_x000D_
{CLASSES}_x000D_
O6 &amp; I20 &amp; P133</t>
        </r>
      </text>
    </comment>
    <comment ref="G560" authorId="0" shapeId="0" xr:uid="{F031398A-6EBD-458B-B670-663C56A71A5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5 PAX] - [TO-DAY » NIL] - [Y-DAY » NIL]_x000D_
[LOWESTAVAIL » X4] - [CAPACITY » 179] - [LST-SOLD » 24-NOV]_x000D_
{CLASSES}_x000D_
O6 &amp; I20 &amp; P133</t>
        </r>
      </text>
    </comment>
    <comment ref="H560" authorId="0" shapeId="0" xr:uid="{F1E35C28-5B45-4FE9-8AAA-1E4A4C0534C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5 PAX] - [TO-DAY » NIL] - [Y-DAY » NIL]_x000D_
[LOWESTAVAIL » X4] - [CAPACITY » 179] - [LST-SOLD » 24-NOV]_x000D_
{CLASSES}_x000D_
O6 &amp; I20 &amp; P133</t>
        </r>
      </text>
    </comment>
    <comment ref="A595" authorId="0" shapeId="0" xr:uid="{2F63DF73-C0D5-483F-A74B-AA5F032B008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25.7%]   -   [SOLD » 46 PAX]_x000D_
[WEEKLY » 16 PAX] - [TO-DAY » 1 PAX] - [Y-DAY » 1]_x000D_
[LOWESTAVAIL » O6] - [CAPACITY » 179] - [LST-SOLD » 29-NOV]_x000D_
{CLASSES}_x000D_
S7 &amp; U5 &amp; O24 &amp; I10</t>
        </r>
      </text>
    </comment>
    <comment ref="B595" authorId="0" shapeId="0" xr:uid="{5484699E-6BB5-4C17-9A4F-B6AE3E7219E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25.7%]   -   [SOLD » 46 PAX]_x000D_
[WEEKLY » 16 PAX] - [TO-DAY » 1 PAX] - [Y-DAY » 1]_x000D_
[LOWESTAVAIL » O6] - [CAPACITY » 179] - [LST-SOLD » 29-NOV]_x000D_
{CLASSES}_x000D_
S7 &amp; U5 &amp; O24 &amp; I10</t>
        </r>
      </text>
    </comment>
    <comment ref="C595" authorId="0" shapeId="0" xr:uid="{043FEDEB-21D6-4641-B1AC-27C2F1F9CC5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25.7%]   -   [SOLD » 46 PAX]_x000D_
[WEEKLY » 16 PAX] - [TO-DAY » 1 PAX] - [Y-DAY » 1]_x000D_
[LOWESTAVAIL » O6] - [CAPACITY » 179] - [LST-SOLD » 29-NOV]_x000D_
{CLASSES}_x000D_
S7 &amp; U5 &amp; O24 &amp; I10</t>
        </r>
      </text>
    </comment>
    <comment ref="D595" authorId="0" shapeId="0" xr:uid="{31167F72-82A9-4277-A7F3-5515D40889F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25.7%]   -   [SOLD » 46 PAX]_x000D_
[WEEKLY » 16 PAX] - [TO-DAY » 1 PAX] - [Y-DAY » 1]_x000D_
[LOWESTAVAIL » O6] - [CAPACITY » 179] - [LST-SOLD » 29-NOV]_x000D_
{CLASSES}_x000D_
S7 &amp; U5 &amp; O24 &amp; I10</t>
        </r>
      </text>
    </comment>
    <comment ref="E595" authorId="0" shapeId="0" xr:uid="{5230CBBC-318C-4A6F-8B7C-C251E5F0974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25.7%]   -   [SOLD » 46 PAX]_x000D_
[WEEKLY » 16 PAX] - [TO-DAY » 1 PAX] - [Y-DAY » 1]_x000D_
[LOWESTAVAIL » O6] - [CAPACITY » 179] - [LST-SOLD » 29-NOV]_x000D_
{CLASSES}_x000D_
S7 &amp; U5 &amp; O24 &amp; I10</t>
        </r>
      </text>
    </comment>
    <comment ref="F595" authorId="0" shapeId="0" xr:uid="{21413497-0E47-4ABA-B00E-D9BB56E54E2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25.7%]   -   [SOLD » 46 PAX]_x000D_
[WEEKLY » 16 PAX] - [TO-DAY » 1 PAX] - [Y-DAY » 1]_x000D_
[LOWESTAVAIL » O6] - [CAPACITY » 179] - [LST-SOLD » 29-NOV]_x000D_
{CLASSES}_x000D_
S7 &amp; U5 &amp; O24 &amp; I10</t>
        </r>
      </text>
    </comment>
    <comment ref="G595" authorId="0" shapeId="0" xr:uid="{11B8E9D1-E799-4D23-87F2-D907C7200A8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25.7%]   -   [SOLD » 46 PAX]_x000D_
[WEEKLY » 16 PAX] - [TO-DAY » 1 PAX] - [Y-DAY » 1]_x000D_
[LOWESTAVAIL » O6] - [CAPACITY » 179] - [LST-SOLD » 29-NOV]_x000D_
{CLASSES}_x000D_
S7 &amp; U5 &amp; O24 &amp; I10</t>
        </r>
      </text>
    </comment>
    <comment ref="H595" authorId="0" shapeId="0" xr:uid="{692BD18C-A78E-4824-8E23-2AA73AA06F1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25.7%]   -   [SOLD » 46 PAX]_x000D_
[WEEKLY » 16 PAX] - [TO-DAY » 1 PAX] - [Y-DAY » 1]_x000D_
[LOWESTAVAIL » O6] - [CAPACITY » 179] - [LST-SOLD » 29-NOV]_x000D_
{CLASSES}_x000D_
S7 &amp; U5 &amp; O24 &amp; I10</t>
        </r>
      </text>
    </comment>
    <comment ref="A596" authorId="0" shapeId="0" xr:uid="{EFACF621-468D-4F33-BE6F-3F07F044595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23.5%]   -   [SOLD » 42 PAX]_x000D_
[WEEKLY » 11 PAX] - [TO-DAY » NIL] - [Y-DAY » 1]_x000D_
[LOWESTAVAIL » O6] - [CAPACITY » 179] - [LST-SOLD » 28-NOV]_x000D_
{CLASSES}_x000D_
S2 &amp; U3 &amp; O24 &amp; I10 &amp; P3</t>
        </r>
      </text>
    </comment>
    <comment ref="B596" authorId="0" shapeId="0" xr:uid="{8720FF47-38F7-4A48-8E31-95374B8FAF8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23.5%]   -   [SOLD » 42 PAX]_x000D_
[WEEKLY » 11 PAX] - [TO-DAY » NIL] - [Y-DAY » 1]_x000D_
[LOWESTAVAIL » O6] - [CAPACITY » 179] - [LST-SOLD » 28-NOV]_x000D_
{CLASSES}_x000D_
S2 &amp; U3 &amp; O24 &amp; I10 &amp; P3</t>
        </r>
      </text>
    </comment>
    <comment ref="C596" authorId="0" shapeId="0" xr:uid="{F99806E0-C220-4767-A08A-D8C8E5F8CD6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23.5%]   -   [SOLD » 42 PAX]_x000D_
[WEEKLY » 11 PAX] - [TO-DAY » NIL] - [Y-DAY » 1]_x000D_
[LOWESTAVAIL » O6] - [CAPACITY » 179] - [LST-SOLD » 28-NOV]_x000D_
{CLASSES}_x000D_
S2 &amp; U3 &amp; O24 &amp; I10 &amp; P3</t>
        </r>
      </text>
    </comment>
    <comment ref="D596" authorId="0" shapeId="0" xr:uid="{D0218835-1E15-4142-9486-FA2D87EB50C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23.5%]   -   [SOLD » 42 PAX]_x000D_
[WEEKLY » 11 PAX] - [TO-DAY » NIL] - [Y-DAY » 1]_x000D_
[LOWESTAVAIL » O6] - [CAPACITY » 179] - [LST-SOLD » 28-NOV]_x000D_
{CLASSES}_x000D_
S2 &amp; U3 &amp; O24 &amp; I10 &amp; P3</t>
        </r>
      </text>
    </comment>
    <comment ref="E596" authorId="0" shapeId="0" xr:uid="{31465651-F9AB-4157-BEAA-A906AB676AEA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23.5%]   -   [SOLD » 42 PAX]_x000D_
[WEEKLY » 11 PAX] - [TO-DAY » NIL] - [Y-DAY » 1]_x000D_
[LOWESTAVAIL » O6] - [CAPACITY » 179] - [LST-SOLD » 28-NOV]_x000D_
{CLASSES}_x000D_
S2 &amp; U3 &amp; O24 &amp; I10 &amp; P3</t>
        </r>
      </text>
    </comment>
    <comment ref="F596" authorId="0" shapeId="0" xr:uid="{5508AB91-101D-4F78-BD0F-DB60D69F848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23.5%]   -   [SOLD » 42 PAX]_x000D_
[WEEKLY » 11 PAX] - [TO-DAY » NIL] - [Y-DAY » 1]_x000D_
[LOWESTAVAIL » O6] - [CAPACITY » 179] - [LST-SOLD » 28-NOV]_x000D_
{CLASSES}_x000D_
S2 &amp; U3 &amp; O24 &amp; I10 &amp; P3</t>
        </r>
      </text>
    </comment>
    <comment ref="G596" authorId="0" shapeId="0" xr:uid="{1AE2CFC6-3FA0-4187-B4A5-D8EDDB33AC0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23.5%]   -   [SOLD » 42 PAX]_x000D_
[WEEKLY » 11 PAX] - [TO-DAY » NIL] - [Y-DAY » 1]_x000D_
[LOWESTAVAIL » O6] - [CAPACITY » 179] - [LST-SOLD » 28-NOV]_x000D_
{CLASSES}_x000D_
S2 &amp; U3 &amp; O24 &amp; I10 &amp; P3</t>
        </r>
      </text>
    </comment>
    <comment ref="H596" authorId="0" shapeId="0" xr:uid="{E2EA5B51-BEFD-47AE-BEB1-4EC563E93F9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23.5%]   -   [SOLD » 42 PAX]_x000D_
[WEEKLY » 11 PAX] - [TO-DAY » NIL] - [Y-DAY » 1]_x000D_
[LOWESTAVAIL » O6] - [CAPACITY » 179] - [LST-SOLD » 28-NOV]_x000D_
{CLASSES}_x000D_
S2 &amp; U3 &amp; O24 &amp; I10 &amp; P3</t>
        </r>
      </text>
    </comment>
    <comment ref="A600" authorId="0" shapeId="0" xr:uid="{D6429931-5FD2-4B7C-ACCC-EB6FC7A9744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[SOLD » 169 PAX]_x000D_
[WEEKLY » 6 PAX] - [TO-DAY » NIL] - [Y-DAY » 2]_x000D_
[LOWESTAVAIL » U5] - [CAPACITY » 179] - [LST-SOLD » 28-NOV]_x000D_
{CLASSES}_x000D_
S8 &amp; U4 &amp; O10 &amp; I10 &amp; P137</t>
        </r>
      </text>
    </comment>
    <comment ref="B600" authorId="0" shapeId="0" xr:uid="{2FD03D85-BF02-4EDC-ADF8-D569678CA71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[SOLD » 169 PAX]_x000D_
[WEEKLY » 6 PAX] - [TO-DAY » NIL] - [Y-DAY » 2]_x000D_
[LOWESTAVAIL » U5] - [CAPACITY » 179] - [LST-SOLD » 28-NOV]_x000D_
{CLASSES}_x000D_
S8 &amp; U4 &amp; O10 &amp; I10 &amp; P137</t>
        </r>
      </text>
    </comment>
    <comment ref="C600" authorId="0" shapeId="0" xr:uid="{FACACA19-D126-494E-865F-5D40838152F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[SOLD » 169 PAX]_x000D_
[WEEKLY » 6 PAX] - [TO-DAY » NIL] - [Y-DAY » 2]_x000D_
[LOWESTAVAIL » U5] - [CAPACITY » 179] - [LST-SOLD » 28-NOV]_x000D_
{CLASSES}_x000D_
S8 &amp; U4 &amp; O10 &amp; I10 &amp; P137</t>
        </r>
      </text>
    </comment>
    <comment ref="D600" authorId="0" shapeId="0" xr:uid="{BEC41643-5405-4A17-9C44-C0F9397DEF3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[SOLD » 169 PAX]_x000D_
[WEEKLY » 6 PAX] - [TO-DAY » NIL] - [Y-DAY » 2]_x000D_
[LOWESTAVAIL » U5] - [CAPACITY » 179] - [LST-SOLD » 28-NOV]_x000D_
{CLASSES}_x000D_
S8 &amp; U4 &amp; O10 &amp; I10 &amp; P137</t>
        </r>
      </text>
    </comment>
    <comment ref="E600" authorId="0" shapeId="0" xr:uid="{4C796E6E-9AA3-47D3-BB10-782757CA66E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[SOLD » 169 PAX]_x000D_
[WEEKLY » 6 PAX] - [TO-DAY » NIL] - [Y-DAY » 2]_x000D_
[LOWESTAVAIL » U5] - [CAPACITY » 179] - [LST-SOLD » 28-NOV]_x000D_
{CLASSES}_x000D_
S8 &amp; U4 &amp; O10 &amp; I10 &amp; P137</t>
        </r>
      </text>
    </comment>
    <comment ref="F600" authorId="0" shapeId="0" xr:uid="{38D76840-3097-41BE-8F16-4E98AAB656C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[SOLD » 169 PAX]_x000D_
[WEEKLY » 6 PAX] - [TO-DAY » NIL] - [Y-DAY » 2]_x000D_
[LOWESTAVAIL » U5] - [CAPACITY » 179] - [LST-SOLD » 28-NOV]_x000D_
{CLASSES}_x000D_
S8 &amp; U4 &amp; O10 &amp; I10 &amp; P137</t>
        </r>
      </text>
    </comment>
    <comment ref="G600" authorId="0" shapeId="0" xr:uid="{DDBAB4E4-FBD6-43C1-A089-585E4D5C201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[SOLD » 169 PAX]_x000D_
[WEEKLY » 6 PAX] - [TO-DAY » NIL] - [Y-DAY » 2]_x000D_
[LOWESTAVAIL » U5] - [CAPACITY » 179] - [LST-SOLD » 28-NOV]_x000D_
{CLASSES}_x000D_
S8 &amp; U4 &amp; O10 &amp; I10 &amp; P137</t>
        </r>
      </text>
    </comment>
    <comment ref="H600" authorId="0" shapeId="0" xr:uid="{261BEBD0-2C82-4005-8F84-890852062A7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[SOLD » 169 PAX]_x000D_
[WEEKLY » 6 PAX] - [TO-DAY » NIL] - [Y-DAY » 2]_x000D_
[LOWESTAVAIL » U5] - [CAPACITY » 179] - [LST-SOLD » 28-NOV]_x000D_
{CLASSES}_x000D_
S8 &amp; U4 &amp; O10 &amp; I10 &amp; P137</t>
        </r>
      </text>
    </comment>
    <comment ref="A659" authorId="0" shapeId="0" xr:uid="{8D28D003-C9A1-44A4-A026-EC61260A030B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12 PAX] - [TO-DAY » NIL] - [Y-DAY » NIL]_x000D_
[LOWESTAVAIL » I6] - [CAPACITY » 179] - [LST-SOLD » 27-NOV]_x000D_
{CLASSES}_x000D_
S1 &amp; O1 &amp; I24</t>
        </r>
      </text>
    </comment>
    <comment ref="B659" authorId="0" shapeId="0" xr:uid="{B8FE0707-CFB1-4753-BDF3-958C16A6C484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12 PAX] - [TO-DAY » NIL] - [Y-DAY » NIL]_x000D_
[LOWESTAVAIL » I6] - [CAPACITY » 179] - [LST-SOLD » 27-NOV]_x000D_
{CLASSES}_x000D_
S1 &amp; O1 &amp; I24</t>
        </r>
      </text>
    </comment>
    <comment ref="C659" authorId="0" shapeId="0" xr:uid="{51B6550D-C43A-466F-BBA9-96CBE904222F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12 PAX] - [TO-DAY » NIL] - [Y-DAY » NIL]_x000D_
[LOWESTAVAIL » I6] - [CAPACITY » 179] - [LST-SOLD » 27-NOV]_x000D_
{CLASSES}_x000D_
S1 &amp; O1 &amp; I24</t>
        </r>
      </text>
    </comment>
    <comment ref="D659" authorId="0" shapeId="0" xr:uid="{0A43BF3C-AF38-4706-994C-766DAF8633EC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12 PAX] - [TO-DAY » NIL] - [Y-DAY » NIL]_x000D_
[LOWESTAVAIL » I6] - [CAPACITY » 179] - [LST-SOLD » 27-NOV]_x000D_
{CLASSES}_x000D_
S1 &amp; O1 &amp; I24</t>
        </r>
      </text>
    </comment>
    <comment ref="E659" authorId="0" shapeId="0" xr:uid="{09DE61FB-F515-41A1-A772-6057348FF032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12 PAX] - [TO-DAY » NIL] - [Y-DAY » NIL]_x000D_
[LOWESTAVAIL » I6] - [CAPACITY » 179] - [LST-SOLD » 27-NOV]_x000D_
{CLASSES}_x000D_
S1 &amp; O1 &amp; I24</t>
        </r>
      </text>
    </comment>
    <comment ref="F659" authorId="0" shapeId="0" xr:uid="{E1E15482-DB36-498F-A917-9D110F617C83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12 PAX] - [TO-DAY » NIL] - [Y-DAY » NIL]_x000D_
[LOWESTAVAIL » I6] - [CAPACITY » 179] - [LST-SOLD » 27-NOV]_x000D_
{CLASSES}_x000D_
S1 &amp; O1 &amp; I24</t>
        </r>
      </text>
    </comment>
    <comment ref="G659" authorId="0" shapeId="0" xr:uid="{12BBE411-8AC8-4703-ABC1-A62E9FE0B47A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12 PAX] - [TO-DAY » NIL] - [Y-DAY » NIL]_x000D_
[LOWESTAVAIL » I6] - [CAPACITY » 179] - [LST-SOLD » 27-NOV]_x000D_
{CLASSES}_x000D_
S1 &amp; O1 &amp; I24</t>
        </r>
      </text>
    </comment>
    <comment ref="H659" authorId="0" shapeId="0" xr:uid="{B37EC03E-E48E-4788-966F-F4330FF6E0B6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12 PAX] - [TO-DAY » NIL] - [Y-DAY » NIL]_x000D_
[LOWESTAVAIL » I6] - [CAPACITY » 179] - [LST-SOLD » 27-NOV]_x000D_
{CLASSES}_x000D_
S1 &amp; O1 &amp; I24</t>
        </r>
      </text>
    </comment>
    <comment ref="A660" authorId="0" shapeId="0" xr:uid="{3A88BFE5-DDFE-4D38-A6B4-53A020EB61F4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50.3%]   -   [SOLD » 90 PAX]_x000D_
[WEEKLY » 9 PAX] - [TO-DAY » NIL] - [Y-DAY » 5]_x000D_
[LOWESTAVAIL » I3] - [CAPACITY » 179] - [LST-SOLD » 28-NOV]_x000D_
{CLASSES}_x000D_
O4 &amp; I12 &amp; P74</t>
        </r>
      </text>
    </comment>
    <comment ref="B660" authorId="0" shapeId="0" xr:uid="{4858A4BA-C79A-4E79-A62C-B811FFEE9A06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50.3%]   -   [SOLD » 90 PAX]_x000D_
[WEEKLY » 9 PAX] - [TO-DAY » NIL] - [Y-DAY » 5]_x000D_
[LOWESTAVAIL » I3] - [CAPACITY » 179] - [LST-SOLD » 28-NOV]_x000D_
{CLASSES}_x000D_
O4 &amp; I12 &amp; P74</t>
        </r>
      </text>
    </comment>
    <comment ref="C660" authorId="0" shapeId="0" xr:uid="{71C641C5-C657-4ECA-84D6-660CD12BFE03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50.3%]   -   [SOLD » 90 PAX]_x000D_
[WEEKLY » 9 PAX] - [TO-DAY » NIL] - [Y-DAY » 5]_x000D_
[LOWESTAVAIL » I3] - [CAPACITY » 179] - [LST-SOLD » 28-NOV]_x000D_
{CLASSES}_x000D_
O4 &amp; I12 &amp; P74</t>
        </r>
      </text>
    </comment>
    <comment ref="D660" authorId="0" shapeId="0" xr:uid="{E482C41B-2518-4E49-8C17-6C00ADCA9FDF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50.3%]   -   [SOLD » 90 PAX]_x000D_
[WEEKLY » 9 PAX] - [TO-DAY » NIL] - [Y-DAY » 5]_x000D_
[LOWESTAVAIL » I3] - [CAPACITY » 179] - [LST-SOLD » 28-NOV]_x000D_
{CLASSES}_x000D_
O4 &amp; I12 &amp; P74</t>
        </r>
      </text>
    </comment>
    <comment ref="E660" authorId="0" shapeId="0" xr:uid="{2D41C93F-0084-462D-97B4-ADA1B2B380A3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50.3%]   -   [SOLD » 90 PAX]_x000D_
[WEEKLY » 9 PAX] - [TO-DAY » NIL] - [Y-DAY » 5]_x000D_
[LOWESTAVAIL » I3] - [CAPACITY » 179] - [LST-SOLD » 28-NOV]_x000D_
{CLASSES}_x000D_
O4 &amp; I12 &amp; P74</t>
        </r>
      </text>
    </comment>
    <comment ref="F660" authorId="0" shapeId="0" xr:uid="{9627705B-458E-408D-B38B-B24ECCB8AAE7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50.3%]   -   [SOLD » 90 PAX]_x000D_
[WEEKLY » 9 PAX] - [TO-DAY » NIL] - [Y-DAY » 5]_x000D_
[LOWESTAVAIL » I3] - [CAPACITY » 179] - [LST-SOLD » 28-NOV]_x000D_
{CLASSES}_x000D_
O4 &amp; I12 &amp; P74</t>
        </r>
      </text>
    </comment>
    <comment ref="G660" authorId="0" shapeId="0" xr:uid="{055B65E4-1EC0-4CA2-9FE1-939F8926E649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50.3%]   -   [SOLD » 90 PAX]_x000D_
[WEEKLY » 9 PAX] - [TO-DAY » NIL] - [Y-DAY » 5]_x000D_
[LOWESTAVAIL » I3] - [CAPACITY » 179] - [LST-SOLD » 28-NOV]_x000D_
{CLASSES}_x000D_
O4 &amp; I12 &amp; P74</t>
        </r>
      </text>
    </comment>
    <comment ref="H660" authorId="0" shapeId="0" xr:uid="{E28FCD76-F81A-4F81-BD6E-2C57B7A4E585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50.3%]   -   [SOLD » 90 PAX]_x000D_
[WEEKLY » 9 PAX] - [TO-DAY » NIL] - [Y-DAY » 5]_x000D_
[LOWESTAVAIL » I3] - [CAPACITY » 179] - [LST-SOLD » 28-NOV]_x000D_
{CLASSES}_x000D_
O4 &amp; I12 &amp; P74</t>
        </r>
      </text>
    </comment>
    <comment ref="A661" authorId="0" shapeId="0" xr:uid="{F90BD6AB-C775-4762-A9C7-41F663FC34A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NIL] - [Y-DAY » NIL]_x000D_
[LOWESTAVAIL » I6] - [CAPACITY » 179] - [LST-SOLD » 25-NOV]_x000D_
{CLASSES}_x000D_
I19</t>
        </r>
      </text>
    </comment>
    <comment ref="B661" authorId="0" shapeId="0" xr:uid="{1D5061FE-C5E4-4A47-9E29-BDBCA7BBA36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NIL] - [Y-DAY » NIL]_x000D_
[LOWESTAVAIL » I6] - [CAPACITY » 179] - [LST-SOLD » 25-NOV]_x000D_
{CLASSES}_x000D_
I19</t>
        </r>
      </text>
    </comment>
    <comment ref="C661" authorId="0" shapeId="0" xr:uid="{9264B851-C82C-4C2E-808B-F075F6A39E91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NIL] - [Y-DAY » NIL]_x000D_
[LOWESTAVAIL » I6] - [CAPACITY » 179] - [LST-SOLD » 25-NOV]_x000D_
{CLASSES}_x000D_
I19</t>
        </r>
      </text>
    </comment>
    <comment ref="D661" authorId="0" shapeId="0" xr:uid="{714AAD6C-1E7B-40CF-9135-F9B1863AB6DF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NIL] - [Y-DAY » NIL]_x000D_
[LOWESTAVAIL » I6] - [CAPACITY » 179] - [LST-SOLD » 25-NOV]_x000D_
{CLASSES}_x000D_
I19</t>
        </r>
      </text>
    </comment>
    <comment ref="E661" authorId="0" shapeId="0" xr:uid="{F0EDB703-6A54-409E-9C1B-1A1130857F65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NIL] - [Y-DAY » NIL]_x000D_
[LOWESTAVAIL » I6] - [CAPACITY » 179] - [LST-SOLD » 25-NOV]_x000D_
{CLASSES}_x000D_
I19</t>
        </r>
      </text>
    </comment>
    <comment ref="F661" authorId="0" shapeId="0" xr:uid="{2B771A07-AEE3-4003-9491-B9E9B4688C3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NIL] - [Y-DAY » NIL]_x000D_
[LOWESTAVAIL » I6] - [CAPACITY » 179] - [LST-SOLD » 25-NOV]_x000D_
{CLASSES}_x000D_
I19</t>
        </r>
      </text>
    </comment>
    <comment ref="G661" authorId="0" shapeId="0" xr:uid="{F37EE360-E3CF-4E90-9A42-96EF005CC8B7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NIL] - [Y-DAY » NIL]_x000D_
[LOWESTAVAIL » I6] - [CAPACITY » 179] - [LST-SOLD » 25-NOV]_x000D_
{CLASSES}_x000D_
I19</t>
        </r>
      </text>
    </comment>
    <comment ref="H661" authorId="0" shapeId="0" xr:uid="{08B1C8E6-8A99-499F-9F01-3A31D776BBDD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NIL] - [Y-DAY » NIL]_x000D_
[LOWESTAVAIL » I6] - [CAPACITY » 179] - [LST-SOLD » 25-NOV]_x000D_
{CLASSES}_x000D_
I19</t>
        </r>
      </text>
    </comment>
    <comment ref="A662" authorId="0" shapeId="0" xr:uid="{DF2BD055-C391-41A2-ACCE-F1D8B06E9670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12 PAX] - [TO-DAY » NIL] - [Y-DAY » 4]_x000D_
[LOWESTAVAIL » I8] - [CAPACITY » 179] - [LST-SOLD » 28-NOV]_x000D_
{CLASSES}_x000D_
S1 &amp; I22 &amp; P45</t>
        </r>
      </text>
    </comment>
    <comment ref="B662" authorId="0" shapeId="0" xr:uid="{DD5160D8-E644-4180-AF39-4FB7E7F2C58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12 PAX] - [TO-DAY » NIL] - [Y-DAY » 4]_x000D_
[LOWESTAVAIL » I8] - [CAPACITY » 179] - [LST-SOLD » 28-NOV]_x000D_
{CLASSES}_x000D_
S1 &amp; I22 &amp; P45</t>
        </r>
      </text>
    </comment>
    <comment ref="C662" authorId="0" shapeId="0" xr:uid="{E323514B-EEF9-47D8-BA08-5AE37E6C47DA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12 PAX] - [TO-DAY » NIL] - [Y-DAY » 4]_x000D_
[LOWESTAVAIL » I8] - [CAPACITY » 179] - [LST-SOLD » 28-NOV]_x000D_
{CLASSES}_x000D_
S1 &amp; I22 &amp; P45</t>
        </r>
      </text>
    </comment>
    <comment ref="D662" authorId="0" shapeId="0" xr:uid="{F5A510C8-2E30-4A6D-896A-8137913F99CE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12 PAX] - [TO-DAY » NIL] - [Y-DAY » 4]_x000D_
[LOWESTAVAIL » I8] - [CAPACITY » 179] - [LST-SOLD » 28-NOV]_x000D_
{CLASSES}_x000D_
S1 &amp; I22 &amp; P45</t>
        </r>
      </text>
    </comment>
    <comment ref="E662" authorId="0" shapeId="0" xr:uid="{868536A6-FBF3-47B5-8C23-05C3E654BFEC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12 PAX] - [TO-DAY » NIL] - [Y-DAY » 4]_x000D_
[LOWESTAVAIL » I8] - [CAPACITY » 179] - [LST-SOLD » 28-NOV]_x000D_
{CLASSES}_x000D_
S1 &amp; I22 &amp; P45</t>
        </r>
      </text>
    </comment>
    <comment ref="F662" authorId="0" shapeId="0" xr:uid="{659DF459-5D72-40CA-BABF-A496CF2B614E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12 PAX] - [TO-DAY » NIL] - [Y-DAY » 4]_x000D_
[LOWESTAVAIL » I8] - [CAPACITY » 179] - [LST-SOLD » 28-NOV]_x000D_
{CLASSES}_x000D_
S1 &amp; I22 &amp; P45</t>
        </r>
      </text>
    </comment>
    <comment ref="G662" authorId="0" shapeId="0" xr:uid="{C442BB32-9CA6-42A6-9D3D-C26F2028C84D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12 PAX] - [TO-DAY » NIL] - [Y-DAY » 4]_x000D_
[LOWESTAVAIL » I8] - [CAPACITY » 179] - [LST-SOLD » 28-NOV]_x000D_
{CLASSES}_x000D_
S1 &amp; I22 &amp; P45</t>
        </r>
      </text>
    </comment>
    <comment ref="H662" authorId="0" shapeId="0" xr:uid="{BEB2DF08-1DDD-477F-B51A-8CD6028F9F3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12 PAX] - [TO-DAY » NIL] - [Y-DAY » 4]_x000D_
[LOWESTAVAIL » I8] - [CAPACITY » 179] - [LST-SOLD » 28-NOV]_x000D_
{CLASSES}_x000D_
S1 &amp; I22 &amp; P45</t>
        </r>
      </text>
    </comment>
    <comment ref="A666" authorId="0" shapeId="0" xr:uid="{F3A3F4EF-1A1E-4F8D-9492-3EE9A31C07C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11 PAX] - [TO-DAY » 4 PAX] - [Y-DAY » 2]_x000D_
[LOWESTAVAIL » U4] - [CAPACITY » 179] - [LST-SOLD » 29-NOV]_x000D_
{CLASSES}_x000D_
S4 &amp; X2 &amp; U16 &amp; O10 &amp; I10 &amp; P119 &amp; N1</t>
        </r>
      </text>
    </comment>
    <comment ref="B666" authorId="0" shapeId="0" xr:uid="{95DA7A7C-3797-4371-9B51-1889FD685FB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11 PAX] - [TO-DAY » 4 PAX] - [Y-DAY » 2]_x000D_
[LOWESTAVAIL » U4] - [CAPACITY » 179] - [LST-SOLD » 29-NOV]_x000D_
{CLASSES}_x000D_
S4 &amp; X2 &amp; U16 &amp; O10 &amp; I10 &amp; P119 &amp; N1</t>
        </r>
      </text>
    </comment>
    <comment ref="C666" authorId="0" shapeId="0" xr:uid="{0C02078F-48F5-40E2-99E8-FC3BF4191E3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11 PAX] - [TO-DAY » 4 PAX] - [Y-DAY » 2]_x000D_
[LOWESTAVAIL » U4] - [CAPACITY » 179] - [LST-SOLD » 29-NOV]_x000D_
{CLASSES}_x000D_
S4 &amp; X2 &amp; U16 &amp; O10 &amp; I10 &amp; P119 &amp; N1</t>
        </r>
      </text>
    </comment>
    <comment ref="D666" authorId="0" shapeId="0" xr:uid="{CB7F1C71-9D4F-42D6-884E-EA7416D91B7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11 PAX] - [TO-DAY » 4 PAX] - [Y-DAY » 2]_x000D_
[LOWESTAVAIL » U4] - [CAPACITY » 179] - [LST-SOLD » 29-NOV]_x000D_
{CLASSES}_x000D_
S4 &amp; X2 &amp; U16 &amp; O10 &amp; I10 &amp; P119 &amp; N1</t>
        </r>
      </text>
    </comment>
    <comment ref="E666" authorId="0" shapeId="0" xr:uid="{F66C9A10-E214-4C37-9C11-8EDA06F46915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11 PAX] - [TO-DAY » 4 PAX] - [Y-DAY » 2]_x000D_
[LOWESTAVAIL » U4] - [CAPACITY » 179] - [LST-SOLD » 29-NOV]_x000D_
{CLASSES}_x000D_
S4 &amp; X2 &amp; U16 &amp; O10 &amp; I10 &amp; P119 &amp; N1</t>
        </r>
      </text>
    </comment>
    <comment ref="F666" authorId="0" shapeId="0" xr:uid="{FA30B7A5-023A-401C-A655-131AF44F3C4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11 PAX] - [TO-DAY » 4 PAX] - [Y-DAY » 2]_x000D_
[LOWESTAVAIL » U4] - [CAPACITY » 179] - [LST-SOLD » 29-NOV]_x000D_
{CLASSES}_x000D_
S4 &amp; X2 &amp; U16 &amp; O10 &amp; I10 &amp; P119 &amp; N1</t>
        </r>
      </text>
    </comment>
    <comment ref="G666" authorId="0" shapeId="0" xr:uid="{D3A3E71B-9CA9-46FC-97ED-C61290A4E7D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11 PAX] - [TO-DAY » 4 PAX] - [Y-DAY » 2]_x000D_
[LOWESTAVAIL » U4] - [CAPACITY » 179] - [LST-SOLD » 29-NOV]_x000D_
{CLASSES}_x000D_
S4 &amp; X2 &amp; U16 &amp; O10 &amp; I10 &amp; P119 &amp; N1</t>
        </r>
      </text>
    </comment>
    <comment ref="H666" authorId="0" shapeId="0" xr:uid="{FEB37F4D-8BCB-46B2-8F8E-8DEC4A1869A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11 PAX] - [TO-DAY » 4 PAX] - [Y-DAY » 2]_x000D_
[LOWESTAVAIL » U4] - [CAPACITY » 179] - [LST-SOLD » 29-NOV]_x000D_
{CLASSES}_x000D_
S4 &amp; X2 &amp; U16 &amp; O10 &amp; I10 &amp; P119 &amp; N1</t>
        </r>
      </text>
    </comment>
    <comment ref="A667" authorId="0" shapeId="0" xr:uid="{98C3FDA4-3D7D-4838-9D22-BF16021DEAA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6 PAX] - [TO-DAY » NIL] - [Y-DAY » 1]_x000D_
[LOWESTAVAIL » U6] - [CAPACITY » 179] - [LST-SOLD » 28-NOV]_x000D_
{CLASSES}_x000D_
U8 &amp; O10 &amp; I10 &amp; P139</t>
        </r>
      </text>
    </comment>
    <comment ref="B667" authorId="0" shapeId="0" xr:uid="{A7296627-F23B-4134-A83E-15CBD0EFC02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6 PAX] - [TO-DAY » NIL] - [Y-DAY » 1]_x000D_
[LOWESTAVAIL » U6] - [CAPACITY » 179] - [LST-SOLD » 28-NOV]_x000D_
{CLASSES}_x000D_
U8 &amp; O10 &amp; I10 &amp; P139</t>
        </r>
      </text>
    </comment>
    <comment ref="C667" authorId="0" shapeId="0" xr:uid="{1175554A-2F78-42D5-B334-0A8FDE4FB49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6 PAX] - [TO-DAY » NIL] - [Y-DAY » 1]_x000D_
[LOWESTAVAIL » U6] - [CAPACITY » 179] - [LST-SOLD » 28-NOV]_x000D_
{CLASSES}_x000D_
U8 &amp; O10 &amp; I10 &amp; P139</t>
        </r>
      </text>
    </comment>
    <comment ref="D667" authorId="0" shapeId="0" xr:uid="{44B3F302-49CD-4102-A010-2A80B31C238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6 PAX] - [TO-DAY » NIL] - [Y-DAY » 1]_x000D_
[LOWESTAVAIL » U6] - [CAPACITY » 179] - [LST-SOLD » 28-NOV]_x000D_
{CLASSES}_x000D_
U8 &amp; O10 &amp; I10 &amp; P139</t>
        </r>
      </text>
    </comment>
    <comment ref="E667" authorId="0" shapeId="0" xr:uid="{03F39FF9-2264-4C4F-AFC2-2C263523BF2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6 PAX] - [TO-DAY » NIL] - [Y-DAY » 1]_x000D_
[LOWESTAVAIL » U6] - [CAPACITY » 179] - [LST-SOLD » 28-NOV]_x000D_
{CLASSES}_x000D_
U8 &amp; O10 &amp; I10 &amp; P139</t>
        </r>
      </text>
    </comment>
    <comment ref="F667" authorId="0" shapeId="0" xr:uid="{7F782180-BFA1-44D3-9095-1B4E030327F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6 PAX] - [TO-DAY » NIL] - [Y-DAY » 1]_x000D_
[LOWESTAVAIL » U6] - [CAPACITY » 179] - [LST-SOLD » 28-NOV]_x000D_
{CLASSES}_x000D_
U8 &amp; O10 &amp; I10 &amp; P139</t>
        </r>
      </text>
    </comment>
    <comment ref="G667" authorId="0" shapeId="0" xr:uid="{63664E21-430E-49C4-9C71-86E36DFC9F3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6 PAX] - [TO-DAY » NIL] - [Y-DAY » 1]_x000D_
[LOWESTAVAIL » U6] - [CAPACITY » 179] - [LST-SOLD » 28-NOV]_x000D_
{CLASSES}_x000D_
U8 &amp; O10 &amp; I10 &amp; P139</t>
        </r>
      </text>
    </comment>
    <comment ref="H667" authorId="0" shapeId="0" xr:uid="{74E3775F-C370-460A-BA3A-15B5835E112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6 PAX] - [TO-DAY » NIL] - [Y-DAY » 1]_x000D_
[LOWESTAVAIL » U6] - [CAPACITY » 179] - [LST-SOLD » 28-NOV]_x000D_
{CLASSES}_x000D_
U8 &amp; O10 &amp; I10 &amp; P139</t>
        </r>
      </text>
    </comment>
    <comment ref="A685" authorId="0" shapeId="0" xr:uid="{361924F1-C70E-4928-A4B1-AFF53F1EBC1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NIL] - [Y-DAY » NIL]_x000D_
[LOWESTAVAIL » W9] - [CAPACITY » 179] - [LST-SOLD » 27-NOV]_x000D_
{CLASSES}_x000D_
S2 &amp; O3 &amp; I9 &amp; P140 &amp; N2</t>
        </r>
      </text>
    </comment>
    <comment ref="B685" authorId="0" shapeId="0" xr:uid="{1F2F29BA-2A32-480A-B0D3-40F269AA629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NIL] - [Y-DAY » NIL]_x000D_
[LOWESTAVAIL » W9] - [CAPACITY » 179] - [LST-SOLD » 27-NOV]_x000D_
{CLASSES}_x000D_
S2 &amp; O3 &amp; I9 &amp; P140 &amp; N2</t>
        </r>
      </text>
    </comment>
    <comment ref="C685" authorId="0" shapeId="0" xr:uid="{9CA12956-A7C9-4322-A9E8-2026B625C33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NIL] - [Y-DAY » NIL]_x000D_
[LOWESTAVAIL » W9] - [CAPACITY » 179] - [LST-SOLD » 27-NOV]_x000D_
{CLASSES}_x000D_
S2 &amp; O3 &amp; I9 &amp; P140 &amp; N2</t>
        </r>
      </text>
    </comment>
    <comment ref="D685" authorId="0" shapeId="0" xr:uid="{DA4A550B-91E9-45D3-A367-C8D0E6BC6E5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NIL] - [Y-DAY » NIL]_x000D_
[LOWESTAVAIL » W9] - [CAPACITY » 179] - [LST-SOLD » 27-NOV]_x000D_
{CLASSES}_x000D_
S2 &amp; O3 &amp; I9 &amp; P140 &amp; N2</t>
        </r>
      </text>
    </comment>
    <comment ref="E685" authorId="0" shapeId="0" xr:uid="{20589FC2-577A-4421-8AE9-CBED85D6197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NIL] - [Y-DAY » NIL]_x000D_
[LOWESTAVAIL » W9] - [CAPACITY » 179] - [LST-SOLD » 27-NOV]_x000D_
{CLASSES}_x000D_
S2 &amp; O3 &amp; I9 &amp; P140 &amp; N2</t>
        </r>
      </text>
    </comment>
    <comment ref="F685" authorId="0" shapeId="0" xr:uid="{BD204771-6C38-4EA9-AFE3-E82B6BB2310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NIL] - [Y-DAY » NIL]_x000D_
[LOWESTAVAIL » W9] - [CAPACITY » 179] - [LST-SOLD » 27-NOV]_x000D_
{CLASSES}_x000D_
S2 &amp; O3 &amp; I9 &amp; P140 &amp; N2</t>
        </r>
      </text>
    </comment>
    <comment ref="G685" authorId="0" shapeId="0" xr:uid="{BB97DFE3-5B65-43E4-AB25-20C65B72198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NIL] - [Y-DAY » NIL]_x000D_
[LOWESTAVAIL » W9] - [CAPACITY » 179] - [LST-SOLD » 27-NOV]_x000D_
{CLASSES}_x000D_
S2 &amp; O3 &amp; I9 &amp; P140 &amp; N2</t>
        </r>
      </text>
    </comment>
    <comment ref="H685" authorId="0" shapeId="0" xr:uid="{CF16B9C7-4F88-40E2-871A-D117786F2A7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6 PAX] - [TO-DAY » NIL] - [Y-DAY » NIL]_x000D_
[LOWESTAVAIL » W9] - [CAPACITY » 179] - [LST-SOLD » 27-NOV]_x000D_
{CLASSES}_x000D_
S2 &amp; O3 &amp; I9 &amp; P140 &amp; N2</t>
        </r>
      </text>
    </comment>
    <comment ref="A745" authorId="0" shapeId="0" xr:uid="{68E5E26E-271F-4001-AA7B-E00D723612E3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33.0%]   -   [SOLD » 59 PAX]_x000D_
[WEEKLY » 3 PAX] - [TO-DAY » NIL] - [Y-DAY » 1]_x000D_
[LOWESTAVAIL » O9] - [CAPACITY » 179] - [LST-SOLD » 28-NOV]_x000D_
{CLASSES}_x000D_
U1 &amp; O11 &amp; I10 &amp; P37</t>
        </r>
      </text>
    </comment>
    <comment ref="B745" authorId="0" shapeId="0" xr:uid="{678EE47A-27DE-4EEC-AC12-D744E3A6D45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33.0%]   -   [SOLD » 59 PAX]_x000D_
[WEEKLY » 3 PAX] - [TO-DAY » NIL] - [Y-DAY » 1]_x000D_
[LOWESTAVAIL » O9] - [CAPACITY » 179] - [LST-SOLD » 28-NOV]_x000D_
{CLASSES}_x000D_
U1 &amp; O11 &amp; I10 &amp; P37</t>
        </r>
      </text>
    </comment>
    <comment ref="C745" authorId="0" shapeId="0" xr:uid="{21702942-1881-4048-8B07-1E1A02B9723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33.0%]   -   [SOLD » 59 PAX]_x000D_
[WEEKLY » 3 PAX] - [TO-DAY » NIL] - [Y-DAY » 1]_x000D_
[LOWESTAVAIL » O9] - [CAPACITY » 179] - [LST-SOLD » 28-NOV]_x000D_
{CLASSES}_x000D_
U1 &amp; O11 &amp; I10 &amp; P37</t>
        </r>
      </text>
    </comment>
    <comment ref="D745" authorId="0" shapeId="0" xr:uid="{57E46E21-7A53-4F93-B117-8DB7DD144A8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33.0%]   -   [SOLD » 59 PAX]_x000D_
[WEEKLY » 3 PAX] - [TO-DAY » NIL] - [Y-DAY » 1]_x000D_
[LOWESTAVAIL » O9] - [CAPACITY » 179] - [LST-SOLD » 28-NOV]_x000D_
{CLASSES}_x000D_
U1 &amp; O11 &amp; I10 &amp; P37</t>
        </r>
      </text>
    </comment>
    <comment ref="E745" authorId="0" shapeId="0" xr:uid="{D42876E9-D81F-4587-A473-87415C3777DA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33.0%]   -   [SOLD » 59 PAX]_x000D_
[WEEKLY » 3 PAX] - [TO-DAY » NIL] - [Y-DAY » 1]_x000D_
[LOWESTAVAIL » O9] - [CAPACITY » 179] - [LST-SOLD » 28-NOV]_x000D_
{CLASSES}_x000D_
U1 &amp; O11 &amp; I10 &amp; P37</t>
        </r>
      </text>
    </comment>
    <comment ref="F745" authorId="0" shapeId="0" xr:uid="{C5D97C3B-75D3-4C41-BDE8-2A9E306FFD8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33.0%]   -   [SOLD » 59 PAX]_x000D_
[WEEKLY » 3 PAX] - [TO-DAY » NIL] - [Y-DAY » 1]_x000D_
[LOWESTAVAIL » O9] - [CAPACITY » 179] - [LST-SOLD » 28-NOV]_x000D_
{CLASSES}_x000D_
U1 &amp; O11 &amp; I10 &amp; P37</t>
        </r>
      </text>
    </comment>
    <comment ref="G745" authorId="0" shapeId="0" xr:uid="{D530F1A1-96C3-4946-8742-C99435D47DD3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33.0%]   -   [SOLD » 59 PAX]_x000D_
[WEEKLY » 3 PAX] - [TO-DAY » NIL] - [Y-DAY » 1]_x000D_
[LOWESTAVAIL » O9] - [CAPACITY » 179] - [LST-SOLD » 28-NOV]_x000D_
{CLASSES}_x000D_
U1 &amp; O11 &amp; I10 &amp; P37</t>
        </r>
      </text>
    </comment>
    <comment ref="H745" authorId="0" shapeId="0" xr:uid="{089C3DEB-6563-47A6-A290-67BD2083034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33.0%]   -   [SOLD » 59 PAX]_x000D_
[WEEKLY » 3 PAX] - [TO-DAY » NIL] - [Y-DAY » 1]_x000D_
[LOWESTAVAIL » O9] - [CAPACITY » 179] - [LST-SOLD » 28-NOV]_x000D_
{CLASSES}_x000D_
U1 &amp; O11 &amp; I10 &amp; P37</t>
        </r>
      </text>
    </comment>
    <comment ref="A746" authorId="0" shapeId="0" xr:uid="{28EB8FF5-A978-4331-80B6-FAE7CE13AFC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[SOLD » 25 PAX]_x000D_
[WEEKLY » 7 PAX] - [TO-DAY » 4 PAX] - [Y-DAY » NIL]_x000D_
[LOWESTAVAIL » O5] - [CAPACITY » 179] - [LST-SOLD » 29-NOV]_x000D_
{CLASSES}_x000D_
O15 &amp; I10</t>
        </r>
      </text>
    </comment>
    <comment ref="B746" authorId="0" shapeId="0" xr:uid="{CF055106-7477-4E87-B5B2-06E496DEC59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[SOLD » 25 PAX]_x000D_
[WEEKLY » 7 PAX] - [TO-DAY » 4 PAX] - [Y-DAY » NIL]_x000D_
[LOWESTAVAIL » O5] - [CAPACITY » 179] - [LST-SOLD » 29-NOV]_x000D_
{CLASSES}_x000D_
O15 &amp; I10</t>
        </r>
      </text>
    </comment>
    <comment ref="C746" authorId="0" shapeId="0" xr:uid="{E4E8AAA7-99EF-4C8A-8FFF-936BEC8D5EC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[SOLD » 25 PAX]_x000D_
[WEEKLY » 7 PAX] - [TO-DAY » 4 PAX] - [Y-DAY » NIL]_x000D_
[LOWESTAVAIL » O5] - [CAPACITY » 179] - [LST-SOLD » 29-NOV]_x000D_
{CLASSES}_x000D_
O15 &amp; I10</t>
        </r>
      </text>
    </comment>
    <comment ref="D746" authorId="0" shapeId="0" xr:uid="{2B38C0F4-8AE1-4AB9-9C70-E9FCE31F95F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[SOLD » 25 PAX]_x000D_
[WEEKLY » 7 PAX] - [TO-DAY » 4 PAX] - [Y-DAY » NIL]_x000D_
[LOWESTAVAIL » O5] - [CAPACITY » 179] - [LST-SOLD » 29-NOV]_x000D_
{CLASSES}_x000D_
O15 &amp; I10</t>
        </r>
      </text>
    </comment>
    <comment ref="E746" authorId="0" shapeId="0" xr:uid="{9B531DD5-DB32-4A5E-8E18-9129E2A4AEB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[SOLD » 25 PAX]_x000D_
[WEEKLY » 7 PAX] - [TO-DAY » 4 PAX] - [Y-DAY » NIL]_x000D_
[LOWESTAVAIL » O5] - [CAPACITY » 179] - [LST-SOLD » 29-NOV]_x000D_
{CLASSES}_x000D_
O15 &amp; I10</t>
        </r>
      </text>
    </comment>
    <comment ref="F746" authorId="0" shapeId="0" xr:uid="{39775258-EF13-4CAD-9672-EC2D81523AF0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[SOLD » 25 PAX]_x000D_
[WEEKLY » 7 PAX] - [TO-DAY » 4 PAX] - [Y-DAY » NIL]_x000D_
[LOWESTAVAIL » O5] - [CAPACITY » 179] - [LST-SOLD » 29-NOV]_x000D_
{CLASSES}_x000D_
O15 &amp; I10</t>
        </r>
      </text>
    </comment>
    <comment ref="G746" authorId="0" shapeId="0" xr:uid="{C333A9B4-B73B-47BD-855B-5FA47CFB68D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[SOLD » 25 PAX]_x000D_
[WEEKLY » 7 PAX] - [TO-DAY » 4 PAX] - [Y-DAY » NIL]_x000D_
[LOWESTAVAIL » O5] - [CAPACITY » 179] - [LST-SOLD » 29-NOV]_x000D_
{CLASSES}_x000D_
O15 &amp; I10</t>
        </r>
      </text>
    </comment>
    <comment ref="H746" authorId="0" shapeId="0" xr:uid="{296901B9-05C6-40F5-8B3C-EA7EF4DD2CF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14.0%]   -   [SOLD » 25 PAX]_x000D_
[WEEKLY » 7 PAX] - [TO-DAY » 4 PAX] - [Y-DAY » NIL]_x000D_
[LOWESTAVAIL » O5] - [CAPACITY » 179] - [LST-SOLD » 29-NOV]_x000D_
{CLASSES}_x000D_
O15 &amp; I10</t>
        </r>
      </text>
    </comment>
    <comment ref="A747" authorId="0" shapeId="0" xr:uid="{3FFB425C-E2F6-4095-A014-179DFF757F5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11 PAX] - [TO-DAY » 1 PAX] - [Y-DAY » NIL]_x000D_
[LOWESTAVAIL » O5] - [CAPACITY » 179] - [LST-SOLD » 29-NOV]_x000D_
{CLASSES}_x000D_
S1 &amp; O5 &amp; I20</t>
        </r>
      </text>
    </comment>
    <comment ref="B747" authorId="0" shapeId="0" xr:uid="{F6F5E67A-619A-4AB7-A9C6-DB33FF93404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11 PAX] - [TO-DAY » 1 PAX] - [Y-DAY » NIL]_x000D_
[LOWESTAVAIL » O5] - [CAPACITY » 179] - [LST-SOLD » 29-NOV]_x000D_
{CLASSES}_x000D_
S1 &amp; O5 &amp; I20</t>
        </r>
      </text>
    </comment>
    <comment ref="C747" authorId="0" shapeId="0" xr:uid="{A658EF91-B103-4AC3-ABB6-863982578B4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11 PAX] - [TO-DAY » 1 PAX] - [Y-DAY » NIL]_x000D_
[LOWESTAVAIL » O5] - [CAPACITY » 179] - [LST-SOLD » 29-NOV]_x000D_
{CLASSES}_x000D_
S1 &amp; O5 &amp; I20</t>
        </r>
      </text>
    </comment>
    <comment ref="D747" authorId="0" shapeId="0" xr:uid="{3120407B-E5F6-481E-81CC-F40325907F0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11 PAX] - [TO-DAY » 1 PAX] - [Y-DAY » NIL]_x000D_
[LOWESTAVAIL » O5] - [CAPACITY » 179] - [LST-SOLD » 29-NOV]_x000D_
{CLASSES}_x000D_
S1 &amp; O5 &amp; I20</t>
        </r>
      </text>
    </comment>
    <comment ref="E747" authorId="0" shapeId="0" xr:uid="{7640F075-306B-4354-A031-4A5420C751A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11 PAX] - [TO-DAY » 1 PAX] - [Y-DAY » NIL]_x000D_
[LOWESTAVAIL » O5] - [CAPACITY » 179] - [LST-SOLD » 29-NOV]_x000D_
{CLASSES}_x000D_
S1 &amp; O5 &amp; I20</t>
        </r>
      </text>
    </comment>
    <comment ref="F747" authorId="0" shapeId="0" xr:uid="{A5205C76-D332-486A-8B3F-8512739F750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11 PAX] - [TO-DAY » 1 PAX] - [Y-DAY » NIL]_x000D_
[LOWESTAVAIL » O5] - [CAPACITY » 179] - [LST-SOLD » 29-NOV]_x000D_
{CLASSES}_x000D_
S1 &amp; O5 &amp; I20</t>
        </r>
      </text>
    </comment>
    <comment ref="G747" authorId="0" shapeId="0" xr:uid="{240E378C-B1EB-427A-9D08-C66B58D26B6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11 PAX] - [TO-DAY » 1 PAX] - [Y-DAY » NIL]_x000D_
[LOWESTAVAIL » O5] - [CAPACITY » 179] - [LST-SOLD » 29-NOV]_x000D_
{CLASSES}_x000D_
S1 &amp; O5 &amp; I20</t>
        </r>
      </text>
    </comment>
    <comment ref="H747" authorId="0" shapeId="0" xr:uid="{7AB718FF-196F-42D3-8672-592C428BAA1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14.5%]   -   [SOLD » 26 PAX]_x000D_
[WEEKLY » 11 PAX] - [TO-DAY » 1 PAX] - [Y-DAY » NIL]_x000D_
[LOWESTAVAIL » O5] - [CAPACITY » 179] - [LST-SOLD » 29-NOV]_x000D_
{CLASSES}_x000D_
S1 &amp; O5 &amp; I20</t>
        </r>
      </text>
    </comment>
    <comment ref="A748" authorId="0" shapeId="0" xr:uid="{F076DE96-C63E-4A1D-A1F7-BC07E49C86F5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131 PAX]_x000D_
[WEEKLY » 14 PAX] - [TO-DAY » NIL] - [Y-DAY » NIL]_x000D_
[LOWESTAVAIL » O1] - [CAPACITY » 179] - [LST-SOLD » 27-NOV]_x000D_
{CLASSES}_x000D_
S3 &amp; U7 &amp; O19 &amp; I10 &amp; P92</t>
        </r>
      </text>
    </comment>
    <comment ref="B748" authorId="0" shapeId="0" xr:uid="{0B79F12D-3D70-4933-B32E-D38A28AA5F42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131 PAX]_x000D_
[WEEKLY » 14 PAX] - [TO-DAY » NIL] - [Y-DAY » NIL]_x000D_
[LOWESTAVAIL » O1] - [CAPACITY » 179] - [LST-SOLD » 27-NOV]_x000D_
{CLASSES}_x000D_
S3 &amp; U7 &amp; O19 &amp; I10 &amp; P92</t>
        </r>
      </text>
    </comment>
    <comment ref="C748" authorId="0" shapeId="0" xr:uid="{DB8786BD-B414-49F9-B5E6-31D5D88A469E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131 PAX]_x000D_
[WEEKLY » 14 PAX] - [TO-DAY » NIL] - [Y-DAY » NIL]_x000D_
[LOWESTAVAIL » O1] - [CAPACITY » 179] - [LST-SOLD » 27-NOV]_x000D_
{CLASSES}_x000D_
S3 &amp; U7 &amp; O19 &amp; I10 &amp; P92</t>
        </r>
      </text>
    </comment>
    <comment ref="D748" authorId="0" shapeId="0" xr:uid="{BBE14B80-E2A4-4DAD-8959-86251AF5B35C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131 PAX]_x000D_
[WEEKLY » 14 PAX] - [TO-DAY » NIL] - [Y-DAY » NIL]_x000D_
[LOWESTAVAIL » O1] - [CAPACITY » 179] - [LST-SOLD » 27-NOV]_x000D_
{CLASSES}_x000D_
S3 &amp; U7 &amp; O19 &amp; I10 &amp; P92</t>
        </r>
      </text>
    </comment>
    <comment ref="E748" authorId="0" shapeId="0" xr:uid="{F6498331-9D5D-40EE-9668-127F3E09DAC0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131 PAX]_x000D_
[WEEKLY » 14 PAX] - [TO-DAY » NIL] - [Y-DAY » NIL]_x000D_
[LOWESTAVAIL » O1] - [CAPACITY » 179] - [LST-SOLD » 27-NOV]_x000D_
{CLASSES}_x000D_
S3 &amp; U7 &amp; O19 &amp; I10 &amp; P92</t>
        </r>
      </text>
    </comment>
    <comment ref="F748" authorId="0" shapeId="0" xr:uid="{5980B4A1-7E5C-4F4B-AD86-BEA292B9E274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131 PAX]_x000D_
[WEEKLY » 14 PAX] - [TO-DAY » NIL] - [Y-DAY » NIL]_x000D_
[LOWESTAVAIL » O1] - [CAPACITY » 179] - [LST-SOLD » 27-NOV]_x000D_
{CLASSES}_x000D_
S3 &amp; U7 &amp; O19 &amp; I10 &amp; P92</t>
        </r>
      </text>
    </comment>
    <comment ref="G748" authorId="0" shapeId="0" xr:uid="{4126F17E-1BFB-4896-85A0-3937A82D5747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131 PAX]_x000D_
[WEEKLY » 14 PAX] - [TO-DAY » NIL] - [Y-DAY » NIL]_x000D_
[LOWESTAVAIL » O1] - [CAPACITY » 179] - [LST-SOLD » 27-NOV]_x000D_
{CLASSES}_x000D_
S3 &amp; U7 &amp; O19 &amp; I10 &amp; P92</t>
        </r>
      </text>
    </comment>
    <comment ref="H748" authorId="0" shapeId="0" xr:uid="{E3703A72-A0B3-465C-9887-5101E6A8C001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131 PAX]_x000D_
[WEEKLY » 14 PAX] - [TO-DAY » NIL] - [Y-DAY » NIL]_x000D_
[LOWESTAVAIL » O1] - [CAPACITY » 179] - [LST-SOLD » 27-NOV]_x000D_
{CLASSES}_x000D_
S3 &amp; U7 &amp; O19 &amp; I10 &amp; P92</t>
        </r>
      </text>
    </comment>
    <comment ref="A749" authorId="0" shapeId="0" xr:uid="{E71BF7FA-946E-414B-9045-4387A63A9A59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13 PAX] - [TO-DAY » 1 PAX] - [Y-DAY » NIL]_x000D_
[LOWESTAVAIL » O3] - [CAPACITY » 179] - [LST-SOLD » 29-NOV]_x000D_
{CLASSES}_x000D_
S3 &amp; O7 &amp; I20 &amp; P30</t>
        </r>
      </text>
    </comment>
    <comment ref="B749" authorId="0" shapeId="0" xr:uid="{17B464D4-B6BC-4E14-8E63-19D418FC870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13 PAX] - [TO-DAY » 1 PAX] - [Y-DAY » NIL]_x000D_
[LOWESTAVAIL » O3] - [CAPACITY » 179] - [LST-SOLD » 29-NOV]_x000D_
{CLASSES}_x000D_
S3 &amp; O7 &amp; I20 &amp; P30</t>
        </r>
      </text>
    </comment>
    <comment ref="C749" authorId="0" shapeId="0" xr:uid="{57E732E0-A06B-4958-B51E-592E0D0D3586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13 PAX] - [TO-DAY » 1 PAX] - [Y-DAY » NIL]_x000D_
[LOWESTAVAIL » O3] - [CAPACITY » 179] - [LST-SOLD » 29-NOV]_x000D_
{CLASSES}_x000D_
S3 &amp; O7 &amp; I20 &amp; P30</t>
        </r>
      </text>
    </comment>
    <comment ref="D749" authorId="0" shapeId="0" xr:uid="{98DFA50E-5194-4AD6-8F57-B0379FC194F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13 PAX] - [TO-DAY » 1 PAX] - [Y-DAY » NIL]_x000D_
[LOWESTAVAIL » O3] - [CAPACITY » 179] - [LST-SOLD » 29-NOV]_x000D_
{CLASSES}_x000D_
S3 &amp; O7 &amp; I20 &amp; P30</t>
        </r>
      </text>
    </comment>
    <comment ref="E749" authorId="0" shapeId="0" xr:uid="{88195DF9-7932-4D77-930E-E0A3FAF47A1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13 PAX] - [TO-DAY » 1 PAX] - [Y-DAY » NIL]_x000D_
[LOWESTAVAIL » O3] - [CAPACITY » 179] - [LST-SOLD » 29-NOV]_x000D_
{CLASSES}_x000D_
S3 &amp; O7 &amp; I20 &amp; P30</t>
        </r>
      </text>
    </comment>
    <comment ref="F749" authorId="0" shapeId="0" xr:uid="{91EDB0FB-43A2-4D7E-9649-FB7C29DA49C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13 PAX] - [TO-DAY » 1 PAX] - [Y-DAY » NIL]_x000D_
[LOWESTAVAIL » O3] - [CAPACITY » 179] - [LST-SOLD » 29-NOV]_x000D_
{CLASSES}_x000D_
S3 &amp; O7 &amp; I20 &amp; P30</t>
        </r>
      </text>
    </comment>
    <comment ref="G749" authorId="0" shapeId="0" xr:uid="{75E0C682-A118-4242-8D4A-819701751115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13 PAX] - [TO-DAY » 1 PAX] - [Y-DAY » NIL]_x000D_
[LOWESTAVAIL » O3] - [CAPACITY » 179] - [LST-SOLD » 29-NOV]_x000D_
{CLASSES}_x000D_
S3 &amp; O7 &amp; I20 &amp; P30</t>
        </r>
      </text>
    </comment>
    <comment ref="H749" authorId="0" shapeId="0" xr:uid="{F39581E4-D162-499A-A3A3-5A7AE526A89B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13 PAX] - [TO-DAY » 1 PAX] - [Y-DAY » NIL]_x000D_
[LOWESTAVAIL » O3] - [CAPACITY » 179] - [LST-SOLD » 29-NOV]_x000D_
{CLASSES}_x000D_
S3 &amp; O7 &amp; I20 &amp; P30</t>
        </r>
      </text>
    </comment>
    <comment ref="A751" authorId="0" shapeId="0" xr:uid="{B13D9751-6122-49DA-BF02-A287FBF98F0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8 PAX] - [TO-DAY » NIL] - [Y-DAY » NIL]_x000D_
[LOWESTAVAIL » U7] - [CAPACITY » 179] - [LST-SOLD » 26-NOV]_x000D_
{CLASSES}_x000D_
G1 &amp; S2 &amp; U14 &amp; O10 &amp; I10 &amp; P80</t>
        </r>
      </text>
    </comment>
    <comment ref="B751" authorId="0" shapeId="0" xr:uid="{68C21029-CF06-432B-A834-3489E46AC33A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8 PAX] - [TO-DAY » NIL] - [Y-DAY » NIL]_x000D_
[LOWESTAVAIL » U7] - [CAPACITY » 179] - [LST-SOLD » 26-NOV]_x000D_
{CLASSES}_x000D_
G1 &amp; S2 &amp; U14 &amp; O10 &amp; I10 &amp; P80</t>
        </r>
      </text>
    </comment>
    <comment ref="C751" authorId="0" shapeId="0" xr:uid="{44415F74-CFD3-44DB-A1E6-EBBB78DE030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8 PAX] - [TO-DAY » NIL] - [Y-DAY » NIL]_x000D_
[LOWESTAVAIL » U7] - [CAPACITY » 179] - [LST-SOLD » 26-NOV]_x000D_
{CLASSES}_x000D_
G1 &amp; S2 &amp; U14 &amp; O10 &amp; I10 &amp; P80</t>
        </r>
      </text>
    </comment>
    <comment ref="D751" authorId="0" shapeId="0" xr:uid="{CD14BB4E-F431-4A04-AB24-37F5CB016DC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8 PAX] - [TO-DAY » NIL] - [Y-DAY » NIL]_x000D_
[LOWESTAVAIL » U7] - [CAPACITY » 179] - [LST-SOLD » 26-NOV]_x000D_
{CLASSES}_x000D_
G1 &amp; S2 &amp; U14 &amp; O10 &amp; I10 &amp; P80</t>
        </r>
      </text>
    </comment>
    <comment ref="E751" authorId="0" shapeId="0" xr:uid="{9C34E5BA-008F-46D1-A38F-A624B53B23D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8 PAX] - [TO-DAY » NIL] - [Y-DAY » NIL]_x000D_
[LOWESTAVAIL » U7] - [CAPACITY » 179] - [LST-SOLD » 26-NOV]_x000D_
{CLASSES}_x000D_
G1 &amp; S2 &amp; U14 &amp; O10 &amp; I10 &amp; P80</t>
        </r>
      </text>
    </comment>
    <comment ref="F751" authorId="0" shapeId="0" xr:uid="{F425A1CF-385F-4B56-9E7A-2C8EEBFE66D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8 PAX] - [TO-DAY » NIL] - [Y-DAY » NIL]_x000D_
[LOWESTAVAIL » U7] - [CAPACITY » 179] - [LST-SOLD » 26-NOV]_x000D_
{CLASSES}_x000D_
G1 &amp; S2 &amp; U14 &amp; O10 &amp; I10 &amp; P80</t>
        </r>
      </text>
    </comment>
    <comment ref="G751" authorId="0" shapeId="0" xr:uid="{D3520CA6-03E9-491E-8CE5-6ED5A5DE806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8 PAX] - [TO-DAY » NIL] - [Y-DAY » NIL]_x000D_
[LOWESTAVAIL » U7] - [CAPACITY » 179] - [LST-SOLD » 26-NOV]_x000D_
{CLASSES}_x000D_
G1 &amp; S2 &amp; U14 &amp; O10 &amp; I10 &amp; P80</t>
        </r>
      </text>
    </comment>
    <comment ref="H751" authorId="0" shapeId="0" xr:uid="{CC23530B-8FE8-433E-B3C2-BBA431AF39E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8 PAX] - [TO-DAY » NIL] - [Y-DAY » NIL]_x000D_
[LOWESTAVAIL » U7] - [CAPACITY » 179] - [LST-SOLD » 26-NOV]_x000D_
{CLASSES}_x000D_
G1 &amp; S2 &amp; U14 &amp; O10 &amp; I10 &amp; P80</t>
        </r>
      </text>
    </comment>
    <comment ref="A818" authorId="0" shapeId="0" xr:uid="{CC40FA22-DC52-44C2-8183-520E2DC5F113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20.1%]   -   [SOLD » 36 PAX]_x000D_
[WEEKLY » 15 PAX] - [TO-DAY » 1 PAX] - [Y-DAY » 2]_x000D_
[LOWESTAVAIL » U7] - [CAPACITY » 179] - [LST-SOLD » 29-NOV]_x000D_
{CLASSES}_x000D_
G2 &amp; U4 &amp; O20 &amp; I10</t>
        </r>
      </text>
    </comment>
    <comment ref="B818" authorId="0" shapeId="0" xr:uid="{112B508B-3588-45C8-9ADE-39EAC96D68CE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20.1%]   -   [SOLD » 36 PAX]_x000D_
[WEEKLY » 15 PAX] - [TO-DAY » 1 PAX] - [Y-DAY » 2]_x000D_
[LOWESTAVAIL » U7] - [CAPACITY » 179] - [LST-SOLD » 29-NOV]_x000D_
{CLASSES}_x000D_
G2 &amp; U4 &amp; O20 &amp; I10</t>
        </r>
      </text>
    </comment>
    <comment ref="C818" authorId="0" shapeId="0" xr:uid="{9AE4B31B-DFCA-410F-AB06-94CBDA7D7166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20.1%]   -   [SOLD » 36 PAX]_x000D_
[WEEKLY » 15 PAX] - [TO-DAY » 1 PAX] - [Y-DAY » 2]_x000D_
[LOWESTAVAIL » U7] - [CAPACITY » 179] - [LST-SOLD » 29-NOV]_x000D_
{CLASSES}_x000D_
G2 &amp; U4 &amp; O20 &amp; I10</t>
        </r>
      </text>
    </comment>
    <comment ref="D818" authorId="0" shapeId="0" xr:uid="{F241C7AD-9E7B-4EDD-BEB9-893AF1A6B4FF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20.1%]   -   [SOLD » 36 PAX]_x000D_
[WEEKLY » 15 PAX] - [TO-DAY » 1 PAX] - [Y-DAY » 2]_x000D_
[LOWESTAVAIL » U7] - [CAPACITY » 179] - [LST-SOLD » 29-NOV]_x000D_
{CLASSES}_x000D_
G2 &amp; U4 &amp; O20 &amp; I10</t>
        </r>
      </text>
    </comment>
    <comment ref="E818" authorId="0" shapeId="0" xr:uid="{41381388-1E55-4A0E-B5BF-3AFDBE5AA549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20.1%]   -   [SOLD » 36 PAX]_x000D_
[WEEKLY » 15 PAX] - [TO-DAY » 1 PAX] - [Y-DAY » 2]_x000D_
[LOWESTAVAIL » U7] - [CAPACITY » 179] - [LST-SOLD » 29-NOV]_x000D_
{CLASSES}_x000D_
G2 &amp; U4 &amp; O20 &amp; I10</t>
        </r>
      </text>
    </comment>
    <comment ref="F818" authorId="0" shapeId="0" xr:uid="{30D4BD48-2721-4C55-9113-B74B9629E75A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20.1%]   -   [SOLD » 36 PAX]_x000D_
[WEEKLY » 15 PAX] - [TO-DAY » 1 PAX] - [Y-DAY » 2]_x000D_
[LOWESTAVAIL » U7] - [CAPACITY » 179] - [LST-SOLD » 29-NOV]_x000D_
{CLASSES}_x000D_
G2 &amp; U4 &amp; O20 &amp; I10</t>
        </r>
      </text>
    </comment>
    <comment ref="G818" authorId="0" shapeId="0" xr:uid="{9E17AEC2-D899-4F10-A828-E13B9B59E795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20.1%]   -   [SOLD » 36 PAX]_x000D_
[WEEKLY » 15 PAX] - [TO-DAY » 1 PAX] - [Y-DAY » 2]_x000D_
[LOWESTAVAIL » U7] - [CAPACITY » 179] - [LST-SOLD » 29-NOV]_x000D_
{CLASSES}_x000D_
G2 &amp; U4 &amp; O20 &amp; I10</t>
        </r>
      </text>
    </comment>
    <comment ref="H818" authorId="0" shapeId="0" xr:uid="{F28173D9-9891-4904-A349-3070A35DC511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20.1%]   -   [SOLD » 36 PAX]_x000D_
[WEEKLY » 15 PAX] - [TO-DAY » 1 PAX] - [Y-DAY » 2]_x000D_
[LOWESTAVAIL » U7] - [CAPACITY » 179] - [LST-SOLD » 29-NOV]_x000D_
{CLASSES}_x000D_
G2 &amp; U4 &amp; O20 &amp; I10</t>
        </r>
      </text>
    </comment>
    <comment ref="A851" authorId="0" shapeId="0" xr:uid="{023A99F0-5E24-4DBC-8E40-FC988812605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3 PAX] - [TO-DAY » NIL] - [Y-DAY » NIL]_x000D_
[LOWESTAVAIL » L9] - [CAPACITY » 179] - [LST-SOLD » 27-NOV]_x000D_
{CLASSES}_x000D_
S2 &amp; U6 &amp; O10 &amp; I10 &amp; P128 &amp; N3</t>
        </r>
      </text>
    </comment>
    <comment ref="B851" authorId="0" shapeId="0" xr:uid="{A2C731CA-48C9-4FD2-8132-7072129EB94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3 PAX] - [TO-DAY » NIL] - [Y-DAY » NIL]_x000D_
[LOWESTAVAIL » L9] - [CAPACITY » 179] - [LST-SOLD » 27-NOV]_x000D_
{CLASSES}_x000D_
S2 &amp; U6 &amp; O10 &amp; I10 &amp; P128 &amp; N3</t>
        </r>
      </text>
    </comment>
    <comment ref="C851" authorId="0" shapeId="0" xr:uid="{A01C91F6-3C50-44B3-9357-3B162890822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3 PAX] - [TO-DAY » NIL] - [Y-DAY » NIL]_x000D_
[LOWESTAVAIL » L9] - [CAPACITY » 179] - [LST-SOLD » 27-NOV]_x000D_
{CLASSES}_x000D_
S2 &amp; U6 &amp; O10 &amp; I10 &amp; P128 &amp; N3</t>
        </r>
      </text>
    </comment>
    <comment ref="D851" authorId="0" shapeId="0" xr:uid="{6C875262-A09D-41FC-B225-00AB50A9FF9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3 PAX] - [TO-DAY » NIL] - [Y-DAY » NIL]_x000D_
[LOWESTAVAIL » L9] - [CAPACITY » 179] - [LST-SOLD » 27-NOV]_x000D_
{CLASSES}_x000D_
S2 &amp; U6 &amp; O10 &amp; I10 &amp; P128 &amp; N3</t>
        </r>
      </text>
    </comment>
    <comment ref="E851" authorId="0" shapeId="0" xr:uid="{94D179DD-1BA8-40ED-B3A6-BC02E078EB7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3 PAX] - [TO-DAY » NIL] - [Y-DAY » NIL]_x000D_
[LOWESTAVAIL » L9] - [CAPACITY » 179] - [LST-SOLD » 27-NOV]_x000D_
{CLASSES}_x000D_
S2 &amp; U6 &amp; O10 &amp; I10 &amp; P128 &amp; N3</t>
        </r>
      </text>
    </comment>
    <comment ref="F851" authorId="0" shapeId="0" xr:uid="{D2D2C8E6-12DE-481D-8E35-DE758F3AF3E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3 PAX] - [TO-DAY » NIL] - [Y-DAY » NIL]_x000D_
[LOWESTAVAIL » L9] - [CAPACITY » 179] - [LST-SOLD » 27-NOV]_x000D_
{CLASSES}_x000D_
S2 &amp; U6 &amp; O10 &amp; I10 &amp; P128 &amp; N3</t>
        </r>
      </text>
    </comment>
    <comment ref="G851" authorId="0" shapeId="0" xr:uid="{A70CE23E-770F-4BCD-9551-DAD1AC1648B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3 PAX] - [TO-DAY » NIL] - [Y-DAY » NIL]_x000D_
[LOWESTAVAIL » L9] - [CAPACITY » 179] - [LST-SOLD » 27-NOV]_x000D_
{CLASSES}_x000D_
S2 &amp; U6 &amp; O10 &amp; I10 &amp; P128 &amp; N3</t>
        </r>
      </text>
    </comment>
    <comment ref="H851" authorId="0" shapeId="0" xr:uid="{CE1D33F0-3DEB-43A1-AD88-710E921D09D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3 PAX] - [TO-DAY » NIL] - [Y-DAY » NIL]_x000D_
[LOWESTAVAIL » L9] - [CAPACITY » 179] - [LST-SOLD » 27-NOV]_x000D_
{CLASSES}_x000D_
S2 &amp; U6 &amp; O10 &amp; I10 &amp; P128 &amp; N3</t>
        </r>
      </text>
    </comment>
    <comment ref="A873" authorId="0" shapeId="0" xr:uid="{6D3A4417-502A-432C-8178-120B7AEBD04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[SOLD » 179 PAX]_x000D_
[WEEKLY » NIL] - [TO-DAY » NIL] - [Y-DAY » NIL]_x000D_
[LOWESTAVAIL » CLOSED] - [CAPACITY » 179] - [LST-SOLD » 16-NOV]_x000D_
{CLASSES}_x000D_
S2 &amp; O1 &amp; I10 &amp; P166</t>
        </r>
      </text>
    </comment>
    <comment ref="B873" authorId="0" shapeId="0" xr:uid="{107A26AE-14B2-4E79-806D-01289E4D183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[SOLD » 179 PAX]_x000D_
[WEEKLY » NIL] - [TO-DAY » NIL] - [Y-DAY » NIL]_x000D_
[LOWESTAVAIL » CLOSED] - [CAPACITY » 179] - [LST-SOLD » 16-NOV]_x000D_
{CLASSES}_x000D_
S2 &amp; O1 &amp; I10 &amp; P166</t>
        </r>
      </text>
    </comment>
    <comment ref="C873" authorId="0" shapeId="0" xr:uid="{DF6835BE-7A1C-41A6-ADC6-116F1C86F08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[SOLD » 179 PAX]_x000D_
[WEEKLY » NIL] - [TO-DAY » NIL] - [Y-DAY » NIL]_x000D_
[LOWESTAVAIL » CLOSED] - [CAPACITY » 179] - [LST-SOLD » 16-NOV]_x000D_
{CLASSES}_x000D_
S2 &amp; O1 &amp; I10 &amp; P166</t>
        </r>
      </text>
    </comment>
    <comment ref="D873" authorId="0" shapeId="0" xr:uid="{F70E35EC-659A-4AB8-9944-67B6D438B54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[SOLD » 179 PAX]_x000D_
[WEEKLY » NIL] - [TO-DAY » NIL] - [Y-DAY » NIL]_x000D_
[LOWESTAVAIL » CLOSED] - [CAPACITY » 179] - [LST-SOLD » 16-NOV]_x000D_
{CLASSES}_x000D_
S2 &amp; O1 &amp; I10 &amp; P166</t>
        </r>
      </text>
    </comment>
    <comment ref="E873" authorId="0" shapeId="0" xr:uid="{F8AA55A1-8F58-41F6-81F3-6251DF630B2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[SOLD » 179 PAX]_x000D_
[WEEKLY » NIL] - [TO-DAY » NIL] - [Y-DAY » NIL]_x000D_
[LOWESTAVAIL » CLOSED] - [CAPACITY » 179] - [LST-SOLD » 16-NOV]_x000D_
{CLASSES}_x000D_
S2 &amp; O1 &amp; I10 &amp; P166</t>
        </r>
      </text>
    </comment>
    <comment ref="F873" authorId="0" shapeId="0" xr:uid="{C0B0CC9E-D6A5-4A7B-A25D-2FD4D651F82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[SOLD » 179 PAX]_x000D_
[WEEKLY » NIL] - [TO-DAY » NIL] - [Y-DAY » NIL]_x000D_
[LOWESTAVAIL » CLOSED] - [CAPACITY » 179] - [LST-SOLD » 16-NOV]_x000D_
{CLASSES}_x000D_
S2 &amp; O1 &amp; I10 &amp; P166</t>
        </r>
      </text>
    </comment>
    <comment ref="G873" authorId="0" shapeId="0" xr:uid="{D4140B06-2302-4825-80E2-AED2870D5C3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[SOLD » 179 PAX]_x000D_
[WEEKLY » NIL] - [TO-DAY » NIL] - [Y-DAY » NIL]_x000D_
[LOWESTAVAIL » CLOSED] - [CAPACITY » 179] - [LST-SOLD » 16-NOV]_x000D_
{CLASSES}_x000D_
S2 &amp; O1 &amp; I10 &amp; P166</t>
        </r>
      </text>
    </comment>
    <comment ref="H873" authorId="0" shapeId="0" xr:uid="{CD944DFE-3783-4F30-82BA-49C18B23EED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[SOLD » 179 PAX]_x000D_
[WEEKLY » NIL] - [TO-DAY » NIL] - [Y-DAY » NIL]_x000D_
[LOWESTAVAIL » CLOSED] - [CAPACITY » 179] - [LST-SOLD » 16-NOV]_x000D_
{CLASSES}_x000D_
S2 &amp; O1 &amp; I10 &amp; P166</t>
        </r>
      </text>
    </comment>
    <comment ref="A886" authorId="0" shapeId="0" xr:uid="{5FFF58C5-90A3-4682-B691-D6505ABAB6AD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[SOLD » 13 PAX]_x000D_
[WEEKLY » 8 PAX] - [TO-DAY » NIL] - [Y-DAY » 2]_x000D_
[LOWESTAVAIL » O7] - [CAPACITY » 168] - [LST-SOLD » 28-NOV]_x000D_
{CLASSES}_x000D_
O3 &amp; I10</t>
        </r>
      </text>
    </comment>
    <comment ref="B886" authorId="0" shapeId="0" xr:uid="{2B74DD7C-F092-4329-B126-B4F3033996EF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[SOLD » 13 PAX]_x000D_
[WEEKLY » 8 PAX] - [TO-DAY » NIL] - [Y-DAY » 2]_x000D_
[LOWESTAVAIL » O7] - [CAPACITY » 168] - [LST-SOLD » 28-NOV]_x000D_
{CLASSES}_x000D_
O3 &amp; I10</t>
        </r>
      </text>
    </comment>
    <comment ref="C886" authorId="0" shapeId="0" xr:uid="{9FA03E79-75F0-4569-9E89-AD9EAB4F5BF2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[SOLD » 13 PAX]_x000D_
[WEEKLY » 8 PAX] - [TO-DAY » NIL] - [Y-DAY » 2]_x000D_
[LOWESTAVAIL » O7] - [CAPACITY » 168] - [LST-SOLD » 28-NOV]_x000D_
{CLASSES}_x000D_
O3 &amp; I10</t>
        </r>
      </text>
    </comment>
    <comment ref="D886" authorId="0" shapeId="0" xr:uid="{C61E84FA-97BA-464B-92D0-A8A7D241E488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[SOLD » 13 PAX]_x000D_
[WEEKLY » 8 PAX] - [TO-DAY » NIL] - [Y-DAY » 2]_x000D_
[LOWESTAVAIL » O7] - [CAPACITY » 168] - [LST-SOLD » 28-NOV]_x000D_
{CLASSES}_x000D_
O3 &amp; I10</t>
        </r>
      </text>
    </comment>
    <comment ref="E886" authorId="0" shapeId="0" xr:uid="{E53B5FF0-EC69-4DCE-8CF8-1AF58532FB9B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[SOLD » 13 PAX]_x000D_
[WEEKLY » 8 PAX] - [TO-DAY » NIL] - [Y-DAY » 2]_x000D_
[LOWESTAVAIL » O7] - [CAPACITY » 168] - [LST-SOLD » 28-NOV]_x000D_
{CLASSES}_x000D_
O3 &amp; I10</t>
        </r>
      </text>
    </comment>
    <comment ref="F886" authorId="0" shapeId="0" xr:uid="{C2B1D4A5-3B09-495F-83C5-A4FB21FED56D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[SOLD » 13 PAX]_x000D_
[WEEKLY » 8 PAX] - [TO-DAY » NIL] - [Y-DAY » 2]_x000D_
[LOWESTAVAIL » O7] - [CAPACITY » 168] - [LST-SOLD » 28-NOV]_x000D_
{CLASSES}_x000D_
O3 &amp; I10</t>
        </r>
      </text>
    </comment>
    <comment ref="G886" authorId="0" shapeId="0" xr:uid="{495BD0E7-CF7F-4CBE-84F3-C9A277D2997F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[SOLD » 13 PAX]_x000D_
[WEEKLY » 8 PAX] - [TO-DAY » NIL] - [Y-DAY » 2]_x000D_
[LOWESTAVAIL » O7] - [CAPACITY » 168] - [LST-SOLD » 28-NOV]_x000D_
{CLASSES}_x000D_
O3 &amp; I10</t>
        </r>
      </text>
    </comment>
    <comment ref="H886" authorId="0" shapeId="0" xr:uid="{F3A4C018-F50C-4A45-B44D-43C3F5D5A7CF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[SOLD » 13 PAX]_x000D_
[WEEKLY » 8 PAX] - [TO-DAY » NIL] - [Y-DAY » 2]_x000D_
[LOWESTAVAIL » O7] - [CAPACITY » 168] - [LST-SOLD » 28-NOV]_x000D_
{CLASSES}_x000D_
O3 &amp; I10</t>
        </r>
      </text>
    </comment>
    <comment ref="A887" authorId="0" shapeId="0" xr:uid="{63AEDB18-66BC-4B10-91E1-934FED81D4E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13 PAX] - [TO-DAY » NIL] - [Y-DAY » NIL]_x000D_
[LOWESTAVAIL » O2] - [CAPACITY » 179] - [LST-SOLD » 27-NOV]_x000D_
{CLASSES}_x000D_
O8 &amp; I20 &amp; P89</t>
        </r>
      </text>
    </comment>
    <comment ref="B887" authorId="0" shapeId="0" xr:uid="{D5E9B6CD-5486-44ED-910A-2C867D1CB05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13 PAX] - [TO-DAY » NIL] - [Y-DAY » NIL]_x000D_
[LOWESTAVAIL » O2] - [CAPACITY » 179] - [LST-SOLD » 27-NOV]_x000D_
{CLASSES}_x000D_
O8 &amp; I20 &amp; P89</t>
        </r>
      </text>
    </comment>
    <comment ref="C887" authorId="0" shapeId="0" xr:uid="{54DDC540-979A-4472-BFB8-7D7D0D56640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13 PAX] - [TO-DAY » NIL] - [Y-DAY » NIL]_x000D_
[LOWESTAVAIL » O2] - [CAPACITY » 179] - [LST-SOLD » 27-NOV]_x000D_
{CLASSES}_x000D_
O8 &amp; I20 &amp; P89</t>
        </r>
      </text>
    </comment>
    <comment ref="D887" authorId="0" shapeId="0" xr:uid="{52690496-86DC-4A02-8254-54FBF28DDBE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13 PAX] - [TO-DAY » NIL] - [Y-DAY » NIL]_x000D_
[LOWESTAVAIL » O2] - [CAPACITY » 179] - [LST-SOLD » 27-NOV]_x000D_
{CLASSES}_x000D_
O8 &amp; I20 &amp; P89</t>
        </r>
      </text>
    </comment>
    <comment ref="E887" authorId="0" shapeId="0" xr:uid="{F81D73D7-DD8C-44D0-8534-B3C16F788D7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13 PAX] - [TO-DAY » NIL] - [Y-DAY » NIL]_x000D_
[LOWESTAVAIL » O2] - [CAPACITY » 179] - [LST-SOLD » 27-NOV]_x000D_
{CLASSES}_x000D_
O8 &amp; I20 &amp; P89</t>
        </r>
      </text>
    </comment>
    <comment ref="F887" authorId="0" shapeId="0" xr:uid="{DB3B727B-CA50-497B-86D4-568BDB8DAA5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13 PAX] - [TO-DAY » NIL] - [Y-DAY » NIL]_x000D_
[LOWESTAVAIL » O2] - [CAPACITY » 179] - [LST-SOLD » 27-NOV]_x000D_
{CLASSES}_x000D_
O8 &amp; I20 &amp; P89</t>
        </r>
      </text>
    </comment>
    <comment ref="G887" authorId="0" shapeId="0" xr:uid="{91506F45-1383-481E-8286-7D20BA1911D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13 PAX] - [TO-DAY » NIL] - [Y-DAY » NIL]_x000D_
[LOWESTAVAIL » O2] - [CAPACITY » 179] - [LST-SOLD » 27-NOV]_x000D_
{CLASSES}_x000D_
O8 &amp; I20 &amp; P89</t>
        </r>
      </text>
    </comment>
    <comment ref="H887" authorId="0" shapeId="0" xr:uid="{DBE5BBDC-6AD8-4A7B-875D-37FA4E6331A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  -   [SOLD » 117 PAX]_x000D_
[WEEKLY » 13 PAX] - [TO-DAY » NIL] - [Y-DAY » NIL]_x000D_
[LOWESTAVAIL » O2] - [CAPACITY » 179] - [LST-SOLD » 27-NOV]_x000D_
{CLASSES}_x000D_
O8 &amp; I20 &amp; P89</t>
        </r>
      </text>
    </comment>
    <comment ref="A893" authorId="0" shapeId="0" xr:uid="{60FA86C2-05A3-4F45-9152-3A30C191A60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7 PAX] - [TO-DAY » NIL] - [Y-DAY » NIL]_x000D_
[LOWESTAVAIL » U9] - [CAPACITY » 179] - [LST-SOLD » 27-NOV]_x000D_
{CLASSES}_x000D_
U7 &amp; O10 &amp; I10 &amp; P95</t>
        </r>
      </text>
    </comment>
    <comment ref="B893" authorId="0" shapeId="0" xr:uid="{5955DA84-3563-4F2B-93D3-6730292187D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7 PAX] - [TO-DAY » NIL] - [Y-DAY » NIL]_x000D_
[LOWESTAVAIL » U9] - [CAPACITY » 179] - [LST-SOLD » 27-NOV]_x000D_
{CLASSES}_x000D_
U7 &amp; O10 &amp; I10 &amp; P95</t>
        </r>
      </text>
    </comment>
    <comment ref="C893" authorId="0" shapeId="0" xr:uid="{FBF8A887-2F75-4FCF-9A78-891ACD2DA12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7 PAX] - [TO-DAY » NIL] - [Y-DAY » NIL]_x000D_
[LOWESTAVAIL » U9] - [CAPACITY » 179] - [LST-SOLD » 27-NOV]_x000D_
{CLASSES}_x000D_
U7 &amp; O10 &amp; I10 &amp; P95</t>
        </r>
      </text>
    </comment>
    <comment ref="D893" authorId="0" shapeId="0" xr:uid="{C12B59AF-D117-4F74-9BF0-DB18225C9F5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7 PAX] - [TO-DAY » NIL] - [Y-DAY » NIL]_x000D_
[LOWESTAVAIL » U9] - [CAPACITY » 179] - [LST-SOLD » 27-NOV]_x000D_
{CLASSES}_x000D_
U7 &amp; O10 &amp; I10 &amp; P95</t>
        </r>
      </text>
    </comment>
    <comment ref="E893" authorId="0" shapeId="0" xr:uid="{8735ED92-58EF-476D-9BB9-C262FACDB99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7 PAX] - [TO-DAY » NIL] - [Y-DAY » NIL]_x000D_
[LOWESTAVAIL » U9] - [CAPACITY » 179] - [LST-SOLD » 27-NOV]_x000D_
{CLASSES}_x000D_
U7 &amp; O10 &amp; I10 &amp; P95</t>
        </r>
      </text>
    </comment>
    <comment ref="F893" authorId="0" shapeId="0" xr:uid="{7CB13252-D6DC-439C-82FF-B5D4B1DAF88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7 PAX] - [TO-DAY » NIL] - [Y-DAY » NIL]_x000D_
[LOWESTAVAIL » U9] - [CAPACITY » 179] - [LST-SOLD » 27-NOV]_x000D_
{CLASSES}_x000D_
U7 &amp; O10 &amp; I10 &amp; P95</t>
        </r>
      </text>
    </comment>
    <comment ref="G893" authorId="0" shapeId="0" xr:uid="{B0C4939F-2F97-44AC-BCBD-895D24EC874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7 PAX] - [TO-DAY » NIL] - [Y-DAY » NIL]_x000D_
[LOWESTAVAIL » U9] - [CAPACITY » 179] - [LST-SOLD » 27-NOV]_x000D_
{CLASSES}_x000D_
U7 &amp; O10 &amp; I10 &amp; P95</t>
        </r>
      </text>
    </comment>
    <comment ref="H893" authorId="0" shapeId="0" xr:uid="{02180D7E-AEC5-49A1-AC4C-EE5303578B8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7 PAX] - [TO-DAY » NIL] - [Y-DAY » NIL]_x000D_
[LOWESTAVAIL » U9] - [CAPACITY » 179] - [LST-SOLD » 27-NOV]_x000D_
{CLASSES}_x000D_
U7 &amp; O10 &amp; I10 &amp; P95</t>
        </r>
      </text>
    </comment>
    <comment ref="A894" authorId="0" shapeId="0" xr:uid="{0B9E1170-55F8-49A8-8830-4404F3B4201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12 PAX] - [TO-DAY » 3 PAX] - [Y-DAY » 3]_x000D_
[LOWESTAVAIL » U5] - [CAPACITY » 179] - [LST-SOLD » 29-NOV]_x000D_
{CLASSES}_x000D_
O20 &amp; I10 &amp; E40 &amp; P90</t>
        </r>
      </text>
    </comment>
    <comment ref="B894" authorId="0" shapeId="0" xr:uid="{04116932-D14A-4283-B12A-3CB214B0D95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12 PAX] - [TO-DAY » 3 PAX] - [Y-DAY » 3]_x000D_
[LOWESTAVAIL » U5] - [CAPACITY » 179] - [LST-SOLD » 29-NOV]_x000D_
{CLASSES}_x000D_
O20 &amp; I10 &amp; E40 &amp; P90</t>
        </r>
      </text>
    </comment>
    <comment ref="C894" authorId="0" shapeId="0" xr:uid="{EA9FB41A-6AE3-4191-99AA-7492658ADDC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12 PAX] - [TO-DAY » 3 PAX] - [Y-DAY » 3]_x000D_
[LOWESTAVAIL » U5] - [CAPACITY » 179] - [LST-SOLD » 29-NOV]_x000D_
{CLASSES}_x000D_
O20 &amp; I10 &amp; E40 &amp; P90</t>
        </r>
      </text>
    </comment>
    <comment ref="D894" authorId="0" shapeId="0" xr:uid="{49D6342D-974E-4081-AE29-4C091ED6399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12 PAX] - [TO-DAY » 3 PAX] - [Y-DAY » 3]_x000D_
[LOWESTAVAIL » U5] - [CAPACITY » 179] - [LST-SOLD » 29-NOV]_x000D_
{CLASSES}_x000D_
O20 &amp; I10 &amp; E40 &amp; P90</t>
        </r>
      </text>
    </comment>
    <comment ref="E894" authorId="0" shapeId="0" xr:uid="{5BA330DA-B57E-4B71-B7F0-A3AFCBECAF9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12 PAX] - [TO-DAY » 3 PAX] - [Y-DAY » 3]_x000D_
[LOWESTAVAIL » U5] - [CAPACITY » 179] - [LST-SOLD » 29-NOV]_x000D_
{CLASSES}_x000D_
O20 &amp; I10 &amp; E40 &amp; P90</t>
        </r>
      </text>
    </comment>
    <comment ref="F894" authorId="0" shapeId="0" xr:uid="{F7362F6F-BF28-4E0A-8E99-8422394E20F3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12 PAX] - [TO-DAY » 3 PAX] - [Y-DAY » 3]_x000D_
[LOWESTAVAIL » U5] - [CAPACITY » 179] - [LST-SOLD » 29-NOV]_x000D_
{CLASSES}_x000D_
O20 &amp; I10 &amp; E40 &amp; P90</t>
        </r>
      </text>
    </comment>
    <comment ref="G894" authorId="0" shapeId="0" xr:uid="{0CE7A76C-E4B7-45EE-93CE-02C6FB61A72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12 PAX] - [TO-DAY » 3 PAX] - [Y-DAY » 3]_x000D_
[LOWESTAVAIL » U5] - [CAPACITY » 179] - [LST-SOLD » 29-NOV]_x000D_
{CLASSES}_x000D_
O20 &amp; I10 &amp; E40 &amp; P90</t>
        </r>
      </text>
    </comment>
    <comment ref="H894" authorId="0" shapeId="0" xr:uid="{B57242B3-C358-4A76-82D4-2BC13A45A9E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[SOLD » 160 PAX]_x000D_
[WEEKLY » 12 PAX] - [TO-DAY » 3 PAX] - [Y-DAY » 3]_x000D_
[LOWESTAVAIL » U5] - [CAPACITY » 179] - [LST-SOLD » 29-NOV]_x000D_
{CLASSES}_x000D_
O20 &amp; I10 &amp; E40 &amp; P90</t>
        </r>
      </text>
    </comment>
    <comment ref="A944" authorId="0" shapeId="0" xr:uid="{C552A274-7BF4-4A88-BD94-199D27CE5E5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114.5%]   -   [SOLD » 205 PAX]_x000D_
[WEEKLY » 157 PAX] - [TO-DAY » NIL] - [Y-DAY » NIL]_x000D_
[LOWESTAVAIL » CLOSED] - [CAPACITY » 179] - [LST-SOLD » 26-NOV]_x000D_
{CLASSES}_x000D_
S1 &amp; X2 &amp; O10 &amp; I10 &amp; E25 &amp; P157</t>
        </r>
      </text>
    </comment>
    <comment ref="B944" authorId="0" shapeId="0" xr:uid="{36A60B4D-DE84-4AD6-844B-E80EB7EC0673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114.5%]   -   [SOLD » 205 PAX]_x000D_
[WEEKLY » 157 PAX] - [TO-DAY » NIL] - [Y-DAY » NIL]_x000D_
[LOWESTAVAIL » CLOSED] - [CAPACITY » 179] - [LST-SOLD » 26-NOV]_x000D_
{CLASSES}_x000D_
S1 &amp; X2 &amp; O10 &amp; I10 &amp; E25 &amp; P157</t>
        </r>
      </text>
    </comment>
    <comment ref="C944" authorId="0" shapeId="0" xr:uid="{914624FC-3A62-4664-82F7-A5547FB24FB6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114.5%]   -   [SOLD » 205 PAX]_x000D_
[WEEKLY » 157 PAX] - [TO-DAY » NIL] - [Y-DAY » NIL]_x000D_
[LOWESTAVAIL » CLOSED] - [CAPACITY » 179] - [LST-SOLD » 26-NOV]_x000D_
{CLASSES}_x000D_
S1 &amp; X2 &amp; O10 &amp; I10 &amp; E25 &amp; P157</t>
        </r>
      </text>
    </comment>
    <comment ref="D944" authorId="0" shapeId="0" xr:uid="{3FE77BF8-A844-45A4-AD97-05BA37CD6FBD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114.5%]   -   [SOLD » 205 PAX]_x000D_
[WEEKLY » 157 PAX] - [TO-DAY » NIL] - [Y-DAY » NIL]_x000D_
[LOWESTAVAIL » CLOSED] - [CAPACITY » 179] - [LST-SOLD » 26-NOV]_x000D_
{CLASSES}_x000D_
S1 &amp; X2 &amp; O10 &amp; I10 &amp; E25 &amp; P157</t>
        </r>
      </text>
    </comment>
    <comment ref="E944" authorId="0" shapeId="0" xr:uid="{EB443C85-EDE5-4674-ABFB-69B48F300452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114.5%]   -   [SOLD » 205 PAX]_x000D_
[WEEKLY » 157 PAX] - [TO-DAY » NIL] - [Y-DAY » NIL]_x000D_
[LOWESTAVAIL » CLOSED] - [CAPACITY » 179] - [LST-SOLD » 26-NOV]_x000D_
{CLASSES}_x000D_
S1 &amp; X2 &amp; O10 &amp; I10 &amp; E25 &amp; P157</t>
        </r>
      </text>
    </comment>
    <comment ref="F944" authorId="0" shapeId="0" xr:uid="{B48D5DE3-F281-481D-9C18-A6E16C935BA0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114.5%]   -   [SOLD » 205 PAX]_x000D_
[WEEKLY » 157 PAX] - [TO-DAY » NIL] - [Y-DAY » NIL]_x000D_
[LOWESTAVAIL » CLOSED] - [CAPACITY » 179] - [LST-SOLD » 26-NOV]_x000D_
{CLASSES}_x000D_
S1 &amp; X2 &amp; O10 &amp; I10 &amp; E25 &amp; P157</t>
        </r>
      </text>
    </comment>
    <comment ref="G944" authorId="0" shapeId="0" xr:uid="{EAD25B69-7577-415F-98EF-70DB3D1A980B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114.5%]   -   [SOLD » 205 PAX]_x000D_
[WEEKLY » 157 PAX] - [TO-DAY » NIL] - [Y-DAY » NIL]_x000D_
[LOWESTAVAIL » CLOSED] - [CAPACITY » 179] - [LST-SOLD » 26-NOV]_x000D_
{CLASSES}_x000D_
S1 &amp; X2 &amp; O10 &amp; I10 &amp; E25 &amp; P157</t>
        </r>
      </text>
    </comment>
    <comment ref="H944" authorId="0" shapeId="0" xr:uid="{6BD68569-A973-42FC-82BF-A1F6C6E59CDE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114.5%]   -   [SOLD » 205 PAX]_x000D_
[WEEKLY » 157 PAX] - [TO-DAY » NIL] - [Y-DAY » NIL]_x000D_
[LOWESTAVAIL » CLOSED] - [CAPACITY » 179] - [LST-SOLD » 26-NOV]_x000D_
{CLASSES}_x000D_
S1 &amp; X2 &amp; O10 &amp; I10 &amp; E25 &amp; P157</t>
        </r>
      </text>
    </comment>
    <comment ref="A958" authorId="0" shapeId="0" xr:uid="{EA4E0399-185D-4E82-B477-8504ED192B1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84.4%]   -   [SOLD » 151 PAX]_x000D_
[WEEKLY » NIL] - [TO-DAY » NIL] - [Y-DAY » NIL]_x000D_
[LOWESTAVAIL » O9] - [CAPACITY » 179] - [LST-SOLD » 20-NOV]_x000D_
{CLASSES}_x000D_
O6 &amp; I10 &amp; P134 &amp; N1</t>
        </r>
      </text>
    </comment>
    <comment ref="B958" authorId="0" shapeId="0" xr:uid="{F88AE9A7-3AB0-40C2-8AB9-B69817CA04A4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84.4%]   -   [SOLD » 151 PAX]_x000D_
[WEEKLY » NIL] - [TO-DAY » NIL] - [Y-DAY » NIL]_x000D_
[LOWESTAVAIL » O9] - [CAPACITY » 179] - [LST-SOLD » 20-NOV]_x000D_
{CLASSES}_x000D_
O6 &amp; I10 &amp; P134 &amp; N1</t>
        </r>
      </text>
    </comment>
    <comment ref="C958" authorId="0" shapeId="0" xr:uid="{C272183B-9E6B-4886-9B51-DD918F10FCF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84.4%]   -   [SOLD » 151 PAX]_x000D_
[WEEKLY » NIL] - [TO-DAY » NIL] - [Y-DAY » NIL]_x000D_
[LOWESTAVAIL » O9] - [CAPACITY » 179] - [LST-SOLD » 20-NOV]_x000D_
{CLASSES}_x000D_
O6 &amp; I10 &amp; P134 &amp; N1</t>
        </r>
      </text>
    </comment>
    <comment ref="D958" authorId="0" shapeId="0" xr:uid="{BF017CC2-B3CD-4C86-9584-A4C249BF60D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84.4%]   -   [SOLD » 151 PAX]_x000D_
[WEEKLY » NIL] - [TO-DAY » NIL] - [Y-DAY » NIL]_x000D_
[LOWESTAVAIL » O9] - [CAPACITY » 179] - [LST-SOLD » 20-NOV]_x000D_
{CLASSES}_x000D_
O6 &amp; I10 &amp; P134 &amp; N1</t>
        </r>
      </text>
    </comment>
    <comment ref="E958" authorId="0" shapeId="0" xr:uid="{B588B998-F831-4675-9D7D-D2070F9457BB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84.4%]   -   [SOLD » 151 PAX]_x000D_
[WEEKLY » NIL] - [TO-DAY » NIL] - [Y-DAY » NIL]_x000D_
[LOWESTAVAIL » O9] - [CAPACITY » 179] - [LST-SOLD » 20-NOV]_x000D_
{CLASSES}_x000D_
O6 &amp; I10 &amp; P134 &amp; N1</t>
        </r>
      </text>
    </comment>
    <comment ref="F958" authorId="0" shapeId="0" xr:uid="{4797C81B-1082-4A79-9C56-FC7CAA621D4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84.4%]   -   [SOLD » 151 PAX]_x000D_
[WEEKLY » NIL] - [TO-DAY » NIL] - [Y-DAY » NIL]_x000D_
[LOWESTAVAIL » O9] - [CAPACITY » 179] - [LST-SOLD » 20-NOV]_x000D_
{CLASSES}_x000D_
O6 &amp; I10 &amp; P134 &amp; N1</t>
        </r>
      </text>
    </comment>
    <comment ref="G958" authorId="0" shapeId="0" xr:uid="{F1CE6470-58E9-490C-8664-F76BE16DB7C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84.4%]   -   [SOLD » 151 PAX]_x000D_
[WEEKLY » NIL] - [TO-DAY » NIL] - [Y-DAY » NIL]_x000D_
[LOWESTAVAIL » O9] - [CAPACITY » 179] - [LST-SOLD » 20-NOV]_x000D_
{CLASSES}_x000D_
O6 &amp; I10 &amp; P134 &amp; N1</t>
        </r>
      </text>
    </comment>
    <comment ref="H958" authorId="0" shapeId="0" xr:uid="{246801BE-8EF1-48EA-AAD3-125FE4DC067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84.4%]   -   [SOLD » 151 PAX]_x000D_
[WEEKLY » NIL] - [TO-DAY » NIL] - [Y-DAY » NIL]_x000D_
[LOWESTAVAIL » O9] - [CAPACITY » 179] - [LST-SOLD » 20-NOV]_x000D_
{CLASSES}_x000D_
O6 &amp; I10 &amp; P134 &amp; N1</t>
        </r>
      </text>
    </comment>
    <comment ref="A959" authorId="0" shapeId="0" xr:uid="{AE7F013B-9027-40CB-90B9-67510510F45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37.4%]   -   [SOLD » 67 PAX]_x000D_
[WEEKLY » 5 PAX] - [TO-DAY » NIL] - [Y-DAY » NIL]_x000D_
[LOWESTAVAIL » O8] - [CAPACITY » 179] - [LST-SOLD » 25-NOV]_x000D_
{CLASSES}_x000D_
O12 &amp; I10 &amp; P45</t>
        </r>
      </text>
    </comment>
    <comment ref="B959" authorId="0" shapeId="0" xr:uid="{42DFDEC0-978C-4D2C-B213-550C46F001F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37.4%]   -   [SOLD » 67 PAX]_x000D_
[WEEKLY » 5 PAX] - [TO-DAY » NIL] - [Y-DAY » NIL]_x000D_
[LOWESTAVAIL » O8] - [CAPACITY » 179] - [LST-SOLD » 25-NOV]_x000D_
{CLASSES}_x000D_
O12 &amp; I10 &amp; P45</t>
        </r>
      </text>
    </comment>
    <comment ref="C959" authorId="0" shapeId="0" xr:uid="{CC8AD976-EF3A-4150-9191-7188D85FFB3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37.4%]   -   [SOLD » 67 PAX]_x000D_
[WEEKLY » 5 PAX] - [TO-DAY » NIL] - [Y-DAY » NIL]_x000D_
[LOWESTAVAIL » O8] - [CAPACITY » 179] - [LST-SOLD » 25-NOV]_x000D_
{CLASSES}_x000D_
O12 &amp; I10 &amp; P45</t>
        </r>
      </text>
    </comment>
    <comment ref="D959" authorId="0" shapeId="0" xr:uid="{AF8535E7-7528-4F0F-80EB-1FEA44322F6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37.4%]   -   [SOLD » 67 PAX]_x000D_
[WEEKLY » 5 PAX] - [TO-DAY » NIL] - [Y-DAY » NIL]_x000D_
[LOWESTAVAIL » O8] - [CAPACITY » 179] - [LST-SOLD » 25-NOV]_x000D_
{CLASSES}_x000D_
O12 &amp; I10 &amp; P45</t>
        </r>
      </text>
    </comment>
    <comment ref="E959" authorId="0" shapeId="0" xr:uid="{AF1EC0F4-9FA6-427C-9B10-12994C05795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37.4%]   -   [SOLD » 67 PAX]_x000D_
[WEEKLY » 5 PAX] - [TO-DAY » NIL] - [Y-DAY » NIL]_x000D_
[LOWESTAVAIL » O8] - [CAPACITY » 179] - [LST-SOLD » 25-NOV]_x000D_
{CLASSES}_x000D_
O12 &amp; I10 &amp; P45</t>
        </r>
      </text>
    </comment>
    <comment ref="F959" authorId="0" shapeId="0" xr:uid="{B26F7AE4-0182-435F-A9B1-83F677B0F20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37.4%]   -   [SOLD » 67 PAX]_x000D_
[WEEKLY » 5 PAX] - [TO-DAY » NIL] - [Y-DAY » NIL]_x000D_
[LOWESTAVAIL » O8] - [CAPACITY » 179] - [LST-SOLD » 25-NOV]_x000D_
{CLASSES}_x000D_
O12 &amp; I10 &amp; P45</t>
        </r>
      </text>
    </comment>
    <comment ref="G959" authorId="0" shapeId="0" xr:uid="{A3987323-7EBA-438B-A473-3F3AAA589B4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37.4%]   -   [SOLD » 67 PAX]_x000D_
[WEEKLY » 5 PAX] - [TO-DAY » NIL] - [Y-DAY » NIL]_x000D_
[LOWESTAVAIL » O8] - [CAPACITY » 179] - [LST-SOLD » 25-NOV]_x000D_
{CLASSES}_x000D_
O12 &amp; I10 &amp; P45</t>
        </r>
      </text>
    </comment>
    <comment ref="H959" authorId="0" shapeId="0" xr:uid="{6602D49A-9C3A-40CD-A5A6-3B231D89C84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37.4%]   -   [SOLD » 67 PAX]_x000D_
[WEEKLY » 5 PAX] - [TO-DAY » NIL] - [Y-DAY » NIL]_x000D_
[LOWESTAVAIL » O8] - [CAPACITY » 179] - [LST-SOLD » 25-NOV]_x000D_
{CLASSES}_x000D_
O12 &amp; I10 &amp; P45</t>
        </r>
      </text>
    </comment>
    <comment ref="A960" authorId="0" shapeId="0" xr:uid="{BB64C8C9-897A-4EC5-985E-70DAE235989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78.2%]   -   [SOLD » 140 PAX]_x000D_
[WEEKLY » 58 PAX] - [TO-DAY » NIL] - [Y-DAY » NIL]_x000D_
[LOWESTAVAIL » O5] - [CAPACITY » 179] - [LST-SOLD » 27-NOV]_x000D_
{CLASSES}_x000D_
O5 &amp; I20 &amp; P115</t>
        </r>
      </text>
    </comment>
    <comment ref="B960" authorId="0" shapeId="0" xr:uid="{87C1D83F-9229-4DFF-823B-ED20A67ACD6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78.2%]   -   [SOLD » 140 PAX]_x000D_
[WEEKLY » 58 PAX] - [TO-DAY » NIL] - [Y-DAY » NIL]_x000D_
[LOWESTAVAIL » O5] - [CAPACITY » 179] - [LST-SOLD » 27-NOV]_x000D_
{CLASSES}_x000D_
O5 &amp; I20 &amp; P115</t>
        </r>
      </text>
    </comment>
    <comment ref="C960" authorId="0" shapeId="0" xr:uid="{8D1DA929-0AD4-49C5-A669-E2FE2C421DB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78.2%]   -   [SOLD » 140 PAX]_x000D_
[WEEKLY » 58 PAX] - [TO-DAY » NIL] - [Y-DAY » NIL]_x000D_
[LOWESTAVAIL » O5] - [CAPACITY » 179] - [LST-SOLD » 27-NOV]_x000D_
{CLASSES}_x000D_
O5 &amp; I20 &amp; P115</t>
        </r>
      </text>
    </comment>
    <comment ref="D960" authorId="0" shapeId="0" xr:uid="{B0DD5117-BE49-4478-A965-DBEC69CA616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78.2%]   -   [SOLD » 140 PAX]_x000D_
[WEEKLY » 58 PAX] - [TO-DAY » NIL] - [Y-DAY » NIL]_x000D_
[LOWESTAVAIL » O5] - [CAPACITY » 179] - [LST-SOLD » 27-NOV]_x000D_
{CLASSES}_x000D_
O5 &amp; I20 &amp; P115</t>
        </r>
      </text>
    </comment>
    <comment ref="E960" authorId="0" shapeId="0" xr:uid="{110F749D-283F-483D-8370-C93E8D8F356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78.2%]   -   [SOLD » 140 PAX]_x000D_
[WEEKLY » 58 PAX] - [TO-DAY » NIL] - [Y-DAY » NIL]_x000D_
[LOWESTAVAIL » O5] - [CAPACITY » 179] - [LST-SOLD » 27-NOV]_x000D_
{CLASSES}_x000D_
O5 &amp; I20 &amp; P115</t>
        </r>
      </text>
    </comment>
    <comment ref="F960" authorId="0" shapeId="0" xr:uid="{3603098A-E849-4702-80AC-B29481B820E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78.2%]   -   [SOLD » 140 PAX]_x000D_
[WEEKLY » 58 PAX] - [TO-DAY » NIL] - [Y-DAY » NIL]_x000D_
[LOWESTAVAIL » O5] - [CAPACITY » 179] - [LST-SOLD » 27-NOV]_x000D_
{CLASSES}_x000D_
O5 &amp; I20 &amp; P115</t>
        </r>
      </text>
    </comment>
    <comment ref="G960" authorId="0" shapeId="0" xr:uid="{33130527-9455-4677-BF09-6226C287EA2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78.2%]   -   [SOLD » 140 PAX]_x000D_
[WEEKLY » 58 PAX] - [TO-DAY » NIL] - [Y-DAY » NIL]_x000D_
[LOWESTAVAIL » O5] - [CAPACITY » 179] - [LST-SOLD » 27-NOV]_x000D_
{CLASSES}_x000D_
O5 &amp; I20 &amp; P115</t>
        </r>
      </text>
    </comment>
    <comment ref="H960" authorId="0" shapeId="0" xr:uid="{2687CE7F-7392-4FB0-8AFD-A8B8D4B4AB24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78.2%]   -   [SOLD » 140 PAX]_x000D_
[WEEKLY » 58 PAX] - [TO-DAY » NIL] - [Y-DAY » NIL]_x000D_
[LOWESTAVAIL » O5] - [CAPACITY » 179] - [LST-SOLD » 27-NOV]_x000D_
{CLASSES}_x000D_
O5 &amp; I20 &amp; P115</t>
        </r>
      </text>
    </comment>
    <comment ref="A970" authorId="0" shapeId="0" xr:uid="{BC01B9CF-4318-4030-A974-033F7770197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46.4%]   -   [SOLD » 83 PAX]_x000D_
[WEEKLY » 47 PAX] - [TO-DAY » NIL] - [Y-DAY » NIL]_x000D_
[LOWESTAVAIL » U9] - [CAPACITY » 179] - [LST-SOLD » 27-NOV]_x000D_
{CLASSES}_x000D_
S3 &amp; U9 &amp; O10 &amp; I10 &amp; P51</t>
        </r>
      </text>
    </comment>
    <comment ref="B970" authorId="0" shapeId="0" xr:uid="{A75C61FD-C1E5-446D-8BBD-97CB54895E8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46.4%]   -   [SOLD » 83 PAX]_x000D_
[WEEKLY » 47 PAX] - [TO-DAY » NIL] - [Y-DAY » NIL]_x000D_
[LOWESTAVAIL » U9] - [CAPACITY » 179] - [LST-SOLD » 27-NOV]_x000D_
{CLASSES}_x000D_
S3 &amp; U9 &amp; O10 &amp; I10 &amp; P51</t>
        </r>
      </text>
    </comment>
    <comment ref="C970" authorId="0" shapeId="0" xr:uid="{BC7A7DB3-4A2D-4153-9313-342C3E8302F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46.4%]   -   [SOLD » 83 PAX]_x000D_
[WEEKLY » 47 PAX] - [TO-DAY » NIL] - [Y-DAY » NIL]_x000D_
[LOWESTAVAIL » U9] - [CAPACITY » 179] - [LST-SOLD » 27-NOV]_x000D_
{CLASSES}_x000D_
S3 &amp; U9 &amp; O10 &amp; I10 &amp; P51</t>
        </r>
      </text>
    </comment>
    <comment ref="D970" authorId="0" shapeId="0" xr:uid="{686E0BA5-F2C1-4937-94FE-BCACC1AF6E5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46.4%]   -   [SOLD » 83 PAX]_x000D_
[WEEKLY » 47 PAX] - [TO-DAY » NIL] - [Y-DAY » NIL]_x000D_
[LOWESTAVAIL » U9] - [CAPACITY » 179] - [LST-SOLD » 27-NOV]_x000D_
{CLASSES}_x000D_
S3 &amp; U9 &amp; O10 &amp; I10 &amp; P51</t>
        </r>
      </text>
    </comment>
    <comment ref="E970" authorId="0" shapeId="0" xr:uid="{B95B287D-2073-4E56-A8E8-91A3875C1E3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46.4%]   -   [SOLD » 83 PAX]_x000D_
[WEEKLY » 47 PAX] - [TO-DAY » NIL] - [Y-DAY » NIL]_x000D_
[LOWESTAVAIL » U9] - [CAPACITY » 179] - [LST-SOLD » 27-NOV]_x000D_
{CLASSES}_x000D_
S3 &amp; U9 &amp; O10 &amp; I10 &amp; P51</t>
        </r>
      </text>
    </comment>
    <comment ref="F970" authorId="0" shapeId="0" xr:uid="{96984872-1739-4CD6-9D69-06E20C7D5E9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46.4%]   -   [SOLD » 83 PAX]_x000D_
[WEEKLY » 47 PAX] - [TO-DAY » NIL] - [Y-DAY » NIL]_x000D_
[LOWESTAVAIL » U9] - [CAPACITY » 179] - [LST-SOLD » 27-NOV]_x000D_
{CLASSES}_x000D_
S3 &amp; U9 &amp; O10 &amp; I10 &amp; P51</t>
        </r>
      </text>
    </comment>
    <comment ref="G970" authorId="0" shapeId="0" xr:uid="{573016BC-C167-42FB-81C8-02C83B96047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46.4%]   -   [SOLD » 83 PAX]_x000D_
[WEEKLY » 47 PAX] - [TO-DAY » NIL] - [Y-DAY » NIL]_x000D_
[LOWESTAVAIL » U9] - [CAPACITY » 179] - [LST-SOLD » 27-NOV]_x000D_
{CLASSES}_x000D_
S3 &amp; U9 &amp; O10 &amp; I10 &amp; P51</t>
        </r>
      </text>
    </comment>
    <comment ref="H970" authorId="0" shapeId="0" xr:uid="{B6ACDFB4-4006-4023-9E55-6F55018965D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46.4%]   -   [SOLD » 83 PAX]_x000D_
[WEEKLY » 47 PAX] - [TO-DAY » NIL] - [Y-DAY » NIL]_x000D_
[LOWESTAVAIL » U9] - [CAPACITY » 179] - [LST-SOLD » 27-NOV]_x000D_
{CLASSES}_x000D_
S3 &amp; U9 &amp; O10 &amp; I10 &amp; P51</t>
        </r>
      </text>
    </comment>
    <comment ref="A1032" authorId="0" shapeId="0" xr:uid="{469FE451-D9CB-4AA0-A431-69CD25AE770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11.2%]   -   [SOLD » 20 PAX]_x000D_
[WEEKLY » 2 PAX] - [TO-DAY » NIL] - [Y-DAY » 1]_x000D_
[LOWESTAVAIL » I9] - [CAPACITY » 179] - [LST-SOLD » 28-NOV]_x000D_
{CLASSES}_x000D_
S2 &amp; O7 &amp; I11</t>
        </r>
      </text>
    </comment>
    <comment ref="B1032" authorId="0" shapeId="0" xr:uid="{C37D94F8-5FC6-46C0-B215-F71F728F888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11.2%]   -   [SOLD » 20 PAX]_x000D_
[WEEKLY » 2 PAX] - [TO-DAY » NIL] - [Y-DAY » 1]_x000D_
[LOWESTAVAIL » I9] - [CAPACITY » 179] - [LST-SOLD » 28-NOV]_x000D_
{CLASSES}_x000D_
S2 &amp; O7 &amp; I11</t>
        </r>
      </text>
    </comment>
    <comment ref="C1032" authorId="0" shapeId="0" xr:uid="{66A250F6-254D-4EF3-B3D6-607874400508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11.2%]   -   [SOLD » 20 PAX]_x000D_
[WEEKLY » 2 PAX] - [TO-DAY » NIL] - [Y-DAY » 1]_x000D_
[LOWESTAVAIL » I9] - [CAPACITY » 179] - [LST-SOLD » 28-NOV]_x000D_
{CLASSES}_x000D_
S2 &amp; O7 &amp; I11</t>
        </r>
      </text>
    </comment>
    <comment ref="D1032" authorId="0" shapeId="0" xr:uid="{A12C7250-993F-4B53-910D-11994C058FF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11.2%]   -   [SOLD » 20 PAX]_x000D_
[WEEKLY » 2 PAX] - [TO-DAY » NIL] - [Y-DAY » 1]_x000D_
[LOWESTAVAIL » I9] - [CAPACITY » 179] - [LST-SOLD » 28-NOV]_x000D_
{CLASSES}_x000D_
S2 &amp; O7 &amp; I11</t>
        </r>
      </text>
    </comment>
    <comment ref="E1032" authorId="0" shapeId="0" xr:uid="{B38B7510-1E54-4D15-85F4-AAE13E49B09D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11.2%]   -   [SOLD » 20 PAX]_x000D_
[WEEKLY » 2 PAX] - [TO-DAY » NIL] - [Y-DAY » 1]_x000D_
[LOWESTAVAIL » I9] - [CAPACITY » 179] - [LST-SOLD » 28-NOV]_x000D_
{CLASSES}_x000D_
S2 &amp; O7 &amp; I11</t>
        </r>
      </text>
    </comment>
    <comment ref="F1032" authorId="0" shapeId="0" xr:uid="{8B976038-6587-4B1A-AB5E-9936F78F48BB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11.2%]   -   [SOLD » 20 PAX]_x000D_
[WEEKLY » 2 PAX] - [TO-DAY » NIL] - [Y-DAY » 1]_x000D_
[LOWESTAVAIL » I9] - [CAPACITY » 179] - [LST-SOLD » 28-NOV]_x000D_
{CLASSES}_x000D_
S2 &amp; O7 &amp; I11</t>
        </r>
      </text>
    </comment>
    <comment ref="G1032" authorId="0" shapeId="0" xr:uid="{434BC77F-E7BD-478A-A400-5CDB4BDC08C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11.2%]   -   [SOLD » 20 PAX]_x000D_
[WEEKLY » 2 PAX] - [TO-DAY » NIL] - [Y-DAY » 1]_x000D_
[LOWESTAVAIL » I9] - [CAPACITY » 179] - [LST-SOLD » 28-NOV]_x000D_
{CLASSES}_x000D_
S2 &amp; O7 &amp; I11</t>
        </r>
      </text>
    </comment>
    <comment ref="H1032" authorId="0" shapeId="0" xr:uid="{11149EE6-AE6C-4D76-9E4B-1F8E6D1830F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11.2%]   -   [SOLD » 20 PAX]_x000D_
[WEEKLY » 2 PAX] - [TO-DAY » NIL] - [Y-DAY » 1]_x000D_
[LOWESTAVAIL » I9] - [CAPACITY » 179] - [LST-SOLD » 28-NOV]_x000D_
{CLASSES}_x000D_
S2 &amp; O7 &amp; I11</t>
        </r>
      </text>
    </comment>
    <comment ref="A1033" authorId="0" shapeId="0" xr:uid="{F0BFA570-566D-48E6-9197-2909DACCA5B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10 PAX] - [TO-DAY » NIL] - [Y-DAY » 2]_x000D_
[LOWESTAVAIL » I3] - [CAPACITY » 179] - [LST-SOLD » 28-NOV]_x000D_
{CLASSES}_x000D_
S1 &amp; O3 &amp; I17 &amp; P45 &amp; N2</t>
        </r>
      </text>
    </comment>
    <comment ref="B1033" authorId="0" shapeId="0" xr:uid="{FAF48443-F574-4C8F-AC37-EF58C81D498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10 PAX] - [TO-DAY » NIL] - [Y-DAY » 2]_x000D_
[LOWESTAVAIL » I3] - [CAPACITY » 179] - [LST-SOLD » 28-NOV]_x000D_
{CLASSES}_x000D_
S1 &amp; O3 &amp; I17 &amp; P45 &amp; N2</t>
        </r>
      </text>
    </comment>
    <comment ref="C1033" authorId="0" shapeId="0" xr:uid="{5A1F89CE-DDFE-4645-BFD1-5EA03367BA7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10 PAX] - [TO-DAY » NIL] - [Y-DAY » 2]_x000D_
[LOWESTAVAIL » I3] - [CAPACITY » 179] - [LST-SOLD » 28-NOV]_x000D_
{CLASSES}_x000D_
S1 &amp; O3 &amp; I17 &amp; P45 &amp; N2</t>
        </r>
      </text>
    </comment>
    <comment ref="D1033" authorId="0" shapeId="0" xr:uid="{166D73A5-53B2-4855-86D2-76875DBA891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10 PAX] - [TO-DAY » NIL] - [Y-DAY » 2]_x000D_
[LOWESTAVAIL » I3] - [CAPACITY » 179] - [LST-SOLD » 28-NOV]_x000D_
{CLASSES}_x000D_
S1 &amp; O3 &amp; I17 &amp; P45 &amp; N2</t>
        </r>
      </text>
    </comment>
    <comment ref="E1033" authorId="0" shapeId="0" xr:uid="{E4072B9F-80BB-48F4-AF82-35913972CA9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10 PAX] - [TO-DAY » NIL] - [Y-DAY » 2]_x000D_
[LOWESTAVAIL » I3] - [CAPACITY » 179] - [LST-SOLD » 28-NOV]_x000D_
{CLASSES}_x000D_
S1 &amp; O3 &amp; I17 &amp; P45 &amp; N2</t>
        </r>
      </text>
    </comment>
    <comment ref="F1033" authorId="0" shapeId="0" xr:uid="{9F1ED323-F197-4ABD-8E43-9CDA6D67B72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10 PAX] - [TO-DAY » NIL] - [Y-DAY » 2]_x000D_
[LOWESTAVAIL » I3] - [CAPACITY » 179] - [LST-SOLD » 28-NOV]_x000D_
{CLASSES}_x000D_
S1 &amp; O3 &amp; I17 &amp; P45 &amp; N2</t>
        </r>
      </text>
    </comment>
    <comment ref="G1033" authorId="0" shapeId="0" xr:uid="{94901FAC-DBF9-4388-8B56-BF853D35DFE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10 PAX] - [TO-DAY » NIL] - [Y-DAY » 2]_x000D_
[LOWESTAVAIL » I3] - [CAPACITY » 179] - [LST-SOLD » 28-NOV]_x000D_
{CLASSES}_x000D_
S1 &amp; O3 &amp; I17 &amp; P45 &amp; N2</t>
        </r>
      </text>
    </comment>
    <comment ref="H1033" authorId="0" shapeId="0" xr:uid="{C7389F9E-A219-47A5-8DCB-F4BE0C599AE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[SOLD » 68 PAX]_x000D_
[WEEKLY » 10 PAX] - [TO-DAY » NIL] - [Y-DAY » 2]_x000D_
[LOWESTAVAIL » I3] - [CAPACITY » 179] - [LST-SOLD » 28-NOV]_x000D_
{CLASSES}_x000D_
S1 &amp; O3 &amp; I17 &amp; P45 &amp; N2</t>
        </r>
      </text>
    </comment>
    <comment ref="A1034" authorId="0" shapeId="0" xr:uid="{15942EAD-D32B-4265-9C7C-9019D1555A9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5 PAX] - [TO-DAY » NIL] - [Y-DAY » NIL]_x000D_
[LOWESTAVAIL » I9] - [CAPACITY » 179] - [LST-SOLD » 24-NOV]_x000D_
{CLASSES}_x000D_
S1 &amp; O1 &amp; I10 &amp; P23</t>
        </r>
      </text>
    </comment>
    <comment ref="B1034" authorId="0" shapeId="0" xr:uid="{0AFED5C7-B331-4178-B2C7-F8B7320D327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5 PAX] - [TO-DAY » NIL] - [Y-DAY » NIL]_x000D_
[LOWESTAVAIL » I9] - [CAPACITY » 179] - [LST-SOLD » 24-NOV]_x000D_
{CLASSES}_x000D_
S1 &amp; O1 &amp; I10 &amp; P23</t>
        </r>
      </text>
    </comment>
    <comment ref="C1034" authorId="0" shapeId="0" xr:uid="{75613C26-4E59-45F4-8DE5-305382D38B7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5 PAX] - [TO-DAY » NIL] - [Y-DAY » NIL]_x000D_
[LOWESTAVAIL » I9] - [CAPACITY » 179] - [LST-SOLD » 24-NOV]_x000D_
{CLASSES}_x000D_
S1 &amp; O1 &amp; I10 &amp; P23</t>
        </r>
      </text>
    </comment>
    <comment ref="D1034" authorId="0" shapeId="0" xr:uid="{5AD7F44F-8166-4CBF-8FA7-F7E16A1BAEE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5 PAX] - [TO-DAY » NIL] - [Y-DAY » NIL]_x000D_
[LOWESTAVAIL » I9] - [CAPACITY » 179] - [LST-SOLD » 24-NOV]_x000D_
{CLASSES}_x000D_
S1 &amp; O1 &amp; I10 &amp; P23</t>
        </r>
      </text>
    </comment>
    <comment ref="E1034" authorId="0" shapeId="0" xr:uid="{03F5BAF7-18C9-4842-B2F3-18A6E9F8E89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5 PAX] - [TO-DAY » NIL] - [Y-DAY » NIL]_x000D_
[LOWESTAVAIL » I9] - [CAPACITY » 179] - [LST-SOLD » 24-NOV]_x000D_
{CLASSES}_x000D_
S1 &amp; O1 &amp; I10 &amp; P23</t>
        </r>
      </text>
    </comment>
    <comment ref="F1034" authorId="0" shapeId="0" xr:uid="{B325C5A4-6261-43FB-9214-868A4C9887B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5 PAX] - [TO-DAY » NIL] - [Y-DAY » NIL]_x000D_
[LOWESTAVAIL » I9] - [CAPACITY » 179] - [LST-SOLD » 24-NOV]_x000D_
{CLASSES}_x000D_
S1 &amp; O1 &amp; I10 &amp; P23</t>
        </r>
      </text>
    </comment>
    <comment ref="G1034" authorId="0" shapeId="0" xr:uid="{CBA94073-D4CB-4055-B6C4-4419BAE8DDD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5 PAX] - [TO-DAY » NIL] - [Y-DAY » NIL]_x000D_
[LOWESTAVAIL » I9] - [CAPACITY » 179] - [LST-SOLD » 24-NOV]_x000D_
{CLASSES}_x000D_
S1 &amp; O1 &amp; I10 &amp; P23</t>
        </r>
      </text>
    </comment>
    <comment ref="H1034" authorId="0" shapeId="0" xr:uid="{75CBE4D2-0C60-4F15-B446-F00556717CE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5 PAX] - [TO-DAY » NIL] - [Y-DAY » NIL]_x000D_
[LOWESTAVAIL » I9] - [CAPACITY » 179] - [LST-SOLD » 24-NOV]_x000D_
{CLASSES}_x000D_
S1 &amp; O1 &amp; I10 &amp; P23</t>
        </r>
      </text>
    </comment>
    <comment ref="A1035" authorId="0" shapeId="0" xr:uid="{FD752AD5-C897-4216-8F51-486CC045EA5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[SOLD » 15 PAX]_x000D_
[WEEKLY » 7 PAX] - [TO-DAY » NIL] - [Y-DAY » NIL]_x000D_
[LOWESTAVAIL » I9] - [CAPACITY » 179] - [LST-SOLD » 26-NOV]_x000D_
{CLASSES}_x000D_
S3 &amp; O1 &amp; I11</t>
        </r>
      </text>
    </comment>
    <comment ref="B1035" authorId="0" shapeId="0" xr:uid="{17AF8EF4-EAD3-4D6E-8AAD-054B3FEF0921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[SOLD » 15 PAX]_x000D_
[WEEKLY » 7 PAX] - [TO-DAY » NIL] - [Y-DAY » NIL]_x000D_
[LOWESTAVAIL » I9] - [CAPACITY » 179] - [LST-SOLD » 26-NOV]_x000D_
{CLASSES}_x000D_
S3 &amp; O1 &amp; I11</t>
        </r>
      </text>
    </comment>
    <comment ref="C1035" authorId="0" shapeId="0" xr:uid="{5C3EEE34-125F-4DFA-95DA-6DBAAD27AE94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[SOLD » 15 PAX]_x000D_
[WEEKLY » 7 PAX] - [TO-DAY » NIL] - [Y-DAY » NIL]_x000D_
[LOWESTAVAIL » I9] - [CAPACITY » 179] - [LST-SOLD » 26-NOV]_x000D_
{CLASSES}_x000D_
S3 &amp; O1 &amp; I11</t>
        </r>
      </text>
    </comment>
    <comment ref="D1035" authorId="0" shapeId="0" xr:uid="{D4CF618E-9F1F-4E1F-90E9-B0806533F756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[SOLD » 15 PAX]_x000D_
[WEEKLY » 7 PAX] - [TO-DAY » NIL] - [Y-DAY » NIL]_x000D_
[LOWESTAVAIL » I9] - [CAPACITY » 179] - [LST-SOLD » 26-NOV]_x000D_
{CLASSES}_x000D_
S3 &amp; O1 &amp; I11</t>
        </r>
      </text>
    </comment>
    <comment ref="E1035" authorId="0" shapeId="0" xr:uid="{F6CD4AA8-E909-467A-BB6F-953A901A3C26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[SOLD » 15 PAX]_x000D_
[WEEKLY » 7 PAX] - [TO-DAY » NIL] - [Y-DAY » NIL]_x000D_
[LOWESTAVAIL » I9] - [CAPACITY » 179] - [LST-SOLD » 26-NOV]_x000D_
{CLASSES}_x000D_
S3 &amp; O1 &amp; I11</t>
        </r>
      </text>
    </comment>
    <comment ref="F1035" authorId="0" shapeId="0" xr:uid="{0256FA3B-17BA-4005-AFFE-D551DFDA11E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[SOLD » 15 PAX]_x000D_
[WEEKLY » 7 PAX] - [TO-DAY » NIL] - [Y-DAY » NIL]_x000D_
[LOWESTAVAIL » I9] - [CAPACITY » 179] - [LST-SOLD » 26-NOV]_x000D_
{CLASSES}_x000D_
S3 &amp; O1 &amp; I11</t>
        </r>
      </text>
    </comment>
    <comment ref="G1035" authorId="0" shapeId="0" xr:uid="{6F4E6499-8D4A-41B4-9A84-3F61C373BA0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[SOLD » 15 PAX]_x000D_
[WEEKLY » 7 PAX] - [TO-DAY » NIL] - [Y-DAY » NIL]_x000D_
[LOWESTAVAIL » I9] - [CAPACITY » 179] - [LST-SOLD » 26-NOV]_x000D_
{CLASSES}_x000D_
S3 &amp; O1 &amp; I11</t>
        </r>
      </text>
    </comment>
    <comment ref="H1035" authorId="0" shapeId="0" xr:uid="{0E74F2BF-6447-4C4E-B5E3-C7E50D30D851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8.4%]   -   [SOLD » 15 PAX]_x000D_
[WEEKLY » 7 PAX] - [TO-DAY » NIL] - [Y-DAY » NIL]_x000D_
[LOWESTAVAIL » I9] - [CAPACITY » 179] - [LST-SOLD » 26-NOV]_x000D_
{CLASSES}_x000D_
S3 &amp; O1 &amp; I11</t>
        </r>
      </text>
    </comment>
    <comment ref="A1036" authorId="0" shapeId="0" xr:uid="{AB9AB94C-2EA4-4DB3-B83A-3AEFB1B1A365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34.1%]   -   [SOLD » 61 PAX]_x000D_
[WEEKLY » 4 PAX] - [TO-DAY » NIL] - [Y-DAY » 2]_x000D_
[LOWESTAVAIL » I8] - [CAPACITY » 179] - [LST-SOLD » 28-NOV]_x000D_
{CLASSES}_x000D_
S1 &amp; O3 &amp; I12 &amp; P45</t>
        </r>
      </text>
    </comment>
    <comment ref="B1036" authorId="0" shapeId="0" xr:uid="{13F59425-6627-458E-B7C5-0D66BE65A12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34.1%]   -   [SOLD » 61 PAX]_x000D_
[WEEKLY » 4 PAX] - [TO-DAY » NIL] - [Y-DAY » 2]_x000D_
[LOWESTAVAIL » I8] - [CAPACITY » 179] - [LST-SOLD » 28-NOV]_x000D_
{CLASSES}_x000D_
S1 &amp; O3 &amp; I12 &amp; P45</t>
        </r>
      </text>
    </comment>
    <comment ref="C1036" authorId="0" shapeId="0" xr:uid="{F3749F5D-9C3C-4A88-895D-EBC481629A02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34.1%]   -   [SOLD » 61 PAX]_x000D_
[WEEKLY » 4 PAX] - [TO-DAY » NIL] - [Y-DAY » 2]_x000D_
[LOWESTAVAIL » I8] - [CAPACITY » 179] - [LST-SOLD » 28-NOV]_x000D_
{CLASSES}_x000D_
S1 &amp; O3 &amp; I12 &amp; P45</t>
        </r>
      </text>
    </comment>
    <comment ref="D1036" authorId="0" shapeId="0" xr:uid="{3BFF0859-9021-4C4E-920D-CF6309C1C5EA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34.1%]   -   [SOLD » 61 PAX]_x000D_
[WEEKLY » 4 PAX] - [TO-DAY » NIL] - [Y-DAY » 2]_x000D_
[LOWESTAVAIL » I8] - [CAPACITY » 179] - [LST-SOLD » 28-NOV]_x000D_
{CLASSES}_x000D_
S1 &amp; O3 &amp; I12 &amp; P45</t>
        </r>
      </text>
    </comment>
    <comment ref="E1036" authorId="0" shapeId="0" xr:uid="{1A635130-052A-485E-8598-BA381D769F1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34.1%]   -   [SOLD » 61 PAX]_x000D_
[WEEKLY » 4 PAX] - [TO-DAY » NIL] - [Y-DAY » 2]_x000D_
[LOWESTAVAIL » I8] - [CAPACITY » 179] - [LST-SOLD » 28-NOV]_x000D_
{CLASSES}_x000D_
S1 &amp; O3 &amp; I12 &amp; P45</t>
        </r>
      </text>
    </comment>
    <comment ref="F1036" authorId="0" shapeId="0" xr:uid="{E76DE225-EEFD-405A-9CC1-A7992E2BB1B9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34.1%]   -   [SOLD » 61 PAX]_x000D_
[WEEKLY » 4 PAX] - [TO-DAY » NIL] - [Y-DAY » 2]_x000D_
[LOWESTAVAIL » I8] - [CAPACITY » 179] - [LST-SOLD » 28-NOV]_x000D_
{CLASSES}_x000D_
S1 &amp; O3 &amp; I12 &amp; P45</t>
        </r>
      </text>
    </comment>
    <comment ref="G1036" authorId="0" shapeId="0" xr:uid="{16200329-D67F-4108-9F94-1BCE08EAF45B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34.1%]   -   [SOLD » 61 PAX]_x000D_
[WEEKLY » 4 PAX] - [TO-DAY » NIL] - [Y-DAY » 2]_x000D_
[LOWESTAVAIL » I8] - [CAPACITY » 179] - [LST-SOLD » 28-NOV]_x000D_
{CLASSES}_x000D_
S1 &amp; O3 &amp; I12 &amp; P45</t>
        </r>
      </text>
    </comment>
    <comment ref="H1036" authorId="0" shapeId="0" xr:uid="{AE6111AF-B5B9-493F-986B-98DA9781A622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34.1%]   -   [SOLD » 61 PAX]_x000D_
[WEEKLY » 4 PAX] - [TO-DAY » NIL] - [Y-DAY » 2]_x000D_
[LOWESTAVAIL » I8] - [CAPACITY » 179] - [LST-SOLD » 28-NOV]_x000D_
{CLASSES}_x000D_
S1 &amp; O3 &amp; I12 &amp; P45</t>
        </r>
      </text>
    </comment>
    <comment ref="A1038" authorId="0" shapeId="0" xr:uid="{AC0F03F9-8750-4FE3-8D9C-E1846B9F316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44.1%]   -   [SOLD » 79 PAX]_x000D_
[WEEKLY » 23 PAX] - [TO-DAY » 1 PAX] - [Y-DAY » NIL]_x000D_
[LOWESTAVAIL » I7] - [CAPACITY » 179] - [LST-SOLD » 29-NOV]_x000D_
{CLASSES}_x000D_
S2 &amp; O4 &amp; I13 &amp; P60</t>
        </r>
      </text>
    </comment>
    <comment ref="B1038" authorId="0" shapeId="0" xr:uid="{E1EE9878-4F3C-4E15-86D7-0DA780F10DF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44.1%]   -   [SOLD » 79 PAX]_x000D_
[WEEKLY » 23 PAX] - [TO-DAY » 1 PAX] - [Y-DAY » NIL]_x000D_
[LOWESTAVAIL » I7] - [CAPACITY » 179] - [LST-SOLD » 29-NOV]_x000D_
{CLASSES}_x000D_
S2 &amp; O4 &amp; I13 &amp; P60</t>
        </r>
      </text>
    </comment>
    <comment ref="C1038" authorId="0" shapeId="0" xr:uid="{7D72FF2D-AF6E-467C-8FB8-8D99F408BBE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44.1%]   -   [SOLD » 79 PAX]_x000D_
[WEEKLY » 23 PAX] - [TO-DAY » 1 PAX] - [Y-DAY » NIL]_x000D_
[LOWESTAVAIL » I7] - [CAPACITY » 179] - [LST-SOLD » 29-NOV]_x000D_
{CLASSES}_x000D_
S2 &amp; O4 &amp; I13 &amp; P60</t>
        </r>
      </text>
    </comment>
    <comment ref="D1038" authorId="0" shapeId="0" xr:uid="{D8E91ABF-30F0-4368-BE73-CB07E5010AE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44.1%]   -   [SOLD » 79 PAX]_x000D_
[WEEKLY » 23 PAX] - [TO-DAY » 1 PAX] - [Y-DAY » NIL]_x000D_
[LOWESTAVAIL » I7] - [CAPACITY » 179] - [LST-SOLD » 29-NOV]_x000D_
{CLASSES}_x000D_
S2 &amp; O4 &amp; I13 &amp; P60</t>
        </r>
      </text>
    </comment>
    <comment ref="E1038" authorId="0" shapeId="0" xr:uid="{FC20E97B-CB2F-4AA8-AC34-8F9A08AB25E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44.1%]   -   [SOLD » 79 PAX]_x000D_
[WEEKLY » 23 PAX] - [TO-DAY » 1 PAX] - [Y-DAY » NIL]_x000D_
[LOWESTAVAIL » I7] - [CAPACITY » 179] - [LST-SOLD » 29-NOV]_x000D_
{CLASSES}_x000D_
S2 &amp; O4 &amp; I13 &amp; P60</t>
        </r>
      </text>
    </comment>
    <comment ref="F1038" authorId="0" shapeId="0" xr:uid="{63E3957E-9B79-4239-8CF4-E8F31E23438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44.1%]   -   [SOLD » 79 PAX]_x000D_
[WEEKLY » 23 PAX] - [TO-DAY » 1 PAX] - [Y-DAY » NIL]_x000D_
[LOWESTAVAIL » I7] - [CAPACITY » 179] - [LST-SOLD » 29-NOV]_x000D_
{CLASSES}_x000D_
S2 &amp; O4 &amp; I13 &amp; P60</t>
        </r>
      </text>
    </comment>
    <comment ref="G1038" authorId="0" shapeId="0" xr:uid="{ACCAD89D-85B4-47E8-8582-CA08A110519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44.1%]   -   [SOLD » 79 PAX]_x000D_
[WEEKLY » 23 PAX] - [TO-DAY » 1 PAX] - [Y-DAY » NIL]_x000D_
[LOWESTAVAIL » I7] - [CAPACITY » 179] - [LST-SOLD » 29-NOV]_x000D_
{CLASSES}_x000D_
S2 &amp; O4 &amp; I13 &amp; P60</t>
        </r>
      </text>
    </comment>
    <comment ref="H1038" authorId="0" shapeId="0" xr:uid="{475D871C-0516-4CB8-B5B5-46FD1D001DAA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44.1%]   -   [SOLD » 79 PAX]_x000D_
[WEEKLY » 23 PAX] - [TO-DAY » 1 PAX] - [Y-DAY » NIL]_x000D_
[LOWESTAVAIL » I7] - [CAPACITY » 179] - [LST-SOLD » 29-NOV]_x000D_
{CLASSES}_x000D_
S2 &amp; O4 &amp; I13 &amp; P60</t>
        </r>
      </text>
    </comment>
    <comment ref="A1081" authorId="0" shapeId="0" xr:uid="{414AB7B1-1AEB-447C-87DE-AEA0997A560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1 PAX] - [Y-DAY » 4]_x000D_
[LOWESTAVAIL » I5] - [CAPACITY » 179] - [LST-SOLD » 29-NOV]_x000D_
{CLASSES}_x000D_
O2 &amp; I15 &amp; E2</t>
        </r>
      </text>
    </comment>
    <comment ref="B1081" authorId="0" shapeId="0" xr:uid="{5417BAC1-F44E-4174-ACE9-7C3DA16026A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1 PAX] - [Y-DAY » 4]_x000D_
[LOWESTAVAIL » I5] - [CAPACITY » 179] - [LST-SOLD » 29-NOV]_x000D_
{CLASSES}_x000D_
O2 &amp; I15 &amp; E2</t>
        </r>
      </text>
    </comment>
    <comment ref="C1081" authorId="0" shapeId="0" xr:uid="{BBBCCD08-80C7-4493-931D-2E7B1EBD514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1 PAX] - [Y-DAY » 4]_x000D_
[LOWESTAVAIL » I5] - [CAPACITY » 179] - [LST-SOLD » 29-NOV]_x000D_
{CLASSES}_x000D_
O2 &amp; I15 &amp; E2</t>
        </r>
      </text>
    </comment>
    <comment ref="D1081" authorId="0" shapeId="0" xr:uid="{8A206C6D-E44E-4F36-81E5-25C081FED69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1 PAX] - [Y-DAY » 4]_x000D_
[LOWESTAVAIL » I5] - [CAPACITY » 179] - [LST-SOLD » 29-NOV]_x000D_
{CLASSES}_x000D_
O2 &amp; I15 &amp; E2</t>
        </r>
      </text>
    </comment>
    <comment ref="E1081" authorId="0" shapeId="0" xr:uid="{65BEFE97-BFD9-4D22-ADB1-7C6AB677E54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1 PAX] - [Y-DAY » 4]_x000D_
[LOWESTAVAIL » I5] - [CAPACITY » 179] - [LST-SOLD » 29-NOV]_x000D_
{CLASSES}_x000D_
O2 &amp; I15 &amp; E2</t>
        </r>
      </text>
    </comment>
    <comment ref="F1081" authorId="0" shapeId="0" xr:uid="{41208FA9-75D1-42FE-A742-BE1A5635190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1 PAX] - [Y-DAY » 4]_x000D_
[LOWESTAVAIL » I5] - [CAPACITY » 179] - [LST-SOLD » 29-NOV]_x000D_
{CLASSES}_x000D_
O2 &amp; I15 &amp; E2</t>
        </r>
      </text>
    </comment>
    <comment ref="G1081" authorId="0" shapeId="0" xr:uid="{4BF8A4F8-222E-4A5D-A945-AEBB0F46267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1 PAX] - [Y-DAY » 4]_x000D_
[LOWESTAVAIL » I5] - [CAPACITY » 179] - [LST-SOLD » 29-NOV]_x000D_
{CLASSES}_x000D_
O2 &amp; I15 &amp; E2</t>
        </r>
      </text>
    </comment>
    <comment ref="H1081" authorId="0" shapeId="0" xr:uid="{E78558A2-83CB-4CF7-B655-AC151078085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9 PAX] - [TO-DAY » 1 PAX] - [Y-DAY » 4]_x000D_
[LOWESTAVAIL » I5] - [CAPACITY » 179] - [LST-SOLD » 29-NOV]_x000D_
{CLASSES}_x000D_
O2 &amp; I15 &amp; E2</t>
        </r>
      </text>
    </comment>
    <comment ref="A1087" authorId="0" shapeId="0" xr:uid="{B549425D-D8B2-4284-87FF-FBC4E34D860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79.9%]   -   [SOLD » 143 PAX]_x000D_
[WEEKLY » 7 PAX] - [TO-DAY » 1 PAX] - [Y-DAY » NIL]_x000D_
[LOWESTAVAIL » O8] - [CAPACITY » 179] - [LST-SOLD » 29-NOV]_x000D_
{CLASSES}_x000D_
S1 &amp; O12 &amp; I10 &amp; E45 &amp; P75</t>
        </r>
      </text>
    </comment>
    <comment ref="B1087" authorId="0" shapeId="0" xr:uid="{66B022AB-7C91-4A5A-95C6-56752ED61A3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79.9%]   -   [SOLD » 143 PAX]_x000D_
[WEEKLY » 7 PAX] - [TO-DAY » 1 PAX] - [Y-DAY » NIL]_x000D_
[LOWESTAVAIL » O8] - [CAPACITY » 179] - [LST-SOLD » 29-NOV]_x000D_
{CLASSES}_x000D_
S1 &amp; O12 &amp; I10 &amp; E45 &amp; P75</t>
        </r>
      </text>
    </comment>
    <comment ref="C1087" authorId="0" shapeId="0" xr:uid="{6BEC518F-30C1-45A1-9DDC-A4F0A797B12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79.9%]   -   [SOLD » 143 PAX]_x000D_
[WEEKLY » 7 PAX] - [TO-DAY » 1 PAX] - [Y-DAY » NIL]_x000D_
[LOWESTAVAIL » O8] - [CAPACITY » 179] - [LST-SOLD » 29-NOV]_x000D_
{CLASSES}_x000D_
S1 &amp; O12 &amp; I10 &amp; E45 &amp; P75</t>
        </r>
      </text>
    </comment>
    <comment ref="D1087" authorId="0" shapeId="0" xr:uid="{1DADE756-2C3C-4434-8A64-55661C6AF2C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79.9%]   -   [SOLD » 143 PAX]_x000D_
[WEEKLY » 7 PAX] - [TO-DAY » 1 PAX] - [Y-DAY » NIL]_x000D_
[LOWESTAVAIL » O8] - [CAPACITY » 179] - [LST-SOLD » 29-NOV]_x000D_
{CLASSES}_x000D_
S1 &amp; O12 &amp; I10 &amp; E45 &amp; P75</t>
        </r>
      </text>
    </comment>
    <comment ref="E1087" authorId="0" shapeId="0" xr:uid="{6E8D0420-D25C-430E-9CD3-E3EE053C861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79.9%]   -   [SOLD » 143 PAX]_x000D_
[WEEKLY » 7 PAX] - [TO-DAY » 1 PAX] - [Y-DAY » NIL]_x000D_
[LOWESTAVAIL » O8] - [CAPACITY » 179] - [LST-SOLD » 29-NOV]_x000D_
{CLASSES}_x000D_
S1 &amp; O12 &amp; I10 &amp; E45 &amp; P75</t>
        </r>
      </text>
    </comment>
    <comment ref="F1087" authorId="0" shapeId="0" xr:uid="{E675DE39-6B80-47EC-A937-1EDC7AB4FA7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79.9%]   -   [SOLD » 143 PAX]_x000D_
[WEEKLY » 7 PAX] - [TO-DAY » 1 PAX] - [Y-DAY » NIL]_x000D_
[LOWESTAVAIL » O8] - [CAPACITY » 179] - [LST-SOLD » 29-NOV]_x000D_
{CLASSES}_x000D_
S1 &amp; O12 &amp; I10 &amp; E45 &amp; P75</t>
        </r>
      </text>
    </comment>
    <comment ref="G1087" authorId="0" shapeId="0" xr:uid="{119803B5-CDAF-4859-8ED7-786C9F881D1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79.9%]   -   [SOLD » 143 PAX]_x000D_
[WEEKLY » 7 PAX] - [TO-DAY » 1 PAX] - [Y-DAY » NIL]_x000D_
[LOWESTAVAIL » O8] - [CAPACITY » 179] - [LST-SOLD » 29-NOV]_x000D_
{CLASSES}_x000D_
S1 &amp; O12 &amp; I10 &amp; E45 &amp; P75</t>
        </r>
      </text>
    </comment>
    <comment ref="H1087" authorId="0" shapeId="0" xr:uid="{5874D5CF-9EF4-4603-905E-A8BFDDD29DD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79.9%]   -   [SOLD » 143 PAX]_x000D_
[WEEKLY » 7 PAX] - [TO-DAY » 1 PAX] - [Y-DAY » NIL]_x000D_
[LOWESTAVAIL » O8] - [CAPACITY » 179] - [LST-SOLD » 29-NOV]_x000D_
{CLASSES}_x000D_
S1 &amp; O12 &amp; I10 &amp; E45 &amp; P75</t>
        </r>
      </text>
    </comment>
    <comment ref="A1088" authorId="0" shapeId="0" xr:uid="{67589A78-DCDC-4A11-9E23-34F22A4A5103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53.1%]   -   [SOLD » 95 PAX]_x000D_
[WEEKLY » 7 PAX] - [TO-DAY » NIL] - [Y-DAY » 1]_x000D_
[LOWESTAVAIL » O4] - [CAPACITY » 179] - [LST-SOLD » 28-NOV]_x000D_
{CLASSES}_x000D_
S4 &amp; O6 &amp; I10 &amp; E30 &amp; P45</t>
        </r>
      </text>
    </comment>
    <comment ref="B1088" authorId="0" shapeId="0" xr:uid="{64D2A834-33A4-4166-8757-659BB8187E1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53.1%]   -   [SOLD » 95 PAX]_x000D_
[WEEKLY » 7 PAX] - [TO-DAY » NIL] - [Y-DAY » 1]_x000D_
[LOWESTAVAIL » O4] - [CAPACITY » 179] - [LST-SOLD » 28-NOV]_x000D_
{CLASSES}_x000D_
S4 &amp; O6 &amp; I10 &amp; E30 &amp; P45</t>
        </r>
      </text>
    </comment>
    <comment ref="C1088" authorId="0" shapeId="0" xr:uid="{6BD1A260-0164-457D-8C0F-29CA66CD8C0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53.1%]   -   [SOLD » 95 PAX]_x000D_
[WEEKLY » 7 PAX] - [TO-DAY » NIL] - [Y-DAY » 1]_x000D_
[LOWESTAVAIL » O4] - [CAPACITY » 179] - [LST-SOLD » 28-NOV]_x000D_
{CLASSES}_x000D_
S4 &amp; O6 &amp; I10 &amp; E30 &amp; P45</t>
        </r>
      </text>
    </comment>
    <comment ref="D1088" authorId="0" shapeId="0" xr:uid="{C2BFB31C-D907-4CA3-8B91-AFE5B921379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53.1%]   -   [SOLD » 95 PAX]_x000D_
[WEEKLY » 7 PAX] - [TO-DAY » NIL] - [Y-DAY » 1]_x000D_
[LOWESTAVAIL » O4] - [CAPACITY » 179] - [LST-SOLD » 28-NOV]_x000D_
{CLASSES}_x000D_
S4 &amp; O6 &amp; I10 &amp; E30 &amp; P45</t>
        </r>
      </text>
    </comment>
    <comment ref="E1088" authorId="0" shapeId="0" xr:uid="{528412C0-2FD3-4138-B10A-7A8689FD67C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53.1%]   -   [SOLD » 95 PAX]_x000D_
[WEEKLY » 7 PAX] - [TO-DAY » NIL] - [Y-DAY » 1]_x000D_
[LOWESTAVAIL » O4] - [CAPACITY » 179] - [LST-SOLD » 28-NOV]_x000D_
{CLASSES}_x000D_
S4 &amp; O6 &amp; I10 &amp; E30 &amp; P45</t>
        </r>
      </text>
    </comment>
    <comment ref="F1088" authorId="0" shapeId="0" xr:uid="{716D6B5D-84DD-40D1-8708-2403840D3EB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53.1%]   -   [SOLD » 95 PAX]_x000D_
[WEEKLY » 7 PAX] - [TO-DAY » NIL] - [Y-DAY » 1]_x000D_
[LOWESTAVAIL » O4] - [CAPACITY » 179] - [LST-SOLD » 28-NOV]_x000D_
{CLASSES}_x000D_
S4 &amp; O6 &amp; I10 &amp; E30 &amp; P45</t>
        </r>
      </text>
    </comment>
    <comment ref="G1088" authorId="0" shapeId="0" xr:uid="{92A95407-1738-4C17-B839-49DB55A3F5BA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53.1%]   -   [SOLD » 95 PAX]_x000D_
[WEEKLY » 7 PAX] - [TO-DAY » NIL] - [Y-DAY » 1]_x000D_
[LOWESTAVAIL » O4] - [CAPACITY » 179] - [LST-SOLD » 28-NOV]_x000D_
{CLASSES}_x000D_
S4 &amp; O6 &amp; I10 &amp; E30 &amp; P45</t>
        </r>
      </text>
    </comment>
    <comment ref="H1088" authorId="0" shapeId="0" xr:uid="{C0A5BAD5-6FC5-4289-9A69-974DFBBF689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53.1%]   -   [SOLD » 95 PAX]_x000D_
[WEEKLY » 7 PAX] - [TO-DAY » NIL] - [Y-DAY » 1]_x000D_
[LOWESTAVAIL » O4] - [CAPACITY » 179] - [LST-SOLD » 28-NOV]_x000D_
{CLASSES}_x000D_
S4 &amp; O6 &amp; I10 &amp; E30 &amp; P45</t>
        </r>
      </text>
    </comment>
    <comment ref="A1146" authorId="0" shapeId="0" xr:uid="{FCD0BF3C-F1CF-46B4-88DC-9D16938AC854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  -   [SOLD » 105 PAX]_x000D_
[WEEKLY » 1 PAX] - [TO-DAY » NIL] - [Y-DAY » NIL]_x000D_
[LOWESTAVAIL » I9] - [CAPACITY » 179] - [LST-SOLD » 24-NOV]_x000D_
{CLASSES}_x000D_
I10 &amp; E95</t>
        </r>
      </text>
    </comment>
    <comment ref="B1146" authorId="0" shapeId="0" xr:uid="{921CB2DF-1CB7-4B6E-8B2F-D73815BFCB28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  -   [SOLD » 105 PAX]_x000D_
[WEEKLY » 1 PAX] - [TO-DAY » NIL] - [Y-DAY » NIL]_x000D_
[LOWESTAVAIL » I9] - [CAPACITY » 179] - [LST-SOLD » 24-NOV]_x000D_
{CLASSES}_x000D_
I10 &amp; E95</t>
        </r>
      </text>
    </comment>
    <comment ref="C1146" authorId="0" shapeId="0" xr:uid="{D983CF3D-5B8B-49C6-96B0-D8E4531AC5AC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  -   [SOLD » 105 PAX]_x000D_
[WEEKLY » 1 PAX] - [TO-DAY » NIL] - [Y-DAY » NIL]_x000D_
[LOWESTAVAIL » I9] - [CAPACITY » 179] - [LST-SOLD » 24-NOV]_x000D_
{CLASSES}_x000D_
I10 &amp; E95</t>
        </r>
      </text>
    </comment>
    <comment ref="D1146" authorId="0" shapeId="0" xr:uid="{0081CF12-044D-47A1-8BAC-2FE23A941E16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  -   [SOLD » 105 PAX]_x000D_
[WEEKLY » 1 PAX] - [TO-DAY » NIL] - [Y-DAY » NIL]_x000D_
[LOWESTAVAIL » I9] - [CAPACITY » 179] - [LST-SOLD » 24-NOV]_x000D_
{CLASSES}_x000D_
I10 &amp; E95</t>
        </r>
      </text>
    </comment>
    <comment ref="E1146" authorId="0" shapeId="0" xr:uid="{9C13ECC3-4E26-4F82-9C7A-73CC00066646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  -   [SOLD » 105 PAX]_x000D_
[WEEKLY » 1 PAX] - [TO-DAY » NIL] - [Y-DAY » NIL]_x000D_
[LOWESTAVAIL » I9] - [CAPACITY » 179] - [LST-SOLD » 24-NOV]_x000D_
{CLASSES}_x000D_
I10 &amp; E95</t>
        </r>
      </text>
    </comment>
    <comment ref="F1146" authorId="0" shapeId="0" xr:uid="{AA5DEDEC-290B-427C-B64D-7522B5746E1F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  -   [SOLD » 105 PAX]_x000D_
[WEEKLY » 1 PAX] - [TO-DAY » NIL] - [Y-DAY » NIL]_x000D_
[LOWESTAVAIL » I9] - [CAPACITY » 179] - [LST-SOLD » 24-NOV]_x000D_
{CLASSES}_x000D_
I10 &amp; E95</t>
        </r>
      </text>
    </comment>
    <comment ref="G1146" authorId="0" shapeId="0" xr:uid="{9CB46A32-42D2-4ED7-A6D2-8E7B7BCEED99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  -   [SOLD » 105 PAX]_x000D_
[WEEKLY » 1 PAX] - [TO-DAY » NIL] - [Y-DAY » NIL]_x000D_
[LOWESTAVAIL » I9] - [CAPACITY » 179] - [LST-SOLD » 24-NOV]_x000D_
{CLASSES}_x000D_
I10 &amp; E95</t>
        </r>
      </text>
    </comment>
    <comment ref="H1146" authorId="0" shapeId="0" xr:uid="{AFEDE034-2B44-447A-B137-DCDF962538F3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  -   [SOLD » 105 PAX]_x000D_
[WEEKLY » 1 PAX] - [TO-DAY » NIL] - [Y-DAY » NIL]_x000D_
[LOWESTAVAIL » I9] - [CAPACITY » 179] - [LST-SOLD » 24-NOV]_x000D_
{CLASSES}_x000D_
I10 &amp; E95</t>
        </r>
      </text>
    </comment>
    <comment ref="A1147" authorId="0" shapeId="0" xr:uid="{0424BA1F-A517-47D9-A270-FFD15E13CB6D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55.3%]   -   [SOLD » 99 PAX]_x000D_
[WEEKLY » 3 PAX] - [TO-DAY » NIL] - [Y-DAY » 3]_x000D_
[LOWESTAVAIL » I2] - [CAPACITY » 179] - [LST-SOLD » 28-NOV]_x000D_
{CLASSES}_x000D_
O1 &amp; I8 &amp; P90</t>
        </r>
      </text>
    </comment>
    <comment ref="B1147" authorId="0" shapeId="0" xr:uid="{C548CCD0-ED7E-4DD4-8046-3A593ED6A767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55.3%]   -   [SOLD » 99 PAX]_x000D_
[WEEKLY » 3 PAX] - [TO-DAY » NIL] - [Y-DAY » 3]_x000D_
[LOWESTAVAIL » I2] - [CAPACITY » 179] - [LST-SOLD » 28-NOV]_x000D_
{CLASSES}_x000D_
O1 &amp; I8 &amp; P90</t>
        </r>
      </text>
    </comment>
    <comment ref="C1147" authorId="0" shapeId="0" xr:uid="{673D514D-BCC4-4A49-B242-C70977B6B8C5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55.3%]   -   [SOLD » 99 PAX]_x000D_
[WEEKLY » 3 PAX] - [TO-DAY » NIL] - [Y-DAY » 3]_x000D_
[LOWESTAVAIL » I2] - [CAPACITY » 179] - [LST-SOLD » 28-NOV]_x000D_
{CLASSES}_x000D_
O1 &amp; I8 &amp; P90</t>
        </r>
      </text>
    </comment>
    <comment ref="D1147" authorId="0" shapeId="0" xr:uid="{E8560181-17A0-4138-836A-0CD3CD9C1B29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55.3%]   -   [SOLD » 99 PAX]_x000D_
[WEEKLY » 3 PAX] - [TO-DAY » NIL] - [Y-DAY » 3]_x000D_
[LOWESTAVAIL » I2] - [CAPACITY » 179] - [LST-SOLD » 28-NOV]_x000D_
{CLASSES}_x000D_
O1 &amp; I8 &amp; P90</t>
        </r>
      </text>
    </comment>
    <comment ref="E1147" authorId="0" shapeId="0" xr:uid="{069CFBDA-7BD6-4B53-9D2A-7987CF500CB7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55.3%]   -   [SOLD » 99 PAX]_x000D_
[WEEKLY » 3 PAX] - [TO-DAY » NIL] - [Y-DAY » 3]_x000D_
[LOWESTAVAIL » I2] - [CAPACITY » 179] - [LST-SOLD » 28-NOV]_x000D_
{CLASSES}_x000D_
O1 &amp; I8 &amp; P90</t>
        </r>
      </text>
    </comment>
    <comment ref="F1147" authorId="0" shapeId="0" xr:uid="{BB4BA6C0-C77A-46EB-8395-C1AC5C6FD7C9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55.3%]   -   [SOLD » 99 PAX]_x000D_
[WEEKLY » 3 PAX] - [TO-DAY » NIL] - [Y-DAY » 3]_x000D_
[LOWESTAVAIL » I2] - [CAPACITY » 179] - [LST-SOLD » 28-NOV]_x000D_
{CLASSES}_x000D_
O1 &amp; I8 &amp; P90</t>
        </r>
      </text>
    </comment>
    <comment ref="G1147" authorId="0" shapeId="0" xr:uid="{5CD29A10-A6FA-4759-9797-428092CF13DB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55.3%]   -   [SOLD » 99 PAX]_x000D_
[WEEKLY » 3 PAX] - [TO-DAY » NIL] - [Y-DAY » 3]_x000D_
[LOWESTAVAIL » I2] - [CAPACITY » 179] - [LST-SOLD » 28-NOV]_x000D_
{CLASSES}_x000D_
O1 &amp; I8 &amp; P90</t>
        </r>
      </text>
    </comment>
    <comment ref="H1147" authorId="0" shapeId="0" xr:uid="{A152B0ED-84EF-4742-B84D-7FC4782FB131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55.3%]   -   [SOLD » 99 PAX]_x000D_
[WEEKLY » 3 PAX] - [TO-DAY » NIL] - [Y-DAY » 3]_x000D_
[LOWESTAVAIL » I2] - [CAPACITY » 179] - [LST-SOLD » 28-NOV]_x000D_
{CLASSES}_x000D_
O1 &amp; I8 &amp; P90</t>
        </r>
      </text>
    </comment>
    <comment ref="A1148" authorId="0" shapeId="0" xr:uid="{A1CF947C-6073-44C7-85A0-A1E7ED43035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56.4%]   -   [SOLD » 101 PAX]_x000D_
[WEEKLY » 52 PAX] - [TO-DAY » NIL] - [Y-DAY » NIL]_x000D_
[LOWESTAVAIL » I7] - [CAPACITY » 179] - [LST-SOLD » 27-NOV]_x000D_
{CLASSES}_x000D_
O2 &amp; I13 &amp; P86</t>
        </r>
      </text>
    </comment>
    <comment ref="B1148" authorId="0" shapeId="0" xr:uid="{7E79C98E-05E8-4621-B7A0-6A4B212714D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56.4%]   -   [SOLD » 101 PAX]_x000D_
[WEEKLY » 52 PAX] - [TO-DAY » NIL] - [Y-DAY » NIL]_x000D_
[LOWESTAVAIL » I7] - [CAPACITY » 179] - [LST-SOLD » 27-NOV]_x000D_
{CLASSES}_x000D_
O2 &amp; I13 &amp; P86</t>
        </r>
      </text>
    </comment>
    <comment ref="C1148" authorId="0" shapeId="0" xr:uid="{50C5E784-C674-4388-AB9F-68E5C2CC226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56.4%]   -   [SOLD » 101 PAX]_x000D_
[WEEKLY » 52 PAX] - [TO-DAY » NIL] - [Y-DAY » NIL]_x000D_
[LOWESTAVAIL » I7] - [CAPACITY » 179] - [LST-SOLD » 27-NOV]_x000D_
{CLASSES}_x000D_
O2 &amp; I13 &amp; P86</t>
        </r>
      </text>
    </comment>
    <comment ref="D1148" authorId="0" shapeId="0" xr:uid="{D8B08B06-CE23-489B-955D-D9DCDFD9835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56.4%]   -   [SOLD » 101 PAX]_x000D_
[WEEKLY » 52 PAX] - [TO-DAY » NIL] - [Y-DAY » NIL]_x000D_
[LOWESTAVAIL » I7] - [CAPACITY » 179] - [LST-SOLD » 27-NOV]_x000D_
{CLASSES}_x000D_
O2 &amp; I13 &amp; P86</t>
        </r>
      </text>
    </comment>
    <comment ref="E1148" authorId="0" shapeId="0" xr:uid="{AF0577B8-E554-4D55-8747-511EC587115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56.4%]   -   [SOLD » 101 PAX]_x000D_
[WEEKLY » 52 PAX] - [TO-DAY » NIL] - [Y-DAY » NIL]_x000D_
[LOWESTAVAIL » I7] - [CAPACITY » 179] - [LST-SOLD » 27-NOV]_x000D_
{CLASSES}_x000D_
O2 &amp; I13 &amp; P86</t>
        </r>
      </text>
    </comment>
    <comment ref="F1148" authorId="0" shapeId="0" xr:uid="{24929A9F-AB78-4C86-A5A6-9BAF8CED01D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56.4%]   -   [SOLD » 101 PAX]_x000D_
[WEEKLY » 52 PAX] - [TO-DAY » NIL] - [Y-DAY » NIL]_x000D_
[LOWESTAVAIL » I7] - [CAPACITY » 179] - [LST-SOLD » 27-NOV]_x000D_
{CLASSES}_x000D_
O2 &amp; I13 &amp; P86</t>
        </r>
      </text>
    </comment>
    <comment ref="G1148" authorId="0" shapeId="0" xr:uid="{2AC9C008-54CF-4392-9DDB-E28FE6B3C2B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56.4%]   -   [SOLD » 101 PAX]_x000D_
[WEEKLY » 52 PAX] - [TO-DAY » NIL] - [Y-DAY » NIL]_x000D_
[LOWESTAVAIL » I7] - [CAPACITY » 179] - [LST-SOLD » 27-NOV]_x000D_
{CLASSES}_x000D_
O2 &amp; I13 &amp; P86</t>
        </r>
      </text>
    </comment>
    <comment ref="H1148" authorId="0" shapeId="0" xr:uid="{07B9AEF4-B748-4CA1-815A-48FDFEEFD37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56.4%]   -   [SOLD » 101 PAX]_x000D_
[WEEKLY » 52 PAX] - [TO-DAY » NIL] - [Y-DAY » NIL]_x000D_
[LOWESTAVAIL » I7] - [CAPACITY » 179] - [LST-SOLD » 27-NOV]_x000D_
{CLASSES}_x000D_
O2 &amp; I13 &amp; P86</t>
        </r>
      </text>
    </comment>
    <comment ref="A1149" authorId="0" shapeId="0" xr:uid="{693E58AD-6E5A-43F8-A7D2-B580BA4AAF0E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7 PAX] - [TO-DAY » NIL] - [Y-DAY » NIL]_x000D_
[LOWESTAVAIL » I8] - [CAPACITY » 179] - [LST-SOLD » 26-NOV]_x000D_
{CLASSES}_x000D_
X2 &amp; O5 &amp; I12</t>
        </r>
      </text>
    </comment>
    <comment ref="B1149" authorId="0" shapeId="0" xr:uid="{6B7D33CC-45C0-40F1-B08C-20F4F1DAA6EB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7 PAX] - [TO-DAY » NIL] - [Y-DAY » NIL]_x000D_
[LOWESTAVAIL » I8] - [CAPACITY » 179] - [LST-SOLD » 26-NOV]_x000D_
{CLASSES}_x000D_
X2 &amp; O5 &amp; I12</t>
        </r>
      </text>
    </comment>
    <comment ref="C1149" authorId="0" shapeId="0" xr:uid="{CFDA007F-2C03-4932-99FD-862D9791217C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7 PAX] - [TO-DAY » NIL] - [Y-DAY » NIL]_x000D_
[LOWESTAVAIL » I8] - [CAPACITY » 179] - [LST-SOLD » 26-NOV]_x000D_
{CLASSES}_x000D_
X2 &amp; O5 &amp; I12</t>
        </r>
      </text>
    </comment>
    <comment ref="D1149" authorId="0" shapeId="0" xr:uid="{6E16124B-B756-4CBE-A0E2-C26EA199E6D0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7 PAX] - [TO-DAY » NIL] - [Y-DAY » NIL]_x000D_
[LOWESTAVAIL » I8] - [CAPACITY » 179] - [LST-SOLD » 26-NOV]_x000D_
{CLASSES}_x000D_
X2 &amp; O5 &amp; I12</t>
        </r>
      </text>
    </comment>
    <comment ref="E1149" authorId="0" shapeId="0" xr:uid="{0F063CFD-FDA1-4F43-96E5-EBE0CA14D9BE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7 PAX] - [TO-DAY » NIL] - [Y-DAY » NIL]_x000D_
[LOWESTAVAIL » I8] - [CAPACITY » 179] - [LST-SOLD » 26-NOV]_x000D_
{CLASSES}_x000D_
X2 &amp; O5 &amp; I12</t>
        </r>
      </text>
    </comment>
    <comment ref="F1149" authorId="0" shapeId="0" xr:uid="{AD5682B6-2B4C-41A2-ABAF-646B03D7FCD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7 PAX] - [TO-DAY » NIL] - [Y-DAY » NIL]_x000D_
[LOWESTAVAIL » I8] - [CAPACITY » 179] - [LST-SOLD » 26-NOV]_x000D_
{CLASSES}_x000D_
X2 &amp; O5 &amp; I12</t>
        </r>
      </text>
    </comment>
    <comment ref="G1149" authorId="0" shapeId="0" xr:uid="{773B35AE-41F5-4429-BB4C-B8F953E6917B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7 PAX] - [TO-DAY » NIL] - [Y-DAY » NIL]_x000D_
[LOWESTAVAIL » I8] - [CAPACITY » 179] - [LST-SOLD » 26-NOV]_x000D_
{CLASSES}_x000D_
X2 &amp; O5 &amp; I12</t>
        </r>
      </text>
    </comment>
    <comment ref="H1149" authorId="0" shapeId="0" xr:uid="{3BCA5AAF-F197-4D61-88F2-24D2FEF05750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7 PAX] - [TO-DAY » NIL] - [Y-DAY » NIL]_x000D_
[LOWESTAVAIL » I8] - [CAPACITY » 179] - [LST-SOLD » 26-NOV]_x000D_
{CLASSES}_x000D_
X2 &amp; O5 &amp; I12</t>
        </r>
      </text>
    </comment>
    <comment ref="A1150" authorId="0" shapeId="0" xr:uid="{1364F861-4BA3-4B20-9D70-161803C6F329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4 PAX] - [TO-DAY » NIL] - [Y-DAY » 2]_x000D_
[LOWESTAVAIL » I9] - [CAPACITY » 179] - [LST-SOLD » 28-NOV]_x000D_
{CLASSES}_x000D_
S2 &amp; I10 &amp; P17</t>
        </r>
      </text>
    </comment>
    <comment ref="B1150" authorId="0" shapeId="0" xr:uid="{515523F9-CE3E-455D-AB79-1EE4C5660839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4 PAX] - [TO-DAY » NIL] - [Y-DAY » 2]_x000D_
[LOWESTAVAIL » I9] - [CAPACITY » 179] - [LST-SOLD » 28-NOV]_x000D_
{CLASSES}_x000D_
S2 &amp; I10 &amp; P17</t>
        </r>
      </text>
    </comment>
    <comment ref="C1150" authorId="0" shapeId="0" xr:uid="{541569CF-18AA-4FEF-A5D0-CC50D014ACD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4 PAX] - [TO-DAY » NIL] - [Y-DAY » 2]_x000D_
[LOWESTAVAIL » I9] - [CAPACITY » 179] - [LST-SOLD » 28-NOV]_x000D_
{CLASSES}_x000D_
S2 &amp; I10 &amp; P17</t>
        </r>
      </text>
    </comment>
    <comment ref="D1150" authorId="0" shapeId="0" xr:uid="{6A6457BD-9973-4E15-AFF8-569D168B2E9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4 PAX] - [TO-DAY » NIL] - [Y-DAY » 2]_x000D_
[LOWESTAVAIL » I9] - [CAPACITY » 179] - [LST-SOLD » 28-NOV]_x000D_
{CLASSES}_x000D_
S2 &amp; I10 &amp; P17</t>
        </r>
      </text>
    </comment>
    <comment ref="E1150" authorId="0" shapeId="0" xr:uid="{39D2048C-5809-4C23-93CE-02241BA75064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4 PAX] - [TO-DAY » NIL] - [Y-DAY » 2]_x000D_
[LOWESTAVAIL » I9] - [CAPACITY » 179] - [LST-SOLD » 28-NOV]_x000D_
{CLASSES}_x000D_
S2 &amp; I10 &amp; P17</t>
        </r>
      </text>
    </comment>
    <comment ref="F1150" authorId="0" shapeId="0" xr:uid="{C3E1A12F-5CAD-46E8-9253-DCBAAC4D4626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4 PAX] - [TO-DAY » NIL] - [Y-DAY » 2]_x000D_
[LOWESTAVAIL » I9] - [CAPACITY » 179] - [LST-SOLD » 28-NOV]_x000D_
{CLASSES}_x000D_
S2 &amp; I10 &amp; P17</t>
        </r>
      </text>
    </comment>
    <comment ref="G1150" authorId="0" shapeId="0" xr:uid="{492E855A-7475-4C41-8443-3E0E28BD2562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4 PAX] - [TO-DAY » NIL] - [Y-DAY » 2]_x000D_
[LOWESTAVAIL » I9] - [CAPACITY » 179] - [LST-SOLD » 28-NOV]_x000D_
{CLASSES}_x000D_
S2 &amp; I10 &amp; P17</t>
        </r>
      </text>
    </comment>
    <comment ref="H1150" authorId="0" shapeId="0" xr:uid="{50D2CEE7-DF88-46CA-AFC3-EAE1EF13C87F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4 PAX] - [TO-DAY » NIL] - [Y-DAY » 2]_x000D_
[LOWESTAVAIL » I9] - [CAPACITY » 179] - [LST-SOLD » 28-NOV]_x000D_
{CLASSES}_x000D_
S2 &amp; I10 &amp; P17</t>
        </r>
      </text>
    </comment>
    <comment ref="A1160" authorId="0" shapeId="0" xr:uid="{558B529E-266F-4E76-AD69-2C9965BE3E3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5 PAX] - [TO-DAY » NIL] - [Y-DAY » NIL]_x000D_
[LOWESTAVAIL » O8] - [CAPACITY » 179] - [LST-SOLD » 27-NOV]_x000D_
{CLASSES}_x000D_
G1 &amp; S1 &amp; U3 &amp; O12 &amp; I10 &amp; P102</t>
        </r>
      </text>
    </comment>
    <comment ref="B1160" authorId="0" shapeId="0" xr:uid="{A41A5286-F35C-4249-9261-0ED04312700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5 PAX] - [TO-DAY » NIL] - [Y-DAY » NIL]_x000D_
[LOWESTAVAIL » O8] - [CAPACITY » 179] - [LST-SOLD » 27-NOV]_x000D_
{CLASSES}_x000D_
G1 &amp; S1 &amp; U3 &amp; O12 &amp; I10 &amp; P102</t>
        </r>
      </text>
    </comment>
    <comment ref="C1160" authorId="0" shapeId="0" xr:uid="{B24B4DCB-75F4-4BE7-845F-4353C7B29FA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5 PAX] - [TO-DAY » NIL] - [Y-DAY » NIL]_x000D_
[LOWESTAVAIL » O8] - [CAPACITY » 179] - [LST-SOLD » 27-NOV]_x000D_
{CLASSES}_x000D_
G1 &amp; S1 &amp; U3 &amp; O12 &amp; I10 &amp; P102</t>
        </r>
      </text>
    </comment>
    <comment ref="D1160" authorId="0" shapeId="0" xr:uid="{0BB6C6DD-2E30-4129-8E53-C73AC83D047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5 PAX] - [TO-DAY » NIL] - [Y-DAY » NIL]_x000D_
[LOWESTAVAIL » O8] - [CAPACITY » 179] - [LST-SOLD » 27-NOV]_x000D_
{CLASSES}_x000D_
G1 &amp; S1 &amp; U3 &amp; O12 &amp; I10 &amp; P102</t>
        </r>
      </text>
    </comment>
    <comment ref="E1160" authorId="0" shapeId="0" xr:uid="{D2EA5728-5082-4CE5-B787-B13ECD9CFD8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5 PAX] - [TO-DAY » NIL] - [Y-DAY » NIL]_x000D_
[LOWESTAVAIL » O8] - [CAPACITY » 179] - [LST-SOLD » 27-NOV]_x000D_
{CLASSES}_x000D_
G1 &amp; S1 &amp; U3 &amp; O12 &amp; I10 &amp; P102</t>
        </r>
      </text>
    </comment>
    <comment ref="F1160" authorId="0" shapeId="0" xr:uid="{DF54A15A-7A8E-4D02-B219-313692F60BA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5 PAX] - [TO-DAY » NIL] - [Y-DAY » NIL]_x000D_
[LOWESTAVAIL » O8] - [CAPACITY » 179] - [LST-SOLD » 27-NOV]_x000D_
{CLASSES}_x000D_
G1 &amp; S1 &amp; U3 &amp; O12 &amp; I10 &amp; P102</t>
        </r>
      </text>
    </comment>
    <comment ref="G1160" authorId="0" shapeId="0" xr:uid="{9B54823A-BD72-46C1-A1CD-6E0FA794D58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5 PAX] - [TO-DAY » NIL] - [Y-DAY » NIL]_x000D_
[LOWESTAVAIL » O8] - [CAPACITY » 179] - [LST-SOLD » 27-NOV]_x000D_
{CLASSES}_x000D_
G1 &amp; S1 &amp; U3 &amp; O12 &amp; I10 &amp; P102</t>
        </r>
      </text>
    </comment>
    <comment ref="H1160" authorId="0" shapeId="0" xr:uid="{904E0690-9EDF-4F18-8EDE-751B6E858A6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5 PAX] - [TO-DAY » NIL] - [Y-DAY » NIL]_x000D_
[LOWESTAVAIL » O8] - [CAPACITY » 179] - [LST-SOLD » 27-NOV]_x000D_
{CLASSES}_x000D_
G1 &amp; S1 &amp; U3 &amp; O12 &amp; I10 &amp; P102</t>
        </r>
      </text>
    </comment>
    <comment ref="A1163" authorId="0" shapeId="0" xr:uid="{51D02793-1FBE-4B35-826C-28014FB1A318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6 PAX] - [TO-DAY » NIL] - [Y-DAY » NIL]_x000D_
[LOWESTAVAIL » U9] - [CAPACITY » 179] - [LST-SOLD » 24-NOV]_x000D_
{CLASSES}_x000D_
U9 &amp; O10 &amp; I10</t>
        </r>
      </text>
    </comment>
    <comment ref="B1163" authorId="0" shapeId="0" xr:uid="{9D6F7DF3-2F5C-4D3C-A469-00F640AA6E3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6 PAX] - [TO-DAY » NIL] - [Y-DAY » NIL]_x000D_
[LOWESTAVAIL » U9] - [CAPACITY » 179] - [LST-SOLD » 24-NOV]_x000D_
{CLASSES}_x000D_
U9 &amp; O10 &amp; I10</t>
        </r>
      </text>
    </comment>
    <comment ref="C1163" authorId="0" shapeId="0" xr:uid="{46608C1F-9FA5-4EC3-B5F0-26809F5CCAEB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6 PAX] - [TO-DAY » NIL] - [Y-DAY » NIL]_x000D_
[LOWESTAVAIL » U9] - [CAPACITY » 179] - [LST-SOLD » 24-NOV]_x000D_
{CLASSES}_x000D_
U9 &amp; O10 &amp; I10</t>
        </r>
      </text>
    </comment>
    <comment ref="D1163" authorId="0" shapeId="0" xr:uid="{05E56C4C-C769-430B-9BE8-159ACA976815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6 PAX] - [TO-DAY » NIL] - [Y-DAY » NIL]_x000D_
[LOWESTAVAIL » U9] - [CAPACITY » 179] - [LST-SOLD » 24-NOV]_x000D_
{CLASSES}_x000D_
U9 &amp; O10 &amp; I10</t>
        </r>
      </text>
    </comment>
    <comment ref="E1163" authorId="0" shapeId="0" xr:uid="{4DECBA61-5ABB-4AD4-8CE6-F6432C41B35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6 PAX] - [TO-DAY » NIL] - [Y-DAY » NIL]_x000D_
[LOWESTAVAIL » U9] - [CAPACITY » 179] - [LST-SOLD » 24-NOV]_x000D_
{CLASSES}_x000D_
U9 &amp; O10 &amp; I10</t>
        </r>
      </text>
    </comment>
    <comment ref="F1163" authorId="0" shapeId="0" xr:uid="{19EECBD9-AE46-4E10-868F-8279F0AC804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6 PAX] - [TO-DAY » NIL] - [Y-DAY » NIL]_x000D_
[LOWESTAVAIL » U9] - [CAPACITY » 179] - [LST-SOLD » 24-NOV]_x000D_
{CLASSES}_x000D_
U9 &amp; O10 &amp; I10</t>
        </r>
      </text>
    </comment>
    <comment ref="G1163" authorId="0" shapeId="0" xr:uid="{4DFCAC4F-56DA-4958-B6EC-FD80264BA47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6 PAX] - [TO-DAY » NIL] - [Y-DAY » NIL]_x000D_
[LOWESTAVAIL » U9] - [CAPACITY » 179] - [LST-SOLD » 24-NOV]_x000D_
{CLASSES}_x000D_
U9 &amp; O10 &amp; I10</t>
        </r>
      </text>
    </comment>
    <comment ref="H1163" authorId="0" shapeId="0" xr:uid="{E6A283A2-700B-4ABF-A4F7-100B54AF7C0A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16.2%]   -   [SOLD » 29 PAX]_x000D_
[WEEKLY » 6 PAX] - [TO-DAY » NIL] - [Y-DAY » NIL]_x000D_
[LOWESTAVAIL » U9] - [CAPACITY » 179] - [LST-SOLD » 24-NOV]_x000D_
{CLASSES}_x000D_
U9 &amp; O10 &amp; I10</t>
        </r>
      </text>
    </comment>
    <comment ref="A1232" authorId="0" shapeId="0" xr:uid="{716ED4DE-378B-46B1-A863-9B2DA6D414A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4 PAX] - [TO-DAY » 2 PAX] - [Y-DAY » 2]_x000D_
[LOWESTAVAIL » O5] - [CAPACITY » 179] - [LST-SOLD » 29-NOV]_x000D_
{CLASSES}_x000D_
O5 &amp; I10 &amp; P45</t>
        </r>
      </text>
    </comment>
    <comment ref="B1232" authorId="0" shapeId="0" xr:uid="{F1D709F4-6B31-4454-8753-39ABE5C2ACC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4 PAX] - [TO-DAY » 2 PAX] - [Y-DAY » 2]_x000D_
[LOWESTAVAIL » O5] - [CAPACITY » 179] - [LST-SOLD » 29-NOV]_x000D_
{CLASSES}_x000D_
O5 &amp; I10 &amp; P45</t>
        </r>
      </text>
    </comment>
    <comment ref="C1232" authorId="0" shapeId="0" xr:uid="{FC513DA5-AC56-4B53-872F-D9A36D71A7F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4 PAX] - [TO-DAY » 2 PAX] - [Y-DAY » 2]_x000D_
[LOWESTAVAIL » O5] - [CAPACITY » 179] - [LST-SOLD » 29-NOV]_x000D_
{CLASSES}_x000D_
O5 &amp; I10 &amp; P45</t>
        </r>
      </text>
    </comment>
    <comment ref="D1232" authorId="0" shapeId="0" xr:uid="{791D9968-1347-403C-A69E-39A69A014FE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4 PAX] - [TO-DAY » 2 PAX] - [Y-DAY » 2]_x000D_
[LOWESTAVAIL » O5] - [CAPACITY » 179] - [LST-SOLD » 29-NOV]_x000D_
{CLASSES}_x000D_
O5 &amp; I10 &amp; P45</t>
        </r>
      </text>
    </comment>
    <comment ref="E1232" authorId="0" shapeId="0" xr:uid="{3A51EAD9-4AE5-4398-96BF-D325A4E2AF9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4 PAX] - [TO-DAY » 2 PAX] - [Y-DAY » 2]_x000D_
[LOWESTAVAIL » O5] - [CAPACITY » 179] - [LST-SOLD » 29-NOV]_x000D_
{CLASSES}_x000D_
O5 &amp; I10 &amp; P45</t>
        </r>
      </text>
    </comment>
    <comment ref="F1232" authorId="0" shapeId="0" xr:uid="{06CB2FE0-C66E-4F87-986E-8562ADF7565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4 PAX] - [TO-DAY » 2 PAX] - [Y-DAY » 2]_x000D_
[LOWESTAVAIL » O5] - [CAPACITY » 179] - [LST-SOLD » 29-NOV]_x000D_
{CLASSES}_x000D_
O5 &amp; I10 &amp; P45</t>
        </r>
      </text>
    </comment>
    <comment ref="G1232" authorId="0" shapeId="0" xr:uid="{2C7BA85F-9F4B-4FBF-A9BD-EC0C1E5C786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4 PAX] - [TO-DAY » 2 PAX] - [Y-DAY » 2]_x000D_
[LOWESTAVAIL » O5] - [CAPACITY » 179] - [LST-SOLD » 29-NOV]_x000D_
{CLASSES}_x000D_
O5 &amp; I10 &amp; P45</t>
        </r>
      </text>
    </comment>
    <comment ref="H1232" authorId="0" shapeId="0" xr:uid="{DFE9CF4D-2316-402E-AED2-03F3C479E09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33.5%]   -   [SOLD » 60 PAX]_x000D_
[WEEKLY » 4 PAX] - [TO-DAY » 2 PAX] - [Y-DAY » 2]_x000D_
[LOWESTAVAIL » O5] - [CAPACITY » 179] - [LST-SOLD » 29-NOV]_x000D_
{CLASSES}_x000D_
O5 &amp; I10 &amp; P45</t>
        </r>
      </text>
    </comment>
    <comment ref="A1233" authorId="0" shapeId="0" xr:uid="{D134020D-252F-427E-99FF-DCD67793C11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[SOLD » 10 PAX]_x000D_
[WEEKLY » NIL] - [TO-DAY » NIL] - [Y-DAY » NIL]_x000D_
[LOWESTAVAIL » O9] - [CAPACITY » 179] - [LST-SOLD » 20-NOV]_x000D_
{CLASSES}_x000D_
I10</t>
        </r>
      </text>
    </comment>
    <comment ref="B1233" authorId="0" shapeId="0" xr:uid="{89DDA9A9-8DC0-4BD8-9DAA-E1420F82F47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[SOLD » 10 PAX]_x000D_
[WEEKLY » NIL] - [TO-DAY » NIL] - [Y-DAY » NIL]_x000D_
[LOWESTAVAIL » O9] - [CAPACITY » 179] - [LST-SOLD » 20-NOV]_x000D_
{CLASSES}_x000D_
I10</t>
        </r>
      </text>
    </comment>
    <comment ref="C1233" authorId="0" shapeId="0" xr:uid="{2BE861CA-9C59-4422-A868-48F644B84DF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[SOLD » 10 PAX]_x000D_
[WEEKLY » NIL] - [TO-DAY » NIL] - [Y-DAY » NIL]_x000D_
[LOWESTAVAIL » O9] - [CAPACITY » 179] - [LST-SOLD » 20-NOV]_x000D_
{CLASSES}_x000D_
I10</t>
        </r>
      </text>
    </comment>
    <comment ref="D1233" authorId="0" shapeId="0" xr:uid="{5AED2EB7-BBA6-4878-A045-DCA8BA610FF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[SOLD » 10 PAX]_x000D_
[WEEKLY » NIL] - [TO-DAY » NIL] - [Y-DAY » NIL]_x000D_
[LOWESTAVAIL » O9] - [CAPACITY » 179] - [LST-SOLD » 20-NOV]_x000D_
{CLASSES}_x000D_
I10</t>
        </r>
      </text>
    </comment>
    <comment ref="E1233" authorId="0" shapeId="0" xr:uid="{926AC347-DA8D-4978-8DC1-239CACF5AF2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[SOLD » 10 PAX]_x000D_
[WEEKLY » NIL] - [TO-DAY » NIL] - [Y-DAY » NIL]_x000D_
[LOWESTAVAIL » O9] - [CAPACITY » 179] - [LST-SOLD » 20-NOV]_x000D_
{CLASSES}_x000D_
I10</t>
        </r>
      </text>
    </comment>
    <comment ref="F1233" authorId="0" shapeId="0" xr:uid="{A46608D8-D253-48A9-AB50-0CBA11AA012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[SOLD » 10 PAX]_x000D_
[WEEKLY » NIL] - [TO-DAY » NIL] - [Y-DAY » NIL]_x000D_
[LOWESTAVAIL » O9] - [CAPACITY » 179] - [LST-SOLD » 20-NOV]_x000D_
{CLASSES}_x000D_
I10</t>
        </r>
      </text>
    </comment>
    <comment ref="G1233" authorId="0" shapeId="0" xr:uid="{2E3B6DBC-0DF1-416C-BBA9-97A74A70340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[SOLD » 10 PAX]_x000D_
[WEEKLY » NIL] - [TO-DAY » NIL] - [Y-DAY » NIL]_x000D_
[LOWESTAVAIL » O9] - [CAPACITY » 179] - [LST-SOLD » 20-NOV]_x000D_
{CLASSES}_x000D_
I10</t>
        </r>
      </text>
    </comment>
    <comment ref="H1233" authorId="0" shapeId="0" xr:uid="{3A64E87A-A510-47D2-82FA-7BFE972BECF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5.6%]   -   [SOLD » 10 PAX]_x000D_
[WEEKLY » NIL] - [TO-DAY » NIL] - [Y-DAY » NIL]_x000D_
[LOWESTAVAIL » O9] - [CAPACITY » 179] - [LST-SOLD » 20-NOV]_x000D_
{CLASSES}_x000D_
I10</t>
        </r>
      </text>
    </comment>
    <comment ref="A1234" authorId="0" shapeId="0" xr:uid="{279C9F65-6004-4DAE-BC22-CF1EA3289FD3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17 PAX]_x000D_
[WEEKLY » 5 PAX] - [TO-DAY » NIL] - [Y-DAY » 2]_x000D_
[LOWESTAVAIL » O5] - [CAPACITY » 179] - [LST-SOLD » 28-NOV]_x000D_
{CLASSES}_x000D_
S1 &amp; X1 &amp; O5 &amp; I10</t>
        </r>
      </text>
    </comment>
    <comment ref="B1234" authorId="0" shapeId="0" xr:uid="{F31DB5BF-38D9-4897-A969-6746771271CA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17 PAX]_x000D_
[WEEKLY » 5 PAX] - [TO-DAY » NIL] - [Y-DAY » 2]_x000D_
[LOWESTAVAIL » O5] - [CAPACITY » 179] - [LST-SOLD » 28-NOV]_x000D_
{CLASSES}_x000D_
S1 &amp; X1 &amp; O5 &amp; I10</t>
        </r>
      </text>
    </comment>
    <comment ref="C1234" authorId="0" shapeId="0" xr:uid="{17E51023-EB9D-43C7-8096-049183C780D9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17 PAX]_x000D_
[WEEKLY » 5 PAX] - [TO-DAY » NIL] - [Y-DAY » 2]_x000D_
[LOWESTAVAIL » O5] - [CAPACITY » 179] - [LST-SOLD » 28-NOV]_x000D_
{CLASSES}_x000D_
S1 &amp; X1 &amp; O5 &amp; I10</t>
        </r>
      </text>
    </comment>
    <comment ref="D1234" authorId="0" shapeId="0" xr:uid="{755E1429-C435-459A-8CD7-708E75ED5CE3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17 PAX]_x000D_
[WEEKLY » 5 PAX] - [TO-DAY » NIL] - [Y-DAY » 2]_x000D_
[LOWESTAVAIL » O5] - [CAPACITY » 179] - [LST-SOLD » 28-NOV]_x000D_
{CLASSES}_x000D_
S1 &amp; X1 &amp; O5 &amp; I10</t>
        </r>
      </text>
    </comment>
    <comment ref="E1234" authorId="0" shapeId="0" xr:uid="{753D2670-AF24-413B-8687-7166CA6008B2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17 PAX]_x000D_
[WEEKLY » 5 PAX] - [TO-DAY » NIL] - [Y-DAY » 2]_x000D_
[LOWESTAVAIL » O5] - [CAPACITY » 179] - [LST-SOLD » 28-NOV]_x000D_
{CLASSES}_x000D_
S1 &amp; X1 &amp; O5 &amp; I10</t>
        </r>
      </text>
    </comment>
    <comment ref="F1234" authorId="0" shapeId="0" xr:uid="{9111D4B7-5D51-4EB5-94B4-B5A4291C1BC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17 PAX]_x000D_
[WEEKLY » 5 PAX] - [TO-DAY » NIL] - [Y-DAY » 2]_x000D_
[LOWESTAVAIL » O5] - [CAPACITY » 179] - [LST-SOLD » 28-NOV]_x000D_
{CLASSES}_x000D_
S1 &amp; X1 &amp; O5 &amp; I10</t>
        </r>
      </text>
    </comment>
    <comment ref="G1234" authorId="0" shapeId="0" xr:uid="{A49E36C9-914E-41D3-8832-ECC4CCCF1D05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17 PAX]_x000D_
[WEEKLY » 5 PAX] - [TO-DAY » NIL] - [Y-DAY » 2]_x000D_
[LOWESTAVAIL » O5] - [CAPACITY » 179] - [LST-SOLD » 28-NOV]_x000D_
{CLASSES}_x000D_
S1 &amp; X1 &amp; O5 &amp; I10</t>
        </r>
      </text>
    </comment>
    <comment ref="H1234" authorId="0" shapeId="0" xr:uid="{FFD07FDA-9D5C-40E1-A1CA-1E00B31A57E4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[SOLD » 17 PAX]_x000D_
[WEEKLY » 5 PAX] - [TO-DAY » NIL] - [Y-DAY » 2]_x000D_
[LOWESTAVAIL » O5] - [CAPACITY » 179] - [LST-SOLD » 28-NOV]_x000D_
{CLASSES}_x000D_
S1 &amp; X1 &amp; O5 &amp; I10</t>
        </r>
      </text>
    </comment>
    <comment ref="A1242" authorId="0" shapeId="0" xr:uid="{FA02146E-3D9D-44B1-A11D-695080CB928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NIL]_x000D_
[LOWESTAVAIL » U9] - [CAPACITY » 179] - [LST-SOLD » 27-NOV]_x000D_
{CLASSES}_x000D_
S2 &amp; O10 &amp; I10</t>
        </r>
      </text>
    </comment>
    <comment ref="B1242" authorId="0" shapeId="0" xr:uid="{B5285091-A6FC-4460-AF11-4247DEDDA44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NIL]_x000D_
[LOWESTAVAIL » U9] - [CAPACITY » 179] - [LST-SOLD » 27-NOV]_x000D_
{CLASSES}_x000D_
S2 &amp; O10 &amp; I10</t>
        </r>
      </text>
    </comment>
    <comment ref="C1242" authorId="0" shapeId="0" xr:uid="{A59B5A88-B83E-47ED-903F-CFC037E66563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NIL]_x000D_
[LOWESTAVAIL » U9] - [CAPACITY » 179] - [LST-SOLD » 27-NOV]_x000D_
{CLASSES}_x000D_
S2 &amp; O10 &amp; I10</t>
        </r>
      </text>
    </comment>
    <comment ref="D1242" authorId="0" shapeId="0" xr:uid="{5DE1292E-5BA1-4472-8462-79ABFA0800E4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NIL]_x000D_
[LOWESTAVAIL » U9] - [CAPACITY » 179] - [LST-SOLD » 27-NOV]_x000D_
{CLASSES}_x000D_
S2 &amp; O10 &amp; I10</t>
        </r>
      </text>
    </comment>
    <comment ref="E1242" authorId="0" shapeId="0" xr:uid="{DD88C000-8371-45BE-A844-0CAD3863191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NIL]_x000D_
[LOWESTAVAIL » U9] - [CAPACITY » 179] - [LST-SOLD » 27-NOV]_x000D_
{CLASSES}_x000D_
S2 &amp; O10 &amp; I10</t>
        </r>
      </text>
    </comment>
    <comment ref="F1242" authorId="0" shapeId="0" xr:uid="{11CF4D38-3F35-439B-8136-498CEFAB8D5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NIL]_x000D_
[LOWESTAVAIL » U9] - [CAPACITY » 179] - [LST-SOLD » 27-NOV]_x000D_
{CLASSES}_x000D_
S2 &amp; O10 &amp; I10</t>
        </r>
      </text>
    </comment>
    <comment ref="G1242" authorId="0" shapeId="0" xr:uid="{11444069-A960-4728-ACF9-5A0843DAE33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NIL]_x000D_
[LOWESTAVAIL » U9] - [CAPACITY » 179] - [LST-SOLD » 27-NOV]_x000D_
{CLASSES}_x000D_
S2 &amp; O10 &amp; I10</t>
        </r>
      </text>
    </comment>
    <comment ref="H1242" authorId="0" shapeId="0" xr:uid="{22256C08-0217-49AE-B9EA-6ACDEC3B645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12.3%]   -   [SOLD » 22 PAX]_x000D_
[WEEKLY » 7 PAX] - [TO-DAY » NIL] - [Y-DAY » NIL]_x000D_
[LOWESTAVAIL » U9] - [CAPACITY » 179] - [LST-SOLD » 27-NOV]_x000D_
{CLASSES}_x000D_
S2 &amp; O10 &amp; I10</t>
        </r>
      </text>
    </comment>
    <comment ref="A1250" authorId="0" shapeId="0" xr:uid="{271A3CA7-87D9-4817-BA01-BF48B89BC6C9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[SOLD » 33 PAX]_x000D_
[WEEKLY » 6 PAX] - [TO-DAY » NIL] - [Y-DAY » 2]_x000D_
[LOWESTAVAIL » X8] - [CAPACITY » 179] - [LST-SOLD » 28-NOV]_x000D_
{CLASSES}_x000D_
X2 &amp; U11 &amp; O10 &amp; I10</t>
        </r>
      </text>
    </comment>
    <comment ref="B1250" authorId="0" shapeId="0" xr:uid="{B563A010-58C1-4ACA-A55D-6616D82BD695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[SOLD » 33 PAX]_x000D_
[WEEKLY » 6 PAX] - [TO-DAY » NIL] - [Y-DAY » 2]_x000D_
[LOWESTAVAIL » X8] - [CAPACITY » 179] - [LST-SOLD » 28-NOV]_x000D_
{CLASSES}_x000D_
X2 &amp; U11 &amp; O10 &amp; I10</t>
        </r>
      </text>
    </comment>
    <comment ref="C1250" authorId="0" shapeId="0" xr:uid="{0FECE8E2-69EC-4656-810E-FDAA6B26386D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[SOLD » 33 PAX]_x000D_
[WEEKLY » 6 PAX] - [TO-DAY » NIL] - [Y-DAY » 2]_x000D_
[LOWESTAVAIL » X8] - [CAPACITY » 179] - [LST-SOLD » 28-NOV]_x000D_
{CLASSES}_x000D_
X2 &amp; U11 &amp; O10 &amp; I10</t>
        </r>
      </text>
    </comment>
    <comment ref="D1250" authorId="0" shapeId="0" xr:uid="{9DCD5731-DF6D-440A-9D14-7B157621774C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[SOLD » 33 PAX]_x000D_
[WEEKLY » 6 PAX] - [TO-DAY » NIL] - [Y-DAY » 2]_x000D_
[LOWESTAVAIL » X8] - [CAPACITY » 179] - [LST-SOLD » 28-NOV]_x000D_
{CLASSES}_x000D_
X2 &amp; U11 &amp; O10 &amp; I10</t>
        </r>
      </text>
    </comment>
    <comment ref="E1250" authorId="0" shapeId="0" xr:uid="{9057CB10-2BA5-4C1B-8D1E-F0AB46CE5435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[SOLD » 33 PAX]_x000D_
[WEEKLY » 6 PAX] - [TO-DAY » NIL] - [Y-DAY » 2]_x000D_
[LOWESTAVAIL » X8] - [CAPACITY » 179] - [LST-SOLD » 28-NOV]_x000D_
{CLASSES}_x000D_
X2 &amp; U11 &amp; O10 &amp; I10</t>
        </r>
      </text>
    </comment>
    <comment ref="F1250" authorId="0" shapeId="0" xr:uid="{9E25FFAB-D920-437C-B24E-9B7F610D3D15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[SOLD » 33 PAX]_x000D_
[WEEKLY » 6 PAX] - [TO-DAY » NIL] - [Y-DAY » 2]_x000D_
[LOWESTAVAIL » X8] - [CAPACITY » 179] - [LST-SOLD » 28-NOV]_x000D_
{CLASSES}_x000D_
X2 &amp; U11 &amp; O10 &amp; I10</t>
        </r>
      </text>
    </comment>
    <comment ref="G1250" authorId="0" shapeId="0" xr:uid="{3E233E9F-00AC-4D94-B449-4D2A9A16F6EC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[SOLD » 33 PAX]_x000D_
[WEEKLY » 6 PAX] - [TO-DAY » NIL] - [Y-DAY » 2]_x000D_
[LOWESTAVAIL » X8] - [CAPACITY » 179] - [LST-SOLD » 28-NOV]_x000D_
{CLASSES}_x000D_
X2 &amp; U11 &amp; O10 &amp; I10</t>
        </r>
      </text>
    </comment>
    <comment ref="H1250" authorId="0" shapeId="0" xr:uid="{FB2555A9-CD04-4AE9-8EE8-E72C6B605E8F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[SOLD » 33 PAX]_x000D_
[WEEKLY » 6 PAX] - [TO-DAY » NIL] - [Y-DAY » 2]_x000D_
[LOWESTAVAIL » X8] - [CAPACITY » 179] - [LST-SOLD » 28-NOV]_x000D_
{CLASSES}_x000D_
X2 &amp; U11 &amp; O10 &amp; I10</t>
        </r>
      </text>
    </comment>
    <comment ref="A1251" authorId="0" shapeId="0" xr:uid="{6C10E31F-7212-4DB8-B770-986E703D828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42.5%]   -   [SOLD » 76 PAX]_x000D_
[WEEKLY » 7 PAX] - [TO-DAY » NIL] - [Y-DAY » 2]_x000D_
[LOWESTAVAIL » X9] - [CAPACITY » 179] - [LST-SOLD » 28-NOV]_x000D_
{CLASSES}_x000D_
U11 &amp; O10 &amp; I10 &amp; P45</t>
        </r>
      </text>
    </comment>
    <comment ref="B1251" authorId="0" shapeId="0" xr:uid="{B12A5096-1FB8-4849-8360-EF770D88456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42.5%]   -   [SOLD » 76 PAX]_x000D_
[WEEKLY » 7 PAX] - [TO-DAY » NIL] - [Y-DAY » 2]_x000D_
[LOWESTAVAIL » X9] - [CAPACITY » 179] - [LST-SOLD » 28-NOV]_x000D_
{CLASSES}_x000D_
U11 &amp; O10 &amp; I10 &amp; P45</t>
        </r>
      </text>
    </comment>
    <comment ref="C1251" authorId="0" shapeId="0" xr:uid="{1EE2A2FF-69BC-4DA3-9440-2D4D64D0BB03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42.5%]   -   [SOLD » 76 PAX]_x000D_
[WEEKLY » 7 PAX] - [TO-DAY » NIL] - [Y-DAY » 2]_x000D_
[LOWESTAVAIL » X9] - [CAPACITY » 179] - [LST-SOLD » 28-NOV]_x000D_
{CLASSES}_x000D_
U11 &amp; O10 &amp; I10 &amp; P45</t>
        </r>
      </text>
    </comment>
    <comment ref="D1251" authorId="0" shapeId="0" xr:uid="{2A38B145-4265-4E4B-9581-CD0C8FFC5DE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42.5%]   -   [SOLD » 76 PAX]_x000D_
[WEEKLY » 7 PAX] - [TO-DAY » NIL] - [Y-DAY » 2]_x000D_
[LOWESTAVAIL » X9] - [CAPACITY » 179] - [LST-SOLD » 28-NOV]_x000D_
{CLASSES}_x000D_
U11 &amp; O10 &amp; I10 &amp; P45</t>
        </r>
      </text>
    </comment>
    <comment ref="E1251" authorId="0" shapeId="0" xr:uid="{F13B9B76-DE3C-4300-A4CD-BEDDB73C5D0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42.5%]   -   [SOLD » 76 PAX]_x000D_
[WEEKLY » 7 PAX] - [TO-DAY » NIL] - [Y-DAY » 2]_x000D_
[LOWESTAVAIL » X9] - [CAPACITY » 179] - [LST-SOLD » 28-NOV]_x000D_
{CLASSES}_x000D_
U11 &amp; O10 &amp; I10 &amp; P45</t>
        </r>
      </text>
    </comment>
    <comment ref="F1251" authorId="0" shapeId="0" xr:uid="{89DD8763-9259-4CFE-A12C-4C59E0155C3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42.5%]   -   [SOLD » 76 PAX]_x000D_
[WEEKLY » 7 PAX] - [TO-DAY » NIL] - [Y-DAY » 2]_x000D_
[LOWESTAVAIL » X9] - [CAPACITY » 179] - [LST-SOLD » 28-NOV]_x000D_
{CLASSES}_x000D_
U11 &amp; O10 &amp; I10 &amp; P45</t>
        </r>
      </text>
    </comment>
    <comment ref="G1251" authorId="0" shapeId="0" xr:uid="{95523516-D316-4CDA-A23C-E0367F6B2026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42.5%]   -   [SOLD » 76 PAX]_x000D_
[WEEKLY » 7 PAX] - [TO-DAY » NIL] - [Y-DAY » 2]_x000D_
[LOWESTAVAIL » X9] - [CAPACITY » 179] - [LST-SOLD » 28-NOV]_x000D_
{CLASSES}_x000D_
U11 &amp; O10 &amp; I10 &amp; P45</t>
        </r>
      </text>
    </comment>
    <comment ref="H1251" authorId="0" shapeId="0" xr:uid="{237B3669-5493-4FD0-85DE-B36547012B43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42.5%]   -   [SOLD » 76 PAX]_x000D_
[WEEKLY » 7 PAX] - [TO-DAY » NIL] - [Y-DAY » 2]_x000D_
[LOWESTAVAIL » X9] - [CAPACITY » 179] - [LST-SOLD » 28-NOV]_x000D_
{CLASSES}_x000D_
U11 &amp; O10 &amp; I10 &amp; P45</t>
        </r>
      </text>
    </comment>
    <comment ref="A1309" authorId="0" shapeId="0" xr:uid="{32874171-99E1-46EA-90BF-17818C681245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41.3%]   -   [SOLD » 74 PAX]_x000D_
[WEEKLY » 16 PAX] - [TO-DAY » 1 PAX] - [Y-DAY » 3]_x000D_
[LOWESTAVAIL » U5] - [CAPACITY » 179] - [LST-SOLD » 29-NOV]_x000D_
{CLASSES}_x000D_
S2 &amp; U6 &amp; O10 &amp; I10 &amp; E45 &amp; P1</t>
        </r>
      </text>
    </comment>
    <comment ref="B1309" authorId="0" shapeId="0" xr:uid="{EDC4682C-701B-443D-9802-E48C90049B75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41.3%]   -   [SOLD » 74 PAX]_x000D_
[WEEKLY » 16 PAX] - [TO-DAY » 1 PAX] - [Y-DAY » 3]_x000D_
[LOWESTAVAIL » U5] - [CAPACITY » 179] - [LST-SOLD » 29-NOV]_x000D_
{CLASSES}_x000D_
S2 &amp; U6 &amp; O10 &amp; I10 &amp; E45 &amp; P1</t>
        </r>
      </text>
    </comment>
    <comment ref="C1309" authorId="0" shapeId="0" xr:uid="{778C4DD0-9894-4A2A-99D8-66C0ED17E70C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41.3%]   -   [SOLD » 74 PAX]_x000D_
[WEEKLY » 16 PAX] - [TO-DAY » 1 PAX] - [Y-DAY » 3]_x000D_
[LOWESTAVAIL » U5] - [CAPACITY » 179] - [LST-SOLD » 29-NOV]_x000D_
{CLASSES}_x000D_
S2 &amp; U6 &amp; O10 &amp; I10 &amp; E45 &amp; P1</t>
        </r>
      </text>
    </comment>
    <comment ref="D1309" authorId="0" shapeId="0" xr:uid="{F6409FC9-840C-49D6-A67F-7FC9B51A7DC2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41.3%]   -   [SOLD » 74 PAX]_x000D_
[WEEKLY » 16 PAX] - [TO-DAY » 1 PAX] - [Y-DAY » 3]_x000D_
[LOWESTAVAIL » U5] - [CAPACITY » 179] - [LST-SOLD » 29-NOV]_x000D_
{CLASSES}_x000D_
S2 &amp; U6 &amp; O10 &amp; I10 &amp; E45 &amp; P1</t>
        </r>
      </text>
    </comment>
    <comment ref="E1309" authorId="0" shapeId="0" xr:uid="{5A9FF10D-2A3B-40FE-86D2-3C3615613B36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41.3%]   -   [SOLD » 74 PAX]_x000D_
[WEEKLY » 16 PAX] - [TO-DAY » 1 PAX] - [Y-DAY » 3]_x000D_
[LOWESTAVAIL » U5] - [CAPACITY » 179] - [LST-SOLD » 29-NOV]_x000D_
{CLASSES}_x000D_
S2 &amp; U6 &amp; O10 &amp; I10 &amp; E45 &amp; P1</t>
        </r>
      </text>
    </comment>
    <comment ref="F1309" authorId="0" shapeId="0" xr:uid="{D8F427DF-4E84-4C00-8AE5-CD758C5182CB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41.3%]   -   [SOLD » 74 PAX]_x000D_
[WEEKLY » 16 PAX] - [TO-DAY » 1 PAX] - [Y-DAY » 3]_x000D_
[LOWESTAVAIL » U5] - [CAPACITY » 179] - [LST-SOLD » 29-NOV]_x000D_
{CLASSES}_x000D_
S2 &amp; U6 &amp; O10 &amp; I10 &amp; E45 &amp; P1</t>
        </r>
      </text>
    </comment>
    <comment ref="G1309" authorId="0" shapeId="0" xr:uid="{CA2BDDF7-FDB5-4DB6-873E-EF2B1ECD3304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41.3%]   -   [SOLD » 74 PAX]_x000D_
[WEEKLY » 16 PAX] - [TO-DAY » 1 PAX] - [Y-DAY » 3]_x000D_
[LOWESTAVAIL » U5] - [CAPACITY » 179] - [LST-SOLD » 29-NOV]_x000D_
{CLASSES}_x000D_
S2 &amp; U6 &amp; O10 &amp; I10 &amp; E45 &amp; P1</t>
        </r>
      </text>
    </comment>
    <comment ref="H1309" authorId="0" shapeId="0" xr:uid="{0CD2BC67-B731-451B-9E27-C56643487217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41.3%]   -   [SOLD » 74 PAX]_x000D_
[WEEKLY » 16 PAX] - [TO-DAY » 1 PAX] - [Y-DAY » 3]_x000D_
[LOWESTAVAIL » U5] - [CAPACITY » 179] - [LST-SOLD » 29-NOV]_x000D_
{CLASSES}_x000D_
S2 &amp; U6 &amp; O10 &amp; I10 &amp; E45 &amp; P1</t>
        </r>
      </text>
    </comment>
    <comment ref="A1310" authorId="0" shapeId="0" xr:uid="{2574B82A-5263-4514-AC65-0B4CE660E48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[SOLD » 163 PAX]_x000D_
[WEEKLY » 3 PAX] - [TO-DAY » NIL] - [Y-DAY » NIL]_x000D_
[LOWESTAVAIL » U2] - [CAPACITY » 179] - [LST-SOLD » 27-NOV]_x000D_
{CLASSES}_x000D_
U3 &amp; O10 &amp; I10 &amp; P140</t>
        </r>
      </text>
    </comment>
    <comment ref="B1310" authorId="0" shapeId="0" xr:uid="{1D519F90-EAC0-469A-8112-64904F55926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[SOLD » 163 PAX]_x000D_
[WEEKLY » 3 PAX] - [TO-DAY » NIL] - [Y-DAY » NIL]_x000D_
[LOWESTAVAIL » U2] - [CAPACITY » 179] - [LST-SOLD » 27-NOV]_x000D_
{CLASSES}_x000D_
U3 &amp; O10 &amp; I10 &amp; P140</t>
        </r>
      </text>
    </comment>
    <comment ref="C1310" authorId="0" shapeId="0" xr:uid="{0BCFC538-D48E-4D91-B2B1-9F478DAF299E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[SOLD » 163 PAX]_x000D_
[WEEKLY » 3 PAX] - [TO-DAY » NIL] - [Y-DAY » NIL]_x000D_
[LOWESTAVAIL » U2] - [CAPACITY » 179] - [LST-SOLD » 27-NOV]_x000D_
{CLASSES}_x000D_
U3 &amp; O10 &amp; I10 &amp; P140</t>
        </r>
      </text>
    </comment>
    <comment ref="D1310" authorId="0" shapeId="0" xr:uid="{33EC9167-D85C-4D90-AC57-8677EBF71AB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[SOLD » 163 PAX]_x000D_
[WEEKLY » 3 PAX] - [TO-DAY » NIL] - [Y-DAY » NIL]_x000D_
[LOWESTAVAIL » U2] - [CAPACITY » 179] - [LST-SOLD » 27-NOV]_x000D_
{CLASSES}_x000D_
U3 &amp; O10 &amp; I10 &amp; P140</t>
        </r>
      </text>
    </comment>
    <comment ref="E1310" authorId="0" shapeId="0" xr:uid="{57157478-63A9-4F4E-8DF6-89EF9E813C9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[SOLD » 163 PAX]_x000D_
[WEEKLY » 3 PAX] - [TO-DAY » NIL] - [Y-DAY » NIL]_x000D_
[LOWESTAVAIL » U2] - [CAPACITY » 179] - [LST-SOLD » 27-NOV]_x000D_
{CLASSES}_x000D_
U3 &amp; O10 &amp; I10 &amp; P140</t>
        </r>
      </text>
    </comment>
    <comment ref="F1310" authorId="0" shapeId="0" xr:uid="{44D049DF-CADB-49F8-9512-BB6269152E8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[SOLD » 163 PAX]_x000D_
[WEEKLY » 3 PAX] - [TO-DAY » NIL] - [Y-DAY » NIL]_x000D_
[LOWESTAVAIL » U2] - [CAPACITY » 179] - [LST-SOLD » 27-NOV]_x000D_
{CLASSES}_x000D_
U3 &amp; O10 &amp; I10 &amp; P140</t>
        </r>
      </text>
    </comment>
    <comment ref="G1310" authorId="0" shapeId="0" xr:uid="{F78E714A-B020-467A-AFE6-5EDFDD0ABB3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[SOLD » 163 PAX]_x000D_
[WEEKLY » 3 PAX] - [TO-DAY » NIL] - [Y-DAY » NIL]_x000D_
[LOWESTAVAIL » U2] - [CAPACITY » 179] - [LST-SOLD » 27-NOV]_x000D_
{CLASSES}_x000D_
U3 &amp; O10 &amp; I10 &amp; P140</t>
        </r>
      </text>
    </comment>
    <comment ref="H1310" authorId="0" shapeId="0" xr:uid="{905FFEB4-1D02-4BDA-8B9E-C65A21BBE16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[SOLD » 163 PAX]_x000D_
[WEEKLY » 3 PAX] - [TO-DAY » NIL] - [Y-DAY » NIL]_x000D_
[LOWESTAVAIL » U2] - [CAPACITY » 179] - [LST-SOLD » 27-NOV]_x000D_
{CLASSES}_x000D_
U3 &amp; O10 &amp; I10 &amp; P140</t>
        </r>
      </text>
    </comment>
    <comment ref="A1362" authorId="0" shapeId="0" xr:uid="{B80AE53F-ED93-4580-8DE2-C05E50A89AB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CLOSED] - [CAPACITY » 179] - [LST-SOLD » 17-NOV]_x000D_
{CLASSES}_x000D_
U1 &amp; O10 &amp; I10 &amp; E4 &amp; P140</t>
        </r>
      </text>
    </comment>
    <comment ref="B1362" authorId="0" shapeId="0" xr:uid="{17F6588A-8358-4534-AE71-D4D2DA87AC1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CLOSED] - [CAPACITY » 179] - [LST-SOLD » 17-NOV]_x000D_
{CLASSES}_x000D_
U1 &amp; O10 &amp; I10 &amp; E4 &amp; P140</t>
        </r>
      </text>
    </comment>
    <comment ref="C1362" authorId="0" shapeId="0" xr:uid="{4781F3FE-9497-46AC-B391-1FD82A4EFFE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CLOSED] - [CAPACITY » 179] - [LST-SOLD » 17-NOV]_x000D_
{CLASSES}_x000D_
U1 &amp; O10 &amp; I10 &amp; E4 &amp; P140</t>
        </r>
      </text>
    </comment>
    <comment ref="D1362" authorId="0" shapeId="0" xr:uid="{A0457046-EA42-4AFC-8C66-669C12EED95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CLOSED] - [CAPACITY » 179] - [LST-SOLD » 17-NOV]_x000D_
{CLASSES}_x000D_
U1 &amp; O10 &amp; I10 &amp; E4 &amp; P140</t>
        </r>
      </text>
    </comment>
    <comment ref="E1362" authorId="0" shapeId="0" xr:uid="{E9112EB6-4ACE-4ED1-B4B8-71A8079107B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CLOSED] - [CAPACITY » 179] - [LST-SOLD » 17-NOV]_x000D_
{CLASSES}_x000D_
U1 &amp; O10 &amp; I10 &amp; E4 &amp; P140</t>
        </r>
      </text>
    </comment>
    <comment ref="F1362" authorId="0" shapeId="0" xr:uid="{31B0E5A9-347F-4141-A458-9D39162A318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CLOSED] - [CAPACITY » 179] - [LST-SOLD » 17-NOV]_x000D_
{CLASSES}_x000D_
U1 &amp; O10 &amp; I10 &amp; E4 &amp; P140</t>
        </r>
      </text>
    </comment>
    <comment ref="G1362" authorId="0" shapeId="0" xr:uid="{FEEEEC95-0911-44B3-90B1-DC1F9DCE542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CLOSED] - [CAPACITY » 179] - [LST-SOLD » 17-NOV]_x000D_
{CLASSES}_x000D_
U1 &amp; O10 &amp; I10 &amp; E4 &amp; P140</t>
        </r>
      </text>
    </comment>
    <comment ref="H1362" authorId="0" shapeId="0" xr:uid="{E23DD705-7808-444C-82CA-49406C3E24F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CLOSED] - [CAPACITY » 179] - [LST-SOLD » 17-NOV]_x000D_
{CLASSES}_x000D_
U1 &amp; O10 &amp; I10 &amp; E4 &amp; P140</t>
        </r>
      </text>
    </comment>
  </commentList>
</comments>
</file>

<file path=xl/sharedStrings.xml><?xml version="1.0" encoding="utf-8"?>
<sst xmlns="http://schemas.openxmlformats.org/spreadsheetml/2006/main" count="20552" uniqueCount="718">
  <si>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</si>
  <si>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</si>
  <si>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</si>
  <si>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</si>
  <si>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</si>
  <si>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</si>
  <si>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</si>
  <si>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</si>
  <si>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</si>
  <si>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</si>
  <si>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</si>
  <si>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</si>
  <si>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</si>
  <si>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</si>
  <si>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</si>
  <si>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</si>
  <si>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</si>
  <si>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</si>
  <si>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</si>
  <si>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</si>
  <si>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</si>
  <si>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</si>
  <si>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</si>
  <si>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</si>
  <si>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</si>
  <si>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</si>
  <si>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</si>
  <si>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F3-763</t>
  </si>
  <si>
    <t>Check-in: 15 KG</t>
  </si>
  <si>
    <t>1 FOR SAME CLASS</t>
  </si>
  <si>
    <t>359 SAR</t>
  </si>
  <si>
    <t>Cabin: 10 KG / Check-in: 25 KG</t>
  </si>
  <si>
    <t>509 SAR</t>
  </si>
  <si>
    <t>Cabin: 10 KG / Check-in: 2 x 40 KG</t>
  </si>
  <si>
    <t>1,099 SAR</t>
  </si>
  <si>
    <t>F3-755</t>
  </si>
  <si>
    <t>2 FOR SAME CLASS</t>
  </si>
  <si>
    <t>389 SAR</t>
  </si>
  <si>
    <t>539 SAR</t>
  </si>
  <si>
    <t>F3-753</t>
  </si>
  <si>
    <t>10 FOR SAME CLASS</t>
  </si>
  <si>
    <t>F3-761</t>
  </si>
  <si>
    <t>3 FOR SAME CLASS</t>
  </si>
  <si>
    <t>459 SAR</t>
  </si>
  <si>
    <t>609 SAR</t>
  </si>
  <si>
    <t>flynas</t>
  </si>
  <si>
    <t>XY-577</t>
  </si>
  <si>
    <t>Cabin: 7 KG / Check-in: 20 KG</t>
  </si>
  <si>
    <t>369 SAR</t>
  </si>
  <si>
    <t>Cabin: 7 KG / Check-in: 30 KG</t>
  </si>
  <si>
    <t>469 SAR</t>
  </si>
  <si>
    <t>Cabin: 7 KG / Check-in: 2 x 40 KG</t>
  </si>
  <si>
    <t>559 SAR</t>
  </si>
  <si>
    <t>XY-573</t>
  </si>
  <si>
    <t>9 FOR SAME CLASS</t>
  </si>
  <si>
    <t>409 SAR</t>
  </si>
  <si>
    <t>599 SAR</t>
  </si>
  <si>
    <t>XY-565</t>
  </si>
  <si>
    <t>XY-583</t>
  </si>
  <si>
    <t>XY-567</t>
  </si>
  <si>
    <t>XY-589</t>
  </si>
  <si>
    <t>8 FOR SAME CLASS</t>
  </si>
  <si>
    <t>XY-571</t>
  </si>
  <si>
    <t>449 SAR</t>
  </si>
  <si>
    <t>549 SAR</t>
  </si>
  <si>
    <t>639 SAR</t>
  </si>
  <si>
    <t>XY-569</t>
  </si>
  <si>
    <t>569 SAR</t>
  </si>
  <si>
    <t>669 SAR</t>
  </si>
  <si>
    <t>759 SAR</t>
  </si>
  <si>
    <t>Nesma Airlines</t>
  </si>
  <si>
    <t>NE-173</t>
  </si>
  <si>
    <t>Cabin: 7 KG | Check-in: 30 KG</t>
  </si>
  <si>
    <t>400 SAR</t>
  </si>
  <si>
    <t>Nile Air</t>
  </si>
  <si>
    <t>NP-228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</si>
  <si>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</si>
  <si>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</si>
  <si>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</si>
  <si>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</si>
  <si>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</si>
  <si>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</si>
  <si>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</si>
  <si>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</si>
  <si>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</si>
  <si>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</si>
  <si>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</si>
  <si>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</si>
  <si>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</si>
  <si>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</si>
  <si>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</si>
  <si>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</si>
  <si>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</si>
  <si>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X8</t>
  </si>
  <si>
    <t>S1 &amp; X12 &amp; U10 &amp; O20 &amp; I20 &amp; E28 &amp; P75 &amp; N1</t>
  </si>
  <si>
    <t>SM-478</t>
  </si>
  <si>
    <t>6 FOR SAME CLASS</t>
  </si>
  <si>
    <t>586 SAR</t>
  </si>
  <si>
    <t>SM478</t>
  </si>
  <si>
    <t>2025-11-28 00:00:00</t>
  </si>
  <si>
    <t>T6</t>
  </si>
  <si>
    <t>S2 &amp; T3 &amp; X10 &amp; U11 &amp; O15 &amp; I10 &amp; P104 &amp; N4</t>
  </si>
  <si>
    <t>SM-480</t>
  </si>
  <si>
    <t>7 FOR SAME CLASS</t>
  </si>
  <si>
    <t>646 SAR</t>
  </si>
  <si>
    <t>SM480</t>
  </si>
  <si>
    <t>2025-11-26 00:00:00</t>
  </si>
  <si>
    <t>W7</t>
  </si>
  <si>
    <t>S5 &amp; U3 &amp; O8 &amp; I11 &amp; P131</t>
  </si>
  <si>
    <t>SM-476</t>
  </si>
  <si>
    <t>4 FOR SAME CLASS</t>
  </si>
  <si>
    <t>SM476</t>
  </si>
  <si>
    <t>2025-11-25 00:00:00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</si>
  <si>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</si>
  <si>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</si>
  <si>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</si>
  <si>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</si>
  <si>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</si>
  <si>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</si>
  <si>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</si>
  <si>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</si>
  <si>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</si>
  <si>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</si>
  <si>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</si>
  <si>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</si>
  <si>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</si>
  <si>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</si>
  <si>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795 SAR</t>
  </si>
  <si>
    <t>MS-644</t>
  </si>
  <si>
    <t>890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</si>
  <si>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</si>
  <si>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</si>
  <si>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</si>
  <si>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</si>
  <si>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</si>
  <si>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</si>
  <si>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</si>
  <si>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</si>
  <si>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</si>
  <si>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</si>
  <si>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</si>
  <si>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</si>
  <si>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SV-6893</t>
  </si>
  <si>
    <t>SV-309</t>
  </si>
  <si>
    <t>1,276 SAR</t>
  </si>
  <si>
    <t>1,321 SAR</t>
  </si>
  <si>
    <t>SV-383</t>
  </si>
  <si>
    <t>SV-303</t>
  </si>
  <si>
    <t>SV-389</t>
  </si>
  <si>
    <t>SV-6895</t>
  </si>
  <si>
    <t>1,524 SAR</t>
  </si>
  <si>
    <t>NP-328</t>
  </si>
  <si>
    <t>310 SAR</t>
  </si>
  <si>
    <t>Cabin: 0 KG | Check-in: 15 KG</t>
  </si>
  <si>
    <t>Cabin: 7 KG | Check-in: 20 KG</t>
  </si>
  <si>
    <t>NE-171</t>
  </si>
  <si>
    <t>Cabin: 10 KG | Check-in: 30 KG</t>
  </si>
  <si>
    <t>421 SAR</t>
  </si>
  <si>
    <t>544 SAR</t>
  </si>
  <si>
    <t>471 SAR</t>
  </si>
  <si>
    <t>U2</t>
  </si>
  <si>
    <t>U13 &amp; O15 &amp; I10 &amp; P90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</si>
  <si>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</si>
  <si>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</si>
  <si>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</si>
  <si>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</si>
  <si>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</si>
  <si>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</si>
  <si>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</si>
  <si>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</si>
  <si>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</si>
  <si>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</si>
  <si>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U5</t>
  </si>
  <si>
    <t>U6 &amp; O10 &amp; I10 &amp; P96 &amp; N3</t>
  </si>
  <si>
    <t>X7</t>
  </si>
  <si>
    <t>S3 &amp; X3 &amp; U11 &amp; O10 &amp; I10 &amp; P84</t>
  </si>
  <si>
    <t>678 SAR</t>
  </si>
  <si>
    <t>723 SAR</t>
  </si>
  <si>
    <t>1,178 SAR</t>
  </si>
  <si>
    <t>1,349 SAR</t>
  </si>
  <si>
    <t>329 SAR</t>
  </si>
  <si>
    <t>479 SAR</t>
  </si>
  <si>
    <t>419 SAR</t>
  </si>
  <si>
    <t>499 SAR</t>
  </si>
  <si>
    <t>649 SAR</t>
  </si>
  <si>
    <t>5 FOR SAME CLASS</t>
  </si>
  <si>
    <t>645 SAR</t>
  </si>
  <si>
    <t>533 SAR</t>
  </si>
  <si>
    <t>X9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</si>
  <si>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</si>
  <si>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</si>
  <si>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</si>
  <si>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</si>
  <si>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</si>
  <si>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</si>
  <si>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</si>
  <si>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429 SAR</t>
  </si>
  <si>
    <t>519 SAR</t>
  </si>
  <si>
    <t>355 SAR</t>
  </si>
  <si>
    <t>E5-322</t>
  </si>
  <si>
    <t>E5-383</t>
  </si>
  <si>
    <t>393 SAR</t>
  </si>
  <si>
    <t>516 SAR</t>
  </si>
  <si>
    <t>I8</t>
  </si>
  <si>
    <t>U5 &amp; O20 &amp; I22 &amp; P46</t>
  </si>
  <si>
    <t>I9</t>
  </si>
  <si>
    <t>S1 &amp; O12 &amp; I31</t>
  </si>
  <si>
    <t>436 SAR</t>
  </si>
  <si>
    <t>O5</t>
  </si>
  <si>
    <t>O25 &amp; I10</t>
  </si>
  <si>
    <t>I1</t>
  </si>
  <si>
    <t>O10 &amp; I29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</si>
  <si>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</si>
  <si>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</si>
  <si>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</si>
  <si>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</si>
  <si>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</si>
  <si>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</si>
  <si>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1,131 SAR</t>
  </si>
  <si>
    <t>16 FOR SAME CLASS</t>
  </si>
  <si>
    <t>SM-450</t>
  </si>
  <si>
    <t>SM450</t>
  </si>
  <si>
    <t>O3</t>
  </si>
  <si>
    <t>S1 &amp; U2 &amp; O27 &amp; I10 &amp; P29</t>
  </si>
  <si>
    <t>W9</t>
  </si>
  <si>
    <t>S4 &amp; W3 &amp; X1 &amp; U9 &amp; O16 &amp; I10 &amp; P113</t>
  </si>
  <si>
    <t>30KG + 7KG CABIN</t>
  </si>
  <si>
    <t>[LF] FULLY BOOKED</t>
  </si>
  <si>
    <t>2025-11-18 00:00:00</t>
  </si>
  <si>
    <t>CLOSED</t>
  </si>
  <si>
    <t>I5 &amp; E45 &amp; P129 &amp; N3</t>
  </si>
  <si>
    <t>997 SAR</t>
  </si>
  <si>
    <t>797 SAR</t>
  </si>
  <si>
    <t>842 SAR</t>
  </si>
  <si>
    <t>299 SAR</t>
  </si>
  <si>
    <t>NE-177</t>
  </si>
  <si>
    <t>300 SAR</t>
  </si>
  <si>
    <t>O6</t>
  </si>
  <si>
    <t>S1 &amp; O24 &amp; I30</t>
  </si>
  <si>
    <t>O9</t>
  </si>
  <si>
    <t>S2 &amp; X7 &amp; U1 &amp; O16 &amp; I20 &amp; E25 &amp; P46 &amp; N1</t>
  </si>
  <si>
    <t>SM-432</t>
  </si>
  <si>
    <t>SM432</t>
  </si>
  <si>
    <t>S9 &amp; U1 &amp; O10 &amp; I10</t>
  </si>
  <si>
    <t>706 SAR</t>
  </si>
  <si>
    <t>S9</t>
  </si>
  <si>
    <t>S6 &amp; U3 &amp; O9 &amp; I9 &amp; P130</t>
  </si>
  <si>
    <t>1,366 SAR</t>
  </si>
  <si>
    <t>H5</t>
  </si>
  <si>
    <t>H1 &amp; O8 &amp; I10 &amp; P155</t>
  </si>
  <si>
    <t>1,081 SAR</t>
  </si>
  <si>
    <t>1,728 SAR</t>
  </si>
  <si>
    <t>1,773 SAR</t>
  </si>
  <si>
    <t>712 SAR</t>
  </si>
  <si>
    <t>993 SAR</t>
  </si>
  <si>
    <t>1,115 SAR</t>
  </si>
  <si>
    <t>11 FOR SAME CLASS</t>
  </si>
  <si>
    <t>350 SAR</t>
  </si>
  <si>
    <t>S1 &amp; U9 &amp; O10 &amp; I10 &amp; P128</t>
  </si>
  <si>
    <t>S3 &amp; X3 &amp; U11 &amp; O10 &amp; I10 &amp; P120</t>
  </si>
  <si>
    <t>2025-11-22 00:00:00</t>
  </si>
  <si>
    <t>S1 &amp; U3 &amp; O10 &amp; I10 &amp; P134</t>
  </si>
  <si>
    <t>2025-11-23 00:00:00</t>
  </si>
  <si>
    <t>U2 &amp; O10 &amp; I13 &amp; P136</t>
  </si>
  <si>
    <t>13 FOR SAME CLASS</t>
  </si>
  <si>
    <t>14 FOR SAME CLASS</t>
  </si>
  <si>
    <t>489 SAR</t>
  </si>
  <si>
    <t>O9 &amp; I25 &amp; P86</t>
  </si>
  <si>
    <t>S1 &amp; U2 &amp; O11 &amp; I10</t>
  </si>
  <si>
    <t>O8</t>
  </si>
  <si>
    <t>O2 &amp; I20</t>
  </si>
  <si>
    <t>U6</t>
  </si>
  <si>
    <t>O15 &amp; I10 &amp; E45 &amp; P87 &amp; N2</t>
  </si>
  <si>
    <t>U8</t>
  </si>
  <si>
    <t>S2 &amp; X1 &amp; U3 &amp; O20 &amp; I10 &amp; P96</t>
  </si>
  <si>
    <t>X4</t>
  </si>
  <si>
    <t>O6 &amp; I20 &amp; P133</t>
  </si>
  <si>
    <t>368 SAR</t>
  </si>
  <si>
    <t>492 SAR</t>
  </si>
  <si>
    <t>529 SAR</t>
  </si>
  <si>
    <t>619 SAR</t>
  </si>
  <si>
    <t>659 SAR</t>
  </si>
  <si>
    <t>699 SAR</t>
  </si>
  <si>
    <t>739 SAR</t>
  </si>
  <si>
    <t>769 SAR</t>
  </si>
  <si>
    <t>859 SAR</t>
  </si>
  <si>
    <t>S7 &amp; U5 &amp; O24 &amp; I10</t>
  </si>
  <si>
    <t>S2 &amp; U3 &amp; O24 &amp; I10 &amp; P3</t>
  </si>
  <si>
    <t>S8 &amp; U4 &amp; O10 &amp; I10 &amp; P137</t>
  </si>
  <si>
    <t>1,417 SAR</t>
  </si>
  <si>
    <t>1,586 SAR</t>
  </si>
  <si>
    <t>2,005 SAR</t>
  </si>
  <si>
    <t>897 SAR</t>
  </si>
  <si>
    <t>1,030 SAR</t>
  </si>
  <si>
    <t>1,193 SAR</t>
  </si>
  <si>
    <t>1,326 SAR</t>
  </si>
  <si>
    <t>17 FOR SAME CLASS</t>
  </si>
  <si>
    <t>12 FOR SAME CLASS</t>
  </si>
  <si>
    <t>394 SAR</t>
  </si>
  <si>
    <t>518 SAR</t>
  </si>
  <si>
    <t>595 SAR</t>
  </si>
  <si>
    <t>I6</t>
  </si>
  <si>
    <t>S1 &amp; O1 &amp; I24</t>
  </si>
  <si>
    <t>I3</t>
  </si>
  <si>
    <t>O4 &amp; I12 &amp; P74</t>
  </si>
  <si>
    <t>I19</t>
  </si>
  <si>
    <t>S1 &amp; I22 &amp; P45</t>
  </si>
  <si>
    <t>S4 &amp; X2 &amp; U16 &amp; O10 &amp; I10 &amp; P119 &amp; N1</t>
  </si>
  <si>
    <t>U8 &amp; O10 &amp; I10 &amp; P139</t>
  </si>
  <si>
    <t>S2 &amp; O3 &amp; I9 &amp; P140 &amp; N2</t>
  </si>
  <si>
    <t>1,253 SAR</t>
  </si>
  <si>
    <t>1,029 SAR</t>
  </si>
  <si>
    <t>1,162 SAR</t>
  </si>
  <si>
    <t>1,167 SAR</t>
  </si>
  <si>
    <t>1,300 SAR</t>
  </si>
  <si>
    <t>349 SAR</t>
  </si>
  <si>
    <t>U1 &amp; O11 &amp; I10 &amp; P37</t>
  </si>
  <si>
    <t>O15 &amp; I10</t>
  </si>
  <si>
    <t>S1 &amp; O5 &amp; I20</t>
  </si>
  <si>
    <t>O1</t>
  </si>
  <si>
    <t>S3 &amp; U7 &amp; O19 &amp; I10 &amp; P92</t>
  </si>
  <si>
    <t>S3 &amp; O7 &amp; I20 &amp; P30</t>
  </si>
  <si>
    <t>U7</t>
  </si>
  <si>
    <t>G1 &amp; S2 &amp; U14 &amp; O10 &amp; I10 &amp; P80</t>
  </si>
  <si>
    <t>1,413 SAR</t>
  </si>
  <si>
    <t>589 SAR</t>
  </si>
  <si>
    <t>679 SAR</t>
  </si>
  <si>
    <t>629 SAR</t>
  </si>
  <si>
    <t>719 SAR</t>
  </si>
  <si>
    <t>G2 &amp; U4 &amp; O20 &amp; I10</t>
  </si>
  <si>
    <t>856 SAR</t>
  </si>
  <si>
    <t>L9</t>
  </si>
  <si>
    <t>S2 &amp; U6 &amp; O10 &amp; I10 &amp; P128 &amp; N3</t>
  </si>
  <si>
    <t>2025-11-16 00:00:00</t>
  </si>
  <si>
    <t>S2 &amp; O1 &amp; I10 &amp; P166</t>
  </si>
  <si>
    <t>574 SAR</t>
  </si>
  <si>
    <t>2,050 SAR</t>
  </si>
  <si>
    <t>O7</t>
  </si>
  <si>
    <t>O3 &amp; I10</t>
  </si>
  <si>
    <t>O2</t>
  </si>
  <si>
    <t>O8 &amp; I20 &amp; P89</t>
  </si>
  <si>
    <t>U7 &amp; O10 &amp; I10 &amp; P95</t>
  </si>
  <si>
    <t>O20 &amp; I10 &amp; E40 &amp; P90</t>
  </si>
  <si>
    <t>S1 &amp; X2 &amp; O10 &amp; I10 &amp; E25 &amp; P157</t>
  </si>
  <si>
    <t>1,721 SAR</t>
  </si>
  <si>
    <t>2025-11-20 00:00:00</t>
  </si>
  <si>
    <t>O6 &amp; I10 &amp; P134 &amp; N1</t>
  </si>
  <si>
    <t>O12 &amp; I10 &amp; P45</t>
  </si>
  <si>
    <t>O5 &amp; I20 &amp; P115</t>
  </si>
  <si>
    <t>S3 &amp; U9 &amp; O10 &amp; I10 &amp; P51</t>
  </si>
  <si>
    <t>1,781 SAR</t>
  </si>
  <si>
    <t>S2 &amp; O7 &amp; I11</t>
  </si>
  <si>
    <t>S1 &amp; O3 &amp; I17 &amp; P45 &amp; N2</t>
  </si>
  <si>
    <t>S1 &amp; O1 &amp; I10 &amp; P23</t>
  </si>
  <si>
    <t>S3 &amp; O1 &amp; I11</t>
  </si>
  <si>
    <t>S1 &amp; O3 &amp; I12 &amp; P45</t>
  </si>
  <si>
    <t>I7</t>
  </si>
  <si>
    <t>S2 &amp; O4 &amp; I13 &amp; P60</t>
  </si>
  <si>
    <t>19 FOR SAME CLASS</t>
  </si>
  <si>
    <t>I5</t>
  </si>
  <si>
    <t>O2 &amp; I15 &amp; E2</t>
  </si>
  <si>
    <t>S1 &amp; O12 &amp; I10 &amp; E45 &amp; P75</t>
  </si>
  <si>
    <t>O4</t>
  </si>
  <si>
    <t>S4 &amp; O6 &amp; I10 &amp; E30 &amp; P45</t>
  </si>
  <si>
    <t>Cabin: 7 KG</t>
  </si>
  <si>
    <t>425 SAR</t>
  </si>
  <si>
    <t>511 SAR</t>
  </si>
  <si>
    <t>513 SAR</t>
  </si>
  <si>
    <t>799 SAR</t>
  </si>
  <si>
    <t>I10 &amp; E95</t>
  </si>
  <si>
    <t>I2</t>
  </si>
  <si>
    <t>O1 &amp; I8 &amp; P90</t>
  </si>
  <si>
    <t>O2 &amp; I13 &amp; P86</t>
  </si>
  <si>
    <t>X2 &amp; O5 &amp; I12</t>
  </si>
  <si>
    <t>S2 &amp; I10 &amp; P17</t>
  </si>
  <si>
    <t>G1 &amp; S1 &amp; U3 &amp; O12 &amp; I10 &amp; P102</t>
  </si>
  <si>
    <t>U9 &amp; O10 &amp; I10</t>
  </si>
  <si>
    <t>810 SAR</t>
  </si>
  <si>
    <t>855 SAR</t>
  </si>
  <si>
    <t>O5 &amp; I10 &amp; P45</t>
  </si>
  <si>
    <t>I10</t>
  </si>
  <si>
    <t>S1 &amp; X1 &amp; O5 &amp; I10</t>
  </si>
  <si>
    <t>S2 &amp; O10 &amp; I10</t>
  </si>
  <si>
    <t>X2 &amp; U11 &amp; O10 &amp; I10</t>
  </si>
  <si>
    <t>U11 &amp; O10 &amp; I10 &amp; P45</t>
  </si>
  <si>
    <t>S2 &amp; U6 &amp; O10 &amp; I10 &amp; E45 &amp; P1</t>
  </si>
  <si>
    <t>U3 &amp; O10 &amp; I10 &amp; P140</t>
  </si>
  <si>
    <t>2025-11-17 00:00:00</t>
  </si>
  <si>
    <t>U1 &amp; O10 &amp; I10 &amp; E4 &amp; P140</t>
  </si>
  <si>
    <t>1,257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</si>
  <si>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</si>
  <si>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</si>
  <si>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</si>
  <si>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</si>
  <si>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</si>
  <si>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</si>
  <si>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</si>
  <si>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</si>
  <si>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</si>
  <si>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</si>
  <si>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</si>
  <si>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</si>
  <si>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</si>
  <si>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</si>
  <si>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</si>
  <si>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</si>
  <si>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</si>
  <si>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</si>
  <si>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</si>
  <si>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</si>
  <si>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</si>
  <si>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</si>
  <si>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</si>
  <si>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</si>
  <si>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</si>
  <si>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</si>
  <si>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</si>
  <si>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</si>
  <si>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</si>
  <si>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</si>
  <si>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</si>
  <si>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</si>
  <si>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</si>
  <si>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</si>
  <si>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</si>
  <si>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</si>
  <si>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</si>
  <si>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</si>
  <si>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</si>
  <si>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W3</t>
  </si>
  <si>
    <t>O19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</si>
  <si>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</si>
  <si>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</si>
  <si>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</si>
  <si>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</si>
  <si>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</si>
  <si>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</si>
  <si>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</si>
  <si>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</si>
  <si>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</si>
  <si>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</si>
  <si>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</si>
  <si>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X12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</si>
  <si>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</si>
  <si>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</si>
  <si>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</si>
  <si>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</si>
  <si>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</si>
  <si>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</si>
  <si>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</si>
  <si>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</si>
  <si>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</si>
  <si>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</si>
  <si>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U13</t>
  </si>
  <si>
    <t>P90</t>
  </si>
  <si>
    <t>S3</t>
  </si>
  <si>
    <t>X3</t>
  </si>
  <si>
    <t>O10</t>
  </si>
  <si>
    <t>P84</t>
  </si>
  <si>
    <t>17:30</t>
  </si>
  <si>
    <t>P96</t>
  </si>
  <si>
    <t>N3</t>
  </si>
  <si>
    <t>22:25</t>
  </si>
  <si>
    <t>O16</t>
  </si>
  <si>
    <t>P42</t>
  </si>
  <si>
    <t>23:15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</si>
  <si>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</si>
  <si>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</si>
  <si>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</si>
  <si>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</si>
  <si>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</si>
  <si>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</si>
  <si>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</si>
  <si>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</si>
  <si>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</si>
  <si>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</si>
  <si>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</si>
  <si>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</si>
  <si>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U1</t>
  </si>
  <si>
    <t>P66</t>
  </si>
  <si>
    <t>02:45</t>
  </si>
  <si>
    <t>06:05</t>
  </si>
  <si>
    <t>P37</t>
  </si>
  <si>
    <t>08:00</t>
  </si>
  <si>
    <t>I25</t>
  </si>
  <si>
    <t>P114</t>
  </si>
  <si>
    <t>08:45</t>
  </si>
  <si>
    <t>14:00</t>
  </si>
  <si>
    <t>W1</t>
  </si>
  <si>
    <t>E34</t>
  </si>
  <si>
    <t>P88</t>
  </si>
  <si>
    <t>17:45</t>
  </si>
  <si>
    <t>U15</t>
  </si>
  <si>
    <t>FRIDAY</t>
  </si>
  <si>
    <t>O12</t>
  </si>
  <si>
    <t>I31</t>
  </si>
  <si>
    <t>07:40</t>
  </si>
  <si>
    <t>I29</t>
  </si>
  <si>
    <t>11:00</t>
  </si>
  <si>
    <t>O25</t>
  </si>
  <si>
    <t>I22</t>
  </si>
  <si>
    <t>P46</t>
  </si>
  <si>
    <t>17:40</t>
  </si>
  <si>
    <t>U27</t>
  </si>
  <si>
    <t>I12</t>
  </si>
  <si>
    <t>P45</t>
  </si>
  <si>
    <t>22:30</t>
  </si>
  <si>
    <t>P139</t>
  </si>
  <si>
    <t>SATURDAY</t>
  </si>
  <si>
    <t>05:40</t>
  </si>
  <si>
    <t>O27</t>
  </si>
  <si>
    <t>P29</t>
  </si>
  <si>
    <t>S4</t>
  </si>
  <si>
    <t>P113</t>
  </si>
  <si>
    <t>16:20</t>
  </si>
  <si>
    <t>E45</t>
  </si>
  <si>
    <t>P129</t>
  </si>
  <si>
    <t>SUNDAY</t>
  </si>
  <si>
    <t>02:00</t>
  </si>
  <si>
    <t>E25</t>
  </si>
  <si>
    <t>O24</t>
  </si>
  <si>
    <t>12:15</t>
  </si>
  <si>
    <t>S6</t>
  </si>
  <si>
    <t>P130</t>
  </si>
  <si>
    <t>15:10</t>
  </si>
  <si>
    <t>H1</t>
  </si>
  <si>
    <t>P155</t>
  </si>
  <si>
    <t>P128</t>
  </si>
  <si>
    <t>P134</t>
  </si>
  <si>
    <t>P120</t>
  </si>
  <si>
    <t>P136</t>
  </si>
  <si>
    <t>P86</t>
  </si>
  <si>
    <t>P87</t>
  </si>
  <si>
    <t>N2</t>
  </si>
  <si>
    <t>P133</t>
  </si>
  <si>
    <t>O11</t>
  </si>
  <si>
    <t>P137</t>
  </si>
  <si>
    <t>P3</t>
  </si>
  <si>
    <t>I24</t>
  </si>
  <si>
    <t>P140</t>
  </si>
  <si>
    <t>P74</t>
  </si>
  <si>
    <t>X2</t>
  </si>
  <si>
    <t>U16</t>
  </si>
  <si>
    <t>P119</t>
  </si>
  <si>
    <t>P30</t>
  </si>
  <si>
    <t>G1</t>
  </si>
  <si>
    <t>U14</t>
  </si>
  <si>
    <t>P80</t>
  </si>
  <si>
    <t>G2</t>
  </si>
  <si>
    <t>P166</t>
  </si>
  <si>
    <t>P157</t>
  </si>
  <si>
    <t>P89</t>
  </si>
  <si>
    <t>E40</t>
  </si>
  <si>
    <t>P95</t>
  </si>
  <si>
    <t>P51</t>
  </si>
  <si>
    <t>P115</t>
  </si>
  <si>
    <t>I17</t>
  </si>
  <si>
    <t>P60</t>
  </si>
  <si>
    <t>P23</t>
  </si>
  <si>
    <t>11:30</t>
  </si>
  <si>
    <t>E2</t>
  </si>
  <si>
    <t>E30</t>
  </si>
  <si>
    <t>P17</t>
  </si>
  <si>
    <t>E95</t>
  </si>
  <si>
    <t>P102</t>
  </si>
  <si>
    <t>P1</t>
  </si>
  <si>
    <t>E4</t>
  </si>
  <si>
    <t>DATE</t>
  </si>
  <si>
    <t>ROUTE</t>
  </si>
  <si>
    <t>2025-12-01</t>
  </si>
  <si>
    <t>21:20</t>
  </si>
  <si>
    <t>09:30</t>
  </si>
  <si>
    <t>03:05</t>
  </si>
  <si>
    <t>07:15</t>
  </si>
  <si>
    <t>05:00</t>
  </si>
  <si>
    <t>07:30</t>
  </si>
  <si>
    <t>16:00</t>
  </si>
  <si>
    <t>20:30</t>
  </si>
  <si>
    <t>06:10</t>
  </si>
  <si>
    <t>11:15</t>
  </si>
  <si>
    <t>21:40</t>
  </si>
  <si>
    <t>19:10</t>
  </si>
  <si>
    <t>04:10</t>
  </si>
  <si>
    <t>18:55</t>
  </si>
  <si>
    <t>09:25</t>
  </si>
  <si>
    <t>[LF] AVAILABLE</t>
  </si>
  <si>
    <t>[LF] LOW DEMAND</t>
  </si>
  <si>
    <t>[LF] HIGH DEMAND</t>
  </si>
  <si>
    <t>THREAT STATUS</t>
  </si>
  <si>
    <t>REF</t>
  </si>
  <si>
    <t>CLOSE (-0.2)</t>
  </si>
  <si>
    <t>AHEAD (+1.0)</t>
  </si>
  <si>
    <t>AHEAD (+0.4)</t>
  </si>
  <si>
    <t>CLOSE (-0.6)</t>
  </si>
  <si>
    <t>AHEAD (+0.8)</t>
  </si>
  <si>
    <t>AHEAD (+0.3)</t>
  </si>
  <si>
    <t>AHEAD (+0.2)</t>
  </si>
  <si>
    <t>CLOSE (-0.1)</t>
  </si>
  <si>
    <t>THREAT (+7.1)</t>
  </si>
  <si>
    <t>CLOSE (-0.5)</t>
  </si>
  <si>
    <t>THREAT (+6.9)</t>
  </si>
  <si>
    <t>THREAT (+6.5)</t>
  </si>
  <si>
    <t>THREAT (+5.3)</t>
  </si>
  <si>
    <t>23:00</t>
  </si>
  <si>
    <t>THREAT (+6.1)</t>
  </si>
  <si>
    <t>15:30</t>
  </si>
  <si>
    <t>THREAT (+4.3)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</si>
  <si>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</si>
  <si>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</si>
  <si>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</si>
  <si>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</si>
  <si>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</si>
  <si>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</si>
  <si>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</si>
  <si>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</si>
  <si>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</si>
  <si>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</si>
  <si>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</si>
  <si>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</si>
  <si>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</si>
  <si>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19:55</t>
  </si>
  <si>
    <t>2025-12-02</t>
  </si>
  <si>
    <t>01:05</t>
  </si>
  <si>
    <t>AHEAD (+0.7)</t>
  </si>
  <si>
    <t>CLOSE (-0.8)</t>
  </si>
  <si>
    <t>06:35</t>
  </si>
  <si>
    <t>05:20</t>
  </si>
  <si>
    <t>CLOSE (-1.0)</t>
  </si>
  <si>
    <t>THREAT (+5.1)</t>
  </si>
  <si>
    <t>THREAT (+4.7)</t>
  </si>
  <si>
    <t>THREAT (+2.7)</t>
  </si>
  <si>
    <t>CLOSE (-0.3)</t>
  </si>
  <si>
    <t>2025-12-03</t>
  </si>
  <si>
    <t>12:55</t>
  </si>
  <si>
    <t>CLOSE (-0.9)</t>
  </si>
  <si>
    <t>THREAT (+5.9)</t>
  </si>
  <si>
    <t>THREAT (+5.7)</t>
  </si>
  <si>
    <t>THREAT (+5.8)</t>
  </si>
  <si>
    <t>CLOSE (-0.4)</t>
  </si>
  <si>
    <t>2025-12-04</t>
  </si>
  <si>
    <t>2025-12-05</t>
  </si>
  <si>
    <t>CLOSE (-0.7)</t>
  </si>
  <si>
    <t>23:25</t>
  </si>
  <si>
    <t>THREAT (+2.8)</t>
  </si>
  <si>
    <t>THREAT (+1.1)</t>
  </si>
  <si>
    <t>16:15</t>
  </si>
  <si>
    <t>THREAT (+1.6)</t>
  </si>
  <si>
    <t>THREAT (+5.6)</t>
  </si>
  <si>
    <t>THREAT (+9.0)</t>
  </si>
  <si>
    <t>THREAT (+5.5)</t>
  </si>
  <si>
    <t>THREAT (+5.2)</t>
  </si>
  <si>
    <t>THREAT (+8.2)</t>
  </si>
  <si>
    <t>THREAT (+4.8)</t>
  </si>
  <si>
    <t>THREAT (+4.4)</t>
  </si>
  <si>
    <t>THREAT (+7.4)</t>
  </si>
  <si>
    <t>THREAT (+4.6)</t>
  </si>
  <si>
    <t>THREAT (+4.9)</t>
  </si>
  <si>
    <t>THREAT (+3.8)</t>
  </si>
  <si>
    <t>AHEAD (+0.0)</t>
  </si>
  <si>
    <t>2025-12-06</t>
  </si>
  <si>
    <t>07:55</t>
  </si>
  <si>
    <t>THREAT (+1.4)</t>
  </si>
  <si>
    <t>05:10</t>
  </si>
  <si>
    <t>THREAT (+7.7)</t>
  </si>
  <si>
    <t>12:10</t>
  </si>
  <si>
    <t>05:50</t>
  </si>
  <si>
    <t>THREAT (+3.7)</t>
  </si>
  <si>
    <t>THREAT (+2.5)</t>
  </si>
  <si>
    <t>THREAT (+2.4)</t>
  </si>
  <si>
    <t>2025-12-07</t>
  </si>
  <si>
    <t>08:20</t>
  </si>
  <si>
    <t>THREAT (+6.3)</t>
  </si>
  <si>
    <t>THREAT (+6.0)</t>
  </si>
  <si>
    <t>09:20</t>
  </si>
  <si>
    <t>THREAT (+6.6)</t>
  </si>
  <si>
    <t>AHEAD (+0.1)</t>
  </si>
  <si>
    <t>THREAT (+13.7)</t>
  </si>
  <si>
    <t>THREAT (+6.7)</t>
  </si>
  <si>
    <t>18:35</t>
  </si>
  <si>
    <t>THREAT (+1.8)</t>
  </si>
  <si>
    <t>THREAT (+11.7)</t>
  </si>
  <si>
    <t>THREAT (+1.3)</t>
  </si>
  <si>
    <t>THREAT (+8.7)</t>
  </si>
  <si>
    <t>THREAT (+9.7)</t>
  </si>
  <si>
    <t>THREAT (+8.0)</t>
  </si>
  <si>
    <t>2025-12-08</t>
  </si>
  <si>
    <t>THREAT (+7.3)</t>
  </si>
  <si>
    <t>THREAT (+7.0)</t>
  </si>
  <si>
    <t>THREAT (+1.7)</t>
  </si>
  <si>
    <t>THREAT (+2.9)</t>
  </si>
  <si>
    <t>2025-12-09</t>
  </si>
  <si>
    <t>00:20</t>
  </si>
  <si>
    <t>THREAT (+4.1)</t>
  </si>
  <si>
    <t>2025-12-10</t>
  </si>
  <si>
    <t>THREAT (+3.0)</t>
  </si>
  <si>
    <t>THREAT (+1.9)</t>
  </si>
  <si>
    <t>THREAT (+2.2)</t>
  </si>
  <si>
    <t>2025-12-11</t>
  </si>
  <si>
    <t>2025-12-12</t>
  </si>
  <si>
    <t>THREAT (+5.0)</t>
  </si>
  <si>
    <t>THREAT (+4.2)</t>
  </si>
  <si>
    <t>2025-12-13</t>
  </si>
  <si>
    <t>THREAT (+1.2)</t>
  </si>
  <si>
    <t>06:30</t>
  </si>
  <si>
    <t>THREAT (+3.1)</t>
  </si>
  <si>
    <t>THREAT (+8.6)</t>
  </si>
  <si>
    <t>THREAT (+7.8)</t>
  </si>
  <si>
    <t>THREAT (+3.6)</t>
  </si>
  <si>
    <t>2025-12-14</t>
  </si>
  <si>
    <t>2025-12-15</t>
  </si>
  <si>
    <t>2025-12-16</t>
  </si>
  <si>
    <t>AHEAD (+0.5)</t>
  </si>
  <si>
    <t>2025-12-17</t>
  </si>
  <si>
    <t>2025-12-18</t>
  </si>
  <si>
    <t>THREAT (+4.0)</t>
  </si>
  <si>
    <t>2025-12-19</t>
  </si>
  <si>
    <t>2025-12-20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</si>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</sst>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sz val="9"/>
      <color indexed="12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7" fontId="20" fillId="9" borderId="10" xfId="0" applyNumberFormat="1" applyFont="1" applyFill="1" applyBorder="1" applyAlignment="1">
      <alignment horizontal="center" vertical="center"/>
    </xf>
    <xf numFmtId="167" fontId="20" fillId="11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7" fontId="16" fillId="11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7" fontId="20" fillId="13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20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20" fillId="10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17" fillId="15" borderId="10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20" fillId="14" borderId="10" xfId="0" applyNumberFormat="1" applyFont="1" applyFill="1" applyBorder="1" applyAlignment="1">
      <alignment horizontal="center" vertical="center"/>
    </xf>
    <xf numFmtId="167" fontId="20" fillId="15" borderId="10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7" fontId="17" fillId="16" borderId="10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16" fillId="16" borderId="10" xfId="0" applyNumberFormat="1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170" fontId="24" fillId="0" borderId="27" xfId="0" applyNumberFormat="1" applyFont="1" applyBorder="1" applyAlignment="1">
      <alignment horizontal="center" vertical="center"/>
    </xf>
    <xf numFmtId="171" fontId="24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3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21" fillId="0" borderId="18" xfId="0" applyFont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0" fontId="0" fillId="0" borderId="0" xfId="0"/>
    <xf numFmtId="18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99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1362" totalsRowShown="0">
  <autoFilter ref="A1:H136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669">
  <autoFilter ref="A1:I669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416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9.21875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212" t="s">
        <v>0</v>
      </c>
      <c r="B1" s="209"/>
      <c r="C1" s="209"/>
      <c r="D1" s="209"/>
      <c r="E1" s="209"/>
      <c r="F1" s="1" t="s">
        <v>1</v>
      </c>
      <c r="G1" s="1" t="s">
        <v>2</v>
      </c>
      <c r="H1" s="211">
        <v>45992</v>
      </c>
      <c r="I1" s="209"/>
      <c r="J1" s="209"/>
      <c r="K1" s="209"/>
      <c r="L1" s="209"/>
      <c r="M1" s="1" t="s">
        <v>3</v>
      </c>
      <c r="N1" s="214">
        <v>46011</v>
      </c>
      <c r="O1" s="209"/>
      <c r="P1" s="209"/>
      <c r="Q1" s="209"/>
      <c r="R1" s="20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3" t="s">
        <v>4</v>
      </c>
      <c r="B2" s="209"/>
      <c r="C2" s="209"/>
      <c r="D2" s="209"/>
      <c r="E2" s="209"/>
      <c r="F2" s="209"/>
      <c r="G2" s="208">
        <v>45990.706022442129</v>
      </c>
      <c r="H2" s="209"/>
      <c r="I2" s="209"/>
      <c r="J2" s="209"/>
      <c r="K2" s="210">
        <v>45990.706022442129</v>
      </c>
      <c r="L2" s="209"/>
      <c r="M2" s="209"/>
      <c r="N2" s="209"/>
      <c r="O2" s="209"/>
      <c r="P2" s="209"/>
      <c r="Q2" s="209"/>
      <c r="R2" s="209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216" t="s">
        <v>5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17" t="s">
        <v>6</v>
      </c>
      <c r="B4" s="198"/>
      <c r="C4" s="198"/>
      <c r="D4" s="198"/>
      <c r="E4" s="198"/>
      <c r="F4" s="199"/>
      <c r="G4" s="115">
        <v>45992</v>
      </c>
      <c r="H4" s="215" t="s">
        <v>7</v>
      </c>
      <c r="I4" s="198"/>
      <c r="J4" s="198"/>
      <c r="K4" s="198"/>
      <c r="L4" s="198"/>
      <c r="M4" s="198"/>
      <c r="N4" s="198"/>
      <c r="O4" s="198"/>
      <c r="P4" s="198"/>
      <c r="Q4" s="198"/>
      <c r="R4" s="199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16">
        <v>0.88888888888888884</v>
      </c>
      <c r="D6" s="8" t="s">
        <v>28</v>
      </c>
      <c r="E6" s="8" t="s">
        <v>29</v>
      </c>
      <c r="F6" s="8" t="s">
        <v>30</v>
      </c>
      <c r="G6" s="20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17">
        <v>0.88888888888888884</v>
      </c>
      <c r="D7" s="14" t="s">
        <v>31</v>
      </c>
      <c r="E7" s="14" t="s">
        <v>29</v>
      </c>
      <c r="F7" s="14" t="s">
        <v>32</v>
      </c>
      <c r="G7" s="20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17">
        <v>0.88888888888888884</v>
      </c>
      <c r="D8" s="14" t="s">
        <v>33</v>
      </c>
      <c r="E8" s="14" t="s">
        <v>29</v>
      </c>
      <c r="F8" s="14" t="s">
        <v>34</v>
      </c>
      <c r="G8" s="20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18">
        <v>0.12847222222222221</v>
      </c>
      <c r="D9" s="15" t="s">
        <v>28</v>
      </c>
      <c r="E9" s="15" t="s">
        <v>36</v>
      </c>
      <c r="F9" s="15" t="s">
        <v>37</v>
      </c>
      <c r="G9" s="20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17">
        <v>0.12847222222222221</v>
      </c>
      <c r="D10" s="14" t="s">
        <v>31</v>
      </c>
      <c r="E10" s="14" t="s">
        <v>36</v>
      </c>
      <c r="F10" s="14" t="s">
        <v>38</v>
      </c>
      <c r="G10" s="20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17">
        <v>0.12847222222222221</v>
      </c>
      <c r="D11" s="14" t="s">
        <v>33</v>
      </c>
      <c r="E11" s="14" t="s">
        <v>36</v>
      </c>
      <c r="F11" s="14" t="s">
        <v>34</v>
      </c>
      <c r="G11" s="20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39</v>
      </c>
      <c r="C12" s="118">
        <v>0.30208333333333331</v>
      </c>
      <c r="D12" s="15" t="s">
        <v>28</v>
      </c>
      <c r="E12" s="15" t="s">
        <v>40</v>
      </c>
      <c r="F12" s="15" t="s">
        <v>37</v>
      </c>
      <c r="G12" s="20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39</v>
      </c>
      <c r="C13" s="117">
        <v>0.30208333333333331</v>
      </c>
      <c r="D13" s="14" t="s">
        <v>31</v>
      </c>
      <c r="E13" s="14" t="s">
        <v>40</v>
      </c>
      <c r="F13" s="14" t="s">
        <v>38</v>
      </c>
      <c r="G13" s="20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39</v>
      </c>
      <c r="C14" s="117">
        <v>0.30208333333333331</v>
      </c>
      <c r="D14" s="14" t="s">
        <v>33</v>
      </c>
      <c r="E14" s="14" t="s">
        <v>40</v>
      </c>
      <c r="F14" s="14" t="s">
        <v>34</v>
      </c>
      <c r="G14" s="20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41</v>
      </c>
      <c r="C15" s="118">
        <v>0.78819444444444442</v>
      </c>
      <c r="D15" s="15" t="s">
        <v>28</v>
      </c>
      <c r="E15" s="15" t="s">
        <v>42</v>
      </c>
      <c r="F15" s="15" t="s">
        <v>43</v>
      </c>
      <c r="G15" s="20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41</v>
      </c>
      <c r="C16" s="117">
        <v>0.78819444444444442</v>
      </c>
      <c r="D16" s="14" t="s">
        <v>31</v>
      </c>
      <c r="E16" s="14" t="s">
        <v>42</v>
      </c>
      <c r="F16" s="14" t="s">
        <v>44</v>
      </c>
      <c r="G16" s="20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41</v>
      </c>
      <c r="C17" s="117">
        <v>0.78819444444444442</v>
      </c>
      <c r="D17" s="14" t="s">
        <v>33</v>
      </c>
      <c r="E17" s="14" t="s">
        <v>42</v>
      </c>
      <c r="F17" s="14" t="s">
        <v>34</v>
      </c>
      <c r="G17" s="20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45</v>
      </c>
      <c r="B18" s="16" t="s">
        <v>46</v>
      </c>
      <c r="C18" s="119">
        <v>0.39583333333333331</v>
      </c>
      <c r="D18" s="16" t="s">
        <v>47</v>
      </c>
      <c r="E18" s="16" t="s">
        <v>42</v>
      </c>
      <c r="F18" s="16" t="s">
        <v>48</v>
      </c>
      <c r="G18" s="20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45</v>
      </c>
      <c r="B19" s="14" t="s">
        <v>46</v>
      </c>
      <c r="C19" s="117">
        <v>0.39583333333333331</v>
      </c>
      <c r="D19" s="14" t="s">
        <v>49</v>
      </c>
      <c r="E19" s="14" t="s">
        <v>42</v>
      </c>
      <c r="F19" s="14" t="s">
        <v>50</v>
      </c>
      <c r="G19" s="20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45</v>
      </c>
      <c r="B20" s="14" t="s">
        <v>46</v>
      </c>
      <c r="C20" s="117">
        <v>0.39583333333333331</v>
      </c>
      <c r="D20" s="14" t="s">
        <v>51</v>
      </c>
      <c r="E20" s="14" t="s">
        <v>42</v>
      </c>
      <c r="F20" s="14" t="s">
        <v>52</v>
      </c>
      <c r="G20" s="20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45</v>
      </c>
      <c r="B21" s="15" t="s">
        <v>53</v>
      </c>
      <c r="C21" s="118">
        <v>0.85416666666666663</v>
      </c>
      <c r="D21" s="15" t="s">
        <v>47</v>
      </c>
      <c r="E21" s="15" t="s">
        <v>54</v>
      </c>
      <c r="F21" s="15" t="s">
        <v>55</v>
      </c>
      <c r="G21" s="20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45</v>
      </c>
      <c r="B22" s="14" t="s">
        <v>53</v>
      </c>
      <c r="C22" s="117">
        <v>0.85416666666666663</v>
      </c>
      <c r="D22" s="14" t="s">
        <v>49</v>
      </c>
      <c r="E22" s="14" t="s">
        <v>54</v>
      </c>
      <c r="F22" s="14" t="s">
        <v>32</v>
      </c>
      <c r="G22" s="20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45</v>
      </c>
      <c r="B23" s="14" t="s">
        <v>53</v>
      </c>
      <c r="C23" s="117">
        <v>0.85416666666666663</v>
      </c>
      <c r="D23" s="14" t="s">
        <v>51</v>
      </c>
      <c r="E23" s="14" t="s">
        <v>54</v>
      </c>
      <c r="F23" s="14" t="s">
        <v>56</v>
      </c>
      <c r="G23" s="20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45</v>
      </c>
      <c r="B24" s="15" t="s">
        <v>57</v>
      </c>
      <c r="C24" s="118">
        <v>0.25694444444444442</v>
      </c>
      <c r="D24" s="15" t="s">
        <v>47</v>
      </c>
      <c r="E24" s="15" t="s">
        <v>54</v>
      </c>
      <c r="F24" s="15" t="s">
        <v>55</v>
      </c>
      <c r="G24" s="20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45</v>
      </c>
      <c r="B25" s="14" t="s">
        <v>57</v>
      </c>
      <c r="C25" s="117">
        <v>0.25694444444444442</v>
      </c>
      <c r="D25" s="14" t="s">
        <v>49</v>
      </c>
      <c r="E25" s="14" t="s">
        <v>54</v>
      </c>
      <c r="F25" s="14" t="s">
        <v>32</v>
      </c>
      <c r="G25" s="20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45</v>
      </c>
      <c r="B26" s="14" t="s">
        <v>57</v>
      </c>
      <c r="C26" s="117">
        <v>0.25694444444444442</v>
      </c>
      <c r="D26" s="14" t="s">
        <v>51</v>
      </c>
      <c r="E26" s="14" t="s">
        <v>54</v>
      </c>
      <c r="F26" s="14" t="s">
        <v>56</v>
      </c>
      <c r="G26" s="20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45</v>
      </c>
      <c r="B27" s="15" t="s">
        <v>58</v>
      </c>
      <c r="C27" s="118">
        <v>0.46875</v>
      </c>
      <c r="D27" s="15" t="s">
        <v>47</v>
      </c>
      <c r="E27" s="15" t="s">
        <v>54</v>
      </c>
      <c r="F27" s="15" t="s">
        <v>55</v>
      </c>
      <c r="G27" s="20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45</v>
      </c>
      <c r="B28" s="14" t="s">
        <v>58</v>
      </c>
      <c r="C28" s="117">
        <v>0.46875</v>
      </c>
      <c r="D28" s="14" t="s">
        <v>49</v>
      </c>
      <c r="E28" s="14" t="s">
        <v>54</v>
      </c>
      <c r="F28" s="14" t="s">
        <v>32</v>
      </c>
      <c r="G28" s="20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45</v>
      </c>
      <c r="B29" s="14" t="s">
        <v>58</v>
      </c>
      <c r="C29" s="117">
        <v>0.46875</v>
      </c>
      <c r="D29" s="14" t="s">
        <v>51</v>
      </c>
      <c r="E29" s="14" t="s">
        <v>54</v>
      </c>
      <c r="F29" s="14" t="s">
        <v>56</v>
      </c>
      <c r="G29" s="20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45</v>
      </c>
      <c r="B30" s="15" t="s">
        <v>59</v>
      </c>
      <c r="C30" s="118">
        <v>0.90277777777777779</v>
      </c>
      <c r="D30" s="15" t="s">
        <v>47</v>
      </c>
      <c r="E30" s="15" t="s">
        <v>54</v>
      </c>
      <c r="F30" s="15" t="s">
        <v>55</v>
      </c>
      <c r="G30" s="20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45</v>
      </c>
      <c r="B31" s="14" t="s">
        <v>59</v>
      </c>
      <c r="C31" s="117">
        <v>0.90277777777777779</v>
      </c>
      <c r="D31" s="14" t="s">
        <v>49</v>
      </c>
      <c r="E31" s="14" t="s">
        <v>54</v>
      </c>
      <c r="F31" s="14" t="s">
        <v>32</v>
      </c>
      <c r="G31" s="20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45</v>
      </c>
      <c r="B32" s="14" t="s">
        <v>59</v>
      </c>
      <c r="C32" s="117">
        <v>0.90277777777777779</v>
      </c>
      <c r="D32" s="14" t="s">
        <v>51</v>
      </c>
      <c r="E32" s="14" t="s">
        <v>54</v>
      </c>
      <c r="F32" s="14" t="s">
        <v>56</v>
      </c>
      <c r="G32" s="20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45</v>
      </c>
      <c r="B33" s="15" t="s">
        <v>60</v>
      </c>
      <c r="C33" s="118">
        <v>0.79861111111111116</v>
      </c>
      <c r="D33" s="15" t="s">
        <v>47</v>
      </c>
      <c r="E33" s="15" t="s">
        <v>61</v>
      </c>
      <c r="F33" s="15" t="s">
        <v>55</v>
      </c>
      <c r="G33" s="20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45</v>
      </c>
      <c r="B34" s="14" t="s">
        <v>60</v>
      </c>
      <c r="C34" s="117">
        <v>0.79861111111111116</v>
      </c>
      <c r="D34" s="14" t="s">
        <v>49</v>
      </c>
      <c r="E34" s="14" t="s">
        <v>61</v>
      </c>
      <c r="F34" s="14" t="s">
        <v>32</v>
      </c>
      <c r="G34" s="20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45</v>
      </c>
      <c r="B35" s="14" t="s">
        <v>60</v>
      </c>
      <c r="C35" s="117">
        <v>0.79861111111111116</v>
      </c>
      <c r="D35" s="14" t="s">
        <v>51</v>
      </c>
      <c r="E35" s="14" t="s">
        <v>61</v>
      </c>
      <c r="F35" s="14" t="s">
        <v>56</v>
      </c>
      <c r="G35" s="20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45</v>
      </c>
      <c r="B36" s="15" t="s">
        <v>62</v>
      </c>
      <c r="C36" s="118">
        <v>0.51736111111111116</v>
      </c>
      <c r="D36" s="15" t="s">
        <v>47</v>
      </c>
      <c r="E36" s="15" t="s">
        <v>61</v>
      </c>
      <c r="F36" s="15" t="s">
        <v>63</v>
      </c>
      <c r="G36" s="20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45</v>
      </c>
      <c r="B37" s="14" t="s">
        <v>62</v>
      </c>
      <c r="C37" s="117">
        <v>0.51736111111111116</v>
      </c>
      <c r="D37" s="14" t="s">
        <v>49</v>
      </c>
      <c r="E37" s="14" t="s">
        <v>61</v>
      </c>
      <c r="F37" s="14" t="s">
        <v>64</v>
      </c>
      <c r="G37" s="20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45</v>
      </c>
      <c r="B38" s="14" t="s">
        <v>62</v>
      </c>
      <c r="C38" s="117">
        <v>0.51736111111111116</v>
      </c>
      <c r="D38" s="14" t="s">
        <v>51</v>
      </c>
      <c r="E38" s="14" t="s">
        <v>61</v>
      </c>
      <c r="F38" s="14" t="s">
        <v>65</v>
      </c>
      <c r="G38" s="20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45</v>
      </c>
      <c r="B39" s="15" t="s">
        <v>66</v>
      </c>
      <c r="C39" s="118">
        <v>0.64583333333333337</v>
      </c>
      <c r="D39" s="15" t="s">
        <v>47</v>
      </c>
      <c r="E39" s="15" t="s">
        <v>54</v>
      </c>
      <c r="F39" s="15" t="s">
        <v>67</v>
      </c>
      <c r="G39" s="20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45</v>
      </c>
      <c r="B40" s="14" t="s">
        <v>66</v>
      </c>
      <c r="C40" s="117">
        <v>0.64583333333333337</v>
      </c>
      <c r="D40" s="14" t="s">
        <v>49</v>
      </c>
      <c r="E40" s="14" t="s">
        <v>54</v>
      </c>
      <c r="F40" s="14" t="s">
        <v>68</v>
      </c>
      <c r="G40" s="20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45</v>
      </c>
      <c r="B41" s="14" t="s">
        <v>66</v>
      </c>
      <c r="C41" s="117">
        <v>0.64583333333333337</v>
      </c>
      <c r="D41" s="14" t="s">
        <v>51</v>
      </c>
      <c r="E41" s="14" t="s">
        <v>54</v>
      </c>
      <c r="F41" s="14" t="s">
        <v>69</v>
      </c>
      <c r="G41" s="20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70</v>
      </c>
      <c r="B42" s="16" t="s">
        <v>71</v>
      </c>
      <c r="C42" s="119">
        <v>0.20833333333333329</v>
      </c>
      <c r="D42" s="16" t="s">
        <v>72</v>
      </c>
      <c r="E42" s="16" t="s">
        <v>29</v>
      </c>
      <c r="F42" s="16" t="s">
        <v>73</v>
      </c>
      <c r="G42" s="20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74</v>
      </c>
      <c r="B43" s="16" t="s">
        <v>75</v>
      </c>
      <c r="C43" s="119">
        <v>0.3125</v>
      </c>
      <c r="D43" s="16" t="s">
        <v>72</v>
      </c>
      <c r="E43" s="16" t="s">
        <v>76</v>
      </c>
      <c r="F43" s="16" t="s">
        <v>77</v>
      </c>
      <c r="G43" s="20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74</v>
      </c>
      <c r="B44" s="15" t="s">
        <v>78</v>
      </c>
      <c r="C44" s="118">
        <v>0.66666666666666663</v>
      </c>
      <c r="D44" s="15" t="s">
        <v>72</v>
      </c>
      <c r="E44" s="15" t="s">
        <v>76</v>
      </c>
      <c r="F44" s="15" t="s">
        <v>77</v>
      </c>
      <c r="G44" s="20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79</v>
      </c>
      <c r="B45" s="16" t="s">
        <v>80</v>
      </c>
      <c r="C45" s="119">
        <v>0.1736111111111111</v>
      </c>
      <c r="D45" s="16" t="s">
        <v>81</v>
      </c>
      <c r="E45" s="16" t="s">
        <v>54</v>
      </c>
      <c r="F45" s="16" t="s">
        <v>82</v>
      </c>
      <c r="G45" s="20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79</v>
      </c>
      <c r="B46" s="14" t="s">
        <v>80</v>
      </c>
      <c r="C46" s="117">
        <v>0.1736111111111111</v>
      </c>
      <c r="D46" s="14" t="s">
        <v>33</v>
      </c>
      <c r="E46" s="14" t="s">
        <v>54</v>
      </c>
      <c r="F46" s="14" t="s">
        <v>83</v>
      </c>
      <c r="G46" s="20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79</v>
      </c>
      <c r="B47" s="15" t="s">
        <v>84</v>
      </c>
      <c r="C47" s="118">
        <v>0.3923611111111111</v>
      </c>
      <c r="D47" s="15" t="s">
        <v>81</v>
      </c>
      <c r="E47" s="15" t="s">
        <v>54</v>
      </c>
      <c r="F47" s="15" t="s">
        <v>85</v>
      </c>
      <c r="G47" s="20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79</v>
      </c>
      <c r="B48" s="14" t="s">
        <v>84</v>
      </c>
      <c r="C48" s="117">
        <v>0.3923611111111111</v>
      </c>
      <c r="D48" s="14" t="s">
        <v>33</v>
      </c>
      <c r="E48" s="14" t="s">
        <v>54</v>
      </c>
      <c r="F48" s="14" t="s">
        <v>86</v>
      </c>
      <c r="G48" s="20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87</v>
      </c>
      <c r="B49" s="17" t="s">
        <v>88</v>
      </c>
      <c r="C49" s="120">
        <v>0.97916666666666663</v>
      </c>
      <c r="D49" s="17" t="s">
        <v>89</v>
      </c>
      <c r="E49" s="17" t="s">
        <v>61</v>
      </c>
      <c r="F49" s="17" t="s">
        <v>90</v>
      </c>
      <c r="G49" s="204"/>
      <c r="H49" s="18" t="s">
        <v>91</v>
      </c>
      <c r="I49" s="121">
        <v>0.93300000000000005</v>
      </c>
      <c r="J49" s="19">
        <v>167</v>
      </c>
      <c r="K49" s="20" t="s">
        <v>92</v>
      </c>
      <c r="L49" s="19">
        <v>20</v>
      </c>
      <c r="M49" s="19">
        <v>2</v>
      </c>
      <c r="N49" s="19">
        <v>3</v>
      </c>
      <c r="O49" s="21" t="s">
        <v>93</v>
      </c>
      <c r="P49" s="122">
        <v>0.97916666666666663</v>
      </c>
      <c r="Q49" s="19">
        <v>179</v>
      </c>
      <c r="R49" s="22" t="s">
        <v>94</v>
      </c>
    </row>
    <row r="50" spans="1:18" ht="15" customHeight="1" x14ac:dyDescent="0.3">
      <c r="A50" s="23" t="s">
        <v>87</v>
      </c>
      <c r="B50" s="23" t="s">
        <v>95</v>
      </c>
      <c r="C50" s="123">
        <v>0.61458333333333337</v>
      </c>
      <c r="D50" s="23" t="s">
        <v>89</v>
      </c>
      <c r="E50" s="23" t="s">
        <v>96</v>
      </c>
      <c r="F50" s="23" t="s">
        <v>97</v>
      </c>
      <c r="G50" s="204"/>
      <c r="H50" s="24" t="s">
        <v>98</v>
      </c>
      <c r="I50" s="124">
        <v>0.88829999999999998</v>
      </c>
      <c r="J50" s="25">
        <v>159</v>
      </c>
      <c r="K50" s="26" t="s">
        <v>99</v>
      </c>
      <c r="L50" s="25">
        <v>8</v>
      </c>
      <c r="M50" s="25">
        <v>0</v>
      </c>
      <c r="N50" s="25">
        <v>2</v>
      </c>
      <c r="O50" s="27" t="s">
        <v>100</v>
      </c>
      <c r="P50" s="125">
        <v>0.61458333333333337</v>
      </c>
      <c r="Q50" s="25">
        <v>179</v>
      </c>
      <c r="R50" s="28" t="s">
        <v>101</v>
      </c>
    </row>
    <row r="51" spans="1:18" ht="15" customHeight="1" x14ac:dyDescent="0.3">
      <c r="A51" s="29" t="s">
        <v>87</v>
      </c>
      <c r="B51" s="29" t="s">
        <v>102</v>
      </c>
      <c r="C51" s="126">
        <v>6.9444444444444441E-3</v>
      </c>
      <c r="D51" s="29" t="s">
        <v>89</v>
      </c>
      <c r="E51" s="29" t="s">
        <v>103</v>
      </c>
      <c r="F51" s="29" t="s">
        <v>104</v>
      </c>
      <c r="G51" s="204"/>
      <c r="H51" s="30" t="s">
        <v>105</v>
      </c>
      <c r="I51" s="127">
        <v>0.88270000000000004</v>
      </c>
      <c r="J51" s="31">
        <v>158</v>
      </c>
      <c r="K51" s="32" t="s">
        <v>106</v>
      </c>
      <c r="L51" s="31">
        <v>2</v>
      </c>
      <c r="M51" s="31">
        <v>0</v>
      </c>
      <c r="N51" s="31">
        <v>0</v>
      </c>
      <c r="O51" s="33" t="s">
        <v>107</v>
      </c>
      <c r="P51" s="128">
        <v>6.9444444444444441E-3</v>
      </c>
      <c r="Q51" s="31">
        <v>179</v>
      </c>
      <c r="R51" s="34" t="s">
        <v>108</v>
      </c>
    </row>
    <row r="52" spans="1:18" ht="15" customHeight="1" x14ac:dyDescent="0.3">
      <c r="A52" s="35" t="s">
        <v>87</v>
      </c>
      <c r="B52" s="35" t="s">
        <v>109</v>
      </c>
      <c r="C52" s="129">
        <v>0.4236111111111111</v>
      </c>
      <c r="D52" s="35" t="s">
        <v>89</v>
      </c>
      <c r="E52" s="35" t="s">
        <v>110</v>
      </c>
      <c r="F52" s="35" t="s">
        <v>104</v>
      </c>
      <c r="G52" s="204"/>
      <c r="H52" s="36" t="s">
        <v>111</v>
      </c>
      <c r="I52" s="130">
        <v>0.97209999999999996</v>
      </c>
      <c r="J52" s="37">
        <v>174</v>
      </c>
      <c r="K52" s="38" t="s">
        <v>112</v>
      </c>
      <c r="L52" s="37">
        <v>8</v>
      </c>
      <c r="M52" s="37">
        <v>0</v>
      </c>
      <c r="N52" s="37">
        <v>0</v>
      </c>
      <c r="O52" s="39" t="s">
        <v>113</v>
      </c>
      <c r="P52" s="131">
        <v>0.4236111111111111</v>
      </c>
      <c r="Q52" s="37">
        <v>179</v>
      </c>
      <c r="R52" s="40" t="s">
        <v>114</v>
      </c>
    </row>
    <row r="53" spans="1:18" ht="15" customHeight="1" x14ac:dyDescent="0.3">
      <c r="A53" s="16" t="s">
        <v>115</v>
      </c>
      <c r="B53" s="16" t="s">
        <v>116</v>
      </c>
      <c r="C53" s="119">
        <v>0.22916666666666671</v>
      </c>
      <c r="D53" s="16" t="s">
        <v>117</v>
      </c>
      <c r="E53" s="16" t="s">
        <v>76</v>
      </c>
      <c r="F53" s="16" t="s">
        <v>118</v>
      </c>
      <c r="G53" s="20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115</v>
      </c>
      <c r="B54" s="15" t="s">
        <v>119</v>
      </c>
      <c r="C54" s="118">
        <v>0.14583333333333329</v>
      </c>
      <c r="D54" s="15" t="s">
        <v>117</v>
      </c>
      <c r="E54" s="15" t="s">
        <v>76</v>
      </c>
      <c r="F54" s="15" t="s">
        <v>118</v>
      </c>
      <c r="G54" s="20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115</v>
      </c>
      <c r="B55" s="15" t="s">
        <v>120</v>
      </c>
      <c r="C55" s="118">
        <v>0.27777777777777779</v>
      </c>
      <c r="D55" s="15" t="s">
        <v>117</v>
      </c>
      <c r="E55" s="15" t="s">
        <v>76</v>
      </c>
      <c r="F55" s="15" t="s">
        <v>118</v>
      </c>
      <c r="G55" s="20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115</v>
      </c>
      <c r="B56" s="15" t="s">
        <v>121</v>
      </c>
      <c r="C56" s="118">
        <v>0.4861111111111111</v>
      </c>
      <c r="D56" s="15" t="s">
        <v>117</v>
      </c>
      <c r="E56" s="15" t="s">
        <v>76</v>
      </c>
      <c r="F56" s="15" t="s">
        <v>118</v>
      </c>
      <c r="G56" s="20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115</v>
      </c>
      <c r="B57" s="15" t="s">
        <v>122</v>
      </c>
      <c r="C57" s="118">
        <v>0.51388888888888884</v>
      </c>
      <c r="D57" s="15" t="s">
        <v>117</v>
      </c>
      <c r="E57" s="15" t="s">
        <v>76</v>
      </c>
      <c r="F57" s="15" t="s">
        <v>118</v>
      </c>
      <c r="G57" s="20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115</v>
      </c>
      <c r="B58" s="15" t="s">
        <v>123</v>
      </c>
      <c r="C58" s="118">
        <v>0.95833333333333337</v>
      </c>
      <c r="D58" s="15" t="s">
        <v>124</v>
      </c>
      <c r="E58" s="15" t="s">
        <v>29</v>
      </c>
      <c r="F58" s="15" t="s">
        <v>125</v>
      </c>
      <c r="G58" s="20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115</v>
      </c>
      <c r="B59" s="15" t="s">
        <v>126</v>
      </c>
      <c r="C59" s="118">
        <v>0.77430555555555558</v>
      </c>
      <c r="D59" s="15" t="s">
        <v>124</v>
      </c>
      <c r="E59" s="15" t="s">
        <v>96</v>
      </c>
      <c r="F59" s="15" t="s">
        <v>127</v>
      </c>
      <c r="G59" s="20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115</v>
      </c>
      <c r="B60" s="15" t="s">
        <v>128</v>
      </c>
      <c r="C60" s="118">
        <v>1.388888888888889E-2</v>
      </c>
      <c r="D60" s="15" t="s">
        <v>124</v>
      </c>
      <c r="E60" s="15" t="s">
        <v>29</v>
      </c>
      <c r="F60" s="15" t="s">
        <v>129</v>
      </c>
      <c r="G60" s="20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130</v>
      </c>
      <c r="B61" s="16" t="s">
        <v>131</v>
      </c>
      <c r="C61" s="119">
        <v>0.93055555555555558</v>
      </c>
      <c r="D61" s="16" t="s">
        <v>132</v>
      </c>
      <c r="E61" s="16" t="s">
        <v>76</v>
      </c>
      <c r="F61" s="16" t="s">
        <v>133</v>
      </c>
      <c r="G61" s="20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130</v>
      </c>
      <c r="B62" s="14" t="s">
        <v>131</v>
      </c>
      <c r="C62" s="117">
        <v>0.93055555555555558</v>
      </c>
      <c r="D62" s="14" t="s">
        <v>134</v>
      </c>
      <c r="E62" s="14" t="s">
        <v>76</v>
      </c>
      <c r="F62" s="14" t="s">
        <v>135</v>
      </c>
      <c r="G62" s="20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130</v>
      </c>
      <c r="B63" s="15" t="s">
        <v>136</v>
      </c>
      <c r="C63" s="118">
        <v>0.37847222222222221</v>
      </c>
      <c r="D63" s="15" t="s">
        <v>132</v>
      </c>
      <c r="E63" s="15" t="s">
        <v>76</v>
      </c>
      <c r="F63" s="15" t="s">
        <v>133</v>
      </c>
      <c r="G63" s="20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130</v>
      </c>
      <c r="B64" s="14" t="s">
        <v>136</v>
      </c>
      <c r="C64" s="117">
        <v>0.37847222222222221</v>
      </c>
      <c r="D64" s="14" t="s">
        <v>134</v>
      </c>
      <c r="E64" s="14" t="s">
        <v>76</v>
      </c>
      <c r="F64" s="14" t="s">
        <v>135</v>
      </c>
      <c r="G64" s="20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130</v>
      </c>
      <c r="B65" s="15" t="s">
        <v>137</v>
      </c>
      <c r="C65" s="118">
        <v>0.61111111111111116</v>
      </c>
      <c r="D65" s="15" t="s">
        <v>132</v>
      </c>
      <c r="E65" s="15" t="s">
        <v>76</v>
      </c>
      <c r="F65" s="15" t="s">
        <v>133</v>
      </c>
      <c r="G65" s="20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130</v>
      </c>
      <c r="B66" s="14" t="s">
        <v>137</v>
      </c>
      <c r="C66" s="117">
        <v>0.61111111111111116</v>
      </c>
      <c r="D66" s="14" t="s">
        <v>134</v>
      </c>
      <c r="E66" s="14" t="s">
        <v>76</v>
      </c>
      <c r="F66" s="14" t="s">
        <v>135</v>
      </c>
      <c r="G66" s="20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130</v>
      </c>
      <c r="B67" s="15" t="s">
        <v>138</v>
      </c>
      <c r="C67" s="118">
        <v>0.23958333333333329</v>
      </c>
      <c r="D67" s="15" t="s">
        <v>132</v>
      </c>
      <c r="E67" s="15" t="s">
        <v>76</v>
      </c>
      <c r="F67" s="15" t="s">
        <v>133</v>
      </c>
      <c r="G67" s="20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130</v>
      </c>
      <c r="B68" s="14" t="s">
        <v>138</v>
      </c>
      <c r="C68" s="117">
        <v>0.23958333333333329</v>
      </c>
      <c r="D68" s="14" t="s">
        <v>134</v>
      </c>
      <c r="E68" s="14" t="s">
        <v>76</v>
      </c>
      <c r="F68" s="14" t="s">
        <v>135</v>
      </c>
      <c r="G68" s="20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130</v>
      </c>
      <c r="B69" s="15" t="s">
        <v>139</v>
      </c>
      <c r="C69" s="118">
        <v>0.88888888888888884</v>
      </c>
      <c r="D69" s="15" t="s">
        <v>134</v>
      </c>
      <c r="E69" s="15" t="s">
        <v>110</v>
      </c>
      <c r="F69" s="15" t="s">
        <v>140</v>
      </c>
      <c r="G69" s="20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130</v>
      </c>
      <c r="B70" s="15" t="s">
        <v>141</v>
      </c>
      <c r="C70" s="118">
        <v>0.30208333333333331</v>
      </c>
      <c r="D70" s="15" t="s">
        <v>134</v>
      </c>
      <c r="E70" s="15" t="s">
        <v>110</v>
      </c>
      <c r="F70" s="15" t="s">
        <v>140</v>
      </c>
      <c r="G70" s="20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130</v>
      </c>
      <c r="B71" s="15" t="s">
        <v>142</v>
      </c>
      <c r="C71" s="118">
        <v>0.12847222222222221</v>
      </c>
      <c r="D71" s="15" t="s">
        <v>134</v>
      </c>
      <c r="E71" s="15" t="s">
        <v>110</v>
      </c>
      <c r="F71" s="15" t="s">
        <v>140</v>
      </c>
      <c r="G71" s="20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130</v>
      </c>
      <c r="B72" s="15" t="s">
        <v>143</v>
      </c>
      <c r="C72" s="118">
        <v>6.9444444444444441E-3</v>
      </c>
      <c r="D72" s="15" t="s">
        <v>132</v>
      </c>
      <c r="E72" s="15" t="s">
        <v>36</v>
      </c>
      <c r="F72" s="15" t="s">
        <v>144</v>
      </c>
      <c r="G72" s="20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130</v>
      </c>
      <c r="B73" s="14" t="s">
        <v>143</v>
      </c>
      <c r="C73" s="117">
        <v>6.9444444444444441E-3</v>
      </c>
      <c r="D73" s="14" t="s">
        <v>134</v>
      </c>
      <c r="E73" s="14" t="s">
        <v>36</v>
      </c>
      <c r="F73" s="14" t="s">
        <v>145</v>
      </c>
      <c r="G73" s="20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" t="s">
        <v>130</v>
      </c>
      <c r="B74" s="15" t="s">
        <v>146</v>
      </c>
      <c r="C74" s="118">
        <v>0.1423611111111111</v>
      </c>
      <c r="D74" s="15" t="s">
        <v>132</v>
      </c>
      <c r="E74" s="15" t="s">
        <v>76</v>
      </c>
      <c r="F74" s="15" t="s">
        <v>144</v>
      </c>
      <c r="G74" s="20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130</v>
      </c>
      <c r="B75" s="14" t="s">
        <v>146</v>
      </c>
      <c r="C75" s="117">
        <v>0.1423611111111111</v>
      </c>
      <c r="D75" s="14" t="s">
        <v>134</v>
      </c>
      <c r="E75" s="14" t="s">
        <v>76</v>
      </c>
      <c r="F75" s="14" t="s">
        <v>145</v>
      </c>
      <c r="G75" s="20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" t="s">
        <v>130</v>
      </c>
      <c r="B76" s="15" t="s">
        <v>147</v>
      </c>
      <c r="C76" s="118">
        <v>0.71875</v>
      </c>
      <c r="D76" s="15" t="s">
        <v>132</v>
      </c>
      <c r="E76" s="15" t="s">
        <v>76</v>
      </c>
      <c r="F76" s="15" t="s">
        <v>144</v>
      </c>
      <c r="G76" s="20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130</v>
      </c>
      <c r="B77" s="14" t="s">
        <v>147</v>
      </c>
      <c r="C77" s="117">
        <v>0.71875</v>
      </c>
      <c r="D77" s="14" t="s">
        <v>134</v>
      </c>
      <c r="E77" s="14" t="s">
        <v>76</v>
      </c>
      <c r="F77" s="14" t="s">
        <v>145</v>
      </c>
      <c r="G77" s="20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5" t="s">
        <v>130</v>
      </c>
      <c r="B78" s="15" t="s">
        <v>148</v>
      </c>
      <c r="C78" s="118">
        <v>0.82986111111111116</v>
      </c>
      <c r="D78" s="15" t="s">
        <v>132</v>
      </c>
      <c r="E78" s="15" t="s">
        <v>76</v>
      </c>
      <c r="F78" s="15" t="s">
        <v>144</v>
      </c>
      <c r="G78" s="20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130</v>
      </c>
      <c r="B79" s="14" t="s">
        <v>148</v>
      </c>
      <c r="C79" s="117">
        <v>0.82986111111111116</v>
      </c>
      <c r="D79" s="14" t="s">
        <v>134</v>
      </c>
      <c r="E79" s="14" t="s">
        <v>76</v>
      </c>
      <c r="F79" s="14" t="s">
        <v>145</v>
      </c>
      <c r="G79" s="20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41" t="s">
        <v>130</v>
      </c>
      <c r="B80" s="41" t="s">
        <v>149</v>
      </c>
      <c r="C80" s="132">
        <v>0.78819444444444442</v>
      </c>
      <c r="D80" s="41" t="s">
        <v>134</v>
      </c>
      <c r="E80" s="41" t="s">
        <v>110</v>
      </c>
      <c r="F80" s="41" t="s">
        <v>150</v>
      </c>
      <c r="G80" s="205"/>
      <c r="H80" s="42"/>
      <c r="I80" s="43"/>
      <c r="J80" s="43"/>
      <c r="K80" s="43"/>
      <c r="L80" s="43"/>
      <c r="M80" s="43"/>
      <c r="N80" s="43"/>
      <c r="O80" s="44"/>
      <c r="P80" s="43"/>
      <c r="Q80" s="45"/>
      <c r="R80" s="46"/>
    </row>
    <row r="81" spans="1:18" ht="17.399999999999999" customHeight="1" thickBot="1" x14ac:dyDescent="0.35">
      <c r="A81" s="200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2"/>
    </row>
    <row r="82" spans="1:18" ht="22.05" customHeight="1" thickTop="1" thickBot="1" x14ac:dyDescent="0.35">
      <c r="A82" s="197" t="s">
        <v>6</v>
      </c>
      <c r="B82" s="198"/>
      <c r="C82" s="198"/>
      <c r="D82" s="198"/>
      <c r="E82" s="198"/>
      <c r="F82" s="199"/>
      <c r="G82" s="133">
        <v>45993</v>
      </c>
      <c r="H82" s="207" t="s">
        <v>7</v>
      </c>
      <c r="I82" s="198"/>
      <c r="J82" s="198"/>
      <c r="K82" s="198"/>
      <c r="L82" s="198"/>
      <c r="M82" s="198"/>
      <c r="N82" s="198"/>
      <c r="O82" s="198"/>
      <c r="P82" s="198"/>
      <c r="Q82" s="198"/>
      <c r="R82" s="199"/>
    </row>
    <row r="83" spans="1:18" ht="24" customHeight="1" x14ac:dyDescent="0.3">
      <c r="A83" s="47" t="s">
        <v>8</v>
      </c>
      <c r="B83" s="47" t="s">
        <v>9</v>
      </c>
      <c r="C83" s="134" t="s">
        <v>10</v>
      </c>
      <c r="D83" s="47" t="s">
        <v>11</v>
      </c>
      <c r="E83" s="47" t="s">
        <v>12</v>
      </c>
      <c r="F83" s="48" t="s">
        <v>13</v>
      </c>
      <c r="G83" s="49" t="s">
        <v>14</v>
      </c>
      <c r="H83" s="47" t="s">
        <v>15</v>
      </c>
      <c r="I83" s="135" t="s">
        <v>16</v>
      </c>
      <c r="J83" s="50" t="s">
        <v>17</v>
      </c>
      <c r="K83" s="51" t="s">
        <v>18</v>
      </c>
      <c r="L83" s="50" t="s">
        <v>19</v>
      </c>
      <c r="M83" s="50" t="s">
        <v>20</v>
      </c>
      <c r="N83" s="50" t="s">
        <v>21</v>
      </c>
      <c r="O83" s="47" t="s">
        <v>22</v>
      </c>
      <c r="P83" s="134" t="s">
        <v>23</v>
      </c>
      <c r="Q83" s="50" t="s">
        <v>24</v>
      </c>
      <c r="R83" s="47" t="s">
        <v>25</v>
      </c>
    </row>
    <row r="84" spans="1:18" ht="15" customHeight="1" x14ac:dyDescent="0.3">
      <c r="A84" s="8" t="s">
        <v>74</v>
      </c>
      <c r="B84" s="8" t="s">
        <v>151</v>
      </c>
      <c r="C84" s="116">
        <v>4.5138888888888888E-2</v>
      </c>
      <c r="D84" s="8" t="s">
        <v>72</v>
      </c>
      <c r="E84" s="8" t="s">
        <v>29</v>
      </c>
      <c r="F84" s="8" t="s">
        <v>152</v>
      </c>
      <c r="G84" s="20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5" t="s">
        <v>74</v>
      </c>
      <c r="B85" s="15" t="s">
        <v>78</v>
      </c>
      <c r="C85" s="118">
        <v>0.66666666666666663</v>
      </c>
      <c r="D85" s="15" t="s">
        <v>72</v>
      </c>
      <c r="E85" s="15" t="s">
        <v>76</v>
      </c>
      <c r="F85" s="15" t="s">
        <v>77</v>
      </c>
      <c r="G85" s="20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26</v>
      </c>
      <c r="B86" s="16" t="s">
        <v>35</v>
      </c>
      <c r="C86" s="119">
        <v>0.12847222222222221</v>
      </c>
      <c r="D86" s="16" t="s">
        <v>153</v>
      </c>
      <c r="E86" s="16" t="s">
        <v>96</v>
      </c>
      <c r="F86" s="16" t="s">
        <v>30</v>
      </c>
      <c r="G86" s="20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35</v>
      </c>
      <c r="C87" s="117">
        <v>0.12847222222222221</v>
      </c>
      <c r="D87" s="14" t="s">
        <v>31</v>
      </c>
      <c r="E87" s="14" t="s">
        <v>36</v>
      </c>
      <c r="F87" s="14" t="s">
        <v>32</v>
      </c>
      <c r="G87" s="20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35</v>
      </c>
      <c r="C88" s="117">
        <v>0.12847222222222221</v>
      </c>
      <c r="D88" s="14" t="s">
        <v>33</v>
      </c>
      <c r="E88" s="14" t="s">
        <v>36</v>
      </c>
      <c r="F88" s="14" t="s">
        <v>34</v>
      </c>
      <c r="G88" s="20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5" t="s">
        <v>26</v>
      </c>
      <c r="B89" s="15" t="s">
        <v>27</v>
      </c>
      <c r="C89" s="118">
        <v>0.88888888888888884</v>
      </c>
      <c r="D89" s="15" t="s">
        <v>153</v>
      </c>
      <c r="E89" s="15" t="s">
        <v>42</v>
      </c>
      <c r="F89" s="15" t="s">
        <v>30</v>
      </c>
      <c r="G89" s="20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27</v>
      </c>
      <c r="C90" s="117">
        <v>0.88888888888888884</v>
      </c>
      <c r="D90" s="14" t="s">
        <v>31</v>
      </c>
      <c r="E90" s="14" t="s">
        <v>42</v>
      </c>
      <c r="F90" s="14" t="s">
        <v>32</v>
      </c>
      <c r="G90" s="20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27</v>
      </c>
      <c r="C91" s="117">
        <v>0.88888888888888884</v>
      </c>
      <c r="D91" s="14" t="s">
        <v>33</v>
      </c>
      <c r="E91" s="14" t="s">
        <v>42</v>
      </c>
      <c r="F91" s="14" t="s">
        <v>34</v>
      </c>
      <c r="G91" s="20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5" t="s">
        <v>26</v>
      </c>
      <c r="B92" s="15" t="s">
        <v>39</v>
      </c>
      <c r="C92" s="118">
        <v>0.30208333333333331</v>
      </c>
      <c r="D92" s="15" t="s">
        <v>153</v>
      </c>
      <c r="E92" s="15" t="s">
        <v>29</v>
      </c>
      <c r="F92" s="15" t="s">
        <v>37</v>
      </c>
      <c r="G92" s="20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39</v>
      </c>
      <c r="C93" s="117">
        <v>0.30208333333333331</v>
      </c>
      <c r="D93" s="14" t="s">
        <v>31</v>
      </c>
      <c r="E93" s="14" t="s">
        <v>29</v>
      </c>
      <c r="F93" s="14" t="s">
        <v>38</v>
      </c>
      <c r="G93" s="20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39</v>
      </c>
      <c r="C94" s="117">
        <v>0.30208333333333331</v>
      </c>
      <c r="D94" s="14" t="s">
        <v>33</v>
      </c>
      <c r="E94" s="14" t="s">
        <v>29</v>
      </c>
      <c r="F94" s="14" t="s">
        <v>34</v>
      </c>
      <c r="G94" s="20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5" t="s">
        <v>26</v>
      </c>
      <c r="B95" s="15" t="s">
        <v>41</v>
      </c>
      <c r="C95" s="118">
        <v>0.78819444444444442</v>
      </c>
      <c r="D95" s="15" t="s">
        <v>153</v>
      </c>
      <c r="E95" s="15" t="s">
        <v>29</v>
      </c>
      <c r="F95" s="15" t="s">
        <v>37</v>
      </c>
      <c r="G95" s="20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41</v>
      </c>
      <c r="C96" s="117">
        <v>0.78819444444444442</v>
      </c>
      <c r="D96" s="14" t="s">
        <v>31</v>
      </c>
      <c r="E96" s="14" t="s">
        <v>29</v>
      </c>
      <c r="F96" s="14" t="s">
        <v>38</v>
      </c>
      <c r="G96" s="20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41</v>
      </c>
      <c r="C97" s="117">
        <v>0.78819444444444442</v>
      </c>
      <c r="D97" s="14" t="s">
        <v>33</v>
      </c>
      <c r="E97" s="14" t="s">
        <v>29</v>
      </c>
      <c r="F97" s="14" t="s">
        <v>34</v>
      </c>
      <c r="G97" s="20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45</v>
      </c>
      <c r="B98" s="16" t="s">
        <v>53</v>
      </c>
      <c r="C98" s="119">
        <v>0.85416666666666663</v>
      </c>
      <c r="D98" s="16" t="s">
        <v>154</v>
      </c>
      <c r="E98" s="16" t="s">
        <v>110</v>
      </c>
      <c r="F98" s="16" t="s">
        <v>48</v>
      </c>
      <c r="G98" s="20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45</v>
      </c>
      <c r="B99" s="14" t="s">
        <v>53</v>
      </c>
      <c r="C99" s="117">
        <v>0.85416666666666663</v>
      </c>
      <c r="D99" s="14" t="s">
        <v>49</v>
      </c>
      <c r="E99" s="14" t="s">
        <v>110</v>
      </c>
      <c r="F99" s="14" t="s">
        <v>50</v>
      </c>
      <c r="G99" s="20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45</v>
      </c>
      <c r="B100" s="14" t="s">
        <v>53</v>
      </c>
      <c r="C100" s="117">
        <v>0.85416666666666663</v>
      </c>
      <c r="D100" s="14" t="s">
        <v>51</v>
      </c>
      <c r="E100" s="14" t="s">
        <v>110</v>
      </c>
      <c r="F100" s="14" t="s">
        <v>52</v>
      </c>
      <c r="G100" s="20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5" t="s">
        <v>45</v>
      </c>
      <c r="B101" s="15" t="s">
        <v>57</v>
      </c>
      <c r="C101" s="118">
        <v>0.25694444444444442</v>
      </c>
      <c r="D101" s="15" t="s">
        <v>154</v>
      </c>
      <c r="E101" s="15" t="s">
        <v>42</v>
      </c>
      <c r="F101" s="15" t="s">
        <v>48</v>
      </c>
      <c r="G101" s="20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45</v>
      </c>
      <c r="B102" s="14" t="s">
        <v>57</v>
      </c>
      <c r="C102" s="117">
        <v>0.25694444444444442</v>
      </c>
      <c r="D102" s="14" t="s">
        <v>49</v>
      </c>
      <c r="E102" s="14" t="s">
        <v>42</v>
      </c>
      <c r="F102" s="14" t="s">
        <v>50</v>
      </c>
      <c r="G102" s="20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45</v>
      </c>
      <c r="B103" s="14" t="s">
        <v>57</v>
      </c>
      <c r="C103" s="117">
        <v>0.25694444444444442</v>
      </c>
      <c r="D103" s="14" t="s">
        <v>51</v>
      </c>
      <c r="E103" s="14" t="s">
        <v>42</v>
      </c>
      <c r="F103" s="14" t="s">
        <v>52</v>
      </c>
      <c r="G103" s="20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5" t="s">
        <v>45</v>
      </c>
      <c r="B104" s="15" t="s">
        <v>59</v>
      </c>
      <c r="C104" s="118">
        <v>0.90277777777777779</v>
      </c>
      <c r="D104" s="15" t="s">
        <v>154</v>
      </c>
      <c r="E104" s="15" t="s">
        <v>29</v>
      </c>
      <c r="F104" s="15" t="s">
        <v>48</v>
      </c>
      <c r="G104" s="20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45</v>
      </c>
      <c r="B105" s="14" t="s">
        <v>59</v>
      </c>
      <c r="C105" s="117">
        <v>0.90277777777777779</v>
      </c>
      <c r="D105" s="14" t="s">
        <v>49</v>
      </c>
      <c r="E105" s="14" t="s">
        <v>29</v>
      </c>
      <c r="F105" s="14" t="s">
        <v>50</v>
      </c>
      <c r="G105" s="20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45</v>
      </c>
      <c r="B106" s="14" t="s">
        <v>59</v>
      </c>
      <c r="C106" s="117">
        <v>0.90277777777777779</v>
      </c>
      <c r="D106" s="14" t="s">
        <v>51</v>
      </c>
      <c r="E106" s="14" t="s">
        <v>29</v>
      </c>
      <c r="F106" s="14" t="s">
        <v>52</v>
      </c>
      <c r="G106" s="20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5" t="s">
        <v>45</v>
      </c>
      <c r="B107" s="15" t="s">
        <v>60</v>
      </c>
      <c r="C107" s="118">
        <v>0.79861111111111116</v>
      </c>
      <c r="D107" s="15" t="s">
        <v>154</v>
      </c>
      <c r="E107" s="15" t="s">
        <v>36</v>
      </c>
      <c r="F107" s="15" t="s">
        <v>48</v>
      </c>
      <c r="G107" s="20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45</v>
      </c>
      <c r="B108" s="14" t="s">
        <v>60</v>
      </c>
      <c r="C108" s="117">
        <v>0.79861111111111116</v>
      </c>
      <c r="D108" s="14" t="s">
        <v>49</v>
      </c>
      <c r="E108" s="14" t="s">
        <v>36</v>
      </c>
      <c r="F108" s="14" t="s">
        <v>50</v>
      </c>
      <c r="G108" s="20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45</v>
      </c>
      <c r="B109" s="14" t="s">
        <v>60</v>
      </c>
      <c r="C109" s="117">
        <v>0.79861111111111116</v>
      </c>
      <c r="D109" s="14" t="s">
        <v>51</v>
      </c>
      <c r="E109" s="14" t="s">
        <v>36</v>
      </c>
      <c r="F109" s="14" t="s">
        <v>52</v>
      </c>
      <c r="G109" s="20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5" t="s">
        <v>45</v>
      </c>
      <c r="B110" s="15" t="s">
        <v>46</v>
      </c>
      <c r="C110" s="118">
        <v>0.39583333333333331</v>
      </c>
      <c r="D110" s="15" t="s">
        <v>154</v>
      </c>
      <c r="E110" s="15" t="s">
        <v>54</v>
      </c>
      <c r="F110" s="15" t="s">
        <v>48</v>
      </c>
      <c r="G110" s="20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45</v>
      </c>
      <c r="B111" s="14" t="s">
        <v>46</v>
      </c>
      <c r="C111" s="117">
        <v>0.39583333333333331</v>
      </c>
      <c r="D111" s="14" t="s">
        <v>49</v>
      </c>
      <c r="E111" s="14" t="s">
        <v>54</v>
      </c>
      <c r="F111" s="14" t="s">
        <v>50</v>
      </c>
      <c r="G111" s="20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45</v>
      </c>
      <c r="B112" s="14" t="s">
        <v>46</v>
      </c>
      <c r="C112" s="117">
        <v>0.39583333333333331</v>
      </c>
      <c r="D112" s="14" t="s">
        <v>51</v>
      </c>
      <c r="E112" s="14" t="s">
        <v>54</v>
      </c>
      <c r="F112" s="14" t="s">
        <v>52</v>
      </c>
      <c r="G112" s="20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5" t="s">
        <v>45</v>
      </c>
      <c r="B113" s="15" t="s">
        <v>58</v>
      </c>
      <c r="C113" s="118">
        <v>0.30208333333333331</v>
      </c>
      <c r="D113" s="15" t="s">
        <v>154</v>
      </c>
      <c r="E113" s="15" t="s">
        <v>110</v>
      </c>
      <c r="F113" s="15" t="s">
        <v>55</v>
      </c>
      <c r="G113" s="20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45</v>
      </c>
      <c r="B114" s="14" t="s">
        <v>58</v>
      </c>
      <c r="C114" s="117">
        <v>0.30208333333333331</v>
      </c>
      <c r="D114" s="14" t="s">
        <v>49</v>
      </c>
      <c r="E114" s="14" t="s">
        <v>110</v>
      </c>
      <c r="F114" s="14" t="s">
        <v>32</v>
      </c>
      <c r="G114" s="20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45</v>
      </c>
      <c r="B115" s="14" t="s">
        <v>58</v>
      </c>
      <c r="C115" s="117">
        <v>0.30208333333333331</v>
      </c>
      <c r="D115" s="14" t="s">
        <v>51</v>
      </c>
      <c r="E115" s="14" t="s">
        <v>110</v>
      </c>
      <c r="F115" s="14" t="s">
        <v>56</v>
      </c>
      <c r="G115" s="20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5" t="s">
        <v>45</v>
      </c>
      <c r="B116" s="15" t="s">
        <v>62</v>
      </c>
      <c r="C116" s="118">
        <v>0.51736111111111116</v>
      </c>
      <c r="D116" s="15" t="s">
        <v>154</v>
      </c>
      <c r="E116" s="15" t="s">
        <v>54</v>
      </c>
      <c r="F116" s="15" t="s">
        <v>55</v>
      </c>
      <c r="G116" s="20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45</v>
      </c>
      <c r="B117" s="14" t="s">
        <v>62</v>
      </c>
      <c r="C117" s="117">
        <v>0.51736111111111116</v>
      </c>
      <c r="D117" s="14" t="s">
        <v>49</v>
      </c>
      <c r="E117" s="14" t="s">
        <v>54</v>
      </c>
      <c r="F117" s="14" t="s">
        <v>32</v>
      </c>
      <c r="G117" s="20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45</v>
      </c>
      <c r="B118" s="14" t="s">
        <v>62</v>
      </c>
      <c r="C118" s="117">
        <v>0.51736111111111116</v>
      </c>
      <c r="D118" s="14" t="s">
        <v>51</v>
      </c>
      <c r="E118" s="14" t="s">
        <v>54</v>
      </c>
      <c r="F118" s="14" t="s">
        <v>56</v>
      </c>
      <c r="G118" s="20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5" t="s">
        <v>45</v>
      </c>
      <c r="B119" s="15" t="s">
        <v>66</v>
      </c>
      <c r="C119" s="118">
        <v>0.64583333333333337</v>
      </c>
      <c r="D119" s="15" t="s">
        <v>154</v>
      </c>
      <c r="E119" s="15" t="s">
        <v>54</v>
      </c>
      <c r="F119" s="15" t="s">
        <v>55</v>
      </c>
      <c r="G119" s="20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45</v>
      </c>
      <c r="B120" s="14" t="s">
        <v>66</v>
      </c>
      <c r="C120" s="117">
        <v>0.64583333333333337</v>
      </c>
      <c r="D120" s="14" t="s">
        <v>49</v>
      </c>
      <c r="E120" s="14" t="s">
        <v>54</v>
      </c>
      <c r="F120" s="14" t="s">
        <v>32</v>
      </c>
      <c r="G120" s="20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45</v>
      </c>
      <c r="B121" s="14" t="s">
        <v>66</v>
      </c>
      <c r="C121" s="117">
        <v>0.64583333333333337</v>
      </c>
      <c r="D121" s="14" t="s">
        <v>51</v>
      </c>
      <c r="E121" s="14" t="s">
        <v>54</v>
      </c>
      <c r="F121" s="14" t="s">
        <v>56</v>
      </c>
      <c r="G121" s="20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70</v>
      </c>
      <c r="B122" s="16" t="s">
        <v>71</v>
      </c>
      <c r="C122" s="119">
        <v>0.73958333333333337</v>
      </c>
      <c r="D122" s="16" t="s">
        <v>72</v>
      </c>
      <c r="E122" s="16" t="s">
        <v>110</v>
      </c>
      <c r="F122" s="16" t="s">
        <v>73</v>
      </c>
      <c r="G122" s="20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70</v>
      </c>
      <c r="B123" s="15" t="s">
        <v>155</v>
      </c>
      <c r="C123" s="118">
        <v>0.27430555555555558</v>
      </c>
      <c r="D123" s="15" t="s">
        <v>72</v>
      </c>
      <c r="E123" s="15" t="s">
        <v>76</v>
      </c>
      <c r="F123" s="15" t="s">
        <v>73</v>
      </c>
      <c r="G123" s="20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79</v>
      </c>
      <c r="B124" s="16" t="s">
        <v>80</v>
      </c>
      <c r="C124" s="119">
        <v>0.22222222222222221</v>
      </c>
      <c r="D124" s="16" t="s">
        <v>156</v>
      </c>
      <c r="E124" s="16" t="s">
        <v>54</v>
      </c>
      <c r="F124" s="16" t="s">
        <v>157</v>
      </c>
      <c r="G124" s="20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79</v>
      </c>
      <c r="B125" s="14" t="s">
        <v>80</v>
      </c>
      <c r="C125" s="117">
        <v>0.22222222222222221</v>
      </c>
      <c r="D125" s="14" t="s">
        <v>33</v>
      </c>
      <c r="E125" s="14" t="s">
        <v>54</v>
      </c>
      <c r="F125" s="14" t="s">
        <v>158</v>
      </c>
      <c r="G125" s="20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52" t="s">
        <v>87</v>
      </c>
      <c r="B126" s="52" t="s">
        <v>102</v>
      </c>
      <c r="C126" s="136">
        <v>0.55902777777777779</v>
      </c>
      <c r="D126" s="52" t="s">
        <v>89</v>
      </c>
      <c r="E126" s="52" t="s">
        <v>36</v>
      </c>
      <c r="F126" s="52" t="s">
        <v>159</v>
      </c>
      <c r="G126" s="204"/>
      <c r="H126" s="53" t="s">
        <v>105</v>
      </c>
      <c r="I126" s="137">
        <v>0.71509999999999996</v>
      </c>
      <c r="J126" s="54">
        <v>128</v>
      </c>
      <c r="K126" s="55" t="s">
        <v>92</v>
      </c>
      <c r="L126" s="54">
        <v>16</v>
      </c>
      <c r="M126" s="54">
        <v>1</v>
      </c>
      <c r="N126" s="54">
        <v>1</v>
      </c>
      <c r="O126" s="56" t="s">
        <v>160</v>
      </c>
      <c r="P126" s="138">
        <v>0.55902777777777779</v>
      </c>
      <c r="Q126" s="54">
        <v>179</v>
      </c>
      <c r="R126" s="57" t="s">
        <v>161</v>
      </c>
    </row>
    <row r="127" spans="1:18" ht="15" customHeight="1" x14ac:dyDescent="0.3">
      <c r="A127" s="58" t="s">
        <v>87</v>
      </c>
      <c r="B127" s="58" t="s">
        <v>109</v>
      </c>
      <c r="C127" s="139">
        <v>0.96875</v>
      </c>
      <c r="D127" s="58" t="s">
        <v>89</v>
      </c>
      <c r="E127" s="58" t="s">
        <v>110</v>
      </c>
      <c r="F127" s="58" t="s">
        <v>159</v>
      </c>
      <c r="G127" s="204"/>
      <c r="H127" s="59" t="s">
        <v>111</v>
      </c>
      <c r="I127" s="140">
        <v>0.69269999999999998</v>
      </c>
      <c r="J127" s="60">
        <v>124</v>
      </c>
      <c r="K127" s="61" t="s">
        <v>162</v>
      </c>
      <c r="L127" s="60">
        <v>6</v>
      </c>
      <c r="M127" s="60">
        <v>0</v>
      </c>
      <c r="N127" s="60">
        <v>0</v>
      </c>
      <c r="O127" s="62" t="s">
        <v>163</v>
      </c>
      <c r="P127" s="141">
        <v>0.96875</v>
      </c>
      <c r="Q127" s="60">
        <v>179</v>
      </c>
      <c r="R127" s="63" t="s">
        <v>164</v>
      </c>
    </row>
    <row r="128" spans="1:18" ht="15" customHeight="1" x14ac:dyDescent="0.3">
      <c r="A128" s="23" t="s">
        <v>87</v>
      </c>
      <c r="B128" s="23" t="s">
        <v>165</v>
      </c>
      <c r="C128" s="123">
        <v>0.22916666666666671</v>
      </c>
      <c r="D128" s="23" t="s">
        <v>89</v>
      </c>
      <c r="E128" s="23" t="s">
        <v>76</v>
      </c>
      <c r="F128" s="23" t="s">
        <v>159</v>
      </c>
      <c r="G128" s="204"/>
      <c r="H128" s="24" t="s">
        <v>166</v>
      </c>
      <c r="I128" s="142">
        <v>0.2626</v>
      </c>
      <c r="J128" s="25">
        <v>47</v>
      </c>
      <c r="K128" s="26" t="s">
        <v>92</v>
      </c>
      <c r="L128" s="25">
        <v>18</v>
      </c>
      <c r="M128" s="25">
        <v>2</v>
      </c>
      <c r="N128" s="25">
        <v>0</v>
      </c>
      <c r="O128" s="27" t="s">
        <v>167</v>
      </c>
      <c r="P128" s="125">
        <v>0.22916666666666671</v>
      </c>
      <c r="Q128" s="25">
        <v>179</v>
      </c>
      <c r="R128" s="28" t="s">
        <v>168</v>
      </c>
    </row>
    <row r="129" spans="1:18" ht="15" customHeight="1" x14ac:dyDescent="0.3">
      <c r="A129" s="35" t="s">
        <v>87</v>
      </c>
      <c r="B129" s="35" t="s">
        <v>169</v>
      </c>
      <c r="C129" s="129">
        <v>0.93402777777777779</v>
      </c>
      <c r="D129" s="35" t="s">
        <v>89</v>
      </c>
      <c r="E129" s="35" t="s">
        <v>76</v>
      </c>
      <c r="F129" s="35" t="s">
        <v>159</v>
      </c>
      <c r="G129" s="204"/>
      <c r="H129" s="36" t="s">
        <v>170</v>
      </c>
      <c r="I129" s="143">
        <v>0.39660000000000001</v>
      </c>
      <c r="J129" s="37">
        <v>71</v>
      </c>
      <c r="K129" s="38" t="s">
        <v>162</v>
      </c>
      <c r="L129" s="37">
        <v>5</v>
      </c>
      <c r="M129" s="37">
        <v>0</v>
      </c>
      <c r="N129" s="37">
        <v>0</v>
      </c>
      <c r="O129" s="39" t="s">
        <v>167</v>
      </c>
      <c r="P129" s="131">
        <v>0.93402777777777779</v>
      </c>
      <c r="Q129" s="37">
        <v>179</v>
      </c>
      <c r="R129" s="40" t="s">
        <v>171</v>
      </c>
    </row>
    <row r="130" spans="1:18" ht="15" customHeight="1" x14ac:dyDescent="0.3">
      <c r="A130" s="64" t="s">
        <v>87</v>
      </c>
      <c r="B130" s="64" t="s">
        <v>88</v>
      </c>
      <c r="C130" s="144">
        <v>0.72916666666666663</v>
      </c>
      <c r="D130" s="64" t="s">
        <v>89</v>
      </c>
      <c r="E130" s="64" t="s">
        <v>103</v>
      </c>
      <c r="F130" s="64" t="s">
        <v>159</v>
      </c>
      <c r="G130" s="204"/>
      <c r="H130" s="65" t="s">
        <v>91</v>
      </c>
      <c r="I130" s="145">
        <v>0.69830000000000003</v>
      </c>
      <c r="J130" s="66">
        <v>125</v>
      </c>
      <c r="K130" s="67" t="s">
        <v>92</v>
      </c>
      <c r="L130" s="66">
        <v>8</v>
      </c>
      <c r="M130" s="66">
        <v>2</v>
      </c>
      <c r="N130" s="66">
        <v>1</v>
      </c>
      <c r="O130" s="68" t="s">
        <v>172</v>
      </c>
      <c r="P130" s="146">
        <v>0.72916666666666663</v>
      </c>
      <c r="Q130" s="66">
        <v>179</v>
      </c>
      <c r="R130" s="69" t="s">
        <v>173</v>
      </c>
    </row>
    <row r="131" spans="1:18" ht="15" customHeight="1" x14ac:dyDescent="0.3">
      <c r="A131" s="35" t="s">
        <v>87</v>
      </c>
      <c r="B131" s="35" t="s">
        <v>95</v>
      </c>
      <c r="C131" s="129">
        <v>0.61458333333333337</v>
      </c>
      <c r="D131" s="35" t="s">
        <v>89</v>
      </c>
      <c r="E131" s="35" t="s">
        <v>103</v>
      </c>
      <c r="F131" s="35" t="s">
        <v>90</v>
      </c>
      <c r="G131" s="204"/>
      <c r="H131" s="36" t="s">
        <v>98</v>
      </c>
      <c r="I131" s="147">
        <v>0.67600000000000005</v>
      </c>
      <c r="J131" s="37">
        <v>121</v>
      </c>
      <c r="K131" s="38" t="s">
        <v>162</v>
      </c>
      <c r="L131" s="37">
        <v>6</v>
      </c>
      <c r="M131" s="37">
        <v>0</v>
      </c>
      <c r="N131" s="37">
        <v>0</v>
      </c>
      <c r="O131" s="39" t="s">
        <v>174</v>
      </c>
      <c r="P131" s="131">
        <v>0.61458333333333337</v>
      </c>
      <c r="Q131" s="37">
        <v>179</v>
      </c>
      <c r="R131" s="40" t="s">
        <v>175</v>
      </c>
    </row>
    <row r="132" spans="1:18" ht="15" customHeight="1" x14ac:dyDescent="0.3">
      <c r="A132" s="16" t="s">
        <v>115</v>
      </c>
      <c r="B132" s="16" t="s">
        <v>116</v>
      </c>
      <c r="C132" s="119">
        <v>0.22222222222222221</v>
      </c>
      <c r="D132" s="16" t="s">
        <v>117</v>
      </c>
      <c r="E132" s="16" t="s">
        <v>76</v>
      </c>
      <c r="F132" s="16" t="s">
        <v>118</v>
      </c>
      <c r="G132" s="20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115</v>
      </c>
      <c r="B133" s="15" t="s">
        <v>123</v>
      </c>
      <c r="C133" s="118">
        <v>0.95833333333333337</v>
      </c>
      <c r="D133" s="15" t="s">
        <v>117</v>
      </c>
      <c r="E133" s="15" t="s">
        <v>76</v>
      </c>
      <c r="F133" s="15" t="s">
        <v>118</v>
      </c>
      <c r="G133" s="20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115</v>
      </c>
      <c r="B134" s="15" t="s">
        <v>128</v>
      </c>
      <c r="C134" s="118">
        <v>1.388888888888889E-2</v>
      </c>
      <c r="D134" s="15" t="s">
        <v>117</v>
      </c>
      <c r="E134" s="15" t="s">
        <v>76</v>
      </c>
      <c r="F134" s="15" t="s">
        <v>118</v>
      </c>
      <c r="G134" s="20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115</v>
      </c>
      <c r="B135" s="15" t="s">
        <v>120</v>
      </c>
      <c r="C135" s="118">
        <v>0.27777777777777779</v>
      </c>
      <c r="D135" s="15" t="s">
        <v>117</v>
      </c>
      <c r="E135" s="15" t="s">
        <v>76</v>
      </c>
      <c r="F135" s="15" t="s">
        <v>118</v>
      </c>
      <c r="G135" s="20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115</v>
      </c>
      <c r="B136" s="15" t="s">
        <v>121</v>
      </c>
      <c r="C136" s="118">
        <v>0.4861111111111111</v>
      </c>
      <c r="D136" s="15" t="s">
        <v>117</v>
      </c>
      <c r="E136" s="15" t="s">
        <v>76</v>
      </c>
      <c r="F136" s="15" t="s">
        <v>118</v>
      </c>
      <c r="G136" s="20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115</v>
      </c>
      <c r="B137" s="15" t="s">
        <v>122</v>
      </c>
      <c r="C137" s="118">
        <v>0.54861111111111116</v>
      </c>
      <c r="D137" s="15" t="s">
        <v>117</v>
      </c>
      <c r="E137" s="15" t="s">
        <v>76</v>
      </c>
      <c r="F137" s="15" t="s">
        <v>118</v>
      </c>
      <c r="G137" s="20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115</v>
      </c>
      <c r="B138" s="15" t="s">
        <v>126</v>
      </c>
      <c r="C138" s="118">
        <v>0.77083333333333337</v>
      </c>
      <c r="D138" s="15" t="s">
        <v>124</v>
      </c>
      <c r="E138" s="15" t="s">
        <v>76</v>
      </c>
      <c r="F138" s="15" t="s">
        <v>127</v>
      </c>
      <c r="G138" s="20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130</v>
      </c>
      <c r="B139" s="16" t="s">
        <v>138</v>
      </c>
      <c r="C139" s="119">
        <v>0.23958333333333329</v>
      </c>
      <c r="D139" s="16" t="s">
        <v>117</v>
      </c>
      <c r="E139" s="16" t="s">
        <v>76</v>
      </c>
      <c r="F139" s="16" t="s">
        <v>176</v>
      </c>
      <c r="G139" s="20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130</v>
      </c>
      <c r="B140" s="14" t="s">
        <v>138</v>
      </c>
      <c r="C140" s="117">
        <v>0.23958333333333329</v>
      </c>
      <c r="D140" s="14" t="s">
        <v>132</v>
      </c>
      <c r="E140" s="14" t="s">
        <v>76</v>
      </c>
      <c r="F140" s="14" t="s">
        <v>176</v>
      </c>
      <c r="G140" s="20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130</v>
      </c>
      <c r="B141" s="14" t="s">
        <v>138</v>
      </c>
      <c r="C141" s="117">
        <v>0.23958333333333329</v>
      </c>
      <c r="D141" s="14" t="s">
        <v>134</v>
      </c>
      <c r="E141" s="14" t="s">
        <v>76</v>
      </c>
      <c r="F141" s="14" t="s">
        <v>177</v>
      </c>
      <c r="G141" s="20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5" t="s">
        <v>130</v>
      </c>
      <c r="B142" s="15" t="s">
        <v>143</v>
      </c>
      <c r="C142" s="118">
        <v>6.9444444444444441E-3</v>
      </c>
      <c r="D142" s="15" t="s">
        <v>117</v>
      </c>
      <c r="E142" s="15" t="s">
        <v>76</v>
      </c>
      <c r="F142" s="15" t="s">
        <v>133</v>
      </c>
      <c r="G142" s="20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130</v>
      </c>
      <c r="B143" s="14" t="s">
        <v>143</v>
      </c>
      <c r="C143" s="117">
        <v>6.9444444444444441E-3</v>
      </c>
      <c r="D143" s="14" t="s">
        <v>132</v>
      </c>
      <c r="E143" s="14" t="s">
        <v>76</v>
      </c>
      <c r="F143" s="14" t="s">
        <v>133</v>
      </c>
      <c r="G143" s="20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130</v>
      </c>
      <c r="B144" s="14" t="s">
        <v>143</v>
      </c>
      <c r="C144" s="117">
        <v>6.9444444444444441E-3</v>
      </c>
      <c r="D144" s="14" t="s">
        <v>134</v>
      </c>
      <c r="E144" s="14" t="s">
        <v>76</v>
      </c>
      <c r="F144" s="14" t="s">
        <v>135</v>
      </c>
      <c r="G144" s="20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130</v>
      </c>
      <c r="B145" s="15" t="s">
        <v>146</v>
      </c>
      <c r="C145" s="118">
        <v>0.1423611111111111</v>
      </c>
      <c r="D145" s="15" t="s">
        <v>117</v>
      </c>
      <c r="E145" s="15" t="s">
        <v>76</v>
      </c>
      <c r="F145" s="15" t="s">
        <v>133</v>
      </c>
      <c r="G145" s="20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130</v>
      </c>
      <c r="B146" s="14" t="s">
        <v>146</v>
      </c>
      <c r="C146" s="117">
        <v>0.1423611111111111</v>
      </c>
      <c r="D146" s="14" t="s">
        <v>132</v>
      </c>
      <c r="E146" s="14" t="s">
        <v>76</v>
      </c>
      <c r="F146" s="14" t="s">
        <v>133</v>
      </c>
      <c r="G146" s="20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130</v>
      </c>
      <c r="B147" s="14" t="s">
        <v>146</v>
      </c>
      <c r="C147" s="117">
        <v>0.1423611111111111</v>
      </c>
      <c r="D147" s="14" t="s">
        <v>134</v>
      </c>
      <c r="E147" s="14" t="s">
        <v>76</v>
      </c>
      <c r="F147" s="14" t="s">
        <v>135</v>
      </c>
      <c r="G147" s="20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5" t="s">
        <v>130</v>
      </c>
      <c r="B148" s="15" t="s">
        <v>131</v>
      </c>
      <c r="C148" s="118">
        <v>0.93055555555555558</v>
      </c>
      <c r="D148" s="15" t="s">
        <v>117</v>
      </c>
      <c r="E148" s="15" t="s">
        <v>76</v>
      </c>
      <c r="F148" s="15" t="s">
        <v>133</v>
      </c>
      <c r="G148" s="20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130</v>
      </c>
      <c r="B149" s="14" t="s">
        <v>131</v>
      </c>
      <c r="C149" s="117">
        <v>0.93055555555555558</v>
      </c>
      <c r="D149" s="14" t="s">
        <v>132</v>
      </c>
      <c r="E149" s="14" t="s">
        <v>76</v>
      </c>
      <c r="F149" s="14" t="s">
        <v>133</v>
      </c>
      <c r="G149" s="20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130</v>
      </c>
      <c r="B150" s="14" t="s">
        <v>131</v>
      </c>
      <c r="C150" s="117">
        <v>0.93055555555555558</v>
      </c>
      <c r="D150" s="14" t="s">
        <v>134</v>
      </c>
      <c r="E150" s="14" t="s">
        <v>76</v>
      </c>
      <c r="F150" s="14" t="s">
        <v>135</v>
      </c>
      <c r="G150" s="20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130</v>
      </c>
      <c r="B151" s="15" t="s">
        <v>147</v>
      </c>
      <c r="C151" s="118">
        <v>0.71875</v>
      </c>
      <c r="D151" s="15" t="s">
        <v>117</v>
      </c>
      <c r="E151" s="15" t="s">
        <v>76</v>
      </c>
      <c r="F151" s="15" t="s">
        <v>133</v>
      </c>
      <c r="G151" s="20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130</v>
      </c>
      <c r="B152" s="14" t="s">
        <v>147</v>
      </c>
      <c r="C152" s="117">
        <v>0.71875</v>
      </c>
      <c r="D152" s="14" t="s">
        <v>132</v>
      </c>
      <c r="E152" s="14" t="s">
        <v>76</v>
      </c>
      <c r="F152" s="14" t="s">
        <v>133</v>
      </c>
      <c r="G152" s="20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130</v>
      </c>
      <c r="B153" s="14" t="s">
        <v>147</v>
      </c>
      <c r="C153" s="117">
        <v>0.71875</v>
      </c>
      <c r="D153" s="14" t="s">
        <v>134</v>
      </c>
      <c r="E153" s="14" t="s">
        <v>76</v>
      </c>
      <c r="F153" s="14" t="s">
        <v>135</v>
      </c>
      <c r="G153" s="20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5" t="s">
        <v>130</v>
      </c>
      <c r="B154" s="15" t="s">
        <v>148</v>
      </c>
      <c r="C154" s="118">
        <v>0.82986111111111116</v>
      </c>
      <c r="D154" s="15" t="s">
        <v>117</v>
      </c>
      <c r="E154" s="15" t="s">
        <v>76</v>
      </c>
      <c r="F154" s="15" t="s">
        <v>133</v>
      </c>
      <c r="G154" s="20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130</v>
      </c>
      <c r="B155" s="14" t="s">
        <v>148</v>
      </c>
      <c r="C155" s="117">
        <v>0.82986111111111116</v>
      </c>
      <c r="D155" s="14" t="s">
        <v>132</v>
      </c>
      <c r="E155" s="14" t="s">
        <v>76</v>
      </c>
      <c r="F155" s="14" t="s">
        <v>133</v>
      </c>
      <c r="G155" s="20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130</v>
      </c>
      <c r="B156" s="14" t="s">
        <v>148</v>
      </c>
      <c r="C156" s="117">
        <v>0.82986111111111116</v>
      </c>
      <c r="D156" s="14" t="s">
        <v>134</v>
      </c>
      <c r="E156" s="14" t="s">
        <v>76</v>
      </c>
      <c r="F156" s="14" t="s">
        <v>135</v>
      </c>
      <c r="G156" s="20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130</v>
      </c>
      <c r="B157" s="15" t="s">
        <v>136</v>
      </c>
      <c r="C157" s="118">
        <v>0.37847222222222221</v>
      </c>
      <c r="D157" s="15" t="s">
        <v>117</v>
      </c>
      <c r="E157" s="15" t="s">
        <v>76</v>
      </c>
      <c r="F157" s="15" t="s">
        <v>133</v>
      </c>
      <c r="G157" s="20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130</v>
      </c>
      <c r="B158" s="14" t="s">
        <v>136</v>
      </c>
      <c r="C158" s="117">
        <v>0.37847222222222221</v>
      </c>
      <c r="D158" s="14" t="s">
        <v>132</v>
      </c>
      <c r="E158" s="14" t="s">
        <v>76</v>
      </c>
      <c r="F158" s="14" t="s">
        <v>133</v>
      </c>
      <c r="G158" s="20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130</v>
      </c>
      <c r="B159" s="14" t="s">
        <v>136</v>
      </c>
      <c r="C159" s="117">
        <v>0.37847222222222221</v>
      </c>
      <c r="D159" s="14" t="s">
        <v>134</v>
      </c>
      <c r="E159" s="14" t="s">
        <v>76</v>
      </c>
      <c r="F159" s="14" t="s">
        <v>135</v>
      </c>
      <c r="G159" s="20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5" t="s">
        <v>130</v>
      </c>
      <c r="B160" s="15" t="s">
        <v>137</v>
      </c>
      <c r="C160" s="118">
        <v>0.61111111111111116</v>
      </c>
      <c r="D160" s="15" t="s">
        <v>117</v>
      </c>
      <c r="E160" s="15" t="s">
        <v>76</v>
      </c>
      <c r="F160" s="15" t="s">
        <v>133</v>
      </c>
      <c r="G160" s="20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130</v>
      </c>
      <c r="B161" s="14" t="s">
        <v>137</v>
      </c>
      <c r="C161" s="117">
        <v>0.61111111111111116</v>
      </c>
      <c r="D161" s="14" t="s">
        <v>132</v>
      </c>
      <c r="E161" s="14" t="s">
        <v>76</v>
      </c>
      <c r="F161" s="14" t="s">
        <v>133</v>
      </c>
      <c r="G161" s="20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130</v>
      </c>
      <c r="B162" s="14" t="s">
        <v>137</v>
      </c>
      <c r="C162" s="117">
        <v>0.61111111111111116</v>
      </c>
      <c r="D162" s="14" t="s">
        <v>134</v>
      </c>
      <c r="E162" s="14" t="s">
        <v>76</v>
      </c>
      <c r="F162" s="14" t="s">
        <v>135</v>
      </c>
      <c r="G162" s="20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5" t="s">
        <v>130</v>
      </c>
      <c r="B163" s="15" t="s">
        <v>142</v>
      </c>
      <c r="C163" s="118">
        <v>0.12847222222222221</v>
      </c>
      <c r="D163" s="15" t="s">
        <v>124</v>
      </c>
      <c r="E163" s="15" t="s">
        <v>110</v>
      </c>
      <c r="F163" s="15" t="s">
        <v>178</v>
      </c>
      <c r="G163" s="20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130</v>
      </c>
      <c r="B164" s="14" t="s">
        <v>142</v>
      </c>
      <c r="C164" s="117">
        <v>0.12847222222222221</v>
      </c>
      <c r="D164" s="14" t="s">
        <v>134</v>
      </c>
      <c r="E164" s="14" t="s">
        <v>110</v>
      </c>
      <c r="F164" s="14" t="s">
        <v>178</v>
      </c>
      <c r="G164" s="20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130</v>
      </c>
      <c r="B165" s="15" t="s">
        <v>139</v>
      </c>
      <c r="C165" s="118">
        <v>0.88888888888888884</v>
      </c>
      <c r="D165" s="15" t="s">
        <v>124</v>
      </c>
      <c r="E165" s="15" t="s">
        <v>110</v>
      </c>
      <c r="F165" s="15" t="s">
        <v>140</v>
      </c>
      <c r="G165" s="20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130</v>
      </c>
      <c r="B166" s="14" t="s">
        <v>139</v>
      </c>
      <c r="C166" s="117">
        <v>0.88888888888888884</v>
      </c>
      <c r="D166" s="14" t="s">
        <v>134</v>
      </c>
      <c r="E166" s="14" t="s">
        <v>110</v>
      </c>
      <c r="F166" s="14" t="s">
        <v>140</v>
      </c>
      <c r="G166" s="20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5" t="s">
        <v>130</v>
      </c>
      <c r="B167" s="15" t="s">
        <v>141</v>
      </c>
      <c r="C167" s="118">
        <v>0.30208333333333331</v>
      </c>
      <c r="D167" s="15" t="s">
        <v>124</v>
      </c>
      <c r="E167" s="15" t="s">
        <v>110</v>
      </c>
      <c r="F167" s="15" t="s">
        <v>179</v>
      </c>
      <c r="G167" s="20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130</v>
      </c>
      <c r="B168" s="14" t="s">
        <v>141</v>
      </c>
      <c r="C168" s="117">
        <v>0.30208333333333331</v>
      </c>
      <c r="D168" s="14" t="s">
        <v>134</v>
      </c>
      <c r="E168" s="14" t="s">
        <v>110</v>
      </c>
      <c r="F168" s="14" t="s">
        <v>179</v>
      </c>
      <c r="G168" s="20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5" t="s">
        <v>130</v>
      </c>
      <c r="B169" s="15" t="s">
        <v>149</v>
      </c>
      <c r="C169" s="118">
        <v>0.78819444444444442</v>
      </c>
      <c r="D169" s="15" t="s">
        <v>124</v>
      </c>
      <c r="E169" s="15" t="s">
        <v>110</v>
      </c>
      <c r="F169" s="15" t="s">
        <v>179</v>
      </c>
      <c r="G169" s="20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thickBot="1" x14ac:dyDescent="0.35">
      <c r="A170" s="70" t="s">
        <v>130</v>
      </c>
      <c r="B170" s="70" t="s">
        <v>149</v>
      </c>
      <c r="C170" s="148">
        <v>0.78819444444444442</v>
      </c>
      <c r="D170" s="70" t="s">
        <v>134</v>
      </c>
      <c r="E170" s="70" t="s">
        <v>110</v>
      </c>
      <c r="F170" s="70" t="s">
        <v>179</v>
      </c>
      <c r="G170" s="205"/>
      <c r="H170" s="42"/>
      <c r="I170" s="43"/>
      <c r="J170" s="43"/>
      <c r="K170" s="43"/>
      <c r="L170" s="43"/>
      <c r="M170" s="43"/>
      <c r="N170" s="43"/>
      <c r="O170" s="44"/>
      <c r="P170" s="43"/>
      <c r="Q170" s="45"/>
      <c r="R170" s="46"/>
    </row>
    <row r="171" spans="1:18" ht="17.399999999999999" customHeight="1" thickBot="1" x14ac:dyDescent="0.35">
      <c r="A171" s="200"/>
      <c r="B171" s="201"/>
      <c r="C171" s="201"/>
      <c r="D171" s="201"/>
      <c r="E171" s="201"/>
      <c r="F171" s="201"/>
      <c r="G171" s="201"/>
      <c r="H171" s="201"/>
      <c r="I171" s="201"/>
      <c r="J171" s="201"/>
      <c r="K171" s="201"/>
      <c r="L171" s="201"/>
      <c r="M171" s="201"/>
      <c r="N171" s="201"/>
      <c r="O171" s="201"/>
      <c r="P171" s="201"/>
      <c r="Q171" s="201"/>
      <c r="R171" s="202"/>
    </row>
    <row r="172" spans="1:18" ht="22.05" customHeight="1" thickTop="1" thickBot="1" x14ac:dyDescent="0.35">
      <c r="A172" s="197" t="s">
        <v>6</v>
      </c>
      <c r="B172" s="198"/>
      <c r="C172" s="198"/>
      <c r="D172" s="198"/>
      <c r="E172" s="198"/>
      <c r="F172" s="199"/>
      <c r="G172" s="133">
        <v>45994</v>
      </c>
      <c r="H172" s="207" t="s">
        <v>7</v>
      </c>
      <c r="I172" s="198"/>
      <c r="J172" s="198"/>
      <c r="K172" s="198"/>
      <c r="L172" s="198"/>
      <c r="M172" s="198"/>
      <c r="N172" s="198"/>
      <c r="O172" s="198"/>
      <c r="P172" s="198"/>
      <c r="Q172" s="198"/>
      <c r="R172" s="199"/>
    </row>
    <row r="173" spans="1:18" ht="24" customHeight="1" x14ac:dyDescent="0.3">
      <c r="A173" s="47" t="s">
        <v>8</v>
      </c>
      <c r="B173" s="47" t="s">
        <v>9</v>
      </c>
      <c r="C173" s="134" t="s">
        <v>10</v>
      </c>
      <c r="D173" s="47" t="s">
        <v>11</v>
      </c>
      <c r="E173" s="47" t="s">
        <v>12</v>
      </c>
      <c r="F173" s="48" t="s">
        <v>13</v>
      </c>
      <c r="G173" s="49" t="s">
        <v>14</v>
      </c>
      <c r="H173" s="47" t="s">
        <v>15</v>
      </c>
      <c r="I173" s="135" t="s">
        <v>16</v>
      </c>
      <c r="J173" s="50" t="s">
        <v>17</v>
      </c>
      <c r="K173" s="51" t="s">
        <v>18</v>
      </c>
      <c r="L173" s="50" t="s">
        <v>19</v>
      </c>
      <c r="M173" s="50" t="s">
        <v>20</v>
      </c>
      <c r="N173" s="50" t="s">
        <v>21</v>
      </c>
      <c r="O173" s="47" t="s">
        <v>22</v>
      </c>
      <c r="P173" s="134" t="s">
        <v>23</v>
      </c>
      <c r="Q173" s="50" t="s">
        <v>24</v>
      </c>
      <c r="R173" s="47" t="s">
        <v>25</v>
      </c>
    </row>
    <row r="174" spans="1:18" ht="15" customHeight="1" x14ac:dyDescent="0.3">
      <c r="A174" s="8" t="s">
        <v>26</v>
      </c>
      <c r="B174" s="8" t="s">
        <v>35</v>
      </c>
      <c r="C174" s="116">
        <v>0.12847222222222221</v>
      </c>
      <c r="D174" s="8" t="s">
        <v>28</v>
      </c>
      <c r="E174" s="8" t="s">
        <v>29</v>
      </c>
      <c r="F174" s="8" t="s">
        <v>180</v>
      </c>
      <c r="G174" s="20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35</v>
      </c>
      <c r="C175" s="117">
        <v>0.12847222222222221</v>
      </c>
      <c r="D175" s="14" t="s">
        <v>31</v>
      </c>
      <c r="E175" s="14" t="s">
        <v>29</v>
      </c>
      <c r="F175" s="14" t="s">
        <v>181</v>
      </c>
      <c r="G175" s="20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35</v>
      </c>
      <c r="C176" s="117">
        <v>0.12847222222222221</v>
      </c>
      <c r="D176" s="14" t="s">
        <v>33</v>
      </c>
      <c r="E176" s="14" t="s">
        <v>29</v>
      </c>
      <c r="F176" s="14" t="s">
        <v>34</v>
      </c>
      <c r="G176" s="20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26</v>
      </c>
      <c r="B177" s="15" t="s">
        <v>39</v>
      </c>
      <c r="C177" s="118">
        <v>0.30208333333333331</v>
      </c>
      <c r="D177" s="15" t="s">
        <v>28</v>
      </c>
      <c r="E177" s="15" t="s">
        <v>29</v>
      </c>
      <c r="F177" s="15" t="s">
        <v>30</v>
      </c>
      <c r="G177" s="20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39</v>
      </c>
      <c r="C178" s="117">
        <v>0.30208333333333331</v>
      </c>
      <c r="D178" s="14" t="s">
        <v>31</v>
      </c>
      <c r="E178" s="14" t="s">
        <v>29</v>
      </c>
      <c r="F178" s="14" t="s">
        <v>32</v>
      </c>
      <c r="G178" s="20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39</v>
      </c>
      <c r="C179" s="117">
        <v>0.30208333333333331</v>
      </c>
      <c r="D179" s="14" t="s">
        <v>33</v>
      </c>
      <c r="E179" s="14" t="s">
        <v>29</v>
      </c>
      <c r="F179" s="14" t="s">
        <v>34</v>
      </c>
      <c r="G179" s="20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26</v>
      </c>
      <c r="B180" s="15" t="s">
        <v>27</v>
      </c>
      <c r="C180" s="118">
        <v>0.88888888888888884</v>
      </c>
      <c r="D180" s="15" t="s">
        <v>28</v>
      </c>
      <c r="E180" s="15" t="s">
        <v>29</v>
      </c>
      <c r="F180" s="15" t="s">
        <v>182</v>
      </c>
      <c r="G180" s="20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27</v>
      </c>
      <c r="C181" s="117">
        <v>0.88888888888888884</v>
      </c>
      <c r="D181" s="14" t="s">
        <v>31</v>
      </c>
      <c r="E181" s="14" t="s">
        <v>29</v>
      </c>
      <c r="F181" s="14" t="s">
        <v>67</v>
      </c>
      <c r="G181" s="20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27</v>
      </c>
      <c r="C182" s="117">
        <v>0.88888888888888884</v>
      </c>
      <c r="D182" s="14" t="s">
        <v>33</v>
      </c>
      <c r="E182" s="14" t="s">
        <v>29</v>
      </c>
      <c r="F182" s="14" t="s">
        <v>34</v>
      </c>
      <c r="G182" s="20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26</v>
      </c>
      <c r="B183" s="15" t="s">
        <v>41</v>
      </c>
      <c r="C183" s="118">
        <v>0.78819444444444442</v>
      </c>
      <c r="D183" s="15" t="s">
        <v>28</v>
      </c>
      <c r="E183" s="15" t="s">
        <v>36</v>
      </c>
      <c r="F183" s="15" t="s">
        <v>183</v>
      </c>
      <c r="G183" s="20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41</v>
      </c>
      <c r="C184" s="117">
        <v>0.78819444444444442</v>
      </c>
      <c r="D184" s="14" t="s">
        <v>31</v>
      </c>
      <c r="E184" s="14" t="s">
        <v>36</v>
      </c>
      <c r="F184" s="14" t="s">
        <v>184</v>
      </c>
      <c r="G184" s="20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41</v>
      </c>
      <c r="C185" s="117">
        <v>0.78819444444444442</v>
      </c>
      <c r="D185" s="14" t="s">
        <v>33</v>
      </c>
      <c r="E185" s="14" t="s">
        <v>36</v>
      </c>
      <c r="F185" s="14" t="s">
        <v>34</v>
      </c>
      <c r="G185" s="20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45</v>
      </c>
      <c r="B186" s="16" t="s">
        <v>53</v>
      </c>
      <c r="C186" s="119">
        <v>0.85416666666666663</v>
      </c>
      <c r="D186" s="16" t="s">
        <v>47</v>
      </c>
      <c r="E186" s="16" t="s">
        <v>29</v>
      </c>
      <c r="F186" s="16" t="s">
        <v>48</v>
      </c>
      <c r="G186" s="20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45</v>
      </c>
      <c r="B187" s="14" t="s">
        <v>53</v>
      </c>
      <c r="C187" s="117">
        <v>0.85416666666666663</v>
      </c>
      <c r="D187" s="14" t="s">
        <v>49</v>
      </c>
      <c r="E187" s="14" t="s">
        <v>29</v>
      </c>
      <c r="F187" s="14" t="s">
        <v>50</v>
      </c>
      <c r="G187" s="20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45</v>
      </c>
      <c r="B188" s="14" t="s">
        <v>53</v>
      </c>
      <c r="C188" s="117">
        <v>0.85416666666666663</v>
      </c>
      <c r="D188" s="14" t="s">
        <v>51</v>
      </c>
      <c r="E188" s="14" t="s">
        <v>29</v>
      </c>
      <c r="F188" s="14" t="s">
        <v>52</v>
      </c>
      <c r="G188" s="20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45</v>
      </c>
      <c r="B189" s="15" t="s">
        <v>57</v>
      </c>
      <c r="C189" s="118">
        <v>0.25694444444444442</v>
      </c>
      <c r="D189" s="15" t="s">
        <v>47</v>
      </c>
      <c r="E189" s="15" t="s">
        <v>54</v>
      </c>
      <c r="F189" s="15" t="s">
        <v>48</v>
      </c>
      <c r="G189" s="20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45</v>
      </c>
      <c r="B190" s="14" t="s">
        <v>57</v>
      </c>
      <c r="C190" s="117">
        <v>0.25694444444444442</v>
      </c>
      <c r="D190" s="14" t="s">
        <v>49</v>
      </c>
      <c r="E190" s="14" t="s">
        <v>54</v>
      </c>
      <c r="F190" s="14" t="s">
        <v>50</v>
      </c>
      <c r="G190" s="20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45</v>
      </c>
      <c r="B191" s="14" t="s">
        <v>57</v>
      </c>
      <c r="C191" s="117">
        <v>0.25694444444444442</v>
      </c>
      <c r="D191" s="14" t="s">
        <v>51</v>
      </c>
      <c r="E191" s="14" t="s">
        <v>54</v>
      </c>
      <c r="F191" s="14" t="s">
        <v>52</v>
      </c>
      <c r="G191" s="20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45</v>
      </c>
      <c r="B192" s="15" t="s">
        <v>58</v>
      </c>
      <c r="C192" s="118">
        <v>0.30208333333333331</v>
      </c>
      <c r="D192" s="15" t="s">
        <v>47</v>
      </c>
      <c r="E192" s="15" t="s">
        <v>54</v>
      </c>
      <c r="F192" s="15" t="s">
        <v>48</v>
      </c>
      <c r="G192" s="20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45</v>
      </c>
      <c r="B193" s="14" t="s">
        <v>58</v>
      </c>
      <c r="C193" s="117">
        <v>0.30208333333333331</v>
      </c>
      <c r="D193" s="14" t="s">
        <v>49</v>
      </c>
      <c r="E193" s="14" t="s">
        <v>54</v>
      </c>
      <c r="F193" s="14" t="s">
        <v>50</v>
      </c>
      <c r="G193" s="20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45</v>
      </c>
      <c r="B194" s="14" t="s">
        <v>58</v>
      </c>
      <c r="C194" s="117">
        <v>0.30208333333333331</v>
      </c>
      <c r="D194" s="14" t="s">
        <v>51</v>
      </c>
      <c r="E194" s="14" t="s">
        <v>54</v>
      </c>
      <c r="F194" s="14" t="s">
        <v>52</v>
      </c>
      <c r="G194" s="20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45</v>
      </c>
      <c r="B195" s="15" t="s">
        <v>62</v>
      </c>
      <c r="C195" s="118">
        <v>0.51736111111111116</v>
      </c>
      <c r="D195" s="15" t="s">
        <v>47</v>
      </c>
      <c r="E195" s="15" t="s">
        <v>54</v>
      </c>
      <c r="F195" s="15" t="s">
        <v>55</v>
      </c>
      <c r="G195" s="20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45</v>
      </c>
      <c r="B196" s="14" t="s">
        <v>62</v>
      </c>
      <c r="C196" s="117">
        <v>0.51736111111111116</v>
      </c>
      <c r="D196" s="14" t="s">
        <v>49</v>
      </c>
      <c r="E196" s="14" t="s">
        <v>54</v>
      </c>
      <c r="F196" s="14" t="s">
        <v>32</v>
      </c>
      <c r="G196" s="20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45</v>
      </c>
      <c r="B197" s="14" t="s">
        <v>62</v>
      </c>
      <c r="C197" s="117">
        <v>0.51736111111111116</v>
      </c>
      <c r="D197" s="14" t="s">
        <v>51</v>
      </c>
      <c r="E197" s="14" t="s">
        <v>54</v>
      </c>
      <c r="F197" s="14" t="s">
        <v>56</v>
      </c>
      <c r="G197" s="20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5" t="s">
        <v>45</v>
      </c>
      <c r="B198" s="15" t="s">
        <v>59</v>
      </c>
      <c r="C198" s="118">
        <v>0.90277777777777779</v>
      </c>
      <c r="D198" s="15" t="s">
        <v>47</v>
      </c>
      <c r="E198" s="15" t="s">
        <v>29</v>
      </c>
      <c r="F198" s="15" t="s">
        <v>55</v>
      </c>
      <c r="G198" s="20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45</v>
      </c>
      <c r="B199" s="14" t="s">
        <v>59</v>
      </c>
      <c r="C199" s="117">
        <v>0.90277777777777779</v>
      </c>
      <c r="D199" s="14" t="s">
        <v>49</v>
      </c>
      <c r="E199" s="14" t="s">
        <v>29</v>
      </c>
      <c r="F199" s="14" t="s">
        <v>32</v>
      </c>
      <c r="G199" s="20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45</v>
      </c>
      <c r="B200" s="14" t="s">
        <v>59</v>
      </c>
      <c r="C200" s="117">
        <v>0.90277777777777779</v>
      </c>
      <c r="D200" s="14" t="s">
        <v>51</v>
      </c>
      <c r="E200" s="14" t="s">
        <v>29</v>
      </c>
      <c r="F200" s="14" t="s">
        <v>56</v>
      </c>
      <c r="G200" s="20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5" t="s">
        <v>45</v>
      </c>
      <c r="B201" s="15" t="s">
        <v>60</v>
      </c>
      <c r="C201" s="118">
        <v>0.79861111111111116</v>
      </c>
      <c r="D201" s="15" t="s">
        <v>47</v>
      </c>
      <c r="E201" s="15" t="s">
        <v>110</v>
      </c>
      <c r="F201" s="15" t="s">
        <v>55</v>
      </c>
      <c r="G201" s="20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45</v>
      </c>
      <c r="B202" s="14" t="s">
        <v>60</v>
      </c>
      <c r="C202" s="117">
        <v>0.79861111111111116</v>
      </c>
      <c r="D202" s="14" t="s">
        <v>49</v>
      </c>
      <c r="E202" s="14" t="s">
        <v>110</v>
      </c>
      <c r="F202" s="14" t="s">
        <v>32</v>
      </c>
      <c r="G202" s="20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45</v>
      </c>
      <c r="B203" s="14" t="s">
        <v>60</v>
      </c>
      <c r="C203" s="117">
        <v>0.79861111111111116</v>
      </c>
      <c r="D203" s="14" t="s">
        <v>51</v>
      </c>
      <c r="E203" s="14" t="s">
        <v>110</v>
      </c>
      <c r="F203" s="14" t="s">
        <v>56</v>
      </c>
      <c r="G203" s="20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5" t="s">
        <v>45</v>
      </c>
      <c r="B204" s="15" t="s">
        <v>46</v>
      </c>
      <c r="C204" s="118">
        <v>0.39583333333333331</v>
      </c>
      <c r="D204" s="15" t="s">
        <v>47</v>
      </c>
      <c r="E204" s="15" t="s">
        <v>54</v>
      </c>
      <c r="F204" s="15" t="s">
        <v>55</v>
      </c>
      <c r="G204" s="20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45</v>
      </c>
      <c r="B205" s="14" t="s">
        <v>46</v>
      </c>
      <c r="C205" s="117">
        <v>0.39583333333333331</v>
      </c>
      <c r="D205" s="14" t="s">
        <v>49</v>
      </c>
      <c r="E205" s="14" t="s">
        <v>54</v>
      </c>
      <c r="F205" s="14" t="s">
        <v>32</v>
      </c>
      <c r="G205" s="20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45</v>
      </c>
      <c r="B206" s="14" t="s">
        <v>46</v>
      </c>
      <c r="C206" s="117">
        <v>0.39583333333333331</v>
      </c>
      <c r="D206" s="14" t="s">
        <v>51</v>
      </c>
      <c r="E206" s="14" t="s">
        <v>54</v>
      </c>
      <c r="F206" s="14" t="s">
        <v>56</v>
      </c>
      <c r="G206" s="20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45</v>
      </c>
      <c r="B207" s="15" t="s">
        <v>66</v>
      </c>
      <c r="C207" s="118">
        <v>0.64583333333333337</v>
      </c>
      <c r="D207" s="15" t="s">
        <v>47</v>
      </c>
      <c r="E207" s="15" t="s">
        <v>61</v>
      </c>
      <c r="F207" s="15" t="s">
        <v>55</v>
      </c>
      <c r="G207" s="20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45</v>
      </c>
      <c r="B208" s="14" t="s">
        <v>66</v>
      </c>
      <c r="C208" s="117">
        <v>0.64583333333333337</v>
      </c>
      <c r="D208" s="14" t="s">
        <v>49</v>
      </c>
      <c r="E208" s="14" t="s">
        <v>61</v>
      </c>
      <c r="F208" s="14" t="s">
        <v>32</v>
      </c>
      <c r="G208" s="20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45</v>
      </c>
      <c r="B209" s="14" t="s">
        <v>66</v>
      </c>
      <c r="C209" s="117">
        <v>0.64583333333333337</v>
      </c>
      <c r="D209" s="14" t="s">
        <v>51</v>
      </c>
      <c r="E209" s="14" t="s">
        <v>61</v>
      </c>
      <c r="F209" s="14" t="s">
        <v>56</v>
      </c>
      <c r="G209" s="20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70</v>
      </c>
      <c r="B210" s="16" t="s">
        <v>155</v>
      </c>
      <c r="C210" s="119">
        <v>0.53819444444444442</v>
      </c>
      <c r="D210" s="16" t="s">
        <v>72</v>
      </c>
      <c r="E210" s="16" t="s">
        <v>103</v>
      </c>
      <c r="F210" s="16" t="s">
        <v>73</v>
      </c>
      <c r="G210" s="20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70</v>
      </c>
      <c r="B211" s="15" t="s">
        <v>71</v>
      </c>
      <c r="C211" s="118">
        <v>0.86111111111111116</v>
      </c>
      <c r="D211" s="15" t="s">
        <v>72</v>
      </c>
      <c r="E211" s="15" t="s">
        <v>185</v>
      </c>
      <c r="F211" s="15" t="s">
        <v>186</v>
      </c>
      <c r="G211" s="20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74</v>
      </c>
      <c r="B212" s="16" t="s">
        <v>78</v>
      </c>
      <c r="C212" s="119">
        <v>0.66666666666666663</v>
      </c>
      <c r="D212" s="16" t="s">
        <v>72</v>
      </c>
      <c r="E212" s="16" t="s">
        <v>76</v>
      </c>
      <c r="F212" s="16" t="s">
        <v>77</v>
      </c>
      <c r="G212" s="20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79</v>
      </c>
      <c r="B213" s="16" t="s">
        <v>84</v>
      </c>
      <c r="C213" s="119">
        <v>0.3923611111111111</v>
      </c>
      <c r="D213" s="16" t="s">
        <v>81</v>
      </c>
      <c r="E213" s="16" t="s">
        <v>54</v>
      </c>
      <c r="F213" s="16" t="s">
        <v>55</v>
      </c>
      <c r="G213" s="20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79</v>
      </c>
      <c r="B214" s="14" t="s">
        <v>84</v>
      </c>
      <c r="C214" s="117">
        <v>0.3923611111111111</v>
      </c>
      <c r="D214" s="14" t="s">
        <v>33</v>
      </c>
      <c r="E214" s="14" t="s">
        <v>54</v>
      </c>
      <c r="F214" s="14" t="s">
        <v>187</v>
      </c>
      <c r="G214" s="20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71" t="s">
        <v>87</v>
      </c>
      <c r="B215" s="71" t="s">
        <v>95</v>
      </c>
      <c r="C215" s="149">
        <v>0.61458333333333337</v>
      </c>
      <c r="D215" s="71" t="s">
        <v>89</v>
      </c>
      <c r="E215" s="71" t="s">
        <v>76</v>
      </c>
      <c r="F215" s="71" t="s">
        <v>90</v>
      </c>
      <c r="G215" s="204"/>
      <c r="H215" s="65" t="s">
        <v>98</v>
      </c>
      <c r="I215" s="145">
        <v>0.64800000000000002</v>
      </c>
      <c r="J215" s="66">
        <v>116</v>
      </c>
      <c r="K215" s="67" t="s">
        <v>106</v>
      </c>
      <c r="L215" s="66">
        <v>6</v>
      </c>
      <c r="M215" s="66">
        <v>0</v>
      </c>
      <c r="N215" s="66">
        <v>0</v>
      </c>
      <c r="O215" s="68" t="s">
        <v>188</v>
      </c>
      <c r="P215" s="146">
        <v>0.61458333333333337</v>
      </c>
      <c r="Q215" s="66">
        <v>179</v>
      </c>
      <c r="R215" s="69" t="s">
        <v>189</v>
      </c>
    </row>
    <row r="216" spans="1:18" ht="15" customHeight="1" x14ac:dyDescent="0.3">
      <c r="A216" s="29" t="s">
        <v>87</v>
      </c>
      <c r="B216" s="29" t="s">
        <v>109</v>
      </c>
      <c r="C216" s="126">
        <v>0.51736111111111116</v>
      </c>
      <c r="D216" s="29" t="s">
        <v>89</v>
      </c>
      <c r="E216" s="29" t="s">
        <v>76</v>
      </c>
      <c r="F216" s="29" t="s">
        <v>90</v>
      </c>
      <c r="G216" s="204"/>
      <c r="H216" s="30" t="s">
        <v>111</v>
      </c>
      <c r="I216" s="150">
        <v>0.68159999999999998</v>
      </c>
      <c r="J216" s="31">
        <v>122</v>
      </c>
      <c r="K216" s="32" t="s">
        <v>190</v>
      </c>
      <c r="L216" s="31">
        <v>13</v>
      </c>
      <c r="M216" s="31">
        <v>0</v>
      </c>
      <c r="N216" s="31">
        <v>0</v>
      </c>
      <c r="O216" s="33" t="s">
        <v>188</v>
      </c>
      <c r="P216" s="128">
        <v>0.51736111111111116</v>
      </c>
      <c r="Q216" s="31">
        <v>179</v>
      </c>
      <c r="R216" s="34" t="s">
        <v>191</v>
      </c>
    </row>
    <row r="217" spans="1:18" ht="15" customHeight="1" x14ac:dyDescent="0.3">
      <c r="A217" s="58" t="s">
        <v>87</v>
      </c>
      <c r="B217" s="58" t="s">
        <v>88</v>
      </c>
      <c r="C217" s="139">
        <v>0.52083333333333337</v>
      </c>
      <c r="D217" s="58" t="s">
        <v>89</v>
      </c>
      <c r="E217" s="58" t="s">
        <v>76</v>
      </c>
      <c r="F217" s="58" t="s">
        <v>192</v>
      </c>
      <c r="G217" s="204"/>
      <c r="H217" s="59" t="s">
        <v>91</v>
      </c>
      <c r="I217" s="151">
        <v>0.92179999999999995</v>
      </c>
      <c r="J217" s="60">
        <v>165</v>
      </c>
      <c r="K217" s="61" t="s">
        <v>193</v>
      </c>
      <c r="L217" s="60">
        <v>0</v>
      </c>
      <c r="M217" s="60">
        <v>0</v>
      </c>
      <c r="N217" s="60">
        <v>0</v>
      </c>
      <c r="O217" s="62" t="s">
        <v>194</v>
      </c>
      <c r="P217" s="141">
        <v>0.52083333333333337</v>
      </c>
      <c r="Q217" s="60">
        <v>179</v>
      </c>
      <c r="R217" s="63" t="s">
        <v>195</v>
      </c>
    </row>
    <row r="218" spans="1:18" ht="15" customHeight="1" x14ac:dyDescent="0.3">
      <c r="A218" s="16" t="s">
        <v>115</v>
      </c>
      <c r="B218" s="16" t="s">
        <v>123</v>
      </c>
      <c r="C218" s="119">
        <v>0.95833333333333337</v>
      </c>
      <c r="D218" s="16" t="s">
        <v>117</v>
      </c>
      <c r="E218" s="16" t="s">
        <v>76</v>
      </c>
      <c r="F218" s="16" t="s">
        <v>118</v>
      </c>
      <c r="G218" s="20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115</v>
      </c>
      <c r="B219" s="15" t="s">
        <v>128</v>
      </c>
      <c r="C219" s="118">
        <v>1.388888888888889E-2</v>
      </c>
      <c r="D219" s="15" t="s">
        <v>117</v>
      </c>
      <c r="E219" s="15" t="s">
        <v>76</v>
      </c>
      <c r="F219" s="15" t="s">
        <v>118</v>
      </c>
      <c r="G219" s="20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5" t="s">
        <v>115</v>
      </c>
      <c r="B220" s="15" t="s">
        <v>119</v>
      </c>
      <c r="C220" s="118">
        <v>0.14583333333333329</v>
      </c>
      <c r="D220" s="15" t="s">
        <v>117</v>
      </c>
      <c r="E220" s="15" t="s">
        <v>76</v>
      </c>
      <c r="F220" s="15" t="s">
        <v>118</v>
      </c>
      <c r="G220" s="20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115</v>
      </c>
      <c r="B221" s="15" t="s">
        <v>120</v>
      </c>
      <c r="C221" s="118">
        <v>0.27777777777777779</v>
      </c>
      <c r="D221" s="15" t="s">
        <v>117</v>
      </c>
      <c r="E221" s="15" t="s">
        <v>76</v>
      </c>
      <c r="F221" s="15" t="s">
        <v>118</v>
      </c>
      <c r="G221" s="20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5" t="s">
        <v>115</v>
      </c>
      <c r="B222" s="15" t="s">
        <v>121</v>
      </c>
      <c r="C222" s="118">
        <v>0.4861111111111111</v>
      </c>
      <c r="D222" s="15" t="s">
        <v>117</v>
      </c>
      <c r="E222" s="15" t="s">
        <v>76</v>
      </c>
      <c r="F222" s="15" t="s">
        <v>118</v>
      </c>
      <c r="G222" s="20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115</v>
      </c>
      <c r="B223" s="15" t="s">
        <v>122</v>
      </c>
      <c r="C223" s="118">
        <v>0.51388888888888884</v>
      </c>
      <c r="D223" s="15" t="s">
        <v>117</v>
      </c>
      <c r="E223" s="15" t="s">
        <v>76</v>
      </c>
      <c r="F223" s="15" t="s">
        <v>118</v>
      </c>
      <c r="G223" s="20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5" t="s">
        <v>115</v>
      </c>
      <c r="B224" s="15" t="s">
        <v>126</v>
      </c>
      <c r="C224" s="118">
        <v>0.77083333333333337</v>
      </c>
      <c r="D224" s="15" t="s">
        <v>124</v>
      </c>
      <c r="E224" s="15" t="s">
        <v>76</v>
      </c>
      <c r="F224" s="15" t="s">
        <v>127</v>
      </c>
      <c r="G224" s="20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130</v>
      </c>
      <c r="B225" s="16" t="s">
        <v>143</v>
      </c>
      <c r="C225" s="119">
        <v>6.9444444444444441E-3</v>
      </c>
      <c r="D225" s="16" t="s">
        <v>132</v>
      </c>
      <c r="E225" s="16" t="s">
        <v>76</v>
      </c>
      <c r="F225" s="16" t="s">
        <v>176</v>
      </c>
      <c r="G225" s="20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130</v>
      </c>
      <c r="B226" s="14" t="s">
        <v>143</v>
      </c>
      <c r="C226" s="117">
        <v>6.9444444444444441E-3</v>
      </c>
      <c r="D226" s="14" t="s">
        <v>134</v>
      </c>
      <c r="E226" s="14" t="s">
        <v>76</v>
      </c>
      <c r="F226" s="14" t="s">
        <v>177</v>
      </c>
      <c r="G226" s="20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130</v>
      </c>
      <c r="B227" s="15" t="s">
        <v>146</v>
      </c>
      <c r="C227" s="118">
        <v>0.1423611111111111</v>
      </c>
      <c r="D227" s="15" t="s">
        <v>132</v>
      </c>
      <c r="E227" s="15" t="s">
        <v>76</v>
      </c>
      <c r="F227" s="15" t="s">
        <v>176</v>
      </c>
      <c r="G227" s="20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130</v>
      </c>
      <c r="B228" s="14" t="s">
        <v>146</v>
      </c>
      <c r="C228" s="117">
        <v>0.1423611111111111</v>
      </c>
      <c r="D228" s="14" t="s">
        <v>134</v>
      </c>
      <c r="E228" s="14" t="s">
        <v>76</v>
      </c>
      <c r="F228" s="14" t="s">
        <v>177</v>
      </c>
      <c r="G228" s="20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130</v>
      </c>
      <c r="B229" s="15" t="s">
        <v>136</v>
      </c>
      <c r="C229" s="118">
        <v>0.37847222222222221</v>
      </c>
      <c r="D229" s="15" t="s">
        <v>132</v>
      </c>
      <c r="E229" s="15" t="s">
        <v>76</v>
      </c>
      <c r="F229" s="15" t="s">
        <v>176</v>
      </c>
      <c r="G229" s="20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130</v>
      </c>
      <c r="B230" s="14" t="s">
        <v>136</v>
      </c>
      <c r="C230" s="117">
        <v>0.37847222222222221</v>
      </c>
      <c r="D230" s="14" t="s">
        <v>134</v>
      </c>
      <c r="E230" s="14" t="s">
        <v>76</v>
      </c>
      <c r="F230" s="14" t="s">
        <v>177</v>
      </c>
      <c r="G230" s="20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5" t="s">
        <v>130</v>
      </c>
      <c r="B231" s="15" t="s">
        <v>138</v>
      </c>
      <c r="C231" s="118">
        <v>0.23958333333333329</v>
      </c>
      <c r="D231" s="15" t="s">
        <v>132</v>
      </c>
      <c r="E231" s="15" t="s">
        <v>76</v>
      </c>
      <c r="F231" s="15" t="s">
        <v>176</v>
      </c>
      <c r="G231" s="20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130</v>
      </c>
      <c r="B232" s="14" t="s">
        <v>138</v>
      </c>
      <c r="C232" s="117">
        <v>0.23958333333333329</v>
      </c>
      <c r="D232" s="14" t="s">
        <v>134</v>
      </c>
      <c r="E232" s="14" t="s">
        <v>76</v>
      </c>
      <c r="F232" s="14" t="s">
        <v>177</v>
      </c>
      <c r="G232" s="20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5" t="s">
        <v>130</v>
      </c>
      <c r="B233" s="15" t="s">
        <v>148</v>
      </c>
      <c r="C233" s="118">
        <v>0.82986111111111116</v>
      </c>
      <c r="D233" s="15" t="s">
        <v>132</v>
      </c>
      <c r="E233" s="15" t="s">
        <v>76</v>
      </c>
      <c r="F233" s="15" t="s">
        <v>133</v>
      </c>
      <c r="G233" s="20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130</v>
      </c>
      <c r="B234" s="14" t="s">
        <v>148</v>
      </c>
      <c r="C234" s="117">
        <v>0.82986111111111116</v>
      </c>
      <c r="D234" s="14" t="s">
        <v>134</v>
      </c>
      <c r="E234" s="14" t="s">
        <v>76</v>
      </c>
      <c r="F234" s="14" t="s">
        <v>135</v>
      </c>
      <c r="G234" s="20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5" t="s">
        <v>130</v>
      </c>
      <c r="B235" s="15" t="s">
        <v>137</v>
      </c>
      <c r="C235" s="118">
        <v>0.61111111111111116</v>
      </c>
      <c r="D235" s="15" t="s">
        <v>132</v>
      </c>
      <c r="E235" s="15" t="s">
        <v>76</v>
      </c>
      <c r="F235" s="15" t="s">
        <v>133</v>
      </c>
      <c r="G235" s="20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130</v>
      </c>
      <c r="B236" s="14" t="s">
        <v>137</v>
      </c>
      <c r="C236" s="117">
        <v>0.61111111111111116</v>
      </c>
      <c r="D236" s="14" t="s">
        <v>134</v>
      </c>
      <c r="E236" s="14" t="s">
        <v>76</v>
      </c>
      <c r="F236" s="14" t="s">
        <v>135</v>
      </c>
      <c r="G236" s="20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5" t="s">
        <v>130</v>
      </c>
      <c r="B237" s="15" t="s">
        <v>142</v>
      </c>
      <c r="C237" s="118">
        <v>0.12847222222222221</v>
      </c>
      <c r="D237" s="15" t="s">
        <v>134</v>
      </c>
      <c r="E237" s="15" t="s">
        <v>110</v>
      </c>
      <c r="F237" s="15" t="s">
        <v>178</v>
      </c>
      <c r="G237" s="20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5" t="s">
        <v>130</v>
      </c>
      <c r="B238" s="15" t="s">
        <v>141</v>
      </c>
      <c r="C238" s="118">
        <v>0.30208333333333331</v>
      </c>
      <c r="D238" s="15" t="s">
        <v>134</v>
      </c>
      <c r="E238" s="15" t="s">
        <v>110</v>
      </c>
      <c r="F238" s="15" t="s">
        <v>140</v>
      </c>
      <c r="G238" s="20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130</v>
      </c>
      <c r="B239" s="15" t="s">
        <v>131</v>
      </c>
      <c r="C239" s="118">
        <v>0.93055555555555558</v>
      </c>
      <c r="D239" s="15" t="s">
        <v>132</v>
      </c>
      <c r="E239" s="15" t="s">
        <v>76</v>
      </c>
      <c r="F239" s="15" t="s">
        <v>144</v>
      </c>
      <c r="G239" s="20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130</v>
      </c>
      <c r="B240" s="14" t="s">
        <v>131</v>
      </c>
      <c r="C240" s="117">
        <v>0.93055555555555558</v>
      </c>
      <c r="D240" s="14" t="s">
        <v>134</v>
      </c>
      <c r="E240" s="14" t="s">
        <v>76</v>
      </c>
      <c r="F240" s="14" t="s">
        <v>145</v>
      </c>
      <c r="G240" s="20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5" t="s">
        <v>130</v>
      </c>
      <c r="B241" s="15" t="s">
        <v>147</v>
      </c>
      <c r="C241" s="118">
        <v>0.71875</v>
      </c>
      <c r="D241" s="15" t="s">
        <v>132</v>
      </c>
      <c r="E241" s="15" t="s">
        <v>76</v>
      </c>
      <c r="F241" s="15" t="s">
        <v>144</v>
      </c>
      <c r="G241" s="20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130</v>
      </c>
      <c r="B242" s="14" t="s">
        <v>147</v>
      </c>
      <c r="C242" s="117">
        <v>0.71875</v>
      </c>
      <c r="D242" s="14" t="s">
        <v>134</v>
      </c>
      <c r="E242" s="14" t="s">
        <v>76</v>
      </c>
      <c r="F242" s="14" t="s">
        <v>145</v>
      </c>
      <c r="G242" s="20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5" t="s">
        <v>130</v>
      </c>
      <c r="B243" s="15" t="s">
        <v>139</v>
      </c>
      <c r="C243" s="118">
        <v>0.88888888888888884</v>
      </c>
      <c r="D243" s="15" t="s">
        <v>134</v>
      </c>
      <c r="E243" s="15" t="s">
        <v>110</v>
      </c>
      <c r="F243" s="15" t="s">
        <v>179</v>
      </c>
      <c r="G243" s="20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thickBot="1" x14ac:dyDescent="0.35">
      <c r="A244" s="41" t="s">
        <v>130</v>
      </c>
      <c r="B244" s="41" t="s">
        <v>149</v>
      </c>
      <c r="C244" s="132">
        <v>0.78819444444444442</v>
      </c>
      <c r="D244" s="41" t="s">
        <v>134</v>
      </c>
      <c r="E244" s="41" t="s">
        <v>110</v>
      </c>
      <c r="F244" s="41" t="s">
        <v>150</v>
      </c>
      <c r="G244" s="205"/>
      <c r="H244" s="42"/>
      <c r="I244" s="43"/>
      <c r="J244" s="43"/>
      <c r="K244" s="43"/>
      <c r="L244" s="43"/>
      <c r="M244" s="43"/>
      <c r="N244" s="43"/>
      <c r="O244" s="44"/>
      <c r="P244" s="43"/>
      <c r="Q244" s="45"/>
      <c r="R244" s="46"/>
    </row>
    <row r="245" spans="1:18" ht="17.399999999999999" customHeight="1" thickBot="1" x14ac:dyDescent="0.35">
      <c r="A245" s="200"/>
      <c r="B245" s="201"/>
      <c r="C245" s="201"/>
      <c r="D245" s="201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2"/>
    </row>
    <row r="246" spans="1:18" ht="22.05" customHeight="1" thickTop="1" thickBot="1" x14ac:dyDescent="0.35">
      <c r="A246" s="197" t="s">
        <v>6</v>
      </c>
      <c r="B246" s="198"/>
      <c r="C246" s="198"/>
      <c r="D246" s="198"/>
      <c r="E246" s="198"/>
      <c r="F246" s="199"/>
      <c r="G246" s="133">
        <v>45995</v>
      </c>
      <c r="H246" s="207" t="s">
        <v>7</v>
      </c>
      <c r="I246" s="198"/>
      <c r="J246" s="198"/>
      <c r="K246" s="198"/>
      <c r="L246" s="198"/>
      <c r="M246" s="198"/>
      <c r="N246" s="198"/>
      <c r="O246" s="198"/>
      <c r="P246" s="198"/>
      <c r="Q246" s="198"/>
      <c r="R246" s="199"/>
    </row>
    <row r="247" spans="1:18" ht="24" customHeight="1" x14ac:dyDescent="0.3">
      <c r="A247" s="47" t="s">
        <v>8</v>
      </c>
      <c r="B247" s="47" t="s">
        <v>9</v>
      </c>
      <c r="C247" s="134" t="s">
        <v>10</v>
      </c>
      <c r="D247" s="47" t="s">
        <v>11</v>
      </c>
      <c r="E247" s="47" t="s">
        <v>12</v>
      </c>
      <c r="F247" s="48" t="s">
        <v>13</v>
      </c>
      <c r="G247" s="49" t="s">
        <v>14</v>
      </c>
      <c r="H247" s="47" t="s">
        <v>15</v>
      </c>
      <c r="I247" s="135" t="s">
        <v>16</v>
      </c>
      <c r="J247" s="50" t="s">
        <v>17</v>
      </c>
      <c r="K247" s="51" t="s">
        <v>18</v>
      </c>
      <c r="L247" s="50" t="s">
        <v>19</v>
      </c>
      <c r="M247" s="50" t="s">
        <v>20</v>
      </c>
      <c r="N247" s="50" t="s">
        <v>21</v>
      </c>
      <c r="O247" s="47" t="s">
        <v>22</v>
      </c>
      <c r="P247" s="134" t="s">
        <v>23</v>
      </c>
      <c r="Q247" s="50" t="s">
        <v>24</v>
      </c>
      <c r="R247" s="47" t="s">
        <v>25</v>
      </c>
    </row>
    <row r="248" spans="1:18" ht="15" customHeight="1" x14ac:dyDescent="0.3">
      <c r="A248" s="8" t="s">
        <v>26</v>
      </c>
      <c r="B248" s="8" t="s">
        <v>35</v>
      </c>
      <c r="C248" s="116">
        <v>0.12847222222222221</v>
      </c>
      <c r="D248" s="8" t="s">
        <v>28</v>
      </c>
      <c r="E248" s="8" t="s">
        <v>110</v>
      </c>
      <c r="F248" s="8" t="s">
        <v>30</v>
      </c>
      <c r="G248" s="20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35</v>
      </c>
      <c r="C249" s="117">
        <v>0.12847222222222221</v>
      </c>
      <c r="D249" s="14" t="s">
        <v>31</v>
      </c>
      <c r="E249" s="14" t="s">
        <v>110</v>
      </c>
      <c r="F249" s="14" t="s">
        <v>32</v>
      </c>
      <c r="G249" s="20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35</v>
      </c>
      <c r="C250" s="117">
        <v>0.12847222222222221</v>
      </c>
      <c r="D250" s="14" t="s">
        <v>33</v>
      </c>
      <c r="E250" s="14" t="s">
        <v>110</v>
      </c>
      <c r="F250" s="14" t="s">
        <v>34</v>
      </c>
      <c r="G250" s="20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5" t="s">
        <v>26</v>
      </c>
      <c r="B251" s="15" t="s">
        <v>39</v>
      </c>
      <c r="C251" s="118">
        <v>0.30208333333333331</v>
      </c>
      <c r="D251" s="15" t="s">
        <v>28</v>
      </c>
      <c r="E251" s="15" t="s">
        <v>110</v>
      </c>
      <c r="F251" s="15" t="s">
        <v>30</v>
      </c>
      <c r="G251" s="20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39</v>
      </c>
      <c r="C252" s="117">
        <v>0.30208333333333331</v>
      </c>
      <c r="D252" s="14" t="s">
        <v>31</v>
      </c>
      <c r="E252" s="14" t="s">
        <v>110</v>
      </c>
      <c r="F252" s="14" t="s">
        <v>32</v>
      </c>
      <c r="G252" s="20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39</v>
      </c>
      <c r="C253" s="117">
        <v>0.30208333333333331</v>
      </c>
      <c r="D253" s="14" t="s">
        <v>33</v>
      </c>
      <c r="E253" s="14" t="s">
        <v>110</v>
      </c>
      <c r="F253" s="14" t="s">
        <v>34</v>
      </c>
      <c r="G253" s="20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5" t="s">
        <v>26</v>
      </c>
      <c r="B254" s="15" t="s">
        <v>27</v>
      </c>
      <c r="C254" s="118">
        <v>0.88888888888888884</v>
      </c>
      <c r="D254" s="15" t="s">
        <v>28</v>
      </c>
      <c r="E254" s="15" t="s">
        <v>36</v>
      </c>
      <c r="F254" s="15" t="s">
        <v>37</v>
      </c>
      <c r="G254" s="20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27</v>
      </c>
      <c r="C255" s="117">
        <v>0.88888888888888884</v>
      </c>
      <c r="D255" s="14" t="s">
        <v>31</v>
      </c>
      <c r="E255" s="14" t="s">
        <v>36</v>
      </c>
      <c r="F255" s="14" t="s">
        <v>38</v>
      </c>
      <c r="G255" s="20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27</v>
      </c>
      <c r="C256" s="117">
        <v>0.88888888888888884</v>
      </c>
      <c r="D256" s="14" t="s">
        <v>33</v>
      </c>
      <c r="E256" s="14" t="s">
        <v>36</v>
      </c>
      <c r="F256" s="14" t="s">
        <v>34</v>
      </c>
      <c r="G256" s="20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5" t="s">
        <v>26</v>
      </c>
      <c r="B257" s="15" t="s">
        <v>41</v>
      </c>
      <c r="C257" s="118">
        <v>0.78819444444444442</v>
      </c>
      <c r="D257" s="15" t="s">
        <v>28</v>
      </c>
      <c r="E257" s="15" t="s">
        <v>185</v>
      </c>
      <c r="F257" s="15" t="s">
        <v>43</v>
      </c>
      <c r="G257" s="20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thickBot="1" x14ac:dyDescent="0.35">
      <c r="A258" s="70" t="s">
        <v>26</v>
      </c>
      <c r="B258" s="70" t="s">
        <v>41</v>
      </c>
      <c r="C258" s="148">
        <v>0.78819444444444442</v>
      </c>
      <c r="D258" s="70" t="s">
        <v>31</v>
      </c>
      <c r="E258" s="70" t="s">
        <v>185</v>
      </c>
      <c r="F258" s="70" t="s">
        <v>44</v>
      </c>
      <c r="G258" s="205"/>
      <c r="H258" s="42"/>
      <c r="I258" s="43"/>
      <c r="J258" s="43"/>
      <c r="K258" s="43"/>
      <c r="L258" s="43"/>
      <c r="M258" s="43"/>
      <c r="N258" s="43"/>
      <c r="O258" s="44"/>
      <c r="P258" s="43"/>
      <c r="Q258" s="45"/>
      <c r="R258" s="46"/>
    </row>
    <row r="259" spans="1:18" ht="17.399999999999999" customHeight="1" thickBot="1" x14ac:dyDescent="0.35">
      <c r="A259" s="200"/>
      <c r="B259" s="201"/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2"/>
    </row>
    <row r="260" spans="1:18" ht="22.05" customHeight="1" thickTop="1" thickBot="1" x14ac:dyDescent="0.35">
      <c r="A260" s="197" t="s">
        <v>6</v>
      </c>
      <c r="B260" s="198"/>
      <c r="C260" s="198"/>
      <c r="D260" s="198"/>
      <c r="E260" s="198"/>
      <c r="F260" s="199"/>
      <c r="G260" s="133">
        <v>45996</v>
      </c>
      <c r="H260" s="207" t="s">
        <v>7</v>
      </c>
      <c r="I260" s="198"/>
      <c r="J260" s="198"/>
      <c r="K260" s="198"/>
      <c r="L260" s="198"/>
      <c r="M260" s="198"/>
      <c r="N260" s="198"/>
      <c r="O260" s="198"/>
      <c r="P260" s="198"/>
      <c r="Q260" s="198"/>
      <c r="R260" s="199"/>
    </row>
    <row r="261" spans="1:18" ht="24" customHeight="1" x14ac:dyDescent="0.3">
      <c r="A261" s="47" t="s">
        <v>8</v>
      </c>
      <c r="B261" s="47" t="s">
        <v>9</v>
      </c>
      <c r="C261" s="134" t="s">
        <v>10</v>
      </c>
      <c r="D261" s="47" t="s">
        <v>11</v>
      </c>
      <c r="E261" s="47" t="s">
        <v>12</v>
      </c>
      <c r="F261" s="48" t="s">
        <v>13</v>
      </c>
      <c r="G261" s="49" t="s">
        <v>14</v>
      </c>
      <c r="H261" s="47" t="s">
        <v>15</v>
      </c>
      <c r="I261" s="135" t="s">
        <v>16</v>
      </c>
      <c r="J261" s="50" t="s">
        <v>17</v>
      </c>
      <c r="K261" s="51" t="s">
        <v>18</v>
      </c>
      <c r="L261" s="50" t="s">
        <v>19</v>
      </c>
      <c r="M261" s="50" t="s">
        <v>20</v>
      </c>
      <c r="N261" s="50" t="s">
        <v>21</v>
      </c>
      <c r="O261" s="47" t="s">
        <v>22</v>
      </c>
      <c r="P261" s="134" t="s">
        <v>23</v>
      </c>
      <c r="Q261" s="50" t="s">
        <v>24</v>
      </c>
      <c r="R261" s="47" t="s">
        <v>25</v>
      </c>
    </row>
    <row r="262" spans="1:18" ht="15" customHeight="1" x14ac:dyDescent="0.3">
      <c r="A262" s="8" t="s">
        <v>26</v>
      </c>
      <c r="B262" s="8" t="s">
        <v>35</v>
      </c>
      <c r="C262" s="116">
        <v>0.12847222222222221</v>
      </c>
      <c r="D262" s="8" t="s">
        <v>28</v>
      </c>
      <c r="E262" s="8" t="s">
        <v>29</v>
      </c>
      <c r="F262" s="8" t="s">
        <v>180</v>
      </c>
      <c r="G262" s="20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35</v>
      </c>
      <c r="C263" s="117">
        <v>0.12847222222222221</v>
      </c>
      <c r="D263" s="14" t="s">
        <v>31</v>
      </c>
      <c r="E263" s="14" t="s">
        <v>29</v>
      </c>
      <c r="F263" s="14" t="s">
        <v>181</v>
      </c>
      <c r="G263" s="20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35</v>
      </c>
      <c r="C264" s="117">
        <v>0.12847222222222221</v>
      </c>
      <c r="D264" s="14" t="s">
        <v>33</v>
      </c>
      <c r="E264" s="14" t="s">
        <v>29</v>
      </c>
      <c r="F264" s="14" t="s">
        <v>34</v>
      </c>
      <c r="G264" s="20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5" t="s">
        <v>26</v>
      </c>
      <c r="B265" s="15" t="s">
        <v>39</v>
      </c>
      <c r="C265" s="118">
        <v>0.30208333333333331</v>
      </c>
      <c r="D265" s="15" t="s">
        <v>28</v>
      </c>
      <c r="E265" s="15" t="s">
        <v>42</v>
      </c>
      <c r="F265" s="15" t="s">
        <v>180</v>
      </c>
      <c r="G265" s="20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39</v>
      </c>
      <c r="C266" s="117">
        <v>0.30208333333333331</v>
      </c>
      <c r="D266" s="14" t="s">
        <v>31</v>
      </c>
      <c r="E266" s="14" t="s">
        <v>42</v>
      </c>
      <c r="F266" s="14" t="s">
        <v>181</v>
      </c>
      <c r="G266" s="20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39</v>
      </c>
      <c r="C267" s="117">
        <v>0.30208333333333331</v>
      </c>
      <c r="D267" s="14" t="s">
        <v>33</v>
      </c>
      <c r="E267" s="14" t="s">
        <v>42</v>
      </c>
      <c r="F267" s="14" t="s">
        <v>34</v>
      </c>
      <c r="G267" s="20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5" t="s">
        <v>26</v>
      </c>
      <c r="B268" s="15" t="s">
        <v>27</v>
      </c>
      <c r="C268" s="118">
        <v>0.88888888888888884</v>
      </c>
      <c r="D268" s="15" t="s">
        <v>28</v>
      </c>
      <c r="E268" s="15" t="s">
        <v>29</v>
      </c>
      <c r="F268" s="15" t="s">
        <v>180</v>
      </c>
      <c r="G268" s="20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27</v>
      </c>
      <c r="C269" s="117">
        <v>0.88888888888888884</v>
      </c>
      <c r="D269" s="14" t="s">
        <v>31</v>
      </c>
      <c r="E269" s="14" t="s">
        <v>29</v>
      </c>
      <c r="F269" s="14" t="s">
        <v>181</v>
      </c>
      <c r="G269" s="20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27</v>
      </c>
      <c r="C270" s="117">
        <v>0.88888888888888884</v>
      </c>
      <c r="D270" s="14" t="s">
        <v>33</v>
      </c>
      <c r="E270" s="14" t="s">
        <v>29</v>
      </c>
      <c r="F270" s="14" t="s">
        <v>34</v>
      </c>
      <c r="G270" s="20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26</v>
      </c>
      <c r="B271" s="15" t="s">
        <v>41</v>
      </c>
      <c r="C271" s="118">
        <v>0.78819444444444442</v>
      </c>
      <c r="D271" s="15" t="s">
        <v>28</v>
      </c>
      <c r="E271" s="15" t="s">
        <v>185</v>
      </c>
      <c r="F271" s="15" t="s">
        <v>30</v>
      </c>
      <c r="G271" s="20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41</v>
      </c>
      <c r="C272" s="117">
        <v>0.78819444444444442</v>
      </c>
      <c r="D272" s="14" t="s">
        <v>31</v>
      </c>
      <c r="E272" s="14" t="s">
        <v>185</v>
      </c>
      <c r="F272" s="14" t="s">
        <v>32</v>
      </c>
      <c r="G272" s="20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41</v>
      </c>
      <c r="C273" s="117">
        <v>0.78819444444444442</v>
      </c>
      <c r="D273" s="14" t="s">
        <v>33</v>
      </c>
      <c r="E273" s="14" t="s">
        <v>185</v>
      </c>
      <c r="F273" s="14" t="s">
        <v>34</v>
      </c>
      <c r="G273" s="20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45</v>
      </c>
      <c r="B274" s="16" t="s">
        <v>58</v>
      </c>
      <c r="C274" s="119">
        <v>0.46875</v>
      </c>
      <c r="D274" s="16" t="s">
        <v>47</v>
      </c>
      <c r="E274" s="16" t="s">
        <v>29</v>
      </c>
      <c r="F274" s="16" t="s">
        <v>180</v>
      </c>
      <c r="G274" s="20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45</v>
      </c>
      <c r="B275" s="14" t="s">
        <v>58</v>
      </c>
      <c r="C275" s="117">
        <v>0.46875</v>
      </c>
      <c r="D275" s="14" t="s">
        <v>49</v>
      </c>
      <c r="E275" s="14" t="s">
        <v>29</v>
      </c>
      <c r="F275" s="14" t="s">
        <v>196</v>
      </c>
      <c r="G275" s="20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45</v>
      </c>
      <c r="B276" s="14" t="s">
        <v>58</v>
      </c>
      <c r="C276" s="117">
        <v>0.46875</v>
      </c>
      <c r="D276" s="14" t="s">
        <v>51</v>
      </c>
      <c r="E276" s="14" t="s">
        <v>29</v>
      </c>
      <c r="F276" s="14" t="s">
        <v>197</v>
      </c>
      <c r="G276" s="20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5" t="s">
        <v>45</v>
      </c>
      <c r="B277" s="15" t="s">
        <v>46</v>
      </c>
      <c r="C277" s="118">
        <v>0.39583333333333331</v>
      </c>
      <c r="D277" s="15" t="s">
        <v>47</v>
      </c>
      <c r="E277" s="15" t="s">
        <v>42</v>
      </c>
      <c r="F277" s="15" t="s">
        <v>180</v>
      </c>
      <c r="G277" s="20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45</v>
      </c>
      <c r="B278" s="14" t="s">
        <v>46</v>
      </c>
      <c r="C278" s="117">
        <v>0.39583333333333331</v>
      </c>
      <c r="D278" s="14" t="s">
        <v>49</v>
      </c>
      <c r="E278" s="14" t="s">
        <v>42</v>
      </c>
      <c r="F278" s="14" t="s">
        <v>196</v>
      </c>
      <c r="G278" s="20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45</v>
      </c>
      <c r="B279" s="14" t="s">
        <v>46</v>
      </c>
      <c r="C279" s="117">
        <v>0.39583333333333331</v>
      </c>
      <c r="D279" s="14" t="s">
        <v>51</v>
      </c>
      <c r="E279" s="14" t="s">
        <v>42</v>
      </c>
      <c r="F279" s="14" t="s">
        <v>197</v>
      </c>
      <c r="G279" s="20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5" t="s">
        <v>45</v>
      </c>
      <c r="B280" s="15" t="s">
        <v>53</v>
      </c>
      <c r="C280" s="118">
        <v>0.85416666666666663</v>
      </c>
      <c r="D280" s="15" t="s">
        <v>47</v>
      </c>
      <c r="E280" s="15" t="s">
        <v>42</v>
      </c>
      <c r="F280" s="15" t="s">
        <v>48</v>
      </c>
      <c r="G280" s="20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45</v>
      </c>
      <c r="B281" s="14" t="s">
        <v>53</v>
      </c>
      <c r="C281" s="117">
        <v>0.85416666666666663</v>
      </c>
      <c r="D281" s="14" t="s">
        <v>49</v>
      </c>
      <c r="E281" s="14" t="s">
        <v>42</v>
      </c>
      <c r="F281" s="14" t="s">
        <v>50</v>
      </c>
      <c r="G281" s="20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45</v>
      </c>
      <c r="B282" s="14" t="s">
        <v>53</v>
      </c>
      <c r="C282" s="117">
        <v>0.85416666666666663</v>
      </c>
      <c r="D282" s="14" t="s">
        <v>51</v>
      </c>
      <c r="E282" s="14" t="s">
        <v>42</v>
      </c>
      <c r="F282" s="14" t="s">
        <v>52</v>
      </c>
      <c r="G282" s="20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5" t="s">
        <v>45</v>
      </c>
      <c r="B283" s="15" t="s">
        <v>57</v>
      </c>
      <c r="C283" s="118">
        <v>0.25694444444444442</v>
      </c>
      <c r="D283" s="15" t="s">
        <v>47</v>
      </c>
      <c r="E283" s="15" t="s">
        <v>54</v>
      </c>
      <c r="F283" s="15" t="s">
        <v>48</v>
      </c>
      <c r="G283" s="20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45</v>
      </c>
      <c r="B284" s="14" t="s">
        <v>57</v>
      </c>
      <c r="C284" s="117">
        <v>0.25694444444444442</v>
      </c>
      <c r="D284" s="14" t="s">
        <v>49</v>
      </c>
      <c r="E284" s="14" t="s">
        <v>54</v>
      </c>
      <c r="F284" s="14" t="s">
        <v>50</v>
      </c>
      <c r="G284" s="20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45</v>
      </c>
      <c r="B285" s="14" t="s">
        <v>57</v>
      </c>
      <c r="C285" s="117">
        <v>0.25694444444444442</v>
      </c>
      <c r="D285" s="14" t="s">
        <v>51</v>
      </c>
      <c r="E285" s="14" t="s">
        <v>54</v>
      </c>
      <c r="F285" s="14" t="s">
        <v>52</v>
      </c>
      <c r="G285" s="20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45</v>
      </c>
      <c r="B286" s="15" t="s">
        <v>62</v>
      </c>
      <c r="C286" s="118">
        <v>0.51736111111111116</v>
      </c>
      <c r="D286" s="15" t="s">
        <v>47</v>
      </c>
      <c r="E286" s="15" t="s">
        <v>54</v>
      </c>
      <c r="F286" s="15" t="s">
        <v>48</v>
      </c>
      <c r="G286" s="20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45</v>
      </c>
      <c r="B287" s="14" t="s">
        <v>62</v>
      </c>
      <c r="C287" s="117">
        <v>0.51736111111111116</v>
      </c>
      <c r="D287" s="14" t="s">
        <v>49</v>
      </c>
      <c r="E287" s="14" t="s">
        <v>54</v>
      </c>
      <c r="F287" s="14" t="s">
        <v>50</v>
      </c>
      <c r="G287" s="20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45</v>
      </c>
      <c r="B288" s="14" t="s">
        <v>62</v>
      </c>
      <c r="C288" s="117">
        <v>0.51736111111111116</v>
      </c>
      <c r="D288" s="14" t="s">
        <v>51</v>
      </c>
      <c r="E288" s="14" t="s">
        <v>54</v>
      </c>
      <c r="F288" s="14" t="s">
        <v>52</v>
      </c>
      <c r="G288" s="20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5" t="s">
        <v>45</v>
      </c>
      <c r="B289" s="15" t="s">
        <v>60</v>
      </c>
      <c r="C289" s="118">
        <v>0.79861111111111116</v>
      </c>
      <c r="D289" s="15" t="s">
        <v>47</v>
      </c>
      <c r="E289" s="15" t="s">
        <v>42</v>
      </c>
      <c r="F289" s="15" t="s">
        <v>48</v>
      </c>
      <c r="G289" s="20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45</v>
      </c>
      <c r="B290" s="14" t="s">
        <v>60</v>
      </c>
      <c r="C290" s="117">
        <v>0.79861111111111116</v>
      </c>
      <c r="D290" s="14" t="s">
        <v>49</v>
      </c>
      <c r="E290" s="14" t="s">
        <v>42</v>
      </c>
      <c r="F290" s="14" t="s">
        <v>50</v>
      </c>
      <c r="G290" s="20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45</v>
      </c>
      <c r="B291" s="14" t="s">
        <v>60</v>
      </c>
      <c r="C291" s="117">
        <v>0.79861111111111116</v>
      </c>
      <c r="D291" s="14" t="s">
        <v>51</v>
      </c>
      <c r="E291" s="14" t="s">
        <v>42</v>
      </c>
      <c r="F291" s="14" t="s">
        <v>52</v>
      </c>
      <c r="G291" s="20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5" t="s">
        <v>45</v>
      </c>
      <c r="B292" s="15" t="s">
        <v>66</v>
      </c>
      <c r="C292" s="118">
        <v>0.64583333333333337</v>
      </c>
      <c r="D292" s="15" t="s">
        <v>47</v>
      </c>
      <c r="E292" s="15" t="s">
        <v>96</v>
      </c>
      <c r="F292" s="15" t="s">
        <v>48</v>
      </c>
      <c r="G292" s="20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45</v>
      </c>
      <c r="B293" s="14" t="s">
        <v>66</v>
      </c>
      <c r="C293" s="117">
        <v>0.64583333333333337</v>
      </c>
      <c r="D293" s="14" t="s">
        <v>49</v>
      </c>
      <c r="E293" s="14" t="s">
        <v>96</v>
      </c>
      <c r="F293" s="14" t="s">
        <v>50</v>
      </c>
      <c r="G293" s="20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45</v>
      </c>
      <c r="B294" s="14" t="s">
        <v>66</v>
      </c>
      <c r="C294" s="117">
        <v>0.64583333333333337</v>
      </c>
      <c r="D294" s="14" t="s">
        <v>51</v>
      </c>
      <c r="E294" s="14" t="s">
        <v>96</v>
      </c>
      <c r="F294" s="14" t="s">
        <v>52</v>
      </c>
      <c r="G294" s="20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5" t="s">
        <v>45</v>
      </c>
      <c r="B295" s="15" t="s">
        <v>59</v>
      </c>
      <c r="C295" s="118">
        <v>0.90277777777777779</v>
      </c>
      <c r="D295" s="15" t="s">
        <v>47</v>
      </c>
      <c r="E295" s="15" t="s">
        <v>54</v>
      </c>
      <c r="F295" s="15" t="s">
        <v>63</v>
      </c>
      <c r="G295" s="20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45</v>
      </c>
      <c r="B296" s="14" t="s">
        <v>59</v>
      </c>
      <c r="C296" s="117">
        <v>0.90277777777777779</v>
      </c>
      <c r="D296" s="14" t="s">
        <v>49</v>
      </c>
      <c r="E296" s="14" t="s">
        <v>54</v>
      </c>
      <c r="F296" s="14" t="s">
        <v>64</v>
      </c>
      <c r="G296" s="20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45</v>
      </c>
      <c r="B297" s="14" t="s">
        <v>59</v>
      </c>
      <c r="C297" s="117">
        <v>0.90277777777777779</v>
      </c>
      <c r="D297" s="14" t="s">
        <v>51</v>
      </c>
      <c r="E297" s="14" t="s">
        <v>54</v>
      </c>
      <c r="F297" s="14" t="s">
        <v>65</v>
      </c>
      <c r="G297" s="20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79</v>
      </c>
      <c r="B298" s="16" t="s">
        <v>84</v>
      </c>
      <c r="C298" s="119">
        <v>0.3923611111111111</v>
      </c>
      <c r="D298" s="16" t="s">
        <v>81</v>
      </c>
      <c r="E298" s="16" t="s">
        <v>54</v>
      </c>
      <c r="F298" s="16" t="s">
        <v>198</v>
      </c>
      <c r="G298" s="20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79</v>
      </c>
      <c r="B299" s="14" t="s">
        <v>84</v>
      </c>
      <c r="C299" s="117">
        <v>0.3923611111111111</v>
      </c>
      <c r="D299" s="14" t="s">
        <v>33</v>
      </c>
      <c r="E299" s="14" t="s">
        <v>54</v>
      </c>
      <c r="F299" s="14" t="s">
        <v>181</v>
      </c>
      <c r="G299" s="20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5" t="s">
        <v>79</v>
      </c>
      <c r="B300" s="15" t="s">
        <v>199</v>
      </c>
      <c r="C300" s="118">
        <v>0.97569444444444442</v>
      </c>
      <c r="D300" s="15" t="s">
        <v>81</v>
      </c>
      <c r="E300" s="15" t="s">
        <v>54</v>
      </c>
      <c r="F300" s="15" t="s">
        <v>198</v>
      </c>
      <c r="G300" s="20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79</v>
      </c>
      <c r="B301" s="14" t="s">
        <v>199</v>
      </c>
      <c r="C301" s="117">
        <v>0.97569444444444442</v>
      </c>
      <c r="D301" s="14" t="s">
        <v>33</v>
      </c>
      <c r="E301" s="14" t="s">
        <v>54</v>
      </c>
      <c r="F301" s="14" t="s">
        <v>181</v>
      </c>
      <c r="G301" s="20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79</v>
      </c>
      <c r="B302" s="15" t="s">
        <v>200</v>
      </c>
      <c r="C302" s="118">
        <v>0.67708333333333337</v>
      </c>
      <c r="D302" s="15" t="s">
        <v>81</v>
      </c>
      <c r="E302" s="15" t="s">
        <v>54</v>
      </c>
      <c r="F302" s="15" t="s">
        <v>201</v>
      </c>
      <c r="G302" s="20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79</v>
      </c>
      <c r="B303" s="14" t="s">
        <v>200</v>
      </c>
      <c r="C303" s="117">
        <v>0.67708333333333337</v>
      </c>
      <c r="D303" s="14" t="s">
        <v>33</v>
      </c>
      <c r="E303" s="14" t="s">
        <v>54</v>
      </c>
      <c r="F303" s="14" t="s">
        <v>202</v>
      </c>
      <c r="G303" s="20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52" t="s">
        <v>87</v>
      </c>
      <c r="B304" s="52" t="s">
        <v>102</v>
      </c>
      <c r="C304" s="136">
        <v>0.61458333333333337</v>
      </c>
      <c r="D304" s="52" t="s">
        <v>89</v>
      </c>
      <c r="E304" s="52" t="s">
        <v>61</v>
      </c>
      <c r="F304" s="52" t="s">
        <v>77</v>
      </c>
      <c r="G304" s="204"/>
      <c r="H304" s="53" t="s">
        <v>105</v>
      </c>
      <c r="I304" s="152">
        <v>0.51959999999999995</v>
      </c>
      <c r="J304" s="54">
        <v>93</v>
      </c>
      <c r="K304" s="55" t="s">
        <v>112</v>
      </c>
      <c r="L304" s="54">
        <v>21</v>
      </c>
      <c r="M304" s="54">
        <v>0</v>
      </c>
      <c r="N304" s="54">
        <v>0</v>
      </c>
      <c r="O304" s="56" t="s">
        <v>203</v>
      </c>
      <c r="P304" s="138">
        <v>0.61458333333333337</v>
      </c>
      <c r="Q304" s="54">
        <v>179</v>
      </c>
      <c r="R304" s="57" t="s">
        <v>204</v>
      </c>
    </row>
    <row r="305" spans="1:18" ht="15" customHeight="1" x14ac:dyDescent="0.3">
      <c r="A305" s="72" t="s">
        <v>87</v>
      </c>
      <c r="B305" s="72" t="s">
        <v>169</v>
      </c>
      <c r="C305" s="153">
        <v>0.1145833333333333</v>
      </c>
      <c r="D305" s="72" t="s">
        <v>89</v>
      </c>
      <c r="E305" s="72" t="s">
        <v>76</v>
      </c>
      <c r="F305" s="72" t="s">
        <v>77</v>
      </c>
      <c r="G305" s="204"/>
      <c r="H305" s="73" t="s">
        <v>170</v>
      </c>
      <c r="I305" s="154">
        <v>0.24579999999999999</v>
      </c>
      <c r="J305" s="74">
        <v>44</v>
      </c>
      <c r="K305" s="75" t="s">
        <v>92</v>
      </c>
      <c r="L305" s="74">
        <v>17</v>
      </c>
      <c r="M305" s="74">
        <v>1</v>
      </c>
      <c r="N305" s="74">
        <v>0</v>
      </c>
      <c r="O305" s="76" t="s">
        <v>205</v>
      </c>
      <c r="P305" s="155">
        <v>0.1145833333333333</v>
      </c>
      <c r="Q305" s="74">
        <v>179</v>
      </c>
      <c r="R305" s="77" t="s">
        <v>206</v>
      </c>
    </row>
    <row r="306" spans="1:18" ht="15" customHeight="1" x14ac:dyDescent="0.3">
      <c r="A306" s="29" t="s">
        <v>87</v>
      </c>
      <c r="B306" s="29" t="s">
        <v>95</v>
      </c>
      <c r="C306" s="126">
        <v>0.45833333333333331</v>
      </c>
      <c r="D306" s="29" t="s">
        <v>89</v>
      </c>
      <c r="E306" s="29" t="s">
        <v>185</v>
      </c>
      <c r="F306" s="29" t="s">
        <v>207</v>
      </c>
      <c r="G306" s="204"/>
      <c r="H306" s="30" t="s">
        <v>98</v>
      </c>
      <c r="I306" s="156">
        <v>0.19550000000000001</v>
      </c>
      <c r="J306" s="31">
        <v>35</v>
      </c>
      <c r="K306" s="32" t="s">
        <v>162</v>
      </c>
      <c r="L306" s="31">
        <v>9</v>
      </c>
      <c r="M306" s="31">
        <v>0</v>
      </c>
      <c r="N306" s="31">
        <v>0</v>
      </c>
      <c r="O306" s="33" t="s">
        <v>208</v>
      </c>
      <c r="P306" s="128">
        <v>0.45833333333333331</v>
      </c>
      <c r="Q306" s="31">
        <v>179</v>
      </c>
      <c r="R306" s="34" t="s">
        <v>209</v>
      </c>
    </row>
    <row r="307" spans="1:18" ht="15" customHeight="1" x14ac:dyDescent="0.3">
      <c r="A307" s="78" t="s">
        <v>87</v>
      </c>
      <c r="B307" s="78" t="s">
        <v>109</v>
      </c>
      <c r="C307" s="157">
        <v>0.31944444444444442</v>
      </c>
      <c r="D307" s="78" t="s">
        <v>89</v>
      </c>
      <c r="E307" s="78" t="s">
        <v>76</v>
      </c>
      <c r="F307" s="78" t="s">
        <v>207</v>
      </c>
      <c r="G307" s="204"/>
      <c r="H307" s="53" t="s">
        <v>111</v>
      </c>
      <c r="I307" s="152">
        <v>0.21790000000000001</v>
      </c>
      <c r="J307" s="54">
        <v>39</v>
      </c>
      <c r="K307" s="55" t="s">
        <v>92</v>
      </c>
      <c r="L307" s="54">
        <v>19</v>
      </c>
      <c r="M307" s="54">
        <v>2</v>
      </c>
      <c r="N307" s="54">
        <v>3</v>
      </c>
      <c r="O307" s="56" t="s">
        <v>210</v>
      </c>
      <c r="P307" s="138">
        <v>0.31944444444444442</v>
      </c>
      <c r="Q307" s="54">
        <v>179</v>
      </c>
      <c r="R307" s="57" t="s">
        <v>211</v>
      </c>
    </row>
    <row r="308" spans="1:18" ht="15" customHeight="1" x14ac:dyDescent="0.3">
      <c r="A308" s="23" t="s">
        <v>87</v>
      </c>
      <c r="B308" s="23" t="s">
        <v>165</v>
      </c>
      <c r="C308" s="123">
        <v>0.73611111111111116</v>
      </c>
      <c r="D308" s="23" t="s">
        <v>89</v>
      </c>
      <c r="E308" s="23" t="s">
        <v>110</v>
      </c>
      <c r="F308" s="23" t="s">
        <v>159</v>
      </c>
      <c r="G308" s="204"/>
      <c r="H308" s="24" t="s">
        <v>166</v>
      </c>
      <c r="I308" s="142">
        <v>0.51959999999999995</v>
      </c>
      <c r="J308" s="25">
        <v>93</v>
      </c>
      <c r="K308" s="26" t="s">
        <v>92</v>
      </c>
      <c r="L308" s="25">
        <v>8</v>
      </c>
      <c r="M308" s="25">
        <v>1</v>
      </c>
      <c r="N308" s="25">
        <v>3</v>
      </c>
      <c r="O308" s="27" t="s">
        <v>163</v>
      </c>
      <c r="P308" s="125">
        <v>0.73611111111111116</v>
      </c>
      <c r="Q308" s="25">
        <v>179</v>
      </c>
      <c r="R308" s="28" t="s">
        <v>212</v>
      </c>
    </row>
    <row r="309" spans="1:18" ht="15" customHeight="1" x14ac:dyDescent="0.3">
      <c r="A309" s="64" t="s">
        <v>87</v>
      </c>
      <c r="B309" s="64" t="s">
        <v>88</v>
      </c>
      <c r="C309" s="144">
        <v>0.9375</v>
      </c>
      <c r="D309" s="64" t="s">
        <v>89</v>
      </c>
      <c r="E309" s="64" t="s">
        <v>76</v>
      </c>
      <c r="F309" s="64" t="s">
        <v>213</v>
      </c>
      <c r="G309" s="204"/>
      <c r="H309" s="65" t="s">
        <v>91</v>
      </c>
      <c r="I309" s="158">
        <v>0.90500000000000003</v>
      </c>
      <c r="J309" s="66">
        <v>162</v>
      </c>
      <c r="K309" s="67" t="s">
        <v>214</v>
      </c>
      <c r="L309" s="66">
        <v>0</v>
      </c>
      <c r="M309" s="66">
        <v>0</v>
      </c>
      <c r="N309" s="66">
        <v>0</v>
      </c>
      <c r="O309" s="68" t="s">
        <v>215</v>
      </c>
      <c r="P309" s="146">
        <v>0.9375</v>
      </c>
      <c r="Q309" s="66">
        <v>179</v>
      </c>
      <c r="R309" s="69" t="s">
        <v>216</v>
      </c>
    </row>
    <row r="310" spans="1:18" ht="15" customHeight="1" x14ac:dyDescent="0.3">
      <c r="A310" s="16" t="s">
        <v>74</v>
      </c>
      <c r="B310" s="16" t="s">
        <v>78</v>
      </c>
      <c r="C310" s="119">
        <v>0.66666666666666663</v>
      </c>
      <c r="D310" s="16" t="s">
        <v>72</v>
      </c>
      <c r="E310" s="16" t="s">
        <v>76</v>
      </c>
      <c r="F310" s="16" t="s">
        <v>77</v>
      </c>
      <c r="G310" s="20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115</v>
      </c>
      <c r="B311" s="16" t="s">
        <v>119</v>
      </c>
      <c r="C311" s="119">
        <v>0.14583333333333329</v>
      </c>
      <c r="D311" s="16" t="s">
        <v>117</v>
      </c>
      <c r="E311" s="16" t="s">
        <v>76</v>
      </c>
      <c r="F311" s="16" t="s">
        <v>118</v>
      </c>
      <c r="G311" s="20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5" t="s">
        <v>115</v>
      </c>
      <c r="B312" s="15" t="s">
        <v>120</v>
      </c>
      <c r="C312" s="118">
        <v>0.27777777777777779</v>
      </c>
      <c r="D312" s="15" t="s">
        <v>117</v>
      </c>
      <c r="E312" s="15" t="s">
        <v>76</v>
      </c>
      <c r="F312" s="15" t="s">
        <v>118</v>
      </c>
      <c r="G312" s="20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5" t="s">
        <v>115</v>
      </c>
      <c r="B313" s="15" t="s">
        <v>121</v>
      </c>
      <c r="C313" s="118">
        <v>0.4861111111111111</v>
      </c>
      <c r="D313" s="15" t="s">
        <v>117</v>
      </c>
      <c r="E313" s="15" t="s">
        <v>76</v>
      </c>
      <c r="F313" s="15" t="s">
        <v>118</v>
      </c>
      <c r="G313" s="20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5" t="s">
        <v>115</v>
      </c>
      <c r="B314" s="15" t="s">
        <v>116</v>
      </c>
      <c r="C314" s="118">
        <v>0.22916666666666671</v>
      </c>
      <c r="D314" s="15" t="s">
        <v>117</v>
      </c>
      <c r="E314" s="15" t="s">
        <v>76</v>
      </c>
      <c r="F314" s="15" t="s">
        <v>217</v>
      </c>
      <c r="G314" s="20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5" t="s">
        <v>115</v>
      </c>
      <c r="B315" s="15" t="s">
        <v>126</v>
      </c>
      <c r="C315" s="118">
        <v>0.77083333333333337</v>
      </c>
      <c r="D315" s="15" t="s">
        <v>124</v>
      </c>
      <c r="E315" s="15" t="s">
        <v>76</v>
      </c>
      <c r="F315" s="15" t="s">
        <v>127</v>
      </c>
      <c r="G315" s="20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130</v>
      </c>
      <c r="B316" s="16" t="s">
        <v>146</v>
      </c>
      <c r="C316" s="119">
        <v>0.1423611111111111</v>
      </c>
      <c r="D316" s="16" t="s">
        <v>132</v>
      </c>
      <c r="E316" s="16" t="s">
        <v>76</v>
      </c>
      <c r="F316" s="16" t="s">
        <v>176</v>
      </c>
      <c r="G316" s="20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130</v>
      </c>
      <c r="B317" s="14" t="s">
        <v>146</v>
      </c>
      <c r="C317" s="117">
        <v>0.1423611111111111</v>
      </c>
      <c r="D317" s="14" t="s">
        <v>134</v>
      </c>
      <c r="E317" s="14" t="s">
        <v>76</v>
      </c>
      <c r="F317" s="14" t="s">
        <v>177</v>
      </c>
      <c r="G317" s="20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5" t="s">
        <v>130</v>
      </c>
      <c r="B318" s="15" t="s">
        <v>147</v>
      </c>
      <c r="C318" s="118">
        <v>0.71875</v>
      </c>
      <c r="D318" s="15" t="s">
        <v>132</v>
      </c>
      <c r="E318" s="15" t="s">
        <v>110</v>
      </c>
      <c r="F318" s="15" t="s">
        <v>176</v>
      </c>
      <c r="G318" s="20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130</v>
      </c>
      <c r="B319" s="14" t="s">
        <v>147</v>
      </c>
      <c r="C319" s="117">
        <v>0.71875</v>
      </c>
      <c r="D319" s="14" t="s">
        <v>134</v>
      </c>
      <c r="E319" s="14" t="s">
        <v>110</v>
      </c>
      <c r="F319" s="14" t="s">
        <v>177</v>
      </c>
      <c r="G319" s="20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5" t="s">
        <v>130</v>
      </c>
      <c r="B320" s="15" t="s">
        <v>136</v>
      </c>
      <c r="C320" s="118">
        <v>0.37847222222222221</v>
      </c>
      <c r="D320" s="15" t="s">
        <v>132</v>
      </c>
      <c r="E320" s="15" t="s">
        <v>76</v>
      </c>
      <c r="F320" s="15" t="s">
        <v>176</v>
      </c>
      <c r="G320" s="20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130</v>
      </c>
      <c r="B321" s="14" t="s">
        <v>136</v>
      </c>
      <c r="C321" s="117">
        <v>0.37847222222222221</v>
      </c>
      <c r="D321" s="14" t="s">
        <v>134</v>
      </c>
      <c r="E321" s="14" t="s">
        <v>76</v>
      </c>
      <c r="F321" s="14" t="s">
        <v>177</v>
      </c>
      <c r="G321" s="20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5" t="s">
        <v>130</v>
      </c>
      <c r="B322" s="15" t="s">
        <v>137</v>
      </c>
      <c r="C322" s="118">
        <v>0.61111111111111116</v>
      </c>
      <c r="D322" s="15" t="s">
        <v>132</v>
      </c>
      <c r="E322" s="15" t="s">
        <v>76</v>
      </c>
      <c r="F322" s="15" t="s">
        <v>176</v>
      </c>
      <c r="G322" s="20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130</v>
      </c>
      <c r="B323" s="14" t="s">
        <v>137</v>
      </c>
      <c r="C323" s="117">
        <v>0.61111111111111116</v>
      </c>
      <c r="D323" s="14" t="s">
        <v>134</v>
      </c>
      <c r="E323" s="14" t="s">
        <v>76</v>
      </c>
      <c r="F323" s="14" t="s">
        <v>177</v>
      </c>
      <c r="G323" s="20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5" t="s">
        <v>130</v>
      </c>
      <c r="B324" s="15" t="s">
        <v>138</v>
      </c>
      <c r="C324" s="118">
        <v>0.23958333333333329</v>
      </c>
      <c r="D324" s="15" t="s">
        <v>132</v>
      </c>
      <c r="E324" s="15" t="s">
        <v>76</v>
      </c>
      <c r="F324" s="15" t="s">
        <v>176</v>
      </c>
      <c r="G324" s="20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130</v>
      </c>
      <c r="B325" s="14" t="s">
        <v>138</v>
      </c>
      <c r="C325" s="117">
        <v>0.23958333333333329</v>
      </c>
      <c r="D325" s="14" t="s">
        <v>134</v>
      </c>
      <c r="E325" s="14" t="s">
        <v>76</v>
      </c>
      <c r="F325" s="14" t="s">
        <v>177</v>
      </c>
      <c r="G325" s="20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5" t="s">
        <v>130</v>
      </c>
      <c r="B326" s="15" t="s">
        <v>143</v>
      </c>
      <c r="C326" s="118">
        <v>6.9444444444444441E-3</v>
      </c>
      <c r="D326" s="15" t="s">
        <v>132</v>
      </c>
      <c r="E326" s="15" t="s">
        <v>76</v>
      </c>
      <c r="F326" s="15" t="s">
        <v>133</v>
      </c>
      <c r="G326" s="20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130</v>
      </c>
      <c r="B327" s="14" t="s">
        <v>143</v>
      </c>
      <c r="C327" s="117">
        <v>6.9444444444444441E-3</v>
      </c>
      <c r="D327" s="14" t="s">
        <v>134</v>
      </c>
      <c r="E327" s="14" t="s">
        <v>76</v>
      </c>
      <c r="F327" s="14" t="s">
        <v>135</v>
      </c>
      <c r="G327" s="20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5" t="s">
        <v>130</v>
      </c>
      <c r="B328" s="15" t="s">
        <v>131</v>
      </c>
      <c r="C328" s="118">
        <v>0.93055555555555558</v>
      </c>
      <c r="D328" s="15" t="s">
        <v>132</v>
      </c>
      <c r="E328" s="15" t="s">
        <v>76</v>
      </c>
      <c r="F328" s="15" t="s">
        <v>133</v>
      </c>
      <c r="G328" s="20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130</v>
      </c>
      <c r="B329" s="14" t="s">
        <v>131</v>
      </c>
      <c r="C329" s="117">
        <v>0.93055555555555558</v>
      </c>
      <c r="D329" s="14" t="s">
        <v>134</v>
      </c>
      <c r="E329" s="14" t="s">
        <v>76</v>
      </c>
      <c r="F329" s="14" t="s">
        <v>135</v>
      </c>
      <c r="G329" s="20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5" t="s">
        <v>130</v>
      </c>
      <c r="B330" s="15" t="s">
        <v>141</v>
      </c>
      <c r="C330" s="118">
        <v>0.30208333333333331</v>
      </c>
      <c r="D330" s="15" t="s">
        <v>134</v>
      </c>
      <c r="E330" s="15" t="s">
        <v>110</v>
      </c>
      <c r="F330" s="15" t="s">
        <v>218</v>
      </c>
      <c r="G330" s="20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5" t="s">
        <v>130</v>
      </c>
      <c r="B331" s="15" t="s">
        <v>139</v>
      </c>
      <c r="C331" s="118">
        <v>0.88888888888888884</v>
      </c>
      <c r="D331" s="15" t="s">
        <v>134</v>
      </c>
      <c r="E331" s="15" t="s">
        <v>110</v>
      </c>
      <c r="F331" s="15" t="s">
        <v>178</v>
      </c>
      <c r="G331" s="20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5" t="s">
        <v>130</v>
      </c>
      <c r="B332" s="15" t="s">
        <v>142</v>
      </c>
      <c r="C332" s="118">
        <v>0.12847222222222221</v>
      </c>
      <c r="D332" s="15" t="s">
        <v>134</v>
      </c>
      <c r="E332" s="15" t="s">
        <v>110</v>
      </c>
      <c r="F332" s="15" t="s">
        <v>178</v>
      </c>
      <c r="G332" s="20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" t="s">
        <v>130</v>
      </c>
      <c r="B333" s="15" t="s">
        <v>149</v>
      </c>
      <c r="C333" s="118">
        <v>0.78819444444444442</v>
      </c>
      <c r="D333" s="15" t="s">
        <v>134</v>
      </c>
      <c r="E333" s="15" t="s">
        <v>110</v>
      </c>
      <c r="F333" s="15" t="s">
        <v>178</v>
      </c>
      <c r="G333" s="20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5" t="s">
        <v>130</v>
      </c>
      <c r="B334" s="15" t="s">
        <v>148</v>
      </c>
      <c r="C334" s="118">
        <v>0.82986111111111116</v>
      </c>
      <c r="D334" s="15" t="s">
        <v>132</v>
      </c>
      <c r="E334" s="15" t="s">
        <v>76</v>
      </c>
      <c r="F334" s="15" t="s">
        <v>144</v>
      </c>
      <c r="G334" s="20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thickBot="1" x14ac:dyDescent="0.35">
      <c r="A335" s="70" t="s">
        <v>130</v>
      </c>
      <c r="B335" s="70" t="s">
        <v>148</v>
      </c>
      <c r="C335" s="148">
        <v>0.82986111111111116</v>
      </c>
      <c r="D335" s="70" t="s">
        <v>134</v>
      </c>
      <c r="E335" s="70" t="s">
        <v>76</v>
      </c>
      <c r="F335" s="70" t="s">
        <v>145</v>
      </c>
      <c r="G335" s="205"/>
      <c r="H335" s="42"/>
      <c r="I335" s="43"/>
      <c r="J335" s="43"/>
      <c r="K335" s="43"/>
      <c r="L335" s="43"/>
      <c r="M335" s="43"/>
      <c r="N335" s="43"/>
      <c r="O335" s="44"/>
      <c r="P335" s="43"/>
      <c r="Q335" s="45"/>
      <c r="R335" s="46"/>
    </row>
    <row r="336" spans="1:18" ht="17.399999999999999" customHeight="1" thickBot="1" x14ac:dyDescent="0.35">
      <c r="A336" s="200"/>
      <c r="B336" s="201"/>
      <c r="C336" s="201"/>
      <c r="D336" s="201"/>
      <c r="E336" s="201"/>
      <c r="F336" s="201"/>
      <c r="G336" s="201"/>
      <c r="H336" s="201"/>
      <c r="I336" s="201"/>
      <c r="J336" s="201"/>
      <c r="K336" s="201"/>
      <c r="L336" s="201"/>
      <c r="M336" s="201"/>
      <c r="N336" s="201"/>
      <c r="O336" s="201"/>
      <c r="P336" s="201"/>
      <c r="Q336" s="201"/>
      <c r="R336" s="202"/>
    </row>
    <row r="337" spans="1:18" ht="22.05" customHeight="1" thickTop="1" thickBot="1" x14ac:dyDescent="0.35">
      <c r="A337" s="197" t="s">
        <v>6</v>
      </c>
      <c r="B337" s="198"/>
      <c r="C337" s="198"/>
      <c r="D337" s="198"/>
      <c r="E337" s="198"/>
      <c r="F337" s="199"/>
      <c r="G337" s="133">
        <v>45997</v>
      </c>
      <c r="H337" s="207" t="s">
        <v>7</v>
      </c>
      <c r="I337" s="198"/>
      <c r="J337" s="198"/>
      <c r="K337" s="198"/>
      <c r="L337" s="198"/>
      <c r="M337" s="198"/>
      <c r="N337" s="198"/>
      <c r="O337" s="198"/>
      <c r="P337" s="198"/>
      <c r="Q337" s="198"/>
      <c r="R337" s="199"/>
    </row>
    <row r="338" spans="1:18" ht="24" customHeight="1" x14ac:dyDescent="0.3">
      <c r="A338" s="47" t="s">
        <v>8</v>
      </c>
      <c r="B338" s="47" t="s">
        <v>9</v>
      </c>
      <c r="C338" s="134" t="s">
        <v>10</v>
      </c>
      <c r="D338" s="47" t="s">
        <v>11</v>
      </c>
      <c r="E338" s="47" t="s">
        <v>12</v>
      </c>
      <c r="F338" s="48" t="s">
        <v>13</v>
      </c>
      <c r="G338" s="49" t="s">
        <v>14</v>
      </c>
      <c r="H338" s="47" t="s">
        <v>15</v>
      </c>
      <c r="I338" s="135" t="s">
        <v>16</v>
      </c>
      <c r="J338" s="50" t="s">
        <v>17</v>
      </c>
      <c r="K338" s="51" t="s">
        <v>18</v>
      </c>
      <c r="L338" s="50" t="s">
        <v>19</v>
      </c>
      <c r="M338" s="50" t="s">
        <v>20</v>
      </c>
      <c r="N338" s="50" t="s">
        <v>21</v>
      </c>
      <c r="O338" s="47" t="s">
        <v>22</v>
      </c>
      <c r="P338" s="134" t="s">
        <v>23</v>
      </c>
      <c r="Q338" s="50" t="s">
        <v>24</v>
      </c>
      <c r="R338" s="47" t="s">
        <v>25</v>
      </c>
    </row>
    <row r="339" spans="1:18" ht="15" customHeight="1" x14ac:dyDescent="0.3">
      <c r="A339" s="8" t="s">
        <v>26</v>
      </c>
      <c r="B339" s="8" t="s">
        <v>35</v>
      </c>
      <c r="C339" s="116">
        <v>0.12847222222222221</v>
      </c>
      <c r="D339" s="8" t="s">
        <v>28</v>
      </c>
      <c r="E339" s="8" t="s">
        <v>29</v>
      </c>
      <c r="F339" s="8" t="s">
        <v>180</v>
      </c>
      <c r="G339" s="20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35</v>
      </c>
      <c r="C340" s="117">
        <v>0.12847222222222221</v>
      </c>
      <c r="D340" s="14" t="s">
        <v>31</v>
      </c>
      <c r="E340" s="14" t="s">
        <v>29</v>
      </c>
      <c r="F340" s="14" t="s">
        <v>181</v>
      </c>
      <c r="G340" s="20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35</v>
      </c>
      <c r="C341" s="117">
        <v>0.12847222222222221</v>
      </c>
      <c r="D341" s="14" t="s">
        <v>33</v>
      </c>
      <c r="E341" s="14" t="s">
        <v>29</v>
      </c>
      <c r="F341" s="14" t="s">
        <v>34</v>
      </c>
      <c r="G341" s="20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26</v>
      </c>
      <c r="B342" s="15" t="s">
        <v>39</v>
      </c>
      <c r="C342" s="118">
        <v>0.30208333333333331</v>
      </c>
      <c r="D342" s="15" t="s">
        <v>28</v>
      </c>
      <c r="E342" s="15" t="s">
        <v>185</v>
      </c>
      <c r="F342" s="15" t="s">
        <v>30</v>
      </c>
      <c r="G342" s="20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39</v>
      </c>
      <c r="C343" s="117">
        <v>0.30208333333333331</v>
      </c>
      <c r="D343" s="14" t="s">
        <v>31</v>
      </c>
      <c r="E343" s="14" t="s">
        <v>185</v>
      </c>
      <c r="F343" s="14" t="s">
        <v>32</v>
      </c>
      <c r="G343" s="20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39</v>
      </c>
      <c r="C344" s="117">
        <v>0.30208333333333331</v>
      </c>
      <c r="D344" s="14" t="s">
        <v>33</v>
      </c>
      <c r="E344" s="14" t="s">
        <v>185</v>
      </c>
      <c r="F344" s="14" t="s">
        <v>34</v>
      </c>
      <c r="G344" s="20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5" t="s">
        <v>26</v>
      </c>
      <c r="B345" s="15" t="s">
        <v>27</v>
      </c>
      <c r="C345" s="118">
        <v>0.88888888888888884</v>
      </c>
      <c r="D345" s="15" t="s">
        <v>28</v>
      </c>
      <c r="E345" s="15" t="s">
        <v>219</v>
      </c>
      <c r="F345" s="15" t="s">
        <v>30</v>
      </c>
      <c r="G345" s="20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27</v>
      </c>
      <c r="C346" s="117">
        <v>0.88888888888888884</v>
      </c>
      <c r="D346" s="14" t="s">
        <v>31</v>
      </c>
      <c r="E346" s="14" t="s">
        <v>219</v>
      </c>
      <c r="F346" s="14" t="s">
        <v>32</v>
      </c>
      <c r="G346" s="20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27</v>
      </c>
      <c r="C347" s="117">
        <v>0.88888888888888884</v>
      </c>
      <c r="D347" s="14" t="s">
        <v>33</v>
      </c>
      <c r="E347" s="14" t="s">
        <v>219</v>
      </c>
      <c r="F347" s="14" t="s">
        <v>34</v>
      </c>
      <c r="G347" s="20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26</v>
      </c>
      <c r="B348" s="15" t="s">
        <v>41</v>
      </c>
      <c r="C348" s="118">
        <v>0.78819444444444442</v>
      </c>
      <c r="D348" s="15" t="s">
        <v>28</v>
      </c>
      <c r="E348" s="15" t="s">
        <v>103</v>
      </c>
      <c r="F348" s="15" t="s">
        <v>30</v>
      </c>
      <c r="G348" s="20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41</v>
      </c>
      <c r="C349" s="117">
        <v>0.78819444444444442</v>
      </c>
      <c r="D349" s="14" t="s">
        <v>31</v>
      </c>
      <c r="E349" s="14" t="s">
        <v>103</v>
      </c>
      <c r="F349" s="14" t="s">
        <v>32</v>
      </c>
      <c r="G349" s="20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41</v>
      </c>
      <c r="C350" s="117">
        <v>0.78819444444444442</v>
      </c>
      <c r="D350" s="14" t="s">
        <v>33</v>
      </c>
      <c r="E350" s="14" t="s">
        <v>103</v>
      </c>
      <c r="F350" s="14" t="s">
        <v>34</v>
      </c>
      <c r="G350" s="20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79</v>
      </c>
      <c r="B351" s="16" t="s">
        <v>84</v>
      </c>
      <c r="C351" s="119">
        <v>0.3298611111111111</v>
      </c>
      <c r="D351" s="16" t="s">
        <v>81</v>
      </c>
      <c r="E351" s="16" t="s">
        <v>54</v>
      </c>
      <c r="F351" s="16" t="s">
        <v>198</v>
      </c>
      <c r="G351" s="20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79</v>
      </c>
      <c r="B352" s="14" t="s">
        <v>84</v>
      </c>
      <c r="C352" s="117">
        <v>0.3298611111111111</v>
      </c>
      <c r="D352" s="14" t="s">
        <v>33</v>
      </c>
      <c r="E352" s="14" t="s">
        <v>54</v>
      </c>
      <c r="F352" s="14" t="s">
        <v>181</v>
      </c>
      <c r="G352" s="20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5" t="s">
        <v>79</v>
      </c>
      <c r="B353" s="15" t="s">
        <v>80</v>
      </c>
      <c r="C353" s="118">
        <v>0.21527777777777779</v>
      </c>
      <c r="D353" s="15" t="s">
        <v>81</v>
      </c>
      <c r="E353" s="15" t="s">
        <v>54</v>
      </c>
      <c r="F353" s="15" t="s">
        <v>198</v>
      </c>
      <c r="G353" s="20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79</v>
      </c>
      <c r="B354" s="14" t="s">
        <v>80</v>
      </c>
      <c r="C354" s="117">
        <v>0.21527777777777779</v>
      </c>
      <c r="D354" s="14" t="s">
        <v>33</v>
      </c>
      <c r="E354" s="14" t="s">
        <v>54</v>
      </c>
      <c r="F354" s="14" t="s">
        <v>181</v>
      </c>
      <c r="G354" s="20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45</v>
      </c>
      <c r="B355" s="16" t="s">
        <v>58</v>
      </c>
      <c r="C355" s="119">
        <v>0.46875</v>
      </c>
      <c r="D355" s="16" t="s">
        <v>47</v>
      </c>
      <c r="E355" s="16" t="s">
        <v>185</v>
      </c>
      <c r="F355" s="16" t="s">
        <v>48</v>
      </c>
      <c r="G355" s="20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45</v>
      </c>
      <c r="B356" s="14" t="s">
        <v>58</v>
      </c>
      <c r="C356" s="117">
        <v>0.46875</v>
      </c>
      <c r="D356" s="14" t="s">
        <v>49</v>
      </c>
      <c r="E356" s="14" t="s">
        <v>185</v>
      </c>
      <c r="F356" s="14" t="s">
        <v>50</v>
      </c>
      <c r="G356" s="20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45</v>
      </c>
      <c r="B357" s="14" t="s">
        <v>58</v>
      </c>
      <c r="C357" s="117">
        <v>0.46875</v>
      </c>
      <c r="D357" s="14" t="s">
        <v>51</v>
      </c>
      <c r="E357" s="14" t="s">
        <v>185</v>
      </c>
      <c r="F357" s="14" t="s">
        <v>52</v>
      </c>
      <c r="G357" s="20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5" t="s">
        <v>45</v>
      </c>
      <c r="B358" s="15" t="s">
        <v>57</v>
      </c>
      <c r="C358" s="118">
        <v>0.25694444444444442</v>
      </c>
      <c r="D358" s="15" t="s">
        <v>47</v>
      </c>
      <c r="E358" s="15" t="s">
        <v>96</v>
      </c>
      <c r="F358" s="15" t="s">
        <v>55</v>
      </c>
      <c r="G358" s="20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45</v>
      </c>
      <c r="B359" s="14" t="s">
        <v>57</v>
      </c>
      <c r="C359" s="117">
        <v>0.25694444444444442</v>
      </c>
      <c r="D359" s="14" t="s">
        <v>49</v>
      </c>
      <c r="E359" s="14" t="s">
        <v>96</v>
      </c>
      <c r="F359" s="14" t="s">
        <v>32</v>
      </c>
      <c r="G359" s="20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45</v>
      </c>
      <c r="B360" s="14" t="s">
        <v>57</v>
      </c>
      <c r="C360" s="117">
        <v>0.25694444444444442</v>
      </c>
      <c r="D360" s="14" t="s">
        <v>51</v>
      </c>
      <c r="E360" s="14" t="s">
        <v>96</v>
      </c>
      <c r="F360" s="14" t="s">
        <v>56</v>
      </c>
      <c r="G360" s="20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" t="s">
        <v>45</v>
      </c>
      <c r="B361" s="15" t="s">
        <v>62</v>
      </c>
      <c r="C361" s="118">
        <v>0.51736111111111116</v>
      </c>
      <c r="D361" s="15" t="s">
        <v>47</v>
      </c>
      <c r="E361" s="15" t="s">
        <v>110</v>
      </c>
      <c r="F361" s="15" t="s">
        <v>55</v>
      </c>
      <c r="G361" s="20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45</v>
      </c>
      <c r="B362" s="14" t="s">
        <v>62</v>
      </c>
      <c r="C362" s="117">
        <v>0.51736111111111116</v>
      </c>
      <c r="D362" s="14" t="s">
        <v>49</v>
      </c>
      <c r="E362" s="14" t="s">
        <v>110</v>
      </c>
      <c r="F362" s="14" t="s">
        <v>32</v>
      </c>
      <c r="G362" s="20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45</v>
      </c>
      <c r="B363" s="14" t="s">
        <v>62</v>
      </c>
      <c r="C363" s="117">
        <v>0.51736111111111116</v>
      </c>
      <c r="D363" s="14" t="s">
        <v>51</v>
      </c>
      <c r="E363" s="14" t="s">
        <v>110</v>
      </c>
      <c r="F363" s="14" t="s">
        <v>56</v>
      </c>
      <c r="G363" s="20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5" t="s">
        <v>45</v>
      </c>
      <c r="B364" s="15" t="s">
        <v>60</v>
      </c>
      <c r="C364" s="118">
        <v>0.79861111111111116</v>
      </c>
      <c r="D364" s="15" t="s">
        <v>47</v>
      </c>
      <c r="E364" s="15" t="s">
        <v>29</v>
      </c>
      <c r="F364" s="15" t="s">
        <v>55</v>
      </c>
      <c r="G364" s="20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45</v>
      </c>
      <c r="B365" s="14" t="s">
        <v>60</v>
      </c>
      <c r="C365" s="117">
        <v>0.79861111111111116</v>
      </c>
      <c r="D365" s="14" t="s">
        <v>49</v>
      </c>
      <c r="E365" s="14" t="s">
        <v>29</v>
      </c>
      <c r="F365" s="14" t="s">
        <v>32</v>
      </c>
      <c r="G365" s="20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45</v>
      </c>
      <c r="B366" s="14" t="s">
        <v>60</v>
      </c>
      <c r="C366" s="117">
        <v>0.79861111111111116</v>
      </c>
      <c r="D366" s="14" t="s">
        <v>51</v>
      </c>
      <c r="E366" s="14" t="s">
        <v>29</v>
      </c>
      <c r="F366" s="14" t="s">
        <v>56</v>
      </c>
      <c r="G366" s="20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45</v>
      </c>
      <c r="B367" s="15" t="s">
        <v>46</v>
      </c>
      <c r="C367" s="118">
        <v>0.39583333333333331</v>
      </c>
      <c r="D367" s="15" t="s">
        <v>47</v>
      </c>
      <c r="E367" s="15" t="s">
        <v>110</v>
      </c>
      <c r="F367" s="15" t="s">
        <v>55</v>
      </c>
      <c r="G367" s="20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45</v>
      </c>
      <c r="B368" s="14" t="s">
        <v>46</v>
      </c>
      <c r="C368" s="117">
        <v>0.39583333333333331</v>
      </c>
      <c r="D368" s="14" t="s">
        <v>49</v>
      </c>
      <c r="E368" s="14" t="s">
        <v>110</v>
      </c>
      <c r="F368" s="14" t="s">
        <v>32</v>
      </c>
      <c r="G368" s="20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45</v>
      </c>
      <c r="B369" s="14" t="s">
        <v>46</v>
      </c>
      <c r="C369" s="117">
        <v>0.39583333333333331</v>
      </c>
      <c r="D369" s="14" t="s">
        <v>51</v>
      </c>
      <c r="E369" s="14" t="s">
        <v>110</v>
      </c>
      <c r="F369" s="14" t="s">
        <v>56</v>
      </c>
      <c r="G369" s="20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5" t="s">
        <v>45</v>
      </c>
      <c r="B370" s="15" t="s">
        <v>53</v>
      </c>
      <c r="C370" s="118">
        <v>0.85416666666666663</v>
      </c>
      <c r="D370" s="15" t="s">
        <v>47</v>
      </c>
      <c r="E370" s="15" t="s">
        <v>54</v>
      </c>
      <c r="F370" s="15" t="s">
        <v>63</v>
      </c>
      <c r="G370" s="20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45</v>
      </c>
      <c r="B371" s="14" t="s">
        <v>53</v>
      </c>
      <c r="C371" s="117">
        <v>0.85416666666666663</v>
      </c>
      <c r="D371" s="14" t="s">
        <v>49</v>
      </c>
      <c r="E371" s="14" t="s">
        <v>54</v>
      </c>
      <c r="F371" s="14" t="s">
        <v>64</v>
      </c>
      <c r="G371" s="20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45</v>
      </c>
      <c r="B372" s="14" t="s">
        <v>53</v>
      </c>
      <c r="C372" s="117">
        <v>0.85416666666666663</v>
      </c>
      <c r="D372" s="14" t="s">
        <v>51</v>
      </c>
      <c r="E372" s="14" t="s">
        <v>54</v>
      </c>
      <c r="F372" s="14" t="s">
        <v>65</v>
      </c>
      <c r="G372" s="20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5" t="s">
        <v>45</v>
      </c>
      <c r="B373" s="15" t="s">
        <v>59</v>
      </c>
      <c r="C373" s="118">
        <v>0.90277777777777779</v>
      </c>
      <c r="D373" s="15" t="s">
        <v>47</v>
      </c>
      <c r="E373" s="15" t="s">
        <v>29</v>
      </c>
      <c r="F373" s="15" t="s">
        <v>63</v>
      </c>
      <c r="G373" s="20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45</v>
      </c>
      <c r="B374" s="14" t="s">
        <v>59</v>
      </c>
      <c r="C374" s="117">
        <v>0.90277777777777779</v>
      </c>
      <c r="D374" s="14" t="s">
        <v>49</v>
      </c>
      <c r="E374" s="14" t="s">
        <v>29</v>
      </c>
      <c r="F374" s="14" t="s">
        <v>64</v>
      </c>
      <c r="G374" s="20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45</v>
      </c>
      <c r="B375" s="14" t="s">
        <v>59</v>
      </c>
      <c r="C375" s="117">
        <v>0.90277777777777779</v>
      </c>
      <c r="D375" s="14" t="s">
        <v>51</v>
      </c>
      <c r="E375" s="14" t="s">
        <v>29</v>
      </c>
      <c r="F375" s="14" t="s">
        <v>65</v>
      </c>
      <c r="G375" s="20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5" t="s">
        <v>45</v>
      </c>
      <c r="B376" s="15" t="s">
        <v>66</v>
      </c>
      <c r="C376" s="118">
        <v>0.64583333333333337</v>
      </c>
      <c r="D376" s="15" t="s">
        <v>47</v>
      </c>
      <c r="E376" s="15" t="s">
        <v>61</v>
      </c>
      <c r="F376" s="15" t="s">
        <v>63</v>
      </c>
      <c r="G376" s="20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45</v>
      </c>
      <c r="B377" s="14" t="s">
        <v>66</v>
      </c>
      <c r="C377" s="117">
        <v>0.64583333333333337</v>
      </c>
      <c r="D377" s="14" t="s">
        <v>49</v>
      </c>
      <c r="E377" s="14" t="s">
        <v>61</v>
      </c>
      <c r="F377" s="14" t="s">
        <v>64</v>
      </c>
      <c r="G377" s="20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45</v>
      </c>
      <c r="B378" s="14" t="s">
        <v>66</v>
      </c>
      <c r="C378" s="117">
        <v>0.64583333333333337</v>
      </c>
      <c r="D378" s="14" t="s">
        <v>51</v>
      </c>
      <c r="E378" s="14" t="s">
        <v>61</v>
      </c>
      <c r="F378" s="14" t="s">
        <v>65</v>
      </c>
      <c r="G378" s="20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70</v>
      </c>
      <c r="B379" s="16" t="s">
        <v>155</v>
      </c>
      <c r="C379" s="119">
        <v>0.27083333333333331</v>
      </c>
      <c r="D379" s="16" t="s">
        <v>72</v>
      </c>
      <c r="E379" s="16" t="s">
        <v>76</v>
      </c>
      <c r="F379" s="16" t="s">
        <v>73</v>
      </c>
      <c r="G379" s="20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74</v>
      </c>
      <c r="B380" s="16" t="s">
        <v>78</v>
      </c>
      <c r="C380" s="119">
        <v>0.66666666666666663</v>
      </c>
      <c r="D380" s="16" t="s">
        <v>72</v>
      </c>
      <c r="E380" s="16" t="s">
        <v>76</v>
      </c>
      <c r="F380" s="16" t="s">
        <v>77</v>
      </c>
      <c r="G380" s="20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52" t="s">
        <v>87</v>
      </c>
      <c r="B381" s="52" t="s">
        <v>220</v>
      </c>
      <c r="C381" s="136">
        <v>0.2361111111111111</v>
      </c>
      <c r="D381" s="52" t="s">
        <v>89</v>
      </c>
      <c r="E381" s="52" t="s">
        <v>42</v>
      </c>
      <c r="F381" s="52" t="s">
        <v>207</v>
      </c>
      <c r="G381" s="204"/>
      <c r="H381" s="53" t="s">
        <v>221</v>
      </c>
      <c r="I381" s="152">
        <v>0.38550000000000001</v>
      </c>
      <c r="J381" s="54">
        <v>69</v>
      </c>
      <c r="K381" s="55" t="s">
        <v>106</v>
      </c>
      <c r="L381" s="54">
        <v>12</v>
      </c>
      <c r="M381" s="54">
        <v>0</v>
      </c>
      <c r="N381" s="54">
        <v>0</v>
      </c>
      <c r="O381" s="56" t="s">
        <v>222</v>
      </c>
      <c r="P381" s="138">
        <v>0.2361111111111111</v>
      </c>
      <c r="Q381" s="54">
        <v>179</v>
      </c>
      <c r="R381" s="57" t="s">
        <v>223</v>
      </c>
    </row>
    <row r="382" spans="1:18" ht="15" customHeight="1" x14ac:dyDescent="0.3">
      <c r="A382" s="35" t="s">
        <v>87</v>
      </c>
      <c r="B382" s="35" t="s">
        <v>109</v>
      </c>
      <c r="C382" s="129">
        <v>0.33333333333333331</v>
      </c>
      <c r="D382" s="35" t="s">
        <v>89</v>
      </c>
      <c r="E382" s="35" t="s">
        <v>76</v>
      </c>
      <c r="F382" s="35" t="s">
        <v>104</v>
      </c>
      <c r="G382" s="204"/>
      <c r="H382" s="36" t="s">
        <v>111</v>
      </c>
      <c r="I382" s="130">
        <v>0.87150000000000005</v>
      </c>
      <c r="J382" s="37">
        <v>156</v>
      </c>
      <c r="K382" s="38" t="s">
        <v>92</v>
      </c>
      <c r="L382" s="37">
        <v>6</v>
      </c>
      <c r="M382" s="37">
        <v>1</v>
      </c>
      <c r="N382" s="37">
        <v>0</v>
      </c>
      <c r="O382" s="39" t="s">
        <v>224</v>
      </c>
      <c r="P382" s="131">
        <v>0.33333333333333331</v>
      </c>
      <c r="Q382" s="37">
        <v>179</v>
      </c>
      <c r="R382" s="40" t="s">
        <v>225</v>
      </c>
    </row>
    <row r="383" spans="1:18" ht="15" customHeight="1" x14ac:dyDescent="0.3">
      <c r="A383" s="29" t="s">
        <v>87</v>
      </c>
      <c r="B383" s="29" t="s">
        <v>95</v>
      </c>
      <c r="C383" s="126">
        <v>0.68055555555555558</v>
      </c>
      <c r="D383" s="29" t="s">
        <v>226</v>
      </c>
      <c r="E383" s="79"/>
      <c r="F383" s="29" t="s">
        <v>227</v>
      </c>
      <c r="G383" s="204"/>
      <c r="H383" s="30" t="s">
        <v>98</v>
      </c>
      <c r="I383" s="127">
        <v>1.0167999999999999</v>
      </c>
      <c r="J383" s="31">
        <v>182</v>
      </c>
      <c r="K383" s="32" t="s">
        <v>228</v>
      </c>
      <c r="L383" s="31">
        <v>0</v>
      </c>
      <c r="M383" s="31">
        <v>0</v>
      </c>
      <c r="N383" s="31">
        <v>0</v>
      </c>
      <c r="O383" s="33" t="s">
        <v>229</v>
      </c>
      <c r="P383" s="128">
        <v>0.68055555555555558</v>
      </c>
      <c r="Q383" s="31">
        <v>179</v>
      </c>
      <c r="R383" s="34" t="s">
        <v>230</v>
      </c>
    </row>
    <row r="384" spans="1:18" ht="15" customHeight="1" x14ac:dyDescent="0.3">
      <c r="A384" s="16" t="s">
        <v>115</v>
      </c>
      <c r="B384" s="16" t="s">
        <v>116</v>
      </c>
      <c r="C384" s="119">
        <v>0.22916666666666671</v>
      </c>
      <c r="D384" s="16" t="s">
        <v>117</v>
      </c>
      <c r="E384" s="16" t="s">
        <v>76</v>
      </c>
      <c r="F384" s="16" t="s">
        <v>118</v>
      </c>
      <c r="G384" s="20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5" t="s">
        <v>115</v>
      </c>
      <c r="B385" s="15" t="s">
        <v>119</v>
      </c>
      <c r="C385" s="118">
        <v>0.14583333333333329</v>
      </c>
      <c r="D385" s="15" t="s">
        <v>117</v>
      </c>
      <c r="E385" s="15" t="s">
        <v>76</v>
      </c>
      <c r="F385" s="15" t="s">
        <v>118</v>
      </c>
      <c r="G385" s="20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5" t="s">
        <v>115</v>
      </c>
      <c r="B386" s="15" t="s">
        <v>120</v>
      </c>
      <c r="C386" s="118">
        <v>0.27777777777777779</v>
      </c>
      <c r="D386" s="15" t="s">
        <v>117</v>
      </c>
      <c r="E386" s="15" t="s">
        <v>76</v>
      </c>
      <c r="F386" s="15" t="s">
        <v>118</v>
      </c>
      <c r="G386" s="20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" t="s">
        <v>115</v>
      </c>
      <c r="B387" s="15" t="s">
        <v>121</v>
      </c>
      <c r="C387" s="118">
        <v>0.4861111111111111</v>
      </c>
      <c r="D387" s="15" t="s">
        <v>117</v>
      </c>
      <c r="E387" s="15" t="s">
        <v>76</v>
      </c>
      <c r="F387" s="15" t="s">
        <v>118</v>
      </c>
      <c r="G387" s="20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5" t="s">
        <v>115</v>
      </c>
      <c r="B388" s="15" t="s">
        <v>122</v>
      </c>
      <c r="C388" s="118">
        <v>0.50694444444444442</v>
      </c>
      <c r="D388" s="15" t="s">
        <v>124</v>
      </c>
      <c r="E388" s="15" t="s">
        <v>29</v>
      </c>
      <c r="F388" s="15" t="s">
        <v>125</v>
      </c>
      <c r="G388" s="20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5" t="s">
        <v>115</v>
      </c>
      <c r="B389" s="15" t="s">
        <v>128</v>
      </c>
      <c r="C389" s="118">
        <v>1.388888888888889E-2</v>
      </c>
      <c r="D389" s="15" t="s">
        <v>124</v>
      </c>
      <c r="E389" s="15" t="s">
        <v>36</v>
      </c>
      <c r="F389" s="15" t="s">
        <v>231</v>
      </c>
      <c r="G389" s="20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130</v>
      </c>
      <c r="B390" s="16" t="s">
        <v>138</v>
      </c>
      <c r="C390" s="119">
        <v>0.24305555555555561</v>
      </c>
      <c r="D390" s="16" t="s">
        <v>132</v>
      </c>
      <c r="E390" s="16" t="s">
        <v>76</v>
      </c>
      <c r="F390" s="16" t="s">
        <v>232</v>
      </c>
      <c r="G390" s="20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130</v>
      </c>
      <c r="B391" s="14" t="s">
        <v>138</v>
      </c>
      <c r="C391" s="117">
        <v>0.24305555555555561</v>
      </c>
      <c r="D391" s="14" t="s">
        <v>134</v>
      </c>
      <c r="E391" s="14" t="s">
        <v>76</v>
      </c>
      <c r="F391" s="14" t="s">
        <v>233</v>
      </c>
      <c r="G391" s="20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5" t="s">
        <v>130</v>
      </c>
      <c r="B392" s="15" t="s">
        <v>131</v>
      </c>
      <c r="C392" s="118">
        <v>0.93055555555555558</v>
      </c>
      <c r="D392" s="15" t="s">
        <v>132</v>
      </c>
      <c r="E392" s="15" t="s">
        <v>76</v>
      </c>
      <c r="F392" s="15" t="s">
        <v>133</v>
      </c>
      <c r="G392" s="20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130</v>
      </c>
      <c r="B393" s="14" t="s">
        <v>131</v>
      </c>
      <c r="C393" s="117">
        <v>0.93055555555555558</v>
      </c>
      <c r="D393" s="14" t="s">
        <v>134</v>
      </c>
      <c r="E393" s="14" t="s">
        <v>76</v>
      </c>
      <c r="F393" s="14" t="s">
        <v>135</v>
      </c>
      <c r="G393" s="20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5" t="s">
        <v>130</v>
      </c>
      <c r="B394" s="15" t="s">
        <v>136</v>
      </c>
      <c r="C394" s="118">
        <v>0.37847222222222221</v>
      </c>
      <c r="D394" s="15" t="s">
        <v>132</v>
      </c>
      <c r="E394" s="15" t="s">
        <v>76</v>
      </c>
      <c r="F394" s="15" t="s">
        <v>133</v>
      </c>
      <c r="G394" s="20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130</v>
      </c>
      <c r="B395" s="14" t="s">
        <v>136</v>
      </c>
      <c r="C395" s="117">
        <v>0.37847222222222221</v>
      </c>
      <c r="D395" s="14" t="s">
        <v>134</v>
      </c>
      <c r="E395" s="14" t="s">
        <v>76</v>
      </c>
      <c r="F395" s="14" t="s">
        <v>135</v>
      </c>
      <c r="G395" s="20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5" t="s">
        <v>130</v>
      </c>
      <c r="B396" s="15" t="s">
        <v>139</v>
      </c>
      <c r="C396" s="118">
        <v>0.88888888888888884</v>
      </c>
      <c r="D396" s="15" t="s">
        <v>134</v>
      </c>
      <c r="E396" s="15" t="s">
        <v>110</v>
      </c>
      <c r="F396" s="15" t="s">
        <v>178</v>
      </c>
      <c r="G396" s="20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5" t="s">
        <v>130</v>
      </c>
      <c r="B397" s="15" t="s">
        <v>141</v>
      </c>
      <c r="C397" s="118">
        <v>0.30208333333333331</v>
      </c>
      <c r="D397" s="15" t="s">
        <v>134</v>
      </c>
      <c r="E397" s="15" t="s">
        <v>110</v>
      </c>
      <c r="F397" s="15" t="s">
        <v>178</v>
      </c>
      <c r="G397" s="20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5" t="s">
        <v>130</v>
      </c>
      <c r="B398" s="15" t="s">
        <v>142</v>
      </c>
      <c r="C398" s="118">
        <v>0.12847222222222221</v>
      </c>
      <c r="D398" s="15" t="s">
        <v>134</v>
      </c>
      <c r="E398" s="15" t="s">
        <v>110</v>
      </c>
      <c r="F398" s="15" t="s">
        <v>178</v>
      </c>
      <c r="G398" s="20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5" t="s">
        <v>130</v>
      </c>
      <c r="B399" s="15" t="s">
        <v>149</v>
      </c>
      <c r="C399" s="118">
        <v>0.78819444444444442</v>
      </c>
      <c r="D399" s="15" t="s">
        <v>134</v>
      </c>
      <c r="E399" s="15" t="s">
        <v>110</v>
      </c>
      <c r="F399" s="15" t="s">
        <v>178</v>
      </c>
      <c r="G399" s="20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5" t="s">
        <v>130</v>
      </c>
      <c r="B400" s="15" t="s">
        <v>143</v>
      </c>
      <c r="C400" s="118">
        <v>6.9444444444444441E-3</v>
      </c>
      <c r="D400" s="15" t="s">
        <v>132</v>
      </c>
      <c r="E400" s="15" t="s">
        <v>76</v>
      </c>
      <c r="F400" s="15" t="s">
        <v>144</v>
      </c>
      <c r="G400" s="20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130</v>
      </c>
      <c r="B401" s="14" t="s">
        <v>143</v>
      </c>
      <c r="C401" s="117">
        <v>6.9444444444444441E-3</v>
      </c>
      <c r="D401" s="14" t="s">
        <v>134</v>
      </c>
      <c r="E401" s="14" t="s">
        <v>76</v>
      </c>
      <c r="F401" s="14" t="s">
        <v>145</v>
      </c>
      <c r="G401" s="20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5" t="s">
        <v>130</v>
      </c>
      <c r="B402" s="15" t="s">
        <v>146</v>
      </c>
      <c r="C402" s="118">
        <v>0.1423611111111111</v>
      </c>
      <c r="D402" s="15" t="s">
        <v>132</v>
      </c>
      <c r="E402" s="15" t="s">
        <v>76</v>
      </c>
      <c r="F402" s="15" t="s">
        <v>144</v>
      </c>
      <c r="G402" s="20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130</v>
      </c>
      <c r="B403" s="14" t="s">
        <v>146</v>
      </c>
      <c r="C403" s="117">
        <v>0.1423611111111111</v>
      </c>
      <c r="D403" s="14" t="s">
        <v>134</v>
      </c>
      <c r="E403" s="14" t="s">
        <v>76</v>
      </c>
      <c r="F403" s="14" t="s">
        <v>145</v>
      </c>
      <c r="G403" s="20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5" t="s">
        <v>130</v>
      </c>
      <c r="B404" s="15" t="s">
        <v>147</v>
      </c>
      <c r="C404" s="118">
        <v>0.71875</v>
      </c>
      <c r="D404" s="15" t="s">
        <v>132</v>
      </c>
      <c r="E404" s="15" t="s">
        <v>76</v>
      </c>
      <c r="F404" s="15" t="s">
        <v>144</v>
      </c>
      <c r="G404" s="20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130</v>
      </c>
      <c r="B405" s="14" t="s">
        <v>147</v>
      </c>
      <c r="C405" s="117">
        <v>0.71875</v>
      </c>
      <c r="D405" s="14" t="s">
        <v>134</v>
      </c>
      <c r="E405" s="14" t="s">
        <v>76</v>
      </c>
      <c r="F405" s="14" t="s">
        <v>145</v>
      </c>
      <c r="G405" s="20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5" t="s">
        <v>130</v>
      </c>
      <c r="B406" s="15" t="s">
        <v>148</v>
      </c>
      <c r="C406" s="118">
        <v>0.82986111111111116</v>
      </c>
      <c r="D406" s="15" t="s">
        <v>132</v>
      </c>
      <c r="E406" s="15" t="s">
        <v>76</v>
      </c>
      <c r="F406" s="15" t="s">
        <v>144</v>
      </c>
      <c r="G406" s="20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130</v>
      </c>
      <c r="B407" s="14" t="s">
        <v>148</v>
      </c>
      <c r="C407" s="117">
        <v>0.82986111111111116</v>
      </c>
      <c r="D407" s="14" t="s">
        <v>134</v>
      </c>
      <c r="E407" s="14" t="s">
        <v>76</v>
      </c>
      <c r="F407" s="14" t="s">
        <v>145</v>
      </c>
      <c r="G407" s="20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5" t="s">
        <v>130</v>
      </c>
      <c r="B408" s="15" t="s">
        <v>137</v>
      </c>
      <c r="C408" s="118">
        <v>0.61111111111111116</v>
      </c>
      <c r="D408" s="15" t="s">
        <v>132</v>
      </c>
      <c r="E408" s="15" t="s">
        <v>36</v>
      </c>
      <c r="F408" s="15" t="s">
        <v>144</v>
      </c>
      <c r="G408" s="20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thickBot="1" x14ac:dyDescent="0.35">
      <c r="A409" s="70" t="s">
        <v>130</v>
      </c>
      <c r="B409" s="70" t="s">
        <v>137</v>
      </c>
      <c r="C409" s="148">
        <v>0.61111111111111116</v>
      </c>
      <c r="D409" s="70" t="s">
        <v>134</v>
      </c>
      <c r="E409" s="70" t="s">
        <v>36</v>
      </c>
      <c r="F409" s="70" t="s">
        <v>145</v>
      </c>
      <c r="G409" s="205"/>
      <c r="H409" s="42"/>
      <c r="I409" s="43"/>
      <c r="J409" s="43"/>
      <c r="K409" s="43"/>
      <c r="L409" s="43"/>
      <c r="M409" s="43"/>
      <c r="N409" s="43"/>
      <c r="O409" s="44"/>
      <c r="P409" s="43"/>
      <c r="Q409" s="45"/>
      <c r="R409" s="46"/>
    </row>
    <row r="410" spans="1:18" ht="17.399999999999999" customHeight="1" thickBot="1" x14ac:dyDescent="0.35">
      <c r="A410" s="200"/>
      <c r="B410" s="201"/>
      <c r="C410" s="201"/>
      <c r="D410" s="201"/>
      <c r="E410" s="201"/>
      <c r="F410" s="201"/>
      <c r="G410" s="201"/>
      <c r="H410" s="201"/>
      <c r="I410" s="201"/>
      <c r="J410" s="201"/>
      <c r="K410" s="201"/>
      <c r="L410" s="201"/>
      <c r="M410" s="201"/>
      <c r="N410" s="201"/>
      <c r="O410" s="201"/>
      <c r="P410" s="201"/>
      <c r="Q410" s="201"/>
      <c r="R410" s="202"/>
    </row>
    <row r="411" spans="1:18" ht="22.05" customHeight="1" thickTop="1" thickBot="1" x14ac:dyDescent="0.35">
      <c r="A411" s="197" t="s">
        <v>6</v>
      </c>
      <c r="B411" s="198"/>
      <c r="C411" s="198"/>
      <c r="D411" s="198"/>
      <c r="E411" s="198"/>
      <c r="F411" s="199"/>
      <c r="G411" s="133">
        <v>45998</v>
      </c>
      <c r="H411" s="207" t="s">
        <v>7</v>
      </c>
      <c r="I411" s="198"/>
      <c r="J411" s="198"/>
      <c r="K411" s="198"/>
      <c r="L411" s="198"/>
      <c r="M411" s="198"/>
      <c r="N411" s="198"/>
      <c r="O411" s="198"/>
      <c r="P411" s="198"/>
      <c r="Q411" s="198"/>
      <c r="R411" s="199"/>
    </row>
    <row r="412" spans="1:18" ht="24" customHeight="1" x14ac:dyDescent="0.3">
      <c r="A412" s="47" t="s">
        <v>8</v>
      </c>
      <c r="B412" s="47" t="s">
        <v>9</v>
      </c>
      <c r="C412" s="134" t="s">
        <v>10</v>
      </c>
      <c r="D412" s="47" t="s">
        <v>11</v>
      </c>
      <c r="E412" s="47" t="s">
        <v>12</v>
      </c>
      <c r="F412" s="48" t="s">
        <v>13</v>
      </c>
      <c r="G412" s="49" t="s">
        <v>14</v>
      </c>
      <c r="H412" s="47" t="s">
        <v>15</v>
      </c>
      <c r="I412" s="135" t="s">
        <v>16</v>
      </c>
      <c r="J412" s="50" t="s">
        <v>17</v>
      </c>
      <c r="K412" s="51" t="s">
        <v>18</v>
      </c>
      <c r="L412" s="50" t="s">
        <v>19</v>
      </c>
      <c r="M412" s="50" t="s">
        <v>20</v>
      </c>
      <c r="N412" s="50" t="s">
        <v>21</v>
      </c>
      <c r="O412" s="47" t="s">
        <v>22</v>
      </c>
      <c r="P412" s="134" t="s">
        <v>23</v>
      </c>
      <c r="Q412" s="50" t="s">
        <v>24</v>
      </c>
      <c r="R412" s="47" t="s">
        <v>25</v>
      </c>
    </row>
    <row r="413" spans="1:18" ht="15" customHeight="1" x14ac:dyDescent="0.3">
      <c r="A413" s="8" t="s">
        <v>26</v>
      </c>
      <c r="B413" s="8" t="s">
        <v>35</v>
      </c>
      <c r="C413" s="116">
        <v>0.12847222222222221</v>
      </c>
      <c r="D413" s="8" t="s">
        <v>28</v>
      </c>
      <c r="E413" s="8" t="s">
        <v>42</v>
      </c>
      <c r="F413" s="8" t="s">
        <v>234</v>
      </c>
      <c r="G413" s="20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35</v>
      </c>
      <c r="C414" s="117">
        <v>0.12847222222222221</v>
      </c>
      <c r="D414" s="14" t="s">
        <v>31</v>
      </c>
      <c r="E414" s="14" t="s">
        <v>42</v>
      </c>
      <c r="F414" s="14" t="s">
        <v>63</v>
      </c>
      <c r="G414" s="20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35</v>
      </c>
      <c r="C415" s="117">
        <v>0.12847222222222221</v>
      </c>
      <c r="D415" s="14" t="s">
        <v>33</v>
      </c>
      <c r="E415" s="14" t="s">
        <v>42</v>
      </c>
      <c r="F415" s="14" t="s">
        <v>34</v>
      </c>
      <c r="G415" s="20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5" t="s">
        <v>26</v>
      </c>
      <c r="B416" s="15" t="s">
        <v>39</v>
      </c>
      <c r="C416" s="118">
        <v>0.30208333333333331</v>
      </c>
      <c r="D416" s="15" t="s">
        <v>28</v>
      </c>
      <c r="E416" s="15" t="s">
        <v>40</v>
      </c>
      <c r="F416" s="15" t="s">
        <v>30</v>
      </c>
      <c r="G416" s="20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26</v>
      </c>
      <c r="B417" s="14" t="s">
        <v>39</v>
      </c>
      <c r="C417" s="117">
        <v>0.30208333333333331</v>
      </c>
      <c r="D417" s="14" t="s">
        <v>31</v>
      </c>
      <c r="E417" s="14" t="s">
        <v>40</v>
      </c>
      <c r="F417" s="14" t="s">
        <v>32</v>
      </c>
      <c r="G417" s="20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26</v>
      </c>
      <c r="B418" s="14" t="s">
        <v>39</v>
      </c>
      <c r="C418" s="117">
        <v>0.30208333333333331</v>
      </c>
      <c r="D418" s="14" t="s">
        <v>33</v>
      </c>
      <c r="E418" s="14" t="s">
        <v>40</v>
      </c>
      <c r="F418" s="14" t="s">
        <v>34</v>
      </c>
      <c r="G418" s="20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5" t="s">
        <v>26</v>
      </c>
      <c r="B419" s="15" t="s">
        <v>41</v>
      </c>
      <c r="C419" s="118">
        <v>0.78819444444444442</v>
      </c>
      <c r="D419" s="15" t="s">
        <v>28</v>
      </c>
      <c r="E419" s="15" t="s">
        <v>61</v>
      </c>
      <c r="F419" s="15" t="s">
        <v>30</v>
      </c>
      <c r="G419" s="20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41</v>
      </c>
      <c r="C420" s="117">
        <v>0.78819444444444442</v>
      </c>
      <c r="D420" s="14" t="s">
        <v>31</v>
      </c>
      <c r="E420" s="14" t="s">
        <v>61</v>
      </c>
      <c r="F420" s="14" t="s">
        <v>32</v>
      </c>
      <c r="G420" s="20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41</v>
      </c>
      <c r="C421" s="117">
        <v>0.78819444444444442</v>
      </c>
      <c r="D421" s="14" t="s">
        <v>33</v>
      </c>
      <c r="E421" s="14" t="s">
        <v>61</v>
      </c>
      <c r="F421" s="14" t="s">
        <v>34</v>
      </c>
      <c r="G421" s="20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5" t="s">
        <v>26</v>
      </c>
      <c r="B422" s="15" t="s">
        <v>27</v>
      </c>
      <c r="C422" s="118">
        <v>0.88888888888888884</v>
      </c>
      <c r="D422" s="15" t="s">
        <v>28</v>
      </c>
      <c r="E422" s="15" t="s">
        <v>36</v>
      </c>
      <c r="F422" s="15" t="s">
        <v>37</v>
      </c>
      <c r="G422" s="20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27</v>
      </c>
      <c r="C423" s="117">
        <v>0.88888888888888884</v>
      </c>
      <c r="D423" s="14" t="s">
        <v>31</v>
      </c>
      <c r="E423" s="14" t="s">
        <v>36</v>
      </c>
      <c r="F423" s="14" t="s">
        <v>38</v>
      </c>
      <c r="G423" s="20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27</v>
      </c>
      <c r="C424" s="117">
        <v>0.88888888888888884</v>
      </c>
      <c r="D424" s="14" t="s">
        <v>33</v>
      </c>
      <c r="E424" s="14" t="s">
        <v>36</v>
      </c>
      <c r="F424" s="14" t="s">
        <v>34</v>
      </c>
      <c r="G424" s="20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70</v>
      </c>
      <c r="B425" s="16" t="s">
        <v>235</v>
      </c>
      <c r="C425" s="119">
        <v>0.34722222222222221</v>
      </c>
      <c r="D425" s="16" t="s">
        <v>72</v>
      </c>
      <c r="E425" s="16" t="s">
        <v>76</v>
      </c>
      <c r="F425" s="16" t="s">
        <v>236</v>
      </c>
      <c r="G425" s="20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45</v>
      </c>
      <c r="B426" s="16" t="s">
        <v>58</v>
      </c>
      <c r="C426" s="119">
        <v>0.30208333333333331</v>
      </c>
      <c r="D426" s="16" t="s">
        <v>47</v>
      </c>
      <c r="E426" s="16" t="s">
        <v>42</v>
      </c>
      <c r="F426" s="16" t="s">
        <v>48</v>
      </c>
      <c r="G426" s="20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45</v>
      </c>
      <c r="B427" s="14" t="s">
        <v>58</v>
      </c>
      <c r="C427" s="117">
        <v>0.30208333333333331</v>
      </c>
      <c r="D427" s="14" t="s">
        <v>49</v>
      </c>
      <c r="E427" s="14" t="s">
        <v>42</v>
      </c>
      <c r="F427" s="14" t="s">
        <v>50</v>
      </c>
      <c r="G427" s="20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45</v>
      </c>
      <c r="B428" s="14" t="s">
        <v>58</v>
      </c>
      <c r="C428" s="117">
        <v>0.30208333333333331</v>
      </c>
      <c r="D428" s="14" t="s">
        <v>51</v>
      </c>
      <c r="E428" s="14" t="s">
        <v>42</v>
      </c>
      <c r="F428" s="14" t="s">
        <v>52</v>
      </c>
      <c r="G428" s="20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5" t="s">
        <v>45</v>
      </c>
      <c r="B429" s="15" t="s">
        <v>53</v>
      </c>
      <c r="C429" s="118">
        <v>0.85416666666666663</v>
      </c>
      <c r="D429" s="15" t="s">
        <v>47</v>
      </c>
      <c r="E429" s="15" t="s">
        <v>54</v>
      </c>
      <c r="F429" s="15" t="s">
        <v>55</v>
      </c>
      <c r="G429" s="20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45</v>
      </c>
      <c r="B430" s="14" t="s">
        <v>53</v>
      </c>
      <c r="C430" s="117">
        <v>0.85416666666666663</v>
      </c>
      <c r="D430" s="14" t="s">
        <v>49</v>
      </c>
      <c r="E430" s="14" t="s">
        <v>54</v>
      </c>
      <c r="F430" s="14" t="s">
        <v>32</v>
      </c>
      <c r="G430" s="20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45</v>
      </c>
      <c r="B431" s="14" t="s">
        <v>53</v>
      </c>
      <c r="C431" s="117">
        <v>0.85416666666666663</v>
      </c>
      <c r="D431" s="14" t="s">
        <v>51</v>
      </c>
      <c r="E431" s="14" t="s">
        <v>54</v>
      </c>
      <c r="F431" s="14" t="s">
        <v>56</v>
      </c>
      <c r="G431" s="204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5" t="s">
        <v>45</v>
      </c>
      <c r="B432" s="15" t="s">
        <v>57</v>
      </c>
      <c r="C432" s="118">
        <v>0.25694444444444442</v>
      </c>
      <c r="D432" s="15" t="s">
        <v>47</v>
      </c>
      <c r="E432" s="15" t="s">
        <v>54</v>
      </c>
      <c r="F432" s="15" t="s">
        <v>55</v>
      </c>
      <c r="G432" s="20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45</v>
      </c>
      <c r="B433" s="14" t="s">
        <v>57</v>
      </c>
      <c r="C433" s="117">
        <v>0.25694444444444442</v>
      </c>
      <c r="D433" s="14" t="s">
        <v>49</v>
      </c>
      <c r="E433" s="14" t="s">
        <v>54</v>
      </c>
      <c r="F433" s="14" t="s">
        <v>32</v>
      </c>
      <c r="G433" s="20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45</v>
      </c>
      <c r="B434" s="14" t="s">
        <v>57</v>
      </c>
      <c r="C434" s="117">
        <v>0.25694444444444442</v>
      </c>
      <c r="D434" s="14" t="s">
        <v>51</v>
      </c>
      <c r="E434" s="14" t="s">
        <v>54</v>
      </c>
      <c r="F434" s="14" t="s">
        <v>56</v>
      </c>
      <c r="G434" s="20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5" t="s">
        <v>45</v>
      </c>
      <c r="B435" s="15" t="s">
        <v>59</v>
      </c>
      <c r="C435" s="118">
        <v>0.90277777777777779</v>
      </c>
      <c r="D435" s="15" t="s">
        <v>47</v>
      </c>
      <c r="E435" s="15" t="s">
        <v>36</v>
      </c>
      <c r="F435" s="15" t="s">
        <v>55</v>
      </c>
      <c r="G435" s="20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45</v>
      </c>
      <c r="B436" s="14" t="s">
        <v>59</v>
      </c>
      <c r="C436" s="117">
        <v>0.90277777777777779</v>
      </c>
      <c r="D436" s="14" t="s">
        <v>49</v>
      </c>
      <c r="E436" s="14" t="s">
        <v>36</v>
      </c>
      <c r="F436" s="14" t="s">
        <v>32</v>
      </c>
      <c r="G436" s="20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45</v>
      </c>
      <c r="B437" s="14" t="s">
        <v>59</v>
      </c>
      <c r="C437" s="117">
        <v>0.90277777777777779</v>
      </c>
      <c r="D437" s="14" t="s">
        <v>51</v>
      </c>
      <c r="E437" s="14" t="s">
        <v>36</v>
      </c>
      <c r="F437" s="14" t="s">
        <v>56</v>
      </c>
      <c r="G437" s="20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5" t="s">
        <v>45</v>
      </c>
      <c r="B438" s="15" t="s">
        <v>60</v>
      </c>
      <c r="C438" s="118">
        <v>0.79861111111111116</v>
      </c>
      <c r="D438" s="15" t="s">
        <v>47</v>
      </c>
      <c r="E438" s="15" t="s">
        <v>96</v>
      </c>
      <c r="F438" s="15" t="s">
        <v>55</v>
      </c>
      <c r="G438" s="20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45</v>
      </c>
      <c r="B439" s="14" t="s">
        <v>60</v>
      </c>
      <c r="C439" s="117">
        <v>0.79861111111111116</v>
      </c>
      <c r="D439" s="14" t="s">
        <v>49</v>
      </c>
      <c r="E439" s="14" t="s">
        <v>96</v>
      </c>
      <c r="F439" s="14" t="s">
        <v>32</v>
      </c>
      <c r="G439" s="20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45</v>
      </c>
      <c r="B440" s="14" t="s">
        <v>60</v>
      </c>
      <c r="C440" s="117">
        <v>0.79861111111111116</v>
      </c>
      <c r="D440" s="14" t="s">
        <v>51</v>
      </c>
      <c r="E440" s="14" t="s">
        <v>96</v>
      </c>
      <c r="F440" s="14" t="s">
        <v>56</v>
      </c>
      <c r="G440" s="20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5" t="s">
        <v>45</v>
      </c>
      <c r="B441" s="15" t="s">
        <v>46</v>
      </c>
      <c r="C441" s="118">
        <v>0.39583333333333331</v>
      </c>
      <c r="D441" s="15" t="s">
        <v>47</v>
      </c>
      <c r="E441" s="15" t="s">
        <v>54</v>
      </c>
      <c r="F441" s="15" t="s">
        <v>55</v>
      </c>
      <c r="G441" s="20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45</v>
      </c>
      <c r="B442" s="14" t="s">
        <v>46</v>
      </c>
      <c r="C442" s="117">
        <v>0.39583333333333331</v>
      </c>
      <c r="D442" s="14" t="s">
        <v>49</v>
      </c>
      <c r="E442" s="14" t="s">
        <v>54</v>
      </c>
      <c r="F442" s="14" t="s">
        <v>32</v>
      </c>
      <c r="G442" s="20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45</v>
      </c>
      <c r="B443" s="14" t="s">
        <v>46</v>
      </c>
      <c r="C443" s="117">
        <v>0.39583333333333331</v>
      </c>
      <c r="D443" s="14" t="s">
        <v>51</v>
      </c>
      <c r="E443" s="14" t="s">
        <v>54</v>
      </c>
      <c r="F443" s="14" t="s">
        <v>56</v>
      </c>
      <c r="G443" s="20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5" t="s">
        <v>45</v>
      </c>
      <c r="B444" s="15" t="s">
        <v>66</v>
      </c>
      <c r="C444" s="118">
        <v>0.64583333333333337</v>
      </c>
      <c r="D444" s="15" t="s">
        <v>47</v>
      </c>
      <c r="E444" s="15" t="s">
        <v>103</v>
      </c>
      <c r="F444" s="15" t="s">
        <v>55</v>
      </c>
      <c r="G444" s="20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45</v>
      </c>
      <c r="B445" s="14" t="s">
        <v>66</v>
      </c>
      <c r="C445" s="117">
        <v>0.64583333333333337</v>
      </c>
      <c r="D445" s="14" t="s">
        <v>49</v>
      </c>
      <c r="E445" s="14" t="s">
        <v>103</v>
      </c>
      <c r="F445" s="14" t="s">
        <v>32</v>
      </c>
      <c r="G445" s="20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45</v>
      </c>
      <c r="B446" s="14" t="s">
        <v>66</v>
      </c>
      <c r="C446" s="117">
        <v>0.64583333333333337</v>
      </c>
      <c r="D446" s="14" t="s">
        <v>51</v>
      </c>
      <c r="E446" s="14" t="s">
        <v>103</v>
      </c>
      <c r="F446" s="14" t="s">
        <v>56</v>
      </c>
      <c r="G446" s="20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5" t="s">
        <v>45</v>
      </c>
      <c r="B447" s="15" t="s">
        <v>62</v>
      </c>
      <c r="C447" s="118">
        <v>0.51736111111111116</v>
      </c>
      <c r="D447" s="15" t="s">
        <v>47</v>
      </c>
      <c r="E447" s="15" t="s">
        <v>103</v>
      </c>
      <c r="F447" s="15" t="s">
        <v>63</v>
      </c>
      <c r="G447" s="20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45</v>
      </c>
      <c r="B448" s="14" t="s">
        <v>62</v>
      </c>
      <c r="C448" s="117">
        <v>0.51736111111111116</v>
      </c>
      <c r="D448" s="14" t="s">
        <v>49</v>
      </c>
      <c r="E448" s="14" t="s">
        <v>103</v>
      </c>
      <c r="F448" s="14" t="s">
        <v>64</v>
      </c>
      <c r="G448" s="20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45</v>
      </c>
      <c r="B449" s="14" t="s">
        <v>62</v>
      </c>
      <c r="C449" s="117">
        <v>0.51736111111111116</v>
      </c>
      <c r="D449" s="14" t="s">
        <v>51</v>
      </c>
      <c r="E449" s="14" t="s">
        <v>103</v>
      </c>
      <c r="F449" s="14" t="s">
        <v>65</v>
      </c>
      <c r="G449" s="204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79</v>
      </c>
      <c r="B450" s="16" t="s">
        <v>84</v>
      </c>
      <c r="C450" s="119">
        <v>0.3888888888888889</v>
      </c>
      <c r="D450" s="16" t="s">
        <v>81</v>
      </c>
      <c r="E450" s="16" t="s">
        <v>54</v>
      </c>
      <c r="F450" s="16" t="s">
        <v>201</v>
      </c>
      <c r="G450" s="20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79</v>
      </c>
      <c r="B451" s="14" t="s">
        <v>84</v>
      </c>
      <c r="C451" s="117">
        <v>0.3888888888888889</v>
      </c>
      <c r="D451" s="14" t="s">
        <v>33</v>
      </c>
      <c r="E451" s="14" t="s">
        <v>54</v>
      </c>
      <c r="F451" s="14" t="s">
        <v>202</v>
      </c>
      <c r="G451" s="204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74</v>
      </c>
      <c r="B452" s="16" t="s">
        <v>78</v>
      </c>
      <c r="C452" s="119">
        <v>0.66666666666666663</v>
      </c>
      <c r="D452" s="16" t="s">
        <v>72</v>
      </c>
      <c r="E452" s="16" t="s">
        <v>76</v>
      </c>
      <c r="F452" s="16" t="s">
        <v>77</v>
      </c>
      <c r="G452" s="204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80" t="s">
        <v>87</v>
      </c>
      <c r="B453" s="80" t="s">
        <v>109</v>
      </c>
      <c r="C453" s="159">
        <v>0.31944444444444442</v>
      </c>
      <c r="D453" s="80" t="s">
        <v>89</v>
      </c>
      <c r="E453" s="80" t="s">
        <v>96</v>
      </c>
      <c r="F453" s="80" t="s">
        <v>207</v>
      </c>
      <c r="G453" s="204"/>
      <c r="H453" s="59" t="s">
        <v>111</v>
      </c>
      <c r="I453" s="160">
        <v>0.30730000000000002</v>
      </c>
      <c r="J453" s="60">
        <v>55</v>
      </c>
      <c r="K453" s="61" t="s">
        <v>99</v>
      </c>
      <c r="L453" s="60">
        <v>28</v>
      </c>
      <c r="M453" s="60">
        <v>0</v>
      </c>
      <c r="N453" s="60">
        <v>2</v>
      </c>
      <c r="O453" s="62" t="s">
        <v>237</v>
      </c>
      <c r="P453" s="141">
        <v>0.31944444444444442</v>
      </c>
      <c r="Q453" s="60">
        <v>179</v>
      </c>
      <c r="R453" s="63" t="s">
        <v>238</v>
      </c>
    </row>
    <row r="454" spans="1:18" ht="15" customHeight="1" x14ac:dyDescent="0.3">
      <c r="A454" s="29" t="s">
        <v>87</v>
      </c>
      <c r="B454" s="29" t="s">
        <v>169</v>
      </c>
      <c r="C454" s="126">
        <v>8.3333333333333329E-2</v>
      </c>
      <c r="D454" s="29" t="s">
        <v>89</v>
      </c>
      <c r="E454" s="29" t="s">
        <v>76</v>
      </c>
      <c r="F454" s="29" t="s">
        <v>207</v>
      </c>
      <c r="G454" s="204"/>
      <c r="H454" s="30" t="s">
        <v>170</v>
      </c>
      <c r="I454" s="150">
        <v>0.65920000000000001</v>
      </c>
      <c r="J454" s="31">
        <v>118</v>
      </c>
      <c r="K454" s="32" t="s">
        <v>162</v>
      </c>
      <c r="L454" s="31">
        <v>32</v>
      </c>
      <c r="M454" s="31">
        <v>0</v>
      </c>
      <c r="N454" s="31">
        <v>0</v>
      </c>
      <c r="O454" s="33" t="s">
        <v>239</v>
      </c>
      <c r="P454" s="128">
        <v>8.3333333333333329E-2</v>
      </c>
      <c r="Q454" s="31">
        <v>179</v>
      </c>
      <c r="R454" s="34" t="s">
        <v>240</v>
      </c>
    </row>
    <row r="455" spans="1:18" ht="15" customHeight="1" x14ac:dyDescent="0.3">
      <c r="A455" s="64" t="s">
        <v>87</v>
      </c>
      <c r="B455" s="64" t="s">
        <v>241</v>
      </c>
      <c r="C455" s="144">
        <v>0.33333333333333331</v>
      </c>
      <c r="D455" s="64" t="s">
        <v>89</v>
      </c>
      <c r="E455" s="64" t="s">
        <v>110</v>
      </c>
      <c r="F455" s="64" t="s">
        <v>159</v>
      </c>
      <c r="G455" s="204"/>
      <c r="H455" s="65" t="s">
        <v>242</v>
      </c>
      <c r="I455" s="161">
        <v>0.17860000000000001</v>
      </c>
      <c r="J455" s="66">
        <v>30</v>
      </c>
      <c r="K455" s="67" t="s">
        <v>112</v>
      </c>
      <c r="L455" s="66">
        <v>3</v>
      </c>
      <c r="M455" s="66">
        <v>0</v>
      </c>
      <c r="N455" s="66">
        <v>0</v>
      </c>
      <c r="O455" s="68" t="s">
        <v>163</v>
      </c>
      <c r="P455" s="146">
        <v>0.33333333333333331</v>
      </c>
      <c r="Q455" s="66">
        <v>168</v>
      </c>
      <c r="R455" s="69" t="s">
        <v>243</v>
      </c>
    </row>
    <row r="456" spans="1:18" ht="15" customHeight="1" x14ac:dyDescent="0.3">
      <c r="A456" s="78" t="s">
        <v>87</v>
      </c>
      <c r="B456" s="78" t="s">
        <v>88</v>
      </c>
      <c r="C456" s="157">
        <v>0.51041666666666663</v>
      </c>
      <c r="D456" s="78" t="s">
        <v>89</v>
      </c>
      <c r="E456" s="78" t="s">
        <v>76</v>
      </c>
      <c r="F456" s="78" t="s">
        <v>244</v>
      </c>
      <c r="G456" s="204"/>
      <c r="H456" s="53" t="s">
        <v>91</v>
      </c>
      <c r="I456" s="162">
        <v>0.87709999999999999</v>
      </c>
      <c r="J456" s="54">
        <v>157</v>
      </c>
      <c r="K456" s="55" t="s">
        <v>112</v>
      </c>
      <c r="L456" s="54">
        <v>4</v>
      </c>
      <c r="M456" s="54">
        <v>0</v>
      </c>
      <c r="N456" s="54">
        <v>0</v>
      </c>
      <c r="O456" s="56" t="s">
        <v>245</v>
      </c>
      <c r="P456" s="138">
        <v>0.51041666666666663</v>
      </c>
      <c r="Q456" s="54">
        <v>179</v>
      </c>
      <c r="R456" s="57" t="s">
        <v>246</v>
      </c>
    </row>
    <row r="457" spans="1:18" ht="15" customHeight="1" x14ac:dyDescent="0.3">
      <c r="A457" s="72" t="s">
        <v>87</v>
      </c>
      <c r="B457" s="72" t="s">
        <v>95</v>
      </c>
      <c r="C457" s="153">
        <v>0.63194444444444442</v>
      </c>
      <c r="D457" s="72" t="s">
        <v>89</v>
      </c>
      <c r="E457" s="72" t="s">
        <v>185</v>
      </c>
      <c r="F457" s="72" t="s">
        <v>247</v>
      </c>
      <c r="G457" s="204"/>
      <c r="H457" s="73" t="s">
        <v>98</v>
      </c>
      <c r="I457" s="163">
        <v>0.97209999999999996</v>
      </c>
      <c r="J457" s="74">
        <v>174</v>
      </c>
      <c r="K457" s="75" t="s">
        <v>106</v>
      </c>
      <c r="L457" s="74">
        <v>4</v>
      </c>
      <c r="M457" s="74">
        <v>0</v>
      </c>
      <c r="N457" s="74">
        <v>0</v>
      </c>
      <c r="O457" s="76" t="s">
        <v>248</v>
      </c>
      <c r="P457" s="155">
        <v>0.63194444444444442</v>
      </c>
      <c r="Q457" s="74">
        <v>179</v>
      </c>
      <c r="R457" s="77" t="s">
        <v>249</v>
      </c>
    </row>
    <row r="458" spans="1:18" ht="15" customHeight="1" x14ac:dyDescent="0.3">
      <c r="A458" s="16" t="s">
        <v>130</v>
      </c>
      <c r="B458" s="16" t="s">
        <v>136</v>
      </c>
      <c r="C458" s="119">
        <v>0.37847222222222221</v>
      </c>
      <c r="D458" s="16" t="s">
        <v>132</v>
      </c>
      <c r="E458" s="16" t="s">
        <v>76</v>
      </c>
      <c r="F458" s="16" t="s">
        <v>176</v>
      </c>
      <c r="G458" s="20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130</v>
      </c>
      <c r="B459" s="14" t="s">
        <v>136</v>
      </c>
      <c r="C459" s="117">
        <v>0.37847222222222221</v>
      </c>
      <c r="D459" s="14" t="s">
        <v>134</v>
      </c>
      <c r="E459" s="14" t="s">
        <v>76</v>
      </c>
      <c r="F459" s="14" t="s">
        <v>177</v>
      </c>
      <c r="G459" s="20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5" t="s">
        <v>130</v>
      </c>
      <c r="B460" s="15" t="s">
        <v>138</v>
      </c>
      <c r="C460" s="118">
        <v>0.23958333333333329</v>
      </c>
      <c r="D460" s="15" t="s">
        <v>132</v>
      </c>
      <c r="E460" s="15" t="s">
        <v>76</v>
      </c>
      <c r="F460" s="15" t="s">
        <v>176</v>
      </c>
      <c r="G460" s="20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130</v>
      </c>
      <c r="B461" s="14" t="s">
        <v>138</v>
      </c>
      <c r="C461" s="117">
        <v>0.23958333333333329</v>
      </c>
      <c r="D461" s="14" t="s">
        <v>134</v>
      </c>
      <c r="E461" s="14" t="s">
        <v>76</v>
      </c>
      <c r="F461" s="14" t="s">
        <v>177</v>
      </c>
      <c r="G461" s="20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5" t="s">
        <v>130</v>
      </c>
      <c r="B462" s="15" t="s">
        <v>146</v>
      </c>
      <c r="C462" s="118">
        <v>0.1423611111111111</v>
      </c>
      <c r="D462" s="15" t="s">
        <v>132</v>
      </c>
      <c r="E462" s="15" t="s">
        <v>76</v>
      </c>
      <c r="F462" s="15" t="s">
        <v>133</v>
      </c>
      <c r="G462" s="20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130</v>
      </c>
      <c r="B463" s="14" t="s">
        <v>146</v>
      </c>
      <c r="C463" s="117">
        <v>0.1423611111111111</v>
      </c>
      <c r="D463" s="14" t="s">
        <v>134</v>
      </c>
      <c r="E463" s="14" t="s">
        <v>76</v>
      </c>
      <c r="F463" s="14" t="s">
        <v>135</v>
      </c>
      <c r="G463" s="20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5" t="s">
        <v>130</v>
      </c>
      <c r="B464" s="15" t="s">
        <v>131</v>
      </c>
      <c r="C464" s="118">
        <v>0.93055555555555558</v>
      </c>
      <c r="D464" s="15" t="s">
        <v>132</v>
      </c>
      <c r="E464" s="15" t="s">
        <v>76</v>
      </c>
      <c r="F464" s="15" t="s">
        <v>133</v>
      </c>
      <c r="G464" s="20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130</v>
      </c>
      <c r="B465" s="14" t="s">
        <v>131</v>
      </c>
      <c r="C465" s="117">
        <v>0.93055555555555558</v>
      </c>
      <c r="D465" s="14" t="s">
        <v>134</v>
      </c>
      <c r="E465" s="14" t="s">
        <v>76</v>
      </c>
      <c r="F465" s="14" t="s">
        <v>135</v>
      </c>
      <c r="G465" s="20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5" t="s">
        <v>130</v>
      </c>
      <c r="B466" s="15" t="s">
        <v>142</v>
      </c>
      <c r="C466" s="118">
        <v>0.12847222222222221</v>
      </c>
      <c r="D466" s="15" t="s">
        <v>134</v>
      </c>
      <c r="E466" s="15" t="s">
        <v>110</v>
      </c>
      <c r="F466" s="15" t="s">
        <v>250</v>
      </c>
      <c r="G466" s="20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5" t="s">
        <v>130</v>
      </c>
      <c r="B467" s="15" t="s">
        <v>141</v>
      </c>
      <c r="C467" s="118">
        <v>0.30208333333333331</v>
      </c>
      <c r="D467" s="15" t="s">
        <v>134</v>
      </c>
      <c r="E467" s="15" t="s">
        <v>110</v>
      </c>
      <c r="F467" s="15" t="s">
        <v>178</v>
      </c>
      <c r="G467" s="20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5" t="s">
        <v>130</v>
      </c>
      <c r="B468" s="15" t="s">
        <v>149</v>
      </c>
      <c r="C468" s="118">
        <v>0.78819444444444442</v>
      </c>
      <c r="D468" s="15" t="s">
        <v>134</v>
      </c>
      <c r="E468" s="15" t="s">
        <v>110</v>
      </c>
      <c r="F468" s="15" t="s">
        <v>178</v>
      </c>
      <c r="G468" s="20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5" t="s">
        <v>130</v>
      </c>
      <c r="B469" s="15" t="s">
        <v>148</v>
      </c>
      <c r="C469" s="118">
        <v>0.82986111111111116</v>
      </c>
      <c r="D469" s="15" t="s">
        <v>132</v>
      </c>
      <c r="E469" s="15" t="s">
        <v>96</v>
      </c>
      <c r="F469" s="15" t="s">
        <v>144</v>
      </c>
      <c r="G469" s="20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130</v>
      </c>
      <c r="B470" s="14" t="s">
        <v>148</v>
      </c>
      <c r="C470" s="117">
        <v>0.82986111111111116</v>
      </c>
      <c r="D470" s="14" t="s">
        <v>134</v>
      </c>
      <c r="E470" s="14" t="s">
        <v>96</v>
      </c>
      <c r="F470" s="14" t="s">
        <v>145</v>
      </c>
      <c r="G470" s="20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5" t="s">
        <v>130</v>
      </c>
      <c r="B471" s="15" t="s">
        <v>137</v>
      </c>
      <c r="C471" s="118">
        <v>0.61111111111111116</v>
      </c>
      <c r="D471" s="15" t="s">
        <v>132</v>
      </c>
      <c r="E471" s="15" t="s">
        <v>76</v>
      </c>
      <c r="F471" s="15" t="s">
        <v>144</v>
      </c>
      <c r="G471" s="20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130</v>
      </c>
      <c r="B472" s="14" t="s">
        <v>137</v>
      </c>
      <c r="C472" s="117">
        <v>0.61111111111111116</v>
      </c>
      <c r="D472" s="14" t="s">
        <v>134</v>
      </c>
      <c r="E472" s="14" t="s">
        <v>76</v>
      </c>
      <c r="F472" s="14" t="s">
        <v>145</v>
      </c>
      <c r="G472" s="20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5" t="s">
        <v>130</v>
      </c>
      <c r="B473" s="15" t="s">
        <v>139</v>
      </c>
      <c r="C473" s="118">
        <v>0.88888888888888884</v>
      </c>
      <c r="D473" s="15" t="s">
        <v>134</v>
      </c>
      <c r="E473" s="15" t="s">
        <v>110</v>
      </c>
      <c r="F473" s="15" t="s">
        <v>179</v>
      </c>
      <c r="G473" s="20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5" t="s">
        <v>130</v>
      </c>
      <c r="B474" s="15" t="s">
        <v>143</v>
      </c>
      <c r="C474" s="118">
        <v>6.9444444444444441E-3</v>
      </c>
      <c r="D474" s="15" t="s">
        <v>132</v>
      </c>
      <c r="E474" s="15" t="s">
        <v>76</v>
      </c>
      <c r="F474" s="15" t="s">
        <v>251</v>
      </c>
      <c r="G474" s="20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130</v>
      </c>
      <c r="B475" s="14" t="s">
        <v>143</v>
      </c>
      <c r="C475" s="117">
        <v>6.9444444444444441E-3</v>
      </c>
      <c r="D475" s="14" t="s">
        <v>134</v>
      </c>
      <c r="E475" s="14" t="s">
        <v>76</v>
      </c>
      <c r="F475" s="14" t="s">
        <v>252</v>
      </c>
      <c r="G475" s="20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5" t="s">
        <v>130</v>
      </c>
      <c r="B476" s="15" t="s">
        <v>147</v>
      </c>
      <c r="C476" s="118">
        <v>0.71875</v>
      </c>
      <c r="D476" s="15" t="s">
        <v>132</v>
      </c>
      <c r="E476" s="15" t="s">
        <v>103</v>
      </c>
      <c r="F476" s="15" t="s">
        <v>251</v>
      </c>
      <c r="G476" s="20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130</v>
      </c>
      <c r="B477" s="14" t="s">
        <v>147</v>
      </c>
      <c r="C477" s="117">
        <v>0.71875</v>
      </c>
      <c r="D477" s="14" t="s">
        <v>134</v>
      </c>
      <c r="E477" s="14" t="s">
        <v>103</v>
      </c>
      <c r="F477" s="14" t="s">
        <v>252</v>
      </c>
      <c r="G477" s="20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115</v>
      </c>
      <c r="B478" s="16" t="s">
        <v>123</v>
      </c>
      <c r="C478" s="119">
        <v>0.95833333333333337</v>
      </c>
      <c r="D478" s="16" t="s">
        <v>124</v>
      </c>
      <c r="E478" s="16" t="s">
        <v>29</v>
      </c>
      <c r="F478" s="16" t="s">
        <v>253</v>
      </c>
      <c r="G478" s="204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5" t="s">
        <v>115</v>
      </c>
      <c r="B479" s="15" t="s">
        <v>126</v>
      </c>
      <c r="C479" s="118">
        <v>0.77430555555555558</v>
      </c>
      <c r="D479" s="15" t="s">
        <v>124</v>
      </c>
      <c r="E479" s="15" t="s">
        <v>36</v>
      </c>
      <c r="F479" s="15" t="s">
        <v>127</v>
      </c>
      <c r="G479" s="20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5" t="s">
        <v>115</v>
      </c>
      <c r="B480" s="15" t="s">
        <v>116</v>
      </c>
      <c r="C480" s="118">
        <v>0.22222222222222221</v>
      </c>
      <c r="D480" s="15" t="s">
        <v>124</v>
      </c>
      <c r="E480" s="15" t="s">
        <v>36</v>
      </c>
      <c r="F480" s="15" t="s">
        <v>254</v>
      </c>
      <c r="G480" s="20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thickBot="1" x14ac:dyDescent="0.35">
      <c r="A481" s="41" t="s">
        <v>115</v>
      </c>
      <c r="B481" s="41" t="s">
        <v>120</v>
      </c>
      <c r="C481" s="132">
        <v>0.27777777777777779</v>
      </c>
      <c r="D481" s="41" t="s">
        <v>124</v>
      </c>
      <c r="E481" s="41" t="s">
        <v>29</v>
      </c>
      <c r="F481" s="41" t="s">
        <v>255</v>
      </c>
      <c r="G481" s="205"/>
      <c r="H481" s="42"/>
      <c r="I481" s="43"/>
      <c r="J481" s="43"/>
      <c r="K481" s="43"/>
      <c r="L481" s="43"/>
      <c r="M481" s="43"/>
      <c r="N481" s="43"/>
      <c r="O481" s="44"/>
      <c r="P481" s="43"/>
      <c r="Q481" s="45"/>
      <c r="R481" s="46"/>
    </row>
    <row r="482" spans="1:18" ht="17.399999999999999" customHeight="1" thickBot="1" x14ac:dyDescent="0.35">
      <c r="A482" s="200"/>
      <c r="B482" s="201"/>
      <c r="C482" s="201"/>
      <c r="D482" s="201"/>
      <c r="E482" s="201"/>
      <c r="F482" s="201"/>
      <c r="G482" s="201"/>
      <c r="H482" s="201"/>
      <c r="I482" s="201"/>
      <c r="J482" s="201"/>
      <c r="K482" s="201"/>
      <c r="L482" s="201"/>
      <c r="M482" s="201"/>
      <c r="N482" s="201"/>
      <c r="O482" s="201"/>
      <c r="P482" s="201"/>
      <c r="Q482" s="201"/>
      <c r="R482" s="202"/>
    </row>
    <row r="483" spans="1:18" ht="22.05" customHeight="1" thickTop="1" thickBot="1" x14ac:dyDescent="0.35">
      <c r="A483" s="197" t="s">
        <v>6</v>
      </c>
      <c r="B483" s="198"/>
      <c r="C483" s="198"/>
      <c r="D483" s="198"/>
      <c r="E483" s="198"/>
      <c r="F483" s="199"/>
      <c r="G483" s="133">
        <v>45999</v>
      </c>
      <c r="H483" s="207" t="s">
        <v>7</v>
      </c>
      <c r="I483" s="198"/>
      <c r="J483" s="198"/>
      <c r="K483" s="198"/>
      <c r="L483" s="198"/>
      <c r="M483" s="198"/>
      <c r="N483" s="198"/>
      <c r="O483" s="198"/>
      <c r="P483" s="198"/>
      <c r="Q483" s="198"/>
      <c r="R483" s="199"/>
    </row>
    <row r="484" spans="1:18" ht="24" customHeight="1" x14ac:dyDescent="0.3">
      <c r="A484" s="47" t="s">
        <v>8</v>
      </c>
      <c r="B484" s="47" t="s">
        <v>9</v>
      </c>
      <c r="C484" s="134" t="s">
        <v>10</v>
      </c>
      <c r="D484" s="47" t="s">
        <v>11</v>
      </c>
      <c r="E484" s="47" t="s">
        <v>12</v>
      </c>
      <c r="F484" s="48" t="s">
        <v>13</v>
      </c>
      <c r="G484" s="49" t="s">
        <v>14</v>
      </c>
      <c r="H484" s="47" t="s">
        <v>15</v>
      </c>
      <c r="I484" s="135" t="s">
        <v>16</v>
      </c>
      <c r="J484" s="50" t="s">
        <v>17</v>
      </c>
      <c r="K484" s="51" t="s">
        <v>18</v>
      </c>
      <c r="L484" s="50" t="s">
        <v>19</v>
      </c>
      <c r="M484" s="50" t="s">
        <v>20</v>
      </c>
      <c r="N484" s="50" t="s">
        <v>21</v>
      </c>
      <c r="O484" s="47" t="s">
        <v>22</v>
      </c>
      <c r="P484" s="134" t="s">
        <v>23</v>
      </c>
      <c r="Q484" s="50" t="s">
        <v>24</v>
      </c>
      <c r="R484" s="47" t="s">
        <v>25</v>
      </c>
    </row>
    <row r="485" spans="1:18" ht="15" customHeight="1" x14ac:dyDescent="0.3">
      <c r="A485" s="8" t="s">
        <v>26</v>
      </c>
      <c r="B485" s="8" t="s">
        <v>35</v>
      </c>
      <c r="C485" s="116">
        <v>0.12847222222222221</v>
      </c>
      <c r="D485" s="8" t="s">
        <v>28</v>
      </c>
      <c r="E485" s="8" t="s">
        <v>54</v>
      </c>
      <c r="F485" s="8" t="s">
        <v>234</v>
      </c>
      <c r="G485" s="20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35</v>
      </c>
      <c r="C486" s="117">
        <v>0.12847222222222221</v>
      </c>
      <c r="D486" s="14" t="s">
        <v>31</v>
      </c>
      <c r="E486" s="14" t="s">
        <v>54</v>
      </c>
      <c r="F486" s="14" t="s">
        <v>63</v>
      </c>
      <c r="G486" s="20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35</v>
      </c>
      <c r="C487" s="117">
        <v>0.12847222222222221</v>
      </c>
      <c r="D487" s="14" t="s">
        <v>33</v>
      </c>
      <c r="E487" s="14" t="s">
        <v>54</v>
      </c>
      <c r="F487" s="14" t="s">
        <v>34</v>
      </c>
      <c r="G487" s="204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5" t="s">
        <v>26</v>
      </c>
      <c r="B488" s="15" t="s">
        <v>39</v>
      </c>
      <c r="C488" s="118">
        <v>0.30208333333333331</v>
      </c>
      <c r="D488" s="15" t="s">
        <v>28</v>
      </c>
      <c r="E488" s="15" t="s">
        <v>40</v>
      </c>
      <c r="F488" s="15" t="s">
        <v>180</v>
      </c>
      <c r="G488" s="20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39</v>
      </c>
      <c r="C489" s="117">
        <v>0.30208333333333331</v>
      </c>
      <c r="D489" s="14" t="s">
        <v>31</v>
      </c>
      <c r="E489" s="14" t="s">
        <v>40</v>
      </c>
      <c r="F489" s="14" t="s">
        <v>181</v>
      </c>
      <c r="G489" s="20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39</v>
      </c>
      <c r="C490" s="117">
        <v>0.30208333333333331</v>
      </c>
      <c r="D490" s="14" t="s">
        <v>33</v>
      </c>
      <c r="E490" s="14" t="s">
        <v>40</v>
      </c>
      <c r="F490" s="14" t="s">
        <v>34</v>
      </c>
      <c r="G490" s="20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5" t="s">
        <v>26</v>
      </c>
      <c r="B491" s="15" t="s">
        <v>41</v>
      </c>
      <c r="C491" s="118">
        <v>0.78819444444444442</v>
      </c>
      <c r="D491" s="15" t="s">
        <v>28</v>
      </c>
      <c r="E491" s="15" t="s">
        <v>256</v>
      </c>
      <c r="F491" s="15" t="s">
        <v>180</v>
      </c>
      <c r="G491" s="20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26</v>
      </c>
      <c r="B492" s="14" t="s">
        <v>41</v>
      </c>
      <c r="C492" s="117">
        <v>0.78819444444444442</v>
      </c>
      <c r="D492" s="14" t="s">
        <v>31</v>
      </c>
      <c r="E492" s="14" t="s">
        <v>256</v>
      </c>
      <c r="F492" s="14" t="s">
        <v>181</v>
      </c>
      <c r="G492" s="20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41</v>
      </c>
      <c r="C493" s="117">
        <v>0.78819444444444442</v>
      </c>
      <c r="D493" s="14" t="s">
        <v>33</v>
      </c>
      <c r="E493" s="14" t="s">
        <v>256</v>
      </c>
      <c r="F493" s="14" t="s">
        <v>34</v>
      </c>
      <c r="G493" s="20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5" t="s">
        <v>26</v>
      </c>
      <c r="B494" s="15" t="s">
        <v>27</v>
      </c>
      <c r="C494" s="118">
        <v>0.88888888888888884</v>
      </c>
      <c r="D494" s="15" t="s">
        <v>28</v>
      </c>
      <c r="E494" s="15" t="s">
        <v>29</v>
      </c>
      <c r="F494" s="15" t="s">
        <v>37</v>
      </c>
      <c r="G494" s="20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27</v>
      </c>
      <c r="C495" s="117">
        <v>0.88888888888888884</v>
      </c>
      <c r="D495" s="14" t="s">
        <v>31</v>
      </c>
      <c r="E495" s="14" t="s">
        <v>29</v>
      </c>
      <c r="F495" s="14" t="s">
        <v>38</v>
      </c>
      <c r="G495" s="20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26</v>
      </c>
      <c r="B496" s="14" t="s">
        <v>27</v>
      </c>
      <c r="C496" s="117">
        <v>0.88888888888888884</v>
      </c>
      <c r="D496" s="14" t="s">
        <v>33</v>
      </c>
      <c r="E496" s="14" t="s">
        <v>29</v>
      </c>
      <c r="F496" s="14" t="s">
        <v>34</v>
      </c>
      <c r="G496" s="20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70</v>
      </c>
      <c r="B497" s="16" t="s">
        <v>71</v>
      </c>
      <c r="C497" s="119">
        <v>0.20833333333333329</v>
      </c>
      <c r="D497" s="16" t="s">
        <v>72</v>
      </c>
      <c r="E497" s="16" t="s">
        <v>76</v>
      </c>
      <c r="F497" s="16" t="s">
        <v>236</v>
      </c>
      <c r="G497" s="20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45</v>
      </c>
      <c r="B498" s="16" t="s">
        <v>57</v>
      </c>
      <c r="C498" s="119">
        <v>0.25694444444444442</v>
      </c>
      <c r="D498" s="16" t="s">
        <v>47</v>
      </c>
      <c r="E498" s="16" t="s">
        <v>29</v>
      </c>
      <c r="F498" s="16" t="s">
        <v>180</v>
      </c>
      <c r="G498" s="20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45</v>
      </c>
      <c r="B499" s="14" t="s">
        <v>57</v>
      </c>
      <c r="C499" s="117">
        <v>0.25694444444444442</v>
      </c>
      <c r="D499" s="14" t="s">
        <v>49</v>
      </c>
      <c r="E499" s="14" t="s">
        <v>29</v>
      </c>
      <c r="F499" s="14" t="s">
        <v>196</v>
      </c>
      <c r="G499" s="20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45</v>
      </c>
      <c r="B500" s="14" t="s">
        <v>57</v>
      </c>
      <c r="C500" s="117">
        <v>0.25694444444444442</v>
      </c>
      <c r="D500" s="14" t="s">
        <v>51</v>
      </c>
      <c r="E500" s="14" t="s">
        <v>29</v>
      </c>
      <c r="F500" s="14" t="s">
        <v>197</v>
      </c>
      <c r="G500" s="20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5" t="s">
        <v>45</v>
      </c>
      <c r="B501" s="15" t="s">
        <v>46</v>
      </c>
      <c r="C501" s="118">
        <v>0.39583333333333331</v>
      </c>
      <c r="D501" s="15" t="s">
        <v>47</v>
      </c>
      <c r="E501" s="15" t="s">
        <v>29</v>
      </c>
      <c r="F501" s="15" t="s">
        <v>180</v>
      </c>
      <c r="G501" s="20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45</v>
      </c>
      <c r="B502" s="14" t="s">
        <v>46</v>
      </c>
      <c r="C502" s="117">
        <v>0.39583333333333331</v>
      </c>
      <c r="D502" s="14" t="s">
        <v>49</v>
      </c>
      <c r="E502" s="14" t="s">
        <v>29</v>
      </c>
      <c r="F502" s="14" t="s">
        <v>196</v>
      </c>
      <c r="G502" s="20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45</v>
      </c>
      <c r="B503" s="14" t="s">
        <v>46</v>
      </c>
      <c r="C503" s="117">
        <v>0.39583333333333331</v>
      </c>
      <c r="D503" s="14" t="s">
        <v>51</v>
      </c>
      <c r="E503" s="14" t="s">
        <v>29</v>
      </c>
      <c r="F503" s="14" t="s">
        <v>197</v>
      </c>
      <c r="G503" s="20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5" t="s">
        <v>45</v>
      </c>
      <c r="B504" s="15" t="s">
        <v>58</v>
      </c>
      <c r="C504" s="118">
        <v>0.46875</v>
      </c>
      <c r="D504" s="15" t="s">
        <v>47</v>
      </c>
      <c r="E504" s="15" t="s">
        <v>185</v>
      </c>
      <c r="F504" s="15" t="s">
        <v>48</v>
      </c>
      <c r="G504" s="20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45</v>
      </c>
      <c r="B505" s="14" t="s">
        <v>58</v>
      </c>
      <c r="C505" s="117">
        <v>0.46875</v>
      </c>
      <c r="D505" s="14" t="s">
        <v>49</v>
      </c>
      <c r="E505" s="14" t="s">
        <v>185</v>
      </c>
      <c r="F505" s="14" t="s">
        <v>50</v>
      </c>
      <c r="G505" s="20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45</v>
      </c>
      <c r="B506" s="14" t="s">
        <v>58</v>
      </c>
      <c r="C506" s="117">
        <v>0.46875</v>
      </c>
      <c r="D506" s="14" t="s">
        <v>51</v>
      </c>
      <c r="E506" s="14" t="s">
        <v>185</v>
      </c>
      <c r="F506" s="14" t="s">
        <v>52</v>
      </c>
      <c r="G506" s="20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5" t="s">
        <v>45</v>
      </c>
      <c r="B507" s="15" t="s">
        <v>62</v>
      </c>
      <c r="C507" s="118">
        <v>0.51736111111111116</v>
      </c>
      <c r="D507" s="15" t="s">
        <v>47</v>
      </c>
      <c r="E507" s="15" t="s">
        <v>42</v>
      </c>
      <c r="F507" s="15" t="s">
        <v>48</v>
      </c>
      <c r="G507" s="20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45</v>
      </c>
      <c r="B508" s="14" t="s">
        <v>62</v>
      </c>
      <c r="C508" s="117">
        <v>0.51736111111111116</v>
      </c>
      <c r="D508" s="14" t="s">
        <v>49</v>
      </c>
      <c r="E508" s="14" t="s">
        <v>42</v>
      </c>
      <c r="F508" s="14" t="s">
        <v>50</v>
      </c>
      <c r="G508" s="20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45</v>
      </c>
      <c r="B509" s="14" t="s">
        <v>62</v>
      </c>
      <c r="C509" s="117">
        <v>0.51736111111111116</v>
      </c>
      <c r="D509" s="14" t="s">
        <v>51</v>
      </c>
      <c r="E509" s="14" t="s">
        <v>42</v>
      </c>
      <c r="F509" s="14" t="s">
        <v>52</v>
      </c>
      <c r="G509" s="204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5" t="s">
        <v>45</v>
      </c>
      <c r="B510" s="15" t="s">
        <v>60</v>
      </c>
      <c r="C510" s="118">
        <v>0.79861111111111116</v>
      </c>
      <c r="D510" s="15" t="s">
        <v>47</v>
      </c>
      <c r="E510" s="15" t="s">
        <v>29</v>
      </c>
      <c r="F510" s="15" t="s">
        <v>48</v>
      </c>
      <c r="G510" s="204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45</v>
      </c>
      <c r="B511" s="14" t="s">
        <v>60</v>
      </c>
      <c r="C511" s="117">
        <v>0.79861111111111116</v>
      </c>
      <c r="D511" s="14" t="s">
        <v>49</v>
      </c>
      <c r="E511" s="14" t="s">
        <v>29</v>
      </c>
      <c r="F511" s="14" t="s">
        <v>50</v>
      </c>
      <c r="G511" s="20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45</v>
      </c>
      <c r="B512" s="14" t="s">
        <v>60</v>
      </c>
      <c r="C512" s="117">
        <v>0.79861111111111116</v>
      </c>
      <c r="D512" s="14" t="s">
        <v>51</v>
      </c>
      <c r="E512" s="14" t="s">
        <v>29</v>
      </c>
      <c r="F512" s="14" t="s">
        <v>52</v>
      </c>
      <c r="G512" s="20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5" t="s">
        <v>45</v>
      </c>
      <c r="B513" s="15" t="s">
        <v>66</v>
      </c>
      <c r="C513" s="118">
        <v>0.64583333333333337</v>
      </c>
      <c r="D513" s="15" t="s">
        <v>47</v>
      </c>
      <c r="E513" s="15" t="s">
        <v>42</v>
      </c>
      <c r="F513" s="15" t="s">
        <v>48</v>
      </c>
      <c r="G513" s="20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45</v>
      </c>
      <c r="B514" s="14" t="s">
        <v>66</v>
      </c>
      <c r="C514" s="117">
        <v>0.64583333333333337</v>
      </c>
      <c r="D514" s="14" t="s">
        <v>49</v>
      </c>
      <c r="E514" s="14" t="s">
        <v>42</v>
      </c>
      <c r="F514" s="14" t="s">
        <v>50</v>
      </c>
      <c r="G514" s="20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45</v>
      </c>
      <c r="B515" s="14" t="s">
        <v>66</v>
      </c>
      <c r="C515" s="117">
        <v>0.64583333333333337</v>
      </c>
      <c r="D515" s="14" t="s">
        <v>51</v>
      </c>
      <c r="E515" s="14" t="s">
        <v>42</v>
      </c>
      <c r="F515" s="14" t="s">
        <v>52</v>
      </c>
      <c r="G515" s="20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5" t="s">
        <v>45</v>
      </c>
      <c r="B516" s="15" t="s">
        <v>53</v>
      </c>
      <c r="C516" s="118">
        <v>0.85416666666666663</v>
      </c>
      <c r="D516" s="15" t="s">
        <v>47</v>
      </c>
      <c r="E516" s="15" t="s">
        <v>29</v>
      </c>
      <c r="F516" s="15" t="s">
        <v>55</v>
      </c>
      <c r="G516" s="20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45</v>
      </c>
      <c r="B517" s="14" t="s">
        <v>53</v>
      </c>
      <c r="C517" s="117">
        <v>0.85416666666666663</v>
      </c>
      <c r="D517" s="14" t="s">
        <v>49</v>
      </c>
      <c r="E517" s="14" t="s">
        <v>29</v>
      </c>
      <c r="F517" s="14" t="s">
        <v>32</v>
      </c>
      <c r="G517" s="20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45</v>
      </c>
      <c r="B518" s="14" t="s">
        <v>53</v>
      </c>
      <c r="C518" s="117">
        <v>0.85416666666666663</v>
      </c>
      <c r="D518" s="14" t="s">
        <v>51</v>
      </c>
      <c r="E518" s="14" t="s">
        <v>29</v>
      </c>
      <c r="F518" s="14" t="s">
        <v>56</v>
      </c>
      <c r="G518" s="20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5" t="s">
        <v>45</v>
      </c>
      <c r="B519" s="15" t="s">
        <v>59</v>
      </c>
      <c r="C519" s="118">
        <v>0.90277777777777779</v>
      </c>
      <c r="D519" s="15" t="s">
        <v>47</v>
      </c>
      <c r="E519" s="15" t="s">
        <v>185</v>
      </c>
      <c r="F519" s="15" t="s">
        <v>63</v>
      </c>
      <c r="G519" s="20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45</v>
      </c>
      <c r="B520" s="14" t="s">
        <v>59</v>
      </c>
      <c r="C520" s="117">
        <v>0.90277777777777779</v>
      </c>
      <c r="D520" s="14" t="s">
        <v>49</v>
      </c>
      <c r="E520" s="14" t="s">
        <v>185</v>
      </c>
      <c r="F520" s="14" t="s">
        <v>64</v>
      </c>
      <c r="G520" s="20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45</v>
      </c>
      <c r="B521" s="14" t="s">
        <v>59</v>
      </c>
      <c r="C521" s="117">
        <v>0.90277777777777779</v>
      </c>
      <c r="D521" s="14" t="s">
        <v>51</v>
      </c>
      <c r="E521" s="14" t="s">
        <v>185</v>
      </c>
      <c r="F521" s="14" t="s">
        <v>65</v>
      </c>
      <c r="G521" s="20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79</v>
      </c>
      <c r="B522" s="16" t="s">
        <v>84</v>
      </c>
      <c r="C522" s="119">
        <v>0.3923611111111111</v>
      </c>
      <c r="D522" s="16" t="s">
        <v>81</v>
      </c>
      <c r="E522" s="16" t="s">
        <v>54</v>
      </c>
      <c r="F522" s="16" t="s">
        <v>257</v>
      </c>
      <c r="G522" s="20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79</v>
      </c>
      <c r="B523" s="14" t="s">
        <v>84</v>
      </c>
      <c r="C523" s="117">
        <v>0.3923611111111111</v>
      </c>
      <c r="D523" s="14" t="s">
        <v>33</v>
      </c>
      <c r="E523" s="14" t="s">
        <v>54</v>
      </c>
      <c r="F523" s="14" t="s">
        <v>85</v>
      </c>
      <c r="G523" s="20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5" t="s">
        <v>79</v>
      </c>
      <c r="B524" s="15" t="s">
        <v>80</v>
      </c>
      <c r="C524" s="118">
        <v>0.1736111111111111</v>
      </c>
      <c r="D524" s="15" t="s">
        <v>81</v>
      </c>
      <c r="E524" s="15" t="s">
        <v>54</v>
      </c>
      <c r="F524" s="15" t="s">
        <v>257</v>
      </c>
      <c r="G524" s="20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79</v>
      </c>
      <c r="B525" s="14" t="s">
        <v>80</v>
      </c>
      <c r="C525" s="117">
        <v>0.1736111111111111</v>
      </c>
      <c r="D525" s="14" t="s">
        <v>33</v>
      </c>
      <c r="E525" s="14" t="s">
        <v>54</v>
      </c>
      <c r="F525" s="14" t="s">
        <v>85</v>
      </c>
      <c r="G525" s="20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74</v>
      </c>
      <c r="B526" s="16" t="s">
        <v>78</v>
      </c>
      <c r="C526" s="119">
        <v>0.66666666666666663</v>
      </c>
      <c r="D526" s="16" t="s">
        <v>72</v>
      </c>
      <c r="E526" s="16" t="s">
        <v>76</v>
      </c>
      <c r="F526" s="16" t="s">
        <v>77</v>
      </c>
      <c r="G526" s="20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7" t="s">
        <v>87</v>
      </c>
      <c r="B527" s="17" t="s">
        <v>102</v>
      </c>
      <c r="C527" s="120">
        <v>6.9444444444444441E-3</v>
      </c>
      <c r="D527" s="17" t="s">
        <v>89</v>
      </c>
      <c r="E527" s="17" t="s">
        <v>36</v>
      </c>
      <c r="F527" s="17" t="s">
        <v>159</v>
      </c>
      <c r="G527" s="204"/>
      <c r="H527" s="18" t="s">
        <v>105</v>
      </c>
      <c r="I527" s="121">
        <v>0.88270000000000004</v>
      </c>
      <c r="J527" s="19">
        <v>158</v>
      </c>
      <c r="K527" s="20" t="s">
        <v>99</v>
      </c>
      <c r="L527" s="19">
        <v>8</v>
      </c>
      <c r="M527" s="19">
        <v>0</v>
      </c>
      <c r="N527" s="19">
        <v>1</v>
      </c>
      <c r="O527" s="21" t="s">
        <v>160</v>
      </c>
      <c r="P527" s="122">
        <v>6.9444444444444441E-3</v>
      </c>
      <c r="Q527" s="19">
        <v>179</v>
      </c>
      <c r="R527" s="22" t="s">
        <v>258</v>
      </c>
    </row>
    <row r="528" spans="1:18" ht="15" customHeight="1" x14ac:dyDescent="0.3">
      <c r="A528" s="64" t="s">
        <v>87</v>
      </c>
      <c r="B528" s="64" t="s">
        <v>95</v>
      </c>
      <c r="C528" s="144">
        <v>0.61458333333333337</v>
      </c>
      <c r="D528" s="64" t="s">
        <v>89</v>
      </c>
      <c r="E528" s="64" t="s">
        <v>103</v>
      </c>
      <c r="F528" s="64" t="s">
        <v>90</v>
      </c>
      <c r="G528" s="204"/>
      <c r="H528" s="65" t="s">
        <v>98</v>
      </c>
      <c r="I528" s="158">
        <v>0.87709999999999999</v>
      </c>
      <c r="J528" s="66">
        <v>157</v>
      </c>
      <c r="K528" s="67" t="s">
        <v>92</v>
      </c>
      <c r="L528" s="66">
        <v>16</v>
      </c>
      <c r="M528" s="66">
        <v>2</v>
      </c>
      <c r="N528" s="66">
        <v>0</v>
      </c>
      <c r="O528" s="68" t="s">
        <v>174</v>
      </c>
      <c r="P528" s="146">
        <v>0.61458333333333337</v>
      </c>
      <c r="Q528" s="66">
        <v>179</v>
      </c>
      <c r="R528" s="69" t="s">
        <v>259</v>
      </c>
    </row>
    <row r="529" spans="1:18" ht="15" customHeight="1" x14ac:dyDescent="0.3">
      <c r="A529" s="78" t="s">
        <v>87</v>
      </c>
      <c r="B529" s="78" t="s">
        <v>109</v>
      </c>
      <c r="C529" s="157">
        <v>0.4236111111111111</v>
      </c>
      <c r="D529" s="78" t="s">
        <v>89</v>
      </c>
      <c r="E529" s="78" t="s">
        <v>76</v>
      </c>
      <c r="F529" s="78" t="s">
        <v>104</v>
      </c>
      <c r="G529" s="204"/>
      <c r="H529" s="53" t="s">
        <v>111</v>
      </c>
      <c r="I529" s="162">
        <v>0.88270000000000004</v>
      </c>
      <c r="J529" s="54">
        <v>158</v>
      </c>
      <c r="K529" s="55" t="s">
        <v>260</v>
      </c>
      <c r="L529" s="54">
        <v>3</v>
      </c>
      <c r="M529" s="54">
        <v>0</v>
      </c>
      <c r="N529" s="54">
        <v>0</v>
      </c>
      <c r="O529" s="56" t="s">
        <v>224</v>
      </c>
      <c r="P529" s="138">
        <v>0.4236111111111111</v>
      </c>
      <c r="Q529" s="54">
        <v>179</v>
      </c>
      <c r="R529" s="57" t="s">
        <v>261</v>
      </c>
    </row>
    <row r="530" spans="1:18" ht="15" customHeight="1" x14ac:dyDescent="0.3">
      <c r="A530" s="35" t="s">
        <v>87</v>
      </c>
      <c r="B530" s="35" t="s">
        <v>88</v>
      </c>
      <c r="C530" s="129">
        <v>0.97916666666666663</v>
      </c>
      <c r="D530" s="35" t="s">
        <v>89</v>
      </c>
      <c r="E530" s="35" t="s">
        <v>76</v>
      </c>
      <c r="F530" s="35" t="s">
        <v>104</v>
      </c>
      <c r="G530" s="204"/>
      <c r="H530" s="36" t="s">
        <v>91</v>
      </c>
      <c r="I530" s="130">
        <v>0.89939999999999998</v>
      </c>
      <c r="J530" s="37">
        <v>161</v>
      </c>
      <c r="K530" s="38" t="s">
        <v>262</v>
      </c>
      <c r="L530" s="37">
        <v>4</v>
      </c>
      <c r="M530" s="37">
        <v>0</v>
      </c>
      <c r="N530" s="37">
        <v>0</v>
      </c>
      <c r="O530" s="39" t="s">
        <v>224</v>
      </c>
      <c r="P530" s="131">
        <v>0.97916666666666663</v>
      </c>
      <c r="Q530" s="37">
        <v>179</v>
      </c>
      <c r="R530" s="40" t="s">
        <v>263</v>
      </c>
    </row>
    <row r="531" spans="1:18" ht="15" customHeight="1" x14ac:dyDescent="0.3">
      <c r="A531" s="16" t="s">
        <v>115</v>
      </c>
      <c r="B531" s="16" t="s">
        <v>116</v>
      </c>
      <c r="C531" s="119">
        <v>0.22916666666666671</v>
      </c>
      <c r="D531" s="16" t="s">
        <v>117</v>
      </c>
      <c r="E531" s="16" t="s">
        <v>76</v>
      </c>
      <c r="F531" s="16" t="s">
        <v>118</v>
      </c>
      <c r="G531" s="204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5" t="s">
        <v>115</v>
      </c>
      <c r="B532" s="15" t="s">
        <v>119</v>
      </c>
      <c r="C532" s="118">
        <v>0.14583333333333329</v>
      </c>
      <c r="D532" s="15" t="s">
        <v>117</v>
      </c>
      <c r="E532" s="15" t="s">
        <v>76</v>
      </c>
      <c r="F532" s="15" t="s">
        <v>118</v>
      </c>
      <c r="G532" s="20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5" t="s">
        <v>115</v>
      </c>
      <c r="B533" s="15" t="s">
        <v>120</v>
      </c>
      <c r="C533" s="118">
        <v>0.27777777777777779</v>
      </c>
      <c r="D533" s="15" t="s">
        <v>117</v>
      </c>
      <c r="E533" s="15" t="s">
        <v>76</v>
      </c>
      <c r="F533" s="15" t="s">
        <v>118</v>
      </c>
      <c r="G533" s="20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5" t="s">
        <v>115</v>
      </c>
      <c r="B534" s="15" t="s">
        <v>121</v>
      </c>
      <c r="C534" s="118">
        <v>0.4861111111111111</v>
      </c>
      <c r="D534" s="15" t="s">
        <v>117</v>
      </c>
      <c r="E534" s="15" t="s">
        <v>76</v>
      </c>
      <c r="F534" s="15" t="s">
        <v>118</v>
      </c>
      <c r="G534" s="20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5" t="s">
        <v>115</v>
      </c>
      <c r="B535" s="15" t="s">
        <v>128</v>
      </c>
      <c r="C535" s="118">
        <v>1.388888888888889E-2</v>
      </c>
      <c r="D535" s="15" t="s">
        <v>117</v>
      </c>
      <c r="E535" s="15" t="s">
        <v>76</v>
      </c>
      <c r="F535" s="15" t="s">
        <v>217</v>
      </c>
      <c r="G535" s="20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5" t="s">
        <v>115</v>
      </c>
      <c r="B536" s="15" t="s">
        <v>126</v>
      </c>
      <c r="C536" s="118">
        <v>0.77083333333333337</v>
      </c>
      <c r="D536" s="15" t="s">
        <v>124</v>
      </c>
      <c r="E536" s="15" t="s">
        <v>76</v>
      </c>
      <c r="F536" s="15" t="s">
        <v>127</v>
      </c>
      <c r="G536" s="20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5" t="s">
        <v>115</v>
      </c>
      <c r="B537" s="15" t="s">
        <v>122</v>
      </c>
      <c r="C537" s="118">
        <v>0.51388888888888884</v>
      </c>
      <c r="D537" s="15" t="s">
        <v>124</v>
      </c>
      <c r="E537" s="15" t="s">
        <v>36</v>
      </c>
      <c r="F537" s="15" t="s">
        <v>254</v>
      </c>
      <c r="G537" s="20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130</v>
      </c>
      <c r="B538" s="16" t="s">
        <v>148</v>
      </c>
      <c r="C538" s="119">
        <v>0.82986111111111116</v>
      </c>
      <c r="D538" s="16" t="s">
        <v>132</v>
      </c>
      <c r="E538" s="16" t="s">
        <v>76</v>
      </c>
      <c r="F538" s="16" t="s">
        <v>176</v>
      </c>
      <c r="G538" s="20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130</v>
      </c>
      <c r="B539" s="14" t="s">
        <v>148</v>
      </c>
      <c r="C539" s="117">
        <v>0.82986111111111116</v>
      </c>
      <c r="D539" s="14" t="s">
        <v>134</v>
      </c>
      <c r="E539" s="14" t="s">
        <v>76</v>
      </c>
      <c r="F539" s="14" t="s">
        <v>177</v>
      </c>
      <c r="G539" s="20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5" t="s">
        <v>130</v>
      </c>
      <c r="B540" s="15" t="s">
        <v>143</v>
      </c>
      <c r="C540" s="118">
        <v>6.9444444444444441E-3</v>
      </c>
      <c r="D540" s="15" t="s">
        <v>132</v>
      </c>
      <c r="E540" s="15" t="s">
        <v>76</v>
      </c>
      <c r="F540" s="15" t="s">
        <v>133</v>
      </c>
      <c r="G540" s="204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130</v>
      </c>
      <c r="B541" s="14" t="s">
        <v>143</v>
      </c>
      <c r="C541" s="117">
        <v>6.9444444444444441E-3</v>
      </c>
      <c r="D541" s="14" t="s">
        <v>134</v>
      </c>
      <c r="E541" s="14" t="s">
        <v>76</v>
      </c>
      <c r="F541" s="14" t="s">
        <v>135</v>
      </c>
      <c r="G541" s="204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5" t="s">
        <v>130</v>
      </c>
      <c r="B542" s="15" t="s">
        <v>146</v>
      </c>
      <c r="C542" s="118">
        <v>0.1423611111111111</v>
      </c>
      <c r="D542" s="15" t="s">
        <v>132</v>
      </c>
      <c r="E542" s="15" t="s">
        <v>76</v>
      </c>
      <c r="F542" s="15" t="s">
        <v>133</v>
      </c>
      <c r="G542" s="204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130</v>
      </c>
      <c r="B543" s="14" t="s">
        <v>146</v>
      </c>
      <c r="C543" s="117">
        <v>0.1423611111111111</v>
      </c>
      <c r="D543" s="14" t="s">
        <v>134</v>
      </c>
      <c r="E543" s="14" t="s">
        <v>76</v>
      </c>
      <c r="F543" s="14" t="s">
        <v>135</v>
      </c>
      <c r="G543" s="204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5" t="s">
        <v>130</v>
      </c>
      <c r="B544" s="15" t="s">
        <v>147</v>
      </c>
      <c r="C544" s="118">
        <v>0.71875</v>
      </c>
      <c r="D544" s="15" t="s">
        <v>132</v>
      </c>
      <c r="E544" s="15" t="s">
        <v>76</v>
      </c>
      <c r="F544" s="15" t="s">
        <v>133</v>
      </c>
      <c r="G544" s="20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130</v>
      </c>
      <c r="B545" s="14" t="s">
        <v>147</v>
      </c>
      <c r="C545" s="117">
        <v>0.71875</v>
      </c>
      <c r="D545" s="14" t="s">
        <v>134</v>
      </c>
      <c r="E545" s="14" t="s">
        <v>76</v>
      </c>
      <c r="F545" s="14" t="s">
        <v>135</v>
      </c>
      <c r="G545" s="20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5" t="s">
        <v>130</v>
      </c>
      <c r="B546" s="15" t="s">
        <v>136</v>
      </c>
      <c r="C546" s="118">
        <v>0.37847222222222221</v>
      </c>
      <c r="D546" s="15" t="s">
        <v>132</v>
      </c>
      <c r="E546" s="15" t="s">
        <v>76</v>
      </c>
      <c r="F546" s="15" t="s">
        <v>133</v>
      </c>
      <c r="G546" s="204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130</v>
      </c>
      <c r="B547" s="14" t="s">
        <v>136</v>
      </c>
      <c r="C547" s="117">
        <v>0.37847222222222221</v>
      </c>
      <c r="D547" s="14" t="s">
        <v>134</v>
      </c>
      <c r="E547" s="14" t="s">
        <v>76</v>
      </c>
      <c r="F547" s="14" t="s">
        <v>135</v>
      </c>
      <c r="G547" s="20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5" t="s">
        <v>130</v>
      </c>
      <c r="B548" s="15" t="s">
        <v>137</v>
      </c>
      <c r="C548" s="118">
        <v>0.61111111111111116</v>
      </c>
      <c r="D548" s="15" t="s">
        <v>132</v>
      </c>
      <c r="E548" s="15" t="s">
        <v>76</v>
      </c>
      <c r="F548" s="15" t="s">
        <v>133</v>
      </c>
      <c r="G548" s="20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130</v>
      </c>
      <c r="B549" s="14" t="s">
        <v>137</v>
      </c>
      <c r="C549" s="117">
        <v>0.61111111111111116</v>
      </c>
      <c r="D549" s="14" t="s">
        <v>134</v>
      </c>
      <c r="E549" s="14" t="s">
        <v>76</v>
      </c>
      <c r="F549" s="14" t="s">
        <v>135</v>
      </c>
      <c r="G549" s="20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5" t="s">
        <v>130</v>
      </c>
      <c r="B550" s="15" t="s">
        <v>138</v>
      </c>
      <c r="C550" s="118">
        <v>0.23958333333333329</v>
      </c>
      <c r="D550" s="15" t="s">
        <v>132</v>
      </c>
      <c r="E550" s="15" t="s">
        <v>76</v>
      </c>
      <c r="F550" s="15" t="s">
        <v>133</v>
      </c>
      <c r="G550" s="20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130</v>
      </c>
      <c r="B551" s="14" t="s">
        <v>138</v>
      </c>
      <c r="C551" s="117">
        <v>0.23958333333333329</v>
      </c>
      <c r="D551" s="14" t="s">
        <v>134</v>
      </c>
      <c r="E551" s="14" t="s">
        <v>76</v>
      </c>
      <c r="F551" s="14" t="s">
        <v>135</v>
      </c>
      <c r="G551" s="204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5" t="s">
        <v>130</v>
      </c>
      <c r="B552" s="15" t="s">
        <v>142</v>
      </c>
      <c r="C552" s="118">
        <v>0.12847222222222221</v>
      </c>
      <c r="D552" s="15" t="s">
        <v>134</v>
      </c>
      <c r="E552" s="15" t="s">
        <v>110</v>
      </c>
      <c r="F552" s="15" t="s">
        <v>250</v>
      </c>
      <c r="G552" s="20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5" t="s">
        <v>130</v>
      </c>
      <c r="B553" s="15" t="s">
        <v>141</v>
      </c>
      <c r="C553" s="118">
        <v>0.30208333333333331</v>
      </c>
      <c r="D553" s="15" t="s">
        <v>134</v>
      </c>
      <c r="E553" s="15" t="s">
        <v>110</v>
      </c>
      <c r="F553" s="15" t="s">
        <v>218</v>
      </c>
      <c r="G553" s="20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5" t="s">
        <v>130</v>
      </c>
      <c r="B554" s="15" t="s">
        <v>149</v>
      </c>
      <c r="C554" s="118">
        <v>0.78819444444444442</v>
      </c>
      <c r="D554" s="15" t="s">
        <v>134</v>
      </c>
      <c r="E554" s="15" t="s">
        <v>110</v>
      </c>
      <c r="F554" s="15" t="s">
        <v>218</v>
      </c>
      <c r="G554" s="204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5" t="s">
        <v>130</v>
      </c>
      <c r="B555" s="15" t="s">
        <v>131</v>
      </c>
      <c r="C555" s="118">
        <v>0.93055555555555558</v>
      </c>
      <c r="D555" s="15" t="s">
        <v>132</v>
      </c>
      <c r="E555" s="15" t="s">
        <v>76</v>
      </c>
      <c r="F555" s="15" t="s">
        <v>144</v>
      </c>
      <c r="G555" s="204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130</v>
      </c>
      <c r="B556" s="14" t="s">
        <v>131</v>
      </c>
      <c r="C556" s="117">
        <v>0.93055555555555558</v>
      </c>
      <c r="D556" s="14" t="s">
        <v>134</v>
      </c>
      <c r="E556" s="14" t="s">
        <v>76</v>
      </c>
      <c r="F556" s="14" t="s">
        <v>145</v>
      </c>
      <c r="G556" s="204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thickBot="1" x14ac:dyDescent="0.35">
      <c r="A557" s="41" t="s">
        <v>130</v>
      </c>
      <c r="B557" s="41" t="s">
        <v>139</v>
      </c>
      <c r="C557" s="132">
        <v>0.88888888888888884</v>
      </c>
      <c r="D557" s="41" t="s">
        <v>134</v>
      </c>
      <c r="E557" s="41" t="s">
        <v>110</v>
      </c>
      <c r="F557" s="41" t="s">
        <v>179</v>
      </c>
      <c r="G557" s="205"/>
      <c r="H557" s="42"/>
      <c r="I557" s="43"/>
      <c r="J557" s="43"/>
      <c r="K557" s="43"/>
      <c r="L557" s="43"/>
      <c r="M557" s="43"/>
      <c r="N557" s="43"/>
      <c r="O557" s="44"/>
      <c r="P557" s="43"/>
      <c r="Q557" s="45"/>
      <c r="R557" s="46"/>
    </row>
    <row r="558" spans="1:18" ht="17.399999999999999" customHeight="1" thickBot="1" x14ac:dyDescent="0.35">
      <c r="A558" s="200"/>
      <c r="B558" s="201"/>
      <c r="C558" s="201"/>
      <c r="D558" s="201"/>
      <c r="E558" s="201"/>
      <c r="F558" s="201"/>
      <c r="G558" s="201"/>
      <c r="H558" s="201"/>
      <c r="I558" s="201"/>
      <c r="J558" s="201"/>
      <c r="K558" s="201"/>
      <c r="L558" s="201"/>
      <c r="M558" s="201"/>
      <c r="N558" s="201"/>
      <c r="O558" s="201"/>
      <c r="P558" s="201"/>
      <c r="Q558" s="201"/>
      <c r="R558" s="202"/>
    </row>
    <row r="559" spans="1:18" ht="22.05" customHeight="1" thickTop="1" thickBot="1" x14ac:dyDescent="0.35">
      <c r="A559" s="197" t="s">
        <v>6</v>
      </c>
      <c r="B559" s="198"/>
      <c r="C559" s="198"/>
      <c r="D559" s="198"/>
      <c r="E559" s="198"/>
      <c r="F559" s="199"/>
      <c r="G559" s="133">
        <v>46000</v>
      </c>
      <c r="H559" s="207" t="s">
        <v>7</v>
      </c>
      <c r="I559" s="198"/>
      <c r="J559" s="198"/>
      <c r="K559" s="198"/>
      <c r="L559" s="198"/>
      <c r="M559" s="198"/>
      <c r="N559" s="198"/>
      <c r="O559" s="198"/>
      <c r="P559" s="198"/>
      <c r="Q559" s="198"/>
      <c r="R559" s="199"/>
    </row>
    <row r="560" spans="1:18" ht="24" customHeight="1" x14ac:dyDescent="0.3">
      <c r="A560" s="47" t="s">
        <v>8</v>
      </c>
      <c r="B560" s="47" t="s">
        <v>9</v>
      </c>
      <c r="C560" s="134" t="s">
        <v>10</v>
      </c>
      <c r="D560" s="47" t="s">
        <v>11</v>
      </c>
      <c r="E560" s="47" t="s">
        <v>12</v>
      </c>
      <c r="F560" s="48" t="s">
        <v>13</v>
      </c>
      <c r="G560" s="49" t="s">
        <v>14</v>
      </c>
      <c r="H560" s="47" t="s">
        <v>15</v>
      </c>
      <c r="I560" s="135" t="s">
        <v>16</v>
      </c>
      <c r="J560" s="50" t="s">
        <v>17</v>
      </c>
      <c r="K560" s="51" t="s">
        <v>18</v>
      </c>
      <c r="L560" s="50" t="s">
        <v>19</v>
      </c>
      <c r="M560" s="50" t="s">
        <v>20</v>
      </c>
      <c r="N560" s="50" t="s">
        <v>21</v>
      </c>
      <c r="O560" s="47" t="s">
        <v>22</v>
      </c>
      <c r="P560" s="134" t="s">
        <v>23</v>
      </c>
      <c r="Q560" s="50" t="s">
        <v>24</v>
      </c>
      <c r="R560" s="47" t="s">
        <v>25</v>
      </c>
    </row>
    <row r="561" spans="1:18" ht="15" customHeight="1" x14ac:dyDescent="0.3">
      <c r="A561" s="8" t="s">
        <v>70</v>
      </c>
      <c r="B561" s="8" t="s">
        <v>155</v>
      </c>
      <c r="C561" s="116">
        <v>0.27430555555555558</v>
      </c>
      <c r="D561" s="8" t="s">
        <v>72</v>
      </c>
      <c r="E561" s="8" t="s">
        <v>76</v>
      </c>
      <c r="F561" s="8" t="s">
        <v>236</v>
      </c>
      <c r="G561" s="20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5" t="s">
        <v>70</v>
      </c>
      <c r="B562" s="15" t="s">
        <v>71</v>
      </c>
      <c r="C562" s="118">
        <v>0.73958333333333337</v>
      </c>
      <c r="D562" s="15" t="s">
        <v>72</v>
      </c>
      <c r="E562" s="15" t="s">
        <v>76</v>
      </c>
      <c r="F562" s="15" t="s">
        <v>73</v>
      </c>
      <c r="G562" s="204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6" t="s">
        <v>26</v>
      </c>
      <c r="B563" s="16" t="s">
        <v>35</v>
      </c>
      <c r="C563" s="119">
        <v>0.12847222222222221</v>
      </c>
      <c r="D563" s="16" t="s">
        <v>153</v>
      </c>
      <c r="E563" s="16" t="s">
        <v>264</v>
      </c>
      <c r="F563" s="16" t="s">
        <v>180</v>
      </c>
      <c r="G563" s="204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5" t="s">
        <v>26</v>
      </c>
      <c r="B564" s="15" t="s">
        <v>27</v>
      </c>
      <c r="C564" s="118">
        <v>0.88888888888888884</v>
      </c>
      <c r="D564" s="15" t="s">
        <v>153</v>
      </c>
      <c r="E564" s="15" t="s">
        <v>29</v>
      </c>
      <c r="F564" s="15" t="s">
        <v>30</v>
      </c>
      <c r="G564" s="20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5" t="s">
        <v>26</v>
      </c>
      <c r="B565" s="15" t="s">
        <v>39</v>
      </c>
      <c r="C565" s="118">
        <v>0.30208333333333331</v>
      </c>
      <c r="D565" s="15" t="s">
        <v>153</v>
      </c>
      <c r="E565" s="15" t="s">
        <v>29</v>
      </c>
      <c r="F565" s="15" t="s">
        <v>37</v>
      </c>
      <c r="G565" s="204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5" t="s">
        <v>26</v>
      </c>
      <c r="B566" s="15" t="s">
        <v>41</v>
      </c>
      <c r="C566" s="118">
        <v>0.78819444444444442</v>
      </c>
      <c r="D566" s="15" t="s">
        <v>153</v>
      </c>
      <c r="E566" s="15" t="s">
        <v>265</v>
      </c>
      <c r="F566" s="15" t="s">
        <v>38</v>
      </c>
      <c r="G566" s="20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6" t="s">
        <v>79</v>
      </c>
      <c r="B567" s="16" t="s">
        <v>80</v>
      </c>
      <c r="C567" s="119">
        <v>0.22222222222222221</v>
      </c>
      <c r="D567" s="16" t="s">
        <v>156</v>
      </c>
      <c r="E567" s="16" t="s">
        <v>54</v>
      </c>
      <c r="F567" s="16" t="s">
        <v>257</v>
      </c>
      <c r="G567" s="20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45</v>
      </c>
      <c r="B568" s="16" t="s">
        <v>57</v>
      </c>
      <c r="C568" s="119">
        <v>0.25694444444444442</v>
      </c>
      <c r="D568" s="16" t="s">
        <v>154</v>
      </c>
      <c r="E568" s="16" t="s">
        <v>61</v>
      </c>
      <c r="F568" s="16" t="s">
        <v>48</v>
      </c>
      <c r="G568" s="20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5" t="s">
        <v>45</v>
      </c>
      <c r="B569" s="15" t="s">
        <v>58</v>
      </c>
      <c r="C569" s="118">
        <v>0.30208333333333331</v>
      </c>
      <c r="D569" s="15" t="s">
        <v>154</v>
      </c>
      <c r="E569" s="15" t="s">
        <v>185</v>
      </c>
      <c r="F569" s="15" t="s">
        <v>48</v>
      </c>
      <c r="G569" s="20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5" t="s">
        <v>45</v>
      </c>
      <c r="B570" s="15" t="s">
        <v>53</v>
      </c>
      <c r="C570" s="118">
        <v>0.85416666666666663</v>
      </c>
      <c r="D570" s="15" t="s">
        <v>154</v>
      </c>
      <c r="E570" s="15" t="s">
        <v>96</v>
      </c>
      <c r="F570" s="15" t="s">
        <v>55</v>
      </c>
      <c r="G570" s="20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5" t="s">
        <v>45</v>
      </c>
      <c r="B571" s="15" t="s">
        <v>59</v>
      </c>
      <c r="C571" s="118">
        <v>0.90277777777777779</v>
      </c>
      <c r="D571" s="15" t="s">
        <v>154</v>
      </c>
      <c r="E571" s="15" t="s">
        <v>61</v>
      </c>
      <c r="F571" s="15" t="s">
        <v>55</v>
      </c>
      <c r="G571" s="20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5" t="s">
        <v>45</v>
      </c>
      <c r="B572" s="15" t="s">
        <v>46</v>
      </c>
      <c r="C572" s="118">
        <v>0.39583333333333331</v>
      </c>
      <c r="D572" s="15" t="s">
        <v>154</v>
      </c>
      <c r="E572" s="15" t="s">
        <v>36</v>
      </c>
      <c r="F572" s="15" t="s">
        <v>55</v>
      </c>
      <c r="G572" s="20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5" t="s">
        <v>45</v>
      </c>
      <c r="B573" s="15" t="s">
        <v>62</v>
      </c>
      <c r="C573" s="118">
        <v>0.51736111111111116</v>
      </c>
      <c r="D573" s="15" t="s">
        <v>154</v>
      </c>
      <c r="E573" s="15" t="s">
        <v>54</v>
      </c>
      <c r="F573" s="15" t="s">
        <v>63</v>
      </c>
      <c r="G573" s="20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5" t="s">
        <v>45</v>
      </c>
      <c r="B574" s="15" t="s">
        <v>66</v>
      </c>
      <c r="C574" s="118">
        <v>0.64583333333333337</v>
      </c>
      <c r="D574" s="15" t="s">
        <v>154</v>
      </c>
      <c r="E574" s="15" t="s">
        <v>96</v>
      </c>
      <c r="F574" s="15" t="s">
        <v>63</v>
      </c>
      <c r="G574" s="20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5" t="s">
        <v>45</v>
      </c>
      <c r="B575" s="15" t="s">
        <v>60</v>
      </c>
      <c r="C575" s="118">
        <v>0.79861111111111116</v>
      </c>
      <c r="D575" s="15" t="s">
        <v>154</v>
      </c>
      <c r="E575" s="15" t="s">
        <v>42</v>
      </c>
      <c r="F575" s="15" t="s">
        <v>266</v>
      </c>
      <c r="G575" s="20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" t="s">
        <v>74</v>
      </c>
      <c r="B576" s="16" t="s">
        <v>78</v>
      </c>
      <c r="C576" s="119">
        <v>0.66666666666666663</v>
      </c>
      <c r="D576" s="16" t="s">
        <v>72</v>
      </c>
      <c r="E576" s="16" t="s">
        <v>76</v>
      </c>
      <c r="F576" s="16" t="s">
        <v>77</v>
      </c>
      <c r="G576" s="20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81" t="s">
        <v>87</v>
      </c>
      <c r="B577" s="81" t="s">
        <v>102</v>
      </c>
      <c r="C577" s="164">
        <v>0.55902777777777779</v>
      </c>
      <c r="D577" s="81" t="s">
        <v>89</v>
      </c>
      <c r="E577" s="81" t="s">
        <v>96</v>
      </c>
      <c r="F577" s="81" t="s">
        <v>207</v>
      </c>
      <c r="G577" s="204"/>
      <c r="H577" s="73" t="s">
        <v>105</v>
      </c>
      <c r="I577" s="165">
        <v>0.6704</v>
      </c>
      <c r="J577" s="74">
        <v>120</v>
      </c>
      <c r="K577" s="75" t="s">
        <v>99</v>
      </c>
      <c r="L577" s="74">
        <v>21</v>
      </c>
      <c r="M577" s="74">
        <v>0</v>
      </c>
      <c r="N577" s="74">
        <v>2</v>
      </c>
      <c r="O577" s="76" t="s">
        <v>237</v>
      </c>
      <c r="P577" s="155">
        <v>0.55902777777777779</v>
      </c>
      <c r="Q577" s="74">
        <v>179</v>
      </c>
      <c r="R577" s="77" t="s">
        <v>267</v>
      </c>
    </row>
    <row r="578" spans="1:18" ht="15" customHeight="1" x14ac:dyDescent="0.3">
      <c r="A578" s="64" t="s">
        <v>87</v>
      </c>
      <c r="B578" s="64" t="s">
        <v>109</v>
      </c>
      <c r="C578" s="144">
        <v>0.96875</v>
      </c>
      <c r="D578" s="64" t="s">
        <v>89</v>
      </c>
      <c r="E578" s="64" t="s">
        <v>76</v>
      </c>
      <c r="F578" s="64" t="s">
        <v>207</v>
      </c>
      <c r="G578" s="204"/>
      <c r="H578" s="65" t="s">
        <v>111</v>
      </c>
      <c r="I578" s="161">
        <v>0.1341</v>
      </c>
      <c r="J578" s="66">
        <v>24</v>
      </c>
      <c r="K578" s="67" t="s">
        <v>99</v>
      </c>
      <c r="L578" s="66">
        <v>3</v>
      </c>
      <c r="M578" s="66">
        <v>0</v>
      </c>
      <c r="N578" s="66">
        <v>1</v>
      </c>
      <c r="O578" s="68" t="s">
        <v>239</v>
      </c>
      <c r="P578" s="146">
        <v>0.96875</v>
      </c>
      <c r="Q578" s="66">
        <v>179</v>
      </c>
      <c r="R578" s="69" t="s">
        <v>268</v>
      </c>
    </row>
    <row r="579" spans="1:18" ht="15" customHeight="1" x14ac:dyDescent="0.3">
      <c r="A579" s="58" t="s">
        <v>87</v>
      </c>
      <c r="B579" s="58" t="s">
        <v>165</v>
      </c>
      <c r="C579" s="139">
        <v>0.22916666666666671</v>
      </c>
      <c r="D579" s="58" t="s">
        <v>89</v>
      </c>
      <c r="E579" s="58" t="s">
        <v>61</v>
      </c>
      <c r="F579" s="58" t="s">
        <v>207</v>
      </c>
      <c r="G579" s="204"/>
      <c r="H579" s="59" t="s">
        <v>166</v>
      </c>
      <c r="I579" s="160">
        <v>0.1229</v>
      </c>
      <c r="J579" s="60">
        <v>22</v>
      </c>
      <c r="K579" s="61" t="s">
        <v>99</v>
      </c>
      <c r="L579" s="60">
        <v>7</v>
      </c>
      <c r="M579" s="60">
        <v>0</v>
      </c>
      <c r="N579" s="60">
        <v>2</v>
      </c>
      <c r="O579" s="62" t="s">
        <v>269</v>
      </c>
      <c r="P579" s="141">
        <v>0.22916666666666671</v>
      </c>
      <c r="Q579" s="60">
        <v>179</v>
      </c>
      <c r="R579" s="63" t="s">
        <v>270</v>
      </c>
    </row>
    <row r="580" spans="1:18" ht="15" customHeight="1" x14ac:dyDescent="0.3">
      <c r="A580" s="23" t="s">
        <v>87</v>
      </c>
      <c r="B580" s="23" t="s">
        <v>95</v>
      </c>
      <c r="C580" s="123">
        <v>0.61458333333333337</v>
      </c>
      <c r="D580" s="23" t="s">
        <v>89</v>
      </c>
      <c r="E580" s="23" t="s">
        <v>96</v>
      </c>
      <c r="F580" s="23" t="s">
        <v>159</v>
      </c>
      <c r="G580" s="204"/>
      <c r="H580" s="24" t="s">
        <v>98</v>
      </c>
      <c r="I580" s="124">
        <v>0.88829999999999998</v>
      </c>
      <c r="J580" s="25">
        <v>159</v>
      </c>
      <c r="K580" s="26" t="s">
        <v>92</v>
      </c>
      <c r="L580" s="25">
        <v>13</v>
      </c>
      <c r="M580" s="25">
        <v>1</v>
      </c>
      <c r="N580" s="25">
        <v>0</v>
      </c>
      <c r="O580" s="27" t="s">
        <v>271</v>
      </c>
      <c r="P580" s="125">
        <v>0.61458333333333337</v>
      </c>
      <c r="Q580" s="25">
        <v>179</v>
      </c>
      <c r="R580" s="28" t="s">
        <v>272</v>
      </c>
    </row>
    <row r="581" spans="1:18" ht="15" customHeight="1" x14ac:dyDescent="0.3">
      <c r="A581" s="58" t="s">
        <v>87</v>
      </c>
      <c r="B581" s="58" t="s">
        <v>88</v>
      </c>
      <c r="C581" s="139">
        <v>0.72916666666666663</v>
      </c>
      <c r="D581" s="58" t="s">
        <v>89</v>
      </c>
      <c r="E581" s="58" t="s">
        <v>61</v>
      </c>
      <c r="F581" s="58" t="s">
        <v>159</v>
      </c>
      <c r="G581" s="204"/>
      <c r="H581" s="59" t="s">
        <v>91</v>
      </c>
      <c r="I581" s="140">
        <v>0.73740000000000006</v>
      </c>
      <c r="J581" s="60">
        <v>132</v>
      </c>
      <c r="K581" s="61" t="s">
        <v>92</v>
      </c>
      <c r="L581" s="60">
        <v>17</v>
      </c>
      <c r="M581" s="60">
        <v>2</v>
      </c>
      <c r="N581" s="60">
        <v>1</v>
      </c>
      <c r="O581" s="62" t="s">
        <v>273</v>
      </c>
      <c r="P581" s="141">
        <v>0.72916666666666663</v>
      </c>
      <c r="Q581" s="60">
        <v>179</v>
      </c>
      <c r="R581" s="63" t="s">
        <v>274</v>
      </c>
    </row>
    <row r="582" spans="1:18" ht="15" customHeight="1" x14ac:dyDescent="0.3">
      <c r="A582" s="72" t="s">
        <v>87</v>
      </c>
      <c r="B582" s="72" t="s">
        <v>169</v>
      </c>
      <c r="C582" s="153">
        <v>0.93402777777777779</v>
      </c>
      <c r="D582" s="72" t="s">
        <v>89</v>
      </c>
      <c r="E582" s="72" t="s">
        <v>110</v>
      </c>
      <c r="F582" s="72" t="s">
        <v>90</v>
      </c>
      <c r="G582" s="204"/>
      <c r="H582" s="73" t="s">
        <v>170</v>
      </c>
      <c r="I582" s="163">
        <v>0.88829999999999998</v>
      </c>
      <c r="J582" s="74">
        <v>159</v>
      </c>
      <c r="K582" s="75" t="s">
        <v>190</v>
      </c>
      <c r="L582" s="74">
        <v>5</v>
      </c>
      <c r="M582" s="74">
        <v>0</v>
      </c>
      <c r="N582" s="74">
        <v>0</v>
      </c>
      <c r="O582" s="76" t="s">
        <v>275</v>
      </c>
      <c r="P582" s="155">
        <v>0.93402777777777779</v>
      </c>
      <c r="Q582" s="74">
        <v>179</v>
      </c>
      <c r="R582" s="77" t="s">
        <v>276</v>
      </c>
    </row>
    <row r="583" spans="1:18" ht="15" customHeight="1" x14ac:dyDescent="0.3">
      <c r="A583" s="16" t="s">
        <v>115</v>
      </c>
      <c r="B583" s="16" t="s">
        <v>116</v>
      </c>
      <c r="C583" s="119">
        <v>0.22222222222222221</v>
      </c>
      <c r="D583" s="16" t="s">
        <v>117</v>
      </c>
      <c r="E583" s="16" t="s">
        <v>76</v>
      </c>
      <c r="F583" s="16" t="s">
        <v>118</v>
      </c>
      <c r="G583" s="20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5" t="s">
        <v>115</v>
      </c>
      <c r="B584" s="15" t="s">
        <v>119</v>
      </c>
      <c r="C584" s="118">
        <v>0.14583333333333329</v>
      </c>
      <c r="D584" s="15" t="s">
        <v>117</v>
      </c>
      <c r="E584" s="15" t="s">
        <v>76</v>
      </c>
      <c r="F584" s="15" t="s">
        <v>118</v>
      </c>
      <c r="G584" s="204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5" t="s">
        <v>115</v>
      </c>
      <c r="B585" s="15" t="s">
        <v>120</v>
      </c>
      <c r="C585" s="118">
        <v>0.27777777777777779</v>
      </c>
      <c r="D585" s="15" t="s">
        <v>117</v>
      </c>
      <c r="E585" s="15" t="s">
        <v>76</v>
      </c>
      <c r="F585" s="15" t="s">
        <v>118</v>
      </c>
      <c r="G585" s="204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5" t="s">
        <v>115</v>
      </c>
      <c r="B586" s="15" t="s">
        <v>121</v>
      </c>
      <c r="C586" s="118">
        <v>0.4861111111111111</v>
      </c>
      <c r="D586" s="15" t="s">
        <v>117</v>
      </c>
      <c r="E586" s="15" t="s">
        <v>76</v>
      </c>
      <c r="F586" s="15" t="s">
        <v>118</v>
      </c>
      <c r="G586" s="204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5" t="s">
        <v>115</v>
      </c>
      <c r="B587" s="15" t="s">
        <v>128</v>
      </c>
      <c r="C587" s="118">
        <v>1.388888888888889E-2</v>
      </c>
      <c r="D587" s="15" t="s">
        <v>124</v>
      </c>
      <c r="E587" s="15" t="s">
        <v>110</v>
      </c>
      <c r="F587" s="15" t="s">
        <v>253</v>
      </c>
      <c r="G587" s="204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130</v>
      </c>
      <c r="B588" s="16" t="s">
        <v>136</v>
      </c>
      <c r="C588" s="119">
        <v>0.37847222222222221</v>
      </c>
      <c r="D588" s="16" t="s">
        <v>132</v>
      </c>
      <c r="E588" s="16" t="s">
        <v>76</v>
      </c>
      <c r="F588" s="16" t="s">
        <v>176</v>
      </c>
      <c r="G588" s="20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130</v>
      </c>
      <c r="B589" s="14" t="s">
        <v>136</v>
      </c>
      <c r="C589" s="117">
        <v>0.37847222222222221</v>
      </c>
      <c r="D589" s="14" t="s">
        <v>134</v>
      </c>
      <c r="E589" s="14" t="s">
        <v>76</v>
      </c>
      <c r="F589" s="14" t="s">
        <v>177</v>
      </c>
      <c r="G589" s="20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5" t="s">
        <v>130</v>
      </c>
      <c r="B590" s="15" t="s">
        <v>138</v>
      </c>
      <c r="C590" s="118">
        <v>0.23958333333333329</v>
      </c>
      <c r="D590" s="15" t="s">
        <v>132</v>
      </c>
      <c r="E590" s="15" t="s">
        <v>76</v>
      </c>
      <c r="F590" s="15" t="s">
        <v>176</v>
      </c>
      <c r="G590" s="204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130</v>
      </c>
      <c r="B591" s="14" t="s">
        <v>138</v>
      </c>
      <c r="C591" s="117">
        <v>0.23958333333333329</v>
      </c>
      <c r="D591" s="14" t="s">
        <v>134</v>
      </c>
      <c r="E591" s="14" t="s">
        <v>76</v>
      </c>
      <c r="F591" s="14" t="s">
        <v>177</v>
      </c>
      <c r="G591" s="20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5" t="s">
        <v>130</v>
      </c>
      <c r="B592" s="15" t="s">
        <v>137</v>
      </c>
      <c r="C592" s="118">
        <v>0.61111111111111116</v>
      </c>
      <c r="D592" s="15" t="s">
        <v>132</v>
      </c>
      <c r="E592" s="15" t="s">
        <v>29</v>
      </c>
      <c r="F592" s="15" t="s">
        <v>232</v>
      </c>
      <c r="G592" s="204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130</v>
      </c>
      <c r="B593" s="14" t="s">
        <v>137</v>
      </c>
      <c r="C593" s="117">
        <v>0.61111111111111116</v>
      </c>
      <c r="D593" s="14" t="s">
        <v>134</v>
      </c>
      <c r="E593" s="14" t="s">
        <v>29</v>
      </c>
      <c r="F593" s="14" t="s">
        <v>233</v>
      </c>
      <c r="G593" s="204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5" t="s">
        <v>130</v>
      </c>
      <c r="B594" s="15" t="s">
        <v>143</v>
      </c>
      <c r="C594" s="118">
        <v>6.9444444444444441E-3</v>
      </c>
      <c r="D594" s="15" t="s">
        <v>132</v>
      </c>
      <c r="E594" s="15" t="s">
        <v>76</v>
      </c>
      <c r="F594" s="15" t="s">
        <v>133</v>
      </c>
      <c r="G594" s="20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130</v>
      </c>
      <c r="B595" s="14" t="s">
        <v>143</v>
      </c>
      <c r="C595" s="117">
        <v>6.9444444444444441E-3</v>
      </c>
      <c r="D595" s="14" t="s">
        <v>134</v>
      </c>
      <c r="E595" s="14" t="s">
        <v>76</v>
      </c>
      <c r="F595" s="14" t="s">
        <v>135</v>
      </c>
      <c r="G595" s="20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5" t="s">
        <v>130</v>
      </c>
      <c r="B596" s="15" t="s">
        <v>146</v>
      </c>
      <c r="C596" s="118">
        <v>0.1423611111111111</v>
      </c>
      <c r="D596" s="15" t="s">
        <v>132</v>
      </c>
      <c r="E596" s="15" t="s">
        <v>76</v>
      </c>
      <c r="F596" s="15" t="s">
        <v>133</v>
      </c>
      <c r="G596" s="204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130</v>
      </c>
      <c r="B597" s="14" t="s">
        <v>146</v>
      </c>
      <c r="C597" s="117">
        <v>0.1423611111111111</v>
      </c>
      <c r="D597" s="14" t="s">
        <v>134</v>
      </c>
      <c r="E597" s="14" t="s">
        <v>76</v>
      </c>
      <c r="F597" s="14" t="s">
        <v>135</v>
      </c>
      <c r="G597" s="204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5" t="s">
        <v>130</v>
      </c>
      <c r="B598" s="15" t="s">
        <v>147</v>
      </c>
      <c r="C598" s="118">
        <v>0.71875</v>
      </c>
      <c r="D598" s="15" t="s">
        <v>132</v>
      </c>
      <c r="E598" s="15" t="s">
        <v>76</v>
      </c>
      <c r="F598" s="15" t="s">
        <v>133</v>
      </c>
      <c r="G598" s="204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130</v>
      </c>
      <c r="B599" s="14" t="s">
        <v>147</v>
      </c>
      <c r="C599" s="117">
        <v>0.71875</v>
      </c>
      <c r="D599" s="14" t="s">
        <v>134</v>
      </c>
      <c r="E599" s="14" t="s">
        <v>76</v>
      </c>
      <c r="F599" s="14" t="s">
        <v>135</v>
      </c>
      <c r="G599" s="204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5" t="s">
        <v>130</v>
      </c>
      <c r="B600" s="15" t="s">
        <v>148</v>
      </c>
      <c r="C600" s="118">
        <v>0.82986111111111116</v>
      </c>
      <c r="D600" s="15" t="s">
        <v>132</v>
      </c>
      <c r="E600" s="15" t="s">
        <v>76</v>
      </c>
      <c r="F600" s="15" t="s">
        <v>133</v>
      </c>
      <c r="G600" s="20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130</v>
      </c>
      <c r="B601" s="14" t="s">
        <v>148</v>
      </c>
      <c r="C601" s="117">
        <v>0.82986111111111116</v>
      </c>
      <c r="D601" s="14" t="s">
        <v>134</v>
      </c>
      <c r="E601" s="14" t="s">
        <v>76</v>
      </c>
      <c r="F601" s="14" t="s">
        <v>135</v>
      </c>
      <c r="G601" s="20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5" t="s">
        <v>130</v>
      </c>
      <c r="B602" s="15" t="s">
        <v>142</v>
      </c>
      <c r="C602" s="118">
        <v>0.12847222222222221</v>
      </c>
      <c r="D602" s="15" t="s">
        <v>134</v>
      </c>
      <c r="E602" s="15" t="s">
        <v>110</v>
      </c>
      <c r="F602" s="15" t="s">
        <v>218</v>
      </c>
      <c r="G602" s="20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5" t="s">
        <v>130</v>
      </c>
      <c r="B603" s="15" t="s">
        <v>139</v>
      </c>
      <c r="C603" s="118">
        <v>0.88888888888888884</v>
      </c>
      <c r="D603" s="15" t="s">
        <v>134</v>
      </c>
      <c r="E603" s="15" t="s">
        <v>110</v>
      </c>
      <c r="F603" s="15" t="s">
        <v>140</v>
      </c>
      <c r="G603" s="204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5" t="s">
        <v>130</v>
      </c>
      <c r="B604" s="15" t="s">
        <v>131</v>
      </c>
      <c r="C604" s="118">
        <v>0.93055555555555558</v>
      </c>
      <c r="D604" s="15" t="s">
        <v>132</v>
      </c>
      <c r="E604" s="15" t="s">
        <v>76</v>
      </c>
      <c r="F604" s="15" t="s">
        <v>144</v>
      </c>
      <c r="G604" s="20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130</v>
      </c>
      <c r="B605" s="14" t="s">
        <v>131</v>
      </c>
      <c r="C605" s="117">
        <v>0.93055555555555558</v>
      </c>
      <c r="D605" s="14" t="s">
        <v>134</v>
      </c>
      <c r="E605" s="14" t="s">
        <v>76</v>
      </c>
      <c r="F605" s="14" t="s">
        <v>145</v>
      </c>
      <c r="G605" s="204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5" t="s">
        <v>130</v>
      </c>
      <c r="B606" s="15" t="s">
        <v>141</v>
      </c>
      <c r="C606" s="118">
        <v>0.30208333333333331</v>
      </c>
      <c r="D606" s="15" t="s">
        <v>134</v>
      </c>
      <c r="E606" s="15" t="s">
        <v>110</v>
      </c>
      <c r="F606" s="15" t="s">
        <v>179</v>
      </c>
      <c r="G606" s="204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thickBot="1" x14ac:dyDescent="0.35">
      <c r="A607" s="41" t="s">
        <v>130</v>
      </c>
      <c r="B607" s="41" t="s">
        <v>149</v>
      </c>
      <c r="C607" s="132">
        <v>0.78819444444444442</v>
      </c>
      <c r="D607" s="41" t="s">
        <v>134</v>
      </c>
      <c r="E607" s="41" t="s">
        <v>110</v>
      </c>
      <c r="F607" s="41" t="s">
        <v>150</v>
      </c>
      <c r="G607" s="205"/>
      <c r="H607" s="42"/>
      <c r="I607" s="43"/>
      <c r="J607" s="43"/>
      <c r="K607" s="43"/>
      <c r="L607" s="43"/>
      <c r="M607" s="43"/>
      <c r="N607" s="43"/>
      <c r="O607" s="44"/>
      <c r="P607" s="43"/>
      <c r="Q607" s="45"/>
      <c r="R607" s="46"/>
    </row>
    <row r="608" spans="1:18" ht="17.399999999999999" customHeight="1" thickBot="1" x14ac:dyDescent="0.35">
      <c r="A608" s="200"/>
      <c r="B608" s="201"/>
      <c r="C608" s="201"/>
      <c r="D608" s="201"/>
      <c r="E608" s="201"/>
      <c r="F608" s="201"/>
      <c r="G608" s="201"/>
      <c r="H608" s="201"/>
      <c r="I608" s="201"/>
      <c r="J608" s="201"/>
      <c r="K608" s="201"/>
      <c r="L608" s="201"/>
      <c r="M608" s="201"/>
      <c r="N608" s="201"/>
      <c r="O608" s="201"/>
      <c r="P608" s="201"/>
      <c r="Q608" s="201"/>
      <c r="R608" s="202"/>
    </row>
    <row r="609" spans="1:18" ht="22.05" customHeight="1" thickTop="1" thickBot="1" x14ac:dyDescent="0.35">
      <c r="A609" s="197" t="s">
        <v>6</v>
      </c>
      <c r="B609" s="198"/>
      <c r="C609" s="198"/>
      <c r="D609" s="198"/>
      <c r="E609" s="198"/>
      <c r="F609" s="199"/>
      <c r="G609" s="133">
        <v>46001</v>
      </c>
      <c r="H609" s="207" t="s">
        <v>7</v>
      </c>
      <c r="I609" s="198"/>
      <c r="J609" s="198"/>
      <c r="K609" s="198"/>
      <c r="L609" s="198"/>
      <c r="M609" s="198"/>
      <c r="N609" s="198"/>
      <c r="O609" s="198"/>
      <c r="P609" s="198"/>
      <c r="Q609" s="198"/>
      <c r="R609" s="199"/>
    </row>
    <row r="610" spans="1:18" ht="24" customHeight="1" x14ac:dyDescent="0.3">
      <c r="A610" s="47" t="s">
        <v>8</v>
      </c>
      <c r="B610" s="47" t="s">
        <v>9</v>
      </c>
      <c r="C610" s="134" t="s">
        <v>10</v>
      </c>
      <c r="D610" s="47" t="s">
        <v>11</v>
      </c>
      <c r="E610" s="47" t="s">
        <v>12</v>
      </c>
      <c r="F610" s="48" t="s">
        <v>13</v>
      </c>
      <c r="G610" s="49" t="s">
        <v>14</v>
      </c>
      <c r="H610" s="47" t="s">
        <v>15</v>
      </c>
      <c r="I610" s="135" t="s">
        <v>16</v>
      </c>
      <c r="J610" s="50" t="s">
        <v>17</v>
      </c>
      <c r="K610" s="51" t="s">
        <v>18</v>
      </c>
      <c r="L610" s="50" t="s">
        <v>19</v>
      </c>
      <c r="M610" s="50" t="s">
        <v>20</v>
      </c>
      <c r="N610" s="50" t="s">
        <v>21</v>
      </c>
      <c r="O610" s="47" t="s">
        <v>22</v>
      </c>
      <c r="P610" s="134" t="s">
        <v>23</v>
      </c>
      <c r="Q610" s="50" t="s">
        <v>24</v>
      </c>
      <c r="R610" s="47" t="s">
        <v>25</v>
      </c>
    </row>
    <row r="611" spans="1:18" ht="15" customHeight="1" x14ac:dyDescent="0.3">
      <c r="A611" s="8" t="s">
        <v>26</v>
      </c>
      <c r="B611" s="8" t="s">
        <v>35</v>
      </c>
      <c r="C611" s="116">
        <v>0.12847222222222221</v>
      </c>
      <c r="D611" s="8" t="s">
        <v>28</v>
      </c>
      <c r="E611" s="8" t="s">
        <v>96</v>
      </c>
      <c r="F611" s="8" t="s">
        <v>30</v>
      </c>
      <c r="G611" s="20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35</v>
      </c>
      <c r="C612" s="117">
        <v>0.12847222222222221</v>
      </c>
      <c r="D612" s="14" t="s">
        <v>31</v>
      </c>
      <c r="E612" s="14" t="s">
        <v>96</v>
      </c>
      <c r="F612" s="14" t="s">
        <v>32</v>
      </c>
      <c r="G612" s="20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26</v>
      </c>
      <c r="B613" s="14" t="s">
        <v>35</v>
      </c>
      <c r="C613" s="117">
        <v>0.12847222222222221</v>
      </c>
      <c r="D613" s="14" t="s">
        <v>33</v>
      </c>
      <c r="E613" s="14" t="s">
        <v>96</v>
      </c>
      <c r="F613" s="14" t="s">
        <v>34</v>
      </c>
      <c r="G613" s="20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5" t="s">
        <v>26</v>
      </c>
      <c r="B614" s="15" t="s">
        <v>39</v>
      </c>
      <c r="C614" s="118">
        <v>0.30208333333333331</v>
      </c>
      <c r="D614" s="15" t="s">
        <v>28</v>
      </c>
      <c r="E614" s="15" t="s">
        <v>36</v>
      </c>
      <c r="F614" s="15" t="s">
        <v>182</v>
      </c>
      <c r="G614" s="204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39</v>
      </c>
      <c r="C615" s="117">
        <v>0.30208333333333331</v>
      </c>
      <c r="D615" s="14" t="s">
        <v>31</v>
      </c>
      <c r="E615" s="14" t="s">
        <v>36</v>
      </c>
      <c r="F615" s="14" t="s">
        <v>67</v>
      </c>
      <c r="G615" s="204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26</v>
      </c>
      <c r="B616" s="14" t="s">
        <v>39</v>
      </c>
      <c r="C616" s="117">
        <v>0.30208333333333331</v>
      </c>
      <c r="D616" s="14" t="s">
        <v>33</v>
      </c>
      <c r="E616" s="14" t="s">
        <v>36</v>
      </c>
      <c r="F616" s="14" t="s">
        <v>34</v>
      </c>
      <c r="G616" s="204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5" t="s">
        <v>26</v>
      </c>
      <c r="B617" s="15" t="s">
        <v>27</v>
      </c>
      <c r="C617" s="118">
        <v>0.88888888888888884</v>
      </c>
      <c r="D617" s="15" t="s">
        <v>28</v>
      </c>
      <c r="E617" s="15" t="s">
        <v>40</v>
      </c>
      <c r="F617" s="15" t="s">
        <v>182</v>
      </c>
      <c r="G617" s="204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27</v>
      </c>
      <c r="C618" s="117">
        <v>0.88888888888888884</v>
      </c>
      <c r="D618" s="14" t="s">
        <v>31</v>
      </c>
      <c r="E618" s="14" t="s">
        <v>40</v>
      </c>
      <c r="F618" s="14" t="s">
        <v>67</v>
      </c>
      <c r="G618" s="204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27</v>
      </c>
      <c r="C619" s="117">
        <v>0.88888888888888884</v>
      </c>
      <c r="D619" s="14" t="s">
        <v>33</v>
      </c>
      <c r="E619" s="14" t="s">
        <v>40</v>
      </c>
      <c r="F619" s="14" t="s">
        <v>34</v>
      </c>
      <c r="G619" s="204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5" t="s">
        <v>26</v>
      </c>
      <c r="B620" s="15" t="s">
        <v>41</v>
      </c>
      <c r="C620" s="118">
        <v>0.78819444444444442</v>
      </c>
      <c r="D620" s="15" t="s">
        <v>28</v>
      </c>
      <c r="E620" s="15" t="s">
        <v>96</v>
      </c>
      <c r="F620" s="15" t="s">
        <v>182</v>
      </c>
      <c r="G620" s="204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41</v>
      </c>
      <c r="C621" s="117">
        <v>0.78819444444444442</v>
      </c>
      <c r="D621" s="14" t="s">
        <v>31</v>
      </c>
      <c r="E621" s="14" t="s">
        <v>96</v>
      </c>
      <c r="F621" s="14" t="s">
        <v>67</v>
      </c>
      <c r="G621" s="20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41</v>
      </c>
      <c r="C622" s="117">
        <v>0.78819444444444442</v>
      </c>
      <c r="D622" s="14" t="s">
        <v>33</v>
      </c>
      <c r="E622" s="14" t="s">
        <v>96</v>
      </c>
      <c r="F622" s="14" t="s">
        <v>34</v>
      </c>
      <c r="G622" s="20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6" t="s">
        <v>79</v>
      </c>
      <c r="B623" s="16" t="s">
        <v>84</v>
      </c>
      <c r="C623" s="119">
        <v>0.3923611111111111</v>
      </c>
      <c r="D623" s="16" t="s">
        <v>81</v>
      </c>
      <c r="E623" s="16" t="s">
        <v>54</v>
      </c>
      <c r="F623" s="16" t="s">
        <v>277</v>
      </c>
      <c r="G623" s="20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79</v>
      </c>
      <c r="B624" s="14" t="s">
        <v>84</v>
      </c>
      <c r="C624" s="117">
        <v>0.3923611111111111</v>
      </c>
      <c r="D624" s="14" t="s">
        <v>33</v>
      </c>
      <c r="E624" s="14" t="s">
        <v>54</v>
      </c>
      <c r="F624" s="14" t="s">
        <v>278</v>
      </c>
      <c r="G624" s="204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6" t="s">
        <v>70</v>
      </c>
      <c r="B625" s="16" t="s">
        <v>71</v>
      </c>
      <c r="C625" s="119">
        <v>0.86111111111111116</v>
      </c>
      <c r="D625" s="16" t="s">
        <v>72</v>
      </c>
      <c r="E625" s="16" t="s">
        <v>110</v>
      </c>
      <c r="F625" s="16" t="s">
        <v>73</v>
      </c>
      <c r="G625" s="20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6" t="s">
        <v>74</v>
      </c>
      <c r="B626" s="16" t="s">
        <v>78</v>
      </c>
      <c r="C626" s="119">
        <v>0.66666666666666663</v>
      </c>
      <c r="D626" s="16" t="s">
        <v>72</v>
      </c>
      <c r="E626" s="16" t="s">
        <v>76</v>
      </c>
      <c r="F626" s="16" t="s">
        <v>77</v>
      </c>
      <c r="G626" s="20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6" t="s">
        <v>45</v>
      </c>
      <c r="B627" s="16" t="s">
        <v>57</v>
      </c>
      <c r="C627" s="119">
        <v>0.25694444444444442</v>
      </c>
      <c r="D627" s="16" t="s">
        <v>47</v>
      </c>
      <c r="E627" s="16" t="s">
        <v>29</v>
      </c>
      <c r="F627" s="16" t="s">
        <v>196</v>
      </c>
      <c r="G627" s="204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45</v>
      </c>
      <c r="B628" s="14" t="s">
        <v>57</v>
      </c>
      <c r="C628" s="117">
        <v>0.25694444444444442</v>
      </c>
      <c r="D628" s="14" t="s">
        <v>49</v>
      </c>
      <c r="E628" s="14" t="s">
        <v>29</v>
      </c>
      <c r="F628" s="14" t="s">
        <v>279</v>
      </c>
      <c r="G628" s="20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45</v>
      </c>
      <c r="B629" s="14" t="s">
        <v>57</v>
      </c>
      <c r="C629" s="117">
        <v>0.25694444444444442</v>
      </c>
      <c r="D629" s="14" t="s">
        <v>51</v>
      </c>
      <c r="E629" s="14" t="s">
        <v>29</v>
      </c>
      <c r="F629" s="14" t="s">
        <v>280</v>
      </c>
      <c r="G629" s="204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5" t="s">
        <v>45</v>
      </c>
      <c r="B630" s="15" t="s">
        <v>58</v>
      </c>
      <c r="C630" s="118">
        <v>0.30208333333333331</v>
      </c>
      <c r="D630" s="15" t="s">
        <v>47</v>
      </c>
      <c r="E630" s="15" t="s">
        <v>54</v>
      </c>
      <c r="F630" s="15" t="s">
        <v>50</v>
      </c>
      <c r="G630" s="204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45</v>
      </c>
      <c r="B631" s="14" t="s">
        <v>58</v>
      </c>
      <c r="C631" s="117">
        <v>0.30208333333333331</v>
      </c>
      <c r="D631" s="14" t="s">
        <v>49</v>
      </c>
      <c r="E631" s="14" t="s">
        <v>54</v>
      </c>
      <c r="F631" s="14" t="s">
        <v>67</v>
      </c>
      <c r="G631" s="204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45</v>
      </c>
      <c r="B632" s="14" t="s">
        <v>58</v>
      </c>
      <c r="C632" s="117">
        <v>0.30208333333333331</v>
      </c>
      <c r="D632" s="14" t="s">
        <v>51</v>
      </c>
      <c r="E632" s="14" t="s">
        <v>54</v>
      </c>
      <c r="F632" s="14" t="s">
        <v>281</v>
      </c>
      <c r="G632" s="204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5" t="s">
        <v>45</v>
      </c>
      <c r="B633" s="15" t="s">
        <v>60</v>
      </c>
      <c r="C633" s="118">
        <v>0.79861111111111116</v>
      </c>
      <c r="D633" s="15" t="s">
        <v>47</v>
      </c>
      <c r="E633" s="15" t="s">
        <v>54</v>
      </c>
      <c r="F633" s="15" t="s">
        <v>50</v>
      </c>
      <c r="G633" s="204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45</v>
      </c>
      <c r="B634" s="14" t="s">
        <v>60</v>
      </c>
      <c r="C634" s="117">
        <v>0.79861111111111116</v>
      </c>
      <c r="D634" s="14" t="s">
        <v>49</v>
      </c>
      <c r="E634" s="14" t="s">
        <v>54</v>
      </c>
      <c r="F634" s="14" t="s">
        <v>67</v>
      </c>
      <c r="G634" s="204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45</v>
      </c>
      <c r="B635" s="14" t="s">
        <v>60</v>
      </c>
      <c r="C635" s="117">
        <v>0.79861111111111116</v>
      </c>
      <c r="D635" s="14" t="s">
        <v>51</v>
      </c>
      <c r="E635" s="14" t="s">
        <v>54</v>
      </c>
      <c r="F635" s="14" t="s">
        <v>281</v>
      </c>
      <c r="G635" s="204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5" t="s">
        <v>45</v>
      </c>
      <c r="B636" s="15" t="s">
        <v>46</v>
      </c>
      <c r="C636" s="118">
        <v>0.39583333333333331</v>
      </c>
      <c r="D636" s="15" t="s">
        <v>47</v>
      </c>
      <c r="E636" s="15" t="s">
        <v>110</v>
      </c>
      <c r="F636" s="15" t="s">
        <v>50</v>
      </c>
      <c r="G636" s="204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45</v>
      </c>
      <c r="B637" s="14" t="s">
        <v>46</v>
      </c>
      <c r="C637" s="117">
        <v>0.39583333333333331</v>
      </c>
      <c r="D637" s="14" t="s">
        <v>49</v>
      </c>
      <c r="E637" s="14" t="s">
        <v>110</v>
      </c>
      <c r="F637" s="14" t="s">
        <v>67</v>
      </c>
      <c r="G637" s="204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45</v>
      </c>
      <c r="B638" s="14" t="s">
        <v>46</v>
      </c>
      <c r="C638" s="117">
        <v>0.39583333333333331</v>
      </c>
      <c r="D638" s="14" t="s">
        <v>51</v>
      </c>
      <c r="E638" s="14" t="s">
        <v>110</v>
      </c>
      <c r="F638" s="14" t="s">
        <v>281</v>
      </c>
      <c r="G638" s="20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5" t="s">
        <v>45</v>
      </c>
      <c r="B639" s="15" t="s">
        <v>62</v>
      </c>
      <c r="C639" s="118">
        <v>0.51736111111111116</v>
      </c>
      <c r="D639" s="15" t="s">
        <v>47</v>
      </c>
      <c r="E639" s="15" t="s">
        <v>110</v>
      </c>
      <c r="F639" s="15" t="s">
        <v>32</v>
      </c>
      <c r="G639" s="20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45</v>
      </c>
      <c r="B640" s="14" t="s">
        <v>62</v>
      </c>
      <c r="C640" s="117">
        <v>0.51736111111111116</v>
      </c>
      <c r="D640" s="14" t="s">
        <v>49</v>
      </c>
      <c r="E640" s="14" t="s">
        <v>110</v>
      </c>
      <c r="F640" s="14" t="s">
        <v>44</v>
      </c>
      <c r="G640" s="204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45</v>
      </c>
      <c r="B641" s="14" t="s">
        <v>62</v>
      </c>
      <c r="C641" s="117">
        <v>0.51736111111111116</v>
      </c>
      <c r="D641" s="14" t="s">
        <v>51</v>
      </c>
      <c r="E641" s="14" t="s">
        <v>110</v>
      </c>
      <c r="F641" s="14" t="s">
        <v>282</v>
      </c>
      <c r="G641" s="204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5" t="s">
        <v>45</v>
      </c>
      <c r="B642" s="15" t="s">
        <v>53</v>
      </c>
      <c r="C642" s="118">
        <v>0.85416666666666663</v>
      </c>
      <c r="D642" s="15" t="s">
        <v>47</v>
      </c>
      <c r="E642" s="15" t="s">
        <v>54</v>
      </c>
      <c r="F642" s="15" t="s">
        <v>64</v>
      </c>
      <c r="G642" s="204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45</v>
      </c>
      <c r="B643" s="14" t="s">
        <v>53</v>
      </c>
      <c r="C643" s="117">
        <v>0.85416666666666663</v>
      </c>
      <c r="D643" s="14" t="s">
        <v>49</v>
      </c>
      <c r="E643" s="14" t="s">
        <v>54</v>
      </c>
      <c r="F643" s="14" t="s">
        <v>184</v>
      </c>
      <c r="G643" s="204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45</v>
      </c>
      <c r="B644" s="14" t="s">
        <v>53</v>
      </c>
      <c r="C644" s="117">
        <v>0.85416666666666663</v>
      </c>
      <c r="D644" s="14" t="s">
        <v>51</v>
      </c>
      <c r="E644" s="14" t="s">
        <v>54</v>
      </c>
      <c r="F644" s="14" t="s">
        <v>283</v>
      </c>
      <c r="G644" s="20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5" t="s">
        <v>45</v>
      </c>
      <c r="B645" s="15" t="s">
        <v>66</v>
      </c>
      <c r="C645" s="118">
        <v>0.64583333333333337</v>
      </c>
      <c r="D645" s="15" t="s">
        <v>47</v>
      </c>
      <c r="E645" s="15" t="s">
        <v>103</v>
      </c>
      <c r="F645" s="15" t="s">
        <v>64</v>
      </c>
      <c r="G645" s="204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45</v>
      </c>
      <c r="B646" s="14" t="s">
        <v>66</v>
      </c>
      <c r="C646" s="117">
        <v>0.64583333333333337</v>
      </c>
      <c r="D646" s="14" t="s">
        <v>49</v>
      </c>
      <c r="E646" s="14" t="s">
        <v>103</v>
      </c>
      <c r="F646" s="14" t="s">
        <v>184</v>
      </c>
      <c r="G646" s="20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45</v>
      </c>
      <c r="B647" s="14" t="s">
        <v>66</v>
      </c>
      <c r="C647" s="117">
        <v>0.64583333333333337</v>
      </c>
      <c r="D647" s="14" t="s">
        <v>51</v>
      </c>
      <c r="E647" s="14" t="s">
        <v>103</v>
      </c>
      <c r="F647" s="14" t="s">
        <v>283</v>
      </c>
      <c r="G647" s="204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5" t="s">
        <v>45</v>
      </c>
      <c r="B648" s="15" t="s">
        <v>59</v>
      </c>
      <c r="C648" s="118">
        <v>0.90277777777777779</v>
      </c>
      <c r="D648" s="15" t="s">
        <v>47</v>
      </c>
      <c r="E648" s="15" t="s">
        <v>54</v>
      </c>
      <c r="F648" s="15" t="s">
        <v>68</v>
      </c>
      <c r="G648" s="204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45</v>
      </c>
      <c r="B649" s="14" t="s">
        <v>59</v>
      </c>
      <c r="C649" s="117">
        <v>0.90277777777777779</v>
      </c>
      <c r="D649" s="14" t="s">
        <v>49</v>
      </c>
      <c r="E649" s="14" t="s">
        <v>54</v>
      </c>
      <c r="F649" s="14" t="s">
        <v>284</v>
      </c>
      <c r="G649" s="204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45</v>
      </c>
      <c r="B650" s="14" t="s">
        <v>59</v>
      </c>
      <c r="C650" s="117">
        <v>0.90277777777777779</v>
      </c>
      <c r="D650" s="14" t="s">
        <v>51</v>
      </c>
      <c r="E650" s="14" t="s">
        <v>54</v>
      </c>
      <c r="F650" s="14" t="s">
        <v>285</v>
      </c>
      <c r="G650" s="204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7" t="s">
        <v>87</v>
      </c>
      <c r="B651" s="17" t="s">
        <v>95</v>
      </c>
      <c r="C651" s="120">
        <v>0.61458333333333337</v>
      </c>
      <c r="D651" s="17" t="s">
        <v>89</v>
      </c>
      <c r="E651" s="17" t="s">
        <v>96</v>
      </c>
      <c r="F651" s="17" t="s">
        <v>207</v>
      </c>
      <c r="G651" s="204"/>
      <c r="H651" s="18" t="s">
        <v>98</v>
      </c>
      <c r="I651" s="166">
        <v>0.25700000000000001</v>
      </c>
      <c r="J651" s="19">
        <v>46</v>
      </c>
      <c r="K651" s="20" t="s">
        <v>92</v>
      </c>
      <c r="L651" s="19">
        <v>16</v>
      </c>
      <c r="M651" s="19">
        <v>1</v>
      </c>
      <c r="N651" s="19">
        <v>1</v>
      </c>
      <c r="O651" s="21" t="s">
        <v>237</v>
      </c>
      <c r="P651" s="122">
        <v>0.61458333333333337</v>
      </c>
      <c r="Q651" s="19">
        <v>179</v>
      </c>
      <c r="R651" s="22" t="s">
        <v>286</v>
      </c>
    </row>
    <row r="652" spans="1:18" ht="15" customHeight="1" x14ac:dyDescent="0.3">
      <c r="A652" s="23" t="s">
        <v>87</v>
      </c>
      <c r="B652" s="23" t="s">
        <v>88</v>
      </c>
      <c r="C652" s="123">
        <v>0.52083333333333337</v>
      </c>
      <c r="D652" s="23" t="s">
        <v>89</v>
      </c>
      <c r="E652" s="23" t="s">
        <v>185</v>
      </c>
      <c r="F652" s="23" t="s">
        <v>207</v>
      </c>
      <c r="G652" s="204"/>
      <c r="H652" s="24" t="s">
        <v>91</v>
      </c>
      <c r="I652" s="142">
        <v>0.2346</v>
      </c>
      <c r="J652" s="25">
        <v>42</v>
      </c>
      <c r="K652" s="26" t="s">
        <v>99</v>
      </c>
      <c r="L652" s="25">
        <v>11</v>
      </c>
      <c r="M652" s="25">
        <v>0</v>
      </c>
      <c r="N652" s="25">
        <v>1</v>
      </c>
      <c r="O652" s="27" t="s">
        <v>237</v>
      </c>
      <c r="P652" s="125">
        <v>0.52083333333333337</v>
      </c>
      <c r="Q652" s="25">
        <v>179</v>
      </c>
      <c r="R652" s="28" t="s">
        <v>287</v>
      </c>
    </row>
    <row r="653" spans="1:18" ht="15" customHeight="1" x14ac:dyDescent="0.3">
      <c r="A653" s="78" t="s">
        <v>87</v>
      </c>
      <c r="B653" s="78" t="s">
        <v>109</v>
      </c>
      <c r="C653" s="157">
        <v>0.51736111111111116</v>
      </c>
      <c r="D653" s="78" t="s">
        <v>89</v>
      </c>
      <c r="E653" s="78" t="s">
        <v>185</v>
      </c>
      <c r="F653" s="78" t="s">
        <v>159</v>
      </c>
      <c r="G653" s="204"/>
      <c r="H653" s="53" t="s">
        <v>111</v>
      </c>
      <c r="I653" s="162">
        <v>0.94410000000000005</v>
      </c>
      <c r="J653" s="54">
        <v>169</v>
      </c>
      <c r="K653" s="55" t="s">
        <v>99</v>
      </c>
      <c r="L653" s="54">
        <v>6</v>
      </c>
      <c r="M653" s="54">
        <v>0</v>
      </c>
      <c r="N653" s="54">
        <v>2</v>
      </c>
      <c r="O653" s="56" t="s">
        <v>172</v>
      </c>
      <c r="P653" s="138">
        <v>0.51736111111111116</v>
      </c>
      <c r="Q653" s="54">
        <v>179</v>
      </c>
      <c r="R653" s="57" t="s">
        <v>288</v>
      </c>
    </row>
    <row r="654" spans="1:18" ht="15" customHeight="1" x14ac:dyDescent="0.3">
      <c r="A654" s="16" t="s">
        <v>115</v>
      </c>
      <c r="B654" s="16" t="s">
        <v>116</v>
      </c>
      <c r="C654" s="119">
        <v>0.22222222222222221</v>
      </c>
      <c r="D654" s="16" t="s">
        <v>124</v>
      </c>
      <c r="E654" s="16" t="s">
        <v>76</v>
      </c>
      <c r="F654" s="16" t="s">
        <v>253</v>
      </c>
      <c r="G654" s="204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5" t="s">
        <v>115</v>
      </c>
      <c r="B655" s="15" t="s">
        <v>121</v>
      </c>
      <c r="C655" s="118">
        <v>0.4861111111111111</v>
      </c>
      <c r="D655" s="15" t="s">
        <v>124</v>
      </c>
      <c r="E655" s="15" t="s">
        <v>76</v>
      </c>
      <c r="F655" s="15" t="s">
        <v>254</v>
      </c>
      <c r="G655" s="204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5" t="s">
        <v>115</v>
      </c>
      <c r="B656" s="15" t="s">
        <v>120</v>
      </c>
      <c r="C656" s="118">
        <v>0.27777777777777779</v>
      </c>
      <c r="D656" s="15" t="s">
        <v>124</v>
      </c>
      <c r="E656" s="15" t="s">
        <v>76</v>
      </c>
      <c r="F656" s="15" t="s">
        <v>289</v>
      </c>
      <c r="G656" s="204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5" t="s">
        <v>115</v>
      </c>
      <c r="B657" s="15" t="s">
        <v>123</v>
      </c>
      <c r="C657" s="118">
        <v>0.95833333333333337</v>
      </c>
      <c r="D657" s="15" t="s">
        <v>124</v>
      </c>
      <c r="E657" s="15" t="s">
        <v>76</v>
      </c>
      <c r="F657" s="15" t="s">
        <v>290</v>
      </c>
      <c r="G657" s="204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5" t="s">
        <v>115</v>
      </c>
      <c r="B658" s="15" t="s">
        <v>119</v>
      </c>
      <c r="C658" s="118">
        <v>0.14583333333333329</v>
      </c>
      <c r="D658" s="15" t="s">
        <v>124</v>
      </c>
      <c r="E658" s="15" t="s">
        <v>76</v>
      </c>
      <c r="F658" s="15" t="s">
        <v>291</v>
      </c>
      <c r="G658" s="204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5" t="s">
        <v>115</v>
      </c>
      <c r="B659" s="15" t="s">
        <v>122</v>
      </c>
      <c r="C659" s="118">
        <v>0.51388888888888884</v>
      </c>
      <c r="D659" s="15" t="s">
        <v>124</v>
      </c>
      <c r="E659" s="15" t="s">
        <v>76</v>
      </c>
      <c r="F659" s="15" t="s">
        <v>291</v>
      </c>
      <c r="G659" s="204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130</v>
      </c>
      <c r="B660" s="16" t="s">
        <v>143</v>
      </c>
      <c r="C660" s="119">
        <v>6.9444444444444441E-3</v>
      </c>
      <c r="D660" s="16" t="s">
        <v>132</v>
      </c>
      <c r="E660" s="16" t="s">
        <v>76</v>
      </c>
      <c r="F660" s="16" t="s">
        <v>292</v>
      </c>
      <c r="G660" s="204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130</v>
      </c>
      <c r="B661" s="14" t="s">
        <v>143</v>
      </c>
      <c r="C661" s="117">
        <v>6.9444444444444441E-3</v>
      </c>
      <c r="D661" s="14" t="s">
        <v>134</v>
      </c>
      <c r="E661" s="14" t="s">
        <v>76</v>
      </c>
      <c r="F661" s="14" t="s">
        <v>293</v>
      </c>
      <c r="G661" s="204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5" t="s">
        <v>130</v>
      </c>
      <c r="B662" s="15" t="s">
        <v>146</v>
      </c>
      <c r="C662" s="118">
        <v>0.1423611111111111</v>
      </c>
      <c r="D662" s="15" t="s">
        <v>132</v>
      </c>
      <c r="E662" s="15" t="s">
        <v>76</v>
      </c>
      <c r="F662" s="15" t="s">
        <v>292</v>
      </c>
      <c r="G662" s="204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130</v>
      </c>
      <c r="B663" s="14" t="s">
        <v>146</v>
      </c>
      <c r="C663" s="117">
        <v>0.1423611111111111</v>
      </c>
      <c r="D663" s="14" t="s">
        <v>134</v>
      </c>
      <c r="E663" s="14" t="s">
        <v>76</v>
      </c>
      <c r="F663" s="14" t="s">
        <v>293</v>
      </c>
      <c r="G663" s="204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5" t="s">
        <v>130</v>
      </c>
      <c r="B664" s="15" t="s">
        <v>131</v>
      </c>
      <c r="C664" s="118">
        <v>0.93055555555555558</v>
      </c>
      <c r="D664" s="15" t="s">
        <v>132</v>
      </c>
      <c r="E664" s="15" t="s">
        <v>76</v>
      </c>
      <c r="F664" s="15" t="s">
        <v>292</v>
      </c>
      <c r="G664" s="204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130</v>
      </c>
      <c r="B665" s="14" t="s">
        <v>131</v>
      </c>
      <c r="C665" s="117">
        <v>0.93055555555555558</v>
      </c>
      <c r="D665" s="14" t="s">
        <v>134</v>
      </c>
      <c r="E665" s="14" t="s">
        <v>76</v>
      </c>
      <c r="F665" s="14" t="s">
        <v>293</v>
      </c>
      <c r="G665" s="20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5" t="s">
        <v>130</v>
      </c>
      <c r="B666" s="15" t="s">
        <v>148</v>
      </c>
      <c r="C666" s="118">
        <v>0.82986111111111116</v>
      </c>
      <c r="D666" s="15" t="s">
        <v>132</v>
      </c>
      <c r="E666" s="15" t="s">
        <v>76</v>
      </c>
      <c r="F666" s="15" t="s">
        <v>292</v>
      </c>
      <c r="G666" s="20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130</v>
      </c>
      <c r="B667" s="14" t="s">
        <v>148</v>
      </c>
      <c r="C667" s="117">
        <v>0.82986111111111116</v>
      </c>
      <c r="D667" s="14" t="s">
        <v>134</v>
      </c>
      <c r="E667" s="14" t="s">
        <v>76</v>
      </c>
      <c r="F667" s="14" t="s">
        <v>293</v>
      </c>
      <c r="G667" s="20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5" t="s">
        <v>130</v>
      </c>
      <c r="B668" s="15" t="s">
        <v>136</v>
      </c>
      <c r="C668" s="118">
        <v>0.37847222222222221</v>
      </c>
      <c r="D668" s="15" t="s">
        <v>132</v>
      </c>
      <c r="E668" s="15" t="s">
        <v>76</v>
      </c>
      <c r="F668" s="15" t="s">
        <v>292</v>
      </c>
      <c r="G668" s="20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130</v>
      </c>
      <c r="B669" s="14" t="s">
        <v>136</v>
      </c>
      <c r="C669" s="117">
        <v>0.37847222222222221</v>
      </c>
      <c r="D669" s="14" t="s">
        <v>134</v>
      </c>
      <c r="E669" s="14" t="s">
        <v>76</v>
      </c>
      <c r="F669" s="14" t="s">
        <v>293</v>
      </c>
      <c r="G669" s="20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5" t="s">
        <v>130</v>
      </c>
      <c r="B670" s="15" t="s">
        <v>137</v>
      </c>
      <c r="C670" s="118">
        <v>0.61111111111111116</v>
      </c>
      <c r="D670" s="15" t="s">
        <v>132</v>
      </c>
      <c r="E670" s="15" t="s">
        <v>29</v>
      </c>
      <c r="F670" s="15" t="s">
        <v>292</v>
      </c>
      <c r="G670" s="20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130</v>
      </c>
      <c r="B671" s="14" t="s">
        <v>137</v>
      </c>
      <c r="C671" s="117">
        <v>0.61111111111111116</v>
      </c>
      <c r="D671" s="14" t="s">
        <v>134</v>
      </c>
      <c r="E671" s="14" t="s">
        <v>29</v>
      </c>
      <c r="F671" s="14" t="s">
        <v>293</v>
      </c>
      <c r="G671" s="204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5" t="s">
        <v>130</v>
      </c>
      <c r="B672" s="15" t="s">
        <v>138</v>
      </c>
      <c r="C672" s="118">
        <v>0.23958333333333329</v>
      </c>
      <c r="D672" s="15" t="s">
        <v>132</v>
      </c>
      <c r="E672" s="15" t="s">
        <v>76</v>
      </c>
      <c r="F672" s="15" t="s">
        <v>292</v>
      </c>
      <c r="G672" s="204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130</v>
      </c>
      <c r="B673" s="14" t="s">
        <v>138</v>
      </c>
      <c r="C673" s="117">
        <v>0.23958333333333329</v>
      </c>
      <c r="D673" s="14" t="s">
        <v>134</v>
      </c>
      <c r="E673" s="14" t="s">
        <v>76</v>
      </c>
      <c r="F673" s="14" t="s">
        <v>293</v>
      </c>
      <c r="G673" s="204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5" t="s">
        <v>130</v>
      </c>
      <c r="B674" s="15" t="s">
        <v>142</v>
      </c>
      <c r="C674" s="118">
        <v>0.12847222222222221</v>
      </c>
      <c r="D674" s="15" t="s">
        <v>134</v>
      </c>
      <c r="E674" s="15" t="s">
        <v>110</v>
      </c>
      <c r="F674" s="15" t="s">
        <v>178</v>
      </c>
      <c r="G674" s="204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5" t="s">
        <v>130</v>
      </c>
      <c r="B675" s="15" t="s">
        <v>147</v>
      </c>
      <c r="C675" s="118">
        <v>0.71875</v>
      </c>
      <c r="D675" s="15" t="s">
        <v>132</v>
      </c>
      <c r="E675" s="15" t="s">
        <v>76</v>
      </c>
      <c r="F675" s="15" t="s">
        <v>294</v>
      </c>
      <c r="G675" s="204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130</v>
      </c>
      <c r="B676" s="14" t="s">
        <v>147</v>
      </c>
      <c r="C676" s="117">
        <v>0.71875</v>
      </c>
      <c r="D676" s="14" t="s">
        <v>134</v>
      </c>
      <c r="E676" s="14" t="s">
        <v>76</v>
      </c>
      <c r="F676" s="14" t="s">
        <v>295</v>
      </c>
      <c r="G676" s="204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5" t="s">
        <v>130</v>
      </c>
      <c r="B677" s="15" t="s">
        <v>139</v>
      </c>
      <c r="C677" s="118">
        <v>0.88888888888888884</v>
      </c>
      <c r="D677" s="15" t="s">
        <v>134</v>
      </c>
      <c r="E677" s="15" t="s">
        <v>110</v>
      </c>
      <c r="F677" s="15" t="s">
        <v>179</v>
      </c>
      <c r="G677" s="204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5" t="s">
        <v>130</v>
      </c>
      <c r="B678" s="15" t="s">
        <v>141</v>
      </c>
      <c r="C678" s="118">
        <v>0.30208333333333331</v>
      </c>
      <c r="D678" s="15" t="s">
        <v>134</v>
      </c>
      <c r="E678" s="15" t="s">
        <v>110</v>
      </c>
      <c r="F678" s="15" t="s">
        <v>179</v>
      </c>
      <c r="G678" s="204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thickBot="1" x14ac:dyDescent="0.35">
      <c r="A679" s="41" t="s">
        <v>130</v>
      </c>
      <c r="B679" s="41" t="s">
        <v>149</v>
      </c>
      <c r="C679" s="132">
        <v>0.78819444444444442</v>
      </c>
      <c r="D679" s="41" t="s">
        <v>134</v>
      </c>
      <c r="E679" s="41" t="s">
        <v>110</v>
      </c>
      <c r="F679" s="41" t="s">
        <v>179</v>
      </c>
      <c r="G679" s="205"/>
      <c r="H679" s="42"/>
      <c r="I679" s="43"/>
      <c r="J679" s="43"/>
      <c r="K679" s="43"/>
      <c r="L679" s="43"/>
      <c r="M679" s="43"/>
      <c r="N679" s="43"/>
      <c r="O679" s="44"/>
      <c r="P679" s="43"/>
      <c r="Q679" s="45"/>
      <c r="R679" s="46"/>
    </row>
    <row r="680" spans="1:18" ht="17.399999999999999" customHeight="1" thickBot="1" x14ac:dyDescent="0.35">
      <c r="A680" s="200"/>
      <c r="B680" s="201"/>
      <c r="C680" s="201"/>
      <c r="D680" s="201"/>
      <c r="E680" s="201"/>
      <c r="F680" s="201"/>
      <c r="G680" s="201"/>
      <c r="H680" s="201"/>
      <c r="I680" s="201"/>
      <c r="J680" s="201"/>
      <c r="K680" s="201"/>
      <c r="L680" s="201"/>
      <c r="M680" s="201"/>
      <c r="N680" s="201"/>
      <c r="O680" s="201"/>
      <c r="P680" s="201"/>
      <c r="Q680" s="201"/>
      <c r="R680" s="202"/>
    </row>
    <row r="681" spans="1:18" ht="22.05" customHeight="1" thickTop="1" thickBot="1" x14ac:dyDescent="0.35">
      <c r="A681" s="197" t="s">
        <v>6</v>
      </c>
      <c r="B681" s="198"/>
      <c r="C681" s="198"/>
      <c r="D681" s="198"/>
      <c r="E681" s="198"/>
      <c r="F681" s="199"/>
      <c r="G681" s="133">
        <v>46002</v>
      </c>
      <c r="H681" s="207" t="s">
        <v>7</v>
      </c>
      <c r="I681" s="198"/>
      <c r="J681" s="198"/>
      <c r="K681" s="198"/>
      <c r="L681" s="198"/>
      <c r="M681" s="198"/>
      <c r="N681" s="198"/>
      <c r="O681" s="198"/>
      <c r="P681" s="198"/>
      <c r="Q681" s="198"/>
      <c r="R681" s="199"/>
    </row>
    <row r="682" spans="1:18" ht="24" customHeight="1" x14ac:dyDescent="0.3">
      <c r="A682" s="47" t="s">
        <v>8</v>
      </c>
      <c r="B682" s="47" t="s">
        <v>9</v>
      </c>
      <c r="C682" s="134" t="s">
        <v>10</v>
      </c>
      <c r="D682" s="47" t="s">
        <v>11</v>
      </c>
      <c r="E682" s="47" t="s">
        <v>12</v>
      </c>
      <c r="F682" s="48" t="s">
        <v>13</v>
      </c>
      <c r="G682" s="49" t="s">
        <v>14</v>
      </c>
      <c r="H682" s="47" t="s">
        <v>15</v>
      </c>
      <c r="I682" s="135" t="s">
        <v>16</v>
      </c>
      <c r="J682" s="50" t="s">
        <v>17</v>
      </c>
      <c r="K682" s="51" t="s">
        <v>18</v>
      </c>
      <c r="L682" s="50" t="s">
        <v>19</v>
      </c>
      <c r="M682" s="50" t="s">
        <v>20</v>
      </c>
      <c r="N682" s="50" t="s">
        <v>21</v>
      </c>
      <c r="O682" s="47" t="s">
        <v>22</v>
      </c>
      <c r="P682" s="134" t="s">
        <v>23</v>
      </c>
      <c r="Q682" s="50" t="s">
        <v>24</v>
      </c>
      <c r="R682" s="47" t="s">
        <v>25</v>
      </c>
    </row>
    <row r="683" spans="1:18" ht="15" customHeight="1" x14ac:dyDescent="0.3">
      <c r="A683" s="8" t="s">
        <v>26</v>
      </c>
      <c r="B683" s="8" t="s">
        <v>35</v>
      </c>
      <c r="C683" s="116">
        <v>0.12847222222222221</v>
      </c>
      <c r="D683" s="8" t="s">
        <v>28</v>
      </c>
      <c r="E683" s="8" t="s">
        <v>29</v>
      </c>
      <c r="F683" s="8" t="s">
        <v>180</v>
      </c>
      <c r="G683" s="20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26</v>
      </c>
      <c r="B684" s="14" t="s">
        <v>35</v>
      </c>
      <c r="C684" s="117">
        <v>0.12847222222222221</v>
      </c>
      <c r="D684" s="14" t="s">
        <v>31</v>
      </c>
      <c r="E684" s="14" t="s">
        <v>29</v>
      </c>
      <c r="F684" s="14" t="s">
        <v>181</v>
      </c>
      <c r="G684" s="204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35</v>
      </c>
      <c r="C685" s="117">
        <v>0.12847222222222221</v>
      </c>
      <c r="D685" s="14" t="s">
        <v>33</v>
      </c>
      <c r="E685" s="14" t="s">
        <v>29</v>
      </c>
      <c r="F685" s="14" t="s">
        <v>34</v>
      </c>
      <c r="G685" s="204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5" t="s">
        <v>26</v>
      </c>
      <c r="B686" s="15" t="s">
        <v>39</v>
      </c>
      <c r="C686" s="118">
        <v>0.30208333333333331</v>
      </c>
      <c r="D686" s="15" t="s">
        <v>28</v>
      </c>
      <c r="E686" s="15" t="s">
        <v>96</v>
      </c>
      <c r="F686" s="15" t="s">
        <v>182</v>
      </c>
      <c r="G686" s="204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26</v>
      </c>
      <c r="B687" s="14" t="s">
        <v>39</v>
      </c>
      <c r="C687" s="117">
        <v>0.30208333333333331</v>
      </c>
      <c r="D687" s="14" t="s">
        <v>31</v>
      </c>
      <c r="E687" s="14" t="s">
        <v>96</v>
      </c>
      <c r="F687" s="14" t="s">
        <v>67</v>
      </c>
      <c r="G687" s="204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26</v>
      </c>
      <c r="B688" s="14" t="s">
        <v>39</v>
      </c>
      <c r="C688" s="117">
        <v>0.30208333333333331</v>
      </c>
      <c r="D688" s="14" t="s">
        <v>33</v>
      </c>
      <c r="E688" s="14" t="s">
        <v>96</v>
      </c>
      <c r="F688" s="14" t="s">
        <v>34</v>
      </c>
      <c r="G688" s="204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5" t="s">
        <v>26</v>
      </c>
      <c r="B689" s="15" t="s">
        <v>27</v>
      </c>
      <c r="C689" s="118">
        <v>0.88888888888888884</v>
      </c>
      <c r="D689" s="15" t="s">
        <v>28</v>
      </c>
      <c r="E689" s="15" t="s">
        <v>296</v>
      </c>
      <c r="F689" s="15" t="s">
        <v>183</v>
      </c>
      <c r="G689" s="204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26</v>
      </c>
      <c r="B690" s="14" t="s">
        <v>27</v>
      </c>
      <c r="C690" s="117">
        <v>0.88888888888888884</v>
      </c>
      <c r="D690" s="14" t="s">
        <v>31</v>
      </c>
      <c r="E690" s="14" t="s">
        <v>296</v>
      </c>
      <c r="F690" s="14" t="s">
        <v>184</v>
      </c>
      <c r="G690" s="204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26</v>
      </c>
      <c r="B691" s="14" t="s">
        <v>27</v>
      </c>
      <c r="C691" s="117">
        <v>0.88888888888888884</v>
      </c>
      <c r="D691" s="14" t="s">
        <v>33</v>
      </c>
      <c r="E691" s="14" t="s">
        <v>296</v>
      </c>
      <c r="F691" s="14" t="s">
        <v>34</v>
      </c>
      <c r="G691" s="204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5" t="s">
        <v>26</v>
      </c>
      <c r="B692" s="15" t="s">
        <v>41</v>
      </c>
      <c r="C692" s="118">
        <v>0.78819444444444442</v>
      </c>
      <c r="D692" s="15" t="s">
        <v>28</v>
      </c>
      <c r="E692" s="15" t="s">
        <v>297</v>
      </c>
      <c r="F692" s="15" t="s">
        <v>183</v>
      </c>
      <c r="G692" s="204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26</v>
      </c>
      <c r="B693" s="14" t="s">
        <v>41</v>
      </c>
      <c r="C693" s="117">
        <v>0.78819444444444442</v>
      </c>
      <c r="D693" s="14" t="s">
        <v>31</v>
      </c>
      <c r="E693" s="14" t="s">
        <v>297</v>
      </c>
      <c r="F693" s="14" t="s">
        <v>184</v>
      </c>
      <c r="G693" s="204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26</v>
      </c>
      <c r="B694" s="14" t="s">
        <v>41</v>
      </c>
      <c r="C694" s="117">
        <v>0.78819444444444442</v>
      </c>
      <c r="D694" s="14" t="s">
        <v>33</v>
      </c>
      <c r="E694" s="14" t="s">
        <v>297</v>
      </c>
      <c r="F694" s="14" t="s">
        <v>34</v>
      </c>
      <c r="G694" s="204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6" t="s">
        <v>79</v>
      </c>
      <c r="B695" s="16" t="s">
        <v>84</v>
      </c>
      <c r="C695" s="119">
        <v>0.3298611111111111</v>
      </c>
      <c r="D695" s="16" t="s">
        <v>81</v>
      </c>
      <c r="E695" s="16" t="s">
        <v>54</v>
      </c>
      <c r="F695" s="16" t="s">
        <v>298</v>
      </c>
      <c r="G695" s="204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79</v>
      </c>
      <c r="B696" s="14" t="s">
        <v>84</v>
      </c>
      <c r="C696" s="117">
        <v>0.3298611111111111</v>
      </c>
      <c r="D696" s="14" t="s">
        <v>33</v>
      </c>
      <c r="E696" s="14" t="s">
        <v>54</v>
      </c>
      <c r="F696" s="14" t="s">
        <v>299</v>
      </c>
      <c r="G696" s="204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6" t="s">
        <v>70</v>
      </c>
      <c r="B697" s="16" t="s">
        <v>155</v>
      </c>
      <c r="C697" s="119">
        <v>0.29166666666666669</v>
      </c>
      <c r="D697" s="16" t="s">
        <v>72</v>
      </c>
      <c r="E697" s="16" t="s">
        <v>103</v>
      </c>
      <c r="F697" s="16" t="s">
        <v>73</v>
      </c>
      <c r="G697" s="204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5" t="s">
        <v>70</v>
      </c>
      <c r="B698" s="15" t="s">
        <v>71</v>
      </c>
      <c r="C698" s="118">
        <v>0.59375</v>
      </c>
      <c r="D698" s="15" t="s">
        <v>72</v>
      </c>
      <c r="E698" s="15" t="s">
        <v>76</v>
      </c>
      <c r="F698" s="15" t="s">
        <v>300</v>
      </c>
      <c r="G698" s="204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71" t="s">
        <v>87</v>
      </c>
      <c r="B699" s="71" t="s">
        <v>220</v>
      </c>
      <c r="C699" s="149">
        <v>0.25347222222222221</v>
      </c>
      <c r="D699" s="71" t="s">
        <v>89</v>
      </c>
      <c r="E699" s="71" t="s">
        <v>96</v>
      </c>
      <c r="F699" s="71" t="s">
        <v>77</v>
      </c>
      <c r="G699" s="204"/>
      <c r="H699" s="65" t="s">
        <v>221</v>
      </c>
      <c r="I699" s="161">
        <v>0.14530000000000001</v>
      </c>
      <c r="J699" s="66">
        <v>26</v>
      </c>
      <c r="K699" s="67" t="s">
        <v>162</v>
      </c>
      <c r="L699" s="66">
        <v>12</v>
      </c>
      <c r="M699" s="66">
        <v>0</v>
      </c>
      <c r="N699" s="66">
        <v>0</v>
      </c>
      <c r="O699" s="68" t="s">
        <v>301</v>
      </c>
      <c r="P699" s="146">
        <v>0.25347222222222221</v>
      </c>
      <c r="Q699" s="66">
        <v>179</v>
      </c>
      <c r="R699" s="69" t="s">
        <v>302</v>
      </c>
    </row>
    <row r="700" spans="1:18" ht="15" customHeight="1" x14ac:dyDescent="0.3">
      <c r="A700" s="29" t="s">
        <v>87</v>
      </c>
      <c r="B700" s="29" t="s">
        <v>241</v>
      </c>
      <c r="C700" s="126">
        <v>0.36458333333333331</v>
      </c>
      <c r="D700" s="29" t="s">
        <v>89</v>
      </c>
      <c r="E700" s="29" t="s">
        <v>42</v>
      </c>
      <c r="F700" s="29" t="s">
        <v>77</v>
      </c>
      <c r="G700" s="204"/>
      <c r="H700" s="30" t="s">
        <v>242</v>
      </c>
      <c r="I700" s="156">
        <v>0.50280000000000002</v>
      </c>
      <c r="J700" s="31">
        <v>90</v>
      </c>
      <c r="K700" s="32" t="s">
        <v>99</v>
      </c>
      <c r="L700" s="31">
        <v>9</v>
      </c>
      <c r="M700" s="31">
        <v>0</v>
      </c>
      <c r="N700" s="31">
        <v>5</v>
      </c>
      <c r="O700" s="33" t="s">
        <v>303</v>
      </c>
      <c r="P700" s="128">
        <v>0.36458333333333331</v>
      </c>
      <c r="Q700" s="31">
        <v>179</v>
      </c>
      <c r="R700" s="34" t="s">
        <v>304</v>
      </c>
    </row>
    <row r="701" spans="1:18" ht="15" customHeight="1" x14ac:dyDescent="0.3">
      <c r="A701" s="78" t="s">
        <v>87</v>
      </c>
      <c r="B701" s="78" t="s">
        <v>165</v>
      </c>
      <c r="C701" s="157">
        <v>0.1145833333333333</v>
      </c>
      <c r="D701" s="78" t="s">
        <v>89</v>
      </c>
      <c r="E701" s="78" t="s">
        <v>96</v>
      </c>
      <c r="F701" s="78" t="s">
        <v>77</v>
      </c>
      <c r="G701" s="204"/>
      <c r="H701" s="53" t="s">
        <v>166</v>
      </c>
      <c r="I701" s="152">
        <v>0.1061</v>
      </c>
      <c r="J701" s="54">
        <v>19</v>
      </c>
      <c r="K701" s="55" t="s">
        <v>112</v>
      </c>
      <c r="L701" s="54">
        <v>9</v>
      </c>
      <c r="M701" s="54">
        <v>0</v>
      </c>
      <c r="N701" s="54">
        <v>0</v>
      </c>
      <c r="O701" s="56" t="s">
        <v>301</v>
      </c>
      <c r="P701" s="138">
        <v>0.1145833333333333</v>
      </c>
      <c r="Q701" s="54">
        <v>179</v>
      </c>
      <c r="R701" s="57" t="s">
        <v>305</v>
      </c>
    </row>
    <row r="702" spans="1:18" ht="15" customHeight="1" x14ac:dyDescent="0.3">
      <c r="A702" s="64" t="s">
        <v>87</v>
      </c>
      <c r="B702" s="64" t="s">
        <v>169</v>
      </c>
      <c r="C702" s="144">
        <v>4.8611111111111112E-2</v>
      </c>
      <c r="D702" s="64" t="s">
        <v>89</v>
      </c>
      <c r="E702" s="64" t="s">
        <v>61</v>
      </c>
      <c r="F702" s="64" t="s">
        <v>77</v>
      </c>
      <c r="G702" s="204"/>
      <c r="H702" s="65" t="s">
        <v>170</v>
      </c>
      <c r="I702" s="161">
        <v>0.37990000000000002</v>
      </c>
      <c r="J702" s="66">
        <v>68</v>
      </c>
      <c r="K702" s="67" t="s">
        <v>99</v>
      </c>
      <c r="L702" s="66">
        <v>12</v>
      </c>
      <c r="M702" s="66">
        <v>0</v>
      </c>
      <c r="N702" s="66">
        <v>4</v>
      </c>
      <c r="O702" s="68" t="s">
        <v>203</v>
      </c>
      <c r="P702" s="146">
        <v>4.8611111111111112E-2</v>
      </c>
      <c r="Q702" s="66">
        <v>179</v>
      </c>
      <c r="R702" s="69" t="s">
        <v>306</v>
      </c>
    </row>
    <row r="703" spans="1:18" ht="15" customHeight="1" x14ac:dyDescent="0.3">
      <c r="A703" s="82" t="s">
        <v>87</v>
      </c>
      <c r="B703" s="82" t="s">
        <v>102</v>
      </c>
      <c r="C703" s="167">
        <v>0.73958333333333337</v>
      </c>
      <c r="D703" s="82" t="s">
        <v>89</v>
      </c>
      <c r="E703" s="82" t="s">
        <v>110</v>
      </c>
      <c r="F703" s="82" t="s">
        <v>159</v>
      </c>
      <c r="G703" s="204"/>
      <c r="H703" s="18" t="s">
        <v>105</v>
      </c>
      <c r="I703" s="121">
        <v>0.90500000000000003</v>
      </c>
      <c r="J703" s="19">
        <v>162</v>
      </c>
      <c r="K703" s="20" t="s">
        <v>92</v>
      </c>
      <c r="L703" s="19">
        <v>11</v>
      </c>
      <c r="M703" s="19">
        <v>4</v>
      </c>
      <c r="N703" s="19">
        <v>2</v>
      </c>
      <c r="O703" s="21" t="s">
        <v>163</v>
      </c>
      <c r="P703" s="122">
        <v>0.73958333333333337</v>
      </c>
      <c r="Q703" s="19">
        <v>179</v>
      </c>
      <c r="R703" s="22" t="s">
        <v>307</v>
      </c>
    </row>
    <row r="704" spans="1:18" ht="15" customHeight="1" x14ac:dyDescent="0.3">
      <c r="A704" s="64" t="s">
        <v>87</v>
      </c>
      <c r="B704" s="64" t="s">
        <v>95</v>
      </c>
      <c r="C704" s="144">
        <v>0.58333333333333337</v>
      </c>
      <c r="D704" s="64" t="s">
        <v>89</v>
      </c>
      <c r="E704" s="64" t="s">
        <v>96</v>
      </c>
      <c r="F704" s="64" t="s">
        <v>159</v>
      </c>
      <c r="G704" s="204"/>
      <c r="H704" s="65" t="s">
        <v>98</v>
      </c>
      <c r="I704" s="158">
        <v>0.93300000000000005</v>
      </c>
      <c r="J704" s="66">
        <v>167</v>
      </c>
      <c r="K704" s="67" t="s">
        <v>99</v>
      </c>
      <c r="L704" s="66">
        <v>6</v>
      </c>
      <c r="M704" s="66">
        <v>0</v>
      </c>
      <c r="N704" s="66">
        <v>1</v>
      </c>
      <c r="O704" s="68" t="s">
        <v>271</v>
      </c>
      <c r="P704" s="146">
        <v>0.58333333333333337</v>
      </c>
      <c r="Q704" s="66">
        <v>179</v>
      </c>
      <c r="R704" s="69" t="s">
        <v>308</v>
      </c>
    </row>
    <row r="705" spans="1:18" ht="15" customHeight="1" x14ac:dyDescent="0.3">
      <c r="A705" s="82" t="s">
        <v>87</v>
      </c>
      <c r="B705" s="82" t="s">
        <v>109</v>
      </c>
      <c r="C705" s="167">
        <v>0.33333333333333331</v>
      </c>
      <c r="D705" s="82" t="s">
        <v>89</v>
      </c>
      <c r="E705" s="82" t="s">
        <v>76</v>
      </c>
      <c r="F705" s="82" t="s">
        <v>104</v>
      </c>
      <c r="G705" s="204"/>
      <c r="H705" s="18" t="s">
        <v>111</v>
      </c>
      <c r="I705" s="121">
        <v>0.87150000000000005</v>
      </c>
      <c r="J705" s="19">
        <v>156</v>
      </c>
      <c r="K705" s="20" t="s">
        <v>162</v>
      </c>
      <c r="L705" s="19">
        <v>6</v>
      </c>
      <c r="M705" s="19">
        <v>0</v>
      </c>
      <c r="N705" s="19">
        <v>0</v>
      </c>
      <c r="O705" s="21" t="s">
        <v>224</v>
      </c>
      <c r="P705" s="122">
        <v>0.33333333333333331</v>
      </c>
      <c r="Q705" s="19">
        <v>179</v>
      </c>
      <c r="R705" s="22" t="s">
        <v>309</v>
      </c>
    </row>
    <row r="706" spans="1:18" ht="15" customHeight="1" x14ac:dyDescent="0.3">
      <c r="A706" s="16" t="s">
        <v>74</v>
      </c>
      <c r="B706" s="16" t="s">
        <v>78</v>
      </c>
      <c r="C706" s="119">
        <v>0.66666666666666663</v>
      </c>
      <c r="D706" s="16" t="s">
        <v>72</v>
      </c>
      <c r="E706" s="16" t="s">
        <v>96</v>
      </c>
      <c r="F706" s="16" t="s">
        <v>77</v>
      </c>
      <c r="G706" s="204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6" t="s">
        <v>45</v>
      </c>
      <c r="B707" s="16" t="s">
        <v>57</v>
      </c>
      <c r="C707" s="119">
        <v>0.25694444444444442</v>
      </c>
      <c r="D707" s="16" t="s">
        <v>47</v>
      </c>
      <c r="E707" s="16" t="s">
        <v>185</v>
      </c>
      <c r="F707" s="16" t="s">
        <v>196</v>
      </c>
      <c r="G707" s="204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45</v>
      </c>
      <c r="B708" s="14" t="s">
        <v>57</v>
      </c>
      <c r="C708" s="117">
        <v>0.25694444444444442</v>
      </c>
      <c r="D708" s="14" t="s">
        <v>49</v>
      </c>
      <c r="E708" s="14" t="s">
        <v>185</v>
      </c>
      <c r="F708" s="14" t="s">
        <v>279</v>
      </c>
      <c r="G708" s="204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45</v>
      </c>
      <c r="B709" s="14" t="s">
        <v>57</v>
      </c>
      <c r="C709" s="117">
        <v>0.25694444444444442</v>
      </c>
      <c r="D709" s="14" t="s">
        <v>51</v>
      </c>
      <c r="E709" s="14" t="s">
        <v>185</v>
      </c>
      <c r="F709" s="14" t="s">
        <v>280</v>
      </c>
      <c r="G709" s="204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5" t="s">
        <v>45</v>
      </c>
      <c r="B710" s="15" t="s">
        <v>62</v>
      </c>
      <c r="C710" s="118">
        <v>0.51736111111111116</v>
      </c>
      <c r="D710" s="15" t="s">
        <v>47</v>
      </c>
      <c r="E710" s="15" t="s">
        <v>42</v>
      </c>
      <c r="F710" s="15" t="s">
        <v>32</v>
      </c>
      <c r="G710" s="204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45</v>
      </c>
      <c r="B711" s="14" t="s">
        <v>62</v>
      </c>
      <c r="C711" s="117">
        <v>0.51736111111111116</v>
      </c>
      <c r="D711" s="14" t="s">
        <v>49</v>
      </c>
      <c r="E711" s="14" t="s">
        <v>42</v>
      </c>
      <c r="F711" s="14" t="s">
        <v>44</v>
      </c>
      <c r="G711" s="204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45</v>
      </c>
      <c r="B712" s="14" t="s">
        <v>62</v>
      </c>
      <c r="C712" s="117">
        <v>0.51736111111111116</v>
      </c>
      <c r="D712" s="14" t="s">
        <v>51</v>
      </c>
      <c r="E712" s="14" t="s">
        <v>42</v>
      </c>
      <c r="F712" s="14" t="s">
        <v>282</v>
      </c>
      <c r="G712" s="204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5" t="s">
        <v>45</v>
      </c>
      <c r="B713" s="15" t="s">
        <v>59</v>
      </c>
      <c r="C713" s="118">
        <v>0.90277777777777779</v>
      </c>
      <c r="D713" s="15" t="s">
        <v>47</v>
      </c>
      <c r="E713" s="15" t="s">
        <v>185</v>
      </c>
      <c r="F713" s="15" t="s">
        <v>32</v>
      </c>
      <c r="G713" s="204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45</v>
      </c>
      <c r="B714" s="14" t="s">
        <v>59</v>
      </c>
      <c r="C714" s="117">
        <v>0.90277777777777779</v>
      </c>
      <c r="D714" s="14" t="s">
        <v>49</v>
      </c>
      <c r="E714" s="14" t="s">
        <v>185</v>
      </c>
      <c r="F714" s="14" t="s">
        <v>44</v>
      </c>
      <c r="G714" s="204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45</v>
      </c>
      <c r="B715" s="14" t="s">
        <v>59</v>
      </c>
      <c r="C715" s="117">
        <v>0.90277777777777779</v>
      </c>
      <c r="D715" s="14" t="s">
        <v>51</v>
      </c>
      <c r="E715" s="14" t="s">
        <v>185</v>
      </c>
      <c r="F715" s="14" t="s">
        <v>282</v>
      </c>
      <c r="G715" s="204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5" t="s">
        <v>45</v>
      </c>
      <c r="B716" s="15" t="s">
        <v>46</v>
      </c>
      <c r="C716" s="118">
        <v>0.39583333333333331</v>
      </c>
      <c r="D716" s="15" t="s">
        <v>47</v>
      </c>
      <c r="E716" s="15" t="s">
        <v>110</v>
      </c>
      <c r="F716" s="15" t="s">
        <v>32</v>
      </c>
      <c r="G716" s="204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45</v>
      </c>
      <c r="B717" s="14" t="s">
        <v>46</v>
      </c>
      <c r="C717" s="117">
        <v>0.39583333333333331</v>
      </c>
      <c r="D717" s="14" t="s">
        <v>49</v>
      </c>
      <c r="E717" s="14" t="s">
        <v>110</v>
      </c>
      <c r="F717" s="14" t="s">
        <v>44</v>
      </c>
      <c r="G717" s="204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45</v>
      </c>
      <c r="B718" s="14" t="s">
        <v>46</v>
      </c>
      <c r="C718" s="117">
        <v>0.39583333333333331</v>
      </c>
      <c r="D718" s="14" t="s">
        <v>51</v>
      </c>
      <c r="E718" s="14" t="s">
        <v>110</v>
      </c>
      <c r="F718" s="14" t="s">
        <v>282</v>
      </c>
      <c r="G718" s="204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5" t="s">
        <v>45</v>
      </c>
      <c r="B719" s="15" t="s">
        <v>53</v>
      </c>
      <c r="C719" s="118">
        <v>0.85416666666666663</v>
      </c>
      <c r="D719" s="15" t="s">
        <v>47</v>
      </c>
      <c r="E719" s="15" t="s">
        <v>110</v>
      </c>
      <c r="F719" s="15" t="s">
        <v>64</v>
      </c>
      <c r="G719" s="204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45</v>
      </c>
      <c r="B720" s="14" t="s">
        <v>53</v>
      </c>
      <c r="C720" s="117">
        <v>0.85416666666666663</v>
      </c>
      <c r="D720" s="14" t="s">
        <v>49</v>
      </c>
      <c r="E720" s="14" t="s">
        <v>110</v>
      </c>
      <c r="F720" s="14" t="s">
        <v>184</v>
      </c>
      <c r="G720" s="204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45</v>
      </c>
      <c r="B721" s="14" t="s">
        <v>53</v>
      </c>
      <c r="C721" s="117">
        <v>0.85416666666666663</v>
      </c>
      <c r="D721" s="14" t="s">
        <v>51</v>
      </c>
      <c r="E721" s="14" t="s">
        <v>110</v>
      </c>
      <c r="F721" s="14" t="s">
        <v>283</v>
      </c>
      <c r="G721" s="204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5" t="s">
        <v>45</v>
      </c>
      <c r="B722" s="15" t="s">
        <v>60</v>
      </c>
      <c r="C722" s="118">
        <v>0.79861111111111116</v>
      </c>
      <c r="D722" s="15" t="s">
        <v>47</v>
      </c>
      <c r="E722" s="15" t="s">
        <v>103</v>
      </c>
      <c r="F722" s="15" t="s">
        <v>64</v>
      </c>
      <c r="G722" s="204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45</v>
      </c>
      <c r="B723" s="14" t="s">
        <v>60</v>
      </c>
      <c r="C723" s="117">
        <v>0.79861111111111116</v>
      </c>
      <c r="D723" s="14" t="s">
        <v>49</v>
      </c>
      <c r="E723" s="14" t="s">
        <v>103</v>
      </c>
      <c r="F723" s="14" t="s">
        <v>184</v>
      </c>
      <c r="G723" s="204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45</v>
      </c>
      <c r="B724" s="14" t="s">
        <v>60</v>
      </c>
      <c r="C724" s="117">
        <v>0.79861111111111116</v>
      </c>
      <c r="D724" s="14" t="s">
        <v>51</v>
      </c>
      <c r="E724" s="14" t="s">
        <v>103</v>
      </c>
      <c r="F724" s="14" t="s">
        <v>283</v>
      </c>
      <c r="G724" s="204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5" t="s">
        <v>45</v>
      </c>
      <c r="B725" s="15" t="s">
        <v>66</v>
      </c>
      <c r="C725" s="118">
        <v>0.64583333333333337</v>
      </c>
      <c r="D725" s="15" t="s">
        <v>47</v>
      </c>
      <c r="E725" s="15" t="s">
        <v>42</v>
      </c>
      <c r="F725" s="15" t="s">
        <v>64</v>
      </c>
      <c r="G725" s="204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45</v>
      </c>
      <c r="B726" s="14" t="s">
        <v>66</v>
      </c>
      <c r="C726" s="117">
        <v>0.64583333333333337</v>
      </c>
      <c r="D726" s="14" t="s">
        <v>49</v>
      </c>
      <c r="E726" s="14" t="s">
        <v>42</v>
      </c>
      <c r="F726" s="14" t="s">
        <v>184</v>
      </c>
      <c r="G726" s="204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45</v>
      </c>
      <c r="B727" s="14" t="s">
        <v>66</v>
      </c>
      <c r="C727" s="117">
        <v>0.64583333333333337</v>
      </c>
      <c r="D727" s="14" t="s">
        <v>51</v>
      </c>
      <c r="E727" s="14" t="s">
        <v>42</v>
      </c>
      <c r="F727" s="14" t="s">
        <v>283</v>
      </c>
      <c r="G727" s="204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6" t="s">
        <v>115</v>
      </c>
      <c r="B728" s="16" t="s">
        <v>121</v>
      </c>
      <c r="C728" s="119">
        <v>0.4861111111111111</v>
      </c>
      <c r="D728" s="16" t="s">
        <v>124</v>
      </c>
      <c r="E728" s="16" t="s">
        <v>76</v>
      </c>
      <c r="F728" s="16" t="s">
        <v>127</v>
      </c>
      <c r="G728" s="204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5" t="s">
        <v>115</v>
      </c>
      <c r="B729" s="15" t="s">
        <v>122</v>
      </c>
      <c r="C729" s="118">
        <v>0.51388888888888884</v>
      </c>
      <c r="D729" s="15" t="s">
        <v>124</v>
      </c>
      <c r="E729" s="15" t="s">
        <v>76</v>
      </c>
      <c r="F729" s="15" t="s">
        <v>127</v>
      </c>
      <c r="G729" s="204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5" t="s">
        <v>115</v>
      </c>
      <c r="B730" s="15" t="s">
        <v>116</v>
      </c>
      <c r="C730" s="118">
        <v>0.22916666666666671</v>
      </c>
      <c r="D730" s="15" t="s">
        <v>124</v>
      </c>
      <c r="E730" s="15" t="s">
        <v>76</v>
      </c>
      <c r="F730" s="15" t="s">
        <v>129</v>
      </c>
      <c r="G730" s="204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5" t="s">
        <v>115</v>
      </c>
      <c r="B731" s="15" t="s">
        <v>123</v>
      </c>
      <c r="C731" s="118">
        <v>0.95833333333333337</v>
      </c>
      <c r="D731" s="15" t="s">
        <v>124</v>
      </c>
      <c r="E731" s="15" t="s">
        <v>76</v>
      </c>
      <c r="F731" s="15" t="s">
        <v>254</v>
      </c>
      <c r="G731" s="204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5" t="s">
        <v>115</v>
      </c>
      <c r="B732" s="15" t="s">
        <v>128</v>
      </c>
      <c r="C732" s="118">
        <v>1.388888888888889E-2</v>
      </c>
      <c r="D732" s="15" t="s">
        <v>124</v>
      </c>
      <c r="E732" s="15" t="s">
        <v>76</v>
      </c>
      <c r="F732" s="15" t="s">
        <v>310</v>
      </c>
      <c r="G732" s="204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5" t="s">
        <v>115</v>
      </c>
      <c r="B733" s="15" t="s">
        <v>119</v>
      </c>
      <c r="C733" s="118">
        <v>0.14583333333333329</v>
      </c>
      <c r="D733" s="15" t="s">
        <v>124</v>
      </c>
      <c r="E733" s="15" t="s">
        <v>76</v>
      </c>
      <c r="F733" s="15" t="s">
        <v>310</v>
      </c>
      <c r="G733" s="204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5" t="s">
        <v>115</v>
      </c>
      <c r="B734" s="15" t="s">
        <v>120</v>
      </c>
      <c r="C734" s="118">
        <v>0.27777777777777779</v>
      </c>
      <c r="D734" s="15" t="s">
        <v>124</v>
      </c>
      <c r="E734" s="15" t="s">
        <v>76</v>
      </c>
      <c r="F734" s="15" t="s">
        <v>310</v>
      </c>
      <c r="G734" s="204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5" t="s">
        <v>115</v>
      </c>
      <c r="B735" s="15" t="s">
        <v>126</v>
      </c>
      <c r="C735" s="118">
        <v>0.77083333333333337</v>
      </c>
      <c r="D735" s="15" t="s">
        <v>124</v>
      </c>
      <c r="E735" s="15" t="s">
        <v>76</v>
      </c>
      <c r="F735" s="15" t="s">
        <v>290</v>
      </c>
      <c r="G735" s="204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6" t="s">
        <v>130</v>
      </c>
      <c r="B736" s="16" t="s">
        <v>143</v>
      </c>
      <c r="C736" s="119">
        <v>6.9444444444444441E-3</v>
      </c>
      <c r="D736" s="16" t="s">
        <v>132</v>
      </c>
      <c r="E736" s="16" t="s">
        <v>76</v>
      </c>
      <c r="F736" s="16" t="s">
        <v>292</v>
      </c>
      <c r="G736" s="204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130</v>
      </c>
      <c r="B737" s="14" t="s">
        <v>143</v>
      </c>
      <c r="C737" s="117">
        <v>6.9444444444444441E-3</v>
      </c>
      <c r="D737" s="14" t="s">
        <v>134</v>
      </c>
      <c r="E737" s="14" t="s">
        <v>76</v>
      </c>
      <c r="F737" s="14" t="s">
        <v>293</v>
      </c>
      <c r="G737" s="204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5" t="s">
        <v>130</v>
      </c>
      <c r="B738" s="15" t="s">
        <v>146</v>
      </c>
      <c r="C738" s="118">
        <v>0.1423611111111111</v>
      </c>
      <c r="D738" s="15" t="s">
        <v>132</v>
      </c>
      <c r="E738" s="15" t="s">
        <v>76</v>
      </c>
      <c r="F738" s="15" t="s">
        <v>292</v>
      </c>
      <c r="G738" s="204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130</v>
      </c>
      <c r="B739" s="14" t="s">
        <v>146</v>
      </c>
      <c r="C739" s="117">
        <v>0.1423611111111111</v>
      </c>
      <c r="D739" s="14" t="s">
        <v>134</v>
      </c>
      <c r="E739" s="14" t="s">
        <v>76</v>
      </c>
      <c r="F739" s="14" t="s">
        <v>293</v>
      </c>
      <c r="G739" s="204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5" t="s">
        <v>130</v>
      </c>
      <c r="B740" s="15" t="s">
        <v>131</v>
      </c>
      <c r="C740" s="118">
        <v>0.93055555555555558</v>
      </c>
      <c r="D740" s="15" t="s">
        <v>132</v>
      </c>
      <c r="E740" s="15" t="s">
        <v>76</v>
      </c>
      <c r="F740" s="15" t="s">
        <v>292</v>
      </c>
      <c r="G740" s="204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130</v>
      </c>
      <c r="B741" s="14" t="s">
        <v>131</v>
      </c>
      <c r="C741" s="117">
        <v>0.93055555555555558</v>
      </c>
      <c r="D741" s="14" t="s">
        <v>134</v>
      </c>
      <c r="E741" s="14" t="s">
        <v>76</v>
      </c>
      <c r="F741" s="14" t="s">
        <v>293</v>
      </c>
      <c r="G741" s="204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5" t="s">
        <v>130</v>
      </c>
      <c r="B742" s="15" t="s">
        <v>136</v>
      </c>
      <c r="C742" s="118">
        <v>0.37847222222222221</v>
      </c>
      <c r="D742" s="15" t="s">
        <v>132</v>
      </c>
      <c r="E742" s="15" t="s">
        <v>76</v>
      </c>
      <c r="F742" s="15" t="s">
        <v>292</v>
      </c>
      <c r="G742" s="204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130</v>
      </c>
      <c r="B743" s="14" t="s">
        <v>136</v>
      </c>
      <c r="C743" s="117">
        <v>0.37847222222222221</v>
      </c>
      <c r="D743" s="14" t="s">
        <v>134</v>
      </c>
      <c r="E743" s="14" t="s">
        <v>76</v>
      </c>
      <c r="F743" s="14" t="s">
        <v>293</v>
      </c>
      <c r="G743" s="204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5" t="s">
        <v>130</v>
      </c>
      <c r="B744" s="15" t="s">
        <v>137</v>
      </c>
      <c r="C744" s="118">
        <v>0.61111111111111116</v>
      </c>
      <c r="D744" s="15" t="s">
        <v>132</v>
      </c>
      <c r="E744" s="15" t="s">
        <v>76</v>
      </c>
      <c r="F744" s="15" t="s">
        <v>292</v>
      </c>
      <c r="G744" s="204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130</v>
      </c>
      <c r="B745" s="14" t="s">
        <v>137</v>
      </c>
      <c r="C745" s="117">
        <v>0.61111111111111116</v>
      </c>
      <c r="D745" s="14" t="s">
        <v>134</v>
      </c>
      <c r="E745" s="14" t="s">
        <v>76</v>
      </c>
      <c r="F745" s="14" t="s">
        <v>293</v>
      </c>
      <c r="G745" s="204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5" t="s">
        <v>130</v>
      </c>
      <c r="B746" s="15" t="s">
        <v>138</v>
      </c>
      <c r="C746" s="118">
        <v>0.24305555555555561</v>
      </c>
      <c r="D746" s="15" t="s">
        <v>132</v>
      </c>
      <c r="E746" s="15" t="s">
        <v>76</v>
      </c>
      <c r="F746" s="15" t="s">
        <v>292</v>
      </c>
      <c r="G746" s="204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130</v>
      </c>
      <c r="B747" s="14" t="s">
        <v>138</v>
      </c>
      <c r="C747" s="117">
        <v>0.24305555555555561</v>
      </c>
      <c r="D747" s="14" t="s">
        <v>134</v>
      </c>
      <c r="E747" s="14" t="s">
        <v>76</v>
      </c>
      <c r="F747" s="14" t="s">
        <v>293</v>
      </c>
      <c r="G747" s="204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5" t="s">
        <v>130</v>
      </c>
      <c r="B748" s="15" t="s">
        <v>147</v>
      </c>
      <c r="C748" s="118">
        <v>0.71875</v>
      </c>
      <c r="D748" s="15" t="s">
        <v>132</v>
      </c>
      <c r="E748" s="15" t="s">
        <v>76</v>
      </c>
      <c r="F748" s="15" t="s">
        <v>311</v>
      </c>
      <c r="G748" s="204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130</v>
      </c>
      <c r="B749" s="14" t="s">
        <v>147</v>
      </c>
      <c r="C749" s="117">
        <v>0.71875</v>
      </c>
      <c r="D749" s="14" t="s">
        <v>134</v>
      </c>
      <c r="E749" s="14" t="s">
        <v>76</v>
      </c>
      <c r="F749" s="14" t="s">
        <v>312</v>
      </c>
      <c r="G749" s="204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5" t="s">
        <v>130</v>
      </c>
      <c r="B750" s="15" t="s">
        <v>148</v>
      </c>
      <c r="C750" s="118">
        <v>0.82986111111111116</v>
      </c>
      <c r="D750" s="15" t="s">
        <v>132</v>
      </c>
      <c r="E750" s="15" t="s">
        <v>76</v>
      </c>
      <c r="F750" s="15" t="s">
        <v>313</v>
      </c>
      <c r="G750" s="204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130</v>
      </c>
      <c r="B751" s="14" t="s">
        <v>148</v>
      </c>
      <c r="C751" s="117">
        <v>0.82986111111111116</v>
      </c>
      <c r="D751" s="14" t="s">
        <v>134</v>
      </c>
      <c r="E751" s="14" t="s">
        <v>76</v>
      </c>
      <c r="F751" s="14" t="s">
        <v>314</v>
      </c>
      <c r="G751" s="204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5" t="s">
        <v>130</v>
      </c>
      <c r="B752" s="15" t="s">
        <v>142</v>
      </c>
      <c r="C752" s="118">
        <v>0.12847222222222221</v>
      </c>
      <c r="D752" s="15" t="s">
        <v>134</v>
      </c>
      <c r="E752" s="15" t="s">
        <v>110</v>
      </c>
      <c r="F752" s="15" t="s">
        <v>178</v>
      </c>
      <c r="G752" s="204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5" t="s">
        <v>130</v>
      </c>
      <c r="B753" s="15" t="s">
        <v>141</v>
      </c>
      <c r="C753" s="118">
        <v>0.30208333333333331</v>
      </c>
      <c r="D753" s="15" t="s">
        <v>134</v>
      </c>
      <c r="E753" s="15" t="s">
        <v>110</v>
      </c>
      <c r="F753" s="15" t="s">
        <v>179</v>
      </c>
      <c r="G753" s="204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5" t="s">
        <v>130</v>
      </c>
      <c r="B754" s="15" t="s">
        <v>139</v>
      </c>
      <c r="C754" s="118">
        <v>0.88888888888888884</v>
      </c>
      <c r="D754" s="15" t="s">
        <v>134</v>
      </c>
      <c r="E754" s="15" t="s">
        <v>110</v>
      </c>
      <c r="F754" s="15" t="s">
        <v>150</v>
      </c>
      <c r="G754" s="204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thickBot="1" x14ac:dyDescent="0.35">
      <c r="A755" s="41" t="s">
        <v>130</v>
      </c>
      <c r="B755" s="41" t="s">
        <v>149</v>
      </c>
      <c r="C755" s="132">
        <v>0.78819444444444442</v>
      </c>
      <c r="D755" s="41" t="s">
        <v>134</v>
      </c>
      <c r="E755" s="41" t="s">
        <v>110</v>
      </c>
      <c r="F755" s="41" t="s">
        <v>150</v>
      </c>
      <c r="G755" s="205"/>
      <c r="H755" s="42"/>
      <c r="I755" s="43"/>
      <c r="J755" s="43"/>
      <c r="K755" s="43"/>
      <c r="L755" s="43"/>
      <c r="M755" s="43"/>
      <c r="N755" s="43"/>
      <c r="O755" s="44"/>
      <c r="P755" s="43"/>
      <c r="Q755" s="45"/>
      <c r="R755" s="46"/>
    </row>
    <row r="756" spans="1:18" ht="17.399999999999999" customHeight="1" thickBot="1" x14ac:dyDescent="0.35">
      <c r="A756" s="200"/>
      <c r="B756" s="201"/>
      <c r="C756" s="201"/>
      <c r="D756" s="201"/>
      <c r="E756" s="201"/>
      <c r="F756" s="201"/>
      <c r="G756" s="201"/>
      <c r="H756" s="201"/>
      <c r="I756" s="201"/>
      <c r="J756" s="201"/>
      <c r="K756" s="201"/>
      <c r="L756" s="201"/>
      <c r="M756" s="201"/>
      <c r="N756" s="201"/>
      <c r="O756" s="201"/>
      <c r="P756" s="201"/>
      <c r="Q756" s="201"/>
      <c r="R756" s="202"/>
    </row>
    <row r="757" spans="1:18" ht="22.05" customHeight="1" thickTop="1" thickBot="1" x14ac:dyDescent="0.35">
      <c r="A757" s="197" t="s">
        <v>6</v>
      </c>
      <c r="B757" s="198"/>
      <c r="C757" s="198"/>
      <c r="D757" s="198"/>
      <c r="E757" s="198"/>
      <c r="F757" s="199"/>
      <c r="G757" s="133">
        <v>46003</v>
      </c>
      <c r="H757" s="207" t="s">
        <v>7</v>
      </c>
      <c r="I757" s="198"/>
      <c r="J757" s="198"/>
      <c r="K757" s="198"/>
      <c r="L757" s="198"/>
      <c r="M757" s="198"/>
      <c r="N757" s="198"/>
      <c r="O757" s="198"/>
      <c r="P757" s="198"/>
      <c r="Q757" s="198"/>
      <c r="R757" s="199"/>
    </row>
    <row r="758" spans="1:18" ht="24" customHeight="1" x14ac:dyDescent="0.3">
      <c r="A758" s="47" t="s">
        <v>8</v>
      </c>
      <c r="B758" s="47" t="s">
        <v>9</v>
      </c>
      <c r="C758" s="134" t="s">
        <v>10</v>
      </c>
      <c r="D758" s="47" t="s">
        <v>11</v>
      </c>
      <c r="E758" s="47" t="s">
        <v>12</v>
      </c>
      <c r="F758" s="48" t="s">
        <v>13</v>
      </c>
      <c r="G758" s="49" t="s">
        <v>14</v>
      </c>
      <c r="H758" s="47" t="s">
        <v>15</v>
      </c>
      <c r="I758" s="135" t="s">
        <v>16</v>
      </c>
      <c r="J758" s="50" t="s">
        <v>17</v>
      </c>
      <c r="K758" s="51" t="s">
        <v>18</v>
      </c>
      <c r="L758" s="50" t="s">
        <v>19</v>
      </c>
      <c r="M758" s="50" t="s">
        <v>20</v>
      </c>
      <c r="N758" s="50" t="s">
        <v>21</v>
      </c>
      <c r="O758" s="47" t="s">
        <v>22</v>
      </c>
      <c r="P758" s="134" t="s">
        <v>23</v>
      </c>
      <c r="Q758" s="50" t="s">
        <v>24</v>
      </c>
      <c r="R758" s="47" t="s">
        <v>25</v>
      </c>
    </row>
    <row r="759" spans="1:18" ht="15" customHeight="1" x14ac:dyDescent="0.3">
      <c r="A759" s="8" t="s">
        <v>26</v>
      </c>
      <c r="B759" s="8" t="s">
        <v>35</v>
      </c>
      <c r="C759" s="116">
        <v>0.12847222222222221</v>
      </c>
      <c r="D759" s="8" t="s">
        <v>28</v>
      </c>
      <c r="E759" s="8" t="s">
        <v>61</v>
      </c>
      <c r="F759" s="8" t="s">
        <v>180</v>
      </c>
      <c r="G759" s="206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26</v>
      </c>
      <c r="B760" s="14" t="s">
        <v>35</v>
      </c>
      <c r="C760" s="117">
        <v>0.12847222222222221</v>
      </c>
      <c r="D760" s="14" t="s">
        <v>31</v>
      </c>
      <c r="E760" s="14" t="s">
        <v>61</v>
      </c>
      <c r="F760" s="14" t="s">
        <v>181</v>
      </c>
      <c r="G760" s="204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35</v>
      </c>
      <c r="C761" s="117">
        <v>0.12847222222222221</v>
      </c>
      <c r="D761" s="14" t="s">
        <v>33</v>
      </c>
      <c r="E761" s="14" t="s">
        <v>61</v>
      </c>
      <c r="F761" s="14" t="s">
        <v>34</v>
      </c>
      <c r="G761" s="204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5" t="s">
        <v>26</v>
      </c>
      <c r="B762" s="15" t="s">
        <v>39</v>
      </c>
      <c r="C762" s="118">
        <v>0.30208333333333331</v>
      </c>
      <c r="D762" s="15" t="s">
        <v>28</v>
      </c>
      <c r="E762" s="15" t="s">
        <v>297</v>
      </c>
      <c r="F762" s="15" t="s">
        <v>30</v>
      </c>
      <c r="G762" s="204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26</v>
      </c>
      <c r="B763" s="14" t="s">
        <v>39</v>
      </c>
      <c r="C763" s="117">
        <v>0.30208333333333331</v>
      </c>
      <c r="D763" s="14" t="s">
        <v>31</v>
      </c>
      <c r="E763" s="14" t="s">
        <v>297</v>
      </c>
      <c r="F763" s="14" t="s">
        <v>32</v>
      </c>
      <c r="G763" s="204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26</v>
      </c>
      <c r="B764" s="14" t="s">
        <v>39</v>
      </c>
      <c r="C764" s="117">
        <v>0.30208333333333331</v>
      </c>
      <c r="D764" s="14" t="s">
        <v>33</v>
      </c>
      <c r="E764" s="14" t="s">
        <v>297</v>
      </c>
      <c r="F764" s="14" t="s">
        <v>34</v>
      </c>
      <c r="G764" s="204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5" t="s">
        <v>26</v>
      </c>
      <c r="B765" s="15" t="s">
        <v>27</v>
      </c>
      <c r="C765" s="118">
        <v>0.88888888888888884</v>
      </c>
      <c r="D765" s="15" t="s">
        <v>28</v>
      </c>
      <c r="E765" s="15" t="s">
        <v>40</v>
      </c>
      <c r="F765" s="15" t="s">
        <v>30</v>
      </c>
      <c r="G765" s="204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26</v>
      </c>
      <c r="B766" s="14" t="s">
        <v>27</v>
      </c>
      <c r="C766" s="117">
        <v>0.88888888888888884</v>
      </c>
      <c r="D766" s="14" t="s">
        <v>31</v>
      </c>
      <c r="E766" s="14" t="s">
        <v>40</v>
      </c>
      <c r="F766" s="14" t="s">
        <v>32</v>
      </c>
      <c r="G766" s="204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26</v>
      </c>
      <c r="B767" s="14" t="s">
        <v>27</v>
      </c>
      <c r="C767" s="117">
        <v>0.88888888888888884</v>
      </c>
      <c r="D767" s="14" t="s">
        <v>33</v>
      </c>
      <c r="E767" s="14" t="s">
        <v>40</v>
      </c>
      <c r="F767" s="14" t="s">
        <v>34</v>
      </c>
      <c r="G767" s="204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5" t="s">
        <v>26</v>
      </c>
      <c r="B768" s="15" t="s">
        <v>41</v>
      </c>
      <c r="C768" s="118">
        <v>0.78819444444444442</v>
      </c>
      <c r="D768" s="15" t="s">
        <v>28</v>
      </c>
      <c r="E768" s="15" t="s">
        <v>36</v>
      </c>
      <c r="F768" s="15" t="s">
        <v>30</v>
      </c>
      <c r="G768" s="204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41</v>
      </c>
      <c r="C769" s="117">
        <v>0.78819444444444442</v>
      </c>
      <c r="D769" s="14" t="s">
        <v>31</v>
      </c>
      <c r="E769" s="14" t="s">
        <v>36</v>
      </c>
      <c r="F769" s="14" t="s">
        <v>32</v>
      </c>
      <c r="G769" s="204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26</v>
      </c>
      <c r="B770" s="14" t="s">
        <v>41</v>
      </c>
      <c r="C770" s="117">
        <v>0.78819444444444442</v>
      </c>
      <c r="D770" s="14" t="s">
        <v>33</v>
      </c>
      <c r="E770" s="14" t="s">
        <v>36</v>
      </c>
      <c r="F770" s="14" t="s">
        <v>34</v>
      </c>
      <c r="G770" s="204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6" t="s">
        <v>45</v>
      </c>
      <c r="B771" s="16" t="s">
        <v>58</v>
      </c>
      <c r="C771" s="119">
        <v>0.46875</v>
      </c>
      <c r="D771" s="16" t="s">
        <v>47</v>
      </c>
      <c r="E771" s="16" t="s">
        <v>29</v>
      </c>
      <c r="F771" s="16" t="s">
        <v>315</v>
      </c>
      <c r="G771" s="204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45</v>
      </c>
      <c r="B772" s="14" t="s">
        <v>58</v>
      </c>
      <c r="C772" s="117">
        <v>0.46875</v>
      </c>
      <c r="D772" s="14" t="s">
        <v>49</v>
      </c>
      <c r="E772" s="14" t="s">
        <v>29</v>
      </c>
      <c r="F772" s="14" t="s">
        <v>63</v>
      </c>
      <c r="G772" s="204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45</v>
      </c>
      <c r="B773" s="14" t="s">
        <v>58</v>
      </c>
      <c r="C773" s="117">
        <v>0.46875</v>
      </c>
      <c r="D773" s="14" t="s">
        <v>51</v>
      </c>
      <c r="E773" s="14" t="s">
        <v>29</v>
      </c>
      <c r="F773" s="14" t="s">
        <v>38</v>
      </c>
      <c r="G773" s="204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5" t="s">
        <v>45</v>
      </c>
      <c r="B774" s="15" t="s">
        <v>57</v>
      </c>
      <c r="C774" s="118">
        <v>0.25694444444444442</v>
      </c>
      <c r="D774" s="15" t="s">
        <v>47</v>
      </c>
      <c r="E774" s="15" t="s">
        <v>54</v>
      </c>
      <c r="F774" s="15" t="s">
        <v>37</v>
      </c>
      <c r="G774" s="204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45</v>
      </c>
      <c r="B775" s="14" t="s">
        <v>57</v>
      </c>
      <c r="C775" s="117">
        <v>0.25694444444444442</v>
      </c>
      <c r="D775" s="14" t="s">
        <v>49</v>
      </c>
      <c r="E775" s="14" t="s">
        <v>54</v>
      </c>
      <c r="F775" s="14" t="s">
        <v>266</v>
      </c>
      <c r="G775" s="204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45</v>
      </c>
      <c r="B776" s="14" t="s">
        <v>57</v>
      </c>
      <c r="C776" s="117">
        <v>0.25694444444444442</v>
      </c>
      <c r="D776" s="14" t="s">
        <v>51</v>
      </c>
      <c r="E776" s="14" t="s">
        <v>54</v>
      </c>
      <c r="F776" s="14" t="s">
        <v>118</v>
      </c>
      <c r="G776" s="204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5" t="s">
        <v>45</v>
      </c>
      <c r="B777" s="15" t="s">
        <v>46</v>
      </c>
      <c r="C777" s="118">
        <v>0.39583333333333331</v>
      </c>
      <c r="D777" s="15" t="s">
        <v>47</v>
      </c>
      <c r="E777" s="15" t="s">
        <v>54</v>
      </c>
      <c r="F777" s="15" t="s">
        <v>37</v>
      </c>
      <c r="G777" s="204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45</v>
      </c>
      <c r="B778" s="14" t="s">
        <v>46</v>
      </c>
      <c r="C778" s="117">
        <v>0.39583333333333331</v>
      </c>
      <c r="D778" s="14" t="s">
        <v>49</v>
      </c>
      <c r="E778" s="14" t="s">
        <v>54</v>
      </c>
      <c r="F778" s="14" t="s">
        <v>266</v>
      </c>
      <c r="G778" s="204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45</v>
      </c>
      <c r="B779" s="14" t="s">
        <v>46</v>
      </c>
      <c r="C779" s="117">
        <v>0.39583333333333331</v>
      </c>
      <c r="D779" s="14" t="s">
        <v>51</v>
      </c>
      <c r="E779" s="14" t="s">
        <v>54</v>
      </c>
      <c r="F779" s="14" t="s">
        <v>118</v>
      </c>
      <c r="G779" s="204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5" t="s">
        <v>45</v>
      </c>
      <c r="B780" s="15" t="s">
        <v>53</v>
      </c>
      <c r="C780" s="118">
        <v>0.85416666666666663</v>
      </c>
      <c r="D780" s="15" t="s">
        <v>47</v>
      </c>
      <c r="E780" s="15" t="s">
        <v>54</v>
      </c>
      <c r="F780" s="15" t="s">
        <v>196</v>
      </c>
      <c r="G780" s="204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45</v>
      </c>
      <c r="B781" s="14" t="s">
        <v>53</v>
      </c>
      <c r="C781" s="117">
        <v>0.85416666666666663</v>
      </c>
      <c r="D781" s="14" t="s">
        <v>49</v>
      </c>
      <c r="E781" s="14" t="s">
        <v>54</v>
      </c>
      <c r="F781" s="14" t="s">
        <v>279</v>
      </c>
      <c r="G781" s="204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45</v>
      </c>
      <c r="B782" s="14" t="s">
        <v>53</v>
      </c>
      <c r="C782" s="117">
        <v>0.85416666666666663</v>
      </c>
      <c r="D782" s="14" t="s">
        <v>51</v>
      </c>
      <c r="E782" s="14" t="s">
        <v>54</v>
      </c>
      <c r="F782" s="14" t="s">
        <v>280</v>
      </c>
      <c r="G782" s="204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5" t="s">
        <v>45</v>
      </c>
      <c r="B783" s="15" t="s">
        <v>62</v>
      </c>
      <c r="C783" s="118">
        <v>0.51736111111111116</v>
      </c>
      <c r="D783" s="15" t="s">
        <v>47</v>
      </c>
      <c r="E783" s="15" t="s">
        <v>29</v>
      </c>
      <c r="F783" s="15" t="s">
        <v>196</v>
      </c>
      <c r="G783" s="204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45</v>
      </c>
      <c r="B784" s="14" t="s">
        <v>62</v>
      </c>
      <c r="C784" s="117">
        <v>0.51736111111111116</v>
      </c>
      <c r="D784" s="14" t="s">
        <v>49</v>
      </c>
      <c r="E784" s="14" t="s">
        <v>29</v>
      </c>
      <c r="F784" s="14" t="s">
        <v>279</v>
      </c>
      <c r="G784" s="204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45</v>
      </c>
      <c r="B785" s="14" t="s">
        <v>62</v>
      </c>
      <c r="C785" s="117">
        <v>0.51736111111111116</v>
      </c>
      <c r="D785" s="14" t="s">
        <v>51</v>
      </c>
      <c r="E785" s="14" t="s">
        <v>29</v>
      </c>
      <c r="F785" s="14" t="s">
        <v>280</v>
      </c>
      <c r="G785" s="204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5" t="s">
        <v>45</v>
      </c>
      <c r="B786" s="15" t="s">
        <v>59</v>
      </c>
      <c r="C786" s="118">
        <v>0.90277777777777779</v>
      </c>
      <c r="D786" s="15" t="s">
        <v>47</v>
      </c>
      <c r="E786" s="15" t="s">
        <v>54</v>
      </c>
      <c r="F786" s="15" t="s">
        <v>196</v>
      </c>
      <c r="G786" s="204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45</v>
      </c>
      <c r="B787" s="14" t="s">
        <v>59</v>
      </c>
      <c r="C787" s="117">
        <v>0.90277777777777779</v>
      </c>
      <c r="D787" s="14" t="s">
        <v>49</v>
      </c>
      <c r="E787" s="14" t="s">
        <v>54</v>
      </c>
      <c r="F787" s="14" t="s">
        <v>279</v>
      </c>
      <c r="G787" s="204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45</v>
      </c>
      <c r="B788" s="14" t="s">
        <v>59</v>
      </c>
      <c r="C788" s="117">
        <v>0.90277777777777779</v>
      </c>
      <c r="D788" s="14" t="s">
        <v>51</v>
      </c>
      <c r="E788" s="14" t="s">
        <v>54</v>
      </c>
      <c r="F788" s="14" t="s">
        <v>280</v>
      </c>
      <c r="G788" s="204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5" t="s">
        <v>45</v>
      </c>
      <c r="B789" s="15" t="s">
        <v>60</v>
      </c>
      <c r="C789" s="118">
        <v>0.79861111111111116</v>
      </c>
      <c r="D789" s="15" t="s">
        <v>47</v>
      </c>
      <c r="E789" s="15" t="s">
        <v>29</v>
      </c>
      <c r="F789" s="15" t="s">
        <v>196</v>
      </c>
      <c r="G789" s="204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45</v>
      </c>
      <c r="B790" s="14" t="s">
        <v>60</v>
      </c>
      <c r="C790" s="117">
        <v>0.79861111111111116</v>
      </c>
      <c r="D790" s="14" t="s">
        <v>49</v>
      </c>
      <c r="E790" s="14" t="s">
        <v>29</v>
      </c>
      <c r="F790" s="14" t="s">
        <v>279</v>
      </c>
      <c r="G790" s="204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45</v>
      </c>
      <c r="B791" s="14" t="s">
        <v>60</v>
      </c>
      <c r="C791" s="117">
        <v>0.79861111111111116</v>
      </c>
      <c r="D791" s="14" t="s">
        <v>51</v>
      </c>
      <c r="E791" s="14" t="s">
        <v>29</v>
      </c>
      <c r="F791" s="14" t="s">
        <v>280</v>
      </c>
      <c r="G791" s="204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5" t="s">
        <v>45</v>
      </c>
      <c r="B792" s="15" t="s">
        <v>66</v>
      </c>
      <c r="C792" s="118">
        <v>0.64583333333333337</v>
      </c>
      <c r="D792" s="15" t="s">
        <v>47</v>
      </c>
      <c r="E792" s="15" t="s">
        <v>185</v>
      </c>
      <c r="F792" s="15" t="s">
        <v>196</v>
      </c>
      <c r="G792" s="204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45</v>
      </c>
      <c r="B793" s="14" t="s">
        <v>66</v>
      </c>
      <c r="C793" s="117">
        <v>0.64583333333333337</v>
      </c>
      <c r="D793" s="14" t="s">
        <v>49</v>
      </c>
      <c r="E793" s="14" t="s">
        <v>185</v>
      </c>
      <c r="F793" s="14" t="s">
        <v>279</v>
      </c>
      <c r="G793" s="204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45</v>
      </c>
      <c r="B794" s="14" t="s">
        <v>66</v>
      </c>
      <c r="C794" s="117">
        <v>0.64583333333333337</v>
      </c>
      <c r="D794" s="14" t="s">
        <v>51</v>
      </c>
      <c r="E794" s="14" t="s">
        <v>185</v>
      </c>
      <c r="F794" s="14" t="s">
        <v>280</v>
      </c>
      <c r="G794" s="204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6" t="s">
        <v>79</v>
      </c>
      <c r="B795" s="16" t="s">
        <v>84</v>
      </c>
      <c r="C795" s="119">
        <v>0.3923611111111111</v>
      </c>
      <c r="D795" s="16" t="s">
        <v>81</v>
      </c>
      <c r="E795" s="16" t="s">
        <v>54</v>
      </c>
      <c r="F795" s="16" t="s">
        <v>198</v>
      </c>
      <c r="G795" s="204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79</v>
      </c>
      <c r="B796" s="14" t="s">
        <v>84</v>
      </c>
      <c r="C796" s="117">
        <v>0.3923611111111111</v>
      </c>
      <c r="D796" s="14" t="s">
        <v>33</v>
      </c>
      <c r="E796" s="14" t="s">
        <v>54</v>
      </c>
      <c r="F796" s="14" t="s">
        <v>181</v>
      </c>
      <c r="G796" s="204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5" t="s">
        <v>79</v>
      </c>
      <c r="B797" s="15" t="s">
        <v>199</v>
      </c>
      <c r="C797" s="118">
        <v>0.97569444444444442</v>
      </c>
      <c r="D797" s="15" t="s">
        <v>81</v>
      </c>
      <c r="E797" s="15" t="s">
        <v>54</v>
      </c>
      <c r="F797" s="15" t="s">
        <v>198</v>
      </c>
      <c r="G797" s="204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79</v>
      </c>
      <c r="B798" s="14" t="s">
        <v>199</v>
      </c>
      <c r="C798" s="117">
        <v>0.97569444444444442</v>
      </c>
      <c r="D798" s="14" t="s">
        <v>33</v>
      </c>
      <c r="E798" s="14" t="s">
        <v>54</v>
      </c>
      <c r="F798" s="14" t="s">
        <v>181</v>
      </c>
      <c r="G798" s="204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5" t="s">
        <v>79</v>
      </c>
      <c r="B799" s="15" t="s">
        <v>200</v>
      </c>
      <c r="C799" s="118">
        <v>0.67708333333333337</v>
      </c>
      <c r="D799" s="15" t="s">
        <v>81</v>
      </c>
      <c r="E799" s="15" t="s">
        <v>54</v>
      </c>
      <c r="F799" s="15" t="s">
        <v>201</v>
      </c>
      <c r="G799" s="204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79</v>
      </c>
      <c r="B800" s="14" t="s">
        <v>200</v>
      </c>
      <c r="C800" s="117">
        <v>0.67708333333333337</v>
      </c>
      <c r="D800" s="14" t="s">
        <v>33</v>
      </c>
      <c r="E800" s="14" t="s">
        <v>54</v>
      </c>
      <c r="F800" s="14" t="s">
        <v>202</v>
      </c>
      <c r="G800" s="204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6" t="s">
        <v>74</v>
      </c>
      <c r="B801" s="16" t="s">
        <v>78</v>
      </c>
      <c r="C801" s="119">
        <v>0.66666666666666663</v>
      </c>
      <c r="D801" s="16" t="s">
        <v>72</v>
      </c>
      <c r="E801" s="16" t="s">
        <v>76</v>
      </c>
      <c r="F801" s="16" t="s">
        <v>77</v>
      </c>
      <c r="G801" s="204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7" t="s">
        <v>87</v>
      </c>
      <c r="B802" s="17" t="s">
        <v>102</v>
      </c>
      <c r="C802" s="120">
        <v>0.61458333333333337</v>
      </c>
      <c r="D802" s="17" t="s">
        <v>89</v>
      </c>
      <c r="E802" s="17" t="s">
        <v>76</v>
      </c>
      <c r="F802" s="17" t="s">
        <v>207</v>
      </c>
      <c r="G802" s="204"/>
      <c r="H802" s="18" t="s">
        <v>105</v>
      </c>
      <c r="I802" s="166">
        <v>0.3296</v>
      </c>
      <c r="J802" s="19">
        <v>59</v>
      </c>
      <c r="K802" s="20" t="s">
        <v>99</v>
      </c>
      <c r="L802" s="19">
        <v>3</v>
      </c>
      <c r="M802" s="19">
        <v>0</v>
      </c>
      <c r="N802" s="19">
        <v>1</v>
      </c>
      <c r="O802" s="21" t="s">
        <v>239</v>
      </c>
      <c r="P802" s="122">
        <v>0.61458333333333337</v>
      </c>
      <c r="Q802" s="19">
        <v>179</v>
      </c>
      <c r="R802" s="22" t="s">
        <v>316</v>
      </c>
    </row>
    <row r="803" spans="1:18" ht="15" customHeight="1" x14ac:dyDescent="0.3">
      <c r="A803" s="23" t="s">
        <v>87</v>
      </c>
      <c r="B803" s="23" t="s">
        <v>95</v>
      </c>
      <c r="C803" s="123">
        <v>0.45833333333333331</v>
      </c>
      <c r="D803" s="23" t="s">
        <v>89</v>
      </c>
      <c r="E803" s="23" t="s">
        <v>185</v>
      </c>
      <c r="F803" s="23" t="s">
        <v>207</v>
      </c>
      <c r="G803" s="204"/>
      <c r="H803" s="24" t="s">
        <v>98</v>
      </c>
      <c r="I803" s="142">
        <v>0.13969999999999999</v>
      </c>
      <c r="J803" s="25">
        <v>25</v>
      </c>
      <c r="K803" s="26" t="s">
        <v>92</v>
      </c>
      <c r="L803" s="25">
        <v>7</v>
      </c>
      <c r="M803" s="25">
        <v>4</v>
      </c>
      <c r="N803" s="25">
        <v>0</v>
      </c>
      <c r="O803" s="27" t="s">
        <v>208</v>
      </c>
      <c r="P803" s="125">
        <v>0.45833333333333331</v>
      </c>
      <c r="Q803" s="25">
        <v>179</v>
      </c>
      <c r="R803" s="28" t="s">
        <v>317</v>
      </c>
    </row>
    <row r="804" spans="1:18" ht="15" customHeight="1" x14ac:dyDescent="0.3">
      <c r="A804" s="78" t="s">
        <v>87</v>
      </c>
      <c r="B804" s="78" t="s">
        <v>109</v>
      </c>
      <c r="C804" s="157">
        <v>0.31944444444444442</v>
      </c>
      <c r="D804" s="78" t="s">
        <v>89</v>
      </c>
      <c r="E804" s="78" t="s">
        <v>185</v>
      </c>
      <c r="F804" s="78" t="s">
        <v>207</v>
      </c>
      <c r="G804" s="204"/>
      <c r="H804" s="53" t="s">
        <v>111</v>
      </c>
      <c r="I804" s="152">
        <v>0.14530000000000001</v>
      </c>
      <c r="J804" s="54">
        <v>26</v>
      </c>
      <c r="K804" s="55" t="s">
        <v>92</v>
      </c>
      <c r="L804" s="54">
        <v>11</v>
      </c>
      <c r="M804" s="54">
        <v>1</v>
      </c>
      <c r="N804" s="54">
        <v>0</v>
      </c>
      <c r="O804" s="56" t="s">
        <v>208</v>
      </c>
      <c r="P804" s="138">
        <v>0.31944444444444442</v>
      </c>
      <c r="Q804" s="54">
        <v>179</v>
      </c>
      <c r="R804" s="57" t="s">
        <v>318</v>
      </c>
    </row>
    <row r="805" spans="1:18" ht="15" customHeight="1" x14ac:dyDescent="0.3">
      <c r="A805" s="58" t="s">
        <v>87</v>
      </c>
      <c r="B805" s="58" t="s">
        <v>165</v>
      </c>
      <c r="C805" s="139">
        <v>0.73611111111111116</v>
      </c>
      <c r="D805" s="58" t="s">
        <v>89</v>
      </c>
      <c r="E805" s="58" t="s">
        <v>29</v>
      </c>
      <c r="F805" s="58" t="s">
        <v>207</v>
      </c>
      <c r="G805" s="204"/>
      <c r="H805" s="59" t="s">
        <v>166</v>
      </c>
      <c r="I805" s="140">
        <v>0.73180000000000001</v>
      </c>
      <c r="J805" s="60">
        <v>131</v>
      </c>
      <c r="K805" s="61" t="s">
        <v>162</v>
      </c>
      <c r="L805" s="60">
        <v>14</v>
      </c>
      <c r="M805" s="60">
        <v>0</v>
      </c>
      <c r="N805" s="60">
        <v>0</v>
      </c>
      <c r="O805" s="62" t="s">
        <v>319</v>
      </c>
      <c r="P805" s="141">
        <v>0.73611111111111116</v>
      </c>
      <c r="Q805" s="60">
        <v>179</v>
      </c>
      <c r="R805" s="63" t="s">
        <v>320</v>
      </c>
    </row>
    <row r="806" spans="1:18" ht="15" customHeight="1" x14ac:dyDescent="0.3">
      <c r="A806" s="64" t="s">
        <v>87</v>
      </c>
      <c r="B806" s="64" t="s">
        <v>169</v>
      </c>
      <c r="C806" s="144">
        <v>0.1145833333333333</v>
      </c>
      <c r="D806" s="64" t="s">
        <v>89</v>
      </c>
      <c r="E806" s="64" t="s">
        <v>42</v>
      </c>
      <c r="F806" s="64" t="s">
        <v>207</v>
      </c>
      <c r="G806" s="204"/>
      <c r="H806" s="65" t="s">
        <v>170</v>
      </c>
      <c r="I806" s="161">
        <v>0.3352</v>
      </c>
      <c r="J806" s="66">
        <v>60</v>
      </c>
      <c r="K806" s="67" t="s">
        <v>92</v>
      </c>
      <c r="L806" s="66">
        <v>13</v>
      </c>
      <c r="M806" s="66">
        <v>1</v>
      </c>
      <c r="N806" s="66">
        <v>0</v>
      </c>
      <c r="O806" s="68" t="s">
        <v>222</v>
      </c>
      <c r="P806" s="146">
        <v>0.1145833333333333</v>
      </c>
      <c r="Q806" s="66">
        <v>179</v>
      </c>
      <c r="R806" s="69" t="s">
        <v>321</v>
      </c>
    </row>
    <row r="807" spans="1:18" ht="15" customHeight="1" x14ac:dyDescent="0.3">
      <c r="A807" s="35" t="s">
        <v>87</v>
      </c>
      <c r="B807" s="35" t="s">
        <v>88</v>
      </c>
      <c r="C807" s="129">
        <v>0.9375</v>
      </c>
      <c r="D807" s="35" t="s">
        <v>89</v>
      </c>
      <c r="E807" s="35" t="s">
        <v>103</v>
      </c>
      <c r="F807" s="35" t="s">
        <v>159</v>
      </c>
      <c r="G807" s="204"/>
      <c r="H807" s="36" t="s">
        <v>91</v>
      </c>
      <c r="I807" s="147">
        <v>0.65359999999999996</v>
      </c>
      <c r="J807" s="37">
        <v>117</v>
      </c>
      <c r="K807" s="38" t="s">
        <v>106</v>
      </c>
      <c r="L807" s="37">
        <v>8</v>
      </c>
      <c r="M807" s="37">
        <v>0</v>
      </c>
      <c r="N807" s="37">
        <v>0</v>
      </c>
      <c r="O807" s="39" t="s">
        <v>322</v>
      </c>
      <c r="P807" s="131">
        <v>0.9375</v>
      </c>
      <c r="Q807" s="37">
        <v>179</v>
      </c>
      <c r="R807" s="40" t="s">
        <v>323</v>
      </c>
    </row>
    <row r="808" spans="1:18" ht="15" customHeight="1" x14ac:dyDescent="0.3">
      <c r="A808" s="16" t="s">
        <v>130</v>
      </c>
      <c r="B808" s="16" t="s">
        <v>147</v>
      </c>
      <c r="C808" s="119">
        <v>0.71875</v>
      </c>
      <c r="D808" s="16" t="s">
        <v>132</v>
      </c>
      <c r="E808" s="16" t="s">
        <v>61</v>
      </c>
      <c r="F808" s="16" t="s">
        <v>176</v>
      </c>
      <c r="G808" s="204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130</v>
      </c>
      <c r="B809" s="14" t="s">
        <v>147</v>
      </c>
      <c r="C809" s="117">
        <v>0.71875</v>
      </c>
      <c r="D809" s="14" t="s">
        <v>134</v>
      </c>
      <c r="E809" s="14" t="s">
        <v>61</v>
      </c>
      <c r="F809" s="14" t="s">
        <v>177</v>
      </c>
      <c r="G809" s="204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5" t="s">
        <v>130</v>
      </c>
      <c r="B810" s="15" t="s">
        <v>136</v>
      </c>
      <c r="C810" s="118">
        <v>0.37847222222222221</v>
      </c>
      <c r="D810" s="15" t="s">
        <v>132</v>
      </c>
      <c r="E810" s="15" t="s">
        <v>76</v>
      </c>
      <c r="F810" s="15" t="s">
        <v>176</v>
      </c>
      <c r="G810" s="204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130</v>
      </c>
      <c r="B811" s="14" t="s">
        <v>136</v>
      </c>
      <c r="C811" s="117">
        <v>0.37847222222222221</v>
      </c>
      <c r="D811" s="14" t="s">
        <v>134</v>
      </c>
      <c r="E811" s="14" t="s">
        <v>76</v>
      </c>
      <c r="F811" s="14" t="s">
        <v>177</v>
      </c>
      <c r="G811" s="204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5" t="s">
        <v>130</v>
      </c>
      <c r="B812" s="15" t="s">
        <v>137</v>
      </c>
      <c r="C812" s="118">
        <v>0.61111111111111116</v>
      </c>
      <c r="D812" s="15" t="s">
        <v>132</v>
      </c>
      <c r="E812" s="15" t="s">
        <v>76</v>
      </c>
      <c r="F812" s="15" t="s">
        <v>176</v>
      </c>
      <c r="G812" s="204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130</v>
      </c>
      <c r="B813" s="14" t="s">
        <v>137</v>
      </c>
      <c r="C813" s="117">
        <v>0.61111111111111116</v>
      </c>
      <c r="D813" s="14" t="s">
        <v>134</v>
      </c>
      <c r="E813" s="14" t="s">
        <v>76</v>
      </c>
      <c r="F813" s="14" t="s">
        <v>177</v>
      </c>
      <c r="G813" s="204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5" t="s">
        <v>130</v>
      </c>
      <c r="B814" s="15" t="s">
        <v>138</v>
      </c>
      <c r="C814" s="118">
        <v>0.23958333333333329</v>
      </c>
      <c r="D814" s="15" t="s">
        <v>132</v>
      </c>
      <c r="E814" s="15" t="s">
        <v>76</v>
      </c>
      <c r="F814" s="15" t="s">
        <v>176</v>
      </c>
      <c r="G814" s="204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130</v>
      </c>
      <c r="B815" s="14" t="s">
        <v>138</v>
      </c>
      <c r="C815" s="117">
        <v>0.23958333333333329</v>
      </c>
      <c r="D815" s="14" t="s">
        <v>134</v>
      </c>
      <c r="E815" s="14" t="s">
        <v>76</v>
      </c>
      <c r="F815" s="14" t="s">
        <v>177</v>
      </c>
      <c r="G815" s="204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5" t="s">
        <v>130</v>
      </c>
      <c r="B816" s="15" t="s">
        <v>143</v>
      </c>
      <c r="C816" s="118">
        <v>6.9444444444444441E-3</v>
      </c>
      <c r="D816" s="15" t="s">
        <v>132</v>
      </c>
      <c r="E816" s="15" t="s">
        <v>76</v>
      </c>
      <c r="F816" s="15" t="s">
        <v>133</v>
      </c>
      <c r="G816" s="204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130</v>
      </c>
      <c r="B817" s="14" t="s">
        <v>143</v>
      </c>
      <c r="C817" s="117">
        <v>6.9444444444444441E-3</v>
      </c>
      <c r="D817" s="14" t="s">
        <v>134</v>
      </c>
      <c r="E817" s="14" t="s">
        <v>76</v>
      </c>
      <c r="F817" s="14" t="s">
        <v>135</v>
      </c>
      <c r="G817" s="204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5" t="s">
        <v>130</v>
      </c>
      <c r="B818" s="15" t="s">
        <v>131</v>
      </c>
      <c r="C818" s="118">
        <v>0.93055555555555558</v>
      </c>
      <c r="D818" s="15" t="s">
        <v>132</v>
      </c>
      <c r="E818" s="15" t="s">
        <v>76</v>
      </c>
      <c r="F818" s="15" t="s">
        <v>133</v>
      </c>
      <c r="G818" s="204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130</v>
      </c>
      <c r="B819" s="14" t="s">
        <v>131</v>
      </c>
      <c r="C819" s="117">
        <v>0.93055555555555558</v>
      </c>
      <c r="D819" s="14" t="s">
        <v>134</v>
      </c>
      <c r="E819" s="14" t="s">
        <v>76</v>
      </c>
      <c r="F819" s="14" t="s">
        <v>135</v>
      </c>
      <c r="G819" s="204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5" t="s">
        <v>130</v>
      </c>
      <c r="B820" s="15" t="s">
        <v>148</v>
      </c>
      <c r="C820" s="118">
        <v>0.82986111111111116</v>
      </c>
      <c r="D820" s="15" t="s">
        <v>132</v>
      </c>
      <c r="E820" s="15" t="s">
        <v>76</v>
      </c>
      <c r="F820" s="15" t="s">
        <v>133</v>
      </c>
      <c r="G820" s="204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130</v>
      </c>
      <c r="B821" s="14" t="s">
        <v>148</v>
      </c>
      <c r="C821" s="117">
        <v>0.82986111111111116</v>
      </c>
      <c r="D821" s="14" t="s">
        <v>134</v>
      </c>
      <c r="E821" s="14" t="s">
        <v>76</v>
      </c>
      <c r="F821" s="14" t="s">
        <v>135</v>
      </c>
      <c r="G821" s="204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5" t="s">
        <v>130</v>
      </c>
      <c r="B822" s="15" t="s">
        <v>142</v>
      </c>
      <c r="C822" s="118">
        <v>0.12847222222222221</v>
      </c>
      <c r="D822" s="15" t="s">
        <v>134</v>
      </c>
      <c r="E822" s="15" t="s">
        <v>110</v>
      </c>
      <c r="F822" s="15" t="s">
        <v>218</v>
      </c>
      <c r="G822" s="204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5" t="s">
        <v>130</v>
      </c>
      <c r="B823" s="15" t="s">
        <v>139</v>
      </c>
      <c r="C823" s="118">
        <v>0.88888888888888884</v>
      </c>
      <c r="D823" s="15" t="s">
        <v>134</v>
      </c>
      <c r="E823" s="15" t="s">
        <v>110</v>
      </c>
      <c r="F823" s="15" t="s">
        <v>178</v>
      </c>
      <c r="G823" s="204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5" t="s">
        <v>130</v>
      </c>
      <c r="B824" s="15" t="s">
        <v>141</v>
      </c>
      <c r="C824" s="118">
        <v>0.30208333333333331</v>
      </c>
      <c r="D824" s="15" t="s">
        <v>134</v>
      </c>
      <c r="E824" s="15" t="s">
        <v>110</v>
      </c>
      <c r="F824" s="15" t="s">
        <v>178</v>
      </c>
      <c r="G824" s="204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5" t="s">
        <v>130</v>
      </c>
      <c r="B825" s="15" t="s">
        <v>149</v>
      </c>
      <c r="C825" s="118">
        <v>0.78819444444444442</v>
      </c>
      <c r="D825" s="15" t="s">
        <v>134</v>
      </c>
      <c r="E825" s="15" t="s">
        <v>110</v>
      </c>
      <c r="F825" s="15" t="s">
        <v>140</v>
      </c>
      <c r="G825" s="204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5" t="s">
        <v>130</v>
      </c>
      <c r="B826" s="15" t="s">
        <v>146</v>
      </c>
      <c r="C826" s="118">
        <v>0.1423611111111111</v>
      </c>
      <c r="D826" s="15" t="s">
        <v>132</v>
      </c>
      <c r="E826" s="15" t="s">
        <v>76</v>
      </c>
      <c r="F826" s="15" t="s">
        <v>144</v>
      </c>
      <c r="G826" s="204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130</v>
      </c>
      <c r="B827" s="14" t="s">
        <v>146</v>
      </c>
      <c r="C827" s="117">
        <v>0.1423611111111111</v>
      </c>
      <c r="D827" s="14" t="s">
        <v>134</v>
      </c>
      <c r="E827" s="14" t="s">
        <v>76</v>
      </c>
      <c r="F827" s="14" t="s">
        <v>145</v>
      </c>
      <c r="G827" s="204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6" t="s">
        <v>115</v>
      </c>
      <c r="B828" s="16" t="s">
        <v>120</v>
      </c>
      <c r="C828" s="119">
        <v>0.27777777777777779</v>
      </c>
      <c r="D828" s="16" t="s">
        <v>124</v>
      </c>
      <c r="E828" s="16" t="s">
        <v>76</v>
      </c>
      <c r="F828" s="16" t="s">
        <v>127</v>
      </c>
      <c r="G828" s="204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5" t="s">
        <v>115</v>
      </c>
      <c r="B829" s="15" t="s">
        <v>116</v>
      </c>
      <c r="C829" s="118">
        <v>0.22916666666666671</v>
      </c>
      <c r="D829" s="15" t="s">
        <v>124</v>
      </c>
      <c r="E829" s="15" t="s">
        <v>76</v>
      </c>
      <c r="F829" s="15" t="s">
        <v>129</v>
      </c>
      <c r="G829" s="204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5" t="s">
        <v>115</v>
      </c>
      <c r="B830" s="15" t="s">
        <v>128</v>
      </c>
      <c r="C830" s="118">
        <v>1.388888888888889E-2</v>
      </c>
      <c r="D830" s="15" t="s">
        <v>124</v>
      </c>
      <c r="E830" s="15" t="s">
        <v>76</v>
      </c>
      <c r="F830" s="15" t="s">
        <v>129</v>
      </c>
      <c r="G830" s="204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5" t="s">
        <v>115</v>
      </c>
      <c r="B831" s="15" t="s">
        <v>119</v>
      </c>
      <c r="C831" s="118">
        <v>0.14583333333333329</v>
      </c>
      <c r="D831" s="15" t="s">
        <v>124</v>
      </c>
      <c r="E831" s="15" t="s">
        <v>76</v>
      </c>
      <c r="F831" s="15" t="s">
        <v>129</v>
      </c>
      <c r="G831" s="204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5" t="s">
        <v>115</v>
      </c>
      <c r="B832" s="15" t="s">
        <v>121</v>
      </c>
      <c r="C832" s="118">
        <v>0.4861111111111111</v>
      </c>
      <c r="D832" s="15" t="s">
        <v>124</v>
      </c>
      <c r="E832" s="15" t="s">
        <v>76</v>
      </c>
      <c r="F832" s="15" t="s">
        <v>324</v>
      </c>
      <c r="G832" s="204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thickBot="1" x14ac:dyDescent="0.35">
      <c r="A833" s="41" t="s">
        <v>115</v>
      </c>
      <c r="B833" s="41" t="s">
        <v>126</v>
      </c>
      <c r="C833" s="132">
        <v>0.77083333333333337</v>
      </c>
      <c r="D833" s="41" t="s">
        <v>124</v>
      </c>
      <c r="E833" s="41" t="s">
        <v>76</v>
      </c>
      <c r="F833" s="41" t="s">
        <v>291</v>
      </c>
      <c r="G833" s="205"/>
      <c r="H833" s="42"/>
      <c r="I833" s="43"/>
      <c r="J833" s="43"/>
      <c r="K833" s="43"/>
      <c r="L833" s="43"/>
      <c r="M833" s="43"/>
      <c r="N833" s="43"/>
      <c r="O833" s="44"/>
      <c r="P833" s="43"/>
      <c r="Q833" s="45"/>
      <c r="R833" s="46"/>
    </row>
    <row r="834" spans="1:18" ht="17.399999999999999" customHeight="1" thickBot="1" x14ac:dyDescent="0.35">
      <c r="A834" s="200"/>
      <c r="B834" s="201"/>
      <c r="C834" s="201"/>
      <c r="D834" s="201"/>
      <c r="E834" s="201"/>
      <c r="F834" s="201"/>
      <c r="G834" s="201"/>
      <c r="H834" s="201"/>
      <c r="I834" s="201"/>
      <c r="J834" s="201"/>
      <c r="K834" s="201"/>
      <c r="L834" s="201"/>
      <c r="M834" s="201"/>
      <c r="N834" s="201"/>
      <c r="O834" s="201"/>
      <c r="P834" s="201"/>
      <c r="Q834" s="201"/>
      <c r="R834" s="202"/>
    </row>
    <row r="835" spans="1:18" ht="22.05" customHeight="1" thickTop="1" thickBot="1" x14ac:dyDescent="0.35">
      <c r="A835" s="197" t="s">
        <v>6</v>
      </c>
      <c r="B835" s="198"/>
      <c r="C835" s="198"/>
      <c r="D835" s="198"/>
      <c r="E835" s="198"/>
      <c r="F835" s="199"/>
      <c r="G835" s="133">
        <v>46004</v>
      </c>
      <c r="H835" s="207" t="s">
        <v>7</v>
      </c>
      <c r="I835" s="198"/>
      <c r="J835" s="198"/>
      <c r="K835" s="198"/>
      <c r="L835" s="198"/>
      <c r="M835" s="198"/>
      <c r="N835" s="198"/>
      <c r="O835" s="198"/>
      <c r="P835" s="198"/>
      <c r="Q835" s="198"/>
      <c r="R835" s="199"/>
    </row>
    <row r="836" spans="1:18" ht="24" customHeight="1" x14ac:dyDescent="0.3">
      <c r="A836" s="47" t="s">
        <v>8</v>
      </c>
      <c r="B836" s="47" t="s">
        <v>9</v>
      </c>
      <c r="C836" s="134" t="s">
        <v>10</v>
      </c>
      <c r="D836" s="47" t="s">
        <v>11</v>
      </c>
      <c r="E836" s="47" t="s">
        <v>12</v>
      </c>
      <c r="F836" s="48" t="s">
        <v>13</v>
      </c>
      <c r="G836" s="49" t="s">
        <v>14</v>
      </c>
      <c r="H836" s="47" t="s">
        <v>15</v>
      </c>
      <c r="I836" s="135" t="s">
        <v>16</v>
      </c>
      <c r="J836" s="50" t="s">
        <v>17</v>
      </c>
      <c r="K836" s="51" t="s">
        <v>18</v>
      </c>
      <c r="L836" s="50" t="s">
        <v>19</v>
      </c>
      <c r="M836" s="50" t="s">
        <v>20</v>
      </c>
      <c r="N836" s="50" t="s">
        <v>21</v>
      </c>
      <c r="O836" s="47" t="s">
        <v>22</v>
      </c>
      <c r="P836" s="134" t="s">
        <v>23</v>
      </c>
      <c r="Q836" s="50" t="s">
        <v>24</v>
      </c>
      <c r="R836" s="47" t="s">
        <v>25</v>
      </c>
    </row>
    <row r="837" spans="1:18" ht="15" customHeight="1" x14ac:dyDescent="0.3">
      <c r="A837" s="8" t="s">
        <v>26</v>
      </c>
      <c r="B837" s="8" t="s">
        <v>35</v>
      </c>
      <c r="C837" s="116">
        <v>0.12847222222222221</v>
      </c>
      <c r="D837" s="8" t="s">
        <v>28</v>
      </c>
      <c r="E837" s="8" t="s">
        <v>42</v>
      </c>
      <c r="F837" s="8" t="s">
        <v>180</v>
      </c>
      <c r="G837" s="203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26</v>
      </c>
      <c r="B838" s="14" t="s">
        <v>35</v>
      </c>
      <c r="C838" s="117">
        <v>0.12847222222222221</v>
      </c>
      <c r="D838" s="14" t="s">
        <v>31</v>
      </c>
      <c r="E838" s="14" t="s">
        <v>42</v>
      </c>
      <c r="F838" s="14" t="s">
        <v>181</v>
      </c>
      <c r="G838" s="204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26</v>
      </c>
      <c r="B839" s="14" t="s">
        <v>35</v>
      </c>
      <c r="C839" s="117">
        <v>0.12847222222222221</v>
      </c>
      <c r="D839" s="14" t="s">
        <v>33</v>
      </c>
      <c r="E839" s="14" t="s">
        <v>42</v>
      </c>
      <c r="F839" s="14" t="s">
        <v>34</v>
      </c>
      <c r="G839" s="204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5" t="s">
        <v>26</v>
      </c>
      <c r="B840" s="15" t="s">
        <v>39</v>
      </c>
      <c r="C840" s="118">
        <v>0.30208333333333331</v>
      </c>
      <c r="D840" s="15" t="s">
        <v>28</v>
      </c>
      <c r="E840" s="15" t="s">
        <v>54</v>
      </c>
      <c r="F840" s="15" t="s">
        <v>180</v>
      </c>
      <c r="G840" s="204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26</v>
      </c>
      <c r="B841" s="14" t="s">
        <v>39</v>
      </c>
      <c r="C841" s="117">
        <v>0.30208333333333331</v>
      </c>
      <c r="D841" s="14" t="s">
        <v>31</v>
      </c>
      <c r="E841" s="14" t="s">
        <v>54</v>
      </c>
      <c r="F841" s="14" t="s">
        <v>181</v>
      </c>
      <c r="G841" s="204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26</v>
      </c>
      <c r="B842" s="14" t="s">
        <v>39</v>
      </c>
      <c r="C842" s="117">
        <v>0.30208333333333331</v>
      </c>
      <c r="D842" s="14" t="s">
        <v>33</v>
      </c>
      <c r="E842" s="14" t="s">
        <v>54</v>
      </c>
      <c r="F842" s="14" t="s">
        <v>34</v>
      </c>
      <c r="G842" s="204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5" t="s">
        <v>26</v>
      </c>
      <c r="B843" s="15" t="s">
        <v>27</v>
      </c>
      <c r="C843" s="118">
        <v>0.88888888888888884</v>
      </c>
      <c r="D843" s="15" t="s">
        <v>28</v>
      </c>
      <c r="E843" s="15" t="s">
        <v>42</v>
      </c>
      <c r="F843" s="15" t="s">
        <v>30</v>
      </c>
      <c r="G843" s="204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27</v>
      </c>
      <c r="C844" s="117">
        <v>0.88888888888888884</v>
      </c>
      <c r="D844" s="14" t="s">
        <v>31</v>
      </c>
      <c r="E844" s="14" t="s">
        <v>42</v>
      </c>
      <c r="F844" s="14" t="s">
        <v>32</v>
      </c>
      <c r="G844" s="204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26</v>
      </c>
      <c r="B845" s="14" t="s">
        <v>27</v>
      </c>
      <c r="C845" s="117">
        <v>0.88888888888888884</v>
      </c>
      <c r="D845" s="14" t="s">
        <v>33</v>
      </c>
      <c r="E845" s="14" t="s">
        <v>42</v>
      </c>
      <c r="F845" s="14" t="s">
        <v>34</v>
      </c>
      <c r="G845" s="204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5" t="s">
        <v>26</v>
      </c>
      <c r="B846" s="15" t="s">
        <v>41</v>
      </c>
      <c r="C846" s="118">
        <v>0.78819444444444442</v>
      </c>
      <c r="D846" s="15" t="s">
        <v>28</v>
      </c>
      <c r="E846" s="15" t="s">
        <v>185</v>
      </c>
      <c r="F846" s="15" t="s">
        <v>37</v>
      </c>
      <c r="G846" s="204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26</v>
      </c>
      <c r="B847" s="14" t="s">
        <v>41</v>
      </c>
      <c r="C847" s="117">
        <v>0.78819444444444442</v>
      </c>
      <c r="D847" s="14" t="s">
        <v>31</v>
      </c>
      <c r="E847" s="14" t="s">
        <v>185</v>
      </c>
      <c r="F847" s="14" t="s">
        <v>38</v>
      </c>
      <c r="G847" s="204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26</v>
      </c>
      <c r="B848" s="14" t="s">
        <v>41</v>
      </c>
      <c r="C848" s="117">
        <v>0.78819444444444442</v>
      </c>
      <c r="D848" s="14" t="s">
        <v>33</v>
      </c>
      <c r="E848" s="14" t="s">
        <v>185</v>
      </c>
      <c r="F848" s="14" t="s">
        <v>34</v>
      </c>
      <c r="G848" s="204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6" t="s">
        <v>79</v>
      </c>
      <c r="B849" s="16" t="s">
        <v>84</v>
      </c>
      <c r="C849" s="119">
        <v>0.3298611111111111</v>
      </c>
      <c r="D849" s="16" t="s">
        <v>81</v>
      </c>
      <c r="E849" s="16" t="s">
        <v>54</v>
      </c>
      <c r="F849" s="16" t="s">
        <v>198</v>
      </c>
      <c r="G849" s="204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79</v>
      </c>
      <c r="B850" s="14" t="s">
        <v>84</v>
      </c>
      <c r="C850" s="117">
        <v>0.3298611111111111</v>
      </c>
      <c r="D850" s="14" t="s">
        <v>33</v>
      </c>
      <c r="E850" s="14" t="s">
        <v>54</v>
      </c>
      <c r="F850" s="14" t="s">
        <v>181</v>
      </c>
      <c r="G850" s="204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5" t="s">
        <v>79</v>
      </c>
      <c r="B851" s="15" t="s">
        <v>80</v>
      </c>
      <c r="C851" s="118">
        <v>0.21527777777777779</v>
      </c>
      <c r="D851" s="15" t="s">
        <v>81</v>
      </c>
      <c r="E851" s="15" t="s">
        <v>54</v>
      </c>
      <c r="F851" s="15" t="s">
        <v>198</v>
      </c>
      <c r="G851" s="204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79</v>
      </c>
      <c r="B852" s="14" t="s">
        <v>80</v>
      </c>
      <c r="C852" s="117">
        <v>0.21527777777777779</v>
      </c>
      <c r="D852" s="14" t="s">
        <v>33</v>
      </c>
      <c r="E852" s="14" t="s">
        <v>54</v>
      </c>
      <c r="F852" s="14" t="s">
        <v>181</v>
      </c>
      <c r="G852" s="204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6" t="s">
        <v>70</v>
      </c>
      <c r="B853" s="16" t="s">
        <v>155</v>
      </c>
      <c r="C853" s="119">
        <v>0.27083333333333331</v>
      </c>
      <c r="D853" s="16" t="s">
        <v>72</v>
      </c>
      <c r="E853" s="16" t="s">
        <v>76</v>
      </c>
      <c r="F853" s="16" t="s">
        <v>73</v>
      </c>
      <c r="G853" s="204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6" t="s">
        <v>74</v>
      </c>
      <c r="B854" s="16" t="s">
        <v>78</v>
      </c>
      <c r="C854" s="119">
        <v>0.66666666666666663</v>
      </c>
      <c r="D854" s="16" t="s">
        <v>72</v>
      </c>
      <c r="E854" s="16" t="s">
        <v>76</v>
      </c>
      <c r="F854" s="16" t="s">
        <v>77</v>
      </c>
      <c r="G854" s="204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6" t="s">
        <v>45</v>
      </c>
      <c r="B855" s="16" t="s">
        <v>58</v>
      </c>
      <c r="C855" s="119">
        <v>0.46875</v>
      </c>
      <c r="D855" s="16" t="s">
        <v>47</v>
      </c>
      <c r="E855" s="16" t="s">
        <v>54</v>
      </c>
      <c r="F855" s="16" t="s">
        <v>55</v>
      </c>
      <c r="G855" s="204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45</v>
      </c>
      <c r="B856" s="14" t="s">
        <v>58</v>
      </c>
      <c r="C856" s="117">
        <v>0.46875</v>
      </c>
      <c r="D856" s="14" t="s">
        <v>49</v>
      </c>
      <c r="E856" s="14" t="s">
        <v>54</v>
      </c>
      <c r="F856" s="14" t="s">
        <v>32</v>
      </c>
      <c r="G856" s="204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45</v>
      </c>
      <c r="B857" s="14" t="s">
        <v>58</v>
      </c>
      <c r="C857" s="117">
        <v>0.46875</v>
      </c>
      <c r="D857" s="14" t="s">
        <v>51</v>
      </c>
      <c r="E857" s="14" t="s">
        <v>54</v>
      </c>
      <c r="F857" s="14" t="s">
        <v>56</v>
      </c>
      <c r="G857" s="204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5" t="s">
        <v>45</v>
      </c>
      <c r="B858" s="15" t="s">
        <v>62</v>
      </c>
      <c r="C858" s="118">
        <v>0.51736111111111116</v>
      </c>
      <c r="D858" s="15" t="s">
        <v>47</v>
      </c>
      <c r="E858" s="15" t="s">
        <v>54</v>
      </c>
      <c r="F858" s="15" t="s">
        <v>55</v>
      </c>
      <c r="G858" s="204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45</v>
      </c>
      <c r="B859" s="14" t="s">
        <v>62</v>
      </c>
      <c r="C859" s="117">
        <v>0.51736111111111116</v>
      </c>
      <c r="D859" s="14" t="s">
        <v>49</v>
      </c>
      <c r="E859" s="14" t="s">
        <v>54</v>
      </c>
      <c r="F859" s="14" t="s">
        <v>32</v>
      </c>
      <c r="G859" s="204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45</v>
      </c>
      <c r="B860" s="14" t="s">
        <v>62</v>
      </c>
      <c r="C860" s="117">
        <v>0.51736111111111116</v>
      </c>
      <c r="D860" s="14" t="s">
        <v>51</v>
      </c>
      <c r="E860" s="14" t="s">
        <v>54</v>
      </c>
      <c r="F860" s="14" t="s">
        <v>56</v>
      </c>
      <c r="G860" s="204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5" t="s">
        <v>45</v>
      </c>
      <c r="B861" s="15" t="s">
        <v>66</v>
      </c>
      <c r="C861" s="118">
        <v>0.64583333333333337</v>
      </c>
      <c r="D861" s="15" t="s">
        <v>47</v>
      </c>
      <c r="E861" s="15" t="s">
        <v>36</v>
      </c>
      <c r="F861" s="15" t="s">
        <v>55</v>
      </c>
      <c r="G861" s="204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45</v>
      </c>
      <c r="B862" s="14" t="s">
        <v>66</v>
      </c>
      <c r="C862" s="117">
        <v>0.64583333333333337</v>
      </c>
      <c r="D862" s="14" t="s">
        <v>49</v>
      </c>
      <c r="E862" s="14" t="s">
        <v>36</v>
      </c>
      <c r="F862" s="14" t="s">
        <v>32</v>
      </c>
      <c r="G862" s="204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45</v>
      </c>
      <c r="B863" s="14" t="s">
        <v>66</v>
      </c>
      <c r="C863" s="117">
        <v>0.64583333333333337</v>
      </c>
      <c r="D863" s="14" t="s">
        <v>51</v>
      </c>
      <c r="E863" s="14" t="s">
        <v>36</v>
      </c>
      <c r="F863" s="14" t="s">
        <v>56</v>
      </c>
      <c r="G863" s="204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5" t="s">
        <v>45</v>
      </c>
      <c r="B864" s="15" t="s">
        <v>57</v>
      </c>
      <c r="C864" s="118">
        <v>0.25694444444444442</v>
      </c>
      <c r="D864" s="15" t="s">
        <v>47</v>
      </c>
      <c r="E864" s="15" t="s">
        <v>185</v>
      </c>
      <c r="F864" s="15" t="s">
        <v>63</v>
      </c>
      <c r="G864" s="204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45</v>
      </c>
      <c r="B865" s="14" t="s">
        <v>57</v>
      </c>
      <c r="C865" s="117">
        <v>0.25694444444444442</v>
      </c>
      <c r="D865" s="14" t="s">
        <v>49</v>
      </c>
      <c r="E865" s="14" t="s">
        <v>185</v>
      </c>
      <c r="F865" s="14" t="s">
        <v>64</v>
      </c>
      <c r="G865" s="204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45</v>
      </c>
      <c r="B866" s="14" t="s">
        <v>57</v>
      </c>
      <c r="C866" s="117">
        <v>0.25694444444444442</v>
      </c>
      <c r="D866" s="14" t="s">
        <v>51</v>
      </c>
      <c r="E866" s="14" t="s">
        <v>185</v>
      </c>
      <c r="F866" s="14" t="s">
        <v>65</v>
      </c>
      <c r="G866" s="204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5" t="s">
        <v>45</v>
      </c>
      <c r="B867" s="15" t="s">
        <v>60</v>
      </c>
      <c r="C867" s="118">
        <v>0.79861111111111116</v>
      </c>
      <c r="D867" s="15" t="s">
        <v>47</v>
      </c>
      <c r="E867" s="15" t="s">
        <v>96</v>
      </c>
      <c r="F867" s="15" t="s">
        <v>63</v>
      </c>
      <c r="G867" s="204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45</v>
      </c>
      <c r="B868" s="14" t="s">
        <v>60</v>
      </c>
      <c r="C868" s="117">
        <v>0.79861111111111116</v>
      </c>
      <c r="D868" s="14" t="s">
        <v>49</v>
      </c>
      <c r="E868" s="14" t="s">
        <v>96</v>
      </c>
      <c r="F868" s="14" t="s">
        <v>64</v>
      </c>
      <c r="G868" s="204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45</v>
      </c>
      <c r="B869" s="14" t="s">
        <v>60</v>
      </c>
      <c r="C869" s="117">
        <v>0.79861111111111116</v>
      </c>
      <c r="D869" s="14" t="s">
        <v>51</v>
      </c>
      <c r="E869" s="14" t="s">
        <v>96</v>
      </c>
      <c r="F869" s="14" t="s">
        <v>65</v>
      </c>
      <c r="G869" s="204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5" t="s">
        <v>45</v>
      </c>
      <c r="B870" s="15" t="s">
        <v>46</v>
      </c>
      <c r="C870" s="118">
        <v>0.39583333333333331</v>
      </c>
      <c r="D870" s="15" t="s">
        <v>47</v>
      </c>
      <c r="E870" s="15" t="s">
        <v>185</v>
      </c>
      <c r="F870" s="15" t="s">
        <v>63</v>
      </c>
      <c r="G870" s="204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45</v>
      </c>
      <c r="B871" s="14" t="s">
        <v>46</v>
      </c>
      <c r="C871" s="117">
        <v>0.39583333333333331</v>
      </c>
      <c r="D871" s="14" t="s">
        <v>49</v>
      </c>
      <c r="E871" s="14" t="s">
        <v>185</v>
      </c>
      <c r="F871" s="14" t="s">
        <v>64</v>
      </c>
      <c r="G871" s="204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45</v>
      </c>
      <c r="B872" s="14" t="s">
        <v>46</v>
      </c>
      <c r="C872" s="117">
        <v>0.39583333333333331</v>
      </c>
      <c r="D872" s="14" t="s">
        <v>51</v>
      </c>
      <c r="E872" s="14" t="s">
        <v>185</v>
      </c>
      <c r="F872" s="14" t="s">
        <v>65</v>
      </c>
      <c r="G872" s="204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5" t="s">
        <v>45</v>
      </c>
      <c r="B873" s="15" t="s">
        <v>53</v>
      </c>
      <c r="C873" s="118">
        <v>0.85416666666666663</v>
      </c>
      <c r="D873" s="15" t="s">
        <v>47</v>
      </c>
      <c r="E873" s="15" t="s">
        <v>110</v>
      </c>
      <c r="F873" s="15" t="s">
        <v>266</v>
      </c>
      <c r="G873" s="204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45</v>
      </c>
      <c r="B874" s="14" t="s">
        <v>53</v>
      </c>
      <c r="C874" s="117">
        <v>0.85416666666666663</v>
      </c>
      <c r="D874" s="14" t="s">
        <v>49</v>
      </c>
      <c r="E874" s="14" t="s">
        <v>110</v>
      </c>
      <c r="F874" s="14" t="s">
        <v>325</v>
      </c>
      <c r="G874" s="204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45</v>
      </c>
      <c r="B875" s="14" t="s">
        <v>53</v>
      </c>
      <c r="C875" s="117">
        <v>0.85416666666666663</v>
      </c>
      <c r="D875" s="14" t="s">
        <v>51</v>
      </c>
      <c r="E875" s="14" t="s">
        <v>110</v>
      </c>
      <c r="F875" s="14" t="s">
        <v>326</v>
      </c>
      <c r="G875" s="204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5" t="s">
        <v>45</v>
      </c>
      <c r="B876" s="15" t="s">
        <v>59</v>
      </c>
      <c r="C876" s="118">
        <v>0.90277777777777779</v>
      </c>
      <c r="D876" s="15" t="s">
        <v>47</v>
      </c>
      <c r="E876" s="15" t="s">
        <v>54</v>
      </c>
      <c r="F876" s="15" t="s">
        <v>279</v>
      </c>
      <c r="G876" s="204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45</v>
      </c>
      <c r="B877" s="14" t="s">
        <v>59</v>
      </c>
      <c r="C877" s="117">
        <v>0.90277777777777779</v>
      </c>
      <c r="D877" s="14" t="s">
        <v>49</v>
      </c>
      <c r="E877" s="14" t="s">
        <v>54</v>
      </c>
      <c r="F877" s="14" t="s">
        <v>327</v>
      </c>
      <c r="G877" s="204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45</v>
      </c>
      <c r="B878" s="14" t="s">
        <v>59</v>
      </c>
      <c r="C878" s="117">
        <v>0.90277777777777779</v>
      </c>
      <c r="D878" s="14" t="s">
        <v>51</v>
      </c>
      <c r="E878" s="14" t="s">
        <v>54</v>
      </c>
      <c r="F878" s="14" t="s">
        <v>328</v>
      </c>
      <c r="G878" s="204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81" t="s">
        <v>87</v>
      </c>
      <c r="B879" s="81" t="s">
        <v>220</v>
      </c>
      <c r="C879" s="164">
        <v>0.2361111111111111</v>
      </c>
      <c r="D879" s="81" t="s">
        <v>89</v>
      </c>
      <c r="E879" s="81" t="s">
        <v>103</v>
      </c>
      <c r="F879" s="81" t="s">
        <v>159</v>
      </c>
      <c r="G879" s="204"/>
      <c r="H879" s="73" t="s">
        <v>221</v>
      </c>
      <c r="I879" s="154">
        <v>0.2011</v>
      </c>
      <c r="J879" s="74">
        <v>36</v>
      </c>
      <c r="K879" s="75" t="s">
        <v>92</v>
      </c>
      <c r="L879" s="74">
        <v>15</v>
      </c>
      <c r="M879" s="74">
        <v>1</v>
      </c>
      <c r="N879" s="74">
        <v>2</v>
      </c>
      <c r="O879" s="76" t="s">
        <v>322</v>
      </c>
      <c r="P879" s="155">
        <v>0.2361111111111111</v>
      </c>
      <c r="Q879" s="74">
        <v>179</v>
      </c>
      <c r="R879" s="77" t="s">
        <v>329</v>
      </c>
    </row>
    <row r="880" spans="1:18" ht="15" customHeight="1" x14ac:dyDescent="0.3">
      <c r="A880" s="78" t="s">
        <v>87</v>
      </c>
      <c r="B880" s="78" t="s">
        <v>95</v>
      </c>
      <c r="C880" s="157">
        <v>0.68055555555555558</v>
      </c>
      <c r="D880" s="78" t="s">
        <v>89</v>
      </c>
      <c r="E880" s="78" t="s">
        <v>76</v>
      </c>
      <c r="F880" s="78" t="s">
        <v>330</v>
      </c>
      <c r="G880" s="204"/>
      <c r="H880" s="53" t="s">
        <v>98</v>
      </c>
      <c r="I880" s="162">
        <v>0.88829999999999998</v>
      </c>
      <c r="J880" s="54">
        <v>159</v>
      </c>
      <c r="K880" s="55" t="s">
        <v>162</v>
      </c>
      <c r="L880" s="54">
        <v>3</v>
      </c>
      <c r="M880" s="54">
        <v>0</v>
      </c>
      <c r="N880" s="54">
        <v>0</v>
      </c>
      <c r="O880" s="56" t="s">
        <v>331</v>
      </c>
      <c r="P880" s="138">
        <v>0.68055555555555558</v>
      </c>
      <c r="Q880" s="54">
        <v>179</v>
      </c>
      <c r="R880" s="57" t="s">
        <v>332</v>
      </c>
    </row>
    <row r="881" spans="1:18" ht="15" customHeight="1" x14ac:dyDescent="0.3">
      <c r="A881" s="29" t="s">
        <v>87</v>
      </c>
      <c r="B881" s="29" t="s">
        <v>109</v>
      </c>
      <c r="C881" s="126">
        <v>0.33333333333333331</v>
      </c>
      <c r="D881" s="29" t="s">
        <v>226</v>
      </c>
      <c r="E881" s="79"/>
      <c r="F881" s="29" t="s">
        <v>227</v>
      </c>
      <c r="G881" s="204"/>
      <c r="H881" s="30" t="s">
        <v>111</v>
      </c>
      <c r="I881" s="127">
        <v>1</v>
      </c>
      <c r="J881" s="31">
        <v>179</v>
      </c>
      <c r="K881" s="32" t="s">
        <v>333</v>
      </c>
      <c r="L881" s="31">
        <v>0</v>
      </c>
      <c r="M881" s="31">
        <v>0</v>
      </c>
      <c r="N881" s="31">
        <v>0</v>
      </c>
      <c r="O881" s="33" t="s">
        <v>229</v>
      </c>
      <c r="P881" s="128">
        <v>0.33333333333333331</v>
      </c>
      <c r="Q881" s="31">
        <v>179</v>
      </c>
      <c r="R881" s="34" t="s">
        <v>334</v>
      </c>
    </row>
    <row r="882" spans="1:18" ht="15" customHeight="1" x14ac:dyDescent="0.3">
      <c r="A882" s="16" t="s">
        <v>130</v>
      </c>
      <c r="B882" s="16" t="s">
        <v>138</v>
      </c>
      <c r="C882" s="119">
        <v>0.24305555555555561</v>
      </c>
      <c r="D882" s="16" t="s">
        <v>132</v>
      </c>
      <c r="E882" s="16" t="s">
        <v>76</v>
      </c>
      <c r="F882" s="16" t="s">
        <v>335</v>
      </c>
      <c r="G882" s="204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130</v>
      </c>
      <c r="B883" s="14" t="s">
        <v>138</v>
      </c>
      <c r="C883" s="117">
        <v>0.24305555555555561</v>
      </c>
      <c r="D883" s="14" t="s">
        <v>134</v>
      </c>
      <c r="E883" s="14" t="s">
        <v>76</v>
      </c>
      <c r="F883" s="14" t="s">
        <v>280</v>
      </c>
      <c r="G883" s="204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5" t="s">
        <v>130</v>
      </c>
      <c r="B884" s="15" t="s">
        <v>143</v>
      </c>
      <c r="C884" s="118">
        <v>6.9444444444444441E-3</v>
      </c>
      <c r="D884" s="15" t="s">
        <v>132</v>
      </c>
      <c r="E884" s="15" t="s">
        <v>76</v>
      </c>
      <c r="F884" s="15" t="s">
        <v>176</v>
      </c>
      <c r="G884" s="204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130</v>
      </c>
      <c r="B885" s="14" t="s">
        <v>143</v>
      </c>
      <c r="C885" s="117">
        <v>6.9444444444444441E-3</v>
      </c>
      <c r="D885" s="14" t="s">
        <v>134</v>
      </c>
      <c r="E885" s="14" t="s">
        <v>76</v>
      </c>
      <c r="F885" s="14" t="s">
        <v>177</v>
      </c>
      <c r="G885" s="204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5" t="s">
        <v>130</v>
      </c>
      <c r="B886" s="15" t="s">
        <v>146</v>
      </c>
      <c r="C886" s="118">
        <v>0.1423611111111111</v>
      </c>
      <c r="D886" s="15" t="s">
        <v>132</v>
      </c>
      <c r="E886" s="15" t="s">
        <v>76</v>
      </c>
      <c r="F886" s="15" t="s">
        <v>176</v>
      </c>
      <c r="G886" s="204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130</v>
      </c>
      <c r="B887" s="14" t="s">
        <v>146</v>
      </c>
      <c r="C887" s="117">
        <v>0.1423611111111111</v>
      </c>
      <c r="D887" s="14" t="s">
        <v>134</v>
      </c>
      <c r="E887" s="14" t="s">
        <v>76</v>
      </c>
      <c r="F887" s="14" t="s">
        <v>177</v>
      </c>
      <c r="G887" s="204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5" t="s">
        <v>130</v>
      </c>
      <c r="B888" s="15" t="s">
        <v>136</v>
      </c>
      <c r="C888" s="118">
        <v>0.37847222222222221</v>
      </c>
      <c r="D888" s="15" t="s">
        <v>132</v>
      </c>
      <c r="E888" s="15" t="s">
        <v>76</v>
      </c>
      <c r="F888" s="15" t="s">
        <v>176</v>
      </c>
      <c r="G888" s="204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130</v>
      </c>
      <c r="B889" s="14" t="s">
        <v>136</v>
      </c>
      <c r="C889" s="117">
        <v>0.37847222222222221</v>
      </c>
      <c r="D889" s="14" t="s">
        <v>134</v>
      </c>
      <c r="E889" s="14" t="s">
        <v>76</v>
      </c>
      <c r="F889" s="14" t="s">
        <v>177</v>
      </c>
      <c r="G889" s="204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5" t="s">
        <v>130</v>
      </c>
      <c r="B890" s="15" t="s">
        <v>148</v>
      </c>
      <c r="C890" s="118">
        <v>0.82986111111111116</v>
      </c>
      <c r="D890" s="15" t="s">
        <v>132</v>
      </c>
      <c r="E890" s="15" t="s">
        <v>76</v>
      </c>
      <c r="F890" s="15" t="s">
        <v>133</v>
      </c>
      <c r="G890" s="204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130</v>
      </c>
      <c r="B891" s="14" t="s">
        <v>148</v>
      </c>
      <c r="C891" s="117">
        <v>0.82986111111111116</v>
      </c>
      <c r="D891" s="14" t="s">
        <v>134</v>
      </c>
      <c r="E891" s="14" t="s">
        <v>76</v>
      </c>
      <c r="F891" s="14" t="s">
        <v>135</v>
      </c>
      <c r="G891" s="204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5" t="s">
        <v>130</v>
      </c>
      <c r="B892" s="15" t="s">
        <v>141</v>
      </c>
      <c r="C892" s="118">
        <v>0.30208333333333331</v>
      </c>
      <c r="D892" s="15" t="s">
        <v>134</v>
      </c>
      <c r="E892" s="15" t="s">
        <v>110</v>
      </c>
      <c r="F892" s="15" t="s">
        <v>218</v>
      </c>
      <c r="G892" s="204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5" t="s">
        <v>130</v>
      </c>
      <c r="B893" s="15" t="s">
        <v>142</v>
      </c>
      <c r="C893" s="118">
        <v>0.12847222222222221</v>
      </c>
      <c r="D893" s="15" t="s">
        <v>134</v>
      </c>
      <c r="E893" s="15" t="s">
        <v>110</v>
      </c>
      <c r="F893" s="15" t="s">
        <v>178</v>
      </c>
      <c r="G893" s="204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5" t="s">
        <v>130</v>
      </c>
      <c r="B894" s="15" t="s">
        <v>139</v>
      </c>
      <c r="C894" s="118">
        <v>0.88888888888888884</v>
      </c>
      <c r="D894" s="15" t="s">
        <v>134</v>
      </c>
      <c r="E894" s="15" t="s">
        <v>110</v>
      </c>
      <c r="F894" s="15" t="s">
        <v>140</v>
      </c>
      <c r="G894" s="204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5" t="s">
        <v>130</v>
      </c>
      <c r="B895" s="15" t="s">
        <v>149</v>
      </c>
      <c r="C895" s="118">
        <v>0.78819444444444442</v>
      </c>
      <c r="D895" s="15" t="s">
        <v>134</v>
      </c>
      <c r="E895" s="15" t="s">
        <v>110</v>
      </c>
      <c r="F895" s="15" t="s">
        <v>140</v>
      </c>
      <c r="G895" s="204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5" t="s">
        <v>130</v>
      </c>
      <c r="B896" s="15" t="s">
        <v>147</v>
      </c>
      <c r="C896" s="118">
        <v>0.71875</v>
      </c>
      <c r="D896" s="15" t="s">
        <v>132</v>
      </c>
      <c r="E896" s="15" t="s">
        <v>76</v>
      </c>
      <c r="F896" s="15" t="s">
        <v>144</v>
      </c>
      <c r="G896" s="204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130</v>
      </c>
      <c r="B897" s="14" t="s">
        <v>147</v>
      </c>
      <c r="C897" s="117">
        <v>0.71875</v>
      </c>
      <c r="D897" s="14" t="s">
        <v>134</v>
      </c>
      <c r="E897" s="14" t="s">
        <v>76</v>
      </c>
      <c r="F897" s="14" t="s">
        <v>145</v>
      </c>
      <c r="G897" s="204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5" t="s">
        <v>130</v>
      </c>
      <c r="B898" s="15" t="s">
        <v>137</v>
      </c>
      <c r="C898" s="118">
        <v>0.61111111111111116</v>
      </c>
      <c r="D898" s="15" t="s">
        <v>132</v>
      </c>
      <c r="E898" s="15" t="s">
        <v>76</v>
      </c>
      <c r="F898" s="15" t="s">
        <v>144</v>
      </c>
      <c r="G898" s="204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130</v>
      </c>
      <c r="B899" s="14" t="s">
        <v>137</v>
      </c>
      <c r="C899" s="117">
        <v>0.61111111111111116</v>
      </c>
      <c r="D899" s="14" t="s">
        <v>134</v>
      </c>
      <c r="E899" s="14" t="s">
        <v>76</v>
      </c>
      <c r="F899" s="14" t="s">
        <v>145</v>
      </c>
      <c r="G899" s="204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5" t="s">
        <v>130</v>
      </c>
      <c r="B900" s="15" t="s">
        <v>131</v>
      </c>
      <c r="C900" s="118">
        <v>0.93055555555555558</v>
      </c>
      <c r="D900" s="15" t="s">
        <v>132</v>
      </c>
      <c r="E900" s="15" t="s">
        <v>185</v>
      </c>
      <c r="F900" s="15" t="s">
        <v>291</v>
      </c>
      <c r="G900" s="204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130</v>
      </c>
      <c r="B901" s="14" t="s">
        <v>131</v>
      </c>
      <c r="C901" s="117">
        <v>0.93055555555555558</v>
      </c>
      <c r="D901" s="14" t="s">
        <v>134</v>
      </c>
      <c r="E901" s="14" t="s">
        <v>185</v>
      </c>
      <c r="F901" s="14" t="s">
        <v>336</v>
      </c>
      <c r="G901" s="204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6" t="s">
        <v>115</v>
      </c>
      <c r="B902" s="16" t="s">
        <v>116</v>
      </c>
      <c r="C902" s="119">
        <v>0.22916666666666671</v>
      </c>
      <c r="D902" s="16" t="s">
        <v>124</v>
      </c>
      <c r="E902" s="16" t="s">
        <v>76</v>
      </c>
      <c r="F902" s="16" t="s">
        <v>254</v>
      </c>
      <c r="G902" s="204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5" t="s">
        <v>115</v>
      </c>
      <c r="B903" s="15" t="s">
        <v>119</v>
      </c>
      <c r="C903" s="118">
        <v>0.14583333333333329</v>
      </c>
      <c r="D903" s="15" t="s">
        <v>124</v>
      </c>
      <c r="E903" s="15" t="s">
        <v>76</v>
      </c>
      <c r="F903" s="15" t="s">
        <v>254</v>
      </c>
      <c r="G903" s="204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5" t="s">
        <v>115</v>
      </c>
      <c r="B904" s="15" t="s">
        <v>120</v>
      </c>
      <c r="C904" s="118">
        <v>0.27777777777777779</v>
      </c>
      <c r="D904" s="15" t="s">
        <v>124</v>
      </c>
      <c r="E904" s="15" t="s">
        <v>76</v>
      </c>
      <c r="F904" s="15" t="s">
        <v>254</v>
      </c>
      <c r="G904" s="204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5" t="s">
        <v>115</v>
      </c>
      <c r="B905" s="15" t="s">
        <v>126</v>
      </c>
      <c r="C905" s="118">
        <v>0.77430555555555558</v>
      </c>
      <c r="D905" s="15" t="s">
        <v>124</v>
      </c>
      <c r="E905" s="15" t="s">
        <v>61</v>
      </c>
      <c r="F905" s="15" t="s">
        <v>291</v>
      </c>
      <c r="G905" s="204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thickBot="1" x14ac:dyDescent="0.35">
      <c r="A906" s="41" t="s">
        <v>115</v>
      </c>
      <c r="B906" s="41" t="s">
        <v>121</v>
      </c>
      <c r="C906" s="132">
        <v>0.4861111111111111</v>
      </c>
      <c r="D906" s="41" t="s">
        <v>124</v>
      </c>
      <c r="E906" s="41" t="s">
        <v>76</v>
      </c>
      <c r="F906" s="41" t="s">
        <v>291</v>
      </c>
      <c r="G906" s="205"/>
      <c r="H906" s="42"/>
      <c r="I906" s="43"/>
      <c r="J906" s="43"/>
      <c r="K906" s="43"/>
      <c r="L906" s="43"/>
      <c r="M906" s="43"/>
      <c r="N906" s="43"/>
      <c r="O906" s="44"/>
      <c r="P906" s="43"/>
      <c r="Q906" s="45"/>
      <c r="R906" s="46"/>
    </row>
    <row r="907" spans="1:18" ht="17.399999999999999" customHeight="1" thickBot="1" x14ac:dyDescent="0.35">
      <c r="A907" s="200"/>
      <c r="B907" s="201"/>
      <c r="C907" s="201"/>
      <c r="D907" s="201"/>
      <c r="E907" s="201"/>
      <c r="F907" s="201"/>
      <c r="G907" s="201"/>
      <c r="H907" s="201"/>
      <c r="I907" s="201"/>
      <c r="J907" s="201"/>
      <c r="K907" s="201"/>
      <c r="L907" s="201"/>
      <c r="M907" s="201"/>
      <c r="N907" s="201"/>
      <c r="O907" s="201"/>
      <c r="P907" s="201"/>
      <c r="Q907" s="201"/>
      <c r="R907" s="202"/>
    </row>
    <row r="908" spans="1:18" ht="22.05" customHeight="1" thickTop="1" thickBot="1" x14ac:dyDescent="0.35">
      <c r="A908" s="197" t="s">
        <v>6</v>
      </c>
      <c r="B908" s="198"/>
      <c r="C908" s="198"/>
      <c r="D908" s="198"/>
      <c r="E908" s="198"/>
      <c r="F908" s="199"/>
      <c r="G908" s="133">
        <v>46005</v>
      </c>
      <c r="H908" s="207" t="s">
        <v>7</v>
      </c>
      <c r="I908" s="198"/>
      <c r="J908" s="198"/>
      <c r="K908" s="198"/>
      <c r="L908" s="198"/>
      <c r="M908" s="198"/>
      <c r="N908" s="198"/>
      <c r="O908" s="198"/>
      <c r="P908" s="198"/>
      <c r="Q908" s="198"/>
      <c r="R908" s="199"/>
    </row>
    <row r="909" spans="1:18" ht="24" customHeight="1" x14ac:dyDescent="0.3">
      <c r="A909" s="47" t="s">
        <v>8</v>
      </c>
      <c r="B909" s="47" t="s">
        <v>9</v>
      </c>
      <c r="C909" s="134" t="s">
        <v>10</v>
      </c>
      <c r="D909" s="47" t="s">
        <v>11</v>
      </c>
      <c r="E909" s="47" t="s">
        <v>12</v>
      </c>
      <c r="F909" s="48" t="s">
        <v>13</v>
      </c>
      <c r="G909" s="49" t="s">
        <v>14</v>
      </c>
      <c r="H909" s="47" t="s">
        <v>15</v>
      </c>
      <c r="I909" s="135" t="s">
        <v>16</v>
      </c>
      <c r="J909" s="50" t="s">
        <v>17</v>
      </c>
      <c r="K909" s="51" t="s">
        <v>18</v>
      </c>
      <c r="L909" s="50" t="s">
        <v>19</v>
      </c>
      <c r="M909" s="50" t="s">
        <v>20</v>
      </c>
      <c r="N909" s="50" t="s">
        <v>21</v>
      </c>
      <c r="O909" s="47" t="s">
        <v>22</v>
      </c>
      <c r="P909" s="134" t="s">
        <v>23</v>
      </c>
      <c r="Q909" s="50" t="s">
        <v>24</v>
      </c>
      <c r="R909" s="47" t="s">
        <v>25</v>
      </c>
    </row>
    <row r="910" spans="1:18" ht="15" customHeight="1" x14ac:dyDescent="0.3">
      <c r="A910" s="8" t="s">
        <v>26</v>
      </c>
      <c r="B910" s="8" t="s">
        <v>35</v>
      </c>
      <c r="C910" s="116">
        <v>0.12847222222222221</v>
      </c>
      <c r="D910" s="8" t="s">
        <v>28</v>
      </c>
      <c r="E910" s="8" t="s">
        <v>185</v>
      </c>
      <c r="F910" s="8" t="s">
        <v>180</v>
      </c>
      <c r="G910" s="203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35</v>
      </c>
      <c r="C911" s="117">
        <v>0.12847222222222221</v>
      </c>
      <c r="D911" s="14" t="s">
        <v>31</v>
      </c>
      <c r="E911" s="14" t="s">
        <v>185</v>
      </c>
      <c r="F911" s="14" t="s">
        <v>181</v>
      </c>
      <c r="G911" s="204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26</v>
      </c>
      <c r="B912" s="14" t="s">
        <v>35</v>
      </c>
      <c r="C912" s="117">
        <v>0.12847222222222221</v>
      </c>
      <c r="D912" s="14" t="s">
        <v>33</v>
      </c>
      <c r="E912" s="14" t="s">
        <v>185</v>
      </c>
      <c r="F912" s="14" t="s">
        <v>34</v>
      </c>
      <c r="G912" s="204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5" t="s">
        <v>26</v>
      </c>
      <c r="B913" s="15" t="s">
        <v>41</v>
      </c>
      <c r="C913" s="118">
        <v>0.78819444444444442</v>
      </c>
      <c r="D913" s="15" t="s">
        <v>28</v>
      </c>
      <c r="E913" s="15" t="s">
        <v>256</v>
      </c>
      <c r="F913" s="15" t="s">
        <v>180</v>
      </c>
      <c r="G913" s="204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41</v>
      </c>
      <c r="C914" s="117">
        <v>0.78819444444444442</v>
      </c>
      <c r="D914" s="14" t="s">
        <v>31</v>
      </c>
      <c r="E914" s="14" t="s">
        <v>256</v>
      </c>
      <c r="F914" s="14" t="s">
        <v>181</v>
      </c>
      <c r="G914" s="204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26</v>
      </c>
      <c r="B915" s="14" t="s">
        <v>41</v>
      </c>
      <c r="C915" s="117">
        <v>0.78819444444444442</v>
      </c>
      <c r="D915" s="14" t="s">
        <v>33</v>
      </c>
      <c r="E915" s="14" t="s">
        <v>256</v>
      </c>
      <c r="F915" s="14" t="s">
        <v>34</v>
      </c>
      <c r="G915" s="204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5" t="s">
        <v>26</v>
      </c>
      <c r="B916" s="15" t="s">
        <v>39</v>
      </c>
      <c r="C916" s="118">
        <v>0.30208333333333331</v>
      </c>
      <c r="D916" s="15" t="s">
        <v>28</v>
      </c>
      <c r="E916" s="15" t="s">
        <v>40</v>
      </c>
      <c r="F916" s="15" t="s">
        <v>30</v>
      </c>
      <c r="G916" s="204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39</v>
      </c>
      <c r="C917" s="117">
        <v>0.30208333333333331</v>
      </c>
      <c r="D917" s="14" t="s">
        <v>31</v>
      </c>
      <c r="E917" s="14" t="s">
        <v>40</v>
      </c>
      <c r="F917" s="14" t="s">
        <v>32</v>
      </c>
      <c r="G917" s="204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26</v>
      </c>
      <c r="B918" s="14" t="s">
        <v>39</v>
      </c>
      <c r="C918" s="117">
        <v>0.30208333333333331</v>
      </c>
      <c r="D918" s="14" t="s">
        <v>33</v>
      </c>
      <c r="E918" s="14" t="s">
        <v>40</v>
      </c>
      <c r="F918" s="14" t="s">
        <v>34</v>
      </c>
      <c r="G918" s="204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5" t="s">
        <v>26</v>
      </c>
      <c r="B919" s="15" t="s">
        <v>27</v>
      </c>
      <c r="C919" s="118">
        <v>0.88888888888888884</v>
      </c>
      <c r="D919" s="15" t="s">
        <v>28</v>
      </c>
      <c r="E919" s="15" t="s">
        <v>265</v>
      </c>
      <c r="F919" s="15" t="s">
        <v>325</v>
      </c>
      <c r="G919" s="204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27</v>
      </c>
      <c r="C920" s="117">
        <v>0.88888888888888884</v>
      </c>
      <c r="D920" s="14" t="s">
        <v>31</v>
      </c>
      <c r="E920" s="14" t="s">
        <v>265</v>
      </c>
      <c r="F920" s="14" t="s">
        <v>283</v>
      </c>
      <c r="G920" s="204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26</v>
      </c>
      <c r="B921" s="14" t="s">
        <v>27</v>
      </c>
      <c r="C921" s="117">
        <v>0.88888888888888884</v>
      </c>
      <c r="D921" s="14" t="s">
        <v>33</v>
      </c>
      <c r="E921" s="14" t="s">
        <v>265</v>
      </c>
      <c r="F921" s="14" t="s">
        <v>34</v>
      </c>
      <c r="G921" s="204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6" t="s">
        <v>79</v>
      </c>
      <c r="B922" s="16" t="s">
        <v>84</v>
      </c>
      <c r="C922" s="119">
        <v>0.3888888888888889</v>
      </c>
      <c r="D922" s="16" t="s">
        <v>81</v>
      </c>
      <c r="E922" s="16" t="s">
        <v>54</v>
      </c>
      <c r="F922" s="16" t="s">
        <v>198</v>
      </c>
      <c r="G922" s="204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79</v>
      </c>
      <c r="B923" s="14" t="s">
        <v>84</v>
      </c>
      <c r="C923" s="117">
        <v>0.3888888888888889</v>
      </c>
      <c r="D923" s="14" t="s">
        <v>33</v>
      </c>
      <c r="E923" s="14" t="s">
        <v>54</v>
      </c>
      <c r="F923" s="14" t="s">
        <v>181</v>
      </c>
      <c r="G923" s="204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6" t="s">
        <v>45</v>
      </c>
      <c r="B924" s="16" t="s">
        <v>57</v>
      </c>
      <c r="C924" s="119">
        <v>0.25694444444444442</v>
      </c>
      <c r="D924" s="16" t="s">
        <v>47</v>
      </c>
      <c r="E924" s="16" t="s">
        <v>54</v>
      </c>
      <c r="F924" s="16" t="s">
        <v>48</v>
      </c>
      <c r="G924" s="204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45</v>
      </c>
      <c r="B925" s="14" t="s">
        <v>57</v>
      </c>
      <c r="C925" s="117">
        <v>0.25694444444444442</v>
      </c>
      <c r="D925" s="14" t="s">
        <v>49</v>
      </c>
      <c r="E925" s="14" t="s">
        <v>54</v>
      </c>
      <c r="F925" s="14" t="s">
        <v>50</v>
      </c>
      <c r="G925" s="204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45</v>
      </c>
      <c r="B926" s="14" t="s">
        <v>57</v>
      </c>
      <c r="C926" s="117">
        <v>0.25694444444444442</v>
      </c>
      <c r="D926" s="14" t="s">
        <v>51</v>
      </c>
      <c r="E926" s="14" t="s">
        <v>54</v>
      </c>
      <c r="F926" s="14" t="s">
        <v>52</v>
      </c>
      <c r="G926" s="204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5" t="s">
        <v>45</v>
      </c>
      <c r="B927" s="15" t="s">
        <v>58</v>
      </c>
      <c r="C927" s="118">
        <v>0.30208333333333331</v>
      </c>
      <c r="D927" s="15" t="s">
        <v>47</v>
      </c>
      <c r="E927" s="15" t="s">
        <v>185</v>
      </c>
      <c r="F927" s="15" t="s">
        <v>48</v>
      </c>
      <c r="G927" s="204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45</v>
      </c>
      <c r="B928" s="14" t="s">
        <v>58</v>
      </c>
      <c r="C928" s="117">
        <v>0.30208333333333331</v>
      </c>
      <c r="D928" s="14" t="s">
        <v>49</v>
      </c>
      <c r="E928" s="14" t="s">
        <v>185</v>
      </c>
      <c r="F928" s="14" t="s">
        <v>50</v>
      </c>
      <c r="G928" s="204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45</v>
      </c>
      <c r="B929" s="14" t="s">
        <v>58</v>
      </c>
      <c r="C929" s="117">
        <v>0.30208333333333331</v>
      </c>
      <c r="D929" s="14" t="s">
        <v>51</v>
      </c>
      <c r="E929" s="14" t="s">
        <v>185</v>
      </c>
      <c r="F929" s="14" t="s">
        <v>52</v>
      </c>
      <c r="G929" s="204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5" t="s">
        <v>45</v>
      </c>
      <c r="B930" s="15" t="s">
        <v>46</v>
      </c>
      <c r="C930" s="118">
        <v>0.39583333333333331</v>
      </c>
      <c r="D930" s="15" t="s">
        <v>47</v>
      </c>
      <c r="E930" s="15" t="s">
        <v>185</v>
      </c>
      <c r="F930" s="15" t="s">
        <v>48</v>
      </c>
      <c r="G930" s="204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45</v>
      </c>
      <c r="B931" s="14" t="s">
        <v>46</v>
      </c>
      <c r="C931" s="117">
        <v>0.39583333333333331</v>
      </c>
      <c r="D931" s="14" t="s">
        <v>49</v>
      </c>
      <c r="E931" s="14" t="s">
        <v>185</v>
      </c>
      <c r="F931" s="14" t="s">
        <v>50</v>
      </c>
      <c r="G931" s="204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45</v>
      </c>
      <c r="B932" s="14" t="s">
        <v>46</v>
      </c>
      <c r="C932" s="117">
        <v>0.39583333333333331</v>
      </c>
      <c r="D932" s="14" t="s">
        <v>51</v>
      </c>
      <c r="E932" s="14" t="s">
        <v>185</v>
      </c>
      <c r="F932" s="14" t="s">
        <v>52</v>
      </c>
      <c r="G932" s="204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5" t="s">
        <v>45</v>
      </c>
      <c r="B933" s="15" t="s">
        <v>62</v>
      </c>
      <c r="C933" s="118">
        <v>0.51736111111111116</v>
      </c>
      <c r="D933" s="15" t="s">
        <v>47</v>
      </c>
      <c r="E933" s="15" t="s">
        <v>29</v>
      </c>
      <c r="F933" s="15" t="s">
        <v>55</v>
      </c>
      <c r="G933" s="204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45</v>
      </c>
      <c r="B934" s="14" t="s">
        <v>62</v>
      </c>
      <c r="C934" s="117">
        <v>0.51736111111111116</v>
      </c>
      <c r="D934" s="14" t="s">
        <v>49</v>
      </c>
      <c r="E934" s="14" t="s">
        <v>29</v>
      </c>
      <c r="F934" s="14" t="s">
        <v>32</v>
      </c>
      <c r="G934" s="204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45</v>
      </c>
      <c r="B935" s="14" t="s">
        <v>62</v>
      </c>
      <c r="C935" s="117">
        <v>0.51736111111111116</v>
      </c>
      <c r="D935" s="14" t="s">
        <v>51</v>
      </c>
      <c r="E935" s="14" t="s">
        <v>29</v>
      </c>
      <c r="F935" s="14" t="s">
        <v>56</v>
      </c>
      <c r="G935" s="204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5" t="s">
        <v>45</v>
      </c>
      <c r="B936" s="15" t="s">
        <v>59</v>
      </c>
      <c r="C936" s="118">
        <v>0.90277777777777779</v>
      </c>
      <c r="D936" s="15" t="s">
        <v>47</v>
      </c>
      <c r="E936" s="15" t="s">
        <v>54</v>
      </c>
      <c r="F936" s="15" t="s">
        <v>55</v>
      </c>
      <c r="G936" s="204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45</v>
      </c>
      <c r="B937" s="14" t="s">
        <v>59</v>
      </c>
      <c r="C937" s="117">
        <v>0.90277777777777779</v>
      </c>
      <c r="D937" s="14" t="s">
        <v>49</v>
      </c>
      <c r="E937" s="14" t="s">
        <v>54</v>
      </c>
      <c r="F937" s="14" t="s">
        <v>32</v>
      </c>
      <c r="G937" s="204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45</v>
      </c>
      <c r="B938" s="14" t="s">
        <v>59</v>
      </c>
      <c r="C938" s="117">
        <v>0.90277777777777779</v>
      </c>
      <c r="D938" s="14" t="s">
        <v>51</v>
      </c>
      <c r="E938" s="14" t="s">
        <v>54</v>
      </c>
      <c r="F938" s="14" t="s">
        <v>56</v>
      </c>
      <c r="G938" s="204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5" t="s">
        <v>45</v>
      </c>
      <c r="B939" s="15" t="s">
        <v>66</v>
      </c>
      <c r="C939" s="118">
        <v>0.64583333333333337</v>
      </c>
      <c r="D939" s="15" t="s">
        <v>47</v>
      </c>
      <c r="E939" s="15" t="s">
        <v>29</v>
      </c>
      <c r="F939" s="15" t="s">
        <v>55</v>
      </c>
      <c r="G939" s="204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45</v>
      </c>
      <c r="B940" s="14" t="s">
        <v>66</v>
      </c>
      <c r="C940" s="117">
        <v>0.64583333333333337</v>
      </c>
      <c r="D940" s="14" t="s">
        <v>49</v>
      </c>
      <c r="E940" s="14" t="s">
        <v>29</v>
      </c>
      <c r="F940" s="14" t="s">
        <v>32</v>
      </c>
      <c r="G940" s="204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45</v>
      </c>
      <c r="B941" s="14" t="s">
        <v>66</v>
      </c>
      <c r="C941" s="117">
        <v>0.64583333333333337</v>
      </c>
      <c r="D941" s="14" t="s">
        <v>51</v>
      </c>
      <c r="E941" s="14" t="s">
        <v>29</v>
      </c>
      <c r="F941" s="14" t="s">
        <v>56</v>
      </c>
      <c r="G941" s="204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5" t="s">
        <v>45</v>
      </c>
      <c r="B942" s="15" t="s">
        <v>53</v>
      </c>
      <c r="C942" s="118">
        <v>0.85416666666666663</v>
      </c>
      <c r="D942" s="15" t="s">
        <v>47</v>
      </c>
      <c r="E942" s="15" t="s">
        <v>61</v>
      </c>
      <c r="F942" s="15" t="s">
        <v>63</v>
      </c>
      <c r="G942" s="204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45</v>
      </c>
      <c r="B943" s="14" t="s">
        <v>53</v>
      </c>
      <c r="C943" s="117">
        <v>0.85416666666666663</v>
      </c>
      <c r="D943" s="14" t="s">
        <v>49</v>
      </c>
      <c r="E943" s="14" t="s">
        <v>61</v>
      </c>
      <c r="F943" s="14" t="s">
        <v>64</v>
      </c>
      <c r="G943" s="204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45</v>
      </c>
      <c r="B944" s="14" t="s">
        <v>53</v>
      </c>
      <c r="C944" s="117">
        <v>0.85416666666666663</v>
      </c>
      <c r="D944" s="14" t="s">
        <v>51</v>
      </c>
      <c r="E944" s="14" t="s">
        <v>61</v>
      </c>
      <c r="F944" s="14" t="s">
        <v>65</v>
      </c>
      <c r="G944" s="204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5" t="s">
        <v>45</v>
      </c>
      <c r="B945" s="15" t="s">
        <v>60</v>
      </c>
      <c r="C945" s="118">
        <v>0.79861111111111116</v>
      </c>
      <c r="D945" s="15" t="s">
        <v>47</v>
      </c>
      <c r="E945" s="15" t="s">
        <v>54</v>
      </c>
      <c r="F945" s="15" t="s">
        <v>63</v>
      </c>
      <c r="G945" s="204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45</v>
      </c>
      <c r="B946" s="14" t="s">
        <v>60</v>
      </c>
      <c r="C946" s="117">
        <v>0.79861111111111116</v>
      </c>
      <c r="D946" s="14" t="s">
        <v>49</v>
      </c>
      <c r="E946" s="14" t="s">
        <v>54</v>
      </c>
      <c r="F946" s="14" t="s">
        <v>64</v>
      </c>
      <c r="G946" s="204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45</v>
      </c>
      <c r="B947" s="14" t="s">
        <v>60</v>
      </c>
      <c r="C947" s="117">
        <v>0.79861111111111116</v>
      </c>
      <c r="D947" s="14" t="s">
        <v>51</v>
      </c>
      <c r="E947" s="14" t="s">
        <v>54</v>
      </c>
      <c r="F947" s="14" t="s">
        <v>65</v>
      </c>
      <c r="G947" s="204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6" t="s">
        <v>70</v>
      </c>
      <c r="B948" s="16" t="s">
        <v>235</v>
      </c>
      <c r="C948" s="119">
        <v>0.34722222222222221</v>
      </c>
      <c r="D948" s="16" t="s">
        <v>72</v>
      </c>
      <c r="E948" s="16" t="s">
        <v>76</v>
      </c>
      <c r="F948" s="16" t="s">
        <v>73</v>
      </c>
      <c r="G948" s="204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6" t="s">
        <v>74</v>
      </c>
      <c r="B949" s="16" t="s">
        <v>78</v>
      </c>
      <c r="C949" s="119">
        <v>0.66666666666666663</v>
      </c>
      <c r="D949" s="16" t="s">
        <v>72</v>
      </c>
      <c r="E949" s="16" t="s">
        <v>76</v>
      </c>
      <c r="F949" s="16" t="s">
        <v>77</v>
      </c>
      <c r="G949" s="204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71" t="s">
        <v>87</v>
      </c>
      <c r="B950" s="71" t="s">
        <v>241</v>
      </c>
      <c r="C950" s="149">
        <v>0.33333333333333331</v>
      </c>
      <c r="D950" s="71" t="s">
        <v>89</v>
      </c>
      <c r="E950" s="71" t="s">
        <v>103</v>
      </c>
      <c r="F950" s="71" t="s">
        <v>207</v>
      </c>
      <c r="G950" s="204"/>
      <c r="H950" s="65" t="s">
        <v>242</v>
      </c>
      <c r="I950" s="161">
        <v>7.7399999999999997E-2</v>
      </c>
      <c r="J950" s="66">
        <v>13</v>
      </c>
      <c r="K950" s="67" t="s">
        <v>99</v>
      </c>
      <c r="L950" s="66">
        <v>8</v>
      </c>
      <c r="M950" s="66">
        <v>0</v>
      </c>
      <c r="N950" s="66">
        <v>2</v>
      </c>
      <c r="O950" s="68" t="s">
        <v>337</v>
      </c>
      <c r="P950" s="146">
        <v>0.33333333333333331</v>
      </c>
      <c r="Q950" s="66">
        <v>168</v>
      </c>
      <c r="R950" s="69" t="s">
        <v>338</v>
      </c>
    </row>
    <row r="951" spans="1:18" ht="15" customHeight="1" x14ac:dyDescent="0.3">
      <c r="A951" s="35" t="s">
        <v>87</v>
      </c>
      <c r="B951" s="35" t="s">
        <v>109</v>
      </c>
      <c r="C951" s="129">
        <v>0.31944444444444442</v>
      </c>
      <c r="D951" s="35" t="s">
        <v>89</v>
      </c>
      <c r="E951" s="35" t="s">
        <v>36</v>
      </c>
      <c r="F951" s="35" t="s">
        <v>207</v>
      </c>
      <c r="G951" s="204"/>
      <c r="H951" s="36" t="s">
        <v>111</v>
      </c>
      <c r="I951" s="147">
        <v>0.65359999999999996</v>
      </c>
      <c r="J951" s="37">
        <v>117</v>
      </c>
      <c r="K951" s="38" t="s">
        <v>162</v>
      </c>
      <c r="L951" s="37">
        <v>13</v>
      </c>
      <c r="M951" s="37">
        <v>0</v>
      </c>
      <c r="N951" s="37">
        <v>0</v>
      </c>
      <c r="O951" s="39" t="s">
        <v>339</v>
      </c>
      <c r="P951" s="131">
        <v>0.31944444444444442</v>
      </c>
      <c r="Q951" s="37">
        <v>179</v>
      </c>
      <c r="R951" s="40" t="s">
        <v>340</v>
      </c>
    </row>
    <row r="952" spans="1:18" ht="15" customHeight="1" x14ac:dyDescent="0.3">
      <c r="A952" s="64" t="s">
        <v>87</v>
      </c>
      <c r="B952" s="64" t="s">
        <v>95</v>
      </c>
      <c r="C952" s="144">
        <v>0.63194444444444442</v>
      </c>
      <c r="D952" s="64" t="s">
        <v>89</v>
      </c>
      <c r="E952" s="64" t="s">
        <v>76</v>
      </c>
      <c r="F952" s="64" t="s">
        <v>159</v>
      </c>
      <c r="G952" s="204"/>
      <c r="H952" s="65" t="s">
        <v>98</v>
      </c>
      <c r="I952" s="145">
        <v>0.68159999999999998</v>
      </c>
      <c r="J952" s="66">
        <v>122</v>
      </c>
      <c r="K952" s="67" t="s">
        <v>162</v>
      </c>
      <c r="L952" s="66">
        <v>7</v>
      </c>
      <c r="M952" s="66">
        <v>0</v>
      </c>
      <c r="N952" s="66">
        <v>0</v>
      </c>
      <c r="O952" s="68" t="s">
        <v>167</v>
      </c>
      <c r="P952" s="146">
        <v>0.63194444444444442</v>
      </c>
      <c r="Q952" s="66">
        <v>179</v>
      </c>
      <c r="R952" s="69" t="s">
        <v>341</v>
      </c>
    </row>
    <row r="953" spans="1:18" ht="15" customHeight="1" x14ac:dyDescent="0.3">
      <c r="A953" s="23" t="s">
        <v>87</v>
      </c>
      <c r="B953" s="23" t="s">
        <v>88</v>
      </c>
      <c r="C953" s="123">
        <v>0.51041666666666663</v>
      </c>
      <c r="D953" s="23" t="s">
        <v>89</v>
      </c>
      <c r="E953" s="23" t="s">
        <v>185</v>
      </c>
      <c r="F953" s="23" t="s">
        <v>159</v>
      </c>
      <c r="G953" s="204"/>
      <c r="H953" s="24" t="s">
        <v>91</v>
      </c>
      <c r="I953" s="124">
        <v>0.89390000000000003</v>
      </c>
      <c r="J953" s="25">
        <v>160</v>
      </c>
      <c r="K953" s="26" t="s">
        <v>92</v>
      </c>
      <c r="L953" s="25">
        <v>12</v>
      </c>
      <c r="M953" s="25">
        <v>3</v>
      </c>
      <c r="N953" s="25">
        <v>3</v>
      </c>
      <c r="O953" s="27" t="s">
        <v>172</v>
      </c>
      <c r="P953" s="125">
        <v>0.51041666666666663</v>
      </c>
      <c r="Q953" s="25">
        <v>179</v>
      </c>
      <c r="R953" s="28" t="s">
        <v>342</v>
      </c>
    </row>
    <row r="954" spans="1:18" ht="15" customHeight="1" x14ac:dyDescent="0.3">
      <c r="A954" s="58" t="s">
        <v>87</v>
      </c>
      <c r="B954" s="58" t="s">
        <v>169</v>
      </c>
      <c r="C954" s="139">
        <v>8.3333333333333329E-2</v>
      </c>
      <c r="D954" s="58" t="s">
        <v>226</v>
      </c>
      <c r="E954" s="83"/>
      <c r="F954" s="58" t="s">
        <v>227</v>
      </c>
      <c r="G954" s="204"/>
      <c r="H954" s="59" t="s">
        <v>170</v>
      </c>
      <c r="I954" s="151">
        <v>1.1453</v>
      </c>
      <c r="J954" s="60">
        <v>205</v>
      </c>
      <c r="K954" s="61" t="s">
        <v>106</v>
      </c>
      <c r="L954" s="60">
        <v>157</v>
      </c>
      <c r="M954" s="60">
        <v>0</v>
      </c>
      <c r="N954" s="60">
        <v>0</v>
      </c>
      <c r="O954" s="62" t="s">
        <v>229</v>
      </c>
      <c r="P954" s="141">
        <v>8.3333333333333329E-2</v>
      </c>
      <c r="Q954" s="60">
        <v>179</v>
      </c>
      <c r="R954" s="63" t="s">
        <v>343</v>
      </c>
    </row>
    <row r="955" spans="1:18" ht="15" customHeight="1" x14ac:dyDescent="0.3">
      <c r="A955" s="16" t="s">
        <v>130</v>
      </c>
      <c r="B955" s="16" t="s">
        <v>138</v>
      </c>
      <c r="C955" s="119">
        <v>0.23958333333333329</v>
      </c>
      <c r="D955" s="16" t="s">
        <v>132</v>
      </c>
      <c r="E955" s="16" t="s">
        <v>76</v>
      </c>
      <c r="F955" s="16" t="s">
        <v>335</v>
      </c>
      <c r="G955" s="204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130</v>
      </c>
      <c r="B956" s="14" t="s">
        <v>138</v>
      </c>
      <c r="C956" s="117">
        <v>0.23958333333333329</v>
      </c>
      <c r="D956" s="14" t="s">
        <v>134</v>
      </c>
      <c r="E956" s="14" t="s">
        <v>76</v>
      </c>
      <c r="F956" s="14" t="s">
        <v>280</v>
      </c>
      <c r="G956" s="204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5" t="s">
        <v>130</v>
      </c>
      <c r="B957" s="15" t="s">
        <v>136</v>
      </c>
      <c r="C957" s="118">
        <v>0.37847222222222221</v>
      </c>
      <c r="D957" s="15" t="s">
        <v>132</v>
      </c>
      <c r="E957" s="15" t="s">
        <v>76</v>
      </c>
      <c r="F957" s="15" t="s">
        <v>176</v>
      </c>
      <c r="G957" s="204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130</v>
      </c>
      <c r="B958" s="14" t="s">
        <v>136</v>
      </c>
      <c r="C958" s="117">
        <v>0.37847222222222221</v>
      </c>
      <c r="D958" s="14" t="s">
        <v>134</v>
      </c>
      <c r="E958" s="14" t="s">
        <v>76</v>
      </c>
      <c r="F958" s="14" t="s">
        <v>177</v>
      </c>
      <c r="G958" s="204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5" t="s">
        <v>130</v>
      </c>
      <c r="B959" s="15" t="s">
        <v>146</v>
      </c>
      <c r="C959" s="118">
        <v>0.1423611111111111</v>
      </c>
      <c r="D959" s="15" t="s">
        <v>132</v>
      </c>
      <c r="E959" s="15" t="s">
        <v>76</v>
      </c>
      <c r="F959" s="15" t="s">
        <v>133</v>
      </c>
      <c r="G959" s="204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130</v>
      </c>
      <c r="B960" s="14" t="s">
        <v>146</v>
      </c>
      <c r="C960" s="117">
        <v>0.1423611111111111</v>
      </c>
      <c r="D960" s="14" t="s">
        <v>134</v>
      </c>
      <c r="E960" s="14" t="s">
        <v>76</v>
      </c>
      <c r="F960" s="14" t="s">
        <v>135</v>
      </c>
      <c r="G960" s="204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5" t="s">
        <v>130</v>
      </c>
      <c r="B961" s="15" t="s">
        <v>142</v>
      </c>
      <c r="C961" s="118">
        <v>0.12847222222222221</v>
      </c>
      <c r="D961" s="15" t="s">
        <v>134</v>
      </c>
      <c r="E961" s="15" t="s">
        <v>110</v>
      </c>
      <c r="F961" s="15" t="s">
        <v>218</v>
      </c>
      <c r="G961" s="204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5" t="s">
        <v>130</v>
      </c>
      <c r="B962" s="15" t="s">
        <v>149</v>
      </c>
      <c r="C962" s="118">
        <v>0.78819444444444442</v>
      </c>
      <c r="D962" s="15" t="s">
        <v>134</v>
      </c>
      <c r="E962" s="15" t="s">
        <v>110</v>
      </c>
      <c r="F962" s="15" t="s">
        <v>218</v>
      </c>
      <c r="G962" s="204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5" t="s">
        <v>130</v>
      </c>
      <c r="B963" s="15" t="s">
        <v>141</v>
      </c>
      <c r="C963" s="118">
        <v>0.30208333333333331</v>
      </c>
      <c r="D963" s="15" t="s">
        <v>134</v>
      </c>
      <c r="E963" s="15" t="s">
        <v>110</v>
      </c>
      <c r="F963" s="15" t="s">
        <v>178</v>
      </c>
      <c r="G963" s="204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5" t="s">
        <v>130</v>
      </c>
      <c r="B964" s="15" t="s">
        <v>143</v>
      </c>
      <c r="C964" s="118">
        <v>6.9444444444444441E-3</v>
      </c>
      <c r="D964" s="15" t="s">
        <v>132</v>
      </c>
      <c r="E964" s="15" t="s">
        <v>76</v>
      </c>
      <c r="F964" s="15" t="s">
        <v>144</v>
      </c>
      <c r="G964" s="204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130</v>
      </c>
      <c r="B965" s="14" t="s">
        <v>143</v>
      </c>
      <c r="C965" s="117">
        <v>6.9444444444444441E-3</v>
      </c>
      <c r="D965" s="14" t="s">
        <v>134</v>
      </c>
      <c r="E965" s="14" t="s">
        <v>76</v>
      </c>
      <c r="F965" s="14" t="s">
        <v>145</v>
      </c>
      <c r="G965" s="204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5" t="s">
        <v>130</v>
      </c>
      <c r="B966" s="15" t="s">
        <v>131</v>
      </c>
      <c r="C966" s="118">
        <v>0.93055555555555558</v>
      </c>
      <c r="D966" s="15" t="s">
        <v>132</v>
      </c>
      <c r="E966" s="15" t="s">
        <v>76</v>
      </c>
      <c r="F966" s="15" t="s">
        <v>144</v>
      </c>
      <c r="G966" s="204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130</v>
      </c>
      <c r="B967" s="14" t="s">
        <v>131</v>
      </c>
      <c r="C967" s="117">
        <v>0.93055555555555558</v>
      </c>
      <c r="D967" s="14" t="s">
        <v>134</v>
      </c>
      <c r="E967" s="14" t="s">
        <v>76</v>
      </c>
      <c r="F967" s="14" t="s">
        <v>145</v>
      </c>
      <c r="G967" s="204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5" t="s">
        <v>130</v>
      </c>
      <c r="B968" s="15" t="s">
        <v>147</v>
      </c>
      <c r="C968" s="118">
        <v>0.71875</v>
      </c>
      <c r="D968" s="15" t="s">
        <v>132</v>
      </c>
      <c r="E968" s="15" t="s">
        <v>76</v>
      </c>
      <c r="F968" s="15" t="s">
        <v>144</v>
      </c>
      <c r="G968" s="204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130</v>
      </c>
      <c r="B969" s="14" t="s">
        <v>147</v>
      </c>
      <c r="C969" s="117">
        <v>0.71875</v>
      </c>
      <c r="D969" s="14" t="s">
        <v>134</v>
      </c>
      <c r="E969" s="14" t="s">
        <v>76</v>
      </c>
      <c r="F969" s="14" t="s">
        <v>145</v>
      </c>
      <c r="G969" s="204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5" t="s">
        <v>130</v>
      </c>
      <c r="B970" s="15" t="s">
        <v>148</v>
      </c>
      <c r="C970" s="118">
        <v>0.82986111111111116</v>
      </c>
      <c r="D970" s="15" t="s">
        <v>132</v>
      </c>
      <c r="E970" s="15" t="s">
        <v>76</v>
      </c>
      <c r="F970" s="15" t="s">
        <v>144</v>
      </c>
      <c r="G970" s="204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130</v>
      </c>
      <c r="B971" s="14" t="s">
        <v>148</v>
      </c>
      <c r="C971" s="117">
        <v>0.82986111111111116</v>
      </c>
      <c r="D971" s="14" t="s">
        <v>134</v>
      </c>
      <c r="E971" s="14" t="s">
        <v>76</v>
      </c>
      <c r="F971" s="14" t="s">
        <v>145</v>
      </c>
      <c r="G971" s="204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5" t="s">
        <v>130</v>
      </c>
      <c r="B972" s="15" t="s">
        <v>137</v>
      </c>
      <c r="C972" s="118">
        <v>0.61111111111111116</v>
      </c>
      <c r="D972" s="15" t="s">
        <v>132</v>
      </c>
      <c r="E972" s="15" t="s">
        <v>76</v>
      </c>
      <c r="F972" s="15" t="s">
        <v>144</v>
      </c>
      <c r="G972" s="204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130</v>
      </c>
      <c r="B973" s="14" t="s">
        <v>137</v>
      </c>
      <c r="C973" s="117">
        <v>0.61111111111111116</v>
      </c>
      <c r="D973" s="14" t="s">
        <v>134</v>
      </c>
      <c r="E973" s="14" t="s">
        <v>76</v>
      </c>
      <c r="F973" s="14" t="s">
        <v>145</v>
      </c>
      <c r="G973" s="204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5" t="s">
        <v>130</v>
      </c>
      <c r="B974" s="15" t="s">
        <v>139</v>
      </c>
      <c r="C974" s="118">
        <v>0.88888888888888884</v>
      </c>
      <c r="D974" s="15" t="s">
        <v>134</v>
      </c>
      <c r="E974" s="15" t="s">
        <v>110</v>
      </c>
      <c r="F974" s="15" t="s">
        <v>344</v>
      </c>
      <c r="G974" s="204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6" t="s">
        <v>115</v>
      </c>
      <c r="B975" s="16" t="s">
        <v>116</v>
      </c>
      <c r="C975" s="119">
        <v>0.22222222222222221</v>
      </c>
      <c r="D975" s="16" t="s">
        <v>124</v>
      </c>
      <c r="E975" s="16" t="s">
        <v>76</v>
      </c>
      <c r="F975" s="16" t="s">
        <v>255</v>
      </c>
      <c r="G975" s="204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5" t="s">
        <v>115</v>
      </c>
      <c r="B976" s="15" t="s">
        <v>119</v>
      </c>
      <c r="C976" s="118">
        <v>0.14583333333333329</v>
      </c>
      <c r="D976" s="15" t="s">
        <v>124</v>
      </c>
      <c r="E976" s="15" t="s">
        <v>76</v>
      </c>
      <c r="F976" s="15" t="s">
        <v>255</v>
      </c>
      <c r="G976" s="204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5" t="s">
        <v>115</v>
      </c>
      <c r="B977" s="15" t="s">
        <v>120</v>
      </c>
      <c r="C977" s="118">
        <v>0.27777777777777779</v>
      </c>
      <c r="D977" s="15" t="s">
        <v>124</v>
      </c>
      <c r="E977" s="15" t="s">
        <v>76</v>
      </c>
      <c r="F977" s="15" t="s">
        <v>255</v>
      </c>
      <c r="G977" s="204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5" t="s">
        <v>115</v>
      </c>
      <c r="B978" s="15" t="s">
        <v>121</v>
      </c>
      <c r="C978" s="118">
        <v>0.4861111111111111</v>
      </c>
      <c r="D978" s="15" t="s">
        <v>124</v>
      </c>
      <c r="E978" s="15" t="s">
        <v>76</v>
      </c>
      <c r="F978" s="15" t="s">
        <v>255</v>
      </c>
      <c r="G978" s="204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5" t="s">
        <v>115</v>
      </c>
      <c r="B979" s="15" t="s">
        <v>123</v>
      </c>
      <c r="C979" s="118">
        <v>0.95833333333333337</v>
      </c>
      <c r="D979" s="15" t="s">
        <v>124</v>
      </c>
      <c r="E979" s="15" t="s">
        <v>76</v>
      </c>
      <c r="F979" s="15" t="s">
        <v>290</v>
      </c>
      <c r="G979" s="204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thickBot="1" x14ac:dyDescent="0.35">
      <c r="A980" s="41" t="s">
        <v>115</v>
      </c>
      <c r="B980" s="41" t="s">
        <v>126</v>
      </c>
      <c r="C980" s="132">
        <v>0.77430555555555558</v>
      </c>
      <c r="D980" s="41" t="s">
        <v>124</v>
      </c>
      <c r="E980" s="41" t="s">
        <v>110</v>
      </c>
      <c r="F980" s="41" t="s">
        <v>291</v>
      </c>
      <c r="G980" s="205"/>
      <c r="H980" s="42"/>
      <c r="I980" s="43"/>
      <c r="J980" s="43"/>
      <c r="K980" s="43"/>
      <c r="L980" s="43"/>
      <c r="M980" s="43"/>
      <c r="N980" s="43"/>
      <c r="O980" s="44"/>
      <c r="P980" s="43"/>
      <c r="Q980" s="45"/>
      <c r="R980" s="46"/>
    </row>
    <row r="981" spans="1:18" ht="17.399999999999999" customHeight="1" thickBot="1" x14ac:dyDescent="0.35">
      <c r="A981" s="200"/>
      <c r="B981" s="201"/>
      <c r="C981" s="201"/>
      <c r="D981" s="201"/>
      <c r="E981" s="201"/>
      <c r="F981" s="201"/>
      <c r="G981" s="201"/>
      <c r="H981" s="201"/>
      <c r="I981" s="201"/>
      <c r="J981" s="201"/>
      <c r="K981" s="201"/>
      <c r="L981" s="201"/>
      <c r="M981" s="201"/>
      <c r="N981" s="201"/>
      <c r="O981" s="201"/>
      <c r="P981" s="201"/>
      <c r="Q981" s="201"/>
      <c r="R981" s="202"/>
    </row>
    <row r="982" spans="1:18" ht="22.05" customHeight="1" thickTop="1" thickBot="1" x14ac:dyDescent="0.35">
      <c r="A982" s="197" t="s">
        <v>6</v>
      </c>
      <c r="B982" s="198"/>
      <c r="C982" s="198"/>
      <c r="D982" s="198"/>
      <c r="E982" s="198"/>
      <c r="F982" s="199"/>
      <c r="G982" s="133">
        <v>46006</v>
      </c>
      <c r="H982" s="207" t="s">
        <v>7</v>
      </c>
      <c r="I982" s="198"/>
      <c r="J982" s="198"/>
      <c r="K982" s="198"/>
      <c r="L982" s="198"/>
      <c r="M982" s="198"/>
      <c r="N982" s="198"/>
      <c r="O982" s="198"/>
      <c r="P982" s="198"/>
      <c r="Q982" s="198"/>
      <c r="R982" s="199"/>
    </row>
    <row r="983" spans="1:18" ht="24" customHeight="1" x14ac:dyDescent="0.3">
      <c r="A983" s="47" t="s">
        <v>8</v>
      </c>
      <c r="B983" s="47" t="s">
        <v>9</v>
      </c>
      <c r="C983" s="134" t="s">
        <v>10</v>
      </c>
      <c r="D983" s="47" t="s">
        <v>11</v>
      </c>
      <c r="E983" s="47" t="s">
        <v>12</v>
      </c>
      <c r="F983" s="48" t="s">
        <v>13</v>
      </c>
      <c r="G983" s="49" t="s">
        <v>14</v>
      </c>
      <c r="H983" s="47" t="s">
        <v>15</v>
      </c>
      <c r="I983" s="135" t="s">
        <v>16</v>
      </c>
      <c r="J983" s="50" t="s">
        <v>17</v>
      </c>
      <c r="K983" s="51" t="s">
        <v>18</v>
      </c>
      <c r="L983" s="50" t="s">
        <v>19</v>
      </c>
      <c r="M983" s="50" t="s">
        <v>20</v>
      </c>
      <c r="N983" s="50" t="s">
        <v>21</v>
      </c>
      <c r="O983" s="47" t="s">
        <v>22</v>
      </c>
      <c r="P983" s="134" t="s">
        <v>23</v>
      </c>
      <c r="Q983" s="50" t="s">
        <v>24</v>
      </c>
      <c r="R983" s="47" t="s">
        <v>25</v>
      </c>
    </row>
    <row r="984" spans="1:18" ht="15" customHeight="1" x14ac:dyDescent="0.3">
      <c r="A984" s="8" t="s">
        <v>26</v>
      </c>
      <c r="B984" s="8" t="s">
        <v>35</v>
      </c>
      <c r="C984" s="116">
        <v>0.12847222222222221</v>
      </c>
      <c r="D984" s="8" t="s">
        <v>28</v>
      </c>
      <c r="E984" s="8" t="s">
        <v>40</v>
      </c>
      <c r="F984" s="8" t="s">
        <v>234</v>
      </c>
      <c r="G984" s="203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35</v>
      </c>
      <c r="C985" s="117">
        <v>0.12847222222222221</v>
      </c>
      <c r="D985" s="14" t="s">
        <v>31</v>
      </c>
      <c r="E985" s="14" t="s">
        <v>40</v>
      </c>
      <c r="F985" s="14" t="s">
        <v>63</v>
      </c>
      <c r="G985" s="204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26</v>
      </c>
      <c r="B986" s="14" t="s">
        <v>35</v>
      </c>
      <c r="C986" s="117">
        <v>0.12847222222222221</v>
      </c>
      <c r="D986" s="14" t="s">
        <v>33</v>
      </c>
      <c r="E986" s="14" t="s">
        <v>40</v>
      </c>
      <c r="F986" s="14" t="s">
        <v>34</v>
      </c>
      <c r="G986" s="204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5" t="s">
        <v>26</v>
      </c>
      <c r="B987" s="15" t="s">
        <v>39</v>
      </c>
      <c r="C987" s="118">
        <v>0.30208333333333331</v>
      </c>
      <c r="D987" s="15" t="s">
        <v>28</v>
      </c>
      <c r="E987" s="15" t="s">
        <v>185</v>
      </c>
      <c r="F987" s="15" t="s">
        <v>234</v>
      </c>
      <c r="G987" s="204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39</v>
      </c>
      <c r="C988" s="117">
        <v>0.30208333333333331</v>
      </c>
      <c r="D988" s="14" t="s">
        <v>31</v>
      </c>
      <c r="E988" s="14" t="s">
        <v>185</v>
      </c>
      <c r="F988" s="14" t="s">
        <v>63</v>
      </c>
      <c r="G988" s="204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26</v>
      </c>
      <c r="B989" s="14" t="s">
        <v>39</v>
      </c>
      <c r="C989" s="117">
        <v>0.30208333333333331</v>
      </c>
      <c r="D989" s="14" t="s">
        <v>33</v>
      </c>
      <c r="E989" s="14" t="s">
        <v>185</v>
      </c>
      <c r="F989" s="14" t="s">
        <v>34</v>
      </c>
      <c r="G989" s="204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5" t="s">
        <v>26</v>
      </c>
      <c r="B990" s="15" t="s">
        <v>27</v>
      </c>
      <c r="C990" s="118">
        <v>0.88888888888888884</v>
      </c>
      <c r="D990" s="15" t="s">
        <v>28</v>
      </c>
      <c r="E990" s="15" t="s">
        <v>40</v>
      </c>
      <c r="F990" s="15" t="s">
        <v>43</v>
      </c>
      <c r="G990" s="204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26</v>
      </c>
      <c r="B991" s="14" t="s">
        <v>27</v>
      </c>
      <c r="C991" s="117">
        <v>0.88888888888888884</v>
      </c>
      <c r="D991" s="14" t="s">
        <v>31</v>
      </c>
      <c r="E991" s="14" t="s">
        <v>40</v>
      </c>
      <c r="F991" s="14" t="s">
        <v>44</v>
      </c>
      <c r="G991" s="204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26</v>
      </c>
      <c r="B992" s="14" t="s">
        <v>27</v>
      </c>
      <c r="C992" s="117">
        <v>0.88888888888888884</v>
      </c>
      <c r="D992" s="14" t="s">
        <v>33</v>
      </c>
      <c r="E992" s="14" t="s">
        <v>40</v>
      </c>
      <c r="F992" s="14" t="s">
        <v>34</v>
      </c>
      <c r="G992" s="204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5" t="s">
        <v>26</v>
      </c>
      <c r="B993" s="15" t="s">
        <v>41</v>
      </c>
      <c r="C993" s="118">
        <v>0.78819444444444442</v>
      </c>
      <c r="D993" s="15" t="s">
        <v>28</v>
      </c>
      <c r="E993" s="15" t="s">
        <v>40</v>
      </c>
      <c r="F993" s="15" t="s">
        <v>43</v>
      </c>
      <c r="G993" s="204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26</v>
      </c>
      <c r="B994" s="14" t="s">
        <v>41</v>
      </c>
      <c r="C994" s="117">
        <v>0.78819444444444442</v>
      </c>
      <c r="D994" s="14" t="s">
        <v>31</v>
      </c>
      <c r="E994" s="14" t="s">
        <v>40</v>
      </c>
      <c r="F994" s="14" t="s">
        <v>44</v>
      </c>
      <c r="G994" s="204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26</v>
      </c>
      <c r="B995" s="14" t="s">
        <v>41</v>
      </c>
      <c r="C995" s="117">
        <v>0.78819444444444442</v>
      </c>
      <c r="D995" s="14" t="s">
        <v>33</v>
      </c>
      <c r="E995" s="14" t="s">
        <v>40</v>
      </c>
      <c r="F995" s="14" t="s">
        <v>34</v>
      </c>
      <c r="G995" s="204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6" t="s">
        <v>79</v>
      </c>
      <c r="B996" s="16" t="s">
        <v>84</v>
      </c>
      <c r="C996" s="119">
        <v>0.3923611111111111</v>
      </c>
      <c r="D996" s="16" t="s">
        <v>81</v>
      </c>
      <c r="E996" s="16" t="s">
        <v>54</v>
      </c>
      <c r="F996" s="16" t="s">
        <v>257</v>
      </c>
      <c r="G996" s="204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79</v>
      </c>
      <c r="B997" s="14" t="s">
        <v>84</v>
      </c>
      <c r="C997" s="117">
        <v>0.3923611111111111</v>
      </c>
      <c r="D997" s="14" t="s">
        <v>33</v>
      </c>
      <c r="E997" s="14" t="s">
        <v>54</v>
      </c>
      <c r="F997" s="14" t="s">
        <v>85</v>
      </c>
      <c r="G997" s="204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5" t="s">
        <v>79</v>
      </c>
      <c r="B998" s="15" t="s">
        <v>80</v>
      </c>
      <c r="C998" s="118">
        <v>0.1736111111111111</v>
      </c>
      <c r="D998" s="15" t="s">
        <v>81</v>
      </c>
      <c r="E998" s="15" t="s">
        <v>54</v>
      </c>
      <c r="F998" s="15" t="s">
        <v>257</v>
      </c>
      <c r="G998" s="204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79</v>
      </c>
      <c r="B999" s="14" t="s">
        <v>80</v>
      </c>
      <c r="C999" s="117">
        <v>0.1736111111111111</v>
      </c>
      <c r="D999" s="14" t="s">
        <v>33</v>
      </c>
      <c r="E999" s="14" t="s">
        <v>54</v>
      </c>
      <c r="F999" s="14" t="s">
        <v>85</v>
      </c>
      <c r="G999" s="204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6" t="s">
        <v>45</v>
      </c>
      <c r="B1000" s="16" t="s">
        <v>53</v>
      </c>
      <c r="C1000" s="119">
        <v>0.85416666666666663</v>
      </c>
      <c r="D1000" s="16" t="s">
        <v>47</v>
      </c>
      <c r="E1000" s="16" t="s">
        <v>36</v>
      </c>
      <c r="F1000" s="16" t="s">
        <v>48</v>
      </c>
      <c r="G1000" s="204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45</v>
      </c>
      <c r="B1001" s="14" t="s">
        <v>53</v>
      </c>
      <c r="C1001" s="117">
        <v>0.85416666666666663</v>
      </c>
      <c r="D1001" s="14" t="s">
        <v>49</v>
      </c>
      <c r="E1001" s="14" t="s">
        <v>36</v>
      </c>
      <c r="F1001" s="14" t="s">
        <v>50</v>
      </c>
      <c r="G1001" s="204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45</v>
      </c>
      <c r="B1002" s="14" t="s">
        <v>53</v>
      </c>
      <c r="C1002" s="117">
        <v>0.85416666666666663</v>
      </c>
      <c r="D1002" s="14" t="s">
        <v>51</v>
      </c>
      <c r="E1002" s="14" t="s">
        <v>36</v>
      </c>
      <c r="F1002" s="14" t="s">
        <v>52</v>
      </c>
      <c r="G1002" s="204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5" t="s">
        <v>45</v>
      </c>
      <c r="B1003" s="15" t="s">
        <v>57</v>
      </c>
      <c r="C1003" s="118">
        <v>0.25694444444444442</v>
      </c>
      <c r="D1003" s="15" t="s">
        <v>47</v>
      </c>
      <c r="E1003" s="15" t="s">
        <v>185</v>
      </c>
      <c r="F1003" s="15" t="s">
        <v>48</v>
      </c>
      <c r="G1003" s="204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45</v>
      </c>
      <c r="B1004" s="14" t="s">
        <v>57</v>
      </c>
      <c r="C1004" s="117">
        <v>0.25694444444444442</v>
      </c>
      <c r="D1004" s="14" t="s">
        <v>49</v>
      </c>
      <c r="E1004" s="14" t="s">
        <v>185</v>
      </c>
      <c r="F1004" s="14" t="s">
        <v>50</v>
      </c>
      <c r="G1004" s="204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45</v>
      </c>
      <c r="B1005" s="14" t="s">
        <v>57</v>
      </c>
      <c r="C1005" s="117">
        <v>0.25694444444444442</v>
      </c>
      <c r="D1005" s="14" t="s">
        <v>51</v>
      </c>
      <c r="E1005" s="14" t="s">
        <v>185</v>
      </c>
      <c r="F1005" s="14" t="s">
        <v>52</v>
      </c>
      <c r="G1005" s="204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5" t="s">
        <v>45</v>
      </c>
      <c r="B1006" s="15" t="s">
        <v>59</v>
      </c>
      <c r="C1006" s="118">
        <v>0.90277777777777779</v>
      </c>
      <c r="D1006" s="15" t="s">
        <v>47</v>
      </c>
      <c r="E1006" s="15" t="s">
        <v>61</v>
      </c>
      <c r="F1006" s="15" t="s">
        <v>48</v>
      </c>
      <c r="G1006" s="204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45</v>
      </c>
      <c r="B1007" s="14" t="s">
        <v>59</v>
      </c>
      <c r="C1007" s="117">
        <v>0.90277777777777779</v>
      </c>
      <c r="D1007" s="14" t="s">
        <v>49</v>
      </c>
      <c r="E1007" s="14" t="s">
        <v>61</v>
      </c>
      <c r="F1007" s="14" t="s">
        <v>50</v>
      </c>
      <c r="G1007" s="204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45</v>
      </c>
      <c r="B1008" s="14" t="s">
        <v>59</v>
      </c>
      <c r="C1008" s="117">
        <v>0.90277777777777779</v>
      </c>
      <c r="D1008" s="14" t="s">
        <v>51</v>
      </c>
      <c r="E1008" s="14" t="s">
        <v>61</v>
      </c>
      <c r="F1008" s="14" t="s">
        <v>52</v>
      </c>
      <c r="G1008" s="204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5" t="s">
        <v>45</v>
      </c>
      <c r="B1009" s="15" t="s">
        <v>60</v>
      </c>
      <c r="C1009" s="118">
        <v>0.79861111111111116</v>
      </c>
      <c r="D1009" s="15" t="s">
        <v>47</v>
      </c>
      <c r="E1009" s="15" t="s">
        <v>185</v>
      </c>
      <c r="F1009" s="15" t="s">
        <v>48</v>
      </c>
      <c r="G1009" s="204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45</v>
      </c>
      <c r="B1010" s="14" t="s">
        <v>60</v>
      </c>
      <c r="C1010" s="117">
        <v>0.79861111111111116</v>
      </c>
      <c r="D1010" s="14" t="s">
        <v>49</v>
      </c>
      <c r="E1010" s="14" t="s">
        <v>185</v>
      </c>
      <c r="F1010" s="14" t="s">
        <v>50</v>
      </c>
      <c r="G1010" s="204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45</v>
      </c>
      <c r="B1011" s="14" t="s">
        <v>60</v>
      </c>
      <c r="C1011" s="117">
        <v>0.79861111111111116</v>
      </c>
      <c r="D1011" s="14" t="s">
        <v>51</v>
      </c>
      <c r="E1011" s="14" t="s">
        <v>185</v>
      </c>
      <c r="F1011" s="14" t="s">
        <v>52</v>
      </c>
      <c r="G1011" s="204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5" t="s">
        <v>45</v>
      </c>
      <c r="B1012" s="15" t="s">
        <v>46</v>
      </c>
      <c r="C1012" s="118">
        <v>0.39583333333333331</v>
      </c>
      <c r="D1012" s="15" t="s">
        <v>47</v>
      </c>
      <c r="E1012" s="15" t="s">
        <v>36</v>
      </c>
      <c r="F1012" s="15" t="s">
        <v>48</v>
      </c>
      <c r="G1012" s="204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45</v>
      </c>
      <c r="B1013" s="14" t="s">
        <v>46</v>
      </c>
      <c r="C1013" s="117">
        <v>0.39583333333333331</v>
      </c>
      <c r="D1013" s="14" t="s">
        <v>49</v>
      </c>
      <c r="E1013" s="14" t="s">
        <v>36</v>
      </c>
      <c r="F1013" s="14" t="s">
        <v>50</v>
      </c>
      <c r="G1013" s="204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45</v>
      </c>
      <c r="B1014" s="14" t="s">
        <v>46</v>
      </c>
      <c r="C1014" s="117">
        <v>0.39583333333333331</v>
      </c>
      <c r="D1014" s="14" t="s">
        <v>51</v>
      </c>
      <c r="E1014" s="14" t="s">
        <v>36</v>
      </c>
      <c r="F1014" s="14" t="s">
        <v>52</v>
      </c>
      <c r="G1014" s="204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5" t="s">
        <v>45</v>
      </c>
      <c r="B1015" s="15" t="s">
        <v>58</v>
      </c>
      <c r="C1015" s="118">
        <v>0.46875</v>
      </c>
      <c r="D1015" s="15" t="s">
        <v>47</v>
      </c>
      <c r="E1015" s="15" t="s">
        <v>54</v>
      </c>
      <c r="F1015" s="15" t="s">
        <v>55</v>
      </c>
      <c r="G1015" s="204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45</v>
      </c>
      <c r="B1016" s="14" t="s">
        <v>58</v>
      </c>
      <c r="C1016" s="117">
        <v>0.46875</v>
      </c>
      <c r="D1016" s="14" t="s">
        <v>49</v>
      </c>
      <c r="E1016" s="14" t="s">
        <v>54</v>
      </c>
      <c r="F1016" s="14" t="s">
        <v>32</v>
      </c>
      <c r="G1016" s="204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45</v>
      </c>
      <c r="B1017" s="14" t="s">
        <v>58</v>
      </c>
      <c r="C1017" s="117">
        <v>0.46875</v>
      </c>
      <c r="D1017" s="14" t="s">
        <v>51</v>
      </c>
      <c r="E1017" s="14" t="s">
        <v>54</v>
      </c>
      <c r="F1017" s="14" t="s">
        <v>56</v>
      </c>
      <c r="G1017" s="204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5" t="s">
        <v>45</v>
      </c>
      <c r="B1018" s="15" t="s">
        <v>62</v>
      </c>
      <c r="C1018" s="118">
        <v>0.51736111111111116</v>
      </c>
      <c r="D1018" s="15" t="s">
        <v>47</v>
      </c>
      <c r="E1018" s="15" t="s">
        <v>42</v>
      </c>
      <c r="F1018" s="15" t="s">
        <v>55</v>
      </c>
      <c r="G1018" s="204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45</v>
      </c>
      <c r="B1019" s="14" t="s">
        <v>62</v>
      </c>
      <c r="C1019" s="117">
        <v>0.51736111111111116</v>
      </c>
      <c r="D1019" s="14" t="s">
        <v>49</v>
      </c>
      <c r="E1019" s="14" t="s">
        <v>42</v>
      </c>
      <c r="F1019" s="14" t="s">
        <v>32</v>
      </c>
      <c r="G1019" s="204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45</v>
      </c>
      <c r="B1020" s="14" t="s">
        <v>62</v>
      </c>
      <c r="C1020" s="117">
        <v>0.51736111111111116</v>
      </c>
      <c r="D1020" s="14" t="s">
        <v>51</v>
      </c>
      <c r="E1020" s="14" t="s">
        <v>42</v>
      </c>
      <c r="F1020" s="14" t="s">
        <v>56</v>
      </c>
      <c r="G1020" s="204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5" t="s">
        <v>45</v>
      </c>
      <c r="B1021" s="15" t="s">
        <v>66</v>
      </c>
      <c r="C1021" s="118">
        <v>0.64583333333333337</v>
      </c>
      <c r="D1021" s="15" t="s">
        <v>47</v>
      </c>
      <c r="E1021" s="15" t="s">
        <v>96</v>
      </c>
      <c r="F1021" s="15" t="s">
        <v>55</v>
      </c>
      <c r="G1021" s="204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45</v>
      </c>
      <c r="B1022" s="14" t="s">
        <v>66</v>
      </c>
      <c r="C1022" s="117">
        <v>0.64583333333333337</v>
      </c>
      <c r="D1022" s="14" t="s">
        <v>49</v>
      </c>
      <c r="E1022" s="14" t="s">
        <v>96</v>
      </c>
      <c r="F1022" s="14" t="s">
        <v>32</v>
      </c>
      <c r="G1022" s="204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45</v>
      </c>
      <c r="B1023" s="14" t="s">
        <v>66</v>
      </c>
      <c r="C1023" s="117">
        <v>0.64583333333333337</v>
      </c>
      <c r="D1023" s="14" t="s">
        <v>51</v>
      </c>
      <c r="E1023" s="14" t="s">
        <v>96</v>
      </c>
      <c r="F1023" s="14" t="s">
        <v>56</v>
      </c>
      <c r="G1023" s="204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6" t="s">
        <v>74</v>
      </c>
      <c r="B1024" s="16" t="s">
        <v>78</v>
      </c>
      <c r="C1024" s="119">
        <v>0.66666666666666663</v>
      </c>
      <c r="D1024" s="16" t="s">
        <v>72</v>
      </c>
      <c r="E1024" s="16" t="s">
        <v>76</v>
      </c>
      <c r="F1024" s="16" t="s">
        <v>77</v>
      </c>
      <c r="G1024" s="204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84" t="s">
        <v>87</v>
      </c>
      <c r="B1025" s="84" t="s">
        <v>102</v>
      </c>
      <c r="C1025" s="168">
        <v>6.9444444444444441E-3</v>
      </c>
      <c r="D1025" s="84" t="s">
        <v>89</v>
      </c>
      <c r="E1025" s="84" t="s">
        <v>76</v>
      </c>
      <c r="F1025" s="84" t="s">
        <v>207</v>
      </c>
      <c r="G1025" s="204"/>
      <c r="H1025" s="24" t="s">
        <v>105</v>
      </c>
      <c r="I1025" s="169">
        <v>0.84360000000000002</v>
      </c>
      <c r="J1025" s="25">
        <v>151</v>
      </c>
      <c r="K1025" s="26" t="s">
        <v>345</v>
      </c>
      <c r="L1025" s="25">
        <v>0</v>
      </c>
      <c r="M1025" s="25">
        <v>0</v>
      </c>
      <c r="N1025" s="25">
        <v>0</v>
      </c>
      <c r="O1025" s="27" t="s">
        <v>239</v>
      </c>
      <c r="P1025" s="125">
        <v>6.9444444444444441E-3</v>
      </c>
      <c r="Q1025" s="25">
        <v>179</v>
      </c>
      <c r="R1025" s="28" t="s">
        <v>346</v>
      </c>
    </row>
    <row r="1026" spans="1:18" ht="15" customHeight="1" x14ac:dyDescent="0.3">
      <c r="A1026" s="78" t="s">
        <v>87</v>
      </c>
      <c r="B1026" s="78" t="s">
        <v>109</v>
      </c>
      <c r="C1026" s="157">
        <v>0.4236111111111111</v>
      </c>
      <c r="D1026" s="78" t="s">
        <v>89</v>
      </c>
      <c r="E1026" s="78" t="s">
        <v>61</v>
      </c>
      <c r="F1026" s="78" t="s">
        <v>207</v>
      </c>
      <c r="G1026" s="204"/>
      <c r="H1026" s="53" t="s">
        <v>111</v>
      </c>
      <c r="I1026" s="152">
        <v>0.37430000000000002</v>
      </c>
      <c r="J1026" s="54">
        <v>67</v>
      </c>
      <c r="K1026" s="55" t="s">
        <v>112</v>
      </c>
      <c r="L1026" s="54">
        <v>5</v>
      </c>
      <c r="M1026" s="54">
        <v>0</v>
      </c>
      <c r="N1026" s="54">
        <v>0</v>
      </c>
      <c r="O1026" s="56" t="s">
        <v>269</v>
      </c>
      <c r="P1026" s="138">
        <v>0.4236111111111111</v>
      </c>
      <c r="Q1026" s="54">
        <v>179</v>
      </c>
      <c r="R1026" s="57" t="s">
        <v>347</v>
      </c>
    </row>
    <row r="1027" spans="1:18" ht="15" customHeight="1" x14ac:dyDescent="0.3">
      <c r="A1027" s="35" t="s">
        <v>87</v>
      </c>
      <c r="B1027" s="35" t="s">
        <v>88</v>
      </c>
      <c r="C1027" s="129">
        <v>0.97916666666666663</v>
      </c>
      <c r="D1027" s="35" t="s">
        <v>89</v>
      </c>
      <c r="E1027" s="35" t="s">
        <v>185</v>
      </c>
      <c r="F1027" s="35" t="s">
        <v>207</v>
      </c>
      <c r="G1027" s="204"/>
      <c r="H1027" s="36" t="s">
        <v>91</v>
      </c>
      <c r="I1027" s="147">
        <v>0.78210000000000002</v>
      </c>
      <c r="J1027" s="37">
        <v>140</v>
      </c>
      <c r="K1027" s="38" t="s">
        <v>162</v>
      </c>
      <c r="L1027" s="37">
        <v>58</v>
      </c>
      <c r="M1027" s="37">
        <v>0</v>
      </c>
      <c r="N1027" s="37">
        <v>0</v>
      </c>
      <c r="O1027" s="39" t="s">
        <v>208</v>
      </c>
      <c r="P1027" s="131">
        <v>0.97916666666666663</v>
      </c>
      <c r="Q1027" s="37">
        <v>179</v>
      </c>
      <c r="R1027" s="40" t="s">
        <v>348</v>
      </c>
    </row>
    <row r="1028" spans="1:18" ht="15" customHeight="1" x14ac:dyDescent="0.3">
      <c r="A1028" s="78" t="s">
        <v>87</v>
      </c>
      <c r="B1028" s="78" t="s">
        <v>95</v>
      </c>
      <c r="C1028" s="157">
        <v>0.61458333333333337</v>
      </c>
      <c r="D1028" s="78" t="s">
        <v>89</v>
      </c>
      <c r="E1028" s="78" t="s">
        <v>76</v>
      </c>
      <c r="F1028" s="78" t="s">
        <v>159</v>
      </c>
      <c r="G1028" s="204"/>
      <c r="H1028" s="53" t="s">
        <v>98</v>
      </c>
      <c r="I1028" s="152">
        <v>0.4637</v>
      </c>
      <c r="J1028" s="54">
        <v>83</v>
      </c>
      <c r="K1028" s="55" t="s">
        <v>162</v>
      </c>
      <c r="L1028" s="54">
        <v>47</v>
      </c>
      <c r="M1028" s="54">
        <v>0</v>
      </c>
      <c r="N1028" s="54">
        <v>0</v>
      </c>
      <c r="O1028" s="56" t="s">
        <v>167</v>
      </c>
      <c r="P1028" s="138">
        <v>0.61458333333333337</v>
      </c>
      <c r="Q1028" s="54">
        <v>179</v>
      </c>
      <c r="R1028" s="57" t="s">
        <v>349</v>
      </c>
    </row>
    <row r="1029" spans="1:18" ht="15" customHeight="1" x14ac:dyDescent="0.3">
      <c r="A1029" s="16" t="s">
        <v>130</v>
      </c>
      <c r="B1029" s="16" t="s">
        <v>136</v>
      </c>
      <c r="C1029" s="119">
        <v>0.37847222222222221</v>
      </c>
      <c r="D1029" s="16" t="s">
        <v>132</v>
      </c>
      <c r="E1029" s="16" t="s">
        <v>76</v>
      </c>
      <c r="F1029" s="16" t="s">
        <v>335</v>
      </c>
      <c r="G1029" s="204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130</v>
      </c>
      <c r="B1030" s="14" t="s">
        <v>136</v>
      </c>
      <c r="C1030" s="117">
        <v>0.37847222222222221</v>
      </c>
      <c r="D1030" s="14" t="s">
        <v>134</v>
      </c>
      <c r="E1030" s="14" t="s">
        <v>76</v>
      </c>
      <c r="F1030" s="14" t="s">
        <v>280</v>
      </c>
      <c r="G1030" s="204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5" t="s">
        <v>130</v>
      </c>
      <c r="B1031" s="15" t="s">
        <v>146</v>
      </c>
      <c r="C1031" s="118">
        <v>0.1423611111111111</v>
      </c>
      <c r="D1031" s="15" t="s">
        <v>132</v>
      </c>
      <c r="E1031" s="15" t="s">
        <v>76</v>
      </c>
      <c r="F1031" s="15" t="s">
        <v>176</v>
      </c>
      <c r="G1031" s="204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130</v>
      </c>
      <c r="B1032" s="14" t="s">
        <v>146</v>
      </c>
      <c r="C1032" s="117">
        <v>0.1423611111111111</v>
      </c>
      <c r="D1032" s="14" t="s">
        <v>134</v>
      </c>
      <c r="E1032" s="14" t="s">
        <v>76</v>
      </c>
      <c r="F1032" s="14" t="s">
        <v>177</v>
      </c>
      <c r="G1032" s="204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5" t="s">
        <v>130</v>
      </c>
      <c r="B1033" s="15" t="s">
        <v>137</v>
      </c>
      <c r="C1033" s="118">
        <v>0.61111111111111116</v>
      </c>
      <c r="D1033" s="15" t="s">
        <v>132</v>
      </c>
      <c r="E1033" s="15" t="s">
        <v>76</v>
      </c>
      <c r="F1033" s="15" t="s">
        <v>176</v>
      </c>
      <c r="G1033" s="204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130</v>
      </c>
      <c r="B1034" s="14" t="s">
        <v>137</v>
      </c>
      <c r="C1034" s="117">
        <v>0.61111111111111116</v>
      </c>
      <c r="D1034" s="14" t="s">
        <v>134</v>
      </c>
      <c r="E1034" s="14" t="s">
        <v>76</v>
      </c>
      <c r="F1034" s="14" t="s">
        <v>177</v>
      </c>
      <c r="G1034" s="204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5" t="s">
        <v>130</v>
      </c>
      <c r="B1035" s="15" t="s">
        <v>138</v>
      </c>
      <c r="C1035" s="118">
        <v>0.23958333333333329</v>
      </c>
      <c r="D1035" s="15" t="s">
        <v>132</v>
      </c>
      <c r="E1035" s="15" t="s">
        <v>76</v>
      </c>
      <c r="F1035" s="15" t="s">
        <v>176</v>
      </c>
      <c r="G1035" s="204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130</v>
      </c>
      <c r="B1036" s="14" t="s">
        <v>138</v>
      </c>
      <c r="C1036" s="117">
        <v>0.23958333333333329</v>
      </c>
      <c r="D1036" s="14" t="s">
        <v>134</v>
      </c>
      <c r="E1036" s="14" t="s">
        <v>76</v>
      </c>
      <c r="F1036" s="14" t="s">
        <v>177</v>
      </c>
      <c r="G1036" s="204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5" t="s">
        <v>130</v>
      </c>
      <c r="B1037" s="15" t="s">
        <v>143</v>
      </c>
      <c r="C1037" s="118">
        <v>6.9444444444444441E-3</v>
      </c>
      <c r="D1037" s="15" t="s">
        <v>132</v>
      </c>
      <c r="E1037" s="15" t="s">
        <v>76</v>
      </c>
      <c r="F1037" s="15" t="s">
        <v>133</v>
      </c>
      <c r="G1037" s="204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130</v>
      </c>
      <c r="B1038" s="14" t="s">
        <v>143</v>
      </c>
      <c r="C1038" s="117">
        <v>6.9444444444444441E-3</v>
      </c>
      <c r="D1038" s="14" t="s">
        <v>134</v>
      </c>
      <c r="E1038" s="14" t="s">
        <v>76</v>
      </c>
      <c r="F1038" s="14" t="s">
        <v>135</v>
      </c>
      <c r="G1038" s="204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5" t="s">
        <v>130</v>
      </c>
      <c r="B1039" s="15" t="s">
        <v>147</v>
      </c>
      <c r="C1039" s="118">
        <v>0.71875</v>
      </c>
      <c r="D1039" s="15" t="s">
        <v>132</v>
      </c>
      <c r="E1039" s="15" t="s">
        <v>76</v>
      </c>
      <c r="F1039" s="15" t="s">
        <v>133</v>
      </c>
      <c r="G1039" s="204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130</v>
      </c>
      <c r="B1040" s="14" t="s">
        <v>147</v>
      </c>
      <c r="C1040" s="117">
        <v>0.71875</v>
      </c>
      <c r="D1040" s="14" t="s">
        <v>134</v>
      </c>
      <c r="E1040" s="14" t="s">
        <v>76</v>
      </c>
      <c r="F1040" s="14" t="s">
        <v>135</v>
      </c>
      <c r="G1040" s="204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5" t="s">
        <v>130</v>
      </c>
      <c r="B1041" s="15" t="s">
        <v>142</v>
      </c>
      <c r="C1041" s="118">
        <v>0.12847222222222221</v>
      </c>
      <c r="D1041" s="15" t="s">
        <v>134</v>
      </c>
      <c r="E1041" s="15" t="s">
        <v>110</v>
      </c>
      <c r="F1041" s="15" t="s">
        <v>250</v>
      </c>
      <c r="G1041" s="204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5" t="s">
        <v>130</v>
      </c>
      <c r="B1042" s="15" t="s">
        <v>141</v>
      </c>
      <c r="C1042" s="118">
        <v>0.30208333333333331</v>
      </c>
      <c r="D1042" s="15" t="s">
        <v>134</v>
      </c>
      <c r="E1042" s="15" t="s">
        <v>110</v>
      </c>
      <c r="F1042" s="15" t="s">
        <v>218</v>
      </c>
      <c r="G1042" s="204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5" t="s">
        <v>130</v>
      </c>
      <c r="B1043" s="15" t="s">
        <v>131</v>
      </c>
      <c r="C1043" s="118">
        <v>0.93055555555555558</v>
      </c>
      <c r="D1043" s="15" t="s">
        <v>132</v>
      </c>
      <c r="E1043" s="15" t="s">
        <v>76</v>
      </c>
      <c r="F1043" s="15" t="s">
        <v>144</v>
      </c>
      <c r="G1043" s="204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130</v>
      </c>
      <c r="B1044" s="14" t="s">
        <v>131</v>
      </c>
      <c r="C1044" s="117">
        <v>0.93055555555555558</v>
      </c>
      <c r="D1044" s="14" t="s">
        <v>134</v>
      </c>
      <c r="E1044" s="14" t="s">
        <v>76</v>
      </c>
      <c r="F1044" s="14" t="s">
        <v>145</v>
      </c>
      <c r="G1044" s="204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5" t="s">
        <v>130</v>
      </c>
      <c r="B1045" s="15" t="s">
        <v>148</v>
      </c>
      <c r="C1045" s="118">
        <v>0.82986111111111116</v>
      </c>
      <c r="D1045" s="15" t="s">
        <v>132</v>
      </c>
      <c r="E1045" s="15" t="s">
        <v>76</v>
      </c>
      <c r="F1045" s="15" t="s">
        <v>144</v>
      </c>
      <c r="G1045" s="204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130</v>
      </c>
      <c r="B1046" s="14" t="s">
        <v>148</v>
      </c>
      <c r="C1046" s="117">
        <v>0.82986111111111116</v>
      </c>
      <c r="D1046" s="14" t="s">
        <v>134</v>
      </c>
      <c r="E1046" s="14" t="s">
        <v>76</v>
      </c>
      <c r="F1046" s="14" t="s">
        <v>145</v>
      </c>
      <c r="G1046" s="204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5" t="s">
        <v>130</v>
      </c>
      <c r="B1047" s="15" t="s">
        <v>139</v>
      </c>
      <c r="C1047" s="118">
        <v>0.88888888888888884</v>
      </c>
      <c r="D1047" s="15" t="s">
        <v>134</v>
      </c>
      <c r="E1047" s="15" t="s">
        <v>110</v>
      </c>
      <c r="F1047" s="15" t="s">
        <v>179</v>
      </c>
      <c r="G1047" s="204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5" t="s">
        <v>130</v>
      </c>
      <c r="B1048" s="15" t="s">
        <v>149</v>
      </c>
      <c r="C1048" s="118">
        <v>0.78819444444444442</v>
      </c>
      <c r="D1048" s="15" t="s">
        <v>134</v>
      </c>
      <c r="E1048" s="15" t="s">
        <v>110</v>
      </c>
      <c r="F1048" s="15" t="s">
        <v>179</v>
      </c>
      <c r="G1048" s="204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6" t="s">
        <v>70</v>
      </c>
      <c r="B1049" s="16" t="s">
        <v>71</v>
      </c>
      <c r="C1049" s="119">
        <v>0.20833333333333329</v>
      </c>
      <c r="D1049" s="16" t="s">
        <v>72</v>
      </c>
      <c r="E1049" s="16" t="s">
        <v>36</v>
      </c>
      <c r="F1049" s="16" t="s">
        <v>300</v>
      </c>
      <c r="G1049" s="204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6" t="s">
        <v>115</v>
      </c>
      <c r="B1050" s="16" t="s">
        <v>120</v>
      </c>
      <c r="C1050" s="119">
        <v>0.27777777777777779</v>
      </c>
      <c r="D1050" s="16" t="s">
        <v>124</v>
      </c>
      <c r="E1050" s="16" t="s">
        <v>76</v>
      </c>
      <c r="F1050" s="16" t="s">
        <v>253</v>
      </c>
      <c r="G1050" s="204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5" t="s">
        <v>115</v>
      </c>
      <c r="B1051" s="15" t="s">
        <v>121</v>
      </c>
      <c r="C1051" s="118">
        <v>0.4861111111111111</v>
      </c>
      <c r="D1051" s="15" t="s">
        <v>124</v>
      </c>
      <c r="E1051" s="15" t="s">
        <v>76</v>
      </c>
      <c r="F1051" s="15" t="s">
        <v>253</v>
      </c>
      <c r="G1051" s="204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5" t="s">
        <v>115</v>
      </c>
      <c r="B1052" s="15" t="s">
        <v>122</v>
      </c>
      <c r="C1052" s="118">
        <v>0.5625</v>
      </c>
      <c r="D1052" s="15" t="s">
        <v>124</v>
      </c>
      <c r="E1052" s="15" t="s">
        <v>76</v>
      </c>
      <c r="F1052" s="15" t="s">
        <v>129</v>
      </c>
      <c r="G1052" s="204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5" t="s">
        <v>115</v>
      </c>
      <c r="B1053" s="15" t="s">
        <v>116</v>
      </c>
      <c r="C1053" s="118">
        <v>0.2326388888888889</v>
      </c>
      <c r="D1053" s="15" t="s">
        <v>124</v>
      </c>
      <c r="E1053" s="15" t="s">
        <v>76</v>
      </c>
      <c r="F1053" s="15" t="s">
        <v>310</v>
      </c>
      <c r="G1053" s="204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5" t="s">
        <v>115</v>
      </c>
      <c r="B1054" s="15" t="s">
        <v>128</v>
      </c>
      <c r="C1054" s="118">
        <v>1.388888888888889E-2</v>
      </c>
      <c r="D1054" s="15" t="s">
        <v>124</v>
      </c>
      <c r="E1054" s="15" t="s">
        <v>76</v>
      </c>
      <c r="F1054" s="15" t="s">
        <v>324</v>
      </c>
      <c r="G1054" s="204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5" t="s">
        <v>115</v>
      </c>
      <c r="B1055" s="15" t="s">
        <v>126</v>
      </c>
      <c r="C1055" s="118">
        <v>0.77430555555555558</v>
      </c>
      <c r="D1055" s="15" t="s">
        <v>124</v>
      </c>
      <c r="E1055" s="15" t="s">
        <v>76</v>
      </c>
      <c r="F1055" s="15" t="s">
        <v>350</v>
      </c>
      <c r="G1055" s="204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5" t="s">
        <v>115</v>
      </c>
      <c r="B1056" s="15" t="s">
        <v>123</v>
      </c>
      <c r="C1056" s="118">
        <v>0.95833333333333337</v>
      </c>
      <c r="D1056" s="15" t="s">
        <v>124</v>
      </c>
      <c r="E1056" s="15" t="s">
        <v>103</v>
      </c>
      <c r="F1056" s="15" t="s">
        <v>291</v>
      </c>
      <c r="G1056" s="204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thickBot="1" x14ac:dyDescent="0.35">
      <c r="A1057" s="41" t="s">
        <v>115</v>
      </c>
      <c r="B1057" s="41" t="s">
        <v>119</v>
      </c>
      <c r="C1057" s="132">
        <v>0.14583333333333329</v>
      </c>
      <c r="D1057" s="41" t="s">
        <v>124</v>
      </c>
      <c r="E1057" s="41" t="s">
        <v>103</v>
      </c>
      <c r="F1057" s="41" t="s">
        <v>291</v>
      </c>
      <c r="G1057" s="205"/>
      <c r="H1057" s="42"/>
      <c r="I1057" s="43"/>
      <c r="J1057" s="43"/>
      <c r="K1057" s="43"/>
      <c r="L1057" s="43"/>
      <c r="M1057" s="43"/>
      <c r="N1057" s="43"/>
      <c r="O1057" s="44"/>
      <c r="P1057" s="43"/>
      <c r="Q1057" s="45"/>
      <c r="R1057" s="46"/>
    </row>
    <row r="1058" spans="1:18" ht="17.399999999999999" customHeight="1" thickBot="1" x14ac:dyDescent="0.35">
      <c r="A1058" s="200"/>
      <c r="B1058" s="201"/>
      <c r="C1058" s="201"/>
      <c r="D1058" s="201"/>
      <c r="E1058" s="201"/>
      <c r="F1058" s="201"/>
      <c r="G1058" s="201"/>
      <c r="H1058" s="201"/>
      <c r="I1058" s="201"/>
      <c r="J1058" s="201"/>
      <c r="K1058" s="201"/>
      <c r="L1058" s="201"/>
      <c r="M1058" s="201"/>
      <c r="N1058" s="201"/>
      <c r="O1058" s="201"/>
      <c r="P1058" s="201"/>
      <c r="Q1058" s="201"/>
      <c r="R1058" s="202"/>
    </row>
    <row r="1059" spans="1:18" ht="22.05" customHeight="1" thickTop="1" thickBot="1" x14ac:dyDescent="0.35">
      <c r="A1059" s="197" t="s">
        <v>6</v>
      </c>
      <c r="B1059" s="198"/>
      <c r="C1059" s="198"/>
      <c r="D1059" s="198"/>
      <c r="E1059" s="198"/>
      <c r="F1059" s="199"/>
      <c r="G1059" s="133">
        <v>46007</v>
      </c>
      <c r="H1059" s="207" t="s">
        <v>7</v>
      </c>
      <c r="I1059" s="198"/>
      <c r="J1059" s="198"/>
      <c r="K1059" s="198"/>
      <c r="L1059" s="198"/>
      <c r="M1059" s="198"/>
      <c r="N1059" s="198"/>
      <c r="O1059" s="198"/>
      <c r="P1059" s="198"/>
      <c r="Q1059" s="198"/>
      <c r="R1059" s="199"/>
    </row>
    <row r="1060" spans="1:18" ht="24" customHeight="1" x14ac:dyDescent="0.3">
      <c r="A1060" s="47" t="s">
        <v>8</v>
      </c>
      <c r="B1060" s="47" t="s">
        <v>9</v>
      </c>
      <c r="C1060" s="134" t="s">
        <v>10</v>
      </c>
      <c r="D1060" s="47" t="s">
        <v>11</v>
      </c>
      <c r="E1060" s="47" t="s">
        <v>12</v>
      </c>
      <c r="F1060" s="48" t="s">
        <v>13</v>
      </c>
      <c r="G1060" s="49" t="s">
        <v>14</v>
      </c>
      <c r="H1060" s="47" t="s">
        <v>15</v>
      </c>
      <c r="I1060" s="135" t="s">
        <v>16</v>
      </c>
      <c r="J1060" s="50" t="s">
        <v>17</v>
      </c>
      <c r="K1060" s="51" t="s">
        <v>18</v>
      </c>
      <c r="L1060" s="50" t="s">
        <v>19</v>
      </c>
      <c r="M1060" s="50" t="s">
        <v>20</v>
      </c>
      <c r="N1060" s="50" t="s">
        <v>21</v>
      </c>
      <c r="O1060" s="47" t="s">
        <v>22</v>
      </c>
      <c r="P1060" s="134" t="s">
        <v>23</v>
      </c>
      <c r="Q1060" s="50" t="s">
        <v>24</v>
      </c>
      <c r="R1060" s="47" t="s">
        <v>25</v>
      </c>
    </row>
    <row r="1061" spans="1:18" ht="15" customHeight="1" x14ac:dyDescent="0.3">
      <c r="A1061" s="8" t="s">
        <v>26</v>
      </c>
      <c r="B1061" s="8" t="s">
        <v>27</v>
      </c>
      <c r="C1061" s="116">
        <v>0.88888888888888884</v>
      </c>
      <c r="D1061" s="8" t="s">
        <v>153</v>
      </c>
      <c r="E1061" s="8" t="s">
        <v>29</v>
      </c>
      <c r="F1061" s="8" t="s">
        <v>234</v>
      </c>
      <c r="G1061" s="206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5" t="s">
        <v>26</v>
      </c>
      <c r="B1062" s="15" t="s">
        <v>35</v>
      </c>
      <c r="C1062" s="118">
        <v>0.12847222222222221</v>
      </c>
      <c r="D1062" s="15" t="s">
        <v>153</v>
      </c>
      <c r="E1062" s="15" t="s">
        <v>219</v>
      </c>
      <c r="F1062" s="15" t="s">
        <v>180</v>
      </c>
      <c r="G1062" s="204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5" t="s">
        <v>26</v>
      </c>
      <c r="B1063" s="15" t="s">
        <v>39</v>
      </c>
      <c r="C1063" s="118">
        <v>0.30208333333333331</v>
      </c>
      <c r="D1063" s="15" t="s">
        <v>153</v>
      </c>
      <c r="E1063" s="15" t="s">
        <v>40</v>
      </c>
      <c r="F1063" s="15" t="s">
        <v>30</v>
      </c>
      <c r="G1063" s="204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5" t="s">
        <v>26</v>
      </c>
      <c r="B1064" s="15" t="s">
        <v>41</v>
      </c>
      <c r="C1064" s="118">
        <v>0.78819444444444442</v>
      </c>
      <c r="D1064" s="15" t="s">
        <v>153</v>
      </c>
      <c r="E1064" s="15" t="s">
        <v>42</v>
      </c>
      <c r="F1064" s="15" t="s">
        <v>30</v>
      </c>
      <c r="G1064" s="204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6" t="s">
        <v>45</v>
      </c>
      <c r="B1065" s="16" t="s">
        <v>57</v>
      </c>
      <c r="C1065" s="119">
        <v>0.25694444444444442</v>
      </c>
      <c r="D1065" s="16" t="s">
        <v>154</v>
      </c>
      <c r="E1065" s="16" t="s">
        <v>29</v>
      </c>
      <c r="F1065" s="16" t="s">
        <v>180</v>
      </c>
      <c r="G1065" s="204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5" t="s">
        <v>45</v>
      </c>
      <c r="B1066" s="15" t="s">
        <v>58</v>
      </c>
      <c r="C1066" s="118">
        <v>0.30208333333333331</v>
      </c>
      <c r="D1066" s="15" t="s">
        <v>154</v>
      </c>
      <c r="E1066" s="15" t="s">
        <v>61</v>
      </c>
      <c r="F1066" s="15" t="s">
        <v>180</v>
      </c>
      <c r="G1066" s="204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5" t="s">
        <v>45</v>
      </c>
      <c r="B1067" s="15" t="s">
        <v>53</v>
      </c>
      <c r="C1067" s="118">
        <v>0.85416666666666663</v>
      </c>
      <c r="D1067" s="15" t="s">
        <v>154</v>
      </c>
      <c r="E1067" s="15" t="s">
        <v>185</v>
      </c>
      <c r="F1067" s="15" t="s">
        <v>48</v>
      </c>
      <c r="G1067" s="204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5" t="s">
        <v>45</v>
      </c>
      <c r="B1068" s="15" t="s">
        <v>62</v>
      </c>
      <c r="C1068" s="118">
        <v>0.51736111111111116</v>
      </c>
      <c r="D1068" s="15" t="s">
        <v>154</v>
      </c>
      <c r="E1068" s="15" t="s">
        <v>54</v>
      </c>
      <c r="F1068" s="15" t="s">
        <v>48</v>
      </c>
      <c r="G1068" s="204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5" t="s">
        <v>45</v>
      </c>
      <c r="B1069" s="15" t="s">
        <v>60</v>
      </c>
      <c r="C1069" s="118">
        <v>0.79861111111111116</v>
      </c>
      <c r="D1069" s="15" t="s">
        <v>154</v>
      </c>
      <c r="E1069" s="15" t="s">
        <v>42</v>
      </c>
      <c r="F1069" s="15" t="s">
        <v>48</v>
      </c>
      <c r="G1069" s="204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5" t="s">
        <v>45</v>
      </c>
      <c r="B1070" s="15" t="s">
        <v>46</v>
      </c>
      <c r="C1070" s="118">
        <v>0.39583333333333331</v>
      </c>
      <c r="D1070" s="15" t="s">
        <v>154</v>
      </c>
      <c r="E1070" s="15" t="s">
        <v>54</v>
      </c>
      <c r="F1070" s="15" t="s">
        <v>48</v>
      </c>
      <c r="G1070" s="204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5" t="s">
        <v>45</v>
      </c>
      <c r="B1071" s="15" t="s">
        <v>66</v>
      </c>
      <c r="C1071" s="118">
        <v>0.64583333333333337</v>
      </c>
      <c r="D1071" s="15" t="s">
        <v>154</v>
      </c>
      <c r="E1071" s="15" t="s">
        <v>110</v>
      </c>
      <c r="F1071" s="15" t="s">
        <v>48</v>
      </c>
      <c r="G1071" s="204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5" t="s">
        <v>45</v>
      </c>
      <c r="B1072" s="15" t="s">
        <v>59</v>
      </c>
      <c r="C1072" s="118">
        <v>0.90277777777777779</v>
      </c>
      <c r="D1072" s="15" t="s">
        <v>154</v>
      </c>
      <c r="E1072" s="15" t="s">
        <v>54</v>
      </c>
      <c r="F1072" s="15" t="s">
        <v>67</v>
      </c>
      <c r="G1072" s="204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6" t="s">
        <v>79</v>
      </c>
      <c r="B1073" s="16" t="s">
        <v>80</v>
      </c>
      <c r="C1073" s="119">
        <v>0.22222222222222221</v>
      </c>
      <c r="D1073" s="16" t="s">
        <v>156</v>
      </c>
      <c r="E1073" s="16" t="s">
        <v>54</v>
      </c>
      <c r="F1073" s="16" t="s">
        <v>257</v>
      </c>
      <c r="G1073" s="204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6" t="s">
        <v>70</v>
      </c>
      <c r="B1074" s="16" t="s">
        <v>71</v>
      </c>
      <c r="C1074" s="119">
        <v>0.73958333333333337</v>
      </c>
      <c r="D1074" s="16" t="s">
        <v>72</v>
      </c>
      <c r="E1074" s="16" t="s">
        <v>36</v>
      </c>
      <c r="F1074" s="16" t="s">
        <v>73</v>
      </c>
      <c r="G1074" s="204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5" t="s">
        <v>70</v>
      </c>
      <c r="B1075" s="15" t="s">
        <v>155</v>
      </c>
      <c r="C1075" s="118">
        <v>0.27430555555555558</v>
      </c>
      <c r="D1075" s="15" t="s">
        <v>72</v>
      </c>
      <c r="E1075" s="15" t="s">
        <v>76</v>
      </c>
      <c r="F1075" s="15" t="s">
        <v>300</v>
      </c>
      <c r="G1075" s="204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85" t="s">
        <v>87</v>
      </c>
      <c r="B1076" s="85" t="s">
        <v>102</v>
      </c>
      <c r="C1076" s="170">
        <v>0.55902777777777779</v>
      </c>
      <c r="D1076" s="85" t="s">
        <v>89</v>
      </c>
      <c r="E1076" s="85" t="s">
        <v>76</v>
      </c>
      <c r="F1076" s="85" t="s">
        <v>77</v>
      </c>
      <c r="G1076" s="204"/>
      <c r="H1076" s="30" t="s">
        <v>105</v>
      </c>
      <c r="I1076" s="156">
        <v>0.11169999999999999</v>
      </c>
      <c r="J1076" s="31">
        <v>20</v>
      </c>
      <c r="K1076" s="32" t="s">
        <v>99</v>
      </c>
      <c r="L1076" s="31">
        <v>2</v>
      </c>
      <c r="M1076" s="31">
        <v>0</v>
      </c>
      <c r="N1076" s="31">
        <v>1</v>
      </c>
      <c r="O1076" s="33" t="s">
        <v>205</v>
      </c>
      <c r="P1076" s="128">
        <v>0.55902777777777779</v>
      </c>
      <c r="Q1076" s="31">
        <v>179</v>
      </c>
      <c r="R1076" s="34" t="s">
        <v>351</v>
      </c>
    </row>
    <row r="1077" spans="1:18" ht="15" customHeight="1" x14ac:dyDescent="0.3">
      <c r="A1077" s="72" t="s">
        <v>87</v>
      </c>
      <c r="B1077" s="72" t="s">
        <v>95</v>
      </c>
      <c r="C1077" s="153">
        <v>0.61458333333333337</v>
      </c>
      <c r="D1077" s="72" t="s">
        <v>89</v>
      </c>
      <c r="E1077" s="72" t="s">
        <v>42</v>
      </c>
      <c r="F1077" s="72" t="s">
        <v>77</v>
      </c>
      <c r="G1077" s="204"/>
      <c r="H1077" s="73" t="s">
        <v>98</v>
      </c>
      <c r="I1077" s="154">
        <v>0.37990000000000002</v>
      </c>
      <c r="J1077" s="74">
        <v>68</v>
      </c>
      <c r="K1077" s="75" t="s">
        <v>99</v>
      </c>
      <c r="L1077" s="74">
        <v>10</v>
      </c>
      <c r="M1077" s="74">
        <v>0</v>
      </c>
      <c r="N1077" s="74">
        <v>2</v>
      </c>
      <c r="O1077" s="76" t="s">
        <v>303</v>
      </c>
      <c r="P1077" s="155">
        <v>0.61458333333333337</v>
      </c>
      <c r="Q1077" s="74">
        <v>179</v>
      </c>
      <c r="R1077" s="77" t="s">
        <v>352</v>
      </c>
    </row>
    <row r="1078" spans="1:18" ht="15" customHeight="1" x14ac:dyDescent="0.3">
      <c r="A1078" s="35" t="s">
        <v>87</v>
      </c>
      <c r="B1078" s="35" t="s">
        <v>109</v>
      </c>
      <c r="C1078" s="129">
        <v>0.96875</v>
      </c>
      <c r="D1078" s="35" t="s">
        <v>89</v>
      </c>
      <c r="E1078" s="35" t="s">
        <v>76</v>
      </c>
      <c r="F1078" s="35" t="s">
        <v>77</v>
      </c>
      <c r="G1078" s="204"/>
      <c r="H1078" s="36" t="s">
        <v>111</v>
      </c>
      <c r="I1078" s="143">
        <v>0.19550000000000001</v>
      </c>
      <c r="J1078" s="37">
        <v>35</v>
      </c>
      <c r="K1078" s="38" t="s">
        <v>190</v>
      </c>
      <c r="L1078" s="37">
        <v>5</v>
      </c>
      <c r="M1078" s="37">
        <v>0</v>
      </c>
      <c r="N1078" s="37">
        <v>0</v>
      </c>
      <c r="O1078" s="39" t="s">
        <v>205</v>
      </c>
      <c r="P1078" s="131">
        <v>0.96875</v>
      </c>
      <c r="Q1078" s="37">
        <v>179</v>
      </c>
      <c r="R1078" s="40" t="s">
        <v>353</v>
      </c>
    </row>
    <row r="1079" spans="1:18" ht="15" customHeight="1" x14ac:dyDescent="0.3">
      <c r="A1079" s="82" t="s">
        <v>87</v>
      </c>
      <c r="B1079" s="82" t="s">
        <v>165</v>
      </c>
      <c r="C1079" s="167">
        <v>0.22916666666666671</v>
      </c>
      <c r="D1079" s="82" t="s">
        <v>89</v>
      </c>
      <c r="E1079" s="82" t="s">
        <v>76</v>
      </c>
      <c r="F1079" s="82" t="s">
        <v>77</v>
      </c>
      <c r="G1079" s="204"/>
      <c r="H1079" s="18" t="s">
        <v>166</v>
      </c>
      <c r="I1079" s="166">
        <v>8.3799999999999999E-2</v>
      </c>
      <c r="J1079" s="19">
        <v>15</v>
      </c>
      <c r="K1079" s="20" t="s">
        <v>106</v>
      </c>
      <c r="L1079" s="19">
        <v>7</v>
      </c>
      <c r="M1079" s="19">
        <v>0</v>
      </c>
      <c r="N1079" s="19">
        <v>0</v>
      </c>
      <c r="O1079" s="21" t="s">
        <v>205</v>
      </c>
      <c r="P1079" s="122">
        <v>0.22916666666666671</v>
      </c>
      <c r="Q1079" s="19">
        <v>179</v>
      </c>
      <c r="R1079" s="22" t="s">
        <v>354</v>
      </c>
    </row>
    <row r="1080" spans="1:18" ht="15" customHeight="1" x14ac:dyDescent="0.3">
      <c r="A1080" s="35" t="s">
        <v>87</v>
      </c>
      <c r="B1080" s="35" t="s">
        <v>169</v>
      </c>
      <c r="C1080" s="129">
        <v>0.93402777777777779</v>
      </c>
      <c r="D1080" s="35" t="s">
        <v>89</v>
      </c>
      <c r="E1080" s="35" t="s">
        <v>61</v>
      </c>
      <c r="F1080" s="35" t="s">
        <v>77</v>
      </c>
      <c r="G1080" s="204"/>
      <c r="H1080" s="36" t="s">
        <v>170</v>
      </c>
      <c r="I1080" s="143">
        <v>0.34079999999999999</v>
      </c>
      <c r="J1080" s="37">
        <v>61</v>
      </c>
      <c r="K1080" s="38" t="s">
        <v>99</v>
      </c>
      <c r="L1080" s="37">
        <v>4</v>
      </c>
      <c r="M1080" s="37">
        <v>0</v>
      </c>
      <c r="N1080" s="37">
        <v>2</v>
      </c>
      <c r="O1080" s="39" t="s">
        <v>203</v>
      </c>
      <c r="P1080" s="131">
        <v>0.93402777777777779</v>
      </c>
      <c r="Q1080" s="37">
        <v>179</v>
      </c>
      <c r="R1080" s="40" t="s">
        <v>355</v>
      </c>
    </row>
    <row r="1081" spans="1:18" ht="15" customHeight="1" x14ac:dyDescent="0.3">
      <c r="A1081" s="82" t="s">
        <v>87</v>
      </c>
      <c r="B1081" s="82" t="s">
        <v>88</v>
      </c>
      <c r="C1081" s="167">
        <v>0.72916666666666663</v>
      </c>
      <c r="D1081" s="82" t="s">
        <v>89</v>
      </c>
      <c r="E1081" s="82" t="s">
        <v>61</v>
      </c>
      <c r="F1081" s="82" t="s">
        <v>77</v>
      </c>
      <c r="G1081" s="204"/>
      <c r="H1081" s="18" t="s">
        <v>91</v>
      </c>
      <c r="I1081" s="166">
        <v>0.44130000000000003</v>
      </c>
      <c r="J1081" s="19">
        <v>79</v>
      </c>
      <c r="K1081" s="20" t="s">
        <v>92</v>
      </c>
      <c r="L1081" s="19">
        <v>23</v>
      </c>
      <c r="M1081" s="19">
        <v>1</v>
      </c>
      <c r="N1081" s="19">
        <v>0</v>
      </c>
      <c r="O1081" s="21" t="s">
        <v>356</v>
      </c>
      <c r="P1081" s="122">
        <v>0.72916666666666663</v>
      </c>
      <c r="Q1081" s="19">
        <v>179</v>
      </c>
      <c r="R1081" s="22" t="s">
        <v>357</v>
      </c>
    </row>
    <row r="1082" spans="1:18" ht="15" customHeight="1" x14ac:dyDescent="0.3">
      <c r="A1082" s="16" t="s">
        <v>74</v>
      </c>
      <c r="B1082" s="16" t="s">
        <v>78</v>
      </c>
      <c r="C1082" s="119">
        <v>0.66666666666666663</v>
      </c>
      <c r="D1082" s="16" t="s">
        <v>72</v>
      </c>
      <c r="E1082" s="16" t="s">
        <v>96</v>
      </c>
      <c r="F1082" s="16" t="s">
        <v>77</v>
      </c>
      <c r="G1082" s="204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6" t="s">
        <v>130</v>
      </c>
      <c r="B1083" s="16" t="s">
        <v>143</v>
      </c>
      <c r="C1083" s="119">
        <v>6.9444444444444441E-3</v>
      </c>
      <c r="D1083" s="16" t="s">
        <v>132</v>
      </c>
      <c r="E1083" s="16" t="s">
        <v>76</v>
      </c>
      <c r="F1083" s="16" t="s">
        <v>176</v>
      </c>
      <c r="G1083" s="204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130</v>
      </c>
      <c r="B1084" s="14" t="s">
        <v>143</v>
      </c>
      <c r="C1084" s="117">
        <v>6.9444444444444441E-3</v>
      </c>
      <c r="D1084" s="14" t="s">
        <v>134</v>
      </c>
      <c r="E1084" s="14" t="s">
        <v>76</v>
      </c>
      <c r="F1084" s="14" t="s">
        <v>177</v>
      </c>
      <c r="G1084" s="204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5" t="s">
        <v>130</v>
      </c>
      <c r="B1085" s="15" t="s">
        <v>146</v>
      </c>
      <c r="C1085" s="118">
        <v>0.1423611111111111</v>
      </c>
      <c r="D1085" s="15" t="s">
        <v>132</v>
      </c>
      <c r="E1085" s="15" t="s">
        <v>76</v>
      </c>
      <c r="F1085" s="15" t="s">
        <v>176</v>
      </c>
      <c r="G1085" s="204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130</v>
      </c>
      <c r="B1086" s="14" t="s">
        <v>146</v>
      </c>
      <c r="C1086" s="117">
        <v>0.1423611111111111</v>
      </c>
      <c r="D1086" s="14" t="s">
        <v>134</v>
      </c>
      <c r="E1086" s="14" t="s">
        <v>76</v>
      </c>
      <c r="F1086" s="14" t="s">
        <v>177</v>
      </c>
      <c r="G1086" s="204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5" t="s">
        <v>130</v>
      </c>
      <c r="B1087" s="15" t="s">
        <v>131</v>
      </c>
      <c r="C1087" s="118">
        <v>0.93055555555555558</v>
      </c>
      <c r="D1087" s="15" t="s">
        <v>132</v>
      </c>
      <c r="E1087" s="15" t="s">
        <v>76</v>
      </c>
      <c r="F1087" s="15" t="s">
        <v>176</v>
      </c>
      <c r="G1087" s="204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130</v>
      </c>
      <c r="B1088" s="14" t="s">
        <v>131</v>
      </c>
      <c r="C1088" s="117">
        <v>0.93055555555555558</v>
      </c>
      <c r="D1088" s="14" t="s">
        <v>134</v>
      </c>
      <c r="E1088" s="14" t="s">
        <v>76</v>
      </c>
      <c r="F1088" s="14" t="s">
        <v>177</v>
      </c>
      <c r="G1088" s="204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5" t="s">
        <v>130</v>
      </c>
      <c r="B1089" s="15" t="s">
        <v>148</v>
      </c>
      <c r="C1089" s="118">
        <v>0.82986111111111116</v>
      </c>
      <c r="D1089" s="15" t="s">
        <v>132</v>
      </c>
      <c r="E1089" s="15" t="s">
        <v>76</v>
      </c>
      <c r="F1089" s="15" t="s">
        <v>176</v>
      </c>
      <c r="G1089" s="204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130</v>
      </c>
      <c r="B1090" s="14" t="s">
        <v>148</v>
      </c>
      <c r="C1090" s="117">
        <v>0.82986111111111116</v>
      </c>
      <c r="D1090" s="14" t="s">
        <v>134</v>
      </c>
      <c r="E1090" s="14" t="s">
        <v>76</v>
      </c>
      <c r="F1090" s="14" t="s">
        <v>177</v>
      </c>
      <c r="G1090" s="204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5" t="s">
        <v>130</v>
      </c>
      <c r="B1091" s="15" t="s">
        <v>136</v>
      </c>
      <c r="C1091" s="118">
        <v>0.37847222222222221</v>
      </c>
      <c r="D1091" s="15" t="s">
        <v>132</v>
      </c>
      <c r="E1091" s="15" t="s">
        <v>76</v>
      </c>
      <c r="F1091" s="15" t="s">
        <v>176</v>
      </c>
      <c r="G1091" s="204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130</v>
      </c>
      <c r="B1092" s="14" t="s">
        <v>136</v>
      </c>
      <c r="C1092" s="117">
        <v>0.37847222222222221</v>
      </c>
      <c r="D1092" s="14" t="s">
        <v>134</v>
      </c>
      <c r="E1092" s="14" t="s">
        <v>76</v>
      </c>
      <c r="F1092" s="14" t="s">
        <v>177</v>
      </c>
      <c r="G1092" s="204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5" t="s">
        <v>130</v>
      </c>
      <c r="B1093" s="15" t="s">
        <v>137</v>
      </c>
      <c r="C1093" s="118">
        <v>0.61111111111111116</v>
      </c>
      <c r="D1093" s="15" t="s">
        <v>132</v>
      </c>
      <c r="E1093" s="15" t="s">
        <v>76</v>
      </c>
      <c r="F1093" s="15" t="s">
        <v>176</v>
      </c>
      <c r="G1093" s="204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130</v>
      </c>
      <c r="B1094" s="14" t="s">
        <v>137</v>
      </c>
      <c r="C1094" s="117">
        <v>0.61111111111111116</v>
      </c>
      <c r="D1094" s="14" t="s">
        <v>134</v>
      </c>
      <c r="E1094" s="14" t="s">
        <v>76</v>
      </c>
      <c r="F1094" s="14" t="s">
        <v>177</v>
      </c>
      <c r="G1094" s="204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5" t="s">
        <v>130</v>
      </c>
      <c r="B1095" s="15" t="s">
        <v>138</v>
      </c>
      <c r="C1095" s="118">
        <v>0.23958333333333329</v>
      </c>
      <c r="D1095" s="15" t="s">
        <v>132</v>
      </c>
      <c r="E1095" s="15" t="s">
        <v>76</v>
      </c>
      <c r="F1095" s="15" t="s">
        <v>176</v>
      </c>
      <c r="G1095" s="204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130</v>
      </c>
      <c r="B1096" s="14" t="s">
        <v>138</v>
      </c>
      <c r="C1096" s="117">
        <v>0.23958333333333329</v>
      </c>
      <c r="D1096" s="14" t="s">
        <v>134</v>
      </c>
      <c r="E1096" s="14" t="s">
        <v>76</v>
      </c>
      <c r="F1096" s="14" t="s">
        <v>177</v>
      </c>
      <c r="G1096" s="204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5" t="s">
        <v>130</v>
      </c>
      <c r="B1097" s="15" t="s">
        <v>147</v>
      </c>
      <c r="C1097" s="118">
        <v>0.71875</v>
      </c>
      <c r="D1097" s="15" t="s">
        <v>132</v>
      </c>
      <c r="E1097" s="15" t="s">
        <v>76</v>
      </c>
      <c r="F1097" s="15" t="s">
        <v>133</v>
      </c>
      <c r="G1097" s="204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130</v>
      </c>
      <c r="B1098" s="14" t="s">
        <v>147</v>
      </c>
      <c r="C1098" s="117">
        <v>0.71875</v>
      </c>
      <c r="D1098" s="14" t="s">
        <v>134</v>
      </c>
      <c r="E1098" s="14" t="s">
        <v>76</v>
      </c>
      <c r="F1098" s="14" t="s">
        <v>135</v>
      </c>
      <c r="G1098" s="204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5" t="s">
        <v>130</v>
      </c>
      <c r="B1099" s="15" t="s">
        <v>139</v>
      </c>
      <c r="C1099" s="118">
        <v>0.88888888888888884</v>
      </c>
      <c r="D1099" s="15" t="s">
        <v>134</v>
      </c>
      <c r="E1099" s="15" t="s">
        <v>110</v>
      </c>
      <c r="F1099" s="15" t="s">
        <v>218</v>
      </c>
      <c r="G1099" s="204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5" t="s">
        <v>130</v>
      </c>
      <c r="B1100" s="15" t="s">
        <v>142</v>
      </c>
      <c r="C1100" s="118">
        <v>0.12847222222222221</v>
      </c>
      <c r="D1100" s="15" t="s">
        <v>134</v>
      </c>
      <c r="E1100" s="15" t="s">
        <v>110</v>
      </c>
      <c r="F1100" s="15" t="s">
        <v>218</v>
      </c>
      <c r="G1100" s="204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5" t="s">
        <v>130</v>
      </c>
      <c r="B1101" s="15" t="s">
        <v>141</v>
      </c>
      <c r="C1101" s="118">
        <v>0.30208333333333331</v>
      </c>
      <c r="D1101" s="15" t="s">
        <v>134</v>
      </c>
      <c r="E1101" s="15" t="s">
        <v>110</v>
      </c>
      <c r="F1101" s="15" t="s">
        <v>178</v>
      </c>
      <c r="G1101" s="204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5" t="s">
        <v>130</v>
      </c>
      <c r="B1102" s="15" t="s">
        <v>149</v>
      </c>
      <c r="C1102" s="118">
        <v>0.78819444444444442</v>
      </c>
      <c r="D1102" s="15" t="s">
        <v>134</v>
      </c>
      <c r="E1102" s="15" t="s">
        <v>110</v>
      </c>
      <c r="F1102" s="15" t="s">
        <v>140</v>
      </c>
      <c r="G1102" s="204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6" t="s">
        <v>115</v>
      </c>
      <c r="B1103" s="16" t="s">
        <v>119</v>
      </c>
      <c r="C1103" s="119">
        <v>0.14583333333333329</v>
      </c>
      <c r="D1103" s="16" t="s">
        <v>124</v>
      </c>
      <c r="E1103" s="16" t="s">
        <v>76</v>
      </c>
      <c r="F1103" s="16" t="s">
        <v>253</v>
      </c>
      <c r="G1103" s="204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5" t="s">
        <v>115</v>
      </c>
      <c r="B1104" s="15" t="s">
        <v>120</v>
      </c>
      <c r="C1104" s="118">
        <v>0.28125</v>
      </c>
      <c r="D1104" s="15" t="s">
        <v>124</v>
      </c>
      <c r="E1104" s="15" t="s">
        <v>76</v>
      </c>
      <c r="F1104" s="15" t="s">
        <v>253</v>
      </c>
      <c r="G1104" s="204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5" t="s">
        <v>115</v>
      </c>
      <c r="B1105" s="15" t="s">
        <v>128</v>
      </c>
      <c r="C1105" s="118">
        <v>1.388888888888889E-2</v>
      </c>
      <c r="D1105" s="15" t="s">
        <v>124</v>
      </c>
      <c r="E1105" s="15" t="s">
        <v>76</v>
      </c>
      <c r="F1105" s="15" t="s">
        <v>129</v>
      </c>
      <c r="G1105" s="204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5" t="s">
        <v>115</v>
      </c>
      <c r="B1106" s="15" t="s">
        <v>121</v>
      </c>
      <c r="C1106" s="118">
        <v>0.4861111111111111</v>
      </c>
      <c r="D1106" s="15" t="s">
        <v>124</v>
      </c>
      <c r="E1106" s="15" t="s">
        <v>76</v>
      </c>
      <c r="F1106" s="15" t="s">
        <v>129</v>
      </c>
      <c r="G1106" s="204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5" t="s">
        <v>115</v>
      </c>
      <c r="B1107" s="15" t="s">
        <v>122</v>
      </c>
      <c r="C1107" s="118">
        <v>0.50347222222222221</v>
      </c>
      <c r="D1107" s="15" t="s">
        <v>124</v>
      </c>
      <c r="E1107" s="15" t="s">
        <v>76</v>
      </c>
      <c r="F1107" s="15" t="s">
        <v>254</v>
      </c>
      <c r="G1107" s="204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5" t="s">
        <v>115</v>
      </c>
      <c r="B1108" s="15" t="s">
        <v>116</v>
      </c>
      <c r="C1108" s="118">
        <v>0.22222222222222221</v>
      </c>
      <c r="D1108" s="15" t="s">
        <v>124</v>
      </c>
      <c r="E1108" s="15" t="s">
        <v>76</v>
      </c>
      <c r="F1108" s="15" t="s">
        <v>324</v>
      </c>
      <c r="G1108" s="204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thickBot="1" x14ac:dyDescent="0.35">
      <c r="A1109" s="41" t="s">
        <v>115</v>
      </c>
      <c r="B1109" s="41" t="s">
        <v>123</v>
      </c>
      <c r="C1109" s="132">
        <v>0.95833333333333337</v>
      </c>
      <c r="D1109" s="41" t="s">
        <v>124</v>
      </c>
      <c r="E1109" s="41" t="s">
        <v>103</v>
      </c>
      <c r="F1109" s="41" t="s">
        <v>291</v>
      </c>
      <c r="G1109" s="205"/>
      <c r="H1109" s="42"/>
      <c r="I1109" s="43"/>
      <c r="J1109" s="43"/>
      <c r="K1109" s="43"/>
      <c r="L1109" s="43"/>
      <c r="M1109" s="43"/>
      <c r="N1109" s="43"/>
      <c r="O1109" s="44"/>
      <c r="P1109" s="43"/>
      <c r="Q1109" s="45"/>
      <c r="R1109" s="46"/>
    </row>
    <row r="1110" spans="1:18" ht="17.399999999999999" customHeight="1" thickBot="1" x14ac:dyDescent="0.35">
      <c r="A1110" s="200"/>
      <c r="B1110" s="201"/>
      <c r="C1110" s="201"/>
      <c r="D1110" s="201"/>
      <c r="E1110" s="201"/>
      <c r="F1110" s="201"/>
      <c r="G1110" s="201"/>
      <c r="H1110" s="201"/>
      <c r="I1110" s="201"/>
      <c r="J1110" s="201"/>
      <c r="K1110" s="201"/>
      <c r="L1110" s="201"/>
      <c r="M1110" s="201"/>
      <c r="N1110" s="201"/>
      <c r="O1110" s="201"/>
      <c r="P1110" s="201"/>
      <c r="Q1110" s="201"/>
      <c r="R1110" s="202"/>
    </row>
    <row r="1111" spans="1:18" ht="22.05" customHeight="1" thickTop="1" thickBot="1" x14ac:dyDescent="0.35">
      <c r="A1111" s="197" t="s">
        <v>6</v>
      </c>
      <c r="B1111" s="198"/>
      <c r="C1111" s="198"/>
      <c r="D1111" s="198"/>
      <c r="E1111" s="198"/>
      <c r="F1111" s="199"/>
      <c r="G1111" s="133">
        <v>46008</v>
      </c>
      <c r="H1111" s="207" t="s">
        <v>7</v>
      </c>
      <c r="I1111" s="198"/>
      <c r="J1111" s="198"/>
      <c r="K1111" s="198"/>
      <c r="L1111" s="198"/>
      <c r="M1111" s="198"/>
      <c r="N1111" s="198"/>
      <c r="O1111" s="198"/>
      <c r="P1111" s="198"/>
      <c r="Q1111" s="198"/>
      <c r="R1111" s="199"/>
    </row>
    <row r="1112" spans="1:18" ht="24" customHeight="1" x14ac:dyDescent="0.3">
      <c r="A1112" s="47" t="s">
        <v>8</v>
      </c>
      <c r="B1112" s="47" t="s">
        <v>9</v>
      </c>
      <c r="C1112" s="134" t="s">
        <v>10</v>
      </c>
      <c r="D1112" s="47" t="s">
        <v>11</v>
      </c>
      <c r="E1112" s="47" t="s">
        <v>12</v>
      </c>
      <c r="F1112" s="48" t="s">
        <v>13</v>
      </c>
      <c r="G1112" s="49" t="s">
        <v>14</v>
      </c>
      <c r="H1112" s="47" t="s">
        <v>15</v>
      </c>
      <c r="I1112" s="135" t="s">
        <v>16</v>
      </c>
      <c r="J1112" s="50" t="s">
        <v>17</v>
      </c>
      <c r="K1112" s="51" t="s">
        <v>18</v>
      </c>
      <c r="L1112" s="50" t="s">
        <v>19</v>
      </c>
      <c r="M1112" s="50" t="s">
        <v>20</v>
      </c>
      <c r="N1112" s="50" t="s">
        <v>21</v>
      </c>
      <c r="O1112" s="47" t="s">
        <v>22</v>
      </c>
      <c r="P1112" s="134" t="s">
        <v>23</v>
      </c>
      <c r="Q1112" s="50" t="s">
        <v>24</v>
      </c>
      <c r="R1112" s="47" t="s">
        <v>25</v>
      </c>
    </row>
    <row r="1113" spans="1:18" ht="15" customHeight="1" x14ac:dyDescent="0.3">
      <c r="A1113" s="8" t="s">
        <v>26</v>
      </c>
      <c r="B1113" s="8" t="s">
        <v>35</v>
      </c>
      <c r="C1113" s="116">
        <v>0.12847222222222221</v>
      </c>
      <c r="D1113" s="8" t="s">
        <v>28</v>
      </c>
      <c r="E1113" s="8" t="s">
        <v>219</v>
      </c>
      <c r="F1113" s="8" t="s">
        <v>234</v>
      </c>
      <c r="G1113" s="203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26</v>
      </c>
      <c r="B1114" s="14" t="s">
        <v>35</v>
      </c>
      <c r="C1114" s="117">
        <v>0.12847222222222221</v>
      </c>
      <c r="D1114" s="14" t="s">
        <v>31</v>
      </c>
      <c r="E1114" s="14" t="s">
        <v>219</v>
      </c>
      <c r="F1114" s="14" t="s">
        <v>63</v>
      </c>
      <c r="G1114" s="204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26</v>
      </c>
      <c r="B1115" s="14" t="s">
        <v>35</v>
      </c>
      <c r="C1115" s="117">
        <v>0.12847222222222221</v>
      </c>
      <c r="D1115" s="14" t="s">
        <v>33</v>
      </c>
      <c r="E1115" s="14" t="s">
        <v>219</v>
      </c>
      <c r="F1115" s="14" t="s">
        <v>34</v>
      </c>
      <c r="G1115" s="204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5" t="s">
        <v>26</v>
      </c>
      <c r="B1116" s="15" t="s">
        <v>39</v>
      </c>
      <c r="C1116" s="118">
        <v>0.30208333333333331</v>
      </c>
      <c r="D1116" s="15" t="s">
        <v>28</v>
      </c>
      <c r="E1116" s="15" t="s">
        <v>358</v>
      </c>
      <c r="F1116" s="15" t="s">
        <v>234</v>
      </c>
      <c r="G1116" s="204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26</v>
      </c>
      <c r="B1117" s="14" t="s">
        <v>39</v>
      </c>
      <c r="C1117" s="117">
        <v>0.30208333333333331</v>
      </c>
      <c r="D1117" s="14" t="s">
        <v>31</v>
      </c>
      <c r="E1117" s="14" t="s">
        <v>358</v>
      </c>
      <c r="F1117" s="14" t="s">
        <v>63</v>
      </c>
      <c r="G1117" s="204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26</v>
      </c>
      <c r="B1118" s="14" t="s">
        <v>39</v>
      </c>
      <c r="C1118" s="117">
        <v>0.30208333333333331</v>
      </c>
      <c r="D1118" s="14" t="s">
        <v>33</v>
      </c>
      <c r="E1118" s="14" t="s">
        <v>358</v>
      </c>
      <c r="F1118" s="14" t="s">
        <v>34</v>
      </c>
      <c r="G1118" s="204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5" t="s">
        <v>26</v>
      </c>
      <c r="B1119" s="15" t="s">
        <v>41</v>
      </c>
      <c r="C1119" s="118">
        <v>0.78819444444444442</v>
      </c>
      <c r="D1119" s="15" t="s">
        <v>28</v>
      </c>
      <c r="E1119" s="15" t="s">
        <v>29</v>
      </c>
      <c r="F1119" s="15" t="s">
        <v>234</v>
      </c>
      <c r="G1119" s="204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26</v>
      </c>
      <c r="B1120" s="14" t="s">
        <v>41</v>
      </c>
      <c r="C1120" s="117">
        <v>0.78819444444444442</v>
      </c>
      <c r="D1120" s="14" t="s">
        <v>31</v>
      </c>
      <c r="E1120" s="14" t="s">
        <v>29</v>
      </c>
      <c r="F1120" s="14" t="s">
        <v>63</v>
      </c>
      <c r="G1120" s="204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26</v>
      </c>
      <c r="B1121" s="14" t="s">
        <v>41</v>
      </c>
      <c r="C1121" s="117">
        <v>0.78819444444444442</v>
      </c>
      <c r="D1121" s="14" t="s">
        <v>33</v>
      </c>
      <c r="E1121" s="14" t="s">
        <v>29</v>
      </c>
      <c r="F1121" s="14" t="s">
        <v>34</v>
      </c>
      <c r="G1121" s="204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5" t="s">
        <v>26</v>
      </c>
      <c r="B1122" s="15" t="s">
        <v>27</v>
      </c>
      <c r="C1122" s="118">
        <v>0.88888888888888884</v>
      </c>
      <c r="D1122" s="15" t="s">
        <v>28</v>
      </c>
      <c r="E1122" s="15" t="s">
        <v>256</v>
      </c>
      <c r="F1122" s="15" t="s">
        <v>37</v>
      </c>
      <c r="G1122" s="204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26</v>
      </c>
      <c r="B1123" s="14" t="s">
        <v>27</v>
      </c>
      <c r="C1123" s="117">
        <v>0.88888888888888884</v>
      </c>
      <c r="D1123" s="14" t="s">
        <v>31</v>
      </c>
      <c r="E1123" s="14" t="s">
        <v>256</v>
      </c>
      <c r="F1123" s="14" t="s">
        <v>38</v>
      </c>
      <c r="G1123" s="204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26</v>
      </c>
      <c r="B1124" s="14" t="s">
        <v>27</v>
      </c>
      <c r="C1124" s="117">
        <v>0.88888888888888884</v>
      </c>
      <c r="D1124" s="14" t="s">
        <v>33</v>
      </c>
      <c r="E1124" s="14" t="s">
        <v>256</v>
      </c>
      <c r="F1124" s="14" t="s">
        <v>34</v>
      </c>
      <c r="G1124" s="204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6" t="s">
        <v>45</v>
      </c>
      <c r="B1125" s="16" t="s">
        <v>57</v>
      </c>
      <c r="C1125" s="119">
        <v>0.25694444444444442</v>
      </c>
      <c r="D1125" s="16" t="s">
        <v>47</v>
      </c>
      <c r="E1125" s="16" t="s">
        <v>54</v>
      </c>
      <c r="F1125" s="16" t="s">
        <v>180</v>
      </c>
      <c r="G1125" s="204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45</v>
      </c>
      <c r="B1126" s="14" t="s">
        <v>57</v>
      </c>
      <c r="C1126" s="117">
        <v>0.25694444444444442</v>
      </c>
      <c r="D1126" s="14" t="s">
        <v>49</v>
      </c>
      <c r="E1126" s="14" t="s">
        <v>54</v>
      </c>
      <c r="F1126" s="14" t="s">
        <v>196</v>
      </c>
      <c r="G1126" s="204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45</v>
      </c>
      <c r="B1127" s="14" t="s">
        <v>57</v>
      </c>
      <c r="C1127" s="117">
        <v>0.25694444444444442</v>
      </c>
      <c r="D1127" s="14" t="s">
        <v>51</v>
      </c>
      <c r="E1127" s="14" t="s">
        <v>54</v>
      </c>
      <c r="F1127" s="14" t="s">
        <v>197</v>
      </c>
      <c r="G1127" s="204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5" t="s">
        <v>45</v>
      </c>
      <c r="B1128" s="15" t="s">
        <v>59</v>
      </c>
      <c r="C1128" s="118">
        <v>0.90277777777777779</v>
      </c>
      <c r="D1128" s="15" t="s">
        <v>47</v>
      </c>
      <c r="E1128" s="15" t="s">
        <v>185</v>
      </c>
      <c r="F1128" s="15" t="s">
        <v>180</v>
      </c>
      <c r="G1128" s="204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45</v>
      </c>
      <c r="B1129" s="14" t="s">
        <v>59</v>
      </c>
      <c r="C1129" s="117">
        <v>0.90277777777777779</v>
      </c>
      <c r="D1129" s="14" t="s">
        <v>49</v>
      </c>
      <c r="E1129" s="14" t="s">
        <v>185</v>
      </c>
      <c r="F1129" s="14" t="s">
        <v>196</v>
      </c>
      <c r="G1129" s="204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45</v>
      </c>
      <c r="B1130" s="14" t="s">
        <v>59</v>
      </c>
      <c r="C1130" s="117">
        <v>0.90277777777777779</v>
      </c>
      <c r="D1130" s="14" t="s">
        <v>51</v>
      </c>
      <c r="E1130" s="14" t="s">
        <v>185</v>
      </c>
      <c r="F1130" s="14" t="s">
        <v>197</v>
      </c>
      <c r="G1130" s="204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5" t="s">
        <v>45</v>
      </c>
      <c r="B1131" s="15" t="s">
        <v>46</v>
      </c>
      <c r="C1131" s="118">
        <v>0.39583333333333331</v>
      </c>
      <c r="D1131" s="15" t="s">
        <v>47</v>
      </c>
      <c r="E1131" s="15" t="s">
        <v>61</v>
      </c>
      <c r="F1131" s="15" t="s">
        <v>180</v>
      </c>
      <c r="G1131" s="204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45</v>
      </c>
      <c r="B1132" s="14" t="s">
        <v>46</v>
      </c>
      <c r="C1132" s="117">
        <v>0.39583333333333331</v>
      </c>
      <c r="D1132" s="14" t="s">
        <v>49</v>
      </c>
      <c r="E1132" s="14" t="s">
        <v>61</v>
      </c>
      <c r="F1132" s="14" t="s">
        <v>196</v>
      </c>
      <c r="G1132" s="204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45</v>
      </c>
      <c r="B1133" s="14" t="s">
        <v>46</v>
      </c>
      <c r="C1133" s="117">
        <v>0.39583333333333331</v>
      </c>
      <c r="D1133" s="14" t="s">
        <v>51</v>
      </c>
      <c r="E1133" s="14" t="s">
        <v>61</v>
      </c>
      <c r="F1133" s="14" t="s">
        <v>197</v>
      </c>
      <c r="G1133" s="204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5" t="s">
        <v>45</v>
      </c>
      <c r="B1134" s="15" t="s">
        <v>53</v>
      </c>
      <c r="C1134" s="118">
        <v>0.85416666666666663</v>
      </c>
      <c r="D1134" s="15" t="s">
        <v>47</v>
      </c>
      <c r="E1134" s="15" t="s">
        <v>54</v>
      </c>
      <c r="F1134" s="15" t="s">
        <v>48</v>
      </c>
      <c r="G1134" s="204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45</v>
      </c>
      <c r="B1135" s="14" t="s">
        <v>53</v>
      </c>
      <c r="C1135" s="117">
        <v>0.85416666666666663</v>
      </c>
      <c r="D1135" s="14" t="s">
        <v>49</v>
      </c>
      <c r="E1135" s="14" t="s">
        <v>54</v>
      </c>
      <c r="F1135" s="14" t="s">
        <v>50</v>
      </c>
      <c r="G1135" s="204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45</v>
      </c>
      <c r="B1136" s="14" t="s">
        <v>53</v>
      </c>
      <c r="C1136" s="117">
        <v>0.85416666666666663</v>
      </c>
      <c r="D1136" s="14" t="s">
        <v>51</v>
      </c>
      <c r="E1136" s="14" t="s">
        <v>54</v>
      </c>
      <c r="F1136" s="14" t="s">
        <v>52</v>
      </c>
      <c r="G1136" s="204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5" t="s">
        <v>45</v>
      </c>
      <c r="B1137" s="15" t="s">
        <v>58</v>
      </c>
      <c r="C1137" s="118">
        <v>0.30208333333333331</v>
      </c>
      <c r="D1137" s="15" t="s">
        <v>47</v>
      </c>
      <c r="E1137" s="15" t="s">
        <v>54</v>
      </c>
      <c r="F1137" s="15" t="s">
        <v>48</v>
      </c>
      <c r="G1137" s="204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45</v>
      </c>
      <c r="B1138" s="14" t="s">
        <v>58</v>
      </c>
      <c r="C1138" s="117">
        <v>0.30208333333333331</v>
      </c>
      <c r="D1138" s="14" t="s">
        <v>49</v>
      </c>
      <c r="E1138" s="14" t="s">
        <v>54</v>
      </c>
      <c r="F1138" s="14" t="s">
        <v>50</v>
      </c>
      <c r="G1138" s="204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45</v>
      </c>
      <c r="B1139" s="14" t="s">
        <v>58</v>
      </c>
      <c r="C1139" s="117">
        <v>0.30208333333333331</v>
      </c>
      <c r="D1139" s="14" t="s">
        <v>51</v>
      </c>
      <c r="E1139" s="14" t="s">
        <v>54</v>
      </c>
      <c r="F1139" s="14" t="s">
        <v>52</v>
      </c>
      <c r="G1139" s="204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5" t="s">
        <v>45</v>
      </c>
      <c r="B1140" s="15" t="s">
        <v>62</v>
      </c>
      <c r="C1140" s="118">
        <v>0.51736111111111116</v>
      </c>
      <c r="D1140" s="15" t="s">
        <v>47</v>
      </c>
      <c r="E1140" s="15" t="s">
        <v>29</v>
      </c>
      <c r="F1140" s="15" t="s">
        <v>48</v>
      </c>
      <c r="G1140" s="204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45</v>
      </c>
      <c r="B1141" s="14" t="s">
        <v>62</v>
      </c>
      <c r="C1141" s="117">
        <v>0.51736111111111116</v>
      </c>
      <c r="D1141" s="14" t="s">
        <v>49</v>
      </c>
      <c r="E1141" s="14" t="s">
        <v>29</v>
      </c>
      <c r="F1141" s="14" t="s">
        <v>50</v>
      </c>
      <c r="G1141" s="204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45</v>
      </c>
      <c r="B1142" s="14" t="s">
        <v>62</v>
      </c>
      <c r="C1142" s="117">
        <v>0.51736111111111116</v>
      </c>
      <c r="D1142" s="14" t="s">
        <v>51</v>
      </c>
      <c r="E1142" s="14" t="s">
        <v>29</v>
      </c>
      <c r="F1142" s="14" t="s">
        <v>52</v>
      </c>
      <c r="G1142" s="204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5" t="s">
        <v>45</v>
      </c>
      <c r="B1143" s="15" t="s">
        <v>60</v>
      </c>
      <c r="C1143" s="118">
        <v>0.79861111111111116</v>
      </c>
      <c r="D1143" s="15" t="s">
        <v>47</v>
      </c>
      <c r="E1143" s="15" t="s">
        <v>185</v>
      </c>
      <c r="F1143" s="15" t="s">
        <v>48</v>
      </c>
      <c r="G1143" s="204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45</v>
      </c>
      <c r="B1144" s="14" t="s">
        <v>60</v>
      </c>
      <c r="C1144" s="117">
        <v>0.79861111111111116</v>
      </c>
      <c r="D1144" s="14" t="s">
        <v>49</v>
      </c>
      <c r="E1144" s="14" t="s">
        <v>185</v>
      </c>
      <c r="F1144" s="14" t="s">
        <v>50</v>
      </c>
      <c r="G1144" s="204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45</v>
      </c>
      <c r="B1145" s="14" t="s">
        <v>60</v>
      </c>
      <c r="C1145" s="117">
        <v>0.79861111111111116</v>
      </c>
      <c r="D1145" s="14" t="s">
        <v>51</v>
      </c>
      <c r="E1145" s="14" t="s">
        <v>185</v>
      </c>
      <c r="F1145" s="14" t="s">
        <v>52</v>
      </c>
      <c r="G1145" s="204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5" t="s">
        <v>45</v>
      </c>
      <c r="B1146" s="15" t="s">
        <v>66</v>
      </c>
      <c r="C1146" s="118">
        <v>0.64583333333333337</v>
      </c>
      <c r="D1146" s="15" t="s">
        <v>47</v>
      </c>
      <c r="E1146" s="15" t="s">
        <v>54</v>
      </c>
      <c r="F1146" s="15" t="s">
        <v>48</v>
      </c>
      <c r="G1146" s="204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45</v>
      </c>
      <c r="B1147" s="14" t="s">
        <v>66</v>
      </c>
      <c r="C1147" s="117">
        <v>0.64583333333333337</v>
      </c>
      <c r="D1147" s="14" t="s">
        <v>49</v>
      </c>
      <c r="E1147" s="14" t="s">
        <v>54</v>
      </c>
      <c r="F1147" s="14" t="s">
        <v>50</v>
      </c>
      <c r="G1147" s="204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45</v>
      </c>
      <c r="B1148" s="14" t="s">
        <v>66</v>
      </c>
      <c r="C1148" s="117">
        <v>0.64583333333333337</v>
      </c>
      <c r="D1148" s="14" t="s">
        <v>51</v>
      </c>
      <c r="E1148" s="14" t="s">
        <v>54</v>
      </c>
      <c r="F1148" s="14" t="s">
        <v>52</v>
      </c>
      <c r="G1148" s="204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6" t="s">
        <v>79</v>
      </c>
      <c r="B1149" s="16" t="s">
        <v>84</v>
      </c>
      <c r="C1149" s="119">
        <v>0.3923611111111111</v>
      </c>
      <c r="D1149" s="16" t="s">
        <v>81</v>
      </c>
      <c r="E1149" s="16" t="s">
        <v>54</v>
      </c>
      <c r="F1149" s="16" t="s">
        <v>257</v>
      </c>
      <c r="G1149" s="204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79</v>
      </c>
      <c r="B1150" s="14" t="s">
        <v>84</v>
      </c>
      <c r="C1150" s="117">
        <v>0.3923611111111111</v>
      </c>
      <c r="D1150" s="14" t="s">
        <v>33</v>
      </c>
      <c r="E1150" s="14" t="s">
        <v>54</v>
      </c>
      <c r="F1150" s="14" t="s">
        <v>85</v>
      </c>
      <c r="G1150" s="204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7" t="s">
        <v>87</v>
      </c>
      <c r="B1151" s="17" t="s">
        <v>109</v>
      </c>
      <c r="C1151" s="120">
        <v>0.47916666666666669</v>
      </c>
      <c r="D1151" s="17" t="s">
        <v>89</v>
      </c>
      <c r="E1151" s="17" t="s">
        <v>185</v>
      </c>
      <c r="F1151" s="17" t="s">
        <v>77</v>
      </c>
      <c r="G1151" s="204"/>
      <c r="H1151" s="18" t="s">
        <v>111</v>
      </c>
      <c r="I1151" s="166">
        <v>0.1061</v>
      </c>
      <c r="J1151" s="19">
        <v>19</v>
      </c>
      <c r="K1151" s="20" t="s">
        <v>92</v>
      </c>
      <c r="L1151" s="19">
        <v>9</v>
      </c>
      <c r="M1151" s="19">
        <v>1</v>
      </c>
      <c r="N1151" s="19">
        <v>4</v>
      </c>
      <c r="O1151" s="21" t="s">
        <v>359</v>
      </c>
      <c r="P1151" s="122">
        <v>0.47916666666666669</v>
      </c>
      <c r="Q1151" s="19">
        <v>179</v>
      </c>
      <c r="R1151" s="22" t="s">
        <v>360</v>
      </c>
    </row>
    <row r="1152" spans="1:18" ht="15" customHeight="1" x14ac:dyDescent="0.3">
      <c r="A1152" s="78" t="s">
        <v>87</v>
      </c>
      <c r="B1152" s="78" t="s">
        <v>95</v>
      </c>
      <c r="C1152" s="157">
        <v>0.61458333333333337</v>
      </c>
      <c r="D1152" s="78" t="s">
        <v>89</v>
      </c>
      <c r="E1152" s="78" t="s">
        <v>61</v>
      </c>
      <c r="F1152" s="78" t="s">
        <v>207</v>
      </c>
      <c r="G1152" s="204"/>
      <c r="H1152" s="53" t="s">
        <v>98</v>
      </c>
      <c r="I1152" s="137">
        <v>0.79890000000000005</v>
      </c>
      <c r="J1152" s="54">
        <v>143</v>
      </c>
      <c r="K1152" s="55" t="s">
        <v>92</v>
      </c>
      <c r="L1152" s="54">
        <v>7</v>
      </c>
      <c r="M1152" s="54">
        <v>1</v>
      </c>
      <c r="N1152" s="54">
        <v>0</v>
      </c>
      <c r="O1152" s="56" t="s">
        <v>269</v>
      </c>
      <c r="P1152" s="138">
        <v>0.61458333333333337</v>
      </c>
      <c r="Q1152" s="54">
        <v>179</v>
      </c>
      <c r="R1152" s="57" t="s">
        <v>361</v>
      </c>
    </row>
    <row r="1153" spans="1:18" ht="15" customHeight="1" x14ac:dyDescent="0.3">
      <c r="A1153" s="35" t="s">
        <v>87</v>
      </c>
      <c r="B1153" s="35" t="s">
        <v>88</v>
      </c>
      <c r="C1153" s="129">
        <v>0.52083333333333337</v>
      </c>
      <c r="D1153" s="35" t="s">
        <v>89</v>
      </c>
      <c r="E1153" s="35" t="s">
        <v>110</v>
      </c>
      <c r="F1153" s="35" t="s">
        <v>207</v>
      </c>
      <c r="G1153" s="204"/>
      <c r="H1153" s="36" t="s">
        <v>91</v>
      </c>
      <c r="I1153" s="143">
        <v>0.53069999999999995</v>
      </c>
      <c r="J1153" s="37">
        <v>95</v>
      </c>
      <c r="K1153" s="38" t="s">
        <v>99</v>
      </c>
      <c r="L1153" s="37">
        <v>7</v>
      </c>
      <c r="M1153" s="37">
        <v>0</v>
      </c>
      <c r="N1153" s="37">
        <v>1</v>
      </c>
      <c r="O1153" s="39" t="s">
        <v>362</v>
      </c>
      <c r="P1153" s="131">
        <v>0.52083333333333337</v>
      </c>
      <c r="Q1153" s="37">
        <v>179</v>
      </c>
      <c r="R1153" s="40" t="s">
        <v>363</v>
      </c>
    </row>
    <row r="1154" spans="1:18" ht="15" customHeight="1" x14ac:dyDescent="0.3">
      <c r="A1154" s="16" t="s">
        <v>74</v>
      </c>
      <c r="B1154" s="16" t="s">
        <v>78</v>
      </c>
      <c r="C1154" s="119">
        <v>0.66666666666666663</v>
      </c>
      <c r="D1154" s="16" t="s">
        <v>72</v>
      </c>
      <c r="E1154" s="16" t="s">
        <v>76</v>
      </c>
      <c r="F1154" s="16" t="s">
        <v>77</v>
      </c>
      <c r="G1154" s="204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6" t="s">
        <v>130</v>
      </c>
      <c r="B1155" s="16" t="s">
        <v>146</v>
      </c>
      <c r="C1155" s="119">
        <v>0.1423611111111111</v>
      </c>
      <c r="D1155" s="16" t="s">
        <v>364</v>
      </c>
      <c r="E1155" s="16" t="s">
        <v>29</v>
      </c>
      <c r="F1155" s="16" t="s">
        <v>365</v>
      </c>
      <c r="G1155" s="204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130</v>
      </c>
      <c r="B1156" s="14" t="s">
        <v>146</v>
      </c>
      <c r="C1156" s="117">
        <v>0.1423611111111111</v>
      </c>
      <c r="D1156" s="14" t="s">
        <v>132</v>
      </c>
      <c r="E1156" s="14" t="s">
        <v>29</v>
      </c>
      <c r="F1156" s="14" t="s">
        <v>366</v>
      </c>
      <c r="G1156" s="204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130</v>
      </c>
      <c r="B1157" s="14" t="s">
        <v>146</v>
      </c>
      <c r="C1157" s="117">
        <v>0.1423611111111111</v>
      </c>
      <c r="D1157" s="14" t="s">
        <v>134</v>
      </c>
      <c r="E1157" s="14" t="s">
        <v>29</v>
      </c>
      <c r="F1157" s="14" t="s">
        <v>367</v>
      </c>
      <c r="G1157" s="204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5" t="s">
        <v>130</v>
      </c>
      <c r="B1158" s="15" t="s">
        <v>136</v>
      </c>
      <c r="C1158" s="118">
        <v>0.37847222222222221</v>
      </c>
      <c r="D1158" s="15" t="s">
        <v>132</v>
      </c>
      <c r="E1158" s="15" t="s">
        <v>76</v>
      </c>
      <c r="F1158" s="15" t="s">
        <v>335</v>
      </c>
      <c r="G1158" s="204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130</v>
      </c>
      <c r="B1159" s="14" t="s">
        <v>136</v>
      </c>
      <c r="C1159" s="117">
        <v>0.37847222222222221</v>
      </c>
      <c r="D1159" s="14" t="s">
        <v>134</v>
      </c>
      <c r="E1159" s="14" t="s">
        <v>76</v>
      </c>
      <c r="F1159" s="14" t="s">
        <v>280</v>
      </c>
      <c r="G1159" s="204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5" t="s">
        <v>130</v>
      </c>
      <c r="B1160" s="15" t="s">
        <v>143</v>
      </c>
      <c r="C1160" s="118">
        <v>6.9444444444444441E-3</v>
      </c>
      <c r="D1160" s="15" t="s">
        <v>132</v>
      </c>
      <c r="E1160" s="15" t="s">
        <v>76</v>
      </c>
      <c r="F1160" s="15" t="s">
        <v>176</v>
      </c>
      <c r="G1160" s="204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130</v>
      </c>
      <c r="B1161" s="14" t="s">
        <v>143</v>
      </c>
      <c r="C1161" s="117">
        <v>6.9444444444444441E-3</v>
      </c>
      <c r="D1161" s="14" t="s">
        <v>134</v>
      </c>
      <c r="E1161" s="14" t="s">
        <v>76</v>
      </c>
      <c r="F1161" s="14" t="s">
        <v>177</v>
      </c>
      <c r="G1161" s="204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5" t="s">
        <v>130</v>
      </c>
      <c r="B1162" s="15" t="s">
        <v>147</v>
      </c>
      <c r="C1162" s="118">
        <v>0.71875</v>
      </c>
      <c r="D1162" s="15" t="s">
        <v>132</v>
      </c>
      <c r="E1162" s="15" t="s">
        <v>76</v>
      </c>
      <c r="F1162" s="15" t="s">
        <v>176</v>
      </c>
      <c r="G1162" s="204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130</v>
      </c>
      <c r="B1163" s="14" t="s">
        <v>147</v>
      </c>
      <c r="C1163" s="117">
        <v>0.71875</v>
      </c>
      <c r="D1163" s="14" t="s">
        <v>134</v>
      </c>
      <c r="E1163" s="14" t="s">
        <v>76</v>
      </c>
      <c r="F1163" s="14" t="s">
        <v>177</v>
      </c>
      <c r="G1163" s="204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5" t="s">
        <v>130</v>
      </c>
      <c r="B1164" s="15" t="s">
        <v>137</v>
      </c>
      <c r="C1164" s="118">
        <v>0.61111111111111116</v>
      </c>
      <c r="D1164" s="15" t="s">
        <v>132</v>
      </c>
      <c r="E1164" s="15" t="s">
        <v>76</v>
      </c>
      <c r="F1164" s="15" t="s">
        <v>176</v>
      </c>
      <c r="G1164" s="204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130</v>
      </c>
      <c r="B1165" s="14" t="s">
        <v>137</v>
      </c>
      <c r="C1165" s="117">
        <v>0.61111111111111116</v>
      </c>
      <c r="D1165" s="14" t="s">
        <v>134</v>
      </c>
      <c r="E1165" s="14" t="s">
        <v>76</v>
      </c>
      <c r="F1165" s="14" t="s">
        <v>177</v>
      </c>
      <c r="G1165" s="204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5" t="s">
        <v>130</v>
      </c>
      <c r="B1166" s="15" t="s">
        <v>138</v>
      </c>
      <c r="C1166" s="118">
        <v>0.23958333333333329</v>
      </c>
      <c r="D1166" s="15" t="s">
        <v>132</v>
      </c>
      <c r="E1166" s="15" t="s">
        <v>76</v>
      </c>
      <c r="F1166" s="15" t="s">
        <v>176</v>
      </c>
      <c r="G1166" s="204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130</v>
      </c>
      <c r="B1167" s="14" t="s">
        <v>138</v>
      </c>
      <c r="C1167" s="117">
        <v>0.23958333333333329</v>
      </c>
      <c r="D1167" s="14" t="s">
        <v>134</v>
      </c>
      <c r="E1167" s="14" t="s">
        <v>76</v>
      </c>
      <c r="F1167" s="14" t="s">
        <v>177</v>
      </c>
      <c r="G1167" s="204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5" t="s">
        <v>130</v>
      </c>
      <c r="B1168" s="15" t="s">
        <v>141</v>
      </c>
      <c r="C1168" s="118">
        <v>0.30208333333333331</v>
      </c>
      <c r="D1168" s="15" t="s">
        <v>134</v>
      </c>
      <c r="E1168" s="15" t="s">
        <v>110</v>
      </c>
      <c r="F1168" s="15" t="s">
        <v>250</v>
      </c>
      <c r="G1168" s="204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5" t="s">
        <v>130</v>
      </c>
      <c r="B1169" s="15" t="s">
        <v>142</v>
      </c>
      <c r="C1169" s="118">
        <v>0.12847222222222221</v>
      </c>
      <c r="D1169" s="15" t="s">
        <v>134</v>
      </c>
      <c r="E1169" s="15" t="s">
        <v>110</v>
      </c>
      <c r="F1169" s="15" t="s">
        <v>250</v>
      </c>
      <c r="G1169" s="204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5" t="s">
        <v>130</v>
      </c>
      <c r="B1170" s="15" t="s">
        <v>149</v>
      </c>
      <c r="C1170" s="118">
        <v>0.78819444444444442</v>
      </c>
      <c r="D1170" s="15" t="s">
        <v>134</v>
      </c>
      <c r="E1170" s="15" t="s">
        <v>110</v>
      </c>
      <c r="F1170" s="15" t="s">
        <v>218</v>
      </c>
      <c r="G1170" s="204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5" t="s">
        <v>130</v>
      </c>
      <c r="B1171" s="15" t="s">
        <v>139</v>
      </c>
      <c r="C1171" s="118">
        <v>0.88888888888888884</v>
      </c>
      <c r="D1171" s="15" t="s">
        <v>134</v>
      </c>
      <c r="E1171" s="15" t="s">
        <v>110</v>
      </c>
      <c r="F1171" s="15" t="s">
        <v>140</v>
      </c>
      <c r="G1171" s="204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5" t="s">
        <v>130</v>
      </c>
      <c r="B1172" s="15" t="s">
        <v>131</v>
      </c>
      <c r="C1172" s="118">
        <v>0.93055555555555558</v>
      </c>
      <c r="D1172" s="15" t="s">
        <v>132</v>
      </c>
      <c r="E1172" s="15" t="s">
        <v>96</v>
      </c>
      <c r="F1172" s="15" t="s">
        <v>144</v>
      </c>
      <c r="G1172" s="204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130</v>
      </c>
      <c r="B1173" s="14" t="s">
        <v>131</v>
      </c>
      <c r="C1173" s="117">
        <v>0.93055555555555558</v>
      </c>
      <c r="D1173" s="14" t="s">
        <v>134</v>
      </c>
      <c r="E1173" s="14" t="s">
        <v>96</v>
      </c>
      <c r="F1173" s="14" t="s">
        <v>145</v>
      </c>
      <c r="G1173" s="204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5" t="s">
        <v>130</v>
      </c>
      <c r="B1174" s="15" t="s">
        <v>148</v>
      </c>
      <c r="C1174" s="118">
        <v>0.82986111111111116</v>
      </c>
      <c r="D1174" s="15" t="s">
        <v>132</v>
      </c>
      <c r="E1174" s="15" t="s">
        <v>76</v>
      </c>
      <c r="F1174" s="15" t="s">
        <v>144</v>
      </c>
      <c r="G1174" s="204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130</v>
      </c>
      <c r="B1175" s="14" t="s">
        <v>148</v>
      </c>
      <c r="C1175" s="117">
        <v>0.82986111111111116</v>
      </c>
      <c r="D1175" s="14" t="s">
        <v>134</v>
      </c>
      <c r="E1175" s="14" t="s">
        <v>76</v>
      </c>
      <c r="F1175" s="14" t="s">
        <v>145</v>
      </c>
      <c r="G1175" s="204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6" t="s">
        <v>115</v>
      </c>
      <c r="B1176" s="16" t="s">
        <v>116</v>
      </c>
      <c r="C1176" s="119">
        <v>0.22222222222222221</v>
      </c>
      <c r="D1176" s="16" t="s">
        <v>124</v>
      </c>
      <c r="E1176" s="16" t="s">
        <v>76</v>
      </c>
      <c r="F1176" s="16" t="s">
        <v>125</v>
      </c>
      <c r="G1176" s="204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5" t="s">
        <v>115</v>
      </c>
      <c r="B1177" s="15" t="s">
        <v>121</v>
      </c>
      <c r="C1177" s="118">
        <v>0.4861111111111111</v>
      </c>
      <c r="D1177" s="15" t="s">
        <v>124</v>
      </c>
      <c r="E1177" s="15" t="s">
        <v>76</v>
      </c>
      <c r="F1177" s="15" t="s">
        <v>125</v>
      </c>
      <c r="G1177" s="204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5" t="s">
        <v>115</v>
      </c>
      <c r="B1178" s="15" t="s">
        <v>119</v>
      </c>
      <c r="C1178" s="118">
        <v>0.14583333333333329</v>
      </c>
      <c r="D1178" s="15" t="s">
        <v>124</v>
      </c>
      <c r="E1178" s="15" t="s">
        <v>76</v>
      </c>
      <c r="F1178" s="15" t="s">
        <v>253</v>
      </c>
      <c r="G1178" s="204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5" t="s">
        <v>115</v>
      </c>
      <c r="B1179" s="15" t="s">
        <v>120</v>
      </c>
      <c r="C1179" s="118">
        <v>0.27777777777777779</v>
      </c>
      <c r="D1179" s="15" t="s">
        <v>124</v>
      </c>
      <c r="E1179" s="15" t="s">
        <v>76</v>
      </c>
      <c r="F1179" s="15" t="s">
        <v>368</v>
      </c>
      <c r="G1179" s="204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5" t="s">
        <v>115</v>
      </c>
      <c r="B1180" s="15" t="s">
        <v>122</v>
      </c>
      <c r="C1180" s="118">
        <v>0.51388888888888884</v>
      </c>
      <c r="D1180" s="15" t="s">
        <v>124</v>
      </c>
      <c r="E1180" s="15" t="s">
        <v>76</v>
      </c>
      <c r="F1180" s="15" t="s">
        <v>129</v>
      </c>
      <c r="G1180" s="204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5" t="s">
        <v>115</v>
      </c>
      <c r="B1181" s="15" t="s">
        <v>123</v>
      </c>
      <c r="C1181" s="118">
        <v>0.95833333333333337</v>
      </c>
      <c r="D1181" s="15" t="s">
        <v>124</v>
      </c>
      <c r="E1181" s="15" t="s">
        <v>76</v>
      </c>
      <c r="F1181" s="15" t="s">
        <v>255</v>
      </c>
      <c r="G1181" s="204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thickBot="1" x14ac:dyDescent="0.35">
      <c r="A1182" s="41" t="s">
        <v>115</v>
      </c>
      <c r="B1182" s="41" t="s">
        <v>126</v>
      </c>
      <c r="C1182" s="132">
        <v>0.77083333333333337</v>
      </c>
      <c r="D1182" s="41" t="s">
        <v>124</v>
      </c>
      <c r="E1182" s="41" t="s">
        <v>76</v>
      </c>
      <c r="F1182" s="41" t="s">
        <v>291</v>
      </c>
      <c r="G1182" s="205"/>
      <c r="H1182" s="42"/>
      <c r="I1182" s="43"/>
      <c r="J1182" s="43"/>
      <c r="K1182" s="43"/>
      <c r="L1182" s="43"/>
      <c r="M1182" s="43"/>
      <c r="N1182" s="43"/>
      <c r="O1182" s="44"/>
      <c r="P1182" s="43"/>
      <c r="Q1182" s="45"/>
      <c r="R1182" s="46"/>
    </row>
    <row r="1183" spans="1:18" ht="17.399999999999999" customHeight="1" thickBot="1" x14ac:dyDescent="0.35">
      <c r="A1183" s="200"/>
      <c r="B1183" s="201"/>
      <c r="C1183" s="201"/>
      <c r="D1183" s="201"/>
      <c r="E1183" s="201"/>
      <c r="F1183" s="201"/>
      <c r="G1183" s="201"/>
      <c r="H1183" s="201"/>
      <c r="I1183" s="201"/>
      <c r="J1183" s="201"/>
      <c r="K1183" s="201"/>
      <c r="L1183" s="201"/>
      <c r="M1183" s="201"/>
      <c r="N1183" s="201"/>
      <c r="O1183" s="201"/>
      <c r="P1183" s="201"/>
      <c r="Q1183" s="201"/>
      <c r="R1183" s="202"/>
    </row>
    <row r="1184" spans="1:18" ht="22.05" customHeight="1" thickTop="1" thickBot="1" x14ac:dyDescent="0.35">
      <c r="A1184" s="197" t="s">
        <v>6</v>
      </c>
      <c r="B1184" s="198"/>
      <c r="C1184" s="198"/>
      <c r="D1184" s="198"/>
      <c r="E1184" s="198"/>
      <c r="F1184" s="199"/>
      <c r="G1184" s="133">
        <v>46009</v>
      </c>
      <c r="H1184" s="207" t="s">
        <v>7</v>
      </c>
      <c r="I1184" s="198"/>
      <c r="J1184" s="198"/>
      <c r="K1184" s="198"/>
      <c r="L1184" s="198"/>
      <c r="M1184" s="198"/>
      <c r="N1184" s="198"/>
      <c r="O1184" s="198"/>
      <c r="P1184" s="198"/>
      <c r="Q1184" s="198"/>
      <c r="R1184" s="199"/>
    </row>
    <row r="1185" spans="1:18" ht="24" customHeight="1" x14ac:dyDescent="0.3">
      <c r="A1185" s="47" t="s">
        <v>8</v>
      </c>
      <c r="B1185" s="47" t="s">
        <v>9</v>
      </c>
      <c r="C1185" s="134" t="s">
        <v>10</v>
      </c>
      <c r="D1185" s="47" t="s">
        <v>11</v>
      </c>
      <c r="E1185" s="47" t="s">
        <v>12</v>
      </c>
      <c r="F1185" s="48" t="s">
        <v>13</v>
      </c>
      <c r="G1185" s="49" t="s">
        <v>14</v>
      </c>
      <c r="H1185" s="47" t="s">
        <v>15</v>
      </c>
      <c r="I1185" s="135" t="s">
        <v>16</v>
      </c>
      <c r="J1185" s="50" t="s">
        <v>17</v>
      </c>
      <c r="K1185" s="51" t="s">
        <v>18</v>
      </c>
      <c r="L1185" s="50" t="s">
        <v>19</v>
      </c>
      <c r="M1185" s="50" t="s">
        <v>20</v>
      </c>
      <c r="N1185" s="50" t="s">
        <v>21</v>
      </c>
      <c r="O1185" s="47" t="s">
        <v>22</v>
      </c>
      <c r="P1185" s="134" t="s">
        <v>23</v>
      </c>
      <c r="Q1185" s="50" t="s">
        <v>24</v>
      </c>
      <c r="R1185" s="47" t="s">
        <v>25</v>
      </c>
    </row>
    <row r="1186" spans="1:18" ht="15" customHeight="1" x14ac:dyDescent="0.3">
      <c r="A1186" s="8" t="s">
        <v>26</v>
      </c>
      <c r="B1186" s="8" t="s">
        <v>35</v>
      </c>
      <c r="C1186" s="116">
        <v>0.12847222222222221</v>
      </c>
      <c r="D1186" s="8" t="s">
        <v>28</v>
      </c>
      <c r="E1186" s="8" t="s">
        <v>42</v>
      </c>
      <c r="F1186" s="8" t="s">
        <v>234</v>
      </c>
      <c r="G1186" s="206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26</v>
      </c>
      <c r="B1187" s="14" t="s">
        <v>35</v>
      </c>
      <c r="C1187" s="117">
        <v>0.12847222222222221</v>
      </c>
      <c r="D1187" s="14" t="s">
        <v>31</v>
      </c>
      <c r="E1187" s="14" t="s">
        <v>42</v>
      </c>
      <c r="F1187" s="14" t="s">
        <v>63</v>
      </c>
      <c r="G1187" s="204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26</v>
      </c>
      <c r="B1188" s="14" t="s">
        <v>35</v>
      </c>
      <c r="C1188" s="117">
        <v>0.12847222222222221</v>
      </c>
      <c r="D1188" s="14" t="s">
        <v>33</v>
      </c>
      <c r="E1188" s="14" t="s">
        <v>42</v>
      </c>
      <c r="F1188" s="14" t="s">
        <v>34</v>
      </c>
      <c r="G1188" s="204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5" t="s">
        <v>26</v>
      </c>
      <c r="B1189" s="15" t="s">
        <v>39</v>
      </c>
      <c r="C1189" s="118">
        <v>0.30208333333333331</v>
      </c>
      <c r="D1189" s="15" t="s">
        <v>28</v>
      </c>
      <c r="E1189" s="15" t="s">
        <v>296</v>
      </c>
      <c r="F1189" s="15" t="s">
        <v>234</v>
      </c>
      <c r="G1189" s="204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26</v>
      </c>
      <c r="B1190" s="14" t="s">
        <v>39</v>
      </c>
      <c r="C1190" s="117">
        <v>0.30208333333333331</v>
      </c>
      <c r="D1190" s="14" t="s">
        <v>31</v>
      </c>
      <c r="E1190" s="14" t="s">
        <v>296</v>
      </c>
      <c r="F1190" s="14" t="s">
        <v>63</v>
      </c>
      <c r="G1190" s="204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39</v>
      </c>
      <c r="C1191" s="117">
        <v>0.30208333333333331</v>
      </c>
      <c r="D1191" s="14" t="s">
        <v>33</v>
      </c>
      <c r="E1191" s="14" t="s">
        <v>296</v>
      </c>
      <c r="F1191" s="14" t="s">
        <v>34</v>
      </c>
      <c r="G1191" s="204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5" t="s">
        <v>26</v>
      </c>
      <c r="B1192" s="15" t="s">
        <v>27</v>
      </c>
      <c r="C1192" s="118">
        <v>0.88888888888888884</v>
      </c>
      <c r="D1192" s="15" t="s">
        <v>28</v>
      </c>
      <c r="E1192" s="15" t="s">
        <v>296</v>
      </c>
      <c r="F1192" s="15" t="s">
        <v>30</v>
      </c>
      <c r="G1192" s="204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26</v>
      </c>
      <c r="B1193" s="14" t="s">
        <v>27</v>
      </c>
      <c r="C1193" s="117">
        <v>0.88888888888888884</v>
      </c>
      <c r="D1193" s="14" t="s">
        <v>31</v>
      </c>
      <c r="E1193" s="14" t="s">
        <v>296</v>
      </c>
      <c r="F1193" s="14" t="s">
        <v>32</v>
      </c>
      <c r="G1193" s="204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26</v>
      </c>
      <c r="B1194" s="14" t="s">
        <v>27</v>
      </c>
      <c r="C1194" s="117">
        <v>0.88888888888888884</v>
      </c>
      <c r="D1194" s="14" t="s">
        <v>33</v>
      </c>
      <c r="E1194" s="14" t="s">
        <v>296</v>
      </c>
      <c r="F1194" s="14" t="s">
        <v>34</v>
      </c>
      <c r="G1194" s="204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5" t="s">
        <v>26</v>
      </c>
      <c r="B1195" s="15" t="s">
        <v>41</v>
      </c>
      <c r="C1195" s="118">
        <v>0.78819444444444442</v>
      </c>
      <c r="D1195" s="15" t="s">
        <v>28</v>
      </c>
      <c r="E1195" s="15" t="s">
        <v>110</v>
      </c>
      <c r="F1195" s="15" t="s">
        <v>30</v>
      </c>
      <c r="G1195" s="204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26</v>
      </c>
      <c r="B1196" s="14" t="s">
        <v>41</v>
      </c>
      <c r="C1196" s="117">
        <v>0.78819444444444442</v>
      </c>
      <c r="D1196" s="14" t="s">
        <v>31</v>
      </c>
      <c r="E1196" s="14" t="s">
        <v>110</v>
      </c>
      <c r="F1196" s="14" t="s">
        <v>32</v>
      </c>
      <c r="G1196" s="204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26</v>
      </c>
      <c r="B1197" s="14" t="s">
        <v>41</v>
      </c>
      <c r="C1197" s="117">
        <v>0.78819444444444442</v>
      </c>
      <c r="D1197" s="14" t="s">
        <v>33</v>
      </c>
      <c r="E1197" s="14" t="s">
        <v>110</v>
      </c>
      <c r="F1197" s="14" t="s">
        <v>34</v>
      </c>
      <c r="G1197" s="204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6" t="s">
        <v>45</v>
      </c>
      <c r="B1198" s="16" t="s">
        <v>57</v>
      </c>
      <c r="C1198" s="119">
        <v>0.25694444444444442</v>
      </c>
      <c r="D1198" s="16" t="s">
        <v>47</v>
      </c>
      <c r="E1198" s="16" t="s">
        <v>61</v>
      </c>
      <c r="F1198" s="16" t="s">
        <v>180</v>
      </c>
      <c r="G1198" s="204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45</v>
      </c>
      <c r="B1199" s="14" t="s">
        <v>57</v>
      </c>
      <c r="C1199" s="117">
        <v>0.25694444444444442</v>
      </c>
      <c r="D1199" s="14" t="s">
        <v>49</v>
      </c>
      <c r="E1199" s="14" t="s">
        <v>61</v>
      </c>
      <c r="F1199" s="14" t="s">
        <v>196</v>
      </c>
      <c r="G1199" s="204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45</v>
      </c>
      <c r="B1200" s="14" t="s">
        <v>57</v>
      </c>
      <c r="C1200" s="117">
        <v>0.25694444444444442</v>
      </c>
      <c r="D1200" s="14" t="s">
        <v>51</v>
      </c>
      <c r="E1200" s="14" t="s">
        <v>61</v>
      </c>
      <c r="F1200" s="14" t="s">
        <v>197</v>
      </c>
      <c r="G1200" s="204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5" t="s">
        <v>45</v>
      </c>
      <c r="B1201" s="15" t="s">
        <v>58</v>
      </c>
      <c r="C1201" s="118">
        <v>0.30208333333333331</v>
      </c>
      <c r="D1201" s="15" t="s">
        <v>47</v>
      </c>
      <c r="E1201" s="15" t="s">
        <v>54</v>
      </c>
      <c r="F1201" s="15" t="s">
        <v>180</v>
      </c>
      <c r="G1201" s="204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45</v>
      </c>
      <c r="B1202" s="14" t="s">
        <v>58</v>
      </c>
      <c r="C1202" s="117">
        <v>0.30208333333333331</v>
      </c>
      <c r="D1202" s="14" t="s">
        <v>49</v>
      </c>
      <c r="E1202" s="14" t="s">
        <v>54</v>
      </c>
      <c r="F1202" s="14" t="s">
        <v>196</v>
      </c>
      <c r="G1202" s="204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45</v>
      </c>
      <c r="B1203" s="14" t="s">
        <v>58</v>
      </c>
      <c r="C1203" s="117">
        <v>0.30208333333333331</v>
      </c>
      <c r="D1203" s="14" t="s">
        <v>51</v>
      </c>
      <c r="E1203" s="14" t="s">
        <v>54</v>
      </c>
      <c r="F1203" s="14" t="s">
        <v>197</v>
      </c>
      <c r="G1203" s="204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5" t="s">
        <v>45</v>
      </c>
      <c r="B1204" s="15" t="s">
        <v>46</v>
      </c>
      <c r="C1204" s="118">
        <v>0.39583333333333331</v>
      </c>
      <c r="D1204" s="15" t="s">
        <v>47</v>
      </c>
      <c r="E1204" s="15" t="s">
        <v>96</v>
      </c>
      <c r="F1204" s="15" t="s">
        <v>180</v>
      </c>
      <c r="G1204" s="204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45</v>
      </c>
      <c r="B1205" s="14" t="s">
        <v>46</v>
      </c>
      <c r="C1205" s="117">
        <v>0.39583333333333331</v>
      </c>
      <c r="D1205" s="14" t="s">
        <v>49</v>
      </c>
      <c r="E1205" s="14" t="s">
        <v>96</v>
      </c>
      <c r="F1205" s="14" t="s">
        <v>196</v>
      </c>
      <c r="G1205" s="204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45</v>
      </c>
      <c r="B1206" s="14" t="s">
        <v>46</v>
      </c>
      <c r="C1206" s="117">
        <v>0.39583333333333331</v>
      </c>
      <c r="D1206" s="14" t="s">
        <v>51</v>
      </c>
      <c r="E1206" s="14" t="s">
        <v>96</v>
      </c>
      <c r="F1206" s="14" t="s">
        <v>197</v>
      </c>
      <c r="G1206" s="204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5" t="s">
        <v>45</v>
      </c>
      <c r="B1207" s="15" t="s">
        <v>53</v>
      </c>
      <c r="C1207" s="118">
        <v>0.85416666666666663</v>
      </c>
      <c r="D1207" s="15" t="s">
        <v>47</v>
      </c>
      <c r="E1207" s="15" t="s">
        <v>96</v>
      </c>
      <c r="F1207" s="15" t="s">
        <v>55</v>
      </c>
      <c r="G1207" s="204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45</v>
      </c>
      <c r="B1208" s="14" t="s">
        <v>53</v>
      </c>
      <c r="C1208" s="117">
        <v>0.85416666666666663</v>
      </c>
      <c r="D1208" s="14" t="s">
        <v>49</v>
      </c>
      <c r="E1208" s="14" t="s">
        <v>96</v>
      </c>
      <c r="F1208" s="14" t="s">
        <v>32</v>
      </c>
      <c r="G1208" s="204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45</v>
      </c>
      <c r="B1209" s="14" t="s">
        <v>53</v>
      </c>
      <c r="C1209" s="117">
        <v>0.85416666666666663</v>
      </c>
      <c r="D1209" s="14" t="s">
        <v>51</v>
      </c>
      <c r="E1209" s="14" t="s">
        <v>96</v>
      </c>
      <c r="F1209" s="14" t="s">
        <v>56</v>
      </c>
      <c r="G1209" s="204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5" t="s">
        <v>45</v>
      </c>
      <c r="B1210" s="15" t="s">
        <v>62</v>
      </c>
      <c r="C1210" s="118">
        <v>0.51736111111111116</v>
      </c>
      <c r="D1210" s="15" t="s">
        <v>47</v>
      </c>
      <c r="E1210" s="15" t="s">
        <v>54</v>
      </c>
      <c r="F1210" s="15" t="s">
        <v>55</v>
      </c>
      <c r="G1210" s="204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45</v>
      </c>
      <c r="B1211" s="14" t="s">
        <v>62</v>
      </c>
      <c r="C1211" s="117">
        <v>0.51736111111111116</v>
      </c>
      <c r="D1211" s="14" t="s">
        <v>49</v>
      </c>
      <c r="E1211" s="14" t="s">
        <v>54</v>
      </c>
      <c r="F1211" s="14" t="s">
        <v>32</v>
      </c>
      <c r="G1211" s="204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45</v>
      </c>
      <c r="B1212" s="14" t="s">
        <v>62</v>
      </c>
      <c r="C1212" s="117">
        <v>0.51736111111111116</v>
      </c>
      <c r="D1212" s="14" t="s">
        <v>51</v>
      </c>
      <c r="E1212" s="14" t="s">
        <v>54</v>
      </c>
      <c r="F1212" s="14" t="s">
        <v>56</v>
      </c>
      <c r="G1212" s="204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5" t="s">
        <v>45</v>
      </c>
      <c r="B1213" s="15" t="s">
        <v>59</v>
      </c>
      <c r="C1213" s="118">
        <v>0.90277777777777779</v>
      </c>
      <c r="D1213" s="15" t="s">
        <v>47</v>
      </c>
      <c r="E1213" s="15" t="s">
        <v>29</v>
      </c>
      <c r="F1213" s="15" t="s">
        <v>55</v>
      </c>
      <c r="G1213" s="204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45</v>
      </c>
      <c r="B1214" s="14" t="s">
        <v>59</v>
      </c>
      <c r="C1214" s="117">
        <v>0.90277777777777779</v>
      </c>
      <c r="D1214" s="14" t="s">
        <v>49</v>
      </c>
      <c r="E1214" s="14" t="s">
        <v>29</v>
      </c>
      <c r="F1214" s="14" t="s">
        <v>32</v>
      </c>
      <c r="G1214" s="204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45</v>
      </c>
      <c r="B1215" s="14" t="s">
        <v>59</v>
      </c>
      <c r="C1215" s="117">
        <v>0.90277777777777779</v>
      </c>
      <c r="D1215" s="14" t="s">
        <v>51</v>
      </c>
      <c r="E1215" s="14" t="s">
        <v>29</v>
      </c>
      <c r="F1215" s="14" t="s">
        <v>56</v>
      </c>
      <c r="G1215" s="204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5" t="s">
        <v>45</v>
      </c>
      <c r="B1216" s="15" t="s">
        <v>60</v>
      </c>
      <c r="C1216" s="118">
        <v>0.79861111111111116</v>
      </c>
      <c r="D1216" s="15" t="s">
        <v>47</v>
      </c>
      <c r="E1216" s="15" t="s">
        <v>36</v>
      </c>
      <c r="F1216" s="15" t="s">
        <v>55</v>
      </c>
      <c r="G1216" s="204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45</v>
      </c>
      <c r="B1217" s="14" t="s">
        <v>60</v>
      </c>
      <c r="C1217" s="117">
        <v>0.79861111111111116</v>
      </c>
      <c r="D1217" s="14" t="s">
        <v>49</v>
      </c>
      <c r="E1217" s="14" t="s">
        <v>36</v>
      </c>
      <c r="F1217" s="14" t="s">
        <v>32</v>
      </c>
      <c r="G1217" s="204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45</v>
      </c>
      <c r="B1218" s="14" t="s">
        <v>60</v>
      </c>
      <c r="C1218" s="117">
        <v>0.79861111111111116</v>
      </c>
      <c r="D1218" s="14" t="s">
        <v>51</v>
      </c>
      <c r="E1218" s="14" t="s">
        <v>36</v>
      </c>
      <c r="F1218" s="14" t="s">
        <v>56</v>
      </c>
      <c r="G1218" s="204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5" t="s">
        <v>45</v>
      </c>
      <c r="B1219" s="15" t="s">
        <v>66</v>
      </c>
      <c r="C1219" s="118">
        <v>0.64583333333333337</v>
      </c>
      <c r="D1219" s="15" t="s">
        <v>47</v>
      </c>
      <c r="E1219" s="15" t="s">
        <v>110</v>
      </c>
      <c r="F1219" s="15" t="s">
        <v>55</v>
      </c>
      <c r="G1219" s="204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45</v>
      </c>
      <c r="B1220" s="14" t="s">
        <v>66</v>
      </c>
      <c r="C1220" s="117">
        <v>0.64583333333333337</v>
      </c>
      <c r="D1220" s="14" t="s">
        <v>49</v>
      </c>
      <c r="E1220" s="14" t="s">
        <v>110</v>
      </c>
      <c r="F1220" s="14" t="s">
        <v>32</v>
      </c>
      <c r="G1220" s="204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45</v>
      </c>
      <c r="B1221" s="14" t="s">
        <v>66</v>
      </c>
      <c r="C1221" s="117">
        <v>0.64583333333333337</v>
      </c>
      <c r="D1221" s="14" t="s">
        <v>51</v>
      </c>
      <c r="E1221" s="14" t="s">
        <v>110</v>
      </c>
      <c r="F1221" s="14" t="s">
        <v>56</v>
      </c>
      <c r="G1221" s="204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6" t="s">
        <v>79</v>
      </c>
      <c r="B1222" s="16" t="s">
        <v>84</v>
      </c>
      <c r="C1222" s="119">
        <v>0.3298611111111111</v>
      </c>
      <c r="D1222" s="16" t="s">
        <v>81</v>
      </c>
      <c r="E1222" s="16" t="s">
        <v>54</v>
      </c>
      <c r="F1222" s="16" t="s">
        <v>257</v>
      </c>
      <c r="G1222" s="204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79</v>
      </c>
      <c r="B1223" s="14" t="s">
        <v>84</v>
      </c>
      <c r="C1223" s="117">
        <v>0.3298611111111111</v>
      </c>
      <c r="D1223" s="14" t="s">
        <v>33</v>
      </c>
      <c r="E1223" s="14" t="s">
        <v>54</v>
      </c>
      <c r="F1223" s="14" t="s">
        <v>85</v>
      </c>
      <c r="G1223" s="204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7" t="s">
        <v>87</v>
      </c>
      <c r="B1224" s="17" t="s">
        <v>220</v>
      </c>
      <c r="C1224" s="120">
        <v>0.25347222222222221</v>
      </c>
      <c r="D1224" s="17" t="s">
        <v>89</v>
      </c>
      <c r="E1224" s="17" t="s">
        <v>76</v>
      </c>
      <c r="F1224" s="17" t="s">
        <v>77</v>
      </c>
      <c r="G1224" s="204"/>
      <c r="H1224" s="18" t="s">
        <v>221</v>
      </c>
      <c r="I1224" s="171">
        <v>0.58660000000000001</v>
      </c>
      <c r="J1224" s="19">
        <v>105</v>
      </c>
      <c r="K1224" s="20" t="s">
        <v>190</v>
      </c>
      <c r="L1224" s="19">
        <v>1</v>
      </c>
      <c r="M1224" s="19">
        <v>0</v>
      </c>
      <c r="N1224" s="19">
        <v>0</v>
      </c>
      <c r="O1224" s="21" t="s">
        <v>205</v>
      </c>
      <c r="P1224" s="122">
        <v>0.25347222222222221</v>
      </c>
      <c r="Q1224" s="19">
        <v>179</v>
      </c>
      <c r="R1224" s="22" t="s">
        <v>369</v>
      </c>
    </row>
    <row r="1225" spans="1:18" ht="15" customHeight="1" x14ac:dyDescent="0.3">
      <c r="A1225" s="78" t="s">
        <v>87</v>
      </c>
      <c r="B1225" s="78" t="s">
        <v>241</v>
      </c>
      <c r="C1225" s="157">
        <v>0.36458333333333331</v>
      </c>
      <c r="D1225" s="78" t="s">
        <v>89</v>
      </c>
      <c r="E1225" s="78" t="s">
        <v>36</v>
      </c>
      <c r="F1225" s="78" t="s">
        <v>77</v>
      </c>
      <c r="G1225" s="204"/>
      <c r="H1225" s="53" t="s">
        <v>242</v>
      </c>
      <c r="I1225" s="137">
        <v>0.55310000000000004</v>
      </c>
      <c r="J1225" s="54">
        <v>99</v>
      </c>
      <c r="K1225" s="55" t="s">
        <v>99</v>
      </c>
      <c r="L1225" s="54">
        <v>3</v>
      </c>
      <c r="M1225" s="54">
        <v>0</v>
      </c>
      <c r="N1225" s="54">
        <v>3</v>
      </c>
      <c r="O1225" s="56" t="s">
        <v>370</v>
      </c>
      <c r="P1225" s="138">
        <v>0.36458333333333331</v>
      </c>
      <c r="Q1225" s="54">
        <v>179</v>
      </c>
      <c r="R1225" s="57" t="s">
        <v>371</v>
      </c>
    </row>
    <row r="1226" spans="1:18" ht="15" customHeight="1" x14ac:dyDescent="0.3">
      <c r="A1226" s="64" t="s">
        <v>87</v>
      </c>
      <c r="B1226" s="64" t="s">
        <v>109</v>
      </c>
      <c r="C1226" s="144">
        <v>0.33333333333333331</v>
      </c>
      <c r="D1226" s="64" t="s">
        <v>89</v>
      </c>
      <c r="E1226" s="64" t="s">
        <v>103</v>
      </c>
      <c r="F1226" s="64" t="s">
        <v>77</v>
      </c>
      <c r="G1226" s="204"/>
      <c r="H1226" s="65" t="s">
        <v>111</v>
      </c>
      <c r="I1226" s="145">
        <v>0.56420000000000003</v>
      </c>
      <c r="J1226" s="66">
        <v>101</v>
      </c>
      <c r="K1226" s="67" t="s">
        <v>162</v>
      </c>
      <c r="L1226" s="66">
        <v>52</v>
      </c>
      <c r="M1226" s="66">
        <v>0</v>
      </c>
      <c r="N1226" s="66">
        <v>0</v>
      </c>
      <c r="O1226" s="68" t="s">
        <v>356</v>
      </c>
      <c r="P1226" s="146">
        <v>0.33333333333333331</v>
      </c>
      <c r="Q1226" s="66">
        <v>179</v>
      </c>
      <c r="R1226" s="69" t="s">
        <v>372</v>
      </c>
    </row>
    <row r="1227" spans="1:18" ht="15" customHeight="1" x14ac:dyDescent="0.3">
      <c r="A1227" s="23" t="s">
        <v>87</v>
      </c>
      <c r="B1227" s="23" t="s">
        <v>165</v>
      </c>
      <c r="C1227" s="123">
        <v>0.1145833333333333</v>
      </c>
      <c r="D1227" s="23" t="s">
        <v>89</v>
      </c>
      <c r="E1227" s="23" t="s">
        <v>61</v>
      </c>
      <c r="F1227" s="23" t="s">
        <v>77</v>
      </c>
      <c r="G1227" s="204"/>
      <c r="H1227" s="24" t="s">
        <v>166</v>
      </c>
      <c r="I1227" s="142">
        <v>0.1061</v>
      </c>
      <c r="J1227" s="25">
        <v>19</v>
      </c>
      <c r="K1227" s="26" t="s">
        <v>106</v>
      </c>
      <c r="L1227" s="25">
        <v>7</v>
      </c>
      <c r="M1227" s="25">
        <v>0</v>
      </c>
      <c r="N1227" s="25">
        <v>0</v>
      </c>
      <c r="O1227" s="27" t="s">
        <v>203</v>
      </c>
      <c r="P1227" s="125">
        <v>0.1145833333333333</v>
      </c>
      <c r="Q1227" s="25">
        <v>179</v>
      </c>
      <c r="R1227" s="28" t="s">
        <v>373</v>
      </c>
    </row>
    <row r="1228" spans="1:18" ht="15" customHeight="1" x14ac:dyDescent="0.3">
      <c r="A1228" s="29" t="s">
        <v>87</v>
      </c>
      <c r="B1228" s="29" t="s">
        <v>169</v>
      </c>
      <c r="C1228" s="126">
        <v>4.8611111111111112E-2</v>
      </c>
      <c r="D1228" s="29" t="s">
        <v>89</v>
      </c>
      <c r="E1228" s="29" t="s">
        <v>76</v>
      </c>
      <c r="F1228" s="29" t="s">
        <v>77</v>
      </c>
      <c r="G1228" s="204"/>
      <c r="H1228" s="30" t="s">
        <v>170</v>
      </c>
      <c r="I1228" s="156">
        <v>0.16200000000000001</v>
      </c>
      <c r="J1228" s="31">
        <v>29</v>
      </c>
      <c r="K1228" s="32" t="s">
        <v>99</v>
      </c>
      <c r="L1228" s="31">
        <v>4</v>
      </c>
      <c r="M1228" s="31">
        <v>0</v>
      </c>
      <c r="N1228" s="31">
        <v>2</v>
      </c>
      <c r="O1228" s="33" t="s">
        <v>205</v>
      </c>
      <c r="P1228" s="128">
        <v>4.8611111111111112E-2</v>
      </c>
      <c r="Q1228" s="31">
        <v>179</v>
      </c>
      <c r="R1228" s="34" t="s">
        <v>374</v>
      </c>
    </row>
    <row r="1229" spans="1:18" ht="15" customHeight="1" x14ac:dyDescent="0.3">
      <c r="A1229" s="82" t="s">
        <v>87</v>
      </c>
      <c r="B1229" s="82" t="s">
        <v>95</v>
      </c>
      <c r="C1229" s="167">
        <v>0.58333333333333337</v>
      </c>
      <c r="D1229" s="82" t="s">
        <v>89</v>
      </c>
      <c r="E1229" s="82" t="s">
        <v>61</v>
      </c>
      <c r="F1229" s="82" t="s">
        <v>207</v>
      </c>
      <c r="G1229" s="204"/>
      <c r="H1229" s="18" t="s">
        <v>98</v>
      </c>
      <c r="I1229" s="171">
        <v>0.72070000000000001</v>
      </c>
      <c r="J1229" s="19">
        <v>129</v>
      </c>
      <c r="K1229" s="20" t="s">
        <v>162</v>
      </c>
      <c r="L1229" s="19">
        <v>5</v>
      </c>
      <c r="M1229" s="19">
        <v>0</v>
      </c>
      <c r="N1229" s="19">
        <v>0</v>
      </c>
      <c r="O1229" s="21" t="s">
        <v>269</v>
      </c>
      <c r="P1229" s="122">
        <v>0.58333333333333337</v>
      </c>
      <c r="Q1229" s="19">
        <v>179</v>
      </c>
      <c r="R1229" s="22" t="s">
        <v>375</v>
      </c>
    </row>
    <row r="1230" spans="1:18" ht="15" customHeight="1" x14ac:dyDescent="0.3">
      <c r="A1230" s="35" t="s">
        <v>87</v>
      </c>
      <c r="B1230" s="35" t="s">
        <v>102</v>
      </c>
      <c r="C1230" s="129">
        <v>0.73958333333333337</v>
      </c>
      <c r="D1230" s="35" t="s">
        <v>89</v>
      </c>
      <c r="E1230" s="35" t="s">
        <v>76</v>
      </c>
      <c r="F1230" s="35" t="s">
        <v>159</v>
      </c>
      <c r="G1230" s="204"/>
      <c r="H1230" s="36" t="s">
        <v>105</v>
      </c>
      <c r="I1230" s="143">
        <v>0.16200000000000001</v>
      </c>
      <c r="J1230" s="37">
        <v>29</v>
      </c>
      <c r="K1230" s="38" t="s">
        <v>190</v>
      </c>
      <c r="L1230" s="37">
        <v>6</v>
      </c>
      <c r="M1230" s="37">
        <v>0</v>
      </c>
      <c r="N1230" s="37">
        <v>0</v>
      </c>
      <c r="O1230" s="39" t="s">
        <v>167</v>
      </c>
      <c r="P1230" s="131">
        <v>0.73958333333333337</v>
      </c>
      <c r="Q1230" s="37">
        <v>179</v>
      </c>
      <c r="R1230" s="40" t="s">
        <v>376</v>
      </c>
    </row>
    <row r="1231" spans="1:18" ht="15" customHeight="1" x14ac:dyDescent="0.3">
      <c r="A1231" s="16" t="s">
        <v>74</v>
      </c>
      <c r="B1231" s="16" t="s">
        <v>78</v>
      </c>
      <c r="C1231" s="119">
        <v>0.66666666666666663</v>
      </c>
      <c r="D1231" s="16" t="s">
        <v>72</v>
      </c>
      <c r="E1231" s="16" t="s">
        <v>36</v>
      </c>
      <c r="F1231" s="16" t="s">
        <v>77</v>
      </c>
      <c r="G1231" s="204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6" t="s">
        <v>115</v>
      </c>
      <c r="B1232" s="16" t="s">
        <v>128</v>
      </c>
      <c r="C1232" s="119">
        <v>1.388888888888889E-2</v>
      </c>
      <c r="D1232" s="16" t="s">
        <v>124</v>
      </c>
      <c r="E1232" s="16" t="s">
        <v>76</v>
      </c>
      <c r="F1232" s="16" t="s">
        <v>125</v>
      </c>
      <c r="G1232" s="204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5" t="s">
        <v>115</v>
      </c>
      <c r="B1233" s="15" t="s">
        <v>116</v>
      </c>
      <c r="C1233" s="118">
        <v>0.2326388888888889</v>
      </c>
      <c r="D1233" s="15" t="s">
        <v>124</v>
      </c>
      <c r="E1233" s="15" t="s">
        <v>76</v>
      </c>
      <c r="F1233" s="15" t="s">
        <v>253</v>
      </c>
      <c r="G1233" s="204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5" t="s">
        <v>115</v>
      </c>
      <c r="B1234" s="15" t="s">
        <v>121</v>
      </c>
      <c r="C1234" s="118">
        <v>0.4861111111111111</v>
      </c>
      <c r="D1234" s="15" t="s">
        <v>124</v>
      </c>
      <c r="E1234" s="15" t="s">
        <v>76</v>
      </c>
      <c r="F1234" s="15" t="s">
        <v>253</v>
      </c>
      <c r="G1234" s="204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5" t="s">
        <v>115</v>
      </c>
      <c r="B1235" s="15" t="s">
        <v>122</v>
      </c>
      <c r="C1235" s="118">
        <v>0.51388888888888884</v>
      </c>
      <c r="D1235" s="15" t="s">
        <v>124</v>
      </c>
      <c r="E1235" s="15" t="s">
        <v>76</v>
      </c>
      <c r="F1235" s="15" t="s">
        <v>253</v>
      </c>
      <c r="G1235" s="204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5" t="s">
        <v>115</v>
      </c>
      <c r="B1236" s="15" t="s">
        <v>123</v>
      </c>
      <c r="C1236" s="118">
        <v>0.95833333333333337</v>
      </c>
      <c r="D1236" s="15" t="s">
        <v>124</v>
      </c>
      <c r="E1236" s="15" t="s">
        <v>76</v>
      </c>
      <c r="F1236" s="15" t="s">
        <v>127</v>
      </c>
      <c r="G1236" s="204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5" t="s">
        <v>115</v>
      </c>
      <c r="B1237" s="15" t="s">
        <v>120</v>
      </c>
      <c r="C1237" s="118">
        <v>0.28125</v>
      </c>
      <c r="D1237" s="15" t="s">
        <v>124</v>
      </c>
      <c r="E1237" s="15" t="s">
        <v>76</v>
      </c>
      <c r="F1237" s="15" t="s">
        <v>129</v>
      </c>
      <c r="G1237" s="204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5" t="s">
        <v>115</v>
      </c>
      <c r="B1238" s="15" t="s">
        <v>126</v>
      </c>
      <c r="C1238" s="118">
        <v>0.77430555555555558</v>
      </c>
      <c r="D1238" s="15" t="s">
        <v>124</v>
      </c>
      <c r="E1238" s="15" t="s">
        <v>76</v>
      </c>
      <c r="F1238" s="15" t="s">
        <v>310</v>
      </c>
      <c r="G1238" s="204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5" t="s">
        <v>115</v>
      </c>
      <c r="B1239" s="15" t="s">
        <v>119</v>
      </c>
      <c r="C1239" s="118">
        <v>0.14583333333333329</v>
      </c>
      <c r="D1239" s="15" t="s">
        <v>124</v>
      </c>
      <c r="E1239" s="15" t="s">
        <v>76</v>
      </c>
      <c r="F1239" s="15" t="s">
        <v>324</v>
      </c>
      <c r="G1239" s="204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6" t="s">
        <v>70</v>
      </c>
      <c r="B1240" s="16" t="s">
        <v>71</v>
      </c>
      <c r="C1240" s="119">
        <v>0.59375</v>
      </c>
      <c r="D1240" s="16" t="s">
        <v>72</v>
      </c>
      <c r="E1240" s="16" t="s">
        <v>76</v>
      </c>
      <c r="F1240" s="16" t="s">
        <v>186</v>
      </c>
      <c r="G1240" s="204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5" t="s">
        <v>70</v>
      </c>
      <c r="B1241" s="15" t="s">
        <v>155</v>
      </c>
      <c r="C1241" s="118">
        <v>0.29166666666666669</v>
      </c>
      <c r="D1241" s="15" t="s">
        <v>72</v>
      </c>
      <c r="E1241" s="15" t="s">
        <v>76</v>
      </c>
      <c r="F1241" s="15" t="s">
        <v>186</v>
      </c>
      <c r="G1241" s="204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6" t="s">
        <v>130</v>
      </c>
      <c r="B1242" s="16" t="s">
        <v>143</v>
      </c>
      <c r="C1242" s="119">
        <v>6.9444444444444441E-3</v>
      </c>
      <c r="D1242" s="16" t="s">
        <v>132</v>
      </c>
      <c r="E1242" s="16" t="s">
        <v>76</v>
      </c>
      <c r="F1242" s="16" t="s">
        <v>176</v>
      </c>
      <c r="G1242" s="204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130</v>
      </c>
      <c r="B1243" s="14" t="s">
        <v>143</v>
      </c>
      <c r="C1243" s="117">
        <v>6.9444444444444441E-3</v>
      </c>
      <c r="D1243" s="14" t="s">
        <v>134</v>
      </c>
      <c r="E1243" s="14" t="s">
        <v>76</v>
      </c>
      <c r="F1243" s="14" t="s">
        <v>177</v>
      </c>
      <c r="G1243" s="204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5" t="s">
        <v>130</v>
      </c>
      <c r="B1244" s="15" t="s">
        <v>136</v>
      </c>
      <c r="C1244" s="118">
        <v>0.37847222222222221</v>
      </c>
      <c r="D1244" s="15" t="s">
        <v>132</v>
      </c>
      <c r="E1244" s="15" t="s">
        <v>76</v>
      </c>
      <c r="F1244" s="15" t="s">
        <v>176</v>
      </c>
      <c r="G1244" s="204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130</v>
      </c>
      <c r="B1245" s="14" t="s">
        <v>136</v>
      </c>
      <c r="C1245" s="117">
        <v>0.37847222222222221</v>
      </c>
      <c r="D1245" s="14" t="s">
        <v>134</v>
      </c>
      <c r="E1245" s="14" t="s">
        <v>76</v>
      </c>
      <c r="F1245" s="14" t="s">
        <v>177</v>
      </c>
      <c r="G1245" s="204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5" t="s">
        <v>130</v>
      </c>
      <c r="B1246" s="15" t="s">
        <v>137</v>
      </c>
      <c r="C1246" s="118">
        <v>0.61111111111111116</v>
      </c>
      <c r="D1246" s="15" t="s">
        <v>132</v>
      </c>
      <c r="E1246" s="15" t="s">
        <v>76</v>
      </c>
      <c r="F1246" s="15" t="s">
        <v>176</v>
      </c>
      <c r="G1246" s="204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130</v>
      </c>
      <c r="B1247" s="14" t="s">
        <v>137</v>
      </c>
      <c r="C1247" s="117">
        <v>0.61111111111111116</v>
      </c>
      <c r="D1247" s="14" t="s">
        <v>134</v>
      </c>
      <c r="E1247" s="14" t="s">
        <v>76</v>
      </c>
      <c r="F1247" s="14" t="s">
        <v>177</v>
      </c>
      <c r="G1247" s="204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5" t="s">
        <v>130</v>
      </c>
      <c r="B1248" s="15" t="s">
        <v>138</v>
      </c>
      <c r="C1248" s="118">
        <v>0.24305555555555561</v>
      </c>
      <c r="D1248" s="15" t="s">
        <v>132</v>
      </c>
      <c r="E1248" s="15" t="s">
        <v>76</v>
      </c>
      <c r="F1248" s="15" t="s">
        <v>176</v>
      </c>
      <c r="G1248" s="204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130</v>
      </c>
      <c r="B1249" s="14" t="s">
        <v>138</v>
      </c>
      <c r="C1249" s="117">
        <v>0.24305555555555561</v>
      </c>
      <c r="D1249" s="14" t="s">
        <v>134</v>
      </c>
      <c r="E1249" s="14" t="s">
        <v>76</v>
      </c>
      <c r="F1249" s="14" t="s">
        <v>177</v>
      </c>
      <c r="G1249" s="204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5" t="s">
        <v>130</v>
      </c>
      <c r="B1250" s="15" t="s">
        <v>147</v>
      </c>
      <c r="C1250" s="118">
        <v>0.71875</v>
      </c>
      <c r="D1250" s="15" t="s">
        <v>132</v>
      </c>
      <c r="E1250" s="15" t="s">
        <v>76</v>
      </c>
      <c r="F1250" s="15" t="s">
        <v>377</v>
      </c>
      <c r="G1250" s="204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130</v>
      </c>
      <c r="B1251" s="14" t="s">
        <v>147</v>
      </c>
      <c r="C1251" s="117">
        <v>0.71875</v>
      </c>
      <c r="D1251" s="14" t="s">
        <v>134</v>
      </c>
      <c r="E1251" s="14" t="s">
        <v>76</v>
      </c>
      <c r="F1251" s="14" t="s">
        <v>378</v>
      </c>
      <c r="G1251" s="204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5" t="s">
        <v>130</v>
      </c>
      <c r="B1252" s="15" t="s">
        <v>148</v>
      </c>
      <c r="C1252" s="118">
        <v>0.82986111111111116</v>
      </c>
      <c r="D1252" s="15" t="s">
        <v>132</v>
      </c>
      <c r="E1252" s="15" t="s">
        <v>76</v>
      </c>
      <c r="F1252" s="15" t="s">
        <v>377</v>
      </c>
      <c r="G1252" s="204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130</v>
      </c>
      <c r="B1253" s="14" t="s">
        <v>148</v>
      </c>
      <c r="C1253" s="117">
        <v>0.82986111111111116</v>
      </c>
      <c r="D1253" s="14" t="s">
        <v>134</v>
      </c>
      <c r="E1253" s="14" t="s">
        <v>76</v>
      </c>
      <c r="F1253" s="14" t="s">
        <v>378</v>
      </c>
      <c r="G1253" s="204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5" t="s">
        <v>130</v>
      </c>
      <c r="B1254" s="15" t="s">
        <v>141</v>
      </c>
      <c r="C1254" s="118">
        <v>0.30208333333333331</v>
      </c>
      <c r="D1254" s="15" t="s">
        <v>134</v>
      </c>
      <c r="E1254" s="15" t="s">
        <v>110</v>
      </c>
      <c r="F1254" s="15" t="s">
        <v>250</v>
      </c>
      <c r="G1254" s="204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5" t="s">
        <v>130</v>
      </c>
      <c r="B1255" s="15" t="s">
        <v>142</v>
      </c>
      <c r="C1255" s="118">
        <v>0.12847222222222221</v>
      </c>
      <c r="D1255" s="15" t="s">
        <v>134</v>
      </c>
      <c r="E1255" s="15" t="s">
        <v>110</v>
      </c>
      <c r="F1255" s="15" t="s">
        <v>218</v>
      </c>
      <c r="G1255" s="204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5" t="s">
        <v>130</v>
      </c>
      <c r="B1256" s="15" t="s">
        <v>139</v>
      </c>
      <c r="C1256" s="118">
        <v>0.88888888888888884</v>
      </c>
      <c r="D1256" s="15" t="s">
        <v>134</v>
      </c>
      <c r="E1256" s="15" t="s">
        <v>110</v>
      </c>
      <c r="F1256" s="15" t="s">
        <v>178</v>
      </c>
      <c r="G1256" s="204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5" t="s">
        <v>130</v>
      </c>
      <c r="B1257" s="15" t="s">
        <v>149</v>
      </c>
      <c r="C1257" s="118">
        <v>0.78819444444444442</v>
      </c>
      <c r="D1257" s="15" t="s">
        <v>134</v>
      </c>
      <c r="E1257" s="15" t="s">
        <v>110</v>
      </c>
      <c r="F1257" s="15" t="s">
        <v>178</v>
      </c>
      <c r="G1257" s="204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5" t="s">
        <v>130</v>
      </c>
      <c r="B1258" s="15" t="s">
        <v>146</v>
      </c>
      <c r="C1258" s="118">
        <v>0.1423611111111111</v>
      </c>
      <c r="D1258" s="15" t="s">
        <v>132</v>
      </c>
      <c r="E1258" s="15" t="s">
        <v>76</v>
      </c>
      <c r="F1258" s="15" t="s">
        <v>144</v>
      </c>
      <c r="G1258" s="204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130</v>
      </c>
      <c r="B1259" s="14" t="s">
        <v>146</v>
      </c>
      <c r="C1259" s="117">
        <v>0.1423611111111111</v>
      </c>
      <c r="D1259" s="14" t="s">
        <v>134</v>
      </c>
      <c r="E1259" s="14" t="s">
        <v>76</v>
      </c>
      <c r="F1259" s="14" t="s">
        <v>145</v>
      </c>
      <c r="G1259" s="204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5" t="s">
        <v>130</v>
      </c>
      <c r="B1260" s="15" t="s">
        <v>131</v>
      </c>
      <c r="C1260" s="118">
        <v>0.93055555555555558</v>
      </c>
      <c r="D1260" s="15" t="s">
        <v>132</v>
      </c>
      <c r="E1260" s="15" t="s">
        <v>76</v>
      </c>
      <c r="F1260" s="15" t="s">
        <v>144</v>
      </c>
      <c r="G1260" s="204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thickBot="1" x14ac:dyDescent="0.35">
      <c r="A1261" s="70" t="s">
        <v>130</v>
      </c>
      <c r="B1261" s="70" t="s">
        <v>131</v>
      </c>
      <c r="C1261" s="148">
        <v>0.93055555555555558</v>
      </c>
      <c r="D1261" s="70" t="s">
        <v>134</v>
      </c>
      <c r="E1261" s="70" t="s">
        <v>76</v>
      </c>
      <c r="F1261" s="70" t="s">
        <v>145</v>
      </c>
      <c r="G1261" s="205"/>
      <c r="H1261" s="42"/>
      <c r="I1261" s="43"/>
      <c r="J1261" s="43"/>
      <c r="K1261" s="43"/>
      <c r="L1261" s="43"/>
      <c r="M1261" s="43"/>
      <c r="N1261" s="43"/>
      <c r="O1261" s="44"/>
      <c r="P1261" s="43"/>
      <c r="Q1261" s="45"/>
      <c r="R1261" s="46"/>
    </row>
    <row r="1262" spans="1:18" ht="17.399999999999999" customHeight="1" thickBot="1" x14ac:dyDescent="0.35">
      <c r="A1262" s="200"/>
      <c r="B1262" s="201"/>
      <c r="C1262" s="201"/>
      <c r="D1262" s="201"/>
      <c r="E1262" s="201"/>
      <c r="F1262" s="201"/>
      <c r="G1262" s="201"/>
      <c r="H1262" s="201"/>
      <c r="I1262" s="201"/>
      <c r="J1262" s="201"/>
      <c r="K1262" s="201"/>
      <c r="L1262" s="201"/>
      <c r="M1262" s="201"/>
      <c r="N1262" s="201"/>
      <c r="O1262" s="201"/>
      <c r="P1262" s="201"/>
      <c r="Q1262" s="201"/>
      <c r="R1262" s="202"/>
    </row>
    <row r="1263" spans="1:18" ht="22.05" customHeight="1" thickTop="1" thickBot="1" x14ac:dyDescent="0.35">
      <c r="A1263" s="197" t="s">
        <v>6</v>
      </c>
      <c r="B1263" s="198"/>
      <c r="C1263" s="198"/>
      <c r="D1263" s="198"/>
      <c r="E1263" s="198"/>
      <c r="F1263" s="199"/>
      <c r="G1263" s="133">
        <v>46010</v>
      </c>
      <c r="H1263" s="207" t="s">
        <v>7</v>
      </c>
      <c r="I1263" s="198"/>
      <c r="J1263" s="198"/>
      <c r="K1263" s="198"/>
      <c r="L1263" s="198"/>
      <c r="M1263" s="198"/>
      <c r="N1263" s="198"/>
      <c r="O1263" s="198"/>
      <c r="P1263" s="198"/>
      <c r="Q1263" s="198"/>
      <c r="R1263" s="199"/>
    </row>
    <row r="1264" spans="1:18" ht="24" customHeight="1" x14ac:dyDescent="0.3">
      <c r="A1264" s="47" t="s">
        <v>8</v>
      </c>
      <c r="B1264" s="47" t="s">
        <v>9</v>
      </c>
      <c r="C1264" s="134" t="s">
        <v>10</v>
      </c>
      <c r="D1264" s="47" t="s">
        <v>11</v>
      </c>
      <c r="E1264" s="47" t="s">
        <v>12</v>
      </c>
      <c r="F1264" s="48" t="s">
        <v>13</v>
      </c>
      <c r="G1264" s="49" t="s">
        <v>14</v>
      </c>
      <c r="H1264" s="47" t="s">
        <v>15</v>
      </c>
      <c r="I1264" s="135" t="s">
        <v>16</v>
      </c>
      <c r="J1264" s="50" t="s">
        <v>17</v>
      </c>
      <c r="K1264" s="51" t="s">
        <v>18</v>
      </c>
      <c r="L1264" s="50" t="s">
        <v>19</v>
      </c>
      <c r="M1264" s="50" t="s">
        <v>20</v>
      </c>
      <c r="N1264" s="50" t="s">
        <v>21</v>
      </c>
      <c r="O1264" s="47" t="s">
        <v>22</v>
      </c>
      <c r="P1264" s="134" t="s">
        <v>23</v>
      </c>
      <c r="Q1264" s="50" t="s">
        <v>24</v>
      </c>
      <c r="R1264" s="47" t="s">
        <v>25</v>
      </c>
    </row>
    <row r="1265" spans="1:18" ht="15" customHeight="1" x14ac:dyDescent="0.3">
      <c r="A1265" s="8" t="s">
        <v>26</v>
      </c>
      <c r="B1265" s="8" t="s">
        <v>39</v>
      </c>
      <c r="C1265" s="116">
        <v>0.30208333333333331</v>
      </c>
      <c r="D1265" s="8" t="s">
        <v>28</v>
      </c>
      <c r="E1265" s="8" t="s">
        <v>36</v>
      </c>
      <c r="F1265" s="8" t="s">
        <v>234</v>
      </c>
      <c r="G1265" s="206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26</v>
      </c>
      <c r="B1266" s="14" t="s">
        <v>39</v>
      </c>
      <c r="C1266" s="117">
        <v>0.30208333333333331</v>
      </c>
      <c r="D1266" s="14" t="s">
        <v>31</v>
      </c>
      <c r="E1266" s="14" t="s">
        <v>36</v>
      </c>
      <c r="F1266" s="14" t="s">
        <v>63</v>
      </c>
      <c r="G1266" s="204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26</v>
      </c>
      <c r="B1267" s="14" t="s">
        <v>39</v>
      </c>
      <c r="C1267" s="117">
        <v>0.30208333333333331</v>
      </c>
      <c r="D1267" s="14" t="s">
        <v>33</v>
      </c>
      <c r="E1267" s="14" t="s">
        <v>36</v>
      </c>
      <c r="F1267" s="14" t="s">
        <v>34</v>
      </c>
      <c r="G1267" s="204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5" t="s">
        <v>26</v>
      </c>
      <c r="B1268" s="15" t="s">
        <v>35</v>
      </c>
      <c r="C1268" s="118">
        <v>0.12847222222222221</v>
      </c>
      <c r="D1268" s="15" t="s">
        <v>28</v>
      </c>
      <c r="E1268" s="15" t="s">
        <v>256</v>
      </c>
      <c r="F1268" s="15" t="s">
        <v>180</v>
      </c>
      <c r="G1268" s="204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26</v>
      </c>
      <c r="B1269" s="14" t="s">
        <v>35</v>
      </c>
      <c r="C1269" s="117">
        <v>0.12847222222222221</v>
      </c>
      <c r="D1269" s="14" t="s">
        <v>31</v>
      </c>
      <c r="E1269" s="14" t="s">
        <v>256</v>
      </c>
      <c r="F1269" s="14" t="s">
        <v>181</v>
      </c>
      <c r="G1269" s="204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26</v>
      </c>
      <c r="B1270" s="14" t="s">
        <v>35</v>
      </c>
      <c r="C1270" s="117">
        <v>0.12847222222222221</v>
      </c>
      <c r="D1270" s="14" t="s">
        <v>33</v>
      </c>
      <c r="E1270" s="14" t="s">
        <v>256</v>
      </c>
      <c r="F1270" s="14" t="s">
        <v>34</v>
      </c>
      <c r="G1270" s="204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5" t="s">
        <v>26</v>
      </c>
      <c r="B1271" s="15" t="s">
        <v>41</v>
      </c>
      <c r="C1271" s="118">
        <v>0.78819444444444442</v>
      </c>
      <c r="D1271" s="15" t="s">
        <v>28</v>
      </c>
      <c r="E1271" s="15" t="s">
        <v>110</v>
      </c>
      <c r="F1271" s="15" t="s">
        <v>180</v>
      </c>
      <c r="G1271" s="204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26</v>
      </c>
      <c r="B1272" s="14" t="s">
        <v>41</v>
      </c>
      <c r="C1272" s="117">
        <v>0.78819444444444442</v>
      </c>
      <c r="D1272" s="14" t="s">
        <v>31</v>
      </c>
      <c r="E1272" s="14" t="s">
        <v>110</v>
      </c>
      <c r="F1272" s="14" t="s">
        <v>181</v>
      </c>
      <c r="G1272" s="204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26</v>
      </c>
      <c r="B1273" s="14" t="s">
        <v>41</v>
      </c>
      <c r="C1273" s="117">
        <v>0.78819444444444442</v>
      </c>
      <c r="D1273" s="14" t="s">
        <v>33</v>
      </c>
      <c r="E1273" s="14" t="s">
        <v>110</v>
      </c>
      <c r="F1273" s="14" t="s">
        <v>34</v>
      </c>
      <c r="G1273" s="204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5" t="s">
        <v>26</v>
      </c>
      <c r="B1274" s="15" t="s">
        <v>27</v>
      </c>
      <c r="C1274" s="118">
        <v>0.88888888888888884</v>
      </c>
      <c r="D1274" s="15" t="s">
        <v>28</v>
      </c>
      <c r="E1274" s="15" t="s">
        <v>264</v>
      </c>
      <c r="F1274" s="15" t="s">
        <v>37</v>
      </c>
      <c r="G1274" s="204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27</v>
      </c>
      <c r="C1275" s="117">
        <v>0.88888888888888884</v>
      </c>
      <c r="D1275" s="14" t="s">
        <v>31</v>
      </c>
      <c r="E1275" s="14" t="s">
        <v>264</v>
      </c>
      <c r="F1275" s="14" t="s">
        <v>38</v>
      </c>
      <c r="G1275" s="204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26</v>
      </c>
      <c r="B1276" s="14" t="s">
        <v>27</v>
      </c>
      <c r="C1276" s="117">
        <v>0.88888888888888884</v>
      </c>
      <c r="D1276" s="14" t="s">
        <v>33</v>
      </c>
      <c r="E1276" s="14" t="s">
        <v>264</v>
      </c>
      <c r="F1276" s="14" t="s">
        <v>34</v>
      </c>
      <c r="G1276" s="204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6" t="s">
        <v>45</v>
      </c>
      <c r="B1277" s="16" t="s">
        <v>58</v>
      </c>
      <c r="C1277" s="119">
        <v>0.46875</v>
      </c>
      <c r="D1277" s="16" t="s">
        <v>47</v>
      </c>
      <c r="E1277" s="16" t="s">
        <v>110</v>
      </c>
      <c r="F1277" s="16" t="s">
        <v>180</v>
      </c>
      <c r="G1277" s="204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45</v>
      </c>
      <c r="B1278" s="14" t="s">
        <v>58</v>
      </c>
      <c r="C1278" s="117">
        <v>0.46875</v>
      </c>
      <c r="D1278" s="14" t="s">
        <v>49</v>
      </c>
      <c r="E1278" s="14" t="s">
        <v>110</v>
      </c>
      <c r="F1278" s="14" t="s">
        <v>196</v>
      </c>
      <c r="G1278" s="204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45</v>
      </c>
      <c r="B1279" s="14" t="s">
        <v>58</v>
      </c>
      <c r="C1279" s="117">
        <v>0.46875</v>
      </c>
      <c r="D1279" s="14" t="s">
        <v>51</v>
      </c>
      <c r="E1279" s="14" t="s">
        <v>110</v>
      </c>
      <c r="F1279" s="14" t="s">
        <v>197</v>
      </c>
      <c r="G1279" s="204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5" t="s">
        <v>45</v>
      </c>
      <c r="B1280" s="15" t="s">
        <v>53</v>
      </c>
      <c r="C1280" s="118">
        <v>0.85416666666666663</v>
      </c>
      <c r="D1280" s="15" t="s">
        <v>47</v>
      </c>
      <c r="E1280" s="15" t="s">
        <v>96</v>
      </c>
      <c r="F1280" s="15" t="s">
        <v>48</v>
      </c>
      <c r="G1280" s="204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45</v>
      </c>
      <c r="B1281" s="14" t="s">
        <v>53</v>
      </c>
      <c r="C1281" s="117">
        <v>0.85416666666666663</v>
      </c>
      <c r="D1281" s="14" t="s">
        <v>49</v>
      </c>
      <c r="E1281" s="14" t="s">
        <v>96</v>
      </c>
      <c r="F1281" s="14" t="s">
        <v>50</v>
      </c>
      <c r="G1281" s="204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45</v>
      </c>
      <c r="B1282" s="14" t="s">
        <v>53</v>
      </c>
      <c r="C1282" s="117">
        <v>0.85416666666666663</v>
      </c>
      <c r="D1282" s="14" t="s">
        <v>51</v>
      </c>
      <c r="E1282" s="14" t="s">
        <v>96</v>
      </c>
      <c r="F1282" s="14" t="s">
        <v>52</v>
      </c>
      <c r="G1282" s="204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5" t="s">
        <v>45</v>
      </c>
      <c r="B1283" s="15" t="s">
        <v>57</v>
      </c>
      <c r="C1283" s="118">
        <v>0.25694444444444442</v>
      </c>
      <c r="D1283" s="15" t="s">
        <v>47</v>
      </c>
      <c r="E1283" s="15" t="s">
        <v>54</v>
      </c>
      <c r="F1283" s="15" t="s">
        <v>48</v>
      </c>
      <c r="G1283" s="204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45</v>
      </c>
      <c r="B1284" s="14" t="s">
        <v>57</v>
      </c>
      <c r="C1284" s="117">
        <v>0.25694444444444442</v>
      </c>
      <c r="D1284" s="14" t="s">
        <v>49</v>
      </c>
      <c r="E1284" s="14" t="s">
        <v>54</v>
      </c>
      <c r="F1284" s="14" t="s">
        <v>50</v>
      </c>
      <c r="G1284" s="204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45</v>
      </c>
      <c r="B1285" s="14" t="s">
        <v>57</v>
      </c>
      <c r="C1285" s="117">
        <v>0.25694444444444442</v>
      </c>
      <c r="D1285" s="14" t="s">
        <v>51</v>
      </c>
      <c r="E1285" s="14" t="s">
        <v>54</v>
      </c>
      <c r="F1285" s="14" t="s">
        <v>52</v>
      </c>
      <c r="G1285" s="204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5" t="s">
        <v>45</v>
      </c>
      <c r="B1286" s="15" t="s">
        <v>59</v>
      </c>
      <c r="C1286" s="118">
        <v>0.90277777777777779</v>
      </c>
      <c r="D1286" s="15" t="s">
        <v>47</v>
      </c>
      <c r="E1286" s="15" t="s">
        <v>185</v>
      </c>
      <c r="F1286" s="15" t="s">
        <v>48</v>
      </c>
      <c r="G1286" s="204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45</v>
      </c>
      <c r="B1287" s="14" t="s">
        <v>59</v>
      </c>
      <c r="C1287" s="117">
        <v>0.90277777777777779</v>
      </c>
      <c r="D1287" s="14" t="s">
        <v>49</v>
      </c>
      <c r="E1287" s="14" t="s">
        <v>185</v>
      </c>
      <c r="F1287" s="14" t="s">
        <v>50</v>
      </c>
      <c r="G1287" s="204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45</v>
      </c>
      <c r="B1288" s="14" t="s">
        <v>59</v>
      </c>
      <c r="C1288" s="117">
        <v>0.90277777777777779</v>
      </c>
      <c r="D1288" s="14" t="s">
        <v>51</v>
      </c>
      <c r="E1288" s="14" t="s">
        <v>185</v>
      </c>
      <c r="F1288" s="14" t="s">
        <v>52</v>
      </c>
      <c r="G1288" s="204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5" t="s">
        <v>45</v>
      </c>
      <c r="B1289" s="15" t="s">
        <v>60</v>
      </c>
      <c r="C1289" s="118">
        <v>0.79861111111111116</v>
      </c>
      <c r="D1289" s="15" t="s">
        <v>47</v>
      </c>
      <c r="E1289" s="15" t="s">
        <v>36</v>
      </c>
      <c r="F1289" s="15" t="s">
        <v>48</v>
      </c>
      <c r="G1289" s="204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45</v>
      </c>
      <c r="B1290" s="14" t="s">
        <v>60</v>
      </c>
      <c r="C1290" s="117">
        <v>0.79861111111111116</v>
      </c>
      <c r="D1290" s="14" t="s">
        <v>49</v>
      </c>
      <c r="E1290" s="14" t="s">
        <v>36</v>
      </c>
      <c r="F1290" s="14" t="s">
        <v>50</v>
      </c>
      <c r="G1290" s="204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45</v>
      </c>
      <c r="B1291" s="14" t="s">
        <v>60</v>
      </c>
      <c r="C1291" s="117">
        <v>0.79861111111111116</v>
      </c>
      <c r="D1291" s="14" t="s">
        <v>51</v>
      </c>
      <c r="E1291" s="14" t="s">
        <v>36</v>
      </c>
      <c r="F1291" s="14" t="s">
        <v>52</v>
      </c>
      <c r="G1291" s="204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5" t="s">
        <v>45</v>
      </c>
      <c r="B1292" s="15" t="s">
        <v>46</v>
      </c>
      <c r="C1292" s="118">
        <v>0.39583333333333331</v>
      </c>
      <c r="D1292" s="15" t="s">
        <v>47</v>
      </c>
      <c r="E1292" s="15" t="s">
        <v>103</v>
      </c>
      <c r="F1292" s="15" t="s">
        <v>48</v>
      </c>
      <c r="G1292" s="204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45</v>
      </c>
      <c r="B1293" s="14" t="s">
        <v>46</v>
      </c>
      <c r="C1293" s="117">
        <v>0.39583333333333331</v>
      </c>
      <c r="D1293" s="14" t="s">
        <v>49</v>
      </c>
      <c r="E1293" s="14" t="s">
        <v>103</v>
      </c>
      <c r="F1293" s="14" t="s">
        <v>50</v>
      </c>
      <c r="G1293" s="204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45</v>
      </c>
      <c r="B1294" s="14" t="s">
        <v>46</v>
      </c>
      <c r="C1294" s="117">
        <v>0.39583333333333331</v>
      </c>
      <c r="D1294" s="14" t="s">
        <v>51</v>
      </c>
      <c r="E1294" s="14" t="s">
        <v>103</v>
      </c>
      <c r="F1294" s="14" t="s">
        <v>52</v>
      </c>
      <c r="G1294" s="204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5" t="s">
        <v>45</v>
      </c>
      <c r="B1295" s="15" t="s">
        <v>66</v>
      </c>
      <c r="C1295" s="118">
        <v>0.64583333333333337</v>
      </c>
      <c r="D1295" s="15" t="s">
        <v>47</v>
      </c>
      <c r="E1295" s="15" t="s">
        <v>61</v>
      </c>
      <c r="F1295" s="15" t="s">
        <v>48</v>
      </c>
      <c r="G1295" s="204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45</v>
      </c>
      <c r="B1296" s="14" t="s">
        <v>66</v>
      </c>
      <c r="C1296" s="117">
        <v>0.64583333333333337</v>
      </c>
      <c r="D1296" s="14" t="s">
        <v>49</v>
      </c>
      <c r="E1296" s="14" t="s">
        <v>61</v>
      </c>
      <c r="F1296" s="14" t="s">
        <v>50</v>
      </c>
      <c r="G1296" s="204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45</v>
      </c>
      <c r="B1297" s="14" t="s">
        <v>66</v>
      </c>
      <c r="C1297" s="117">
        <v>0.64583333333333337</v>
      </c>
      <c r="D1297" s="14" t="s">
        <v>51</v>
      </c>
      <c r="E1297" s="14" t="s">
        <v>61</v>
      </c>
      <c r="F1297" s="14" t="s">
        <v>52</v>
      </c>
      <c r="G1297" s="204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5" t="s">
        <v>45</v>
      </c>
      <c r="B1298" s="15" t="s">
        <v>62</v>
      </c>
      <c r="C1298" s="118">
        <v>0.51736111111111116</v>
      </c>
      <c r="D1298" s="15" t="s">
        <v>47</v>
      </c>
      <c r="E1298" s="15" t="s">
        <v>54</v>
      </c>
      <c r="F1298" s="15" t="s">
        <v>55</v>
      </c>
      <c r="G1298" s="204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45</v>
      </c>
      <c r="B1299" s="14" t="s">
        <v>62</v>
      </c>
      <c r="C1299" s="117">
        <v>0.51736111111111116</v>
      </c>
      <c r="D1299" s="14" t="s">
        <v>49</v>
      </c>
      <c r="E1299" s="14" t="s">
        <v>54</v>
      </c>
      <c r="F1299" s="14" t="s">
        <v>32</v>
      </c>
      <c r="G1299" s="204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45</v>
      </c>
      <c r="B1300" s="14" t="s">
        <v>62</v>
      </c>
      <c r="C1300" s="117">
        <v>0.51736111111111116</v>
      </c>
      <c r="D1300" s="14" t="s">
        <v>51</v>
      </c>
      <c r="E1300" s="14" t="s">
        <v>54</v>
      </c>
      <c r="F1300" s="14" t="s">
        <v>56</v>
      </c>
      <c r="G1300" s="204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6" t="s">
        <v>79</v>
      </c>
      <c r="B1301" s="16" t="s">
        <v>84</v>
      </c>
      <c r="C1301" s="119">
        <v>0.3923611111111111</v>
      </c>
      <c r="D1301" s="16" t="s">
        <v>81</v>
      </c>
      <c r="E1301" s="16" t="s">
        <v>54</v>
      </c>
      <c r="F1301" s="16" t="s">
        <v>198</v>
      </c>
      <c r="G1301" s="204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79</v>
      </c>
      <c r="B1302" s="14" t="s">
        <v>84</v>
      </c>
      <c r="C1302" s="117">
        <v>0.3923611111111111</v>
      </c>
      <c r="D1302" s="14" t="s">
        <v>33</v>
      </c>
      <c r="E1302" s="14" t="s">
        <v>54</v>
      </c>
      <c r="F1302" s="14" t="s">
        <v>181</v>
      </c>
      <c r="G1302" s="204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5" t="s">
        <v>79</v>
      </c>
      <c r="B1303" s="15" t="s">
        <v>199</v>
      </c>
      <c r="C1303" s="118">
        <v>0.97569444444444442</v>
      </c>
      <c r="D1303" s="15" t="s">
        <v>81</v>
      </c>
      <c r="E1303" s="15" t="s">
        <v>54</v>
      </c>
      <c r="F1303" s="15" t="s">
        <v>198</v>
      </c>
      <c r="G1303" s="204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79</v>
      </c>
      <c r="B1304" s="14" t="s">
        <v>199</v>
      </c>
      <c r="C1304" s="117">
        <v>0.97569444444444442</v>
      </c>
      <c r="D1304" s="14" t="s">
        <v>33</v>
      </c>
      <c r="E1304" s="14" t="s">
        <v>54</v>
      </c>
      <c r="F1304" s="14" t="s">
        <v>181</v>
      </c>
      <c r="G1304" s="204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5" t="s">
        <v>79</v>
      </c>
      <c r="B1305" s="15" t="s">
        <v>200</v>
      </c>
      <c r="C1305" s="118">
        <v>0.67708333333333337</v>
      </c>
      <c r="D1305" s="15" t="s">
        <v>81</v>
      </c>
      <c r="E1305" s="15" t="s">
        <v>54</v>
      </c>
      <c r="F1305" s="15" t="s">
        <v>198</v>
      </c>
      <c r="G1305" s="204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79</v>
      </c>
      <c r="B1306" s="14" t="s">
        <v>200</v>
      </c>
      <c r="C1306" s="117">
        <v>0.67708333333333337</v>
      </c>
      <c r="D1306" s="14" t="s">
        <v>33</v>
      </c>
      <c r="E1306" s="14" t="s">
        <v>54</v>
      </c>
      <c r="F1306" s="14" t="s">
        <v>181</v>
      </c>
      <c r="G1306" s="204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6" t="s">
        <v>70</v>
      </c>
      <c r="B1307" s="16" t="s">
        <v>155</v>
      </c>
      <c r="C1307" s="119">
        <v>0.27083333333333331</v>
      </c>
      <c r="D1307" s="16" t="s">
        <v>72</v>
      </c>
      <c r="E1307" s="16" t="s">
        <v>185</v>
      </c>
      <c r="F1307" s="16" t="s">
        <v>73</v>
      </c>
      <c r="G1307" s="204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6" t="s">
        <v>74</v>
      </c>
      <c r="B1308" s="16" t="s">
        <v>78</v>
      </c>
      <c r="C1308" s="119">
        <v>0.66666666666666663</v>
      </c>
      <c r="D1308" s="16" t="s">
        <v>72</v>
      </c>
      <c r="E1308" s="16" t="s">
        <v>185</v>
      </c>
      <c r="F1308" s="16" t="s">
        <v>77</v>
      </c>
      <c r="G1308" s="204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85" t="s">
        <v>87</v>
      </c>
      <c r="B1309" s="85" t="s">
        <v>95</v>
      </c>
      <c r="C1309" s="170">
        <v>0.45833333333333331</v>
      </c>
      <c r="D1309" s="85" t="s">
        <v>89</v>
      </c>
      <c r="E1309" s="85" t="s">
        <v>185</v>
      </c>
      <c r="F1309" s="85" t="s">
        <v>207</v>
      </c>
      <c r="G1309" s="204"/>
      <c r="H1309" s="30" t="s">
        <v>98</v>
      </c>
      <c r="I1309" s="156">
        <v>0.3352</v>
      </c>
      <c r="J1309" s="31">
        <v>60</v>
      </c>
      <c r="K1309" s="32" t="s">
        <v>92</v>
      </c>
      <c r="L1309" s="31">
        <v>4</v>
      </c>
      <c r="M1309" s="31">
        <v>2</v>
      </c>
      <c r="N1309" s="31">
        <v>2</v>
      </c>
      <c r="O1309" s="33" t="s">
        <v>208</v>
      </c>
      <c r="P1309" s="128">
        <v>0.45833333333333331</v>
      </c>
      <c r="Q1309" s="31">
        <v>179</v>
      </c>
      <c r="R1309" s="34" t="s">
        <v>379</v>
      </c>
    </row>
    <row r="1310" spans="1:18" ht="15" customHeight="1" x14ac:dyDescent="0.3">
      <c r="A1310" s="82" t="s">
        <v>87</v>
      </c>
      <c r="B1310" s="82" t="s">
        <v>109</v>
      </c>
      <c r="C1310" s="167">
        <v>0.31944444444444442</v>
      </c>
      <c r="D1310" s="82" t="s">
        <v>89</v>
      </c>
      <c r="E1310" s="82" t="s">
        <v>76</v>
      </c>
      <c r="F1310" s="82" t="s">
        <v>207</v>
      </c>
      <c r="G1310" s="204"/>
      <c r="H1310" s="18" t="s">
        <v>111</v>
      </c>
      <c r="I1310" s="166">
        <v>5.5899999999999998E-2</v>
      </c>
      <c r="J1310" s="19">
        <v>10</v>
      </c>
      <c r="K1310" s="20" t="s">
        <v>345</v>
      </c>
      <c r="L1310" s="19">
        <v>0</v>
      </c>
      <c r="M1310" s="19">
        <v>0</v>
      </c>
      <c r="N1310" s="19">
        <v>0</v>
      </c>
      <c r="O1310" s="21" t="s">
        <v>239</v>
      </c>
      <c r="P1310" s="122">
        <v>0.31944444444444442</v>
      </c>
      <c r="Q1310" s="19">
        <v>179</v>
      </c>
      <c r="R1310" s="22" t="s">
        <v>380</v>
      </c>
    </row>
    <row r="1311" spans="1:18" ht="15" customHeight="1" x14ac:dyDescent="0.3">
      <c r="A1311" s="35" t="s">
        <v>87</v>
      </c>
      <c r="B1311" s="35" t="s">
        <v>169</v>
      </c>
      <c r="C1311" s="129">
        <v>0.1145833333333333</v>
      </c>
      <c r="D1311" s="35" t="s">
        <v>89</v>
      </c>
      <c r="E1311" s="35" t="s">
        <v>185</v>
      </c>
      <c r="F1311" s="35" t="s">
        <v>207</v>
      </c>
      <c r="G1311" s="204"/>
      <c r="H1311" s="36" t="s">
        <v>170</v>
      </c>
      <c r="I1311" s="143">
        <v>9.5000000000000001E-2</v>
      </c>
      <c r="J1311" s="37">
        <v>17</v>
      </c>
      <c r="K1311" s="38" t="s">
        <v>99</v>
      </c>
      <c r="L1311" s="37">
        <v>5</v>
      </c>
      <c r="M1311" s="37">
        <v>0</v>
      </c>
      <c r="N1311" s="37">
        <v>2</v>
      </c>
      <c r="O1311" s="39" t="s">
        <v>208</v>
      </c>
      <c r="P1311" s="131">
        <v>0.1145833333333333</v>
      </c>
      <c r="Q1311" s="37">
        <v>179</v>
      </c>
      <c r="R1311" s="40" t="s">
        <v>381</v>
      </c>
    </row>
    <row r="1312" spans="1:18" ht="15" customHeight="1" x14ac:dyDescent="0.3">
      <c r="A1312" s="78" t="s">
        <v>87</v>
      </c>
      <c r="B1312" s="78" t="s">
        <v>102</v>
      </c>
      <c r="C1312" s="157">
        <v>0.61458333333333337</v>
      </c>
      <c r="D1312" s="78" t="s">
        <v>89</v>
      </c>
      <c r="E1312" s="78" t="s">
        <v>76</v>
      </c>
      <c r="F1312" s="78" t="s">
        <v>159</v>
      </c>
      <c r="G1312" s="204"/>
      <c r="H1312" s="53" t="s">
        <v>105</v>
      </c>
      <c r="I1312" s="152">
        <v>0.1229</v>
      </c>
      <c r="J1312" s="54">
        <v>22</v>
      </c>
      <c r="K1312" s="55" t="s">
        <v>162</v>
      </c>
      <c r="L1312" s="54">
        <v>7</v>
      </c>
      <c r="M1312" s="54">
        <v>0</v>
      </c>
      <c r="N1312" s="54">
        <v>0</v>
      </c>
      <c r="O1312" s="56" t="s">
        <v>167</v>
      </c>
      <c r="P1312" s="138">
        <v>0.61458333333333337</v>
      </c>
      <c r="Q1312" s="54">
        <v>179</v>
      </c>
      <c r="R1312" s="57" t="s">
        <v>382</v>
      </c>
    </row>
    <row r="1313" spans="1:18" ht="15" customHeight="1" x14ac:dyDescent="0.3">
      <c r="A1313" s="58" t="s">
        <v>87</v>
      </c>
      <c r="B1313" s="58" t="s">
        <v>165</v>
      </c>
      <c r="C1313" s="139">
        <v>0.73611111111111116</v>
      </c>
      <c r="D1313" s="58" t="s">
        <v>89</v>
      </c>
      <c r="E1313" s="58" t="s">
        <v>61</v>
      </c>
      <c r="F1313" s="58" t="s">
        <v>90</v>
      </c>
      <c r="G1313" s="204"/>
      <c r="H1313" s="59" t="s">
        <v>166</v>
      </c>
      <c r="I1313" s="160">
        <v>0.18440000000000001</v>
      </c>
      <c r="J1313" s="60">
        <v>33</v>
      </c>
      <c r="K1313" s="61" t="s">
        <v>99</v>
      </c>
      <c r="L1313" s="60">
        <v>6</v>
      </c>
      <c r="M1313" s="60">
        <v>0</v>
      </c>
      <c r="N1313" s="60">
        <v>2</v>
      </c>
      <c r="O1313" s="62" t="s">
        <v>93</v>
      </c>
      <c r="P1313" s="141">
        <v>0.73611111111111116</v>
      </c>
      <c r="Q1313" s="60">
        <v>179</v>
      </c>
      <c r="R1313" s="63" t="s">
        <v>383</v>
      </c>
    </row>
    <row r="1314" spans="1:18" ht="15" customHeight="1" x14ac:dyDescent="0.3">
      <c r="A1314" s="64" t="s">
        <v>87</v>
      </c>
      <c r="B1314" s="64" t="s">
        <v>88</v>
      </c>
      <c r="C1314" s="144">
        <v>0.9375</v>
      </c>
      <c r="D1314" s="64" t="s">
        <v>89</v>
      </c>
      <c r="E1314" s="64" t="s">
        <v>76</v>
      </c>
      <c r="F1314" s="64" t="s">
        <v>90</v>
      </c>
      <c r="G1314" s="204"/>
      <c r="H1314" s="65" t="s">
        <v>91</v>
      </c>
      <c r="I1314" s="161">
        <v>0.42459999999999998</v>
      </c>
      <c r="J1314" s="66">
        <v>76</v>
      </c>
      <c r="K1314" s="67" t="s">
        <v>99</v>
      </c>
      <c r="L1314" s="66">
        <v>7</v>
      </c>
      <c r="M1314" s="66">
        <v>0</v>
      </c>
      <c r="N1314" s="66">
        <v>2</v>
      </c>
      <c r="O1314" s="68" t="s">
        <v>188</v>
      </c>
      <c r="P1314" s="146">
        <v>0.9375</v>
      </c>
      <c r="Q1314" s="66">
        <v>179</v>
      </c>
      <c r="R1314" s="69" t="s">
        <v>384</v>
      </c>
    </row>
    <row r="1315" spans="1:18" ht="15" customHeight="1" x14ac:dyDescent="0.3">
      <c r="A1315" s="16" t="s">
        <v>115</v>
      </c>
      <c r="B1315" s="16" t="s">
        <v>120</v>
      </c>
      <c r="C1315" s="119">
        <v>0.28125</v>
      </c>
      <c r="D1315" s="16" t="s">
        <v>124</v>
      </c>
      <c r="E1315" s="16" t="s">
        <v>76</v>
      </c>
      <c r="F1315" s="16" t="s">
        <v>125</v>
      </c>
      <c r="G1315" s="204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5" t="s">
        <v>115</v>
      </c>
      <c r="B1316" s="15" t="s">
        <v>116</v>
      </c>
      <c r="C1316" s="118">
        <v>0.22916666666666671</v>
      </c>
      <c r="D1316" s="15" t="s">
        <v>124</v>
      </c>
      <c r="E1316" s="15" t="s">
        <v>76</v>
      </c>
      <c r="F1316" s="15" t="s">
        <v>253</v>
      </c>
      <c r="G1316" s="204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5" t="s">
        <v>115</v>
      </c>
      <c r="B1317" s="15" t="s">
        <v>121</v>
      </c>
      <c r="C1317" s="118">
        <v>0.4861111111111111</v>
      </c>
      <c r="D1317" s="15" t="s">
        <v>124</v>
      </c>
      <c r="E1317" s="15" t="s">
        <v>76</v>
      </c>
      <c r="F1317" s="15" t="s">
        <v>253</v>
      </c>
      <c r="G1317" s="204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5" t="s">
        <v>115</v>
      </c>
      <c r="B1318" s="15" t="s">
        <v>128</v>
      </c>
      <c r="C1318" s="118">
        <v>1.388888888888889E-2</v>
      </c>
      <c r="D1318" s="15" t="s">
        <v>124</v>
      </c>
      <c r="E1318" s="15" t="s">
        <v>76</v>
      </c>
      <c r="F1318" s="15" t="s">
        <v>127</v>
      </c>
      <c r="G1318" s="204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5" t="s">
        <v>115</v>
      </c>
      <c r="B1319" s="15" t="s">
        <v>119</v>
      </c>
      <c r="C1319" s="118">
        <v>0.14583333333333329</v>
      </c>
      <c r="D1319" s="15" t="s">
        <v>124</v>
      </c>
      <c r="E1319" s="15" t="s">
        <v>76</v>
      </c>
      <c r="F1319" s="15" t="s">
        <v>127</v>
      </c>
      <c r="G1319" s="204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5" t="s">
        <v>115</v>
      </c>
      <c r="B1320" s="15" t="s">
        <v>126</v>
      </c>
      <c r="C1320" s="118">
        <v>0.77083333333333337</v>
      </c>
      <c r="D1320" s="15" t="s">
        <v>124</v>
      </c>
      <c r="E1320" s="15" t="s">
        <v>76</v>
      </c>
      <c r="F1320" s="15" t="s">
        <v>324</v>
      </c>
      <c r="G1320" s="204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6" t="s">
        <v>130</v>
      </c>
      <c r="B1321" s="16" t="s">
        <v>143</v>
      </c>
      <c r="C1321" s="119">
        <v>6.9444444444444441E-3</v>
      </c>
      <c r="D1321" s="16" t="s">
        <v>132</v>
      </c>
      <c r="E1321" s="16" t="s">
        <v>76</v>
      </c>
      <c r="F1321" s="16" t="s">
        <v>176</v>
      </c>
      <c r="G1321" s="204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130</v>
      </c>
      <c r="B1322" s="14" t="s">
        <v>143</v>
      </c>
      <c r="C1322" s="117">
        <v>6.9444444444444441E-3</v>
      </c>
      <c r="D1322" s="14" t="s">
        <v>134</v>
      </c>
      <c r="E1322" s="14" t="s">
        <v>76</v>
      </c>
      <c r="F1322" s="14" t="s">
        <v>177</v>
      </c>
      <c r="G1322" s="204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5" t="s">
        <v>130</v>
      </c>
      <c r="B1323" s="15" t="s">
        <v>147</v>
      </c>
      <c r="C1323" s="118">
        <v>0.71875</v>
      </c>
      <c r="D1323" s="15" t="s">
        <v>132</v>
      </c>
      <c r="E1323" s="15" t="s">
        <v>76</v>
      </c>
      <c r="F1323" s="15" t="s">
        <v>176</v>
      </c>
      <c r="G1323" s="204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130</v>
      </c>
      <c r="B1324" s="14" t="s">
        <v>147</v>
      </c>
      <c r="C1324" s="117">
        <v>0.71875</v>
      </c>
      <c r="D1324" s="14" t="s">
        <v>134</v>
      </c>
      <c r="E1324" s="14" t="s">
        <v>76</v>
      </c>
      <c r="F1324" s="14" t="s">
        <v>177</v>
      </c>
      <c r="G1324" s="204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5" t="s">
        <v>130</v>
      </c>
      <c r="B1325" s="15" t="s">
        <v>148</v>
      </c>
      <c r="C1325" s="118">
        <v>0.82986111111111116</v>
      </c>
      <c r="D1325" s="15" t="s">
        <v>132</v>
      </c>
      <c r="E1325" s="15" t="s">
        <v>76</v>
      </c>
      <c r="F1325" s="15" t="s">
        <v>176</v>
      </c>
      <c r="G1325" s="204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130</v>
      </c>
      <c r="B1326" s="14" t="s">
        <v>148</v>
      </c>
      <c r="C1326" s="117">
        <v>0.82986111111111116</v>
      </c>
      <c r="D1326" s="14" t="s">
        <v>134</v>
      </c>
      <c r="E1326" s="14" t="s">
        <v>76</v>
      </c>
      <c r="F1326" s="14" t="s">
        <v>177</v>
      </c>
      <c r="G1326" s="204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5" t="s">
        <v>130</v>
      </c>
      <c r="B1327" s="15" t="s">
        <v>136</v>
      </c>
      <c r="C1327" s="118">
        <v>0.37847222222222221</v>
      </c>
      <c r="D1327" s="15" t="s">
        <v>132</v>
      </c>
      <c r="E1327" s="15" t="s">
        <v>76</v>
      </c>
      <c r="F1327" s="15" t="s">
        <v>176</v>
      </c>
      <c r="G1327" s="204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130</v>
      </c>
      <c r="B1328" s="14" t="s">
        <v>136</v>
      </c>
      <c r="C1328" s="117">
        <v>0.37847222222222221</v>
      </c>
      <c r="D1328" s="14" t="s">
        <v>134</v>
      </c>
      <c r="E1328" s="14" t="s">
        <v>76</v>
      </c>
      <c r="F1328" s="14" t="s">
        <v>177</v>
      </c>
      <c r="G1328" s="204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5" t="s">
        <v>130</v>
      </c>
      <c r="B1329" s="15" t="s">
        <v>137</v>
      </c>
      <c r="C1329" s="118">
        <v>0.61111111111111116</v>
      </c>
      <c r="D1329" s="15" t="s">
        <v>132</v>
      </c>
      <c r="E1329" s="15" t="s">
        <v>76</v>
      </c>
      <c r="F1329" s="15" t="s">
        <v>176</v>
      </c>
      <c r="G1329" s="204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130</v>
      </c>
      <c r="B1330" s="14" t="s">
        <v>137</v>
      </c>
      <c r="C1330" s="117">
        <v>0.61111111111111116</v>
      </c>
      <c r="D1330" s="14" t="s">
        <v>134</v>
      </c>
      <c r="E1330" s="14" t="s">
        <v>76</v>
      </c>
      <c r="F1330" s="14" t="s">
        <v>177</v>
      </c>
      <c r="G1330" s="204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5" t="s">
        <v>130</v>
      </c>
      <c r="B1331" s="15" t="s">
        <v>138</v>
      </c>
      <c r="C1331" s="118">
        <v>0.23958333333333329</v>
      </c>
      <c r="D1331" s="15" t="s">
        <v>132</v>
      </c>
      <c r="E1331" s="15" t="s">
        <v>76</v>
      </c>
      <c r="F1331" s="15" t="s">
        <v>176</v>
      </c>
      <c r="G1331" s="204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130</v>
      </c>
      <c r="B1332" s="14" t="s">
        <v>138</v>
      </c>
      <c r="C1332" s="117">
        <v>0.23958333333333329</v>
      </c>
      <c r="D1332" s="14" t="s">
        <v>134</v>
      </c>
      <c r="E1332" s="14" t="s">
        <v>76</v>
      </c>
      <c r="F1332" s="14" t="s">
        <v>177</v>
      </c>
      <c r="G1332" s="204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5" t="s">
        <v>130</v>
      </c>
      <c r="B1333" s="15" t="s">
        <v>131</v>
      </c>
      <c r="C1333" s="118">
        <v>0.93055555555555558</v>
      </c>
      <c r="D1333" s="15" t="s">
        <v>132</v>
      </c>
      <c r="E1333" s="15" t="s">
        <v>76</v>
      </c>
      <c r="F1333" s="15" t="s">
        <v>133</v>
      </c>
      <c r="G1333" s="204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130</v>
      </c>
      <c r="B1334" s="14" t="s">
        <v>131</v>
      </c>
      <c r="C1334" s="117">
        <v>0.93055555555555558</v>
      </c>
      <c r="D1334" s="14" t="s">
        <v>134</v>
      </c>
      <c r="E1334" s="14" t="s">
        <v>76</v>
      </c>
      <c r="F1334" s="14" t="s">
        <v>135</v>
      </c>
      <c r="G1334" s="204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5" t="s">
        <v>130</v>
      </c>
      <c r="B1335" s="15" t="s">
        <v>141</v>
      </c>
      <c r="C1335" s="118">
        <v>0.30208333333333331</v>
      </c>
      <c r="D1335" s="15" t="s">
        <v>134</v>
      </c>
      <c r="E1335" s="15" t="s">
        <v>110</v>
      </c>
      <c r="F1335" s="15" t="s">
        <v>218</v>
      </c>
      <c r="G1335" s="204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5" t="s">
        <v>130</v>
      </c>
      <c r="B1336" s="15" t="s">
        <v>142</v>
      </c>
      <c r="C1336" s="118">
        <v>0.12847222222222221</v>
      </c>
      <c r="D1336" s="15" t="s">
        <v>134</v>
      </c>
      <c r="E1336" s="15" t="s">
        <v>110</v>
      </c>
      <c r="F1336" s="15" t="s">
        <v>218</v>
      </c>
      <c r="G1336" s="204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5" t="s">
        <v>130</v>
      </c>
      <c r="B1337" s="15" t="s">
        <v>149</v>
      </c>
      <c r="C1337" s="118">
        <v>0.78819444444444442</v>
      </c>
      <c r="D1337" s="15" t="s">
        <v>134</v>
      </c>
      <c r="E1337" s="15" t="s">
        <v>110</v>
      </c>
      <c r="F1337" s="15" t="s">
        <v>178</v>
      </c>
      <c r="G1337" s="204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5" t="s">
        <v>130</v>
      </c>
      <c r="B1338" s="15" t="s">
        <v>139</v>
      </c>
      <c r="C1338" s="118">
        <v>0.88888888888888884</v>
      </c>
      <c r="D1338" s="15" t="s">
        <v>134</v>
      </c>
      <c r="E1338" s="15" t="s">
        <v>110</v>
      </c>
      <c r="F1338" s="15" t="s">
        <v>140</v>
      </c>
      <c r="G1338" s="204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5" t="s">
        <v>130</v>
      </c>
      <c r="B1339" s="15" t="s">
        <v>146</v>
      </c>
      <c r="C1339" s="118">
        <v>0.1423611111111111</v>
      </c>
      <c r="D1339" s="15" t="s">
        <v>132</v>
      </c>
      <c r="E1339" s="15" t="s">
        <v>29</v>
      </c>
      <c r="F1339" s="15" t="s">
        <v>291</v>
      </c>
      <c r="G1339" s="204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thickBot="1" x14ac:dyDescent="0.35">
      <c r="A1340" s="70" t="s">
        <v>130</v>
      </c>
      <c r="B1340" s="70" t="s">
        <v>146</v>
      </c>
      <c r="C1340" s="148">
        <v>0.1423611111111111</v>
      </c>
      <c r="D1340" s="70" t="s">
        <v>134</v>
      </c>
      <c r="E1340" s="70" t="s">
        <v>29</v>
      </c>
      <c r="F1340" s="70" t="s">
        <v>336</v>
      </c>
      <c r="G1340" s="205"/>
      <c r="H1340" s="42"/>
      <c r="I1340" s="43"/>
      <c r="J1340" s="43"/>
      <c r="K1340" s="43"/>
      <c r="L1340" s="43"/>
      <c r="M1340" s="43"/>
      <c r="N1340" s="43"/>
      <c r="O1340" s="44"/>
      <c r="P1340" s="43"/>
      <c r="Q1340" s="45"/>
      <c r="R1340" s="46"/>
    </row>
    <row r="1341" spans="1:18" ht="17.399999999999999" customHeight="1" thickBot="1" x14ac:dyDescent="0.35">
      <c r="A1341" s="200"/>
      <c r="B1341" s="201"/>
      <c r="C1341" s="201"/>
      <c r="D1341" s="201"/>
      <c r="E1341" s="201"/>
      <c r="F1341" s="201"/>
      <c r="G1341" s="201"/>
      <c r="H1341" s="201"/>
      <c r="I1341" s="201"/>
      <c r="J1341" s="201"/>
      <c r="K1341" s="201"/>
      <c r="L1341" s="201"/>
      <c r="M1341" s="201"/>
      <c r="N1341" s="201"/>
      <c r="O1341" s="201"/>
      <c r="P1341" s="201"/>
      <c r="Q1341" s="201"/>
      <c r="R1341" s="202"/>
    </row>
    <row r="1342" spans="1:18" ht="22.05" customHeight="1" thickTop="1" thickBot="1" x14ac:dyDescent="0.35">
      <c r="A1342" s="197" t="s">
        <v>6</v>
      </c>
      <c r="B1342" s="198"/>
      <c r="C1342" s="198"/>
      <c r="D1342" s="198"/>
      <c r="E1342" s="198"/>
      <c r="F1342" s="199"/>
      <c r="G1342" s="133">
        <v>46011</v>
      </c>
      <c r="H1342" s="207" t="s">
        <v>7</v>
      </c>
      <c r="I1342" s="198"/>
      <c r="J1342" s="198"/>
      <c r="K1342" s="198"/>
      <c r="L1342" s="198"/>
      <c r="M1342" s="198"/>
      <c r="N1342" s="198"/>
      <c r="O1342" s="198"/>
      <c r="P1342" s="198"/>
      <c r="Q1342" s="198"/>
      <c r="R1342" s="199"/>
    </row>
    <row r="1343" spans="1:18" ht="24" customHeight="1" x14ac:dyDescent="0.3">
      <c r="A1343" s="47" t="s">
        <v>8</v>
      </c>
      <c r="B1343" s="47" t="s">
        <v>9</v>
      </c>
      <c r="C1343" s="134" t="s">
        <v>10</v>
      </c>
      <c r="D1343" s="47" t="s">
        <v>11</v>
      </c>
      <c r="E1343" s="47" t="s">
        <v>12</v>
      </c>
      <c r="F1343" s="48" t="s">
        <v>13</v>
      </c>
      <c r="G1343" s="49" t="s">
        <v>14</v>
      </c>
      <c r="H1343" s="47" t="s">
        <v>15</v>
      </c>
      <c r="I1343" s="135" t="s">
        <v>16</v>
      </c>
      <c r="J1343" s="50" t="s">
        <v>17</v>
      </c>
      <c r="K1343" s="51" t="s">
        <v>18</v>
      </c>
      <c r="L1343" s="50" t="s">
        <v>19</v>
      </c>
      <c r="M1343" s="50" t="s">
        <v>20</v>
      </c>
      <c r="N1343" s="50" t="s">
        <v>21</v>
      </c>
      <c r="O1343" s="47" t="s">
        <v>22</v>
      </c>
      <c r="P1343" s="134" t="s">
        <v>23</v>
      </c>
      <c r="Q1343" s="50" t="s">
        <v>24</v>
      </c>
      <c r="R1343" s="47" t="s">
        <v>25</v>
      </c>
    </row>
    <row r="1344" spans="1:18" ht="15" customHeight="1" x14ac:dyDescent="0.3">
      <c r="A1344" s="8" t="s">
        <v>26</v>
      </c>
      <c r="B1344" s="8" t="s">
        <v>35</v>
      </c>
      <c r="C1344" s="116">
        <v>0.12847222222222221</v>
      </c>
      <c r="D1344" s="8" t="s">
        <v>28</v>
      </c>
      <c r="E1344" s="8" t="s">
        <v>36</v>
      </c>
      <c r="F1344" s="8" t="s">
        <v>234</v>
      </c>
      <c r="G1344" s="206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26</v>
      </c>
      <c r="B1345" s="14" t="s">
        <v>35</v>
      </c>
      <c r="C1345" s="117">
        <v>0.12847222222222221</v>
      </c>
      <c r="D1345" s="14" t="s">
        <v>31</v>
      </c>
      <c r="E1345" s="14" t="s">
        <v>36</v>
      </c>
      <c r="F1345" s="14" t="s">
        <v>63</v>
      </c>
      <c r="G1345" s="204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26</v>
      </c>
      <c r="B1346" s="14" t="s">
        <v>35</v>
      </c>
      <c r="C1346" s="117">
        <v>0.12847222222222221</v>
      </c>
      <c r="D1346" s="14" t="s">
        <v>33</v>
      </c>
      <c r="E1346" s="14" t="s">
        <v>36</v>
      </c>
      <c r="F1346" s="14" t="s">
        <v>34</v>
      </c>
      <c r="G1346" s="204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5" t="s">
        <v>26</v>
      </c>
      <c r="B1347" s="15" t="s">
        <v>39</v>
      </c>
      <c r="C1347" s="118">
        <v>0.30208333333333331</v>
      </c>
      <c r="D1347" s="15" t="s">
        <v>28</v>
      </c>
      <c r="E1347" s="15" t="s">
        <v>40</v>
      </c>
      <c r="F1347" s="15" t="s">
        <v>180</v>
      </c>
      <c r="G1347" s="204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26</v>
      </c>
      <c r="B1348" s="14" t="s">
        <v>39</v>
      </c>
      <c r="C1348" s="117">
        <v>0.30208333333333331</v>
      </c>
      <c r="D1348" s="14" t="s">
        <v>31</v>
      </c>
      <c r="E1348" s="14" t="s">
        <v>40</v>
      </c>
      <c r="F1348" s="14" t="s">
        <v>181</v>
      </c>
      <c r="G1348" s="204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26</v>
      </c>
      <c r="B1349" s="14" t="s">
        <v>39</v>
      </c>
      <c r="C1349" s="117">
        <v>0.30208333333333331</v>
      </c>
      <c r="D1349" s="14" t="s">
        <v>33</v>
      </c>
      <c r="E1349" s="14" t="s">
        <v>40</v>
      </c>
      <c r="F1349" s="14" t="s">
        <v>34</v>
      </c>
      <c r="G1349" s="204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5" t="s">
        <v>26</v>
      </c>
      <c r="B1350" s="15" t="s">
        <v>41</v>
      </c>
      <c r="C1350" s="118">
        <v>0.78819444444444442</v>
      </c>
      <c r="D1350" s="15" t="s">
        <v>28</v>
      </c>
      <c r="E1350" s="15" t="s">
        <v>264</v>
      </c>
      <c r="F1350" s="15" t="s">
        <v>37</v>
      </c>
      <c r="G1350" s="204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26</v>
      </c>
      <c r="B1351" s="14" t="s">
        <v>41</v>
      </c>
      <c r="C1351" s="117">
        <v>0.78819444444444442</v>
      </c>
      <c r="D1351" s="14" t="s">
        <v>31</v>
      </c>
      <c r="E1351" s="14" t="s">
        <v>264</v>
      </c>
      <c r="F1351" s="14" t="s">
        <v>38</v>
      </c>
      <c r="G1351" s="204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26</v>
      </c>
      <c r="B1352" s="14" t="s">
        <v>41</v>
      </c>
      <c r="C1352" s="117">
        <v>0.78819444444444442</v>
      </c>
      <c r="D1352" s="14" t="s">
        <v>33</v>
      </c>
      <c r="E1352" s="14" t="s">
        <v>264</v>
      </c>
      <c r="F1352" s="14" t="s">
        <v>34</v>
      </c>
      <c r="G1352" s="204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5" t="s">
        <v>26</v>
      </c>
      <c r="B1353" s="15" t="s">
        <v>27</v>
      </c>
      <c r="C1353" s="118">
        <v>0.88888888888888884</v>
      </c>
      <c r="D1353" s="15" t="s">
        <v>28</v>
      </c>
      <c r="E1353" s="15" t="s">
        <v>265</v>
      </c>
      <c r="F1353" s="15" t="s">
        <v>183</v>
      </c>
      <c r="G1353" s="204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26</v>
      </c>
      <c r="B1354" s="14" t="s">
        <v>27</v>
      </c>
      <c r="C1354" s="117">
        <v>0.88888888888888884</v>
      </c>
      <c r="D1354" s="14" t="s">
        <v>31</v>
      </c>
      <c r="E1354" s="14" t="s">
        <v>265</v>
      </c>
      <c r="F1354" s="14" t="s">
        <v>184</v>
      </c>
      <c r="G1354" s="204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26</v>
      </c>
      <c r="B1355" s="14" t="s">
        <v>27</v>
      </c>
      <c r="C1355" s="117">
        <v>0.88888888888888884</v>
      </c>
      <c r="D1355" s="14" t="s">
        <v>33</v>
      </c>
      <c r="E1355" s="14" t="s">
        <v>265</v>
      </c>
      <c r="F1355" s="14" t="s">
        <v>34</v>
      </c>
      <c r="G1355" s="204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6" t="s">
        <v>79</v>
      </c>
      <c r="B1356" s="16" t="s">
        <v>84</v>
      </c>
      <c r="C1356" s="119">
        <v>0.3298611111111111</v>
      </c>
      <c r="D1356" s="16" t="s">
        <v>81</v>
      </c>
      <c r="E1356" s="16" t="s">
        <v>54</v>
      </c>
      <c r="F1356" s="16" t="s">
        <v>198</v>
      </c>
      <c r="G1356" s="204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79</v>
      </c>
      <c r="B1357" s="14" t="s">
        <v>84</v>
      </c>
      <c r="C1357" s="117">
        <v>0.3298611111111111</v>
      </c>
      <c r="D1357" s="14" t="s">
        <v>33</v>
      </c>
      <c r="E1357" s="14" t="s">
        <v>54</v>
      </c>
      <c r="F1357" s="14" t="s">
        <v>181</v>
      </c>
      <c r="G1357" s="204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5" t="s">
        <v>79</v>
      </c>
      <c r="B1358" s="15" t="s">
        <v>80</v>
      </c>
      <c r="C1358" s="118">
        <v>0.21527777777777779</v>
      </c>
      <c r="D1358" s="15" t="s">
        <v>81</v>
      </c>
      <c r="E1358" s="15" t="s">
        <v>54</v>
      </c>
      <c r="F1358" s="15" t="s">
        <v>198</v>
      </c>
      <c r="G1358" s="204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79</v>
      </c>
      <c r="B1359" s="14" t="s">
        <v>80</v>
      </c>
      <c r="C1359" s="117">
        <v>0.21527777777777779</v>
      </c>
      <c r="D1359" s="14" t="s">
        <v>33</v>
      </c>
      <c r="E1359" s="14" t="s">
        <v>54</v>
      </c>
      <c r="F1359" s="14" t="s">
        <v>181</v>
      </c>
      <c r="G1359" s="204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6" t="s">
        <v>45</v>
      </c>
      <c r="B1360" s="16" t="s">
        <v>53</v>
      </c>
      <c r="C1360" s="119">
        <v>0.85416666666666663</v>
      </c>
      <c r="D1360" s="16" t="s">
        <v>47</v>
      </c>
      <c r="E1360" s="16" t="s">
        <v>54</v>
      </c>
      <c r="F1360" s="16" t="s">
        <v>48</v>
      </c>
      <c r="G1360" s="204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45</v>
      </c>
      <c r="B1361" s="14" t="s">
        <v>53</v>
      </c>
      <c r="C1361" s="117">
        <v>0.85416666666666663</v>
      </c>
      <c r="D1361" s="14" t="s">
        <v>49</v>
      </c>
      <c r="E1361" s="14" t="s">
        <v>54</v>
      </c>
      <c r="F1361" s="14" t="s">
        <v>50</v>
      </c>
      <c r="G1361" s="204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45</v>
      </c>
      <c r="B1362" s="14" t="s">
        <v>53</v>
      </c>
      <c r="C1362" s="117">
        <v>0.85416666666666663</v>
      </c>
      <c r="D1362" s="14" t="s">
        <v>51</v>
      </c>
      <c r="E1362" s="14" t="s">
        <v>54</v>
      </c>
      <c r="F1362" s="14" t="s">
        <v>52</v>
      </c>
      <c r="G1362" s="204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5" t="s">
        <v>45</v>
      </c>
      <c r="B1363" s="15" t="s">
        <v>57</v>
      </c>
      <c r="C1363" s="118">
        <v>0.25694444444444442</v>
      </c>
      <c r="D1363" s="15" t="s">
        <v>47</v>
      </c>
      <c r="E1363" s="15" t="s">
        <v>29</v>
      </c>
      <c r="F1363" s="15" t="s">
        <v>48</v>
      </c>
      <c r="G1363" s="204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45</v>
      </c>
      <c r="B1364" s="14" t="s">
        <v>57</v>
      </c>
      <c r="C1364" s="117">
        <v>0.25694444444444442</v>
      </c>
      <c r="D1364" s="14" t="s">
        <v>49</v>
      </c>
      <c r="E1364" s="14" t="s">
        <v>29</v>
      </c>
      <c r="F1364" s="14" t="s">
        <v>50</v>
      </c>
      <c r="G1364" s="204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45</v>
      </c>
      <c r="B1365" s="14" t="s">
        <v>57</v>
      </c>
      <c r="C1365" s="117">
        <v>0.25694444444444442</v>
      </c>
      <c r="D1365" s="14" t="s">
        <v>51</v>
      </c>
      <c r="E1365" s="14" t="s">
        <v>29</v>
      </c>
      <c r="F1365" s="14" t="s">
        <v>52</v>
      </c>
      <c r="G1365" s="204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5" t="s">
        <v>45</v>
      </c>
      <c r="B1366" s="15" t="s">
        <v>59</v>
      </c>
      <c r="C1366" s="118">
        <v>0.90277777777777779</v>
      </c>
      <c r="D1366" s="15" t="s">
        <v>47</v>
      </c>
      <c r="E1366" s="15" t="s">
        <v>36</v>
      </c>
      <c r="F1366" s="15" t="s">
        <v>48</v>
      </c>
      <c r="G1366" s="204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45</v>
      </c>
      <c r="B1367" s="14" t="s">
        <v>59</v>
      </c>
      <c r="C1367" s="117">
        <v>0.90277777777777779</v>
      </c>
      <c r="D1367" s="14" t="s">
        <v>49</v>
      </c>
      <c r="E1367" s="14" t="s">
        <v>36</v>
      </c>
      <c r="F1367" s="14" t="s">
        <v>50</v>
      </c>
      <c r="G1367" s="204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45</v>
      </c>
      <c r="B1368" s="14" t="s">
        <v>59</v>
      </c>
      <c r="C1368" s="117">
        <v>0.90277777777777779</v>
      </c>
      <c r="D1368" s="14" t="s">
        <v>51</v>
      </c>
      <c r="E1368" s="14" t="s">
        <v>36</v>
      </c>
      <c r="F1368" s="14" t="s">
        <v>52</v>
      </c>
      <c r="G1368" s="204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5" t="s">
        <v>45</v>
      </c>
      <c r="B1369" s="15" t="s">
        <v>46</v>
      </c>
      <c r="C1369" s="118">
        <v>0.39583333333333331</v>
      </c>
      <c r="D1369" s="15" t="s">
        <v>47</v>
      </c>
      <c r="E1369" s="15" t="s">
        <v>36</v>
      </c>
      <c r="F1369" s="15" t="s">
        <v>48</v>
      </c>
      <c r="G1369" s="204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45</v>
      </c>
      <c r="B1370" s="14" t="s">
        <v>46</v>
      </c>
      <c r="C1370" s="117">
        <v>0.39583333333333331</v>
      </c>
      <c r="D1370" s="14" t="s">
        <v>49</v>
      </c>
      <c r="E1370" s="14" t="s">
        <v>36</v>
      </c>
      <c r="F1370" s="14" t="s">
        <v>50</v>
      </c>
      <c r="G1370" s="204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45</v>
      </c>
      <c r="B1371" s="14" t="s">
        <v>46</v>
      </c>
      <c r="C1371" s="117">
        <v>0.39583333333333331</v>
      </c>
      <c r="D1371" s="14" t="s">
        <v>51</v>
      </c>
      <c r="E1371" s="14" t="s">
        <v>36</v>
      </c>
      <c r="F1371" s="14" t="s">
        <v>52</v>
      </c>
      <c r="G1371" s="204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5" t="s">
        <v>45</v>
      </c>
      <c r="B1372" s="15" t="s">
        <v>58</v>
      </c>
      <c r="C1372" s="118">
        <v>0.46875</v>
      </c>
      <c r="D1372" s="15" t="s">
        <v>47</v>
      </c>
      <c r="E1372" s="15" t="s">
        <v>96</v>
      </c>
      <c r="F1372" s="15" t="s">
        <v>55</v>
      </c>
      <c r="G1372" s="204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45</v>
      </c>
      <c r="B1373" s="14" t="s">
        <v>58</v>
      </c>
      <c r="C1373" s="117">
        <v>0.46875</v>
      </c>
      <c r="D1373" s="14" t="s">
        <v>49</v>
      </c>
      <c r="E1373" s="14" t="s">
        <v>96</v>
      </c>
      <c r="F1373" s="14" t="s">
        <v>32</v>
      </c>
      <c r="G1373" s="204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45</v>
      </c>
      <c r="B1374" s="14" t="s">
        <v>58</v>
      </c>
      <c r="C1374" s="117">
        <v>0.46875</v>
      </c>
      <c r="D1374" s="14" t="s">
        <v>51</v>
      </c>
      <c r="E1374" s="14" t="s">
        <v>96</v>
      </c>
      <c r="F1374" s="14" t="s">
        <v>56</v>
      </c>
      <c r="G1374" s="204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5" t="s">
        <v>45</v>
      </c>
      <c r="B1375" s="15" t="s">
        <v>62</v>
      </c>
      <c r="C1375" s="118">
        <v>0.51736111111111116</v>
      </c>
      <c r="D1375" s="15" t="s">
        <v>47</v>
      </c>
      <c r="E1375" s="15" t="s">
        <v>54</v>
      </c>
      <c r="F1375" s="15" t="s">
        <v>55</v>
      </c>
      <c r="G1375" s="204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45</v>
      </c>
      <c r="B1376" s="14" t="s">
        <v>62</v>
      </c>
      <c r="C1376" s="117">
        <v>0.51736111111111116</v>
      </c>
      <c r="D1376" s="14" t="s">
        <v>49</v>
      </c>
      <c r="E1376" s="14" t="s">
        <v>54</v>
      </c>
      <c r="F1376" s="14" t="s">
        <v>32</v>
      </c>
      <c r="G1376" s="204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45</v>
      </c>
      <c r="B1377" s="14" t="s">
        <v>62</v>
      </c>
      <c r="C1377" s="117">
        <v>0.51736111111111116</v>
      </c>
      <c r="D1377" s="14" t="s">
        <v>51</v>
      </c>
      <c r="E1377" s="14" t="s">
        <v>54</v>
      </c>
      <c r="F1377" s="14" t="s">
        <v>56</v>
      </c>
      <c r="G1377" s="204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5" t="s">
        <v>45</v>
      </c>
      <c r="B1378" s="15" t="s">
        <v>66</v>
      </c>
      <c r="C1378" s="118">
        <v>0.64583333333333337</v>
      </c>
      <c r="D1378" s="15" t="s">
        <v>47</v>
      </c>
      <c r="E1378" s="15" t="s">
        <v>61</v>
      </c>
      <c r="F1378" s="15" t="s">
        <v>55</v>
      </c>
      <c r="G1378" s="204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45</v>
      </c>
      <c r="B1379" s="14" t="s">
        <v>66</v>
      </c>
      <c r="C1379" s="117">
        <v>0.64583333333333337</v>
      </c>
      <c r="D1379" s="14" t="s">
        <v>49</v>
      </c>
      <c r="E1379" s="14" t="s">
        <v>61</v>
      </c>
      <c r="F1379" s="14" t="s">
        <v>32</v>
      </c>
      <c r="G1379" s="204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45</v>
      </c>
      <c r="B1380" s="14" t="s">
        <v>66</v>
      </c>
      <c r="C1380" s="117">
        <v>0.64583333333333337</v>
      </c>
      <c r="D1380" s="14" t="s">
        <v>51</v>
      </c>
      <c r="E1380" s="14" t="s">
        <v>61</v>
      </c>
      <c r="F1380" s="14" t="s">
        <v>56</v>
      </c>
      <c r="G1380" s="204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5" t="s">
        <v>45</v>
      </c>
      <c r="B1381" s="15" t="s">
        <v>60</v>
      </c>
      <c r="C1381" s="118">
        <v>0.79861111111111116</v>
      </c>
      <c r="D1381" s="15" t="s">
        <v>47</v>
      </c>
      <c r="E1381" s="15" t="s">
        <v>185</v>
      </c>
      <c r="F1381" s="15" t="s">
        <v>63</v>
      </c>
      <c r="G1381" s="204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45</v>
      </c>
      <c r="B1382" s="14" t="s">
        <v>60</v>
      </c>
      <c r="C1382" s="117">
        <v>0.79861111111111116</v>
      </c>
      <c r="D1382" s="14" t="s">
        <v>49</v>
      </c>
      <c r="E1382" s="14" t="s">
        <v>185</v>
      </c>
      <c r="F1382" s="14" t="s">
        <v>64</v>
      </c>
      <c r="G1382" s="204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45</v>
      </c>
      <c r="B1383" s="14" t="s">
        <v>60</v>
      </c>
      <c r="C1383" s="117">
        <v>0.79861111111111116</v>
      </c>
      <c r="D1383" s="14" t="s">
        <v>51</v>
      </c>
      <c r="E1383" s="14" t="s">
        <v>185</v>
      </c>
      <c r="F1383" s="14" t="s">
        <v>65</v>
      </c>
      <c r="G1383" s="204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6" t="s">
        <v>74</v>
      </c>
      <c r="B1384" s="16" t="s">
        <v>78</v>
      </c>
      <c r="C1384" s="119">
        <v>0.66666666666666663</v>
      </c>
      <c r="D1384" s="16" t="s">
        <v>72</v>
      </c>
      <c r="E1384" s="16" t="s">
        <v>29</v>
      </c>
      <c r="F1384" s="16" t="s">
        <v>77</v>
      </c>
      <c r="G1384" s="204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86" t="s">
        <v>87</v>
      </c>
      <c r="B1385" s="86" t="s">
        <v>220</v>
      </c>
      <c r="C1385" s="172">
        <v>0.2361111111111111</v>
      </c>
      <c r="D1385" s="86" t="s">
        <v>89</v>
      </c>
      <c r="E1385" s="86" t="s">
        <v>185</v>
      </c>
      <c r="F1385" s="86" t="s">
        <v>159</v>
      </c>
      <c r="G1385" s="204"/>
      <c r="H1385" s="36" t="s">
        <v>221</v>
      </c>
      <c r="I1385" s="143">
        <v>0.41339999999999999</v>
      </c>
      <c r="J1385" s="37">
        <v>74</v>
      </c>
      <c r="K1385" s="38" t="s">
        <v>92</v>
      </c>
      <c r="L1385" s="37">
        <v>16</v>
      </c>
      <c r="M1385" s="37">
        <v>1</v>
      </c>
      <c r="N1385" s="37">
        <v>3</v>
      </c>
      <c r="O1385" s="39" t="s">
        <v>172</v>
      </c>
      <c r="P1385" s="131">
        <v>0.2361111111111111</v>
      </c>
      <c r="Q1385" s="37">
        <v>179</v>
      </c>
      <c r="R1385" s="40" t="s">
        <v>385</v>
      </c>
    </row>
    <row r="1386" spans="1:18" ht="15" customHeight="1" x14ac:dyDescent="0.3">
      <c r="A1386" s="29" t="s">
        <v>87</v>
      </c>
      <c r="B1386" s="29" t="s">
        <v>109</v>
      </c>
      <c r="C1386" s="126">
        <v>0.33333333333333331</v>
      </c>
      <c r="D1386" s="29" t="s">
        <v>89</v>
      </c>
      <c r="E1386" s="29" t="s">
        <v>36</v>
      </c>
      <c r="F1386" s="29" t="s">
        <v>159</v>
      </c>
      <c r="G1386" s="204"/>
      <c r="H1386" s="30" t="s">
        <v>111</v>
      </c>
      <c r="I1386" s="127">
        <v>0.91059999999999997</v>
      </c>
      <c r="J1386" s="31">
        <v>163</v>
      </c>
      <c r="K1386" s="32" t="s">
        <v>162</v>
      </c>
      <c r="L1386" s="31">
        <v>3</v>
      </c>
      <c r="M1386" s="31">
        <v>0</v>
      </c>
      <c r="N1386" s="31">
        <v>0</v>
      </c>
      <c r="O1386" s="33" t="s">
        <v>160</v>
      </c>
      <c r="P1386" s="128">
        <v>0.33333333333333331</v>
      </c>
      <c r="Q1386" s="31">
        <v>179</v>
      </c>
      <c r="R1386" s="34" t="s">
        <v>386</v>
      </c>
    </row>
    <row r="1387" spans="1:18" ht="15" customHeight="1" x14ac:dyDescent="0.3">
      <c r="A1387" s="35" t="s">
        <v>87</v>
      </c>
      <c r="B1387" s="35" t="s">
        <v>95</v>
      </c>
      <c r="C1387" s="129">
        <v>0.68055555555555558</v>
      </c>
      <c r="D1387" s="35" t="s">
        <v>226</v>
      </c>
      <c r="E1387" s="87"/>
      <c r="F1387" s="35" t="s">
        <v>227</v>
      </c>
      <c r="G1387" s="204"/>
      <c r="H1387" s="36" t="s">
        <v>98</v>
      </c>
      <c r="I1387" s="130">
        <v>0.92179999999999995</v>
      </c>
      <c r="J1387" s="37">
        <v>165</v>
      </c>
      <c r="K1387" s="38" t="s">
        <v>387</v>
      </c>
      <c r="L1387" s="37">
        <v>0</v>
      </c>
      <c r="M1387" s="37">
        <v>0</v>
      </c>
      <c r="N1387" s="37">
        <v>0</v>
      </c>
      <c r="O1387" s="39" t="s">
        <v>229</v>
      </c>
      <c r="P1387" s="131">
        <v>0.68055555555555558</v>
      </c>
      <c r="Q1387" s="37">
        <v>179</v>
      </c>
      <c r="R1387" s="40" t="s">
        <v>388</v>
      </c>
    </row>
    <row r="1388" spans="1:18" ht="15" customHeight="1" x14ac:dyDescent="0.3">
      <c r="A1388" s="16" t="s">
        <v>130</v>
      </c>
      <c r="B1388" s="16" t="s">
        <v>138</v>
      </c>
      <c r="C1388" s="119">
        <v>0.24305555555555561</v>
      </c>
      <c r="D1388" s="16" t="s">
        <v>132</v>
      </c>
      <c r="E1388" s="16" t="s">
        <v>103</v>
      </c>
      <c r="F1388" s="16" t="s">
        <v>335</v>
      </c>
      <c r="G1388" s="204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130</v>
      </c>
      <c r="B1389" s="14" t="s">
        <v>138</v>
      </c>
      <c r="C1389" s="117">
        <v>0.24305555555555561</v>
      </c>
      <c r="D1389" s="14" t="s">
        <v>134</v>
      </c>
      <c r="E1389" s="14" t="s">
        <v>103</v>
      </c>
      <c r="F1389" s="14" t="s">
        <v>280</v>
      </c>
      <c r="G1389" s="204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5" t="s">
        <v>130</v>
      </c>
      <c r="B1390" s="15" t="s">
        <v>143</v>
      </c>
      <c r="C1390" s="118">
        <v>6.9444444444444441E-3</v>
      </c>
      <c r="D1390" s="15" t="s">
        <v>132</v>
      </c>
      <c r="E1390" s="15" t="s">
        <v>76</v>
      </c>
      <c r="F1390" s="15" t="s">
        <v>176</v>
      </c>
      <c r="G1390" s="204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130</v>
      </c>
      <c r="B1391" s="14" t="s">
        <v>143</v>
      </c>
      <c r="C1391" s="117">
        <v>6.9444444444444441E-3</v>
      </c>
      <c r="D1391" s="14" t="s">
        <v>134</v>
      </c>
      <c r="E1391" s="14" t="s">
        <v>76</v>
      </c>
      <c r="F1391" s="14" t="s">
        <v>177</v>
      </c>
      <c r="G1391" s="204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5" t="s">
        <v>130</v>
      </c>
      <c r="B1392" s="15" t="s">
        <v>131</v>
      </c>
      <c r="C1392" s="118">
        <v>0.93055555555555558</v>
      </c>
      <c r="D1392" s="15" t="s">
        <v>132</v>
      </c>
      <c r="E1392" s="15" t="s">
        <v>76</v>
      </c>
      <c r="F1392" s="15" t="s">
        <v>176</v>
      </c>
      <c r="G1392" s="204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130</v>
      </c>
      <c r="B1393" s="14" t="s">
        <v>131</v>
      </c>
      <c r="C1393" s="117">
        <v>0.93055555555555558</v>
      </c>
      <c r="D1393" s="14" t="s">
        <v>134</v>
      </c>
      <c r="E1393" s="14" t="s">
        <v>76</v>
      </c>
      <c r="F1393" s="14" t="s">
        <v>177</v>
      </c>
      <c r="G1393" s="204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5" t="s">
        <v>130</v>
      </c>
      <c r="B1394" s="15" t="s">
        <v>147</v>
      </c>
      <c r="C1394" s="118">
        <v>0.71875</v>
      </c>
      <c r="D1394" s="15" t="s">
        <v>132</v>
      </c>
      <c r="E1394" s="15" t="s">
        <v>76</v>
      </c>
      <c r="F1394" s="15" t="s">
        <v>176</v>
      </c>
      <c r="G1394" s="204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130</v>
      </c>
      <c r="B1395" s="14" t="s">
        <v>147</v>
      </c>
      <c r="C1395" s="117">
        <v>0.71875</v>
      </c>
      <c r="D1395" s="14" t="s">
        <v>134</v>
      </c>
      <c r="E1395" s="14" t="s">
        <v>76</v>
      </c>
      <c r="F1395" s="14" t="s">
        <v>177</v>
      </c>
      <c r="G1395" s="204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5" t="s">
        <v>130</v>
      </c>
      <c r="B1396" s="15" t="s">
        <v>136</v>
      </c>
      <c r="C1396" s="118">
        <v>0.37847222222222221</v>
      </c>
      <c r="D1396" s="15" t="s">
        <v>132</v>
      </c>
      <c r="E1396" s="15" t="s">
        <v>76</v>
      </c>
      <c r="F1396" s="15" t="s">
        <v>176</v>
      </c>
      <c r="G1396" s="204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130</v>
      </c>
      <c r="B1397" s="14" t="s">
        <v>136</v>
      </c>
      <c r="C1397" s="117">
        <v>0.37847222222222221</v>
      </c>
      <c r="D1397" s="14" t="s">
        <v>134</v>
      </c>
      <c r="E1397" s="14" t="s">
        <v>76</v>
      </c>
      <c r="F1397" s="14" t="s">
        <v>177</v>
      </c>
      <c r="G1397" s="204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5" t="s">
        <v>130</v>
      </c>
      <c r="B1398" s="15" t="s">
        <v>146</v>
      </c>
      <c r="C1398" s="118">
        <v>0.1423611111111111</v>
      </c>
      <c r="D1398" s="15" t="s">
        <v>132</v>
      </c>
      <c r="E1398" s="15" t="s">
        <v>76</v>
      </c>
      <c r="F1398" s="15" t="s">
        <v>133</v>
      </c>
      <c r="G1398" s="204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130</v>
      </c>
      <c r="B1399" s="14" t="s">
        <v>146</v>
      </c>
      <c r="C1399" s="117">
        <v>0.1423611111111111</v>
      </c>
      <c r="D1399" s="14" t="s">
        <v>134</v>
      </c>
      <c r="E1399" s="14" t="s">
        <v>76</v>
      </c>
      <c r="F1399" s="14" t="s">
        <v>135</v>
      </c>
      <c r="G1399" s="204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5" t="s">
        <v>130</v>
      </c>
      <c r="B1400" s="15" t="s">
        <v>137</v>
      </c>
      <c r="C1400" s="118">
        <v>0.61111111111111116</v>
      </c>
      <c r="D1400" s="15" t="s">
        <v>132</v>
      </c>
      <c r="E1400" s="15" t="s">
        <v>76</v>
      </c>
      <c r="F1400" s="15" t="s">
        <v>133</v>
      </c>
      <c r="G1400" s="204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130</v>
      </c>
      <c r="B1401" s="14" t="s">
        <v>137</v>
      </c>
      <c r="C1401" s="117">
        <v>0.61111111111111116</v>
      </c>
      <c r="D1401" s="14" t="s">
        <v>134</v>
      </c>
      <c r="E1401" s="14" t="s">
        <v>76</v>
      </c>
      <c r="F1401" s="14" t="s">
        <v>135</v>
      </c>
      <c r="G1401" s="204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5" t="s">
        <v>130</v>
      </c>
      <c r="B1402" s="15" t="s">
        <v>141</v>
      </c>
      <c r="C1402" s="118">
        <v>0.30208333333333331</v>
      </c>
      <c r="D1402" s="15" t="s">
        <v>134</v>
      </c>
      <c r="E1402" s="15" t="s">
        <v>110</v>
      </c>
      <c r="F1402" s="15" t="s">
        <v>218</v>
      </c>
      <c r="G1402" s="204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5" t="s">
        <v>130</v>
      </c>
      <c r="B1403" s="15" t="s">
        <v>142</v>
      </c>
      <c r="C1403" s="118">
        <v>0.12847222222222221</v>
      </c>
      <c r="D1403" s="15" t="s">
        <v>134</v>
      </c>
      <c r="E1403" s="15" t="s">
        <v>110</v>
      </c>
      <c r="F1403" s="15" t="s">
        <v>218</v>
      </c>
      <c r="G1403" s="204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5" t="s">
        <v>130</v>
      </c>
      <c r="B1404" s="15" t="s">
        <v>149</v>
      </c>
      <c r="C1404" s="118">
        <v>0.78819444444444442</v>
      </c>
      <c r="D1404" s="15" t="s">
        <v>134</v>
      </c>
      <c r="E1404" s="15" t="s">
        <v>110</v>
      </c>
      <c r="F1404" s="15" t="s">
        <v>140</v>
      </c>
      <c r="G1404" s="204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5" t="s">
        <v>130</v>
      </c>
      <c r="B1405" s="15" t="s">
        <v>148</v>
      </c>
      <c r="C1405" s="118">
        <v>0.82986111111111116</v>
      </c>
      <c r="D1405" s="15" t="s">
        <v>132</v>
      </c>
      <c r="E1405" s="15" t="s">
        <v>76</v>
      </c>
      <c r="F1405" s="15" t="s">
        <v>144</v>
      </c>
      <c r="G1405" s="204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130</v>
      </c>
      <c r="B1406" s="14" t="s">
        <v>148</v>
      </c>
      <c r="C1406" s="117">
        <v>0.82986111111111116</v>
      </c>
      <c r="D1406" s="14" t="s">
        <v>134</v>
      </c>
      <c r="E1406" s="14" t="s">
        <v>76</v>
      </c>
      <c r="F1406" s="14" t="s">
        <v>145</v>
      </c>
      <c r="G1406" s="204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5" t="s">
        <v>130</v>
      </c>
      <c r="B1407" s="15" t="s">
        <v>139</v>
      </c>
      <c r="C1407" s="118">
        <v>0.88888888888888884</v>
      </c>
      <c r="D1407" s="15" t="s">
        <v>134</v>
      </c>
      <c r="E1407" s="15" t="s">
        <v>110</v>
      </c>
      <c r="F1407" s="15" t="s">
        <v>150</v>
      </c>
      <c r="G1407" s="204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6" t="s">
        <v>70</v>
      </c>
      <c r="B1408" s="16" t="s">
        <v>155</v>
      </c>
      <c r="C1408" s="119">
        <v>0.27083333333333331</v>
      </c>
      <c r="D1408" s="16" t="s">
        <v>72</v>
      </c>
      <c r="E1408" s="16" t="s">
        <v>76</v>
      </c>
      <c r="F1408" s="16" t="s">
        <v>186</v>
      </c>
      <c r="G1408" s="204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6" t="s">
        <v>115</v>
      </c>
      <c r="B1409" s="16" t="s">
        <v>120</v>
      </c>
      <c r="C1409" s="119">
        <v>0.27777777777777779</v>
      </c>
      <c r="D1409" s="16" t="s">
        <v>124</v>
      </c>
      <c r="E1409" s="16" t="s">
        <v>76</v>
      </c>
      <c r="F1409" s="16" t="s">
        <v>253</v>
      </c>
      <c r="G1409" s="204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5" t="s">
        <v>115</v>
      </c>
      <c r="B1410" s="15" t="s">
        <v>116</v>
      </c>
      <c r="C1410" s="118">
        <v>0.22916666666666671</v>
      </c>
      <c r="D1410" s="15" t="s">
        <v>124</v>
      </c>
      <c r="E1410" s="15" t="s">
        <v>76</v>
      </c>
      <c r="F1410" s="15" t="s">
        <v>127</v>
      </c>
      <c r="G1410" s="204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5" t="s">
        <v>115</v>
      </c>
      <c r="B1411" s="15" t="s">
        <v>119</v>
      </c>
      <c r="C1411" s="118">
        <v>0.14583333333333329</v>
      </c>
      <c r="D1411" s="15" t="s">
        <v>124</v>
      </c>
      <c r="E1411" s="15" t="s">
        <v>76</v>
      </c>
      <c r="F1411" s="15" t="s">
        <v>127</v>
      </c>
      <c r="G1411" s="204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5" t="s">
        <v>115</v>
      </c>
      <c r="B1412" s="15" t="s">
        <v>121</v>
      </c>
      <c r="C1412" s="118">
        <v>0.4861111111111111</v>
      </c>
      <c r="D1412" s="15" t="s">
        <v>124</v>
      </c>
      <c r="E1412" s="15" t="s">
        <v>76</v>
      </c>
      <c r="F1412" s="15" t="s">
        <v>127</v>
      </c>
      <c r="G1412" s="204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5" t="s">
        <v>115</v>
      </c>
      <c r="B1413" s="15" t="s">
        <v>123</v>
      </c>
      <c r="C1413" s="118">
        <v>0.95833333333333337</v>
      </c>
      <c r="D1413" s="15" t="s">
        <v>124</v>
      </c>
      <c r="E1413" s="15" t="s">
        <v>76</v>
      </c>
      <c r="F1413" s="15" t="s">
        <v>254</v>
      </c>
      <c r="G1413" s="204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5" t="s">
        <v>115</v>
      </c>
      <c r="B1414" s="15" t="s">
        <v>122</v>
      </c>
      <c r="C1414" s="118">
        <v>0.51388888888888884</v>
      </c>
      <c r="D1414" s="15" t="s">
        <v>124</v>
      </c>
      <c r="E1414" s="15" t="s">
        <v>76</v>
      </c>
      <c r="F1414" s="15" t="s">
        <v>254</v>
      </c>
      <c r="G1414" s="204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5" t="s">
        <v>115</v>
      </c>
      <c r="B1415" s="15" t="s">
        <v>128</v>
      </c>
      <c r="C1415" s="118">
        <v>1.388888888888889E-2</v>
      </c>
      <c r="D1415" s="15" t="s">
        <v>124</v>
      </c>
      <c r="E1415" s="15" t="s">
        <v>76</v>
      </c>
      <c r="F1415" s="15" t="s">
        <v>389</v>
      </c>
      <c r="G1415" s="204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41" t="s">
        <v>115</v>
      </c>
      <c r="B1416" s="41" t="s">
        <v>126</v>
      </c>
      <c r="C1416" s="132">
        <v>0.77430555555555558</v>
      </c>
      <c r="D1416" s="41" t="s">
        <v>124</v>
      </c>
      <c r="E1416" s="41" t="s">
        <v>76</v>
      </c>
      <c r="F1416" s="41" t="s">
        <v>291</v>
      </c>
      <c r="G1416" s="205"/>
      <c r="H1416" s="42"/>
      <c r="I1416" s="43"/>
      <c r="J1416" s="43"/>
      <c r="K1416" s="43"/>
      <c r="L1416" s="43"/>
      <c r="M1416" s="43"/>
      <c r="N1416" s="43"/>
      <c r="O1416" s="44"/>
      <c r="P1416" s="43"/>
      <c r="Q1416" s="45"/>
      <c r="R1416" s="46"/>
    </row>
  </sheetData>
  <mergeCells count="86">
    <mergeCell ref="G84:G170"/>
    <mergeCell ref="H411:R411"/>
    <mergeCell ref="H1:L1"/>
    <mergeCell ref="A1:E1"/>
    <mergeCell ref="A2:F2"/>
    <mergeCell ref="A171:R171"/>
    <mergeCell ref="N1:R1"/>
    <mergeCell ref="H4:R4"/>
    <mergeCell ref="A3:R3"/>
    <mergeCell ref="A4:F4"/>
    <mergeCell ref="A1111:F1111"/>
    <mergeCell ref="H757:R757"/>
    <mergeCell ref="A259:R259"/>
    <mergeCell ref="A482:R482"/>
    <mergeCell ref="G262:G335"/>
    <mergeCell ref="A558:R558"/>
    <mergeCell ref="A411:F411"/>
    <mergeCell ref="A834:R834"/>
    <mergeCell ref="G910:G980"/>
    <mergeCell ref="H483:R483"/>
    <mergeCell ref="A336:R336"/>
    <mergeCell ref="H337:R337"/>
    <mergeCell ref="A82:F82"/>
    <mergeCell ref="A260:F260"/>
    <mergeCell ref="H1342:R1342"/>
    <mergeCell ref="G174:G244"/>
    <mergeCell ref="H1059:R1059"/>
    <mergeCell ref="A756:R756"/>
    <mergeCell ref="H172:R172"/>
    <mergeCell ref="A172:F172"/>
    <mergeCell ref="H681:R681"/>
    <mergeCell ref="H82:R82"/>
    <mergeCell ref="G485:G557"/>
    <mergeCell ref="G683:G755"/>
    <mergeCell ref="G1061:G1109"/>
    <mergeCell ref="H559:R559"/>
    <mergeCell ref="H1111:R1111"/>
    <mergeCell ref="H1184:R1184"/>
    <mergeCell ref="G1265:G1340"/>
    <mergeCell ref="H246:R246"/>
    <mergeCell ref="G984:G1057"/>
    <mergeCell ref="A245:R245"/>
    <mergeCell ref="A1059:F1059"/>
    <mergeCell ref="A608:R608"/>
    <mergeCell ref="A908:F908"/>
    <mergeCell ref="G1186:G1261"/>
    <mergeCell ref="G413:G481"/>
    <mergeCell ref="A1110:R1110"/>
    <mergeCell ref="A1262:R1262"/>
    <mergeCell ref="H908:R908"/>
    <mergeCell ref="G837:G906"/>
    <mergeCell ref="H260:R260"/>
    <mergeCell ref="A1263:F1263"/>
    <mergeCell ref="H609:R609"/>
    <mergeCell ref="G1344:G1416"/>
    <mergeCell ref="H982:R982"/>
    <mergeCell ref="A1341:R1341"/>
    <mergeCell ref="G1113:G1182"/>
    <mergeCell ref="G2:J2"/>
    <mergeCell ref="H835:R835"/>
    <mergeCell ref="A609:F609"/>
    <mergeCell ref="K2:R2"/>
    <mergeCell ref="A981:R981"/>
    <mergeCell ref="A1184:F1184"/>
    <mergeCell ref="A680:R680"/>
    <mergeCell ref="A337:F337"/>
    <mergeCell ref="A757:F757"/>
    <mergeCell ref="A982:F982"/>
    <mergeCell ref="G339:G409"/>
    <mergeCell ref="G759:G833"/>
    <mergeCell ref="A1342:F1342"/>
    <mergeCell ref="A246:F246"/>
    <mergeCell ref="A410:R410"/>
    <mergeCell ref="G6:G80"/>
    <mergeCell ref="G248:G258"/>
    <mergeCell ref="A483:F483"/>
    <mergeCell ref="A681:F681"/>
    <mergeCell ref="A1058:R1058"/>
    <mergeCell ref="G611:G679"/>
    <mergeCell ref="H1263:R1263"/>
    <mergeCell ref="G561:G607"/>
    <mergeCell ref="A81:R81"/>
    <mergeCell ref="A907:R907"/>
    <mergeCell ref="A559:F559"/>
    <mergeCell ref="A835:F835"/>
    <mergeCell ref="A1183:R11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9"/>
  <sheetViews>
    <sheetView workbookViewId="0"/>
  </sheetViews>
  <sheetFormatPr defaultRowHeight="15.6" outlineLevelCol="2" x14ac:dyDescent="0.3"/>
  <cols>
    <col min="1" max="1" width="13.77734375" style="184" bestFit="1" customWidth="1"/>
    <col min="2" max="2" width="10.88671875" style="184" bestFit="1" customWidth="1"/>
    <col min="3" max="3" width="7.88671875" style="184" bestFit="1" customWidth="1"/>
    <col min="4" max="4" width="6.77734375" style="184" bestFit="1" customWidth="1"/>
    <col min="5" max="5" width="8.6640625" style="184" bestFit="1" customWidth="1"/>
    <col min="6" max="6" width="5.21875" style="184" bestFit="1" customWidth="1"/>
    <col min="7" max="7" width="10" style="184" bestFit="1" customWidth="1"/>
    <col min="8" max="8" width="10.109375" style="184" bestFit="1" customWidth="1"/>
    <col min="9" max="10" width="8.5546875" style="184" bestFit="1" customWidth="1"/>
    <col min="11" max="11" width="12.21875" style="184" bestFit="1" customWidth="1"/>
    <col min="12" max="12" width="20.6640625" style="184" bestFit="1" customWidth="1"/>
    <col min="13" max="13" width="8.77734375" style="184" bestFit="1" customWidth="1" outlineLevel="2"/>
    <col min="14" max="14" width="7.33203125" style="184" bestFit="1" customWidth="1" outlineLevel="2"/>
    <col min="15" max="15" width="9.109375" style="184" bestFit="1" customWidth="1" outlineLevel="2"/>
    <col min="16" max="16" width="15.33203125" style="184" bestFit="1" customWidth="1"/>
    <col min="17" max="19" width="3.88671875" style="184" bestFit="1" customWidth="1"/>
    <col min="20" max="20" width="4.21875" style="184" bestFit="1" customWidth="1"/>
    <col min="21" max="24" width="3.88671875" style="184" bestFit="1" customWidth="1"/>
    <col min="25" max="25" width="4.21875" style="184" bestFit="1" customWidth="1"/>
    <col min="26" max="26" width="3.88671875" style="184" bestFit="1" customWidth="1"/>
    <col min="27" max="27" width="4.77734375" style="184" bestFit="1" customWidth="1"/>
    <col min="28" max="28" width="3.88671875" style="184" bestFit="1" customWidth="1"/>
    <col min="29" max="29" width="5.109375" style="184" bestFit="1" customWidth="1"/>
    <col min="30" max="31" width="5.33203125" style="184" bestFit="1" customWidth="1"/>
    <col min="32" max="32" width="4.44140625" style="184" bestFit="1" customWidth="1"/>
    <col min="33" max="33" width="5" style="184" bestFit="1" customWidth="1"/>
    <col min="34" max="34" width="3.88671875" style="184" bestFit="1" customWidth="1"/>
    <col min="35" max="35" width="6.21875" style="184" bestFit="1" customWidth="1"/>
    <col min="36" max="36" width="5.44140625" style="184" bestFit="1" customWidth="1"/>
    <col min="37" max="16384" width="8.88671875" style="184"/>
  </cols>
  <sheetData>
    <row r="1" spans="1:36" x14ac:dyDescent="0.3">
      <c r="A1" s="183" t="s">
        <v>390</v>
      </c>
      <c r="B1" s="183" t="s">
        <v>391</v>
      </c>
      <c r="C1" s="183" t="s">
        <v>392</v>
      </c>
      <c r="D1" s="183" t="s">
        <v>23</v>
      </c>
      <c r="E1" s="183" t="s">
        <v>393</v>
      </c>
      <c r="F1" s="183" t="s">
        <v>394</v>
      </c>
      <c r="G1" s="183" t="s">
        <v>16</v>
      </c>
      <c r="H1" s="183" t="s">
        <v>395</v>
      </c>
      <c r="I1" s="183" t="s">
        <v>396</v>
      </c>
      <c r="J1" s="183" t="s">
        <v>397</v>
      </c>
      <c r="K1" s="183" t="s">
        <v>398</v>
      </c>
      <c r="L1" s="183" t="s">
        <v>18</v>
      </c>
      <c r="M1" s="183" t="s">
        <v>20</v>
      </c>
      <c r="N1" s="183" t="s">
        <v>21</v>
      </c>
      <c r="O1" s="183" t="s">
        <v>19</v>
      </c>
      <c r="P1" s="183" t="s">
        <v>22</v>
      </c>
      <c r="Q1" s="183" t="s">
        <v>399</v>
      </c>
      <c r="R1" s="183" t="s">
        <v>400</v>
      </c>
      <c r="S1" s="183" t="s">
        <v>401</v>
      </c>
      <c r="T1" s="183" t="s">
        <v>402</v>
      </c>
      <c r="U1" s="183" t="s">
        <v>403</v>
      </c>
      <c r="V1" s="183" t="s">
        <v>404</v>
      </c>
      <c r="W1" s="183" t="s">
        <v>405</v>
      </c>
      <c r="X1" s="183" t="s">
        <v>406</v>
      </c>
      <c r="Y1" s="183" t="s">
        <v>407</v>
      </c>
      <c r="Z1" s="183" t="s">
        <v>408</v>
      </c>
      <c r="AA1" s="183" t="s">
        <v>409</v>
      </c>
      <c r="AB1" s="183" t="s">
        <v>410</v>
      </c>
      <c r="AC1" s="183" t="s">
        <v>411</v>
      </c>
      <c r="AD1" s="183" t="s">
        <v>412</v>
      </c>
      <c r="AE1" s="183" t="s">
        <v>413</v>
      </c>
      <c r="AF1" s="183" t="s">
        <v>414</v>
      </c>
      <c r="AG1" s="183" t="s">
        <v>415</v>
      </c>
      <c r="AH1" s="183" t="s">
        <v>416</v>
      </c>
      <c r="AI1" s="183" t="s">
        <v>417</v>
      </c>
      <c r="AJ1" s="183" t="s">
        <v>418</v>
      </c>
    </row>
    <row r="2" spans="1:36" x14ac:dyDescent="0.3">
      <c r="A2" s="185" t="s">
        <v>419</v>
      </c>
      <c r="B2" s="186">
        <v>45992</v>
      </c>
      <c r="C2" s="187" t="s">
        <v>105</v>
      </c>
      <c r="D2" s="188" t="s">
        <v>420</v>
      </c>
      <c r="E2" s="187" t="s">
        <v>1</v>
      </c>
      <c r="F2" s="187" t="s">
        <v>421</v>
      </c>
      <c r="G2" s="189">
        <v>0.88270000000000004</v>
      </c>
      <c r="H2" s="190">
        <v>179</v>
      </c>
      <c r="I2" s="190">
        <v>158</v>
      </c>
      <c r="J2" s="190">
        <v>131</v>
      </c>
      <c r="K2" s="187" t="s">
        <v>422</v>
      </c>
      <c r="L2" s="191" t="s">
        <v>106</v>
      </c>
      <c r="M2" s="190">
        <v>0</v>
      </c>
      <c r="N2" s="190">
        <v>0</v>
      </c>
      <c r="O2" s="190">
        <v>2</v>
      </c>
      <c r="P2" s="187" t="s">
        <v>107</v>
      </c>
      <c r="Q2" s="183"/>
      <c r="R2" s="183"/>
      <c r="S2" s="183"/>
      <c r="T2" s="183"/>
      <c r="U2" s="183"/>
      <c r="V2" s="183"/>
      <c r="W2" s="183"/>
      <c r="X2" s="183"/>
      <c r="Y2" s="183"/>
      <c r="Z2" s="190" t="s">
        <v>423</v>
      </c>
      <c r="AA2" s="183"/>
      <c r="AB2" s="183"/>
      <c r="AC2" s="183"/>
      <c r="AD2" s="190" t="s">
        <v>424</v>
      </c>
      <c r="AE2" s="190" t="s">
        <v>269</v>
      </c>
      <c r="AF2" s="190" t="s">
        <v>425</v>
      </c>
      <c r="AG2" s="183"/>
      <c r="AH2" s="183"/>
      <c r="AI2" s="190" t="s">
        <v>426</v>
      </c>
      <c r="AJ2" s="183"/>
    </row>
    <row r="3" spans="1:36" x14ac:dyDescent="0.3">
      <c r="A3" s="185" t="s">
        <v>419</v>
      </c>
      <c r="B3" s="186">
        <v>45992</v>
      </c>
      <c r="C3" s="187" t="s">
        <v>111</v>
      </c>
      <c r="D3" s="188" t="s">
        <v>427</v>
      </c>
      <c r="E3" s="187" t="s">
        <v>1</v>
      </c>
      <c r="F3" s="187" t="s">
        <v>421</v>
      </c>
      <c r="G3" s="189">
        <v>0.97209999999999996</v>
      </c>
      <c r="H3" s="190">
        <v>179</v>
      </c>
      <c r="I3" s="190">
        <v>174</v>
      </c>
      <c r="J3" s="190">
        <v>135</v>
      </c>
      <c r="K3" s="187" t="s">
        <v>422</v>
      </c>
      <c r="L3" s="191" t="s">
        <v>112</v>
      </c>
      <c r="M3" s="190">
        <v>0</v>
      </c>
      <c r="N3" s="190">
        <v>0</v>
      </c>
      <c r="O3" s="190">
        <v>8</v>
      </c>
      <c r="P3" s="187" t="s">
        <v>113</v>
      </c>
      <c r="Q3" s="183"/>
      <c r="R3" s="183"/>
      <c r="S3" s="183"/>
      <c r="T3" s="183"/>
      <c r="U3" s="183"/>
      <c r="V3" s="183"/>
      <c r="W3" s="183"/>
      <c r="X3" s="183"/>
      <c r="Y3" s="183"/>
      <c r="Z3" s="190" t="s">
        <v>428</v>
      </c>
      <c r="AA3" s="190" t="s">
        <v>429</v>
      </c>
      <c r="AB3" s="183"/>
      <c r="AC3" s="183"/>
      <c r="AD3" s="183"/>
      <c r="AE3" s="190" t="s">
        <v>430</v>
      </c>
      <c r="AF3" s="190" t="s">
        <v>380</v>
      </c>
      <c r="AG3" s="183"/>
      <c r="AH3" s="183"/>
      <c r="AI3" s="190" t="s">
        <v>431</v>
      </c>
      <c r="AJ3" s="183"/>
    </row>
    <row r="4" spans="1:36" x14ac:dyDescent="0.3">
      <c r="A4" s="185" t="s">
        <v>419</v>
      </c>
      <c r="B4" s="186">
        <v>45992</v>
      </c>
      <c r="C4" s="187" t="s">
        <v>98</v>
      </c>
      <c r="D4" s="188" t="s">
        <v>432</v>
      </c>
      <c r="E4" s="187" t="s">
        <v>1</v>
      </c>
      <c r="F4" s="187" t="s">
        <v>421</v>
      </c>
      <c r="G4" s="189">
        <v>0.88829999999999998</v>
      </c>
      <c r="H4" s="190">
        <v>179</v>
      </c>
      <c r="I4" s="190">
        <v>159</v>
      </c>
      <c r="J4" s="190">
        <v>103</v>
      </c>
      <c r="K4" s="187" t="s">
        <v>422</v>
      </c>
      <c r="L4" s="191" t="s">
        <v>99</v>
      </c>
      <c r="M4" s="190">
        <v>0</v>
      </c>
      <c r="N4" s="190">
        <v>2</v>
      </c>
      <c r="O4" s="190">
        <v>8</v>
      </c>
      <c r="P4" s="187" t="s">
        <v>100</v>
      </c>
      <c r="Q4" s="183"/>
      <c r="R4" s="183"/>
      <c r="S4" s="183"/>
      <c r="T4" s="183"/>
      <c r="U4" s="183"/>
      <c r="V4" s="183"/>
      <c r="W4" s="183"/>
      <c r="X4" s="183"/>
      <c r="Y4" s="183"/>
      <c r="Z4" s="190" t="s">
        <v>433</v>
      </c>
      <c r="AA4" s="183"/>
      <c r="AB4" s="190" t="s">
        <v>434</v>
      </c>
      <c r="AC4" s="190" t="s">
        <v>435</v>
      </c>
      <c r="AD4" s="190" t="s">
        <v>436</v>
      </c>
      <c r="AE4" s="190" t="s">
        <v>437</v>
      </c>
      <c r="AF4" s="190" t="s">
        <v>380</v>
      </c>
      <c r="AG4" s="183"/>
      <c r="AH4" s="183"/>
      <c r="AI4" s="190" t="s">
        <v>438</v>
      </c>
      <c r="AJ4" s="190" t="s">
        <v>439</v>
      </c>
    </row>
    <row r="5" spans="1:36" x14ac:dyDescent="0.3">
      <c r="A5" s="185" t="s">
        <v>419</v>
      </c>
      <c r="B5" s="186">
        <v>45992</v>
      </c>
      <c r="C5" s="187" t="s">
        <v>91</v>
      </c>
      <c r="D5" s="188" t="s">
        <v>440</v>
      </c>
      <c r="E5" s="187" t="s">
        <v>1</v>
      </c>
      <c r="F5" s="187" t="s">
        <v>421</v>
      </c>
      <c r="G5" s="189">
        <v>0.93300000000000005</v>
      </c>
      <c r="H5" s="190">
        <v>179</v>
      </c>
      <c r="I5" s="190">
        <v>167</v>
      </c>
      <c r="J5" s="190">
        <v>104</v>
      </c>
      <c r="K5" s="187" t="s">
        <v>422</v>
      </c>
      <c r="L5" s="191" t="s">
        <v>92</v>
      </c>
      <c r="M5" s="190">
        <v>2</v>
      </c>
      <c r="N5" s="190">
        <v>3</v>
      </c>
      <c r="O5" s="190">
        <v>20</v>
      </c>
      <c r="P5" s="187" t="s">
        <v>93</v>
      </c>
      <c r="Q5" s="183"/>
      <c r="R5" s="183"/>
      <c r="S5" s="183"/>
      <c r="T5" s="183"/>
      <c r="U5" s="183"/>
      <c r="V5" s="183"/>
      <c r="W5" s="183"/>
      <c r="X5" s="183"/>
      <c r="Y5" s="183"/>
      <c r="Z5" s="190" t="s">
        <v>441</v>
      </c>
      <c r="AA5" s="183"/>
      <c r="AB5" s="183"/>
      <c r="AC5" s="190" t="s">
        <v>442</v>
      </c>
      <c r="AD5" s="190" t="s">
        <v>443</v>
      </c>
      <c r="AE5" s="190" t="s">
        <v>444</v>
      </c>
      <c r="AF5" s="190" t="s">
        <v>445</v>
      </c>
      <c r="AG5" s="190" t="s">
        <v>446</v>
      </c>
      <c r="AH5" s="183"/>
      <c r="AI5" s="190" t="s">
        <v>447</v>
      </c>
      <c r="AJ5" s="190" t="s">
        <v>448</v>
      </c>
    </row>
    <row r="6" spans="1:36" x14ac:dyDescent="0.3">
      <c r="A6" s="185" t="s">
        <v>449</v>
      </c>
      <c r="B6" s="186">
        <v>45993</v>
      </c>
      <c r="C6" s="187" t="s">
        <v>166</v>
      </c>
      <c r="D6" s="188" t="s">
        <v>450</v>
      </c>
      <c r="E6" s="187" t="s">
        <v>1</v>
      </c>
      <c r="F6" s="187" t="s">
        <v>421</v>
      </c>
      <c r="G6" s="189">
        <v>0.2626</v>
      </c>
      <c r="H6" s="190">
        <v>179</v>
      </c>
      <c r="I6" s="190">
        <v>47</v>
      </c>
      <c r="J6" s="190">
        <v>0</v>
      </c>
      <c r="K6" s="187" t="s">
        <v>422</v>
      </c>
      <c r="L6" s="191" t="s">
        <v>92</v>
      </c>
      <c r="M6" s="190">
        <v>2</v>
      </c>
      <c r="N6" s="190">
        <v>0</v>
      </c>
      <c r="O6" s="190">
        <v>18</v>
      </c>
      <c r="P6" s="187" t="s">
        <v>167</v>
      </c>
      <c r="Q6" s="183"/>
      <c r="R6" s="183"/>
      <c r="S6" s="183"/>
      <c r="T6" s="183"/>
      <c r="U6" s="183"/>
      <c r="V6" s="183"/>
      <c r="W6" s="183"/>
      <c r="X6" s="183"/>
      <c r="Y6" s="183"/>
      <c r="Z6" s="190" t="s">
        <v>433</v>
      </c>
      <c r="AA6" s="183"/>
      <c r="AB6" s="183"/>
      <c r="AC6" s="183"/>
      <c r="AD6" s="183"/>
      <c r="AE6" s="190" t="s">
        <v>437</v>
      </c>
      <c r="AF6" s="190" t="s">
        <v>451</v>
      </c>
      <c r="AG6" s="183"/>
      <c r="AH6" s="183"/>
      <c r="AI6" s="183"/>
      <c r="AJ6" s="183"/>
    </row>
    <row r="7" spans="1:36" x14ac:dyDescent="0.3">
      <c r="A7" s="185" t="s">
        <v>449</v>
      </c>
      <c r="B7" s="186">
        <v>45993</v>
      </c>
      <c r="C7" s="187" t="s">
        <v>105</v>
      </c>
      <c r="D7" s="188" t="s">
        <v>452</v>
      </c>
      <c r="E7" s="187" t="s">
        <v>1</v>
      </c>
      <c r="F7" s="187" t="s">
        <v>421</v>
      </c>
      <c r="G7" s="189">
        <v>0.71509999999999996</v>
      </c>
      <c r="H7" s="190">
        <v>179</v>
      </c>
      <c r="I7" s="190">
        <v>128</v>
      </c>
      <c r="J7" s="190">
        <v>90</v>
      </c>
      <c r="K7" s="187" t="s">
        <v>422</v>
      </c>
      <c r="L7" s="191" t="s">
        <v>92</v>
      </c>
      <c r="M7" s="190">
        <v>1</v>
      </c>
      <c r="N7" s="190">
        <v>1</v>
      </c>
      <c r="O7" s="190">
        <v>16</v>
      </c>
      <c r="P7" s="187" t="s">
        <v>160</v>
      </c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90" t="s">
        <v>453</v>
      </c>
      <c r="AE7" s="190" t="s">
        <v>437</v>
      </c>
      <c r="AF7" s="190" t="s">
        <v>380</v>
      </c>
      <c r="AG7" s="183"/>
      <c r="AH7" s="183"/>
      <c r="AI7" s="190" t="s">
        <v>454</v>
      </c>
      <c r="AJ7" s="183"/>
    </row>
    <row r="8" spans="1:36" x14ac:dyDescent="0.3">
      <c r="A8" s="185" t="s">
        <v>449</v>
      </c>
      <c r="B8" s="186">
        <v>45993</v>
      </c>
      <c r="C8" s="187" t="s">
        <v>98</v>
      </c>
      <c r="D8" s="188" t="s">
        <v>432</v>
      </c>
      <c r="E8" s="187" t="s">
        <v>1</v>
      </c>
      <c r="F8" s="187" t="s">
        <v>421</v>
      </c>
      <c r="G8" s="189">
        <v>0.67600000000000005</v>
      </c>
      <c r="H8" s="190">
        <v>179</v>
      </c>
      <c r="I8" s="190">
        <v>121</v>
      </c>
      <c r="J8" s="190">
        <v>83</v>
      </c>
      <c r="K8" s="187" t="s">
        <v>422</v>
      </c>
      <c r="L8" s="191" t="s">
        <v>162</v>
      </c>
      <c r="M8" s="190">
        <v>0</v>
      </c>
      <c r="N8" s="190">
        <v>0</v>
      </c>
      <c r="O8" s="190">
        <v>6</v>
      </c>
      <c r="P8" s="187" t="s">
        <v>174</v>
      </c>
      <c r="Q8" s="183"/>
      <c r="R8" s="183"/>
      <c r="S8" s="183"/>
      <c r="T8" s="183"/>
      <c r="U8" s="183"/>
      <c r="V8" s="183"/>
      <c r="W8" s="183"/>
      <c r="X8" s="183"/>
      <c r="Y8" s="183"/>
      <c r="Z8" s="190" t="s">
        <v>455</v>
      </c>
      <c r="AA8" s="183"/>
      <c r="AB8" s="183"/>
      <c r="AC8" s="190" t="s">
        <v>456</v>
      </c>
      <c r="AD8" s="190" t="s">
        <v>436</v>
      </c>
      <c r="AE8" s="190" t="s">
        <v>457</v>
      </c>
      <c r="AF8" s="190" t="s">
        <v>380</v>
      </c>
      <c r="AG8" s="183"/>
      <c r="AH8" s="183"/>
      <c r="AI8" s="190" t="s">
        <v>458</v>
      </c>
      <c r="AJ8" s="183"/>
    </row>
    <row r="9" spans="1:36" x14ac:dyDescent="0.3">
      <c r="A9" s="185" t="s">
        <v>449</v>
      </c>
      <c r="B9" s="186">
        <v>45993</v>
      </c>
      <c r="C9" s="187" t="s">
        <v>91</v>
      </c>
      <c r="D9" s="188" t="s">
        <v>459</v>
      </c>
      <c r="E9" s="187" t="s">
        <v>1</v>
      </c>
      <c r="F9" s="187" t="s">
        <v>421</v>
      </c>
      <c r="G9" s="189">
        <v>0.69830000000000003</v>
      </c>
      <c r="H9" s="190">
        <v>179</v>
      </c>
      <c r="I9" s="190">
        <v>125</v>
      </c>
      <c r="J9" s="190">
        <v>96</v>
      </c>
      <c r="K9" s="187" t="s">
        <v>422</v>
      </c>
      <c r="L9" s="191" t="s">
        <v>92</v>
      </c>
      <c r="M9" s="190">
        <v>2</v>
      </c>
      <c r="N9" s="190">
        <v>1</v>
      </c>
      <c r="O9" s="190">
        <v>8</v>
      </c>
      <c r="P9" s="187" t="s">
        <v>172</v>
      </c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90" t="s">
        <v>271</v>
      </c>
      <c r="AE9" s="190" t="s">
        <v>457</v>
      </c>
      <c r="AF9" s="190" t="s">
        <v>380</v>
      </c>
      <c r="AG9" s="183"/>
      <c r="AH9" s="183"/>
      <c r="AI9" s="190" t="s">
        <v>460</v>
      </c>
      <c r="AJ9" s="190" t="s">
        <v>461</v>
      </c>
    </row>
    <row r="10" spans="1:36" x14ac:dyDescent="0.3">
      <c r="A10" s="185" t="s">
        <v>449</v>
      </c>
      <c r="B10" s="186">
        <v>45993</v>
      </c>
      <c r="C10" s="187" t="s">
        <v>170</v>
      </c>
      <c r="D10" s="188" t="s">
        <v>462</v>
      </c>
      <c r="E10" s="187" t="s">
        <v>1</v>
      </c>
      <c r="F10" s="187" t="s">
        <v>421</v>
      </c>
      <c r="G10" s="189">
        <v>0.39660000000000001</v>
      </c>
      <c r="H10" s="190">
        <v>179</v>
      </c>
      <c r="I10" s="190">
        <v>71</v>
      </c>
      <c r="J10" s="190">
        <v>42</v>
      </c>
      <c r="K10" s="187" t="s">
        <v>422</v>
      </c>
      <c r="L10" s="191" t="s">
        <v>162</v>
      </c>
      <c r="M10" s="190">
        <v>0</v>
      </c>
      <c r="N10" s="190">
        <v>0</v>
      </c>
      <c r="O10" s="190">
        <v>5</v>
      </c>
      <c r="P10" s="187" t="s">
        <v>167</v>
      </c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90" t="s">
        <v>163</v>
      </c>
      <c r="AE10" s="190" t="s">
        <v>463</v>
      </c>
      <c r="AF10" s="190" t="s">
        <v>205</v>
      </c>
      <c r="AG10" s="183"/>
      <c r="AH10" s="183"/>
      <c r="AI10" s="190" t="s">
        <v>464</v>
      </c>
      <c r="AJ10" s="183"/>
    </row>
    <row r="11" spans="1:36" x14ac:dyDescent="0.3">
      <c r="A11" s="185" t="s">
        <v>449</v>
      </c>
      <c r="B11" s="186">
        <v>45993</v>
      </c>
      <c r="C11" s="187" t="s">
        <v>111</v>
      </c>
      <c r="D11" s="188" t="s">
        <v>465</v>
      </c>
      <c r="E11" s="187" t="s">
        <v>1</v>
      </c>
      <c r="F11" s="187" t="s">
        <v>421</v>
      </c>
      <c r="G11" s="189">
        <v>0.69269999999999998</v>
      </c>
      <c r="H11" s="190">
        <v>179</v>
      </c>
      <c r="I11" s="190">
        <v>124</v>
      </c>
      <c r="J11" s="190">
        <v>92</v>
      </c>
      <c r="K11" s="187" t="s">
        <v>422</v>
      </c>
      <c r="L11" s="191" t="s">
        <v>162</v>
      </c>
      <c r="M11" s="190">
        <v>0</v>
      </c>
      <c r="N11" s="190">
        <v>0</v>
      </c>
      <c r="O11" s="190">
        <v>6</v>
      </c>
      <c r="P11" s="187" t="s">
        <v>163</v>
      </c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90" t="s">
        <v>322</v>
      </c>
      <c r="AE11" s="190" t="s">
        <v>457</v>
      </c>
      <c r="AF11" s="190" t="s">
        <v>466</v>
      </c>
      <c r="AG11" s="183"/>
      <c r="AH11" s="183"/>
      <c r="AI11" s="190" t="s">
        <v>467</v>
      </c>
      <c r="AJ11" s="183"/>
    </row>
    <row r="12" spans="1:36" x14ac:dyDescent="0.3">
      <c r="A12" s="185" t="s">
        <v>468</v>
      </c>
      <c r="B12" s="186">
        <v>45994</v>
      </c>
      <c r="C12" s="187" t="s">
        <v>111</v>
      </c>
      <c r="D12" s="188" t="s">
        <v>469</v>
      </c>
      <c r="E12" s="187" t="s">
        <v>1</v>
      </c>
      <c r="F12" s="187" t="s">
        <v>421</v>
      </c>
      <c r="G12" s="189">
        <v>0.68159999999999998</v>
      </c>
      <c r="H12" s="190">
        <v>179</v>
      </c>
      <c r="I12" s="190">
        <v>122</v>
      </c>
      <c r="J12" s="190">
        <v>82</v>
      </c>
      <c r="K12" s="187" t="s">
        <v>422</v>
      </c>
      <c r="L12" s="191" t="s">
        <v>190</v>
      </c>
      <c r="M12" s="190">
        <v>0</v>
      </c>
      <c r="N12" s="190">
        <v>0</v>
      </c>
      <c r="O12" s="190">
        <v>13</v>
      </c>
      <c r="P12" s="187" t="s">
        <v>188</v>
      </c>
      <c r="Q12" s="183"/>
      <c r="R12" s="183"/>
      <c r="S12" s="183"/>
      <c r="T12" s="183"/>
      <c r="U12" s="183"/>
      <c r="V12" s="183"/>
      <c r="W12" s="183"/>
      <c r="X12" s="183"/>
      <c r="Y12" s="183"/>
      <c r="Z12" s="190" t="s">
        <v>470</v>
      </c>
      <c r="AA12" s="183"/>
      <c r="AB12" s="183"/>
      <c r="AC12" s="190" t="s">
        <v>471</v>
      </c>
      <c r="AD12" s="190" t="s">
        <v>436</v>
      </c>
      <c r="AE12" s="190" t="s">
        <v>457</v>
      </c>
      <c r="AF12" s="190" t="s">
        <v>380</v>
      </c>
      <c r="AG12" s="183"/>
      <c r="AH12" s="183"/>
      <c r="AI12" s="190" t="s">
        <v>472</v>
      </c>
      <c r="AJ12" s="183"/>
    </row>
    <row r="13" spans="1:36" x14ac:dyDescent="0.3">
      <c r="A13" s="185" t="s">
        <v>468</v>
      </c>
      <c r="B13" s="186">
        <v>45994</v>
      </c>
      <c r="C13" s="187" t="s">
        <v>91</v>
      </c>
      <c r="D13" s="188" t="s">
        <v>473</v>
      </c>
      <c r="E13" s="187" t="s">
        <v>1</v>
      </c>
      <c r="F13" s="187" t="s">
        <v>421</v>
      </c>
      <c r="G13" s="189">
        <v>0.92179999999999995</v>
      </c>
      <c r="H13" s="190">
        <v>179</v>
      </c>
      <c r="I13" s="190">
        <v>165</v>
      </c>
      <c r="J13" s="190">
        <v>150</v>
      </c>
      <c r="K13" s="187" t="s">
        <v>422</v>
      </c>
      <c r="L13" s="191" t="s">
        <v>193</v>
      </c>
      <c r="M13" s="190">
        <v>0</v>
      </c>
      <c r="N13" s="190">
        <v>0</v>
      </c>
      <c r="O13" s="190">
        <v>0</v>
      </c>
      <c r="P13" s="187" t="s">
        <v>194</v>
      </c>
      <c r="Q13" s="183"/>
      <c r="R13" s="183"/>
      <c r="S13" s="183"/>
      <c r="T13" s="183"/>
      <c r="U13" s="183"/>
      <c r="V13" s="183"/>
      <c r="W13" s="183"/>
      <c r="X13" s="183"/>
      <c r="Y13" s="183"/>
      <c r="Z13" s="190" t="s">
        <v>441</v>
      </c>
      <c r="AA13" s="183"/>
      <c r="AB13" s="183"/>
      <c r="AC13" s="183"/>
      <c r="AD13" s="183"/>
      <c r="AE13" s="190" t="s">
        <v>319</v>
      </c>
      <c r="AF13" s="190" t="s">
        <v>474</v>
      </c>
      <c r="AG13" s="183"/>
      <c r="AH13" s="183"/>
      <c r="AI13" s="190" t="s">
        <v>475</v>
      </c>
      <c r="AJ13" s="183"/>
    </row>
    <row r="14" spans="1:36" x14ac:dyDescent="0.3">
      <c r="A14" s="185" t="s">
        <v>468</v>
      </c>
      <c r="B14" s="186">
        <v>45994</v>
      </c>
      <c r="C14" s="187" t="s">
        <v>98</v>
      </c>
      <c r="D14" s="188" t="s">
        <v>432</v>
      </c>
      <c r="E14" s="187" t="s">
        <v>1</v>
      </c>
      <c r="F14" s="187" t="s">
        <v>421</v>
      </c>
      <c r="G14" s="189">
        <v>0.64800000000000002</v>
      </c>
      <c r="H14" s="190">
        <v>179</v>
      </c>
      <c r="I14" s="190">
        <v>116</v>
      </c>
      <c r="J14" s="190">
        <v>84</v>
      </c>
      <c r="K14" s="187" t="s">
        <v>422</v>
      </c>
      <c r="L14" s="191" t="s">
        <v>106</v>
      </c>
      <c r="M14" s="190">
        <v>0</v>
      </c>
      <c r="N14" s="190">
        <v>0</v>
      </c>
      <c r="O14" s="190">
        <v>6</v>
      </c>
      <c r="P14" s="187" t="s">
        <v>188</v>
      </c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90" t="s">
        <v>471</v>
      </c>
      <c r="AD14" s="190" t="s">
        <v>436</v>
      </c>
      <c r="AE14" s="190" t="s">
        <v>457</v>
      </c>
      <c r="AF14" s="190" t="s">
        <v>380</v>
      </c>
      <c r="AG14" s="183"/>
      <c r="AH14" s="183"/>
      <c r="AI14" s="190" t="s">
        <v>458</v>
      </c>
      <c r="AJ14" s="183"/>
    </row>
    <row r="15" spans="1:36" x14ac:dyDescent="0.3">
      <c r="A15" s="185" t="s">
        <v>476</v>
      </c>
      <c r="B15" s="186">
        <v>45995</v>
      </c>
      <c r="C15" s="187" t="s">
        <v>170</v>
      </c>
      <c r="D15" s="188" t="s">
        <v>477</v>
      </c>
      <c r="E15" s="187" t="s">
        <v>1</v>
      </c>
      <c r="F15" s="187" t="s">
        <v>421</v>
      </c>
      <c r="G15" s="189">
        <v>0.60340000000000005</v>
      </c>
      <c r="H15" s="190">
        <v>179</v>
      </c>
      <c r="I15" s="190">
        <v>108</v>
      </c>
      <c r="J15" s="190">
        <v>66</v>
      </c>
      <c r="K15" s="187" t="s">
        <v>422</v>
      </c>
      <c r="L15" s="191" t="s">
        <v>99</v>
      </c>
      <c r="M15" s="190">
        <v>0</v>
      </c>
      <c r="N15" s="190">
        <v>1</v>
      </c>
      <c r="O15" s="190">
        <v>15</v>
      </c>
      <c r="P15" s="187" t="s">
        <v>167</v>
      </c>
      <c r="Q15" s="183"/>
      <c r="R15" s="183"/>
      <c r="S15" s="183"/>
      <c r="T15" s="183"/>
      <c r="U15" s="183"/>
      <c r="V15" s="183"/>
      <c r="W15" s="183"/>
      <c r="X15" s="183"/>
      <c r="Y15" s="183"/>
      <c r="Z15" s="190" t="s">
        <v>441</v>
      </c>
      <c r="AA15" s="183"/>
      <c r="AB15" s="183"/>
      <c r="AC15" s="183"/>
      <c r="AD15" s="190" t="s">
        <v>478</v>
      </c>
      <c r="AE15" s="190" t="s">
        <v>457</v>
      </c>
      <c r="AF15" s="190" t="s">
        <v>451</v>
      </c>
      <c r="AG15" s="183"/>
      <c r="AH15" s="183"/>
      <c r="AI15" s="190" t="s">
        <v>479</v>
      </c>
      <c r="AJ15" s="183"/>
    </row>
    <row r="16" spans="1:36" x14ac:dyDescent="0.3">
      <c r="A16" s="185" t="s">
        <v>476</v>
      </c>
      <c r="B16" s="186">
        <v>45995</v>
      </c>
      <c r="C16" s="187" t="s">
        <v>166</v>
      </c>
      <c r="D16" s="188" t="s">
        <v>480</v>
      </c>
      <c r="E16" s="187" t="s">
        <v>1</v>
      </c>
      <c r="F16" s="187" t="s">
        <v>421</v>
      </c>
      <c r="G16" s="189">
        <v>0.1676</v>
      </c>
      <c r="H16" s="190">
        <v>179</v>
      </c>
      <c r="I16" s="190">
        <v>30</v>
      </c>
      <c r="J16" s="190">
        <v>0</v>
      </c>
      <c r="K16" s="187" t="s">
        <v>422</v>
      </c>
      <c r="L16" s="191" t="s">
        <v>92</v>
      </c>
      <c r="M16" s="190">
        <v>1</v>
      </c>
      <c r="N16" s="190">
        <v>0</v>
      </c>
      <c r="O16" s="190">
        <v>7</v>
      </c>
      <c r="P16" s="187" t="s">
        <v>319</v>
      </c>
      <c r="Q16" s="183"/>
      <c r="R16" s="183"/>
      <c r="S16" s="183"/>
      <c r="T16" s="183"/>
      <c r="U16" s="183"/>
      <c r="V16" s="183"/>
      <c r="W16" s="183"/>
      <c r="X16" s="183"/>
      <c r="Y16" s="183"/>
      <c r="Z16" s="190" t="s">
        <v>441</v>
      </c>
      <c r="AA16" s="183"/>
      <c r="AB16" s="183"/>
      <c r="AC16" s="183"/>
      <c r="AD16" s="183"/>
      <c r="AE16" s="190" t="s">
        <v>239</v>
      </c>
      <c r="AF16" s="190" t="s">
        <v>445</v>
      </c>
      <c r="AG16" s="183"/>
      <c r="AH16" s="183"/>
      <c r="AI16" s="183"/>
      <c r="AJ16" s="183"/>
    </row>
    <row r="17" spans="1:36" x14ac:dyDescent="0.3">
      <c r="A17" s="185" t="s">
        <v>476</v>
      </c>
      <c r="B17" s="186">
        <v>45995</v>
      </c>
      <c r="C17" s="187" t="s">
        <v>221</v>
      </c>
      <c r="D17" s="188" t="s">
        <v>481</v>
      </c>
      <c r="E17" s="187" t="s">
        <v>1</v>
      </c>
      <c r="F17" s="187" t="s">
        <v>421</v>
      </c>
      <c r="G17" s="189">
        <v>0.38550000000000001</v>
      </c>
      <c r="H17" s="190">
        <v>179</v>
      </c>
      <c r="I17" s="190">
        <v>69</v>
      </c>
      <c r="J17" s="190">
        <v>37</v>
      </c>
      <c r="K17" s="187" t="s">
        <v>422</v>
      </c>
      <c r="L17" s="191" t="s">
        <v>99</v>
      </c>
      <c r="M17" s="190">
        <v>0</v>
      </c>
      <c r="N17" s="190">
        <v>1</v>
      </c>
      <c r="O17" s="190">
        <v>5</v>
      </c>
      <c r="P17" s="187" t="s">
        <v>239</v>
      </c>
      <c r="Q17" s="183"/>
      <c r="R17" s="183"/>
      <c r="S17" s="183"/>
      <c r="T17" s="183"/>
      <c r="U17" s="183"/>
      <c r="V17" s="183"/>
      <c r="W17" s="183"/>
      <c r="X17" s="183"/>
      <c r="Y17" s="183"/>
      <c r="Z17" s="190" t="s">
        <v>441</v>
      </c>
      <c r="AA17" s="183"/>
      <c r="AB17" s="183"/>
      <c r="AC17" s="183"/>
      <c r="AD17" s="183"/>
      <c r="AE17" s="190" t="s">
        <v>319</v>
      </c>
      <c r="AF17" s="190" t="s">
        <v>451</v>
      </c>
      <c r="AG17" s="183"/>
      <c r="AH17" s="183"/>
      <c r="AI17" s="190" t="s">
        <v>482</v>
      </c>
      <c r="AJ17" s="183"/>
    </row>
    <row r="18" spans="1:36" x14ac:dyDescent="0.3">
      <c r="A18" s="185" t="s">
        <v>476</v>
      </c>
      <c r="B18" s="186">
        <v>45995</v>
      </c>
      <c r="C18" s="187" t="s">
        <v>111</v>
      </c>
      <c r="D18" s="188" t="s">
        <v>483</v>
      </c>
      <c r="E18" s="187" t="s">
        <v>1</v>
      </c>
      <c r="F18" s="187" t="s">
        <v>421</v>
      </c>
      <c r="G18" s="189">
        <v>0.79330000000000001</v>
      </c>
      <c r="H18" s="190">
        <v>179</v>
      </c>
      <c r="I18" s="190">
        <v>142</v>
      </c>
      <c r="J18" s="190">
        <v>114</v>
      </c>
      <c r="K18" s="187" t="s">
        <v>422</v>
      </c>
      <c r="L18" s="191" t="s">
        <v>106</v>
      </c>
      <c r="M18" s="190">
        <v>0</v>
      </c>
      <c r="N18" s="190">
        <v>0</v>
      </c>
      <c r="O18" s="190">
        <v>6</v>
      </c>
      <c r="P18" s="187" t="s">
        <v>239</v>
      </c>
      <c r="Q18" s="183"/>
      <c r="R18" s="183"/>
      <c r="S18" s="183"/>
      <c r="T18" s="183"/>
      <c r="U18" s="183"/>
      <c r="V18" s="183"/>
      <c r="W18" s="183"/>
      <c r="X18" s="183"/>
      <c r="Y18" s="183"/>
      <c r="Z18" s="190" t="s">
        <v>455</v>
      </c>
      <c r="AA18" s="183"/>
      <c r="AB18" s="183"/>
      <c r="AC18" s="183"/>
      <c r="AD18" s="183"/>
      <c r="AE18" s="183"/>
      <c r="AF18" s="190" t="s">
        <v>484</v>
      </c>
      <c r="AG18" s="183"/>
      <c r="AH18" s="183"/>
      <c r="AI18" s="190" t="s">
        <v>485</v>
      </c>
      <c r="AJ18" s="183"/>
    </row>
    <row r="19" spans="1:36" x14ac:dyDescent="0.3">
      <c r="A19" s="185" t="s">
        <v>476</v>
      </c>
      <c r="B19" s="186">
        <v>45995</v>
      </c>
      <c r="C19" s="187" t="s">
        <v>242</v>
      </c>
      <c r="D19" s="188" t="s">
        <v>486</v>
      </c>
      <c r="E19" s="187" t="s">
        <v>1</v>
      </c>
      <c r="F19" s="187" t="s">
        <v>421</v>
      </c>
      <c r="G19" s="189">
        <v>0.1061</v>
      </c>
      <c r="H19" s="190">
        <v>179</v>
      </c>
      <c r="I19" s="190">
        <v>19</v>
      </c>
      <c r="J19" s="190">
        <v>0</v>
      </c>
      <c r="K19" s="187" t="s">
        <v>422</v>
      </c>
      <c r="L19" s="191" t="s">
        <v>112</v>
      </c>
      <c r="M19" s="190">
        <v>0</v>
      </c>
      <c r="N19" s="190">
        <v>0</v>
      </c>
      <c r="O19" s="190">
        <v>4</v>
      </c>
      <c r="P19" s="187" t="s">
        <v>239</v>
      </c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90" t="s">
        <v>471</v>
      </c>
      <c r="AD19" s="183"/>
      <c r="AE19" s="190" t="s">
        <v>222</v>
      </c>
      <c r="AF19" s="190" t="s">
        <v>466</v>
      </c>
      <c r="AG19" s="183"/>
      <c r="AH19" s="183"/>
      <c r="AI19" s="183"/>
      <c r="AJ19" s="183"/>
    </row>
    <row r="20" spans="1:36" x14ac:dyDescent="0.3">
      <c r="A20" s="185" t="s">
        <v>476</v>
      </c>
      <c r="B20" s="186">
        <v>45995</v>
      </c>
      <c r="C20" s="187" t="s">
        <v>98</v>
      </c>
      <c r="D20" s="188" t="s">
        <v>487</v>
      </c>
      <c r="E20" s="187" t="s">
        <v>1</v>
      </c>
      <c r="F20" s="187" t="s">
        <v>421</v>
      </c>
      <c r="G20" s="189">
        <v>0.87150000000000005</v>
      </c>
      <c r="H20" s="190">
        <v>179</v>
      </c>
      <c r="I20" s="190">
        <v>156</v>
      </c>
      <c r="J20" s="190">
        <v>122</v>
      </c>
      <c r="K20" s="187" t="s">
        <v>422</v>
      </c>
      <c r="L20" s="191" t="s">
        <v>162</v>
      </c>
      <c r="M20" s="190">
        <v>0</v>
      </c>
      <c r="N20" s="190">
        <v>0</v>
      </c>
      <c r="O20" s="190">
        <v>1</v>
      </c>
      <c r="P20" s="187" t="s">
        <v>224</v>
      </c>
      <c r="Q20" s="183"/>
      <c r="R20" s="183"/>
      <c r="S20" s="183"/>
      <c r="T20" s="183"/>
      <c r="U20" s="183"/>
      <c r="V20" s="183"/>
      <c r="W20" s="183"/>
      <c r="X20" s="183"/>
      <c r="Y20" s="183"/>
      <c r="Z20" s="190" t="s">
        <v>470</v>
      </c>
      <c r="AA20" s="190" t="s">
        <v>488</v>
      </c>
      <c r="AB20" s="183"/>
      <c r="AC20" s="183"/>
      <c r="AD20" s="190" t="s">
        <v>172</v>
      </c>
      <c r="AE20" s="190" t="s">
        <v>457</v>
      </c>
      <c r="AF20" s="190" t="s">
        <v>380</v>
      </c>
      <c r="AG20" s="190" t="s">
        <v>489</v>
      </c>
      <c r="AH20" s="183"/>
      <c r="AI20" s="190" t="s">
        <v>490</v>
      </c>
      <c r="AJ20" s="183"/>
    </row>
    <row r="21" spans="1:36" x14ac:dyDescent="0.3">
      <c r="A21" s="185" t="s">
        <v>476</v>
      </c>
      <c r="B21" s="186">
        <v>45995</v>
      </c>
      <c r="C21" s="187" t="s">
        <v>105</v>
      </c>
      <c r="D21" s="188" t="s">
        <v>491</v>
      </c>
      <c r="E21" s="187" t="s">
        <v>1</v>
      </c>
      <c r="F21" s="187" t="s">
        <v>421</v>
      </c>
      <c r="G21" s="189">
        <v>0.90500000000000003</v>
      </c>
      <c r="H21" s="190">
        <v>179</v>
      </c>
      <c r="I21" s="190">
        <v>162</v>
      </c>
      <c r="J21" s="190">
        <v>104</v>
      </c>
      <c r="K21" s="187" t="s">
        <v>422</v>
      </c>
      <c r="L21" s="191" t="s">
        <v>99</v>
      </c>
      <c r="M21" s="190">
        <v>0</v>
      </c>
      <c r="N21" s="190">
        <v>3</v>
      </c>
      <c r="O21" s="190">
        <v>28</v>
      </c>
      <c r="P21" s="187" t="s">
        <v>434</v>
      </c>
      <c r="Q21" s="183"/>
      <c r="R21" s="183"/>
      <c r="S21" s="183"/>
      <c r="T21" s="183"/>
      <c r="U21" s="183"/>
      <c r="V21" s="183"/>
      <c r="W21" s="183"/>
      <c r="X21" s="183"/>
      <c r="Y21" s="183"/>
      <c r="Z21" s="190" t="s">
        <v>428</v>
      </c>
      <c r="AA21" s="183"/>
      <c r="AB21" s="183"/>
      <c r="AC21" s="190" t="s">
        <v>435</v>
      </c>
      <c r="AD21" s="190" t="s">
        <v>492</v>
      </c>
      <c r="AE21" s="190" t="s">
        <v>437</v>
      </c>
      <c r="AF21" s="190" t="s">
        <v>380</v>
      </c>
      <c r="AG21" s="183"/>
      <c r="AH21" s="183"/>
      <c r="AI21" s="190" t="s">
        <v>438</v>
      </c>
      <c r="AJ21" s="190" t="s">
        <v>448</v>
      </c>
    </row>
    <row r="22" spans="1:36" x14ac:dyDescent="0.3">
      <c r="A22" s="185" t="s">
        <v>493</v>
      </c>
      <c r="B22" s="186">
        <v>45996</v>
      </c>
      <c r="C22" s="187" t="s">
        <v>170</v>
      </c>
      <c r="D22" s="188" t="s">
        <v>480</v>
      </c>
      <c r="E22" s="187" t="s">
        <v>1</v>
      </c>
      <c r="F22" s="187" t="s">
        <v>421</v>
      </c>
      <c r="G22" s="189">
        <v>0.24579999999999999</v>
      </c>
      <c r="H22" s="190">
        <v>179</v>
      </c>
      <c r="I22" s="190">
        <v>44</v>
      </c>
      <c r="J22" s="190">
        <v>0</v>
      </c>
      <c r="K22" s="187" t="s">
        <v>422</v>
      </c>
      <c r="L22" s="191" t="s">
        <v>92</v>
      </c>
      <c r="M22" s="190">
        <v>1</v>
      </c>
      <c r="N22" s="190">
        <v>0</v>
      </c>
      <c r="O22" s="190">
        <v>17</v>
      </c>
      <c r="P22" s="187" t="s">
        <v>205</v>
      </c>
      <c r="Q22" s="183"/>
      <c r="R22" s="183"/>
      <c r="S22" s="183"/>
      <c r="T22" s="183"/>
      <c r="U22" s="183"/>
      <c r="V22" s="183"/>
      <c r="W22" s="183"/>
      <c r="X22" s="183"/>
      <c r="Y22" s="183"/>
      <c r="Z22" s="190" t="s">
        <v>441</v>
      </c>
      <c r="AA22" s="183"/>
      <c r="AB22" s="183"/>
      <c r="AC22" s="183"/>
      <c r="AD22" s="183"/>
      <c r="AE22" s="190" t="s">
        <v>494</v>
      </c>
      <c r="AF22" s="190" t="s">
        <v>495</v>
      </c>
      <c r="AG22" s="183"/>
      <c r="AH22" s="183"/>
      <c r="AI22" s="183"/>
      <c r="AJ22" s="183"/>
    </row>
    <row r="23" spans="1:36" x14ac:dyDescent="0.3">
      <c r="A23" s="185" t="s">
        <v>493</v>
      </c>
      <c r="B23" s="186">
        <v>45996</v>
      </c>
      <c r="C23" s="187" t="s">
        <v>111</v>
      </c>
      <c r="D23" s="188" t="s">
        <v>496</v>
      </c>
      <c r="E23" s="187" t="s">
        <v>1</v>
      </c>
      <c r="F23" s="187" t="s">
        <v>421</v>
      </c>
      <c r="G23" s="189">
        <v>0.21790000000000001</v>
      </c>
      <c r="H23" s="190">
        <v>179</v>
      </c>
      <c r="I23" s="190">
        <v>39</v>
      </c>
      <c r="J23" s="190">
        <v>0</v>
      </c>
      <c r="K23" s="187" t="s">
        <v>422</v>
      </c>
      <c r="L23" s="191" t="s">
        <v>92</v>
      </c>
      <c r="M23" s="190">
        <v>2</v>
      </c>
      <c r="N23" s="190">
        <v>3</v>
      </c>
      <c r="O23" s="190">
        <v>19</v>
      </c>
      <c r="P23" s="187" t="s">
        <v>210</v>
      </c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90" t="s">
        <v>457</v>
      </c>
      <c r="AF23" s="190" t="s">
        <v>497</v>
      </c>
      <c r="AG23" s="183"/>
      <c r="AH23" s="183"/>
      <c r="AI23" s="183"/>
      <c r="AJ23" s="183"/>
    </row>
    <row r="24" spans="1:36" x14ac:dyDescent="0.3">
      <c r="A24" s="185" t="s">
        <v>493</v>
      </c>
      <c r="B24" s="186">
        <v>45996</v>
      </c>
      <c r="C24" s="187" t="s">
        <v>98</v>
      </c>
      <c r="D24" s="188" t="s">
        <v>498</v>
      </c>
      <c r="E24" s="187" t="s">
        <v>1</v>
      </c>
      <c r="F24" s="187" t="s">
        <v>421</v>
      </c>
      <c r="G24" s="189">
        <v>0.19550000000000001</v>
      </c>
      <c r="H24" s="190">
        <v>179</v>
      </c>
      <c r="I24" s="190">
        <v>35</v>
      </c>
      <c r="J24" s="190">
        <v>0</v>
      </c>
      <c r="K24" s="187" t="s">
        <v>422</v>
      </c>
      <c r="L24" s="191" t="s">
        <v>162</v>
      </c>
      <c r="M24" s="190">
        <v>0</v>
      </c>
      <c r="N24" s="190">
        <v>0</v>
      </c>
      <c r="O24" s="190">
        <v>9</v>
      </c>
      <c r="P24" s="187" t="s">
        <v>208</v>
      </c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90" t="s">
        <v>499</v>
      </c>
      <c r="AF24" s="190" t="s">
        <v>380</v>
      </c>
      <c r="AG24" s="183"/>
      <c r="AH24" s="183"/>
      <c r="AI24" s="183"/>
      <c r="AJ24" s="183"/>
    </row>
    <row r="25" spans="1:36" x14ac:dyDescent="0.3">
      <c r="A25" s="185" t="s">
        <v>493</v>
      </c>
      <c r="B25" s="186">
        <v>45996</v>
      </c>
      <c r="C25" s="187" t="s">
        <v>105</v>
      </c>
      <c r="D25" s="188" t="s">
        <v>432</v>
      </c>
      <c r="E25" s="187" t="s">
        <v>1</v>
      </c>
      <c r="F25" s="187" t="s">
        <v>421</v>
      </c>
      <c r="G25" s="189">
        <v>0.51959999999999995</v>
      </c>
      <c r="H25" s="190">
        <v>179</v>
      </c>
      <c r="I25" s="190">
        <v>93</v>
      </c>
      <c r="J25" s="190">
        <v>45</v>
      </c>
      <c r="K25" s="187" t="s">
        <v>422</v>
      </c>
      <c r="L25" s="191" t="s">
        <v>112</v>
      </c>
      <c r="M25" s="190">
        <v>0</v>
      </c>
      <c r="N25" s="190">
        <v>0</v>
      </c>
      <c r="O25" s="190">
        <v>21</v>
      </c>
      <c r="P25" s="187" t="s">
        <v>203</v>
      </c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90" t="s">
        <v>172</v>
      </c>
      <c r="AE25" s="190" t="s">
        <v>444</v>
      </c>
      <c r="AF25" s="190" t="s">
        <v>500</v>
      </c>
      <c r="AG25" s="183"/>
      <c r="AH25" s="183"/>
      <c r="AI25" s="190" t="s">
        <v>501</v>
      </c>
      <c r="AJ25" s="183"/>
    </row>
    <row r="26" spans="1:36" x14ac:dyDescent="0.3">
      <c r="A26" s="185" t="s">
        <v>493</v>
      </c>
      <c r="B26" s="186">
        <v>45996</v>
      </c>
      <c r="C26" s="187" t="s">
        <v>166</v>
      </c>
      <c r="D26" s="188" t="s">
        <v>502</v>
      </c>
      <c r="E26" s="187" t="s">
        <v>1</v>
      </c>
      <c r="F26" s="187" t="s">
        <v>421</v>
      </c>
      <c r="G26" s="189">
        <v>0.51959999999999995</v>
      </c>
      <c r="H26" s="190">
        <v>179</v>
      </c>
      <c r="I26" s="190">
        <v>93</v>
      </c>
      <c r="J26" s="190">
        <v>45</v>
      </c>
      <c r="K26" s="187" t="s">
        <v>422</v>
      </c>
      <c r="L26" s="191" t="s">
        <v>92</v>
      </c>
      <c r="M26" s="190">
        <v>1</v>
      </c>
      <c r="N26" s="190">
        <v>3</v>
      </c>
      <c r="O26" s="190">
        <v>8</v>
      </c>
      <c r="P26" s="187" t="s">
        <v>163</v>
      </c>
      <c r="Q26" s="183"/>
      <c r="R26" s="183"/>
      <c r="S26" s="183"/>
      <c r="T26" s="183"/>
      <c r="U26" s="183"/>
      <c r="V26" s="183"/>
      <c r="W26" s="183"/>
      <c r="X26" s="183"/>
      <c r="Y26" s="183"/>
      <c r="Z26" s="190" t="s">
        <v>433</v>
      </c>
      <c r="AA26" s="183"/>
      <c r="AB26" s="183"/>
      <c r="AC26" s="183"/>
      <c r="AD26" s="190" t="s">
        <v>503</v>
      </c>
      <c r="AE26" s="190" t="s">
        <v>337</v>
      </c>
      <c r="AF26" s="190" t="s">
        <v>504</v>
      </c>
      <c r="AG26" s="183"/>
      <c r="AH26" s="183"/>
      <c r="AI26" s="190" t="s">
        <v>505</v>
      </c>
      <c r="AJ26" s="183"/>
    </row>
    <row r="27" spans="1:36" x14ac:dyDescent="0.3">
      <c r="A27" s="185" t="s">
        <v>493</v>
      </c>
      <c r="B27" s="186">
        <v>45996</v>
      </c>
      <c r="C27" s="187" t="s">
        <v>91</v>
      </c>
      <c r="D27" s="188" t="s">
        <v>506</v>
      </c>
      <c r="E27" s="187" t="s">
        <v>1</v>
      </c>
      <c r="F27" s="187" t="s">
        <v>421</v>
      </c>
      <c r="G27" s="189">
        <v>0.90500000000000003</v>
      </c>
      <c r="H27" s="190">
        <v>179</v>
      </c>
      <c r="I27" s="190">
        <v>162</v>
      </c>
      <c r="J27" s="190">
        <v>139</v>
      </c>
      <c r="K27" s="187" t="s">
        <v>422</v>
      </c>
      <c r="L27" s="191" t="s">
        <v>214</v>
      </c>
      <c r="M27" s="190">
        <v>0</v>
      </c>
      <c r="N27" s="190">
        <v>0</v>
      </c>
      <c r="O27" s="190">
        <v>0</v>
      </c>
      <c r="P27" s="187" t="s">
        <v>215</v>
      </c>
      <c r="Q27" s="183"/>
      <c r="R27" s="183"/>
      <c r="S27" s="183"/>
      <c r="T27" s="183"/>
      <c r="U27" s="183"/>
      <c r="V27" s="183"/>
      <c r="W27" s="183"/>
      <c r="X27" s="183"/>
      <c r="Y27" s="183"/>
      <c r="Z27" s="190" t="s">
        <v>423</v>
      </c>
      <c r="AA27" s="183"/>
      <c r="AB27" s="183"/>
      <c r="AC27" s="183"/>
      <c r="AD27" s="183"/>
      <c r="AE27" s="190" t="s">
        <v>239</v>
      </c>
      <c r="AF27" s="190" t="s">
        <v>205</v>
      </c>
      <c r="AG27" s="183"/>
      <c r="AH27" s="183"/>
      <c r="AI27" s="190" t="s">
        <v>507</v>
      </c>
      <c r="AJ27" s="183"/>
    </row>
    <row r="28" spans="1:36" x14ac:dyDescent="0.3">
      <c r="A28" s="185" t="s">
        <v>508</v>
      </c>
      <c r="B28" s="186">
        <v>45997</v>
      </c>
      <c r="C28" s="187" t="s">
        <v>221</v>
      </c>
      <c r="D28" s="188" t="s">
        <v>509</v>
      </c>
      <c r="E28" s="187" t="s">
        <v>1</v>
      </c>
      <c r="F28" s="187" t="s">
        <v>421</v>
      </c>
      <c r="G28" s="189">
        <v>0.38550000000000001</v>
      </c>
      <c r="H28" s="190">
        <v>179</v>
      </c>
      <c r="I28" s="190">
        <v>69</v>
      </c>
      <c r="J28" s="190">
        <v>29</v>
      </c>
      <c r="K28" s="187" t="s">
        <v>422</v>
      </c>
      <c r="L28" s="191" t="s">
        <v>106</v>
      </c>
      <c r="M28" s="190">
        <v>0</v>
      </c>
      <c r="N28" s="190">
        <v>0</v>
      </c>
      <c r="O28" s="190">
        <v>12</v>
      </c>
      <c r="P28" s="187" t="s">
        <v>222</v>
      </c>
      <c r="Q28" s="183"/>
      <c r="R28" s="183"/>
      <c r="S28" s="183"/>
      <c r="T28" s="183"/>
      <c r="U28" s="183"/>
      <c r="V28" s="183"/>
      <c r="W28" s="183"/>
      <c r="X28" s="183"/>
      <c r="Y28" s="183"/>
      <c r="Z28" s="190" t="s">
        <v>441</v>
      </c>
      <c r="AA28" s="183"/>
      <c r="AB28" s="183"/>
      <c r="AC28" s="183"/>
      <c r="AD28" s="190" t="s">
        <v>160</v>
      </c>
      <c r="AE28" s="190" t="s">
        <v>510</v>
      </c>
      <c r="AF28" s="190" t="s">
        <v>380</v>
      </c>
      <c r="AG28" s="183"/>
      <c r="AH28" s="183"/>
      <c r="AI28" s="190" t="s">
        <v>511</v>
      </c>
      <c r="AJ28" s="183"/>
    </row>
    <row r="29" spans="1:36" x14ac:dyDescent="0.3">
      <c r="A29" s="185" t="s">
        <v>508</v>
      </c>
      <c r="B29" s="186">
        <v>45997</v>
      </c>
      <c r="C29" s="187" t="s">
        <v>111</v>
      </c>
      <c r="D29" s="188" t="s">
        <v>483</v>
      </c>
      <c r="E29" s="187" t="s">
        <v>1</v>
      </c>
      <c r="F29" s="187" t="s">
        <v>421</v>
      </c>
      <c r="G29" s="189">
        <v>0.87150000000000005</v>
      </c>
      <c r="H29" s="190">
        <v>179</v>
      </c>
      <c r="I29" s="190">
        <v>156</v>
      </c>
      <c r="J29" s="190">
        <v>113</v>
      </c>
      <c r="K29" s="187" t="s">
        <v>422</v>
      </c>
      <c r="L29" s="191" t="s">
        <v>92</v>
      </c>
      <c r="M29" s="190">
        <v>1</v>
      </c>
      <c r="N29" s="190">
        <v>0</v>
      </c>
      <c r="O29" s="190">
        <v>6</v>
      </c>
      <c r="P29" s="187" t="s">
        <v>224</v>
      </c>
      <c r="Q29" s="183"/>
      <c r="R29" s="183"/>
      <c r="S29" s="183"/>
      <c r="T29" s="183"/>
      <c r="U29" s="183"/>
      <c r="V29" s="183"/>
      <c r="W29" s="183"/>
      <c r="X29" s="183"/>
      <c r="Y29" s="183"/>
      <c r="Z29" s="190" t="s">
        <v>512</v>
      </c>
      <c r="AA29" s="190" t="s">
        <v>429</v>
      </c>
      <c r="AB29" s="183"/>
      <c r="AC29" s="190" t="s">
        <v>471</v>
      </c>
      <c r="AD29" s="190" t="s">
        <v>167</v>
      </c>
      <c r="AE29" s="190" t="s">
        <v>463</v>
      </c>
      <c r="AF29" s="190" t="s">
        <v>380</v>
      </c>
      <c r="AG29" s="183"/>
      <c r="AH29" s="183"/>
      <c r="AI29" s="190" t="s">
        <v>513</v>
      </c>
      <c r="AJ29" s="183"/>
    </row>
    <row r="30" spans="1:36" x14ac:dyDescent="0.3">
      <c r="A30" s="185" t="s">
        <v>508</v>
      </c>
      <c r="B30" s="186">
        <v>45997</v>
      </c>
      <c r="C30" s="187" t="s">
        <v>98</v>
      </c>
      <c r="D30" s="188" t="s">
        <v>514</v>
      </c>
      <c r="E30" s="187" t="s">
        <v>1</v>
      </c>
      <c r="F30" s="187" t="s">
        <v>421</v>
      </c>
      <c r="G30" s="189">
        <v>1.0167999999999999</v>
      </c>
      <c r="H30" s="190">
        <v>179</v>
      </c>
      <c r="I30" s="190">
        <v>182</v>
      </c>
      <c r="J30" s="190">
        <v>177</v>
      </c>
      <c r="K30" s="187" t="s">
        <v>422</v>
      </c>
      <c r="L30" s="191" t="s">
        <v>228</v>
      </c>
      <c r="M30" s="190">
        <v>0</v>
      </c>
      <c r="N30" s="190">
        <v>0</v>
      </c>
      <c r="O30" s="190">
        <v>0</v>
      </c>
      <c r="P30" s="187" t="s">
        <v>229</v>
      </c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90" t="s">
        <v>359</v>
      </c>
      <c r="AG30" s="190" t="s">
        <v>515</v>
      </c>
      <c r="AH30" s="183"/>
      <c r="AI30" s="190" t="s">
        <v>516</v>
      </c>
      <c r="AJ30" s="190" t="s">
        <v>461</v>
      </c>
    </row>
    <row r="31" spans="1:36" x14ac:dyDescent="0.3">
      <c r="A31" s="185" t="s">
        <v>517</v>
      </c>
      <c r="B31" s="186">
        <v>45998</v>
      </c>
      <c r="C31" s="187" t="s">
        <v>170</v>
      </c>
      <c r="D31" s="188" t="s">
        <v>518</v>
      </c>
      <c r="E31" s="187" t="s">
        <v>1</v>
      </c>
      <c r="F31" s="187" t="s">
        <v>421</v>
      </c>
      <c r="G31" s="189">
        <v>0.65920000000000001</v>
      </c>
      <c r="H31" s="190">
        <v>179</v>
      </c>
      <c r="I31" s="190">
        <v>118</v>
      </c>
      <c r="J31" s="190">
        <v>71</v>
      </c>
      <c r="K31" s="187" t="s">
        <v>422</v>
      </c>
      <c r="L31" s="191" t="s">
        <v>162</v>
      </c>
      <c r="M31" s="190">
        <v>0</v>
      </c>
      <c r="N31" s="190">
        <v>0</v>
      </c>
      <c r="O31" s="190">
        <v>32</v>
      </c>
      <c r="P31" s="187" t="s">
        <v>239</v>
      </c>
      <c r="Q31" s="183"/>
      <c r="R31" s="183"/>
      <c r="S31" s="183"/>
      <c r="T31" s="183"/>
      <c r="U31" s="183"/>
      <c r="V31" s="183"/>
      <c r="W31" s="183"/>
      <c r="X31" s="183"/>
      <c r="Y31" s="183"/>
      <c r="Z31" s="190" t="s">
        <v>433</v>
      </c>
      <c r="AA31" s="183"/>
      <c r="AB31" s="183"/>
      <c r="AC31" s="190" t="s">
        <v>174</v>
      </c>
      <c r="AD31" s="190" t="s">
        <v>478</v>
      </c>
      <c r="AE31" s="190" t="s">
        <v>463</v>
      </c>
      <c r="AF31" s="190" t="s">
        <v>445</v>
      </c>
      <c r="AG31" s="190" t="s">
        <v>519</v>
      </c>
      <c r="AH31" s="183"/>
      <c r="AI31" s="190" t="s">
        <v>501</v>
      </c>
      <c r="AJ31" s="190" t="s">
        <v>448</v>
      </c>
    </row>
    <row r="32" spans="1:36" x14ac:dyDescent="0.3">
      <c r="A32" s="185" t="s">
        <v>517</v>
      </c>
      <c r="B32" s="186">
        <v>45998</v>
      </c>
      <c r="C32" s="187" t="s">
        <v>111</v>
      </c>
      <c r="D32" s="188" t="s">
        <v>496</v>
      </c>
      <c r="E32" s="187" t="s">
        <v>1</v>
      </c>
      <c r="F32" s="187" t="s">
        <v>421</v>
      </c>
      <c r="G32" s="189">
        <v>0.30730000000000002</v>
      </c>
      <c r="H32" s="190">
        <v>179</v>
      </c>
      <c r="I32" s="190">
        <v>55</v>
      </c>
      <c r="J32" s="190">
        <v>0</v>
      </c>
      <c r="K32" s="187" t="s">
        <v>422</v>
      </c>
      <c r="L32" s="191" t="s">
        <v>99</v>
      </c>
      <c r="M32" s="190">
        <v>0</v>
      </c>
      <c r="N32" s="190">
        <v>2</v>
      </c>
      <c r="O32" s="190">
        <v>28</v>
      </c>
      <c r="P32" s="187" t="s">
        <v>237</v>
      </c>
      <c r="Q32" s="183"/>
      <c r="R32" s="183"/>
      <c r="S32" s="183"/>
      <c r="T32" s="183"/>
      <c r="U32" s="183"/>
      <c r="V32" s="183"/>
      <c r="W32" s="183"/>
      <c r="X32" s="183"/>
      <c r="Y32" s="183"/>
      <c r="Z32" s="190" t="s">
        <v>441</v>
      </c>
      <c r="AA32" s="183"/>
      <c r="AB32" s="183"/>
      <c r="AC32" s="183"/>
      <c r="AD32" s="183"/>
      <c r="AE32" s="190" t="s">
        <v>520</v>
      </c>
      <c r="AF32" s="190" t="s">
        <v>451</v>
      </c>
      <c r="AG32" s="183"/>
      <c r="AH32" s="183"/>
      <c r="AI32" s="183"/>
      <c r="AJ32" s="183"/>
    </row>
    <row r="33" spans="1:36" x14ac:dyDescent="0.3">
      <c r="A33" s="185" t="s">
        <v>517</v>
      </c>
      <c r="B33" s="186">
        <v>45998</v>
      </c>
      <c r="C33" s="187" t="s">
        <v>242</v>
      </c>
      <c r="D33" s="188" t="s">
        <v>483</v>
      </c>
      <c r="E33" s="187" t="s">
        <v>1</v>
      </c>
      <c r="F33" s="187" t="s">
        <v>421</v>
      </c>
      <c r="G33" s="189">
        <v>0.17860000000000001</v>
      </c>
      <c r="H33" s="190">
        <v>168</v>
      </c>
      <c r="I33" s="190">
        <v>30</v>
      </c>
      <c r="J33" s="190">
        <v>0</v>
      </c>
      <c r="K33" s="187" t="s">
        <v>422</v>
      </c>
      <c r="L33" s="191" t="s">
        <v>112</v>
      </c>
      <c r="M33" s="190">
        <v>0</v>
      </c>
      <c r="N33" s="190">
        <v>0</v>
      </c>
      <c r="O33" s="190">
        <v>3</v>
      </c>
      <c r="P33" s="187" t="s">
        <v>163</v>
      </c>
      <c r="Q33" s="183"/>
      <c r="R33" s="183"/>
      <c r="S33" s="183"/>
      <c r="T33" s="183"/>
      <c r="U33" s="183"/>
      <c r="V33" s="183"/>
      <c r="W33" s="183"/>
      <c r="X33" s="183"/>
      <c r="Y33" s="183"/>
      <c r="Z33" s="190" t="s">
        <v>245</v>
      </c>
      <c r="AA33" s="183"/>
      <c r="AB33" s="183"/>
      <c r="AC33" s="183"/>
      <c r="AD33" s="190" t="s">
        <v>478</v>
      </c>
      <c r="AE33" s="190" t="s">
        <v>457</v>
      </c>
      <c r="AF33" s="190" t="s">
        <v>380</v>
      </c>
      <c r="AG33" s="183"/>
      <c r="AH33" s="183"/>
      <c r="AI33" s="183"/>
      <c r="AJ33" s="183"/>
    </row>
    <row r="34" spans="1:36" x14ac:dyDescent="0.3">
      <c r="A34" s="185" t="s">
        <v>517</v>
      </c>
      <c r="B34" s="186">
        <v>45998</v>
      </c>
      <c r="C34" s="187" t="s">
        <v>91</v>
      </c>
      <c r="D34" s="188" t="s">
        <v>521</v>
      </c>
      <c r="E34" s="187" t="s">
        <v>1</v>
      </c>
      <c r="F34" s="187" t="s">
        <v>421</v>
      </c>
      <c r="G34" s="189">
        <v>0.87709999999999999</v>
      </c>
      <c r="H34" s="190">
        <v>179</v>
      </c>
      <c r="I34" s="190">
        <v>157</v>
      </c>
      <c r="J34" s="190">
        <v>130</v>
      </c>
      <c r="K34" s="187" t="s">
        <v>422</v>
      </c>
      <c r="L34" s="191" t="s">
        <v>112</v>
      </c>
      <c r="M34" s="190">
        <v>0</v>
      </c>
      <c r="N34" s="190">
        <v>0</v>
      </c>
      <c r="O34" s="190">
        <v>4</v>
      </c>
      <c r="P34" s="187" t="s">
        <v>245</v>
      </c>
      <c r="Q34" s="183"/>
      <c r="R34" s="183"/>
      <c r="S34" s="183"/>
      <c r="T34" s="183"/>
      <c r="U34" s="183"/>
      <c r="V34" s="183"/>
      <c r="W34" s="183"/>
      <c r="X34" s="183"/>
      <c r="Y34" s="183"/>
      <c r="Z34" s="190" t="s">
        <v>522</v>
      </c>
      <c r="AA34" s="183"/>
      <c r="AB34" s="183"/>
      <c r="AC34" s="183"/>
      <c r="AD34" s="190" t="s">
        <v>424</v>
      </c>
      <c r="AE34" s="190" t="s">
        <v>239</v>
      </c>
      <c r="AF34" s="190" t="s">
        <v>205</v>
      </c>
      <c r="AG34" s="183"/>
      <c r="AH34" s="183"/>
      <c r="AI34" s="190" t="s">
        <v>523</v>
      </c>
      <c r="AJ34" s="183"/>
    </row>
    <row r="35" spans="1:36" x14ac:dyDescent="0.3">
      <c r="A35" s="185" t="s">
        <v>517</v>
      </c>
      <c r="B35" s="186">
        <v>45998</v>
      </c>
      <c r="C35" s="187" t="s">
        <v>98</v>
      </c>
      <c r="D35" s="188" t="s">
        <v>524</v>
      </c>
      <c r="E35" s="187" t="s">
        <v>1</v>
      </c>
      <c r="F35" s="187" t="s">
        <v>421</v>
      </c>
      <c r="G35" s="189">
        <v>0.97209999999999996</v>
      </c>
      <c r="H35" s="190">
        <v>179</v>
      </c>
      <c r="I35" s="190">
        <v>174</v>
      </c>
      <c r="J35" s="190">
        <v>155</v>
      </c>
      <c r="K35" s="187" t="s">
        <v>422</v>
      </c>
      <c r="L35" s="191" t="s">
        <v>106</v>
      </c>
      <c r="M35" s="190">
        <v>0</v>
      </c>
      <c r="N35" s="190">
        <v>0</v>
      </c>
      <c r="O35" s="190">
        <v>4</v>
      </c>
      <c r="P35" s="187" t="s">
        <v>248</v>
      </c>
      <c r="Q35" s="183"/>
      <c r="R35" s="183"/>
      <c r="S35" s="183"/>
      <c r="T35" s="190" t="s">
        <v>525</v>
      </c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90" t="s">
        <v>269</v>
      </c>
      <c r="AF35" s="190" t="s">
        <v>380</v>
      </c>
      <c r="AG35" s="183"/>
      <c r="AH35" s="183"/>
      <c r="AI35" s="190" t="s">
        <v>526</v>
      </c>
      <c r="AJ35" s="183"/>
    </row>
    <row r="36" spans="1:36" x14ac:dyDescent="0.3">
      <c r="A36" s="185" t="s">
        <v>419</v>
      </c>
      <c r="B36" s="186">
        <v>45999</v>
      </c>
      <c r="C36" s="187" t="s">
        <v>105</v>
      </c>
      <c r="D36" s="188" t="s">
        <v>420</v>
      </c>
      <c r="E36" s="187" t="s">
        <v>1</v>
      </c>
      <c r="F36" s="187" t="s">
        <v>421</v>
      </c>
      <c r="G36" s="189">
        <v>0.88270000000000004</v>
      </c>
      <c r="H36" s="190">
        <v>179</v>
      </c>
      <c r="I36" s="190">
        <v>158</v>
      </c>
      <c r="J36" s="190">
        <v>128</v>
      </c>
      <c r="K36" s="187" t="s">
        <v>422</v>
      </c>
      <c r="L36" s="191" t="s">
        <v>99</v>
      </c>
      <c r="M36" s="190">
        <v>0</v>
      </c>
      <c r="N36" s="190">
        <v>1</v>
      </c>
      <c r="O36" s="190">
        <v>8</v>
      </c>
      <c r="P36" s="187" t="s">
        <v>160</v>
      </c>
      <c r="Q36" s="183"/>
      <c r="R36" s="183"/>
      <c r="S36" s="183"/>
      <c r="T36" s="183"/>
      <c r="U36" s="183"/>
      <c r="V36" s="183"/>
      <c r="W36" s="183"/>
      <c r="X36" s="183"/>
      <c r="Y36" s="183"/>
      <c r="Z36" s="190" t="s">
        <v>441</v>
      </c>
      <c r="AA36" s="183"/>
      <c r="AB36" s="183"/>
      <c r="AC36" s="183"/>
      <c r="AD36" s="190" t="s">
        <v>167</v>
      </c>
      <c r="AE36" s="190" t="s">
        <v>457</v>
      </c>
      <c r="AF36" s="190" t="s">
        <v>380</v>
      </c>
      <c r="AG36" s="183"/>
      <c r="AH36" s="183"/>
      <c r="AI36" s="190" t="s">
        <v>527</v>
      </c>
      <c r="AJ36" s="183"/>
    </row>
    <row r="37" spans="1:36" x14ac:dyDescent="0.3">
      <c r="A37" s="185" t="s">
        <v>419</v>
      </c>
      <c r="B37" s="186">
        <v>45999</v>
      </c>
      <c r="C37" s="187" t="s">
        <v>111</v>
      </c>
      <c r="D37" s="188" t="s">
        <v>427</v>
      </c>
      <c r="E37" s="187" t="s">
        <v>1</v>
      </c>
      <c r="F37" s="187" t="s">
        <v>421</v>
      </c>
      <c r="G37" s="189">
        <v>0.88270000000000004</v>
      </c>
      <c r="H37" s="190">
        <v>179</v>
      </c>
      <c r="I37" s="190">
        <v>158</v>
      </c>
      <c r="J37" s="190">
        <v>134</v>
      </c>
      <c r="K37" s="187" t="s">
        <v>422</v>
      </c>
      <c r="L37" s="191" t="s">
        <v>260</v>
      </c>
      <c r="M37" s="190">
        <v>0</v>
      </c>
      <c r="N37" s="190">
        <v>0</v>
      </c>
      <c r="O37" s="190">
        <v>3</v>
      </c>
      <c r="P37" s="187" t="s">
        <v>224</v>
      </c>
      <c r="Q37" s="183"/>
      <c r="R37" s="183"/>
      <c r="S37" s="183"/>
      <c r="T37" s="183"/>
      <c r="U37" s="183"/>
      <c r="V37" s="183"/>
      <c r="W37" s="183"/>
      <c r="X37" s="183"/>
      <c r="Y37" s="183"/>
      <c r="Z37" s="190" t="s">
        <v>441</v>
      </c>
      <c r="AA37" s="183"/>
      <c r="AB37" s="183"/>
      <c r="AC37" s="183"/>
      <c r="AD37" s="190" t="s">
        <v>424</v>
      </c>
      <c r="AE37" s="190" t="s">
        <v>457</v>
      </c>
      <c r="AF37" s="190" t="s">
        <v>380</v>
      </c>
      <c r="AG37" s="183"/>
      <c r="AH37" s="183"/>
      <c r="AI37" s="190" t="s">
        <v>528</v>
      </c>
      <c r="AJ37" s="183"/>
    </row>
    <row r="38" spans="1:36" x14ac:dyDescent="0.3">
      <c r="A38" s="185" t="s">
        <v>419</v>
      </c>
      <c r="B38" s="186">
        <v>45999</v>
      </c>
      <c r="C38" s="187" t="s">
        <v>98</v>
      </c>
      <c r="D38" s="188" t="s">
        <v>432</v>
      </c>
      <c r="E38" s="187" t="s">
        <v>1</v>
      </c>
      <c r="F38" s="187" t="s">
        <v>421</v>
      </c>
      <c r="G38" s="189">
        <v>0.87709999999999999</v>
      </c>
      <c r="H38" s="190">
        <v>179</v>
      </c>
      <c r="I38" s="190">
        <v>157</v>
      </c>
      <c r="J38" s="190">
        <v>120</v>
      </c>
      <c r="K38" s="187" t="s">
        <v>422</v>
      </c>
      <c r="L38" s="191" t="s">
        <v>92</v>
      </c>
      <c r="M38" s="190">
        <v>2</v>
      </c>
      <c r="N38" s="190">
        <v>0</v>
      </c>
      <c r="O38" s="190">
        <v>16</v>
      </c>
      <c r="P38" s="187" t="s">
        <v>174</v>
      </c>
      <c r="Q38" s="183"/>
      <c r="R38" s="183"/>
      <c r="S38" s="183"/>
      <c r="T38" s="183"/>
      <c r="U38" s="183"/>
      <c r="V38" s="183"/>
      <c r="W38" s="183"/>
      <c r="X38" s="183"/>
      <c r="Y38" s="183"/>
      <c r="Z38" s="190" t="s">
        <v>455</v>
      </c>
      <c r="AA38" s="183"/>
      <c r="AB38" s="183"/>
      <c r="AC38" s="190" t="s">
        <v>456</v>
      </c>
      <c r="AD38" s="190" t="s">
        <v>436</v>
      </c>
      <c r="AE38" s="190" t="s">
        <v>457</v>
      </c>
      <c r="AF38" s="190" t="s">
        <v>380</v>
      </c>
      <c r="AG38" s="183"/>
      <c r="AH38" s="183"/>
      <c r="AI38" s="190" t="s">
        <v>529</v>
      </c>
      <c r="AJ38" s="183"/>
    </row>
    <row r="39" spans="1:36" x14ac:dyDescent="0.3">
      <c r="A39" s="185" t="s">
        <v>419</v>
      </c>
      <c r="B39" s="186">
        <v>45999</v>
      </c>
      <c r="C39" s="187" t="s">
        <v>91</v>
      </c>
      <c r="D39" s="188" t="s">
        <v>440</v>
      </c>
      <c r="E39" s="187" t="s">
        <v>1</v>
      </c>
      <c r="F39" s="187" t="s">
        <v>421</v>
      </c>
      <c r="G39" s="189">
        <v>0.89939999999999998</v>
      </c>
      <c r="H39" s="190">
        <v>179</v>
      </c>
      <c r="I39" s="190">
        <v>161</v>
      </c>
      <c r="J39" s="190">
        <v>136</v>
      </c>
      <c r="K39" s="187" t="s">
        <v>422</v>
      </c>
      <c r="L39" s="191" t="s">
        <v>262</v>
      </c>
      <c r="M39" s="190">
        <v>0</v>
      </c>
      <c r="N39" s="190">
        <v>0</v>
      </c>
      <c r="O39" s="190">
        <v>4</v>
      </c>
      <c r="P39" s="187" t="s">
        <v>224</v>
      </c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90" t="s">
        <v>160</v>
      </c>
      <c r="AE39" s="190" t="s">
        <v>457</v>
      </c>
      <c r="AF39" s="190" t="s">
        <v>474</v>
      </c>
      <c r="AG39" s="183"/>
      <c r="AH39" s="183"/>
      <c r="AI39" s="190" t="s">
        <v>530</v>
      </c>
      <c r="AJ39" s="183"/>
    </row>
    <row r="40" spans="1:36" x14ac:dyDescent="0.3">
      <c r="A40" s="185" t="s">
        <v>449</v>
      </c>
      <c r="B40" s="186">
        <v>46000</v>
      </c>
      <c r="C40" s="187" t="s">
        <v>166</v>
      </c>
      <c r="D40" s="188" t="s">
        <v>450</v>
      </c>
      <c r="E40" s="187" t="s">
        <v>1</v>
      </c>
      <c r="F40" s="187" t="s">
        <v>421</v>
      </c>
      <c r="G40" s="189">
        <v>0.1229</v>
      </c>
      <c r="H40" s="190">
        <v>179</v>
      </c>
      <c r="I40" s="190">
        <v>22</v>
      </c>
      <c r="J40" s="190">
        <v>0</v>
      </c>
      <c r="K40" s="187" t="s">
        <v>422</v>
      </c>
      <c r="L40" s="191" t="s">
        <v>99</v>
      </c>
      <c r="M40" s="190">
        <v>0</v>
      </c>
      <c r="N40" s="190">
        <v>2</v>
      </c>
      <c r="O40" s="190">
        <v>7</v>
      </c>
      <c r="P40" s="187" t="s">
        <v>269</v>
      </c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90" t="s">
        <v>339</v>
      </c>
      <c r="AF40" s="190" t="s">
        <v>445</v>
      </c>
      <c r="AG40" s="183"/>
      <c r="AH40" s="183"/>
      <c r="AI40" s="183"/>
      <c r="AJ40" s="183"/>
    </row>
    <row r="41" spans="1:36" x14ac:dyDescent="0.3">
      <c r="A41" s="185" t="s">
        <v>449</v>
      </c>
      <c r="B41" s="186">
        <v>46000</v>
      </c>
      <c r="C41" s="187" t="s">
        <v>105</v>
      </c>
      <c r="D41" s="188" t="s">
        <v>452</v>
      </c>
      <c r="E41" s="187" t="s">
        <v>1</v>
      </c>
      <c r="F41" s="187" t="s">
        <v>421</v>
      </c>
      <c r="G41" s="189">
        <v>0.6704</v>
      </c>
      <c r="H41" s="190">
        <v>179</v>
      </c>
      <c r="I41" s="190">
        <v>120</v>
      </c>
      <c r="J41" s="190">
        <v>86</v>
      </c>
      <c r="K41" s="187" t="s">
        <v>422</v>
      </c>
      <c r="L41" s="191" t="s">
        <v>99</v>
      </c>
      <c r="M41" s="190">
        <v>0</v>
      </c>
      <c r="N41" s="190">
        <v>2</v>
      </c>
      <c r="O41" s="190">
        <v>21</v>
      </c>
      <c r="P41" s="187" t="s">
        <v>237</v>
      </c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90" t="s">
        <v>239</v>
      </c>
      <c r="AF41" s="190" t="s">
        <v>484</v>
      </c>
      <c r="AG41" s="183"/>
      <c r="AH41" s="183"/>
      <c r="AI41" s="190" t="s">
        <v>531</v>
      </c>
      <c r="AJ41" s="183"/>
    </row>
    <row r="42" spans="1:36" x14ac:dyDescent="0.3">
      <c r="A42" s="185" t="s">
        <v>449</v>
      </c>
      <c r="B42" s="186">
        <v>46000</v>
      </c>
      <c r="C42" s="187" t="s">
        <v>98</v>
      </c>
      <c r="D42" s="188" t="s">
        <v>432</v>
      </c>
      <c r="E42" s="187" t="s">
        <v>1</v>
      </c>
      <c r="F42" s="187" t="s">
        <v>421</v>
      </c>
      <c r="G42" s="189">
        <v>0.88829999999999998</v>
      </c>
      <c r="H42" s="190">
        <v>179</v>
      </c>
      <c r="I42" s="190">
        <v>159</v>
      </c>
      <c r="J42" s="190">
        <v>132</v>
      </c>
      <c r="K42" s="187" t="s">
        <v>422</v>
      </c>
      <c r="L42" s="191" t="s">
        <v>92</v>
      </c>
      <c r="M42" s="190">
        <v>1</v>
      </c>
      <c r="N42" s="190">
        <v>0</v>
      </c>
      <c r="O42" s="190">
        <v>13</v>
      </c>
      <c r="P42" s="187" t="s">
        <v>271</v>
      </c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90" t="s">
        <v>437</v>
      </c>
      <c r="AF42" s="190" t="s">
        <v>380</v>
      </c>
      <c r="AG42" s="190" t="s">
        <v>515</v>
      </c>
      <c r="AH42" s="183"/>
      <c r="AI42" s="190" t="s">
        <v>532</v>
      </c>
      <c r="AJ42" s="190" t="s">
        <v>533</v>
      </c>
    </row>
    <row r="43" spans="1:36" x14ac:dyDescent="0.3">
      <c r="A43" s="185" t="s">
        <v>449</v>
      </c>
      <c r="B43" s="186">
        <v>46000</v>
      </c>
      <c r="C43" s="187" t="s">
        <v>91</v>
      </c>
      <c r="D43" s="188" t="s">
        <v>459</v>
      </c>
      <c r="E43" s="187" t="s">
        <v>1</v>
      </c>
      <c r="F43" s="187" t="s">
        <v>421</v>
      </c>
      <c r="G43" s="189">
        <v>0.73740000000000006</v>
      </c>
      <c r="H43" s="190">
        <v>179</v>
      </c>
      <c r="I43" s="190">
        <v>132</v>
      </c>
      <c r="J43" s="190">
        <v>96</v>
      </c>
      <c r="K43" s="187" t="s">
        <v>422</v>
      </c>
      <c r="L43" s="191" t="s">
        <v>92</v>
      </c>
      <c r="M43" s="190">
        <v>2</v>
      </c>
      <c r="N43" s="190">
        <v>1</v>
      </c>
      <c r="O43" s="190">
        <v>17</v>
      </c>
      <c r="P43" s="187" t="s">
        <v>273</v>
      </c>
      <c r="Q43" s="183"/>
      <c r="R43" s="183"/>
      <c r="S43" s="183"/>
      <c r="T43" s="183"/>
      <c r="U43" s="183"/>
      <c r="V43" s="183"/>
      <c r="W43" s="183"/>
      <c r="X43" s="183"/>
      <c r="Y43" s="183"/>
      <c r="Z43" s="190" t="s">
        <v>433</v>
      </c>
      <c r="AA43" s="183"/>
      <c r="AB43" s="183"/>
      <c r="AC43" s="190" t="s">
        <v>471</v>
      </c>
      <c r="AD43" s="190" t="s">
        <v>424</v>
      </c>
      <c r="AE43" s="190" t="s">
        <v>444</v>
      </c>
      <c r="AF43" s="190" t="s">
        <v>380</v>
      </c>
      <c r="AG43" s="183"/>
      <c r="AH43" s="183"/>
      <c r="AI43" s="190" t="s">
        <v>460</v>
      </c>
      <c r="AJ43" s="183"/>
    </row>
    <row r="44" spans="1:36" x14ac:dyDescent="0.3">
      <c r="A44" s="185" t="s">
        <v>449</v>
      </c>
      <c r="B44" s="186">
        <v>46000</v>
      </c>
      <c r="C44" s="187" t="s">
        <v>170</v>
      </c>
      <c r="D44" s="188" t="s">
        <v>462</v>
      </c>
      <c r="E44" s="187" t="s">
        <v>1</v>
      </c>
      <c r="F44" s="187" t="s">
        <v>421</v>
      </c>
      <c r="G44" s="189">
        <v>0.88829999999999998</v>
      </c>
      <c r="H44" s="190">
        <v>179</v>
      </c>
      <c r="I44" s="190">
        <v>159</v>
      </c>
      <c r="J44" s="190">
        <v>133</v>
      </c>
      <c r="K44" s="187" t="s">
        <v>422</v>
      </c>
      <c r="L44" s="191" t="s">
        <v>190</v>
      </c>
      <c r="M44" s="190">
        <v>0</v>
      </c>
      <c r="N44" s="190">
        <v>0</v>
      </c>
      <c r="O44" s="190">
        <v>5</v>
      </c>
      <c r="P44" s="187" t="s">
        <v>275</v>
      </c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90" t="s">
        <v>237</v>
      </c>
      <c r="AF44" s="190" t="s">
        <v>445</v>
      </c>
      <c r="AG44" s="183"/>
      <c r="AH44" s="183"/>
      <c r="AI44" s="190" t="s">
        <v>534</v>
      </c>
      <c r="AJ44" s="183"/>
    </row>
    <row r="45" spans="1:36" x14ac:dyDescent="0.3">
      <c r="A45" s="185" t="s">
        <v>449</v>
      </c>
      <c r="B45" s="186">
        <v>46000</v>
      </c>
      <c r="C45" s="187" t="s">
        <v>111</v>
      </c>
      <c r="D45" s="188" t="s">
        <v>465</v>
      </c>
      <c r="E45" s="187" t="s">
        <v>1</v>
      </c>
      <c r="F45" s="187" t="s">
        <v>421</v>
      </c>
      <c r="G45" s="189">
        <v>0.1341</v>
      </c>
      <c r="H45" s="190">
        <v>179</v>
      </c>
      <c r="I45" s="190">
        <v>24</v>
      </c>
      <c r="J45" s="190">
        <v>0</v>
      </c>
      <c r="K45" s="187" t="s">
        <v>422</v>
      </c>
      <c r="L45" s="191" t="s">
        <v>99</v>
      </c>
      <c r="M45" s="190">
        <v>0</v>
      </c>
      <c r="N45" s="190">
        <v>1</v>
      </c>
      <c r="O45" s="190">
        <v>3</v>
      </c>
      <c r="P45" s="187" t="s">
        <v>239</v>
      </c>
      <c r="Q45" s="183"/>
      <c r="R45" s="183"/>
      <c r="S45" s="183"/>
      <c r="T45" s="183"/>
      <c r="U45" s="183"/>
      <c r="V45" s="183"/>
      <c r="W45" s="183"/>
      <c r="X45" s="183"/>
      <c r="Y45" s="183"/>
      <c r="Z45" s="190" t="s">
        <v>441</v>
      </c>
      <c r="AA45" s="183"/>
      <c r="AB45" s="183"/>
      <c r="AC45" s="183"/>
      <c r="AD45" s="190" t="s">
        <v>160</v>
      </c>
      <c r="AE45" s="190" t="s">
        <v>535</v>
      </c>
      <c r="AF45" s="190" t="s">
        <v>380</v>
      </c>
      <c r="AG45" s="183"/>
      <c r="AH45" s="183"/>
      <c r="AI45" s="183"/>
      <c r="AJ45" s="183"/>
    </row>
    <row r="46" spans="1:36" x14ac:dyDescent="0.3">
      <c r="A46" s="185" t="s">
        <v>468</v>
      </c>
      <c r="B46" s="186">
        <v>46001</v>
      </c>
      <c r="C46" s="187" t="s">
        <v>111</v>
      </c>
      <c r="D46" s="188" t="s">
        <v>469</v>
      </c>
      <c r="E46" s="187" t="s">
        <v>1</v>
      </c>
      <c r="F46" s="187" t="s">
        <v>421</v>
      </c>
      <c r="G46" s="189">
        <v>0.94410000000000005</v>
      </c>
      <c r="H46" s="190">
        <v>179</v>
      </c>
      <c r="I46" s="190">
        <v>169</v>
      </c>
      <c r="J46" s="190">
        <v>137</v>
      </c>
      <c r="K46" s="187" t="s">
        <v>422</v>
      </c>
      <c r="L46" s="191" t="s">
        <v>99</v>
      </c>
      <c r="M46" s="190">
        <v>0</v>
      </c>
      <c r="N46" s="190">
        <v>2</v>
      </c>
      <c r="O46" s="190">
        <v>6</v>
      </c>
      <c r="P46" s="187" t="s">
        <v>172</v>
      </c>
      <c r="Q46" s="183"/>
      <c r="R46" s="183"/>
      <c r="S46" s="183"/>
      <c r="T46" s="183"/>
      <c r="U46" s="183"/>
      <c r="V46" s="183"/>
      <c r="W46" s="183"/>
      <c r="X46" s="183"/>
      <c r="Y46" s="183"/>
      <c r="Z46" s="190" t="s">
        <v>470</v>
      </c>
      <c r="AA46" s="183"/>
      <c r="AB46" s="183"/>
      <c r="AC46" s="183"/>
      <c r="AD46" s="190" t="s">
        <v>163</v>
      </c>
      <c r="AE46" s="190" t="s">
        <v>457</v>
      </c>
      <c r="AF46" s="190" t="s">
        <v>380</v>
      </c>
      <c r="AG46" s="183"/>
      <c r="AH46" s="183"/>
      <c r="AI46" s="190" t="s">
        <v>536</v>
      </c>
      <c r="AJ46" s="183"/>
    </row>
    <row r="47" spans="1:36" x14ac:dyDescent="0.3">
      <c r="A47" s="185" t="s">
        <v>468</v>
      </c>
      <c r="B47" s="186">
        <v>46001</v>
      </c>
      <c r="C47" s="187" t="s">
        <v>91</v>
      </c>
      <c r="D47" s="188" t="s">
        <v>473</v>
      </c>
      <c r="E47" s="187" t="s">
        <v>1</v>
      </c>
      <c r="F47" s="187" t="s">
        <v>421</v>
      </c>
      <c r="G47" s="189">
        <v>0.2346</v>
      </c>
      <c r="H47" s="190">
        <v>179</v>
      </c>
      <c r="I47" s="190">
        <v>42</v>
      </c>
      <c r="J47" s="190">
        <v>3</v>
      </c>
      <c r="K47" s="187" t="s">
        <v>422</v>
      </c>
      <c r="L47" s="191" t="s">
        <v>99</v>
      </c>
      <c r="M47" s="190">
        <v>0</v>
      </c>
      <c r="N47" s="190">
        <v>1</v>
      </c>
      <c r="O47" s="190">
        <v>11</v>
      </c>
      <c r="P47" s="187" t="s">
        <v>237</v>
      </c>
      <c r="Q47" s="183"/>
      <c r="R47" s="183"/>
      <c r="S47" s="183"/>
      <c r="T47" s="183"/>
      <c r="U47" s="183"/>
      <c r="V47" s="183"/>
      <c r="W47" s="183"/>
      <c r="X47" s="183"/>
      <c r="Y47" s="183"/>
      <c r="Z47" s="190" t="s">
        <v>433</v>
      </c>
      <c r="AA47" s="183"/>
      <c r="AB47" s="183"/>
      <c r="AC47" s="183"/>
      <c r="AD47" s="190" t="s">
        <v>424</v>
      </c>
      <c r="AE47" s="190" t="s">
        <v>520</v>
      </c>
      <c r="AF47" s="190" t="s">
        <v>380</v>
      </c>
      <c r="AG47" s="183"/>
      <c r="AH47" s="183"/>
      <c r="AI47" s="190" t="s">
        <v>537</v>
      </c>
      <c r="AJ47" s="183"/>
    </row>
    <row r="48" spans="1:36" x14ac:dyDescent="0.3">
      <c r="A48" s="185" t="s">
        <v>468</v>
      </c>
      <c r="B48" s="186">
        <v>46001</v>
      </c>
      <c r="C48" s="187" t="s">
        <v>98</v>
      </c>
      <c r="D48" s="188" t="s">
        <v>432</v>
      </c>
      <c r="E48" s="187" t="s">
        <v>1</v>
      </c>
      <c r="F48" s="187" t="s">
        <v>421</v>
      </c>
      <c r="G48" s="189">
        <v>0.25700000000000001</v>
      </c>
      <c r="H48" s="190">
        <v>179</v>
      </c>
      <c r="I48" s="190">
        <v>46</v>
      </c>
      <c r="J48" s="190">
        <v>0</v>
      </c>
      <c r="K48" s="187" t="s">
        <v>422</v>
      </c>
      <c r="L48" s="191" t="s">
        <v>92</v>
      </c>
      <c r="M48" s="190">
        <v>1</v>
      </c>
      <c r="N48" s="190">
        <v>1</v>
      </c>
      <c r="O48" s="190">
        <v>16</v>
      </c>
      <c r="P48" s="187" t="s">
        <v>237</v>
      </c>
      <c r="Q48" s="183"/>
      <c r="R48" s="183"/>
      <c r="S48" s="183"/>
      <c r="T48" s="183"/>
      <c r="U48" s="183"/>
      <c r="V48" s="183"/>
      <c r="W48" s="183"/>
      <c r="X48" s="183"/>
      <c r="Y48" s="183"/>
      <c r="Z48" s="190" t="s">
        <v>428</v>
      </c>
      <c r="AA48" s="183"/>
      <c r="AB48" s="183"/>
      <c r="AC48" s="183"/>
      <c r="AD48" s="190" t="s">
        <v>172</v>
      </c>
      <c r="AE48" s="190" t="s">
        <v>520</v>
      </c>
      <c r="AF48" s="190" t="s">
        <v>380</v>
      </c>
      <c r="AG48" s="183"/>
      <c r="AH48" s="183"/>
      <c r="AI48" s="183"/>
      <c r="AJ48" s="183"/>
    </row>
    <row r="49" spans="1:36" x14ac:dyDescent="0.3">
      <c r="A49" s="185" t="s">
        <v>476</v>
      </c>
      <c r="B49" s="186">
        <v>46002</v>
      </c>
      <c r="C49" s="187" t="s">
        <v>170</v>
      </c>
      <c r="D49" s="188" t="s">
        <v>477</v>
      </c>
      <c r="E49" s="187" t="s">
        <v>1</v>
      </c>
      <c r="F49" s="187" t="s">
        <v>421</v>
      </c>
      <c r="G49" s="189">
        <v>0.37990000000000002</v>
      </c>
      <c r="H49" s="190">
        <v>179</v>
      </c>
      <c r="I49" s="190">
        <v>68</v>
      </c>
      <c r="J49" s="190">
        <v>45</v>
      </c>
      <c r="K49" s="187" t="s">
        <v>422</v>
      </c>
      <c r="L49" s="191" t="s">
        <v>99</v>
      </c>
      <c r="M49" s="190">
        <v>0</v>
      </c>
      <c r="N49" s="190">
        <v>4</v>
      </c>
      <c r="O49" s="190">
        <v>12</v>
      </c>
      <c r="P49" s="187" t="s">
        <v>203</v>
      </c>
      <c r="Q49" s="183"/>
      <c r="R49" s="183"/>
      <c r="S49" s="183"/>
      <c r="T49" s="183"/>
      <c r="U49" s="183"/>
      <c r="V49" s="183"/>
      <c r="W49" s="183"/>
      <c r="X49" s="183"/>
      <c r="Y49" s="183"/>
      <c r="Z49" s="190" t="s">
        <v>441</v>
      </c>
      <c r="AA49" s="183"/>
      <c r="AB49" s="183"/>
      <c r="AC49" s="183"/>
      <c r="AD49" s="183"/>
      <c r="AE49" s="183"/>
      <c r="AF49" s="190" t="s">
        <v>500</v>
      </c>
      <c r="AG49" s="183"/>
      <c r="AH49" s="183"/>
      <c r="AI49" s="190" t="s">
        <v>505</v>
      </c>
      <c r="AJ49" s="183"/>
    </row>
    <row r="50" spans="1:36" x14ac:dyDescent="0.3">
      <c r="A50" s="185" t="s">
        <v>476</v>
      </c>
      <c r="B50" s="186">
        <v>46002</v>
      </c>
      <c r="C50" s="187" t="s">
        <v>166</v>
      </c>
      <c r="D50" s="188" t="s">
        <v>480</v>
      </c>
      <c r="E50" s="187" t="s">
        <v>1</v>
      </c>
      <c r="F50" s="187" t="s">
        <v>421</v>
      </c>
      <c r="G50" s="189">
        <v>0.1061</v>
      </c>
      <c r="H50" s="190">
        <v>179</v>
      </c>
      <c r="I50" s="190">
        <v>19</v>
      </c>
      <c r="J50" s="190">
        <v>0</v>
      </c>
      <c r="K50" s="187" t="s">
        <v>422</v>
      </c>
      <c r="L50" s="191" t="s">
        <v>112</v>
      </c>
      <c r="M50" s="190">
        <v>0</v>
      </c>
      <c r="N50" s="190">
        <v>0</v>
      </c>
      <c r="O50" s="190">
        <v>9</v>
      </c>
      <c r="P50" s="187" t="s">
        <v>301</v>
      </c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90" t="s">
        <v>305</v>
      </c>
      <c r="AG50" s="183"/>
      <c r="AH50" s="183"/>
      <c r="AI50" s="183"/>
      <c r="AJ50" s="183"/>
    </row>
    <row r="51" spans="1:36" x14ac:dyDescent="0.3">
      <c r="A51" s="185" t="s">
        <v>476</v>
      </c>
      <c r="B51" s="186">
        <v>46002</v>
      </c>
      <c r="C51" s="187" t="s">
        <v>221</v>
      </c>
      <c r="D51" s="188" t="s">
        <v>481</v>
      </c>
      <c r="E51" s="187" t="s">
        <v>1</v>
      </c>
      <c r="F51" s="187" t="s">
        <v>421</v>
      </c>
      <c r="G51" s="189">
        <v>0.14530000000000001</v>
      </c>
      <c r="H51" s="190">
        <v>179</v>
      </c>
      <c r="I51" s="190">
        <v>26</v>
      </c>
      <c r="J51" s="190">
        <v>0</v>
      </c>
      <c r="K51" s="187" t="s">
        <v>422</v>
      </c>
      <c r="L51" s="191" t="s">
        <v>162</v>
      </c>
      <c r="M51" s="190">
        <v>0</v>
      </c>
      <c r="N51" s="190">
        <v>0</v>
      </c>
      <c r="O51" s="190">
        <v>12</v>
      </c>
      <c r="P51" s="187" t="s">
        <v>301</v>
      </c>
      <c r="Q51" s="183"/>
      <c r="R51" s="183"/>
      <c r="S51" s="183"/>
      <c r="T51" s="183"/>
      <c r="U51" s="183"/>
      <c r="V51" s="183"/>
      <c r="W51" s="183"/>
      <c r="X51" s="183"/>
      <c r="Y51" s="183"/>
      <c r="Z51" s="190" t="s">
        <v>441</v>
      </c>
      <c r="AA51" s="183"/>
      <c r="AB51" s="183"/>
      <c r="AC51" s="183"/>
      <c r="AD51" s="183"/>
      <c r="AE51" s="190" t="s">
        <v>319</v>
      </c>
      <c r="AF51" s="190" t="s">
        <v>538</v>
      </c>
      <c r="AG51" s="183"/>
      <c r="AH51" s="183"/>
      <c r="AI51" s="183"/>
      <c r="AJ51" s="183"/>
    </row>
    <row r="52" spans="1:36" x14ac:dyDescent="0.3">
      <c r="A52" s="185" t="s">
        <v>476</v>
      </c>
      <c r="B52" s="186">
        <v>46002</v>
      </c>
      <c r="C52" s="187" t="s">
        <v>111</v>
      </c>
      <c r="D52" s="188" t="s">
        <v>483</v>
      </c>
      <c r="E52" s="187" t="s">
        <v>1</v>
      </c>
      <c r="F52" s="187" t="s">
        <v>421</v>
      </c>
      <c r="G52" s="189">
        <v>0.87150000000000005</v>
      </c>
      <c r="H52" s="190">
        <v>179</v>
      </c>
      <c r="I52" s="190">
        <v>156</v>
      </c>
      <c r="J52" s="190">
        <v>140</v>
      </c>
      <c r="K52" s="187" t="s">
        <v>422</v>
      </c>
      <c r="L52" s="191" t="s">
        <v>162</v>
      </c>
      <c r="M52" s="190">
        <v>0</v>
      </c>
      <c r="N52" s="190">
        <v>0</v>
      </c>
      <c r="O52" s="190">
        <v>6</v>
      </c>
      <c r="P52" s="187" t="s">
        <v>224</v>
      </c>
      <c r="Q52" s="183"/>
      <c r="R52" s="183"/>
      <c r="S52" s="183"/>
      <c r="T52" s="183"/>
      <c r="U52" s="183"/>
      <c r="V52" s="183"/>
      <c r="W52" s="183"/>
      <c r="X52" s="183"/>
      <c r="Y52" s="183"/>
      <c r="Z52" s="190" t="s">
        <v>433</v>
      </c>
      <c r="AA52" s="183"/>
      <c r="AB52" s="183"/>
      <c r="AC52" s="183"/>
      <c r="AD52" s="183"/>
      <c r="AE52" s="190" t="s">
        <v>222</v>
      </c>
      <c r="AF52" s="190" t="s">
        <v>205</v>
      </c>
      <c r="AG52" s="183"/>
      <c r="AH52" s="183"/>
      <c r="AI52" s="190" t="s">
        <v>539</v>
      </c>
      <c r="AJ52" s="190" t="s">
        <v>533</v>
      </c>
    </row>
    <row r="53" spans="1:36" x14ac:dyDescent="0.3">
      <c r="A53" s="185" t="s">
        <v>476</v>
      </c>
      <c r="B53" s="186">
        <v>46002</v>
      </c>
      <c r="C53" s="187" t="s">
        <v>242</v>
      </c>
      <c r="D53" s="188" t="s">
        <v>486</v>
      </c>
      <c r="E53" s="187" t="s">
        <v>1</v>
      </c>
      <c r="F53" s="187" t="s">
        <v>421</v>
      </c>
      <c r="G53" s="189">
        <v>0.50280000000000002</v>
      </c>
      <c r="H53" s="190">
        <v>179</v>
      </c>
      <c r="I53" s="190">
        <v>90</v>
      </c>
      <c r="J53" s="190">
        <v>74</v>
      </c>
      <c r="K53" s="187" t="s">
        <v>422</v>
      </c>
      <c r="L53" s="191" t="s">
        <v>99</v>
      </c>
      <c r="M53" s="190">
        <v>0</v>
      </c>
      <c r="N53" s="190">
        <v>5</v>
      </c>
      <c r="O53" s="190">
        <v>9</v>
      </c>
      <c r="P53" s="187" t="s">
        <v>303</v>
      </c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90" t="s">
        <v>362</v>
      </c>
      <c r="AF53" s="190" t="s">
        <v>504</v>
      </c>
      <c r="AG53" s="183"/>
      <c r="AH53" s="183"/>
      <c r="AI53" s="190" t="s">
        <v>540</v>
      </c>
      <c r="AJ53" s="183"/>
    </row>
    <row r="54" spans="1:36" x14ac:dyDescent="0.3">
      <c r="A54" s="185" t="s">
        <v>476</v>
      </c>
      <c r="B54" s="186">
        <v>46002</v>
      </c>
      <c r="C54" s="187" t="s">
        <v>98</v>
      </c>
      <c r="D54" s="188" t="s">
        <v>487</v>
      </c>
      <c r="E54" s="187" t="s">
        <v>1</v>
      </c>
      <c r="F54" s="187" t="s">
        <v>421</v>
      </c>
      <c r="G54" s="189">
        <v>0.93300000000000005</v>
      </c>
      <c r="H54" s="190">
        <v>179</v>
      </c>
      <c r="I54" s="190">
        <v>167</v>
      </c>
      <c r="J54" s="190">
        <v>138</v>
      </c>
      <c r="K54" s="187" t="s">
        <v>422</v>
      </c>
      <c r="L54" s="191" t="s">
        <v>99</v>
      </c>
      <c r="M54" s="190">
        <v>0</v>
      </c>
      <c r="N54" s="190">
        <v>1</v>
      </c>
      <c r="O54" s="190">
        <v>6</v>
      </c>
      <c r="P54" s="187" t="s">
        <v>271</v>
      </c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90" t="s">
        <v>273</v>
      </c>
      <c r="AE54" s="190" t="s">
        <v>457</v>
      </c>
      <c r="AF54" s="190" t="s">
        <v>380</v>
      </c>
      <c r="AG54" s="183"/>
      <c r="AH54" s="183"/>
      <c r="AI54" s="190" t="s">
        <v>507</v>
      </c>
      <c r="AJ54" s="183"/>
    </row>
    <row r="55" spans="1:36" x14ac:dyDescent="0.3">
      <c r="A55" s="185" t="s">
        <v>476</v>
      </c>
      <c r="B55" s="186">
        <v>46002</v>
      </c>
      <c r="C55" s="187" t="s">
        <v>105</v>
      </c>
      <c r="D55" s="188" t="s">
        <v>491</v>
      </c>
      <c r="E55" s="187" t="s">
        <v>1</v>
      </c>
      <c r="F55" s="187" t="s">
        <v>421</v>
      </c>
      <c r="G55" s="189">
        <v>0.90500000000000003</v>
      </c>
      <c r="H55" s="190">
        <v>179</v>
      </c>
      <c r="I55" s="190">
        <v>162</v>
      </c>
      <c r="J55" s="190">
        <v>118</v>
      </c>
      <c r="K55" s="187" t="s">
        <v>422</v>
      </c>
      <c r="L55" s="191" t="s">
        <v>92</v>
      </c>
      <c r="M55" s="190">
        <v>4</v>
      </c>
      <c r="N55" s="190">
        <v>2</v>
      </c>
      <c r="O55" s="190">
        <v>11</v>
      </c>
      <c r="P55" s="187" t="s">
        <v>163</v>
      </c>
      <c r="Q55" s="183"/>
      <c r="R55" s="183"/>
      <c r="S55" s="183"/>
      <c r="T55" s="183"/>
      <c r="U55" s="183"/>
      <c r="V55" s="183"/>
      <c r="W55" s="183"/>
      <c r="X55" s="183"/>
      <c r="Y55" s="183"/>
      <c r="Z55" s="190" t="s">
        <v>512</v>
      </c>
      <c r="AA55" s="183"/>
      <c r="AB55" s="183"/>
      <c r="AC55" s="190" t="s">
        <v>541</v>
      </c>
      <c r="AD55" s="190" t="s">
        <v>542</v>
      </c>
      <c r="AE55" s="190" t="s">
        <v>457</v>
      </c>
      <c r="AF55" s="190" t="s">
        <v>380</v>
      </c>
      <c r="AG55" s="183"/>
      <c r="AH55" s="183"/>
      <c r="AI55" s="190" t="s">
        <v>543</v>
      </c>
      <c r="AJ55" s="190" t="s">
        <v>448</v>
      </c>
    </row>
    <row r="56" spans="1:36" x14ac:dyDescent="0.3">
      <c r="A56" s="185" t="s">
        <v>493</v>
      </c>
      <c r="B56" s="186">
        <v>46003</v>
      </c>
      <c r="C56" s="187" t="s">
        <v>170</v>
      </c>
      <c r="D56" s="188" t="s">
        <v>480</v>
      </c>
      <c r="E56" s="187" t="s">
        <v>1</v>
      </c>
      <c r="F56" s="187" t="s">
        <v>421</v>
      </c>
      <c r="G56" s="189">
        <v>0.3352</v>
      </c>
      <c r="H56" s="190">
        <v>179</v>
      </c>
      <c r="I56" s="190">
        <v>60</v>
      </c>
      <c r="J56" s="190">
        <v>30</v>
      </c>
      <c r="K56" s="187" t="s">
        <v>422</v>
      </c>
      <c r="L56" s="191" t="s">
        <v>92</v>
      </c>
      <c r="M56" s="190">
        <v>1</v>
      </c>
      <c r="N56" s="190">
        <v>0</v>
      </c>
      <c r="O56" s="190">
        <v>13</v>
      </c>
      <c r="P56" s="187" t="s">
        <v>222</v>
      </c>
      <c r="Q56" s="183"/>
      <c r="R56" s="183"/>
      <c r="S56" s="183"/>
      <c r="T56" s="183"/>
      <c r="U56" s="183"/>
      <c r="V56" s="183"/>
      <c r="W56" s="183"/>
      <c r="X56" s="183"/>
      <c r="Y56" s="183"/>
      <c r="Z56" s="190" t="s">
        <v>455</v>
      </c>
      <c r="AA56" s="183"/>
      <c r="AB56" s="183"/>
      <c r="AC56" s="183"/>
      <c r="AD56" s="183"/>
      <c r="AE56" s="190" t="s">
        <v>337</v>
      </c>
      <c r="AF56" s="190" t="s">
        <v>445</v>
      </c>
      <c r="AG56" s="183"/>
      <c r="AH56" s="183"/>
      <c r="AI56" s="190" t="s">
        <v>544</v>
      </c>
      <c r="AJ56" s="183"/>
    </row>
    <row r="57" spans="1:36" x14ac:dyDescent="0.3">
      <c r="A57" s="185" t="s">
        <v>493</v>
      </c>
      <c r="B57" s="186">
        <v>46003</v>
      </c>
      <c r="C57" s="187" t="s">
        <v>111</v>
      </c>
      <c r="D57" s="188" t="s">
        <v>496</v>
      </c>
      <c r="E57" s="187" t="s">
        <v>1</v>
      </c>
      <c r="F57" s="187" t="s">
        <v>421</v>
      </c>
      <c r="G57" s="189">
        <v>0.14530000000000001</v>
      </c>
      <c r="H57" s="190">
        <v>179</v>
      </c>
      <c r="I57" s="190">
        <v>26</v>
      </c>
      <c r="J57" s="190">
        <v>0</v>
      </c>
      <c r="K57" s="187" t="s">
        <v>422</v>
      </c>
      <c r="L57" s="191" t="s">
        <v>92</v>
      </c>
      <c r="M57" s="190">
        <v>1</v>
      </c>
      <c r="N57" s="190">
        <v>0</v>
      </c>
      <c r="O57" s="190">
        <v>11</v>
      </c>
      <c r="P57" s="187" t="s">
        <v>208</v>
      </c>
      <c r="Q57" s="183"/>
      <c r="R57" s="183"/>
      <c r="S57" s="183"/>
      <c r="T57" s="183"/>
      <c r="U57" s="183"/>
      <c r="V57" s="183"/>
      <c r="W57" s="183"/>
      <c r="X57" s="183"/>
      <c r="Y57" s="183"/>
      <c r="Z57" s="190" t="s">
        <v>441</v>
      </c>
      <c r="AA57" s="183"/>
      <c r="AB57" s="183"/>
      <c r="AC57" s="183"/>
      <c r="AD57" s="183"/>
      <c r="AE57" s="190" t="s">
        <v>208</v>
      </c>
      <c r="AF57" s="190" t="s">
        <v>445</v>
      </c>
      <c r="AG57" s="183"/>
      <c r="AH57" s="183"/>
      <c r="AI57" s="183"/>
      <c r="AJ57" s="183"/>
    </row>
    <row r="58" spans="1:36" x14ac:dyDescent="0.3">
      <c r="A58" s="185" t="s">
        <v>493</v>
      </c>
      <c r="B58" s="186">
        <v>46003</v>
      </c>
      <c r="C58" s="187" t="s">
        <v>98</v>
      </c>
      <c r="D58" s="188" t="s">
        <v>498</v>
      </c>
      <c r="E58" s="187" t="s">
        <v>1</v>
      </c>
      <c r="F58" s="187" t="s">
        <v>421</v>
      </c>
      <c r="G58" s="189">
        <v>0.13969999999999999</v>
      </c>
      <c r="H58" s="190">
        <v>179</v>
      </c>
      <c r="I58" s="190">
        <v>25</v>
      </c>
      <c r="J58" s="190">
        <v>0</v>
      </c>
      <c r="K58" s="187" t="s">
        <v>422</v>
      </c>
      <c r="L58" s="191" t="s">
        <v>92</v>
      </c>
      <c r="M58" s="190">
        <v>4</v>
      </c>
      <c r="N58" s="190">
        <v>0</v>
      </c>
      <c r="O58" s="190">
        <v>7</v>
      </c>
      <c r="P58" s="187" t="s">
        <v>208</v>
      </c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90" t="s">
        <v>437</v>
      </c>
      <c r="AF58" s="190" t="s">
        <v>380</v>
      </c>
      <c r="AG58" s="183"/>
      <c r="AH58" s="183"/>
      <c r="AI58" s="183"/>
      <c r="AJ58" s="183"/>
    </row>
    <row r="59" spans="1:36" x14ac:dyDescent="0.3">
      <c r="A59" s="185" t="s">
        <v>493</v>
      </c>
      <c r="B59" s="186">
        <v>46003</v>
      </c>
      <c r="C59" s="187" t="s">
        <v>105</v>
      </c>
      <c r="D59" s="188" t="s">
        <v>432</v>
      </c>
      <c r="E59" s="187" t="s">
        <v>1</v>
      </c>
      <c r="F59" s="187" t="s">
        <v>421</v>
      </c>
      <c r="G59" s="189">
        <v>0.3296</v>
      </c>
      <c r="H59" s="190">
        <v>179</v>
      </c>
      <c r="I59" s="190">
        <v>59</v>
      </c>
      <c r="J59" s="190">
        <v>37</v>
      </c>
      <c r="K59" s="187" t="s">
        <v>422</v>
      </c>
      <c r="L59" s="191" t="s">
        <v>99</v>
      </c>
      <c r="M59" s="190">
        <v>0</v>
      </c>
      <c r="N59" s="190">
        <v>1</v>
      </c>
      <c r="O59" s="190">
        <v>3</v>
      </c>
      <c r="P59" s="187" t="s">
        <v>239</v>
      </c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90" t="s">
        <v>478</v>
      </c>
      <c r="AE59" s="190" t="s">
        <v>535</v>
      </c>
      <c r="AF59" s="190" t="s">
        <v>380</v>
      </c>
      <c r="AG59" s="183"/>
      <c r="AH59" s="183"/>
      <c r="AI59" s="190" t="s">
        <v>482</v>
      </c>
      <c r="AJ59" s="183"/>
    </row>
    <row r="60" spans="1:36" x14ac:dyDescent="0.3">
      <c r="A60" s="185" t="s">
        <v>493</v>
      </c>
      <c r="B60" s="186">
        <v>46003</v>
      </c>
      <c r="C60" s="187" t="s">
        <v>166</v>
      </c>
      <c r="D60" s="188" t="s">
        <v>502</v>
      </c>
      <c r="E60" s="187" t="s">
        <v>1</v>
      </c>
      <c r="F60" s="187" t="s">
        <v>421</v>
      </c>
      <c r="G60" s="189">
        <v>0.73180000000000001</v>
      </c>
      <c r="H60" s="190">
        <v>179</v>
      </c>
      <c r="I60" s="190">
        <v>131</v>
      </c>
      <c r="J60" s="190">
        <v>92</v>
      </c>
      <c r="K60" s="187" t="s">
        <v>422</v>
      </c>
      <c r="L60" s="191" t="s">
        <v>162</v>
      </c>
      <c r="M60" s="190">
        <v>0</v>
      </c>
      <c r="N60" s="190">
        <v>0</v>
      </c>
      <c r="O60" s="190">
        <v>14</v>
      </c>
      <c r="P60" s="187" t="s">
        <v>319</v>
      </c>
      <c r="Q60" s="183"/>
      <c r="R60" s="183"/>
      <c r="S60" s="183"/>
      <c r="T60" s="183"/>
      <c r="U60" s="183"/>
      <c r="V60" s="183"/>
      <c r="W60" s="183"/>
      <c r="X60" s="183"/>
      <c r="Y60" s="183"/>
      <c r="Z60" s="190" t="s">
        <v>455</v>
      </c>
      <c r="AA60" s="183"/>
      <c r="AB60" s="183"/>
      <c r="AC60" s="183"/>
      <c r="AD60" s="190" t="s">
        <v>322</v>
      </c>
      <c r="AE60" s="190" t="s">
        <v>430</v>
      </c>
      <c r="AF60" s="190" t="s">
        <v>380</v>
      </c>
      <c r="AG60" s="183"/>
      <c r="AH60" s="183"/>
      <c r="AI60" s="190" t="s">
        <v>467</v>
      </c>
      <c r="AJ60" s="183"/>
    </row>
    <row r="61" spans="1:36" x14ac:dyDescent="0.3">
      <c r="A61" s="185" t="s">
        <v>493</v>
      </c>
      <c r="B61" s="186">
        <v>46003</v>
      </c>
      <c r="C61" s="187" t="s">
        <v>91</v>
      </c>
      <c r="D61" s="188" t="s">
        <v>506</v>
      </c>
      <c r="E61" s="187" t="s">
        <v>1</v>
      </c>
      <c r="F61" s="187" t="s">
        <v>421</v>
      </c>
      <c r="G61" s="189">
        <v>0.65359999999999996</v>
      </c>
      <c r="H61" s="190">
        <v>179</v>
      </c>
      <c r="I61" s="190">
        <v>117</v>
      </c>
      <c r="J61" s="190">
        <v>80</v>
      </c>
      <c r="K61" s="187" t="s">
        <v>422</v>
      </c>
      <c r="L61" s="191" t="s">
        <v>106</v>
      </c>
      <c r="M61" s="190">
        <v>0</v>
      </c>
      <c r="N61" s="190">
        <v>0</v>
      </c>
      <c r="O61" s="190">
        <v>8</v>
      </c>
      <c r="P61" s="187" t="s">
        <v>322</v>
      </c>
      <c r="Q61" s="183"/>
      <c r="R61" s="183"/>
      <c r="S61" s="183"/>
      <c r="T61" s="183"/>
      <c r="U61" s="183"/>
      <c r="V61" s="183"/>
      <c r="W61" s="183"/>
      <c r="X61" s="183"/>
      <c r="Y61" s="190" t="s">
        <v>545</v>
      </c>
      <c r="Z61" s="190" t="s">
        <v>433</v>
      </c>
      <c r="AA61" s="183"/>
      <c r="AB61" s="183"/>
      <c r="AC61" s="183"/>
      <c r="AD61" s="190" t="s">
        <v>546</v>
      </c>
      <c r="AE61" s="190" t="s">
        <v>457</v>
      </c>
      <c r="AF61" s="190" t="s">
        <v>380</v>
      </c>
      <c r="AG61" s="183"/>
      <c r="AH61" s="183"/>
      <c r="AI61" s="190" t="s">
        <v>547</v>
      </c>
      <c r="AJ61" s="183"/>
    </row>
    <row r="62" spans="1:36" x14ac:dyDescent="0.3">
      <c r="A62" s="185" t="s">
        <v>508</v>
      </c>
      <c r="B62" s="186">
        <v>46004</v>
      </c>
      <c r="C62" s="187" t="s">
        <v>221</v>
      </c>
      <c r="D62" s="188" t="s">
        <v>509</v>
      </c>
      <c r="E62" s="187" t="s">
        <v>1</v>
      </c>
      <c r="F62" s="187" t="s">
        <v>421</v>
      </c>
      <c r="G62" s="189">
        <v>0.2011</v>
      </c>
      <c r="H62" s="190">
        <v>179</v>
      </c>
      <c r="I62" s="190">
        <v>36</v>
      </c>
      <c r="J62" s="190">
        <v>0</v>
      </c>
      <c r="K62" s="187" t="s">
        <v>422</v>
      </c>
      <c r="L62" s="191" t="s">
        <v>92</v>
      </c>
      <c r="M62" s="190">
        <v>1</v>
      </c>
      <c r="N62" s="190">
        <v>2</v>
      </c>
      <c r="O62" s="190">
        <v>15</v>
      </c>
      <c r="P62" s="187" t="s">
        <v>322</v>
      </c>
      <c r="Q62" s="183"/>
      <c r="R62" s="183"/>
      <c r="S62" s="183"/>
      <c r="T62" s="183"/>
      <c r="U62" s="183"/>
      <c r="V62" s="183"/>
      <c r="W62" s="183"/>
      <c r="X62" s="183"/>
      <c r="Y62" s="190" t="s">
        <v>548</v>
      </c>
      <c r="Z62" s="183"/>
      <c r="AA62" s="183"/>
      <c r="AB62" s="183"/>
      <c r="AC62" s="183"/>
      <c r="AD62" s="190" t="s">
        <v>163</v>
      </c>
      <c r="AE62" s="190" t="s">
        <v>444</v>
      </c>
      <c r="AF62" s="190" t="s">
        <v>380</v>
      </c>
      <c r="AG62" s="183"/>
      <c r="AH62" s="183"/>
      <c r="AI62" s="183"/>
      <c r="AJ62" s="183"/>
    </row>
    <row r="63" spans="1:36" x14ac:dyDescent="0.3">
      <c r="A63" s="185" t="s">
        <v>508</v>
      </c>
      <c r="B63" s="186">
        <v>46004</v>
      </c>
      <c r="C63" s="187" t="s">
        <v>111</v>
      </c>
      <c r="D63" s="188" t="s">
        <v>483</v>
      </c>
      <c r="E63" s="187" t="s">
        <v>1</v>
      </c>
      <c r="F63" s="187" t="s">
        <v>421</v>
      </c>
      <c r="G63" s="189">
        <v>1</v>
      </c>
      <c r="H63" s="190">
        <v>179</v>
      </c>
      <c r="I63" s="190">
        <v>179</v>
      </c>
      <c r="J63" s="190">
        <v>166</v>
      </c>
      <c r="K63" s="187" t="s">
        <v>422</v>
      </c>
      <c r="L63" s="191" t="s">
        <v>333</v>
      </c>
      <c r="M63" s="190">
        <v>0</v>
      </c>
      <c r="N63" s="190">
        <v>0</v>
      </c>
      <c r="O63" s="190">
        <v>0</v>
      </c>
      <c r="P63" s="187" t="s">
        <v>229</v>
      </c>
      <c r="Q63" s="183"/>
      <c r="R63" s="183"/>
      <c r="S63" s="183"/>
      <c r="T63" s="183"/>
      <c r="U63" s="183"/>
      <c r="V63" s="183"/>
      <c r="W63" s="183"/>
      <c r="X63" s="183"/>
      <c r="Y63" s="183"/>
      <c r="Z63" s="190" t="s">
        <v>433</v>
      </c>
      <c r="AA63" s="183"/>
      <c r="AB63" s="183"/>
      <c r="AC63" s="183"/>
      <c r="AD63" s="183"/>
      <c r="AE63" s="190" t="s">
        <v>319</v>
      </c>
      <c r="AF63" s="190" t="s">
        <v>380</v>
      </c>
      <c r="AG63" s="183"/>
      <c r="AH63" s="183"/>
      <c r="AI63" s="190" t="s">
        <v>549</v>
      </c>
      <c r="AJ63" s="183"/>
    </row>
    <row r="64" spans="1:36" x14ac:dyDescent="0.3">
      <c r="A64" s="185" t="s">
        <v>508</v>
      </c>
      <c r="B64" s="186">
        <v>46004</v>
      </c>
      <c r="C64" s="187" t="s">
        <v>98</v>
      </c>
      <c r="D64" s="188" t="s">
        <v>514</v>
      </c>
      <c r="E64" s="187" t="s">
        <v>1</v>
      </c>
      <c r="F64" s="187" t="s">
        <v>421</v>
      </c>
      <c r="G64" s="189">
        <v>0.88829999999999998</v>
      </c>
      <c r="H64" s="190">
        <v>179</v>
      </c>
      <c r="I64" s="190">
        <v>159</v>
      </c>
      <c r="J64" s="190">
        <v>128</v>
      </c>
      <c r="K64" s="187" t="s">
        <v>422</v>
      </c>
      <c r="L64" s="191" t="s">
        <v>162</v>
      </c>
      <c r="M64" s="190">
        <v>0</v>
      </c>
      <c r="N64" s="190">
        <v>0</v>
      </c>
      <c r="O64" s="190">
        <v>3</v>
      </c>
      <c r="P64" s="187" t="s">
        <v>331</v>
      </c>
      <c r="Q64" s="183"/>
      <c r="R64" s="183"/>
      <c r="S64" s="183"/>
      <c r="T64" s="183"/>
      <c r="U64" s="183"/>
      <c r="V64" s="183"/>
      <c r="W64" s="183"/>
      <c r="X64" s="183"/>
      <c r="Y64" s="183"/>
      <c r="Z64" s="190" t="s">
        <v>433</v>
      </c>
      <c r="AA64" s="183"/>
      <c r="AB64" s="183"/>
      <c r="AC64" s="183"/>
      <c r="AD64" s="190" t="s">
        <v>271</v>
      </c>
      <c r="AE64" s="190" t="s">
        <v>457</v>
      </c>
      <c r="AF64" s="190" t="s">
        <v>380</v>
      </c>
      <c r="AG64" s="183"/>
      <c r="AH64" s="183"/>
      <c r="AI64" s="190" t="s">
        <v>527</v>
      </c>
      <c r="AJ64" s="190" t="s">
        <v>461</v>
      </c>
    </row>
    <row r="65" spans="1:36" x14ac:dyDescent="0.3">
      <c r="A65" s="185" t="s">
        <v>517</v>
      </c>
      <c r="B65" s="186">
        <v>46005</v>
      </c>
      <c r="C65" s="187" t="s">
        <v>170</v>
      </c>
      <c r="D65" s="188" t="s">
        <v>518</v>
      </c>
      <c r="E65" s="187" t="s">
        <v>1</v>
      </c>
      <c r="F65" s="187" t="s">
        <v>421</v>
      </c>
      <c r="G65" s="189">
        <v>1.1453</v>
      </c>
      <c r="H65" s="190">
        <v>179</v>
      </c>
      <c r="I65" s="190">
        <v>205</v>
      </c>
      <c r="J65" s="190">
        <v>182</v>
      </c>
      <c r="K65" s="187" t="s">
        <v>422</v>
      </c>
      <c r="L65" s="191" t="s">
        <v>106</v>
      </c>
      <c r="M65" s="190">
        <v>0</v>
      </c>
      <c r="N65" s="190">
        <v>0</v>
      </c>
      <c r="O65" s="190">
        <v>157</v>
      </c>
      <c r="P65" s="187" t="s">
        <v>229</v>
      </c>
      <c r="Q65" s="183"/>
      <c r="R65" s="183"/>
      <c r="S65" s="183"/>
      <c r="T65" s="183"/>
      <c r="U65" s="183"/>
      <c r="V65" s="183"/>
      <c r="W65" s="183"/>
      <c r="X65" s="183"/>
      <c r="Y65" s="183"/>
      <c r="Z65" s="190" t="s">
        <v>441</v>
      </c>
      <c r="AA65" s="183"/>
      <c r="AB65" s="183"/>
      <c r="AC65" s="190" t="s">
        <v>541</v>
      </c>
      <c r="AD65" s="183"/>
      <c r="AE65" s="190" t="s">
        <v>457</v>
      </c>
      <c r="AF65" s="190" t="s">
        <v>380</v>
      </c>
      <c r="AG65" s="190" t="s">
        <v>519</v>
      </c>
      <c r="AH65" s="183"/>
      <c r="AI65" s="190" t="s">
        <v>550</v>
      </c>
      <c r="AJ65" s="183"/>
    </row>
    <row r="66" spans="1:36" x14ac:dyDescent="0.3">
      <c r="A66" s="185" t="s">
        <v>517</v>
      </c>
      <c r="B66" s="186">
        <v>46005</v>
      </c>
      <c r="C66" s="187" t="s">
        <v>111</v>
      </c>
      <c r="D66" s="188" t="s">
        <v>496</v>
      </c>
      <c r="E66" s="187" t="s">
        <v>1</v>
      </c>
      <c r="F66" s="187" t="s">
        <v>421</v>
      </c>
      <c r="G66" s="189">
        <v>0.65359999999999996</v>
      </c>
      <c r="H66" s="190">
        <v>179</v>
      </c>
      <c r="I66" s="190">
        <v>117</v>
      </c>
      <c r="J66" s="190">
        <v>89</v>
      </c>
      <c r="K66" s="187" t="s">
        <v>422</v>
      </c>
      <c r="L66" s="191" t="s">
        <v>162</v>
      </c>
      <c r="M66" s="190">
        <v>0</v>
      </c>
      <c r="N66" s="190">
        <v>0</v>
      </c>
      <c r="O66" s="190">
        <v>13</v>
      </c>
      <c r="P66" s="187" t="s">
        <v>339</v>
      </c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90" t="s">
        <v>269</v>
      </c>
      <c r="AF66" s="190" t="s">
        <v>445</v>
      </c>
      <c r="AG66" s="183"/>
      <c r="AH66" s="183"/>
      <c r="AI66" s="190" t="s">
        <v>551</v>
      </c>
      <c r="AJ66" s="183"/>
    </row>
    <row r="67" spans="1:36" x14ac:dyDescent="0.3">
      <c r="A67" s="185" t="s">
        <v>517</v>
      </c>
      <c r="B67" s="186">
        <v>46005</v>
      </c>
      <c r="C67" s="187" t="s">
        <v>242</v>
      </c>
      <c r="D67" s="188" t="s">
        <v>483</v>
      </c>
      <c r="E67" s="187" t="s">
        <v>1</v>
      </c>
      <c r="F67" s="187" t="s">
        <v>421</v>
      </c>
      <c r="G67" s="189">
        <v>7.7399999999999997E-2</v>
      </c>
      <c r="H67" s="190">
        <v>168</v>
      </c>
      <c r="I67" s="190">
        <v>13</v>
      </c>
      <c r="J67" s="190">
        <v>0</v>
      </c>
      <c r="K67" s="187" t="s">
        <v>422</v>
      </c>
      <c r="L67" s="191" t="s">
        <v>99</v>
      </c>
      <c r="M67" s="190">
        <v>0</v>
      </c>
      <c r="N67" s="190">
        <v>2</v>
      </c>
      <c r="O67" s="190">
        <v>8</v>
      </c>
      <c r="P67" s="187" t="s">
        <v>337</v>
      </c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90" t="s">
        <v>222</v>
      </c>
      <c r="AF67" s="190" t="s">
        <v>380</v>
      </c>
      <c r="AG67" s="183"/>
      <c r="AH67" s="183"/>
      <c r="AI67" s="183"/>
      <c r="AJ67" s="183"/>
    </row>
    <row r="68" spans="1:36" x14ac:dyDescent="0.3">
      <c r="A68" s="185" t="s">
        <v>517</v>
      </c>
      <c r="B68" s="186">
        <v>46005</v>
      </c>
      <c r="C68" s="187" t="s">
        <v>91</v>
      </c>
      <c r="D68" s="188" t="s">
        <v>521</v>
      </c>
      <c r="E68" s="187" t="s">
        <v>1</v>
      </c>
      <c r="F68" s="187" t="s">
        <v>421</v>
      </c>
      <c r="G68" s="189">
        <v>0.89390000000000003</v>
      </c>
      <c r="H68" s="190">
        <v>179</v>
      </c>
      <c r="I68" s="190">
        <v>160</v>
      </c>
      <c r="J68" s="190">
        <v>130</v>
      </c>
      <c r="K68" s="187" t="s">
        <v>422</v>
      </c>
      <c r="L68" s="191" t="s">
        <v>92</v>
      </c>
      <c r="M68" s="190">
        <v>3</v>
      </c>
      <c r="N68" s="190">
        <v>3</v>
      </c>
      <c r="O68" s="190">
        <v>12</v>
      </c>
      <c r="P68" s="187" t="s">
        <v>172</v>
      </c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90" t="s">
        <v>444</v>
      </c>
      <c r="AF68" s="190" t="s">
        <v>380</v>
      </c>
      <c r="AG68" s="190" t="s">
        <v>552</v>
      </c>
      <c r="AH68" s="183"/>
      <c r="AI68" s="190" t="s">
        <v>454</v>
      </c>
      <c r="AJ68" s="183"/>
    </row>
    <row r="69" spans="1:36" x14ac:dyDescent="0.3">
      <c r="A69" s="185" t="s">
        <v>517</v>
      </c>
      <c r="B69" s="186">
        <v>46005</v>
      </c>
      <c r="C69" s="187" t="s">
        <v>98</v>
      </c>
      <c r="D69" s="188" t="s">
        <v>524</v>
      </c>
      <c r="E69" s="187" t="s">
        <v>1</v>
      </c>
      <c r="F69" s="187" t="s">
        <v>421</v>
      </c>
      <c r="G69" s="189">
        <v>0.68159999999999998</v>
      </c>
      <c r="H69" s="190">
        <v>179</v>
      </c>
      <c r="I69" s="190">
        <v>122</v>
      </c>
      <c r="J69" s="190">
        <v>95</v>
      </c>
      <c r="K69" s="187" t="s">
        <v>422</v>
      </c>
      <c r="L69" s="191" t="s">
        <v>162</v>
      </c>
      <c r="M69" s="190">
        <v>0</v>
      </c>
      <c r="N69" s="190">
        <v>0</v>
      </c>
      <c r="O69" s="190">
        <v>7</v>
      </c>
      <c r="P69" s="187" t="s">
        <v>167</v>
      </c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90" t="s">
        <v>322</v>
      </c>
      <c r="AE69" s="190" t="s">
        <v>457</v>
      </c>
      <c r="AF69" s="190" t="s">
        <v>380</v>
      </c>
      <c r="AG69" s="183"/>
      <c r="AH69" s="183"/>
      <c r="AI69" s="190" t="s">
        <v>553</v>
      </c>
      <c r="AJ69" s="183"/>
    </row>
    <row r="70" spans="1:36" x14ac:dyDescent="0.3">
      <c r="A70" s="185" t="s">
        <v>419</v>
      </c>
      <c r="B70" s="186">
        <v>46006</v>
      </c>
      <c r="C70" s="187" t="s">
        <v>105</v>
      </c>
      <c r="D70" s="188" t="s">
        <v>420</v>
      </c>
      <c r="E70" s="187" t="s">
        <v>1</v>
      </c>
      <c r="F70" s="187" t="s">
        <v>421</v>
      </c>
      <c r="G70" s="189">
        <v>0.84360000000000002</v>
      </c>
      <c r="H70" s="190">
        <v>179</v>
      </c>
      <c r="I70" s="190">
        <v>151</v>
      </c>
      <c r="J70" s="190">
        <v>134</v>
      </c>
      <c r="K70" s="187" t="s">
        <v>422</v>
      </c>
      <c r="L70" s="191" t="s">
        <v>345</v>
      </c>
      <c r="M70" s="190">
        <v>0</v>
      </c>
      <c r="N70" s="190">
        <v>0</v>
      </c>
      <c r="O70" s="190">
        <v>0</v>
      </c>
      <c r="P70" s="187" t="s">
        <v>239</v>
      </c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90" t="s">
        <v>237</v>
      </c>
      <c r="AF70" s="190" t="s">
        <v>380</v>
      </c>
      <c r="AG70" s="183"/>
      <c r="AH70" s="183"/>
      <c r="AI70" s="190" t="s">
        <v>528</v>
      </c>
      <c r="AJ70" s="190" t="s">
        <v>448</v>
      </c>
    </row>
    <row r="71" spans="1:36" x14ac:dyDescent="0.3">
      <c r="A71" s="185" t="s">
        <v>419</v>
      </c>
      <c r="B71" s="186">
        <v>46006</v>
      </c>
      <c r="C71" s="187" t="s">
        <v>111</v>
      </c>
      <c r="D71" s="188" t="s">
        <v>427</v>
      </c>
      <c r="E71" s="187" t="s">
        <v>1</v>
      </c>
      <c r="F71" s="187" t="s">
        <v>421</v>
      </c>
      <c r="G71" s="189">
        <v>0.37430000000000002</v>
      </c>
      <c r="H71" s="190">
        <v>179</v>
      </c>
      <c r="I71" s="190">
        <v>67</v>
      </c>
      <c r="J71" s="190">
        <v>45</v>
      </c>
      <c r="K71" s="187" t="s">
        <v>422</v>
      </c>
      <c r="L71" s="191" t="s">
        <v>112</v>
      </c>
      <c r="M71" s="190">
        <v>0</v>
      </c>
      <c r="N71" s="190">
        <v>0</v>
      </c>
      <c r="O71" s="190">
        <v>5</v>
      </c>
      <c r="P71" s="187" t="s">
        <v>269</v>
      </c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90" t="s">
        <v>494</v>
      </c>
      <c r="AF71" s="190" t="s">
        <v>380</v>
      </c>
      <c r="AG71" s="183"/>
      <c r="AH71" s="183"/>
      <c r="AI71" s="190" t="s">
        <v>505</v>
      </c>
      <c r="AJ71" s="183"/>
    </row>
    <row r="72" spans="1:36" x14ac:dyDescent="0.3">
      <c r="A72" s="185" t="s">
        <v>419</v>
      </c>
      <c r="B72" s="186">
        <v>46006</v>
      </c>
      <c r="C72" s="187" t="s">
        <v>98</v>
      </c>
      <c r="D72" s="188" t="s">
        <v>432</v>
      </c>
      <c r="E72" s="187" t="s">
        <v>1</v>
      </c>
      <c r="F72" s="187" t="s">
        <v>421</v>
      </c>
      <c r="G72" s="189">
        <v>0.4637</v>
      </c>
      <c r="H72" s="190">
        <v>179</v>
      </c>
      <c r="I72" s="190">
        <v>83</v>
      </c>
      <c r="J72" s="190">
        <v>51</v>
      </c>
      <c r="K72" s="187" t="s">
        <v>422</v>
      </c>
      <c r="L72" s="191" t="s">
        <v>162</v>
      </c>
      <c r="M72" s="190">
        <v>0</v>
      </c>
      <c r="N72" s="190">
        <v>0</v>
      </c>
      <c r="O72" s="190">
        <v>47</v>
      </c>
      <c r="P72" s="187" t="s">
        <v>167</v>
      </c>
      <c r="Q72" s="183"/>
      <c r="R72" s="183"/>
      <c r="S72" s="183"/>
      <c r="T72" s="183"/>
      <c r="U72" s="183"/>
      <c r="V72" s="183"/>
      <c r="W72" s="183"/>
      <c r="X72" s="183"/>
      <c r="Y72" s="183"/>
      <c r="Z72" s="190" t="s">
        <v>455</v>
      </c>
      <c r="AA72" s="183"/>
      <c r="AB72" s="183"/>
      <c r="AC72" s="183"/>
      <c r="AD72" s="190" t="s">
        <v>167</v>
      </c>
      <c r="AE72" s="190" t="s">
        <v>457</v>
      </c>
      <c r="AF72" s="190" t="s">
        <v>380</v>
      </c>
      <c r="AG72" s="183"/>
      <c r="AH72" s="183"/>
      <c r="AI72" s="190" t="s">
        <v>554</v>
      </c>
      <c r="AJ72" s="183"/>
    </row>
    <row r="73" spans="1:36" x14ac:dyDescent="0.3">
      <c r="A73" s="185" t="s">
        <v>419</v>
      </c>
      <c r="B73" s="186">
        <v>46006</v>
      </c>
      <c r="C73" s="187" t="s">
        <v>91</v>
      </c>
      <c r="D73" s="188" t="s">
        <v>440</v>
      </c>
      <c r="E73" s="187" t="s">
        <v>1</v>
      </c>
      <c r="F73" s="187" t="s">
        <v>421</v>
      </c>
      <c r="G73" s="189">
        <v>0.78210000000000002</v>
      </c>
      <c r="H73" s="190">
        <v>179</v>
      </c>
      <c r="I73" s="190">
        <v>140</v>
      </c>
      <c r="J73" s="190">
        <v>115</v>
      </c>
      <c r="K73" s="187" t="s">
        <v>422</v>
      </c>
      <c r="L73" s="191" t="s">
        <v>162</v>
      </c>
      <c r="M73" s="190">
        <v>0</v>
      </c>
      <c r="N73" s="190">
        <v>0</v>
      </c>
      <c r="O73" s="190">
        <v>58</v>
      </c>
      <c r="P73" s="187" t="s">
        <v>208</v>
      </c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90" t="s">
        <v>208</v>
      </c>
      <c r="AF73" s="190" t="s">
        <v>445</v>
      </c>
      <c r="AG73" s="183"/>
      <c r="AH73" s="183"/>
      <c r="AI73" s="190" t="s">
        <v>555</v>
      </c>
      <c r="AJ73" s="183"/>
    </row>
    <row r="74" spans="1:36" x14ac:dyDescent="0.3">
      <c r="A74" s="185" t="s">
        <v>449</v>
      </c>
      <c r="B74" s="186">
        <v>46007</v>
      </c>
      <c r="C74" s="187" t="s">
        <v>166</v>
      </c>
      <c r="D74" s="188" t="s">
        <v>450</v>
      </c>
      <c r="E74" s="187" t="s">
        <v>1</v>
      </c>
      <c r="F74" s="187" t="s">
        <v>421</v>
      </c>
      <c r="G74" s="189">
        <v>8.3799999999999999E-2</v>
      </c>
      <c r="H74" s="190">
        <v>179</v>
      </c>
      <c r="I74" s="190">
        <v>15</v>
      </c>
      <c r="J74" s="190">
        <v>0</v>
      </c>
      <c r="K74" s="187" t="s">
        <v>422</v>
      </c>
      <c r="L74" s="191" t="s">
        <v>106</v>
      </c>
      <c r="M74" s="190">
        <v>0</v>
      </c>
      <c r="N74" s="190">
        <v>0</v>
      </c>
      <c r="O74" s="190">
        <v>7</v>
      </c>
      <c r="P74" s="187" t="s">
        <v>205</v>
      </c>
      <c r="Q74" s="183"/>
      <c r="R74" s="183"/>
      <c r="S74" s="183"/>
      <c r="T74" s="183"/>
      <c r="U74" s="183"/>
      <c r="V74" s="183"/>
      <c r="W74" s="183"/>
      <c r="X74" s="183"/>
      <c r="Y74" s="183"/>
      <c r="Z74" s="190" t="s">
        <v>455</v>
      </c>
      <c r="AA74" s="183"/>
      <c r="AB74" s="183"/>
      <c r="AC74" s="183"/>
      <c r="AD74" s="183"/>
      <c r="AE74" s="190" t="s">
        <v>319</v>
      </c>
      <c r="AF74" s="190" t="s">
        <v>425</v>
      </c>
      <c r="AG74" s="183"/>
      <c r="AH74" s="183"/>
      <c r="AI74" s="183"/>
      <c r="AJ74" s="183"/>
    </row>
    <row r="75" spans="1:36" x14ac:dyDescent="0.3">
      <c r="A75" s="185" t="s">
        <v>449</v>
      </c>
      <c r="B75" s="186">
        <v>46007</v>
      </c>
      <c r="C75" s="187" t="s">
        <v>105</v>
      </c>
      <c r="D75" s="188" t="s">
        <v>452</v>
      </c>
      <c r="E75" s="187" t="s">
        <v>1</v>
      </c>
      <c r="F75" s="187" t="s">
        <v>421</v>
      </c>
      <c r="G75" s="189">
        <v>0.11169999999999999</v>
      </c>
      <c r="H75" s="190">
        <v>179</v>
      </c>
      <c r="I75" s="190">
        <v>20</v>
      </c>
      <c r="J75" s="190">
        <v>0</v>
      </c>
      <c r="K75" s="187" t="s">
        <v>422</v>
      </c>
      <c r="L75" s="191" t="s">
        <v>99</v>
      </c>
      <c r="M75" s="190">
        <v>0</v>
      </c>
      <c r="N75" s="190">
        <v>1</v>
      </c>
      <c r="O75" s="190">
        <v>2</v>
      </c>
      <c r="P75" s="187" t="s">
        <v>205</v>
      </c>
      <c r="Q75" s="183"/>
      <c r="R75" s="183"/>
      <c r="S75" s="183"/>
      <c r="T75" s="183"/>
      <c r="U75" s="183"/>
      <c r="V75" s="183"/>
      <c r="W75" s="183"/>
      <c r="X75" s="183"/>
      <c r="Y75" s="183"/>
      <c r="Z75" s="190" t="s">
        <v>433</v>
      </c>
      <c r="AA75" s="183"/>
      <c r="AB75" s="183"/>
      <c r="AC75" s="183"/>
      <c r="AD75" s="183"/>
      <c r="AE75" s="190" t="s">
        <v>337</v>
      </c>
      <c r="AF75" s="190" t="s">
        <v>425</v>
      </c>
      <c r="AG75" s="183"/>
      <c r="AH75" s="183"/>
      <c r="AI75" s="183"/>
      <c r="AJ75" s="183"/>
    </row>
    <row r="76" spans="1:36" x14ac:dyDescent="0.3">
      <c r="A76" s="185" t="s">
        <v>449</v>
      </c>
      <c r="B76" s="186">
        <v>46007</v>
      </c>
      <c r="C76" s="187" t="s">
        <v>98</v>
      </c>
      <c r="D76" s="188" t="s">
        <v>432</v>
      </c>
      <c r="E76" s="187" t="s">
        <v>1</v>
      </c>
      <c r="F76" s="187" t="s">
        <v>421</v>
      </c>
      <c r="G76" s="189">
        <v>0.37990000000000002</v>
      </c>
      <c r="H76" s="190">
        <v>179</v>
      </c>
      <c r="I76" s="190">
        <v>68</v>
      </c>
      <c r="J76" s="190">
        <v>45</v>
      </c>
      <c r="K76" s="187" t="s">
        <v>422</v>
      </c>
      <c r="L76" s="191" t="s">
        <v>99</v>
      </c>
      <c r="M76" s="190">
        <v>0</v>
      </c>
      <c r="N76" s="190">
        <v>2</v>
      </c>
      <c r="O76" s="190">
        <v>10</v>
      </c>
      <c r="P76" s="187" t="s">
        <v>303</v>
      </c>
      <c r="Q76" s="183"/>
      <c r="R76" s="183"/>
      <c r="S76" s="183"/>
      <c r="T76" s="183"/>
      <c r="U76" s="183"/>
      <c r="V76" s="183"/>
      <c r="W76" s="183"/>
      <c r="X76" s="183"/>
      <c r="Y76" s="183"/>
      <c r="Z76" s="190" t="s">
        <v>441</v>
      </c>
      <c r="AA76" s="183"/>
      <c r="AB76" s="183"/>
      <c r="AC76" s="183"/>
      <c r="AD76" s="183"/>
      <c r="AE76" s="190" t="s">
        <v>222</v>
      </c>
      <c r="AF76" s="190" t="s">
        <v>556</v>
      </c>
      <c r="AG76" s="183"/>
      <c r="AH76" s="183"/>
      <c r="AI76" s="190" t="s">
        <v>505</v>
      </c>
      <c r="AJ76" s="190" t="s">
        <v>533</v>
      </c>
    </row>
    <row r="77" spans="1:36" x14ac:dyDescent="0.3">
      <c r="A77" s="185" t="s">
        <v>449</v>
      </c>
      <c r="B77" s="186">
        <v>46007</v>
      </c>
      <c r="C77" s="187" t="s">
        <v>91</v>
      </c>
      <c r="D77" s="188" t="s">
        <v>459</v>
      </c>
      <c r="E77" s="187" t="s">
        <v>1</v>
      </c>
      <c r="F77" s="187" t="s">
        <v>421</v>
      </c>
      <c r="G77" s="189">
        <v>0.44130000000000003</v>
      </c>
      <c r="H77" s="190">
        <v>179</v>
      </c>
      <c r="I77" s="190">
        <v>79</v>
      </c>
      <c r="J77" s="190">
        <v>60</v>
      </c>
      <c r="K77" s="187" t="s">
        <v>422</v>
      </c>
      <c r="L77" s="191" t="s">
        <v>92</v>
      </c>
      <c r="M77" s="190">
        <v>1</v>
      </c>
      <c r="N77" s="190">
        <v>0</v>
      </c>
      <c r="O77" s="190">
        <v>23</v>
      </c>
      <c r="P77" s="187" t="s">
        <v>356</v>
      </c>
      <c r="Q77" s="183"/>
      <c r="R77" s="183"/>
      <c r="S77" s="183"/>
      <c r="T77" s="183"/>
      <c r="U77" s="183"/>
      <c r="V77" s="183"/>
      <c r="W77" s="183"/>
      <c r="X77" s="183"/>
      <c r="Y77" s="183"/>
      <c r="Z77" s="190" t="s">
        <v>433</v>
      </c>
      <c r="AA77" s="183"/>
      <c r="AB77" s="183"/>
      <c r="AC77" s="183"/>
      <c r="AD77" s="183"/>
      <c r="AE77" s="190" t="s">
        <v>362</v>
      </c>
      <c r="AF77" s="190" t="s">
        <v>474</v>
      </c>
      <c r="AG77" s="183"/>
      <c r="AH77" s="183"/>
      <c r="AI77" s="190" t="s">
        <v>557</v>
      </c>
      <c r="AJ77" s="183"/>
    </row>
    <row r="78" spans="1:36" x14ac:dyDescent="0.3">
      <c r="A78" s="185" t="s">
        <v>449</v>
      </c>
      <c r="B78" s="186">
        <v>46007</v>
      </c>
      <c r="C78" s="187" t="s">
        <v>170</v>
      </c>
      <c r="D78" s="188" t="s">
        <v>462</v>
      </c>
      <c r="E78" s="187" t="s">
        <v>1</v>
      </c>
      <c r="F78" s="187" t="s">
        <v>421</v>
      </c>
      <c r="G78" s="189">
        <v>0.34079999999999999</v>
      </c>
      <c r="H78" s="190">
        <v>179</v>
      </c>
      <c r="I78" s="190">
        <v>61</v>
      </c>
      <c r="J78" s="190">
        <v>45</v>
      </c>
      <c r="K78" s="187" t="s">
        <v>422</v>
      </c>
      <c r="L78" s="191" t="s">
        <v>99</v>
      </c>
      <c r="M78" s="190">
        <v>0</v>
      </c>
      <c r="N78" s="190">
        <v>2</v>
      </c>
      <c r="O78" s="190">
        <v>4</v>
      </c>
      <c r="P78" s="187" t="s">
        <v>203</v>
      </c>
      <c r="Q78" s="183"/>
      <c r="R78" s="183"/>
      <c r="S78" s="183"/>
      <c r="T78" s="183"/>
      <c r="U78" s="183"/>
      <c r="V78" s="183"/>
      <c r="W78" s="183"/>
      <c r="X78" s="183"/>
      <c r="Y78" s="183"/>
      <c r="Z78" s="190" t="s">
        <v>441</v>
      </c>
      <c r="AA78" s="183"/>
      <c r="AB78" s="183"/>
      <c r="AC78" s="183"/>
      <c r="AD78" s="183"/>
      <c r="AE78" s="190" t="s">
        <v>222</v>
      </c>
      <c r="AF78" s="190" t="s">
        <v>504</v>
      </c>
      <c r="AG78" s="183"/>
      <c r="AH78" s="183"/>
      <c r="AI78" s="190" t="s">
        <v>505</v>
      </c>
      <c r="AJ78" s="183"/>
    </row>
    <row r="79" spans="1:36" x14ac:dyDescent="0.3">
      <c r="A79" s="185" t="s">
        <v>449</v>
      </c>
      <c r="B79" s="186">
        <v>46007</v>
      </c>
      <c r="C79" s="187" t="s">
        <v>111</v>
      </c>
      <c r="D79" s="188" t="s">
        <v>465</v>
      </c>
      <c r="E79" s="187" t="s">
        <v>1</v>
      </c>
      <c r="F79" s="187" t="s">
        <v>421</v>
      </c>
      <c r="G79" s="189">
        <v>0.19550000000000001</v>
      </c>
      <c r="H79" s="190">
        <v>179</v>
      </c>
      <c r="I79" s="190">
        <v>35</v>
      </c>
      <c r="J79" s="190">
        <v>23</v>
      </c>
      <c r="K79" s="187" t="s">
        <v>422</v>
      </c>
      <c r="L79" s="191" t="s">
        <v>190</v>
      </c>
      <c r="M79" s="190">
        <v>0</v>
      </c>
      <c r="N79" s="190">
        <v>0</v>
      </c>
      <c r="O79" s="190">
        <v>5</v>
      </c>
      <c r="P79" s="187" t="s">
        <v>205</v>
      </c>
      <c r="Q79" s="183"/>
      <c r="R79" s="183"/>
      <c r="S79" s="183"/>
      <c r="T79" s="183"/>
      <c r="U79" s="183"/>
      <c r="V79" s="183"/>
      <c r="W79" s="183"/>
      <c r="X79" s="183"/>
      <c r="Y79" s="183"/>
      <c r="Z79" s="190" t="s">
        <v>441</v>
      </c>
      <c r="AA79" s="183"/>
      <c r="AB79" s="183"/>
      <c r="AC79" s="183"/>
      <c r="AD79" s="183"/>
      <c r="AE79" s="190" t="s">
        <v>319</v>
      </c>
      <c r="AF79" s="190" t="s">
        <v>380</v>
      </c>
      <c r="AG79" s="183"/>
      <c r="AH79" s="183"/>
      <c r="AI79" s="190" t="s">
        <v>558</v>
      </c>
      <c r="AJ79" s="183"/>
    </row>
    <row r="80" spans="1:36" x14ac:dyDescent="0.3">
      <c r="A80" s="185" t="s">
        <v>468</v>
      </c>
      <c r="B80" s="186">
        <v>46008</v>
      </c>
      <c r="C80" s="187" t="s">
        <v>111</v>
      </c>
      <c r="D80" s="188" t="s">
        <v>559</v>
      </c>
      <c r="E80" s="187" t="s">
        <v>1</v>
      </c>
      <c r="F80" s="187" t="s">
        <v>421</v>
      </c>
      <c r="G80" s="189">
        <v>0.1061</v>
      </c>
      <c r="H80" s="190">
        <v>179</v>
      </c>
      <c r="I80" s="190">
        <v>19</v>
      </c>
      <c r="J80" s="190">
        <v>2</v>
      </c>
      <c r="K80" s="187" t="s">
        <v>422</v>
      </c>
      <c r="L80" s="191" t="s">
        <v>92</v>
      </c>
      <c r="M80" s="190">
        <v>1</v>
      </c>
      <c r="N80" s="190">
        <v>4</v>
      </c>
      <c r="O80" s="190">
        <v>9</v>
      </c>
      <c r="P80" s="187" t="s">
        <v>359</v>
      </c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90" t="s">
        <v>339</v>
      </c>
      <c r="AF80" s="190" t="s">
        <v>466</v>
      </c>
      <c r="AG80" s="190" t="s">
        <v>560</v>
      </c>
      <c r="AH80" s="183"/>
      <c r="AI80" s="183"/>
      <c r="AJ80" s="183"/>
    </row>
    <row r="81" spans="1:36" x14ac:dyDescent="0.3">
      <c r="A81" s="185" t="s">
        <v>468</v>
      </c>
      <c r="B81" s="186">
        <v>46008</v>
      </c>
      <c r="C81" s="187" t="s">
        <v>91</v>
      </c>
      <c r="D81" s="188" t="s">
        <v>473</v>
      </c>
      <c r="E81" s="187" t="s">
        <v>1</v>
      </c>
      <c r="F81" s="187" t="s">
        <v>421</v>
      </c>
      <c r="G81" s="189">
        <v>0.53069999999999995</v>
      </c>
      <c r="H81" s="190">
        <v>179</v>
      </c>
      <c r="I81" s="190">
        <v>95</v>
      </c>
      <c r="J81" s="190">
        <v>75</v>
      </c>
      <c r="K81" s="187" t="s">
        <v>422</v>
      </c>
      <c r="L81" s="191" t="s">
        <v>99</v>
      </c>
      <c r="M81" s="190">
        <v>0</v>
      </c>
      <c r="N81" s="190">
        <v>1</v>
      </c>
      <c r="O81" s="190">
        <v>7</v>
      </c>
      <c r="P81" s="187" t="s">
        <v>362</v>
      </c>
      <c r="Q81" s="183"/>
      <c r="R81" s="183"/>
      <c r="S81" s="183"/>
      <c r="T81" s="183"/>
      <c r="U81" s="183"/>
      <c r="V81" s="183"/>
      <c r="W81" s="183"/>
      <c r="X81" s="183"/>
      <c r="Y81" s="183"/>
      <c r="Z81" s="190" t="s">
        <v>512</v>
      </c>
      <c r="AA81" s="183"/>
      <c r="AB81" s="183"/>
      <c r="AC81" s="183"/>
      <c r="AD81" s="183"/>
      <c r="AE81" s="190" t="s">
        <v>237</v>
      </c>
      <c r="AF81" s="190" t="s">
        <v>380</v>
      </c>
      <c r="AG81" s="190" t="s">
        <v>561</v>
      </c>
      <c r="AH81" s="183"/>
      <c r="AI81" s="190" t="s">
        <v>505</v>
      </c>
      <c r="AJ81" s="183"/>
    </row>
    <row r="82" spans="1:36" x14ac:dyDescent="0.3">
      <c r="A82" s="185" t="s">
        <v>468</v>
      </c>
      <c r="B82" s="186">
        <v>46008</v>
      </c>
      <c r="C82" s="187" t="s">
        <v>98</v>
      </c>
      <c r="D82" s="188" t="s">
        <v>432</v>
      </c>
      <c r="E82" s="187" t="s">
        <v>1</v>
      </c>
      <c r="F82" s="187" t="s">
        <v>421</v>
      </c>
      <c r="G82" s="189">
        <v>0.79890000000000005</v>
      </c>
      <c r="H82" s="190">
        <v>179</v>
      </c>
      <c r="I82" s="190">
        <v>143</v>
      </c>
      <c r="J82" s="190">
        <v>120</v>
      </c>
      <c r="K82" s="187" t="s">
        <v>422</v>
      </c>
      <c r="L82" s="191" t="s">
        <v>92</v>
      </c>
      <c r="M82" s="190">
        <v>1</v>
      </c>
      <c r="N82" s="190">
        <v>0</v>
      </c>
      <c r="O82" s="190">
        <v>7</v>
      </c>
      <c r="P82" s="187" t="s">
        <v>269</v>
      </c>
      <c r="Q82" s="183"/>
      <c r="R82" s="183"/>
      <c r="S82" s="183"/>
      <c r="T82" s="183"/>
      <c r="U82" s="183"/>
      <c r="V82" s="183"/>
      <c r="W82" s="183"/>
      <c r="X82" s="183"/>
      <c r="Y82" s="183"/>
      <c r="Z82" s="190" t="s">
        <v>441</v>
      </c>
      <c r="AA82" s="183"/>
      <c r="AB82" s="183"/>
      <c r="AC82" s="183"/>
      <c r="AD82" s="183"/>
      <c r="AE82" s="190" t="s">
        <v>494</v>
      </c>
      <c r="AF82" s="190" t="s">
        <v>380</v>
      </c>
      <c r="AG82" s="190" t="s">
        <v>515</v>
      </c>
      <c r="AH82" s="183"/>
      <c r="AI82" s="190" t="s">
        <v>447</v>
      </c>
      <c r="AJ82" s="183"/>
    </row>
    <row r="83" spans="1:36" x14ac:dyDescent="0.3">
      <c r="A83" s="185" t="s">
        <v>476</v>
      </c>
      <c r="B83" s="186">
        <v>46009</v>
      </c>
      <c r="C83" s="187" t="s">
        <v>170</v>
      </c>
      <c r="D83" s="188" t="s">
        <v>477</v>
      </c>
      <c r="E83" s="187" t="s">
        <v>1</v>
      </c>
      <c r="F83" s="187" t="s">
        <v>421</v>
      </c>
      <c r="G83" s="189">
        <v>0.16200000000000001</v>
      </c>
      <c r="H83" s="190">
        <v>179</v>
      </c>
      <c r="I83" s="190">
        <v>29</v>
      </c>
      <c r="J83" s="190">
        <v>17</v>
      </c>
      <c r="K83" s="187" t="s">
        <v>422</v>
      </c>
      <c r="L83" s="191" t="s">
        <v>99</v>
      </c>
      <c r="M83" s="190">
        <v>0</v>
      </c>
      <c r="N83" s="190">
        <v>2</v>
      </c>
      <c r="O83" s="190">
        <v>4</v>
      </c>
      <c r="P83" s="187" t="s">
        <v>205</v>
      </c>
      <c r="Q83" s="183"/>
      <c r="R83" s="183"/>
      <c r="S83" s="183"/>
      <c r="T83" s="183"/>
      <c r="U83" s="183"/>
      <c r="V83" s="183"/>
      <c r="W83" s="183"/>
      <c r="X83" s="183"/>
      <c r="Y83" s="183"/>
      <c r="Z83" s="190" t="s">
        <v>433</v>
      </c>
      <c r="AA83" s="183"/>
      <c r="AB83" s="183"/>
      <c r="AC83" s="183"/>
      <c r="AD83" s="183"/>
      <c r="AE83" s="183"/>
      <c r="AF83" s="190" t="s">
        <v>380</v>
      </c>
      <c r="AG83" s="183"/>
      <c r="AH83" s="183"/>
      <c r="AI83" s="190" t="s">
        <v>562</v>
      </c>
      <c r="AJ83" s="183"/>
    </row>
    <row r="84" spans="1:36" x14ac:dyDescent="0.3">
      <c r="A84" s="185" t="s">
        <v>476</v>
      </c>
      <c r="B84" s="186">
        <v>46009</v>
      </c>
      <c r="C84" s="187" t="s">
        <v>166</v>
      </c>
      <c r="D84" s="188" t="s">
        <v>480</v>
      </c>
      <c r="E84" s="187" t="s">
        <v>1</v>
      </c>
      <c r="F84" s="187" t="s">
        <v>421</v>
      </c>
      <c r="G84" s="189">
        <v>0.1061</v>
      </c>
      <c r="H84" s="190">
        <v>179</v>
      </c>
      <c r="I84" s="190">
        <v>19</v>
      </c>
      <c r="J84" s="190">
        <v>0</v>
      </c>
      <c r="K84" s="187" t="s">
        <v>422</v>
      </c>
      <c r="L84" s="191" t="s">
        <v>106</v>
      </c>
      <c r="M84" s="190">
        <v>0</v>
      </c>
      <c r="N84" s="190">
        <v>0</v>
      </c>
      <c r="O84" s="190">
        <v>7</v>
      </c>
      <c r="P84" s="187" t="s">
        <v>203</v>
      </c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90" t="s">
        <v>541</v>
      </c>
      <c r="AD84" s="183"/>
      <c r="AE84" s="190" t="s">
        <v>208</v>
      </c>
      <c r="AF84" s="190" t="s">
        <v>504</v>
      </c>
      <c r="AG84" s="183"/>
      <c r="AH84" s="183"/>
      <c r="AI84" s="183"/>
      <c r="AJ84" s="183"/>
    </row>
    <row r="85" spans="1:36" x14ac:dyDescent="0.3">
      <c r="A85" s="185" t="s">
        <v>476</v>
      </c>
      <c r="B85" s="186">
        <v>46009</v>
      </c>
      <c r="C85" s="187" t="s">
        <v>221</v>
      </c>
      <c r="D85" s="188" t="s">
        <v>481</v>
      </c>
      <c r="E85" s="187" t="s">
        <v>1</v>
      </c>
      <c r="F85" s="187" t="s">
        <v>421</v>
      </c>
      <c r="G85" s="189">
        <v>0.58660000000000001</v>
      </c>
      <c r="H85" s="190">
        <v>179</v>
      </c>
      <c r="I85" s="190">
        <v>105</v>
      </c>
      <c r="J85" s="190">
        <v>95</v>
      </c>
      <c r="K85" s="187" t="s">
        <v>422</v>
      </c>
      <c r="L85" s="191" t="s">
        <v>190</v>
      </c>
      <c r="M85" s="190">
        <v>0</v>
      </c>
      <c r="N85" s="190">
        <v>0</v>
      </c>
      <c r="O85" s="190">
        <v>1</v>
      </c>
      <c r="P85" s="187" t="s">
        <v>205</v>
      </c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90" t="s">
        <v>380</v>
      </c>
      <c r="AG85" s="190" t="s">
        <v>563</v>
      </c>
      <c r="AH85" s="183"/>
      <c r="AI85" s="183"/>
      <c r="AJ85" s="183"/>
    </row>
    <row r="86" spans="1:36" x14ac:dyDescent="0.3">
      <c r="A86" s="185" t="s">
        <v>476</v>
      </c>
      <c r="B86" s="186">
        <v>46009</v>
      </c>
      <c r="C86" s="187" t="s">
        <v>111</v>
      </c>
      <c r="D86" s="188" t="s">
        <v>483</v>
      </c>
      <c r="E86" s="187" t="s">
        <v>1</v>
      </c>
      <c r="F86" s="187" t="s">
        <v>421</v>
      </c>
      <c r="G86" s="189">
        <v>0.56420000000000003</v>
      </c>
      <c r="H86" s="190">
        <v>179</v>
      </c>
      <c r="I86" s="190">
        <v>101</v>
      </c>
      <c r="J86" s="190">
        <v>86</v>
      </c>
      <c r="K86" s="187" t="s">
        <v>422</v>
      </c>
      <c r="L86" s="191" t="s">
        <v>162</v>
      </c>
      <c r="M86" s="190">
        <v>0</v>
      </c>
      <c r="N86" s="190">
        <v>0</v>
      </c>
      <c r="O86" s="190">
        <v>52</v>
      </c>
      <c r="P86" s="187" t="s">
        <v>356</v>
      </c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90" t="s">
        <v>339</v>
      </c>
      <c r="AF86" s="190" t="s">
        <v>474</v>
      </c>
      <c r="AG86" s="183"/>
      <c r="AH86" s="183"/>
      <c r="AI86" s="190" t="s">
        <v>531</v>
      </c>
      <c r="AJ86" s="183"/>
    </row>
    <row r="87" spans="1:36" x14ac:dyDescent="0.3">
      <c r="A87" s="185" t="s">
        <v>476</v>
      </c>
      <c r="B87" s="186">
        <v>46009</v>
      </c>
      <c r="C87" s="187" t="s">
        <v>242</v>
      </c>
      <c r="D87" s="188" t="s">
        <v>486</v>
      </c>
      <c r="E87" s="187" t="s">
        <v>1</v>
      </c>
      <c r="F87" s="187" t="s">
        <v>421</v>
      </c>
      <c r="G87" s="189">
        <v>0.55310000000000004</v>
      </c>
      <c r="H87" s="190">
        <v>179</v>
      </c>
      <c r="I87" s="190">
        <v>99</v>
      </c>
      <c r="J87" s="190">
        <v>90</v>
      </c>
      <c r="K87" s="187" t="s">
        <v>422</v>
      </c>
      <c r="L87" s="191" t="s">
        <v>99</v>
      </c>
      <c r="M87" s="190">
        <v>0</v>
      </c>
      <c r="N87" s="190">
        <v>3</v>
      </c>
      <c r="O87" s="190">
        <v>3</v>
      </c>
      <c r="P87" s="187" t="s">
        <v>370</v>
      </c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90" t="s">
        <v>319</v>
      </c>
      <c r="AF87" s="190" t="s">
        <v>203</v>
      </c>
      <c r="AG87" s="183"/>
      <c r="AH87" s="183"/>
      <c r="AI87" s="190" t="s">
        <v>454</v>
      </c>
      <c r="AJ87" s="183"/>
    </row>
    <row r="88" spans="1:36" x14ac:dyDescent="0.3">
      <c r="A88" s="185" t="s">
        <v>476</v>
      </c>
      <c r="B88" s="186">
        <v>46009</v>
      </c>
      <c r="C88" s="187" t="s">
        <v>98</v>
      </c>
      <c r="D88" s="188" t="s">
        <v>487</v>
      </c>
      <c r="E88" s="187" t="s">
        <v>1</v>
      </c>
      <c r="F88" s="187" t="s">
        <v>421</v>
      </c>
      <c r="G88" s="189">
        <v>0.72070000000000001</v>
      </c>
      <c r="H88" s="190">
        <v>179</v>
      </c>
      <c r="I88" s="190">
        <v>129</v>
      </c>
      <c r="J88" s="190">
        <v>102</v>
      </c>
      <c r="K88" s="187" t="s">
        <v>422</v>
      </c>
      <c r="L88" s="191" t="s">
        <v>162</v>
      </c>
      <c r="M88" s="190">
        <v>0</v>
      </c>
      <c r="N88" s="190">
        <v>0</v>
      </c>
      <c r="O88" s="190">
        <v>5</v>
      </c>
      <c r="P88" s="187" t="s">
        <v>269</v>
      </c>
      <c r="Q88" s="183"/>
      <c r="R88" s="183"/>
      <c r="S88" s="183"/>
      <c r="T88" s="183"/>
      <c r="U88" s="183"/>
      <c r="V88" s="183"/>
      <c r="W88" s="183"/>
      <c r="X88" s="183"/>
      <c r="Y88" s="190" t="s">
        <v>545</v>
      </c>
      <c r="Z88" s="190" t="s">
        <v>441</v>
      </c>
      <c r="AA88" s="183"/>
      <c r="AB88" s="183"/>
      <c r="AC88" s="183"/>
      <c r="AD88" s="190" t="s">
        <v>424</v>
      </c>
      <c r="AE88" s="190" t="s">
        <v>494</v>
      </c>
      <c r="AF88" s="190" t="s">
        <v>380</v>
      </c>
      <c r="AG88" s="183"/>
      <c r="AH88" s="183"/>
      <c r="AI88" s="190" t="s">
        <v>564</v>
      </c>
      <c r="AJ88" s="183"/>
    </row>
    <row r="89" spans="1:36" x14ac:dyDescent="0.3">
      <c r="A89" s="185" t="s">
        <v>476</v>
      </c>
      <c r="B89" s="186">
        <v>46009</v>
      </c>
      <c r="C89" s="187" t="s">
        <v>105</v>
      </c>
      <c r="D89" s="188" t="s">
        <v>491</v>
      </c>
      <c r="E89" s="187" t="s">
        <v>1</v>
      </c>
      <c r="F89" s="187" t="s">
        <v>421</v>
      </c>
      <c r="G89" s="189">
        <v>0.16200000000000001</v>
      </c>
      <c r="H89" s="190">
        <v>179</v>
      </c>
      <c r="I89" s="190">
        <v>29</v>
      </c>
      <c r="J89" s="190">
        <v>0</v>
      </c>
      <c r="K89" s="187" t="s">
        <v>422</v>
      </c>
      <c r="L89" s="191" t="s">
        <v>190</v>
      </c>
      <c r="M89" s="190">
        <v>0</v>
      </c>
      <c r="N89" s="190">
        <v>0</v>
      </c>
      <c r="O89" s="190">
        <v>6</v>
      </c>
      <c r="P89" s="187" t="s">
        <v>167</v>
      </c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90" t="s">
        <v>167</v>
      </c>
      <c r="AE89" s="190" t="s">
        <v>457</v>
      </c>
      <c r="AF89" s="190" t="s">
        <v>380</v>
      </c>
      <c r="AG89" s="183"/>
      <c r="AH89" s="183"/>
      <c r="AI89" s="183"/>
      <c r="AJ89" s="183"/>
    </row>
    <row r="90" spans="1:36" x14ac:dyDescent="0.3">
      <c r="A90" s="185" t="s">
        <v>493</v>
      </c>
      <c r="B90" s="186">
        <v>46010</v>
      </c>
      <c r="C90" s="187" t="s">
        <v>170</v>
      </c>
      <c r="D90" s="188" t="s">
        <v>480</v>
      </c>
      <c r="E90" s="187" t="s">
        <v>1</v>
      </c>
      <c r="F90" s="187" t="s">
        <v>421</v>
      </c>
      <c r="G90" s="189">
        <v>9.5000000000000001E-2</v>
      </c>
      <c r="H90" s="190">
        <v>179</v>
      </c>
      <c r="I90" s="190">
        <v>17</v>
      </c>
      <c r="J90" s="190">
        <v>0</v>
      </c>
      <c r="K90" s="187" t="s">
        <v>422</v>
      </c>
      <c r="L90" s="191" t="s">
        <v>99</v>
      </c>
      <c r="M90" s="190">
        <v>0</v>
      </c>
      <c r="N90" s="190">
        <v>2</v>
      </c>
      <c r="O90" s="190">
        <v>5</v>
      </c>
      <c r="P90" s="187" t="s">
        <v>208</v>
      </c>
      <c r="Q90" s="183"/>
      <c r="R90" s="183"/>
      <c r="S90" s="183"/>
      <c r="T90" s="183"/>
      <c r="U90" s="183"/>
      <c r="V90" s="183"/>
      <c r="W90" s="183"/>
      <c r="X90" s="183"/>
      <c r="Y90" s="183"/>
      <c r="Z90" s="190" t="s">
        <v>441</v>
      </c>
      <c r="AA90" s="183"/>
      <c r="AB90" s="183"/>
      <c r="AC90" s="190" t="s">
        <v>471</v>
      </c>
      <c r="AD90" s="183"/>
      <c r="AE90" s="190" t="s">
        <v>208</v>
      </c>
      <c r="AF90" s="190" t="s">
        <v>380</v>
      </c>
      <c r="AG90" s="183"/>
      <c r="AH90" s="183"/>
      <c r="AI90" s="183"/>
      <c r="AJ90" s="183"/>
    </row>
    <row r="91" spans="1:36" x14ac:dyDescent="0.3">
      <c r="A91" s="185" t="s">
        <v>493</v>
      </c>
      <c r="B91" s="186">
        <v>46010</v>
      </c>
      <c r="C91" s="187" t="s">
        <v>111</v>
      </c>
      <c r="D91" s="188" t="s">
        <v>496</v>
      </c>
      <c r="E91" s="187" t="s">
        <v>1</v>
      </c>
      <c r="F91" s="187" t="s">
        <v>421</v>
      </c>
      <c r="G91" s="189">
        <v>5.5899999999999998E-2</v>
      </c>
      <c r="H91" s="190">
        <v>179</v>
      </c>
      <c r="I91" s="190">
        <v>10</v>
      </c>
      <c r="J91" s="190">
        <v>0</v>
      </c>
      <c r="K91" s="187" t="s">
        <v>422</v>
      </c>
      <c r="L91" s="191" t="s">
        <v>345</v>
      </c>
      <c r="M91" s="190">
        <v>0</v>
      </c>
      <c r="N91" s="190">
        <v>0</v>
      </c>
      <c r="O91" s="190">
        <v>0</v>
      </c>
      <c r="P91" s="187" t="s">
        <v>239</v>
      </c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90" t="s">
        <v>380</v>
      </c>
      <c r="AG91" s="183"/>
      <c r="AH91" s="183"/>
      <c r="AI91" s="183"/>
      <c r="AJ91" s="183"/>
    </row>
    <row r="92" spans="1:36" x14ac:dyDescent="0.3">
      <c r="A92" s="185" t="s">
        <v>493</v>
      </c>
      <c r="B92" s="186">
        <v>46010</v>
      </c>
      <c r="C92" s="187" t="s">
        <v>98</v>
      </c>
      <c r="D92" s="188" t="s">
        <v>498</v>
      </c>
      <c r="E92" s="187" t="s">
        <v>1</v>
      </c>
      <c r="F92" s="187" t="s">
        <v>421</v>
      </c>
      <c r="G92" s="189">
        <v>0.3352</v>
      </c>
      <c r="H92" s="190">
        <v>179</v>
      </c>
      <c r="I92" s="190">
        <v>60</v>
      </c>
      <c r="J92" s="190">
        <v>45</v>
      </c>
      <c r="K92" s="187" t="s">
        <v>422</v>
      </c>
      <c r="L92" s="191" t="s">
        <v>92</v>
      </c>
      <c r="M92" s="190">
        <v>2</v>
      </c>
      <c r="N92" s="190">
        <v>2</v>
      </c>
      <c r="O92" s="190">
        <v>4</v>
      </c>
      <c r="P92" s="187" t="s">
        <v>208</v>
      </c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90" t="s">
        <v>208</v>
      </c>
      <c r="AF92" s="190" t="s">
        <v>380</v>
      </c>
      <c r="AG92" s="183"/>
      <c r="AH92" s="183"/>
      <c r="AI92" s="190" t="s">
        <v>505</v>
      </c>
      <c r="AJ92" s="183"/>
    </row>
    <row r="93" spans="1:36" x14ac:dyDescent="0.3">
      <c r="A93" s="185" t="s">
        <v>493</v>
      </c>
      <c r="B93" s="186">
        <v>46010</v>
      </c>
      <c r="C93" s="187" t="s">
        <v>105</v>
      </c>
      <c r="D93" s="188" t="s">
        <v>432</v>
      </c>
      <c r="E93" s="187" t="s">
        <v>1</v>
      </c>
      <c r="F93" s="187" t="s">
        <v>421</v>
      </c>
      <c r="G93" s="189">
        <v>0.1229</v>
      </c>
      <c r="H93" s="190">
        <v>179</v>
      </c>
      <c r="I93" s="190">
        <v>22</v>
      </c>
      <c r="J93" s="190">
        <v>0</v>
      </c>
      <c r="K93" s="187" t="s">
        <v>422</v>
      </c>
      <c r="L93" s="191" t="s">
        <v>162</v>
      </c>
      <c r="M93" s="190">
        <v>0</v>
      </c>
      <c r="N93" s="190">
        <v>0</v>
      </c>
      <c r="O93" s="190">
        <v>7</v>
      </c>
      <c r="P93" s="187" t="s">
        <v>167</v>
      </c>
      <c r="Q93" s="183"/>
      <c r="R93" s="183"/>
      <c r="S93" s="183"/>
      <c r="T93" s="183"/>
      <c r="U93" s="183"/>
      <c r="V93" s="183"/>
      <c r="W93" s="183"/>
      <c r="X93" s="183"/>
      <c r="Y93" s="183"/>
      <c r="Z93" s="190" t="s">
        <v>433</v>
      </c>
      <c r="AA93" s="183"/>
      <c r="AB93" s="183"/>
      <c r="AC93" s="183"/>
      <c r="AD93" s="183"/>
      <c r="AE93" s="190" t="s">
        <v>457</v>
      </c>
      <c r="AF93" s="190" t="s">
        <v>380</v>
      </c>
      <c r="AG93" s="183"/>
      <c r="AH93" s="183"/>
      <c r="AI93" s="183"/>
      <c r="AJ93" s="183"/>
    </row>
    <row r="94" spans="1:36" x14ac:dyDescent="0.3">
      <c r="A94" s="185" t="s">
        <v>493</v>
      </c>
      <c r="B94" s="186">
        <v>46010</v>
      </c>
      <c r="C94" s="187" t="s">
        <v>166</v>
      </c>
      <c r="D94" s="188" t="s">
        <v>502</v>
      </c>
      <c r="E94" s="187" t="s">
        <v>1</v>
      </c>
      <c r="F94" s="187" t="s">
        <v>421</v>
      </c>
      <c r="G94" s="189">
        <v>0.18440000000000001</v>
      </c>
      <c r="H94" s="190">
        <v>179</v>
      </c>
      <c r="I94" s="190">
        <v>33</v>
      </c>
      <c r="J94" s="190">
        <v>0</v>
      </c>
      <c r="K94" s="187" t="s">
        <v>422</v>
      </c>
      <c r="L94" s="191" t="s">
        <v>99</v>
      </c>
      <c r="M94" s="190">
        <v>0</v>
      </c>
      <c r="N94" s="190">
        <v>2</v>
      </c>
      <c r="O94" s="190">
        <v>6</v>
      </c>
      <c r="P94" s="187" t="s">
        <v>93</v>
      </c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90" t="s">
        <v>541</v>
      </c>
      <c r="AD94" s="190" t="s">
        <v>436</v>
      </c>
      <c r="AE94" s="190" t="s">
        <v>457</v>
      </c>
      <c r="AF94" s="190" t="s">
        <v>380</v>
      </c>
      <c r="AG94" s="183"/>
      <c r="AH94" s="183"/>
      <c r="AI94" s="183"/>
      <c r="AJ94" s="183"/>
    </row>
    <row r="95" spans="1:36" x14ac:dyDescent="0.3">
      <c r="A95" s="185" t="s">
        <v>493</v>
      </c>
      <c r="B95" s="186">
        <v>46010</v>
      </c>
      <c r="C95" s="187" t="s">
        <v>91</v>
      </c>
      <c r="D95" s="188" t="s">
        <v>506</v>
      </c>
      <c r="E95" s="187" t="s">
        <v>1</v>
      </c>
      <c r="F95" s="187" t="s">
        <v>421</v>
      </c>
      <c r="G95" s="189">
        <v>0.42459999999999998</v>
      </c>
      <c r="H95" s="190">
        <v>179</v>
      </c>
      <c r="I95" s="190">
        <v>76</v>
      </c>
      <c r="J95" s="190">
        <v>45</v>
      </c>
      <c r="K95" s="187" t="s">
        <v>422</v>
      </c>
      <c r="L95" s="191" t="s">
        <v>99</v>
      </c>
      <c r="M95" s="190">
        <v>0</v>
      </c>
      <c r="N95" s="190">
        <v>2</v>
      </c>
      <c r="O95" s="190">
        <v>7</v>
      </c>
      <c r="P95" s="187" t="s">
        <v>188</v>
      </c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90" t="s">
        <v>436</v>
      </c>
      <c r="AE95" s="190" t="s">
        <v>457</v>
      </c>
      <c r="AF95" s="190" t="s">
        <v>380</v>
      </c>
      <c r="AG95" s="183"/>
      <c r="AH95" s="183"/>
      <c r="AI95" s="190" t="s">
        <v>505</v>
      </c>
      <c r="AJ95" s="183"/>
    </row>
    <row r="96" spans="1:36" x14ac:dyDescent="0.3">
      <c r="A96" s="185" t="s">
        <v>508</v>
      </c>
      <c r="B96" s="186">
        <v>46011</v>
      </c>
      <c r="C96" s="187" t="s">
        <v>221</v>
      </c>
      <c r="D96" s="188" t="s">
        <v>509</v>
      </c>
      <c r="E96" s="187" t="s">
        <v>1</v>
      </c>
      <c r="F96" s="187" t="s">
        <v>421</v>
      </c>
      <c r="G96" s="189">
        <v>0.41339999999999999</v>
      </c>
      <c r="H96" s="190">
        <v>179</v>
      </c>
      <c r="I96" s="190">
        <v>74</v>
      </c>
      <c r="J96" s="190">
        <v>46</v>
      </c>
      <c r="K96" s="187" t="s">
        <v>422</v>
      </c>
      <c r="L96" s="191" t="s">
        <v>92</v>
      </c>
      <c r="M96" s="190">
        <v>1</v>
      </c>
      <c r="N96" s="190">
        <v>3</v>
      </c>
      <c r="O96" s="190">
        <v>16</v>
      </c>
      <c r="P96" s="187" t="s">
        <v>172</v>
      </c>
      <c r="Q96" s="183"/>
      <c r="R96" s="183"/>
      <c r="S96" s="183"/>
      <c r="T96" s="183"/>
      <c r="U96" s="183"/>
      <c r="V96" s="183"/>
      <c r="W96" s="183"/>
      <c r="X96" s="183"/>
      <c r="Y96" s="183"/>
      <c r="Z96" s="190" t="s">
        <v>433</v>
      </c>
      <c r="AA96" s="183"/>
      <c r="AB96" s="183"/>
      <c r="AC96" s="183"/>
      <c r="AD96" s="190" t="s">
        <v>271</v>
      </c>
      <c r="AE96" s="190" t="s">
        <v>457</v>
      </c>
      <c r="AF96" s="190" t="s">
        <v>380</v>
      </c>
      <c r="AG96" s="190" t="s">
        <v>515</v>
      </c>
      <c r="AH96" s="183"/>
      <c r="AI96" s="190" t="s">
        <v>565</v>
      </c>
      <c r="AJ96" s="183"/>
    </row>
    <row r="97" spans="1:36" x14ac:dyDescent="0.3">
      <c r="A97" s="185" t="s">
        <v>508</v>
      </c>
      <c r="B97" s="186">
        <v>46011</v>
      </c>
      <c r="C97" s="187" t="s">
        <v>111</v>
      </c>
      <c r="D97" s="188" t="s">
        <v>483</v>
      </c>
      <c r="E97" s="187" t="s">
        <v>1</v>
      </c>
      <c r="F97" s="187" t="s">
        <v>421</v>
      </c>
      <c r="G97" s="189">
        <v>0.91059999999999997</v>
      </c>
      <c r="H97" s="190">
        <v>179</v>
      </c>
      <c r="I97" s="190">
        <v>163</v>
      </c>
      <c r="J97" s="190">
        <v>140</v>
      </c>
      <c r="K97" s="187" t="s">
        <v>422</v>
      </c>
      <c r="L97" s="191" t="s">
        <v>162</v>
      </c>
      <c r="M97" s="190">
        <v>0</v>
      </c>
      <c r="N97" s="190">
        <v>0</v>
      </c>
      <c r="O97" s="190">
        <v>3</v>
      </c>
      <c r="P97" s="187" t="s">
        <v>160</v>
      </c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90" t="s">
        <v>424</v>
      </c>
      <c r="AE97" s="190" t="s">
        <v>457</v>
      </c>
      <c r="AF97" s="190" t="s">
        <v>380</v>
      </c>
      <c r="AG97" s="183"/>
      <c r="AH97" s="183"/>
      <c r="AI97" s="190" t="s">
        <v>539</v>
      </c>
      <c r="AJ97" s="183"/>
    </row>
    <row r="98" spans="1:36" x14ac:dyDescent="0.3">
      <c r="A98" s="185" t="s">
        <v>508</v>
      </c>
      <c r="B98" s="186">
        <v>46011</v>
      </c>
      <c r="C98" s="187" t="s">
        <v>98</v>
      </c>
      <c r="D98" s="188" t="s">
        <v>514</v>
      </c>
      <c r="E98" s="187" t="s">
        <v>1</v>
      </c>
      <c r="F98" s="187" t="s">
        <v>421</v>
      </c>
      <c r="G98" s="189">
        <v>0.92179999999999995</v>
      </c>
      <c r="H98" s="190">
        <v>179</v>
      </c>
      <c r="I98" s="190">
        <v>165</v>
      </c>
      <c r="J98" s="190">
        <v>144</v>
      </c>
      <c r="K98" s="187" t="s">
        <v>422</v>
      </c>
      <c r="L98" s="191" t="s">
        <v>387</v>
      </c>
      <c r="M98" s="190">
        <v>0</v>
      </c>
      <c r="N98" s="190">
        <v>0</v>
      </c>
      <c r="O98" s="190">
        <v>0</v>
      </c>
      <c r="P98" s="187" t="s">
        <v>229</v>
      </c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90" t="s">
        <v>478</v>
      </c>
      <c r="AE98" s="190" t="s">
        <v>457</v>
      </c>
      <c r="AF98" s="190" t="s">
        <v>380</v>
      </c>
      <c r="AG98" s="190" t="s">
        <v>566</v>
      </c>
      <c r="AH98" s="183"/>
      <c r="AI98" s="190" t="s">
        <v>539</v>
      </c>
      <c r="AJ98" s="183"/>
    </row>
    <row r="99" spans="1:36" ht="21" x14ac:dyDescent="0.3">
      <c r="A99" s="192" t="s">
        <v>717</v>
      </c>
      <c r="B99" s="193"/>
      <c r="C99" s="192">
        <f>SUBTOTAL(103,JED_CAI_LF_LEGACY[Flt])</f>
        <v>97</v>
      </c>
      <c r="D99" s="192"/>
      <c r="E99" s="192">
        <f>SUBTOTAL(103,JED_CAI_LF_LEGACY[Brd-Off])</f>
        <v>97</v>
      </c>
      <c r="F99" s="192"/>
      <c r="G99" s="194">
        <f>SUBTOTAL(101,JED_CAI_LF_LEGACY[LF%])</f>
        <v>0.54621237113402055</v>
      </c>
      <c r="H99" s="195">
        <f>SUBTOTAL(109,JED_CAI_LF_LEGACY[CAP])</f>
        <v>17341</v>
      </c>
      <c r="I99" s="195">
        <f>SUBTOTAL(109,JED_CAI_LF_LEGACY[BKG(Y)])</f>
        <v>9481</v>
      </c>
      <c r="J99" s="195">
        <f>SUBTOTAL(109,JED_CAI_LF_LEGACY[GRP(Y)])</f>
        <v>6713</v>
      </c>
      <c r="K99" s="192"/>
      <c r="L99" s="193"/>
      <c r="M99" s="195">
        <f>SUBTOTAL(109,JED_CAI_LF_LEGACY[TO-DAY])</f>
        <v>39</v>
      </c>
      <c r="N99" s="195">
        <f>SUBTOTAL(109,JED_CAI_LF_LEGACY[Y-DAY])</f>
        <v>77</v>
      </c>
      <c r="O99" s="195">
        <f>SUBTOTAL(109,JED_CAI_LF_LEGACY[WEEKLY])</f>
        <v>1121</v>
      </c>
      <c r="P99" s="196"/>
      <c r="Q99" s="195">
        <f>SUBTOTAL(109,JED_CAI_LF_LEGACY[Y])</f>
        <v>0</v>
      </c>
      <c r="R99" s="195">
        <f>SUBTOTAL(109,JED_CAI_LF_LEGACY[B])</f>
        <v>0</v>
      </c>
      <c r="S99" s="195">
        <f>SUBTOTAL(109,JED_CAI_LF_LEGACY[M])</f>
        <v>0</v>
      </c>
      <c r="T99" s="195">
        <f>SUBTOTAL(109,JED_CAI_LF_LEGACY[H])</f>
        <v>0</v>
      </c>
      <c r="U99" s="195">
        <f>SUBTOTAL(109,JED_CAI_LF_LEGACY[Q])</f>
        <v>0</v>
      </c>
      <c r="V99" s="195">
        <f>SUBTOTAL(109,JED_CAI_LF_LEGACY[K])</f>
        <v>0</v>
      </c>
      <c r="W99" s="195">
        <f>SUBTOTAL(109,JED_CAI_LF_LEGACY[V])</f>
        <v>0</v>
      </c>
      <c r="X99" s="195">
        <f>SUBTOTAL(109,JED_CAI_LF_LEGACY[L])</f>
        <v>0</v>
      </c>
      <c r="Y99" s="195">
        <f>SUBTOTAL(109,JED_CAI_LF_LEGACY[G])</f>
        <v>0</v>
      </c>
      <c r="Z99" s="195">
        <f>SUBTOTAL(109,JED_CAI_LF_LEGACY[S])</f>
        <v>0</v>
      </c>
      <c r="AA99" s="195">
        <f>SUBTOTAL(109,JED_CAI_LF_LEGACY[W])</f>
        <v>0</v>
      </c>
      <c r="AB99" s="195">
        <f>SUBTOTAL(109,JED_CAI_LF_LEGACY[T])</f>
        <v>0</v>
      </c>
      <c r="AC99" s="195">
        <f>SUBTOTAL(109,JED_CAI_LF_LEGACY[X])</f>
        <v>0</v>
      </c>
      <c r="AD99" s="195">
        <f>SUBTOTAL(109,JED_CAI_LF_LEGACY[U])</f>
        <v>0</v>
      </c>
      <c r="AE99" s="195">
        <f>SUBTOTAL(109,JED_CAI_LF_LEGACY[O])</f>
        <v>0</v>
      </c>
      <c r="AF99" s="195">
        <f>SUBTOTAL(109,JED_CAI_LF_LEGACY[I])</f>
        <v>0</v>
      </c>
      <c r="AG99" s="195">
        <f>SUBTOTAL(109,JED_CAI_LF_LEGACY[E])</f>
        <v>0</v>
      </c>
      <c r="AH99" s="195">
        <f>SUBTOTAL(109,JED_CAI_LF_LEGACY[A])</f>
        <v>0</v>
      </c>
      <c r="AI99" s="195">
        <f>SUBTOTAL(109,JED_CAI_LF_LEGACY[P])</f>
        <v>0</v>
      </c>
      <c r="AJ99" s="195">
        <f>SUBTOTAL(103,JED_CAI_LF_LEGACY[N])</f>
        <v>12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8" t="s">
        <v>567</v>
      </c>
      <c r="B1" s="89" t="s">
        <v>8</v>
      </c>
      <c r="C1" s="89" t="s">
        <v>9</v>
      </c>
      <c r="D1" s="89" t="s">
        <v>568</v>
      </c>
      <c r="E1" s="89" t="s">
        <v>10</v>
      </c>
      <c r="F1" s="89" t="s">
        <v>11</v>
      </c>
      <c r="G1" s="89" t="s">
        <v>12</v>
      </c>
      <c r="H1" s="90" t="s">
        <v>13</v>
      </c>
      <c r="I1" s="2"/>
    </row>
    <row r="2" spans="1:9" ht="19.8" customHeight="1" x14ac:dyDescent="0.3">
      <c r="A2" s="91" t="s">
        <v>569</v>
      </c>
      <c r="B2" s="92" t="s">
        <v>26</v>
      </c>
      <c r="C2" s="93" t="s">
        <v>27</v>
      </c>
      <c r="D2" s="92" t="s">
        <v>1</v>
      </c>
      <c r="E2" s="92" t="s">
        <v>570</v>
      </c>
      <c r="F2" s="92" t="s">
        <v>28</v>
      </c>
      <c r="G2" s="94">
        <v>1</v>
      </c>
      <c r="H2" s="173">
        <v>359</v>
      </c>
      <c r="I2" s="2"/>
    </row>
    <row r="3" spans="1:9" ht="19.8" customHeight="1" x14ac:dyDescent="0.3">
      <c r="A3" s="91" t="s">
        <v>569</v>
      </c>
      <c r="B3" s="92" t="s">
        <v>45</v>
      </c>
      <c r="C3" s="93" t="s">
        <v>46</v>
      </c>
      <c r="D3" s="92" t="s">
        <v>1</v>
      </c>
      <c r="E3" s="92" t="s">
        <v>571</v>
      </c>
      <c r="F3" s="92" t="s">
        <v>47</v>
      </c>
      <c r="G3" s="94">
        <v>3</v>
      </c>
      <c r="H3" s="173">
        <v>369</v>
      </c>
      <c r="I3" s="2"/>
    </row>
    <row r="4" spans="1:9" ht="19.8" customHeight="1" x14ac:dyDescent="0.3">
      <c r="A4" s="91" t="s">
        <v>569</v>
      </c>
      <c r="B4" s="92" t="s">
        <v>26</v>
      </c>
      <c r="C4" s="93" t="s">
        <v>35</v>
      </c>
      <c r="D4" s="92" t="s">
        <v>1</v>
      </c>
      <c r="E4" s="92" t="s">
        <v>572</v>
      </c>
      <c r="F4" s="92" t="s">
        <v>28</v>
      </c>
      <c r="G4" s="94">
        <v>2</v>
      </c>
      <c r="H4" s="173">
        <v>389</v>
      </c>
      <c r="I4" s="2"/>
    </row>
    <row r="5" spans="1:9" ht="19.8" customHeight="1" x14ac:dyDescent="0.3">
      <c r="A5" s="91" t="s">
        <v>569</v>
      </c>
      <c r="B5" s="92" t="s">
        <v>26</v>
      </c>
      <c r="C5" s="93" t="s">
        <v>39</v>
      </c>
      <c r="D5" s="92" t="s">
        <v>1</v>
      </c>
      <c r="E5" s="92" t="s">
        <v>573</v>
      </c>
      <c r="F5" s="92" t="s">
        <v>28</v>
      </c>
      <c r="G5" s="94">
        <v>10</v>
      </c>
      <c r="H5" s="173">
        <v>389</v>
      </c>
      <c r="I5" s="2"/>
    </row>
    <row r="6" spans="1:9" ht="19.8" customHeight="1" x14ac:dyDescent="0.3">
      <c r="A6" s="91" t="s">
        <v>569</v>
      </c>
      <c r="B6" s="92" t="s">
        <v>70</v>
      </c>
      <c r="C6" s="93" t="s">
        <v>71</v>
      </c>
      <c r="D6" s="92" t="s">
        <v>1</v>
      </c>
      <c r="E6" s="92" t="s">
        <v>574</v>
      </c>
      <c r="F6" s="92" t="s">
        <v>72</v>
      </c>
      <c r="G6" s="94">
        <v>1</v>
      </c>
      <c r="H6" s="173">
        <v>400</v>
      </c>
      <c r="I6" s="2"/>
    </row>
    <row r="7" spans="1:9" ht="19.8" customHeight="1" x14ac:dyDescent="0.3">
      <c r="A7" s="91" t="s">
        <v>569</v>
      </c>
      <c r="B7" s="92" t="s">
        <v>74</v>
      </c>
      <c r="C7" s="93" t="s">
        <v>75</v>
      </c>
      <c r="D7" s="92" t="s">
        <v>1</v>
      </c>
      <c r="E7" s="92" t="s">
        <v>575</v>
      </c>
      <c r="F7" s="92" t="s">
        <v>72</v>
      </c>
      <c r="G7" s="94">
        <v>9</v>
      </c>
      <c r="H7" s="173">
        <v>401</v>
      </c>
      <c r="I7" s="2"/>
    </row>
    <row r="8" spans="1:9" ht="19.8" customHeight="1" x14ac:dyDescent="0.3">
      <c r="A8" s="91" t="s">
        <v>569</v>
      </c>
      <c r="B8" s="92" t="s">
        <v>74</v>
      </c>
      <c r="C8" s="93" t="s">
        <v>78</v>
      </c>
      <c r="D8" s="92" t="s">
        <v>1</v>
      </c>
      <c r="E8" s="92" t="s">
        <v>576</v>
      </c>
      <c r="F8" s="92" t="s">
        <v>72</v>
      </c>
      <c r="G8" s="94">
        <v>9</v>
      </c>
      <c r="H8" s="173">
        <v>401</v>
      </c>
      <c r="I8" s="2"/>
    </row>
    <row r="9" spans="1:9" ht="19.8" customHeight="1" x14ac:dyDescent="0.3">
      <c r="A9" s="91" t="s">
        <v>569</v>
      </c>
      <c r="B9" s="92" t="s">
        <v>45</v>
      </c>
      <c r="C9" s="93" t="s">
        <v>53</v>
      </c>
      <c r="D9" s="92" t="s">
        <v>1</v>
      </c>
      <c r="E9" s="92" t="s">
        <v>577</v>
      </c>
      <c r="F9" s="92" t="s">
        <v>47</v>
      </c>
      <c r="G9" s="94">
        <v>9</v>
      </c>
      <c r="H9" s="173">
        <v>409</v>
      </c>
      <c r="I9" s="2"/>
    </row>
    <row r="10" spans="1:9" ht="19.8" customHeight="1" x14ac:dyDescent="0.3">
      <c r="A10" s="91" t="s">
        <v>569</v>
      </c>
      <c r="B10" s="92" t="s">
        <v>45</v>
      </c>
      <c r="C10" s="93" t="s">
        <v>57</v>
      </c>
      <c r="D10" s="92" t="s">
        <v>1</v>
      </c>
      <c r="E10" s="92" t="s">
        <v>578</v>
      </c>
      <c r="F10" s="92" t="s">
        <v>47</v>
      </c>
      <c r="G10" s="94">
        <v>9</v>
      </c>
      <c r="H10" s="173">
        <v>409</v>
      </c>
      <c r="I10" s="2"/>
    </row>
    <row r="11" spans="1:9" ht="19.8" customHeight="1" x14ac:dyDescent="0.3">
      <c r="A11" s="91" t="s">
        <v>569</v>
      </c>
      <c r="B11" s="92" t="s">
        <v>45</v>
      </c>
      <c r="C11" s="93" t="s">
        <v>58</v>
      </c>
      <c r="D11" s="92" t="s">
        <v>1</v>
      </c>
      <c r="E11" s="92" t="s">
        <v>579</v>
      </c>
      <c r="F11" s="92" t="s">
        <v>47</v>
      </c>
      <c r="G11" s="94">
        <v>9</v>
      </c>
      <c r="H11" s="173">
        <v>409</v>
      </c>
      <c r="I11" s="2"/>
    </row>
    <row r="12" spans="1:9" ht="19.8" customHeight="1" x14ac:dyDescent="0.3">
      <c r="A12" s="91" t="s">
        <v>569</v>
      </c>
      <c r="B12" s="92" t="s">
        <v>45</v>
      </c>
      <c r="C12" s="93" t="s">
        <v>59</v>
      </c>
      <c r="D12" s="92" t="s">
        <v>1</v>
      </c>
      <c r="E12" s="92" t="s">
        <v>580</v>
      </c>
      <c r="F12" s="92" t="s">
        <v>47</v>
      </c>
      <c r="G12" s="94">
        <v>9</v>
      </c>
      <c r="H12" s="173">
        <v>409</v>
      </c>
      <c r="I12" s="2"/>
    </row>
    <row r="13" spans="1:9" ht="19.8" customHeight="1" x14ac:dyDescent="0.3">
      <c r="A13" s="91" t="s">
        <v>569</v>
      </c>
      <c r="B13" s="92" t="s">
        <v>45</v>
      </c>
      <c r="C13" s="93" t="s">
        <v>60</v>
      </c>
      <c r="D13" s="92" t="s">
        <v>1</v>
      </c>
      <c r="E13" s="92" t="s">
        <v>581</v>
      </c>
      <c r="F13" s="92" t="s">
        <v>47</v>
      </c>
      <c r="G13" s="94">
        <v>8</v>
      </c>
      <c r="H13" s="173">
        <v>409</v>
      </c>
      <c r="I13" s="2"/>
    </row>
    <row r="14" spans="1:9" ht="19.8" customHeight="1" x14ac:dyDescent="0.3">
      <c r="A14" s="91" t="s">
        <v>569</v>
      </c>
      <c r="B14" s="92" t="s">
        <v>79</v>
      </c>
      <c r="C14" s="93" t="s">
        <v>80</v>
      </c>
      <c r="D14" s="92" t="s">
        <v>1</v>
      </c>
      <c r="E14" s="92" t="s">
        <v>582</v>
      </c>
      <c r="F14" s="92" t="s">
        <v>81</v>
      </c>
      <c r="G14" s="94">
        <v>9</v>
      </c>
      <c r="H14" s="173">
        <v>417</v>
      </c>
      <c r="I14" s="2"/>
    </row>
    <row r="15" spans="1:9" ht="19.8" customHeight="1" x14ac:dyDescent="0.3">
      <c r="A15" s="91" t="s">
        <v>569</v>
      </c>
      <c r="B15" s="92" t="s">
        <v>45</v>
      </c>
      <c r="C15" s="93" t="s">
        <v>62</v>
      </c>
      <c r="D15" s="92" t="s">
        <v>1</v>
      </c>
      <c r="E15" s="92" t="s">
        <v>469</v>
      </c>
      <c r="F15" s="92" t="s">
        <v>47</v>
      </c>
      <c r="G15" s="94">
        <v>8</v>
      </c>
      <c r="H15" s="173">
        <v>449</v>
      </c>
      <c r="I15" s="2"/>
    </row>
    <row r="16" spans="1:9" ht="19.8" customHeight="1" x14ac:dyDescent="0.3">
      <c r="A16" s="91" t="s">
        <v>569</v>
      </c>
      <c r="B16" s="92" t="s">
        <v>26</v>
      </c>
      <c r="C16" s="93" t="s">
        <v>41</v>
      </c>
      <c r="D16" s="92" t="s">
        <v>1</v>
      </c>
      <c r="E16" s="92" t="s">
        <v>583</v>
      </c>
      <c r="F16" s="92" t="s">
        <v>28</v>
      </c>
      <c r="G16" s="94">
        <v>3</v>
      </c>
      <c r="H16" s="173">
        <v>459</v>
      </c>
      <c r="I16" s="2"/>
    </row>
    <row r="17" spans="1:9" ht="19.8" customHeight="1" x14ac:dyDescent="0.3">
      <c r="A17" s="91" t="s">
        <v>569</v>
      </c>
      <c r="B17" s="92" t="s">
        <v>45</v>
      </c>
      <c r="C17" s="93" t="s">
        <v>46</v>
      </c>
      <c r="D17" s="92" t="s">
        <v>1</v>
      </c>
      <c r="E17" s="92" t="s">
        <v>571</v>
      </c>
      <c r="F17" s="92" t="s">
        <v>49</v>
      </c>
      <c r="G17" s="94">
        <v>3</v>
      </c>
      <c r="H17" s="173">
        <v>469</v>
      </c>
      <c r="I17" s="2"/>
    </row>
    <row r="18" spans="1:9" ht="19.8" customHeight="1" x14ac:dyDescent="0.3">
      <c r="A18" s="91" t="s">
        <v>569</v>
      </c>
      <c r="B18" s="92" t="s">
        <v>79</v>
      </c>
      <c r="C18" s="93" t="s">
        <v>84</v>
      </c>
      <c r="D18" s="92" t="s">
        <v>1</v>
      </c>
      <c r="E18" s="92" t="s">
        <v>584</v>
      </c>
      <c r="F18" s="92" t="s">
        <v>81</v>
      </c>
      <c r="G18" s="94">
        <v>9</v>
      </c>
      <c r="H18" s="173">
        <v>473</v>
      </c>
      <c r="I18" s="2"/>
    </row>
    <row r="19" spans="1:9" ht="19.8" customHeight="1" x14ac:dyDescent="0.3">
      <c r="A19" s="91" t="s">
        <v>569</v>
      </c>
      <c r="B19" s="92" t="s">
        <v>26</v>
      </c>
      <c r="C19" s="93" t="s">
        <v>27</v>
      </c>
      <c r="D19" s="92" t="s">
        <v>1</v>
      </c>
      <c r="E19" s="92" t="s">
        <v>570</v>
      </c>
      <c r="F19" s="92" t="s">
        <v>31</v>
      </c>
      <c r="G19" s="94">
        <v>1</v>
      </c>
      <c r="H19" s="173">
        <v>509</v>
      </c>
      <c r="I19" s="2"/>
    </row>
    <row r="20" spans="1:9" ht="19.8" customHeight="1" x14ac:dyDescent="0.3">
      <c r="A20" s="91" t="s">
        <v>569</v>
      </c>
      <c r="B20" s="92" t="s">
        <v>45</v>
      </c>
      <c r="C20" s="93" t="s">
        <v>53</v>
      </c>
      <c r="D20" s="92" t="s">
        <v>1</v>
      </c>
      <c r="E20" s="92" t="s">
        <v>577</v>
      </c>
      <c r="F20" s="92" t="s">
        <v>49</v>
      </c>
      <c r="G20" s="94">
        <v>9</v>
      </c>
      <c r="H20" s="173">
        <v>509</v>
      </c>
      <c r="I20" s="2"/>
    </row>
    <row r="21" spans="1:9" ht="19.8" customHeight="1" x14ac:dyDescent="0.3">
      <c r="A21" s="91" t="s">
        <v>569</v>
      </c>
      <c r="B21" s="92" t="s">
        <v>45</v>
      </c>
      <c r="C21" s="93" t="s">
        <v>57</v>
      </c>
      <c r="D21" s="92" t="s">
        <v>1</v>
      </c>
      <c r="E21" s="92" t="s">
        <v>578</v>
      </c>
      <c r="F21" s="92" t="s">
        <v>49</v>
      </c>
      <c r="G21" s="94">
        <v>9</v>
      </c>
      <c r="H21" s="173">
        <v>509</v>
      </c>
      <c r="I21" s="2"/>
    </row>
    <row r="22" spans="1:9" ht="19.8" customHeight="1" x14ac:dyDescent="0.3">
      <c r="A22" s="91" t="s">
        <v>569</v>
      </c>
      <c r="B22" s="92" t="s">
        <v>45</v>
      </c>
      <c r="C22" s="93" t="s">
        <v>58</v>
      </c>
      <c r="D22" s="92" t="s">
        <v>1</v>
      </c>
      <c r="E22" s="92" t="s">
        <v>579</v>
      </c>
      <c r="F22" s="92" t="s">
        <v>49</v>
      </c>
      <c r="G22" s="94">
        <v>9</v>
      </c>
      <c r="H22" s="173">
        <v>509</v>
      </c>
      <c r="I22" s="2"/>
    </row>
    <row r="23" spans="1:9" ht="19.8" customHeight="1" x14ac:dyDescent="0.3">
      <c r="A23" s="91" t="s">
        <v>569</v>
      </c>
      <c r="B23" s="92" t="s">
        <v>45</v>
      </c>
      <c r="C23" s="93" t="s">
        <v>59</v>
      </c>
      <c r="D23" s="92" t="s">
        <v>1</v>
      </c>
      <c r="E23" s="92" t="s">
        <v>580</v>
      </c>
      <c r="F23" s="92" t="s">
        <v>49</v>
      </c>
      <c r="G23" s="94">
        <v>9</v>
      </c>
      <c r="H23" s="173">
        <v>509</v>
      </c>
      <c r="I23" s="2"/>
    </row>
    <row r="24" spans="1:9" ht="19.8" customHeight="1" x14ac:dyDescent="0.3">
      <c r="A24" s="91" t="s">
        <v>569</v>
      </c>
      <c r="B24" s="92" t="s">
        <v>45</v>
      </c>
      <c r="C24" s="93" t="s">
        <v>60</v>
      </c>
      <c r="D24" s="92" t="s">
        <v>1</v>
      </c>
      <c r="E24" s="92" t="s">
        <v>581</v>
      </c>
      <c r="F24" s="92" t="s">
        <v>49</v>
      </c>
      <c r="G24" s="94">
        <v>8</v>
      </c>
      <c r="H24" s="173">
        <v>509</v>
      </c>
      <c r="I24" s="2"/>
    </row>
    <row r="25" spans="1:9" ht="19.8" customHeight="1" x14ac:dyDescent="0.3">
      <c r="A25" s="95" t="s">
        <v>569</v>
      </c>
      <c r="B25" s="96" t="s">
        <v>87</v>
      </c>
      <c r="C25" s="97" t="s">
        <v>88</v>
      </c>
      <c r="D25" s="96" t="s">
        <v>1</v>
      </c>
      <c r="E25" s="96" t="s">
        <v>440</v>
      </c>
      <c r="F25" s="96" t="s">
        <v>89</v>
      </c>
      <c r="G25" s="98">
        <v>8</v>
      </c>
      <c r="H25" s="174">
        <v>526</v>
      </c>
      <c r="I25" s="2"/>
    </row>
    <row r="26" spans="1:9" ht="19.8" customHeight="1" x14ac:dyDescent="0.3">
      <c r="A26" s="175">
        <v>45992</v>
      </c>
      <c r="B26" s="92" t="s">
        <v>26</v>
      </c>
      <c r="C26" s="93" t="s">
        <v>35</v>
      </c>
      <c r="D26" s="92" t="s">
        <v>1</v>
      </c>
      <c r="E26" s="176">
        <v>1.1284722222222221</v>
      </c>
      <c r="F26" s="92" t="s">
        <v>31</v>
      </c>
      <c r="G26" s="94">
        <v>2</v>
      </c>
      <c r="H26" s="173">
        <v>539</v>
      </c>
      <c r="I26" s="2"/>
    </row>
    <row r="27" spans="1:9" ht="19.8" customHeight="1" x14ac:dyDescent="0.3">
      <c r="A27" s="175">
        <v>45992</v>
      </c>
      <c r="B27" s="92" t="s">
        <v>26</v>
      </c>
      <c r="C27" s="93" t="s">
        <v>39</v>
      </c>
      <c r="D27" s="92" t="s">
        <v>1</v>
      </c>
      <c r="E27" s="176">
        <v>1.302083333333333</v>
      </c>
      <c r="F27" s="92" t="s">
        <v>31</v>
      </c>
      <c r="G27" s="94">
        <v>10</v>
      </c>
      <c r="H27" s="173">
        <v>539</v>
      </c>
      <c r="I27" s="2"/>
    </row>
    <row r="28" spans="1:9" ht="19.8" customHeight="1" x14ac:dyDescent="0.3">
      <c r="A28" s="175">
        <v>45992</v>
      </c>
      <c r="B28" s="92" t="s">
        <v>79</v>
      </c>
      <c r="C28" s="93" t="s">
        <v>80</v>
      </c>
      <c r="D28" s="92" t="s">
        <v>1</v>
      </c>
      <c r="E28" s="176">
        <v>1.1736111111111109</v>
      </c>
      <c r="F28" s="92" t="s">
        <v>33</v>
      </c>
      <c r="G28" s="94">
        <v>9</v>
      </c>
      <c r="H28" s="173">
        <v>540</v>
      </c>
      <c r="I28" s="2"/>
    </row>
    <row r="29" spans="1:9" ht="19.8" customHeight="1" x14ac:dyDescent="0.3">
      <c r="A29" s="175">
        <v>45992</v>
      </c>
      <c r="B29" s="92" t="s">
        <v>45</v>
      </c>
      <c r="C29" s="93" t="s">
        <v>62</v>
      </c>
      <c r="D29" s="92" t="s">
        <v>1</v>
      </c>
      <c r="E29" s="176">
        <v>1.5173611111111109</v>
      </c>
      <c r="F29" s="92" t="s">
        <v>49</v>
      </c>
      <c r="G29" s="94">
        <v>8</v>
      </c>
      <c r="H29" s="173">
        <v>549</v>
      </c>
      <c r="I29" s="2"/>
    </row>
    <row r="30" spans="1:9" ht="19.8" customHeight="1" x14ac:dyDescent="0.3">
      <c r="A30" s="175">
        <v>45992</v>
      </c>
      <c r="B30" s="92" t="s">
        <v>45</v>
      </c>
      <c r="C30" s="93" t="s">
        <v>46</v>
      </c>
      <c r="D30" s="92" t="s">
        <v>1</v>
      </c>
      <c r="E30" s="176">
        <v>1.395833333333333</v>
      </c>
      <c r="F30" s="92" t="s">
        <v>51</v>
      </c>
      <c r="G30" s="94">
        <v>3</v>
      </c>
      <c r="H30" s="173">
        <v>559</v>
      </c>
      <c r="I30" s="2"/>
    </row>
    <row r="31" spans="1:9" ht="19.8" customHeight="1" x14ac:dyDescent="0.3">
      <c r="A31" s="175">
        <v>45992</v>
      </c>
      <c r="B31" s="92" t="s">
        <v>45</v>
      </c>
      <c r="C31" s="93" t="s">
        <v>66</v>
      </c>
      <c r="D31" s="92" t="s">
        <v>1</v>
      </c>
      <c r="E31" s="176">
        <v>1.645833333333333</v>
      </c>
      <c r="F31" s="92" t="s">
        <v>47</v>
      </c>
      <c r="G31" s="94">
        <v>9</v>
      </c>
      <c r="H31" s="173">
        <v>569</v>
      </c>
      <c r="I31" s="2"/>
    </row>
    <row r="32" spans="1:9" ht="19.8" customHeight="1" x14ac:dyDescent="0.3">
      <c r="A32" s="175">
        <v>45992</v>
      </c>
      <c r="B32" s="92" t="s">
        <v>115</v>
      </c>
      <c r="C32" s="93" t="s">
        <v>116</v>
      </c>
      <c r="D32" s="92" t="s">
        <v>1</v>
      </c>
      <c r="E32" s="176">
        <v>1.229166666666667</v>
      </c>
      <c r="F32" s="92" t="s">
        <v>117</v>
      </c>
      <c r="G32" s="94">
        <v>9</v>
      </c>
      <c r="H32" s="173">
        <v>579</v>
      </c>
      <c r="I32" s="2"/>
    </row>
    <row r="33" spans="1:9" ht="19.8" customHeight="1" x14ac:dyDescent="0.3">
      <c r="A33" s="175">
        <v>45992</v>
      </c>
      <c r="B33" s="92" t="s">
        <v>115</v>
      </c>
      <c r="C33" s="93" t="s">
        <v>119</v>
      </c>
      <c r="D33" s="92" t="s">
        <v>1</v>
      </c>
      <c r="E33" s="176">
        <v>1.145833333333333</v>
      </c>
      <c r="F33" s="92" t="s">
        <v>117</v>
      </c>
      <c r="G33" s="94">
        <v>9</v>
      </c>
      <c r="H33" s="173">
        <v>579</v>
      </c>
      <c r="I33" s="2"/>
    </row>
    <row r="34" spans="1:9" ht="19.8" customHeight="1" x14ac:dyDescent="0.3">
      <c r="A34" s="175">
        <v>45992</v>
      </c>
      <c r="B34" s="92" t="s">
        <v>115</v>
      </c>
      <c r="C34" s="93" t="s">
        <v>120</v>
      </c>
      <c r="D34" s="92" t="s">
        <v>1</v>
      </c>
      <c r="E34" s="176">
        <v>1.2777777777777779</v>
      </c>
      <c r="F34" s="92" t="s">
        <v>117</v>
      </c>
      <c r="G34" s="94">
        <v>9</v>
      </c>
      <c r="H34" s="173">
        <v>579</v>
      </c>
      <c r="I34" s="2"/>
    </row>
    <row r="35" spans="1:9" ht="19.8" customHeight="1" x14ac:dyDescent="0.3">
      <c r="A35" s="175">
        <v>45992</v>
      </c>
      <c r="B35" s="92" t="s">
        <v>115</v>
      </c>
      <c r="C35" s="93" t="s">
        <v>121</v>
      </c>
      <c r="D35" s="92" t="s">
        <v>1</v>
      </c>
      <c r="E35" s="176">
        <v>1.4861111111111109</v>
      </c>
      <c r="F35" s="92" t="s">
        <v>117</v>
      </c>
      <c r="G35" s="94">
        <v>9</v>
      </c>
      <c r="H35" s="173">
        <v>579</v>
      </c>
      <c r="I35" s="2"/>
    </row>
    <row r="36" spans="1:9" ht="19.8" customHeight="1" x14ac:dyDescent="0.3">
      <c r="A36" s="175">
        <v>45992</v>
      </c>
      <c r="B36" s="92" t="s">
        <v>115</v>
      </c>
      <c r="C36" s="93" t="s">
        <v>122</v>
      </c>
      <c r="D36" s="92" t="s">
        <v>1</v>
      </c>
      <c r="E36" s="176">
        <v>1.5138888888888891</v>
      </c>
      <c r="F36" s="92" t="s">
        <v>117</v>
      </c>
      <c r="G36" s="94">
        <v>9</v>
      </c>
      <c r="H36" s="173">
        <v>579</v>
      </c>
      <c r="I36" s="2"/>
    </row>
    <row r="37" spans="1:9" ht="19.8" customHeight="1" x14ac:dyDescent="0.3">
      <c r="A37" s="177">
        <v>45992</v>
      </c>
      <c r="B37" s="96" t="s">
        <v>87</v>
      </c>
      <c r="C37" s="97" t="s">
        <v>95</v>
      </c>
      <c r="D37" s="96" t="s">
        <v>1</v>
      </c>
      <c r="E37" s="178">
        <v>1.614583333333333</v>
      </c>
      <c r="F37" s="96" t="s">
        <v>89</v>
      </c>
      <c r="G37" s="98">
        <v>6</v>
      </c>
      <c r="H37" s="174">
        <v>586</v>
      </c>
      <c r="I37" s="2"/>
    </row>
    <row r="38" spans="1:9" ht="19.8" customHeight="1" x14ac:dyDescent="0.3">
      <c r="A38" s="175">
        <v>45992</v>
      </c>
      <c r="B38" s="92" t="s">
        <v>79</v>
      </c>
      <c r="C38" s="93" t="s">
        <v>84</v>
      </c>
      <c r="D38" s="92" t="s">
        <v>1</v>
      </c>
      <c r="E38" s="176">
        <v>1.3923611111111109</v>
      </c>
      <c r="F38" s="92" t="s">
        <v>33</v>
      </c>
      <c r="G38" s="94">
        <v>9</v>
      </c>
      <c r="H38" s="173">
        <v>596</v>
      </c>
      <c r="I38" s="2"/>
    </row>
    <row r="39" spans="1:9" ht="19.8" customHeight="1" x14ac:dyDescent="0.3">
      <c r="A39" s="175">
        <v>45992</v>
      </c>
      <c r="B39" s="92" t="s">
        <v>45</v>
      </c>
      <c r="C39" s="93" t="s">
        <v>53</v>
      </c>
      <c r="D39" s="92" t="s">
        <v>1</v>
      </c>
      <c r="E39" s="176">
        <v>1.854166666666667</v>
      </c>
      <c r="F39" s="92" t="s">
        <v>51</v>
      </c>
      <c r="G39" s="94">
        <v>9</v>
      </c>
      <c r="H39" s="173">
        <v>599</v>
      </c>
      <c r="I39" s="2"/>
    </row>
    <row r="40" spans="1:9" ht="19.8" customHeight="1" x14ac:dyDescent="0.3">
      <c r="A40" s="175">
        <v>45992</v>
      </c>
      <c r="B40" s="92" t="s">
        <v>45</v>
      </c>
      <c r="C40" s="93" t="s">
        <v>57</v>
      </c>
      <c r="D40" s="92" t="s">
        <v>1</v>
      </c>
      <c r="E40" s="176">
        <v>1.256944444444444</v>
      </c>
      <c r="F40" s="92" t="s">
        <v>51</v>
      </c>
      <c r="G40" s="94">
        <v>9</v>
      </c>
      <c r="H40" s="173">
        <v>599</v>
      </c>
      <c r="I40" s="2"/>
    </row>
    <row r="41" spans="1:9" ht="19.8" customHeight="1" x14ac:dyDescent="0.3">
      <c r="A41" s="175">
        <v>45992</v>
      </c>
      <c r="B41" s="92" t="s">
        <v>45</v>
      </c>
      <c r="C41" s="93" t="s">
        <v>58</v>
      </c>
      <c r="D41" s="92" t="s">
        <v>1</v>
      </c>
      <c r="E41" s="176">
        <v>1.46875</v>
      </c>
      <c r="F41" s="92" t="s">
        <v>51</v>
      </c>
      <c r="G41" s="94">
        <v>9</v>
      </c>
      <c r="H41" s="173">
        <v>599</v>
      </c>
      <c r="I41" s="2"/>
    </row>
    <row r="42" spans="1:9" ht="19.8" customHeight="1" x14ac:dyDescent="0.3">
      <c r="A42" s="175">
        <v>45992</v>
      </c>
      <c r="B42" s="92" t="s">
        <v>45</v>
      </c>
      <c r="C42" s="93" t="s">
        <v>59</v>
      </c>
      <c r="D42" s="92" t="s">
        <v>1</v>
      </c>
      <c r="E42" s="176">
        <v>1.9027777777777779</v>
      </c>
      <c r="F42" s="92" t="s">
        <v>51</v>
      </c>
      <c r="G42" s="94">
        <v>9</v>
      </c>
      <c r="H42" s="173">
        <v>599</v>
      </c>
      <c r="I42" s="2"/>
    </row>
    <row r="43" spans="1:9" ht="19.8" customHeight="1" x14ac:dyDescent="0.3">
      <c r="A43" s="175">
        <v>45992</v>
      </c>
      <c r="B43" s="92" t="s">
        <v>45</v>
      </c>
      <c r="C43" s="93" t="s">
        <v>60</v>
      </c>
      <c r="D43" s="92" t="s">
        <v>1</v>
      </c>
      <c r="E43" s="176">
        <v>1.7986111111111109</v>
      </c>
      <c r="F43" s="92" t="s">
        <v>51</v>
      </c>
      <c r="G43" s="94">
        <v>8</v>
      </c>
      <c r="H43" s="173">
        <v>599</v>
      </c>
      <c r="I43" s="2"/>
    </row>
    <row r="44" spans="1:9" ht="19.8" customHeight="1" x14ac:dyDescent="0.3">
      <c r="A44" s="175">
        <v>45992</v>
      </c>
      <c r="B44" s="92" t="s">
        <v>26</v>
      </c>
      <c r="C44" s="93" t="s">
        <v>41</v>
      </c>
      <c r="D44" s="92" t="s">
        <v>1</v>
      </c>
      <c r="E44" s="176">
        <v>1.788194444444444</v>
      </c>
      <c r="F44" s="92" t="s">
        <v>31</v>
      </c>
      <c r="G44" s="94">
        <v>3</v>
      </c>
      <c r="H44" s="173">
        <v>609</v>
      </c>
      <c r="I44" s="2"/>
    </row>
    <row r="45" spans="1:9" ht="19.8" customHeight="1" x14ac:dyDescent="0.3">
      <c r="A45" s="175">
        <v>45992</v>
      </c>
      <c r="B45" s="92" t="s">
        <v>115</v>
      </c>
      <c r="C45" s="93" t="s">
        <v>123</v>
      </c>
      <c r="D45" s="92" t="s">
        <v>1</v>
      </c>
      <c r="E45" s="176">
        <v>1.958333333333333</v>
      </c>
      <c r="F45" s="92" t="s">
        <v>124</v>
      </c>
      <c r="G45" s="94">
        <v>1</v>
      </c>
      <c r="H45" s="173">
        <v>637</v>
      </c>
      <c r="I45" s="2"/>
    </row>
    <row r="46" spans="1:9" ht="19.8" customHeight="1" x14ac:dyDescent="0.3">
      <c r="A46" s="175">
        <v>45992</v>
      </c>
      <c r="B46" s="92" t="s">
        <v>45</v>
      </c>
      <c r="C46" s="93" t="s">
        <v>62</v>
      </c>
      <c r="D46" s="92" t="s">
        <v>1</v>
      </c>
      <c r="E46" s="176">
        <v>1.5173611111111109</v>
      </c>
      <c r="F46" s="92" t="s">
        <v>51</v>
      </c>
      <c r="G46" s="94">
        <v>8</v>
      </c>
      <c r="H46" s="173">
        <v>639</v>
      </c>
      <c r="I46" s="2"/>
    </row>
    <row r="47" spans="1:9" ht="19.8" customHeight="1" x14ac:dyDescent="0.3">
      <c r="A47" s="177">
        <v>45992</v>
      </c>
      <c r="B47" s="96" t="s">
        <v>87</v>
      </c>
      <c r="C47" s="97" t="s">
        <v>102</v>
      </c>
      <c r="D47" s="96" t="s">
        <v>1</v>
      </c>
      <c r="E47" s="178">
        <v>1.006944444444444</v>
      </c>
      <c r="F47" s="96" t="s">
        <v>89</v>
      </c>
      <c r="G47" s="98">
        <v>7</v>
      </c>
      <c r="H47" s="174">
        <v>646</v>
      </c>
      <c r="I47" s="2"/>
    </row>
    <row r="48" spans="1:9" ht="19.8" customHeight="1" x14ac:dyDescent="0.3">
      <c r="A48" s="177">
        <v>45992</v>
      </c>
      <c r="B48" s="96" t="s">
        <v>87</v>
      </c>
      <c r="C48" s="97" t="s">
        <v>109</v>
      </c>
      <c r="D48" s="96" t="s">
        <v>1</v>
      </c>
      <c r="E48" s="178">
        <v>1.4236111111111109</v>
      </c>
      <c r="F48" s="96" t="s">
        <v>89</v>
      </c>
      <c r="G48" s="98">
        <v>4</v>
      </c>
      <c r="H48" s="174">
        <v>646</v>
      </c>
      <c r="I48" s="2"/>
    </row>
    <row r="49" spans="1:9" ht="19.8" customHeight="1" x14ac:dyDescent="0.3">
      <c r="A49" s="175">
        <v>45992</v>
      </c>
      <c r="B49" s="92" t="s">
        <v>45</v>
      </c>
      <c r="C49" s="93" t="s">
        <v>66</v>
      </c>
      <c r="D49" s="92" t="s">
        <v>1</v>
      </c>
      <c r="E49" s="176">
        <v>1.645833333333333</v>
      </c>
      <c r="F49" s="92" t="s">
        <v>49</v>
      </c>
      <c r="G49" s="94">
        <v>9</v>
      </c>
      <c r="H49" s="173">
        <v>669</v>
      </c>
      <c r="I49" s="2"/>
    </row>
    <row r="50" spans="1:9" ht="19.8" customHeight="1" x14ac:dyDescent="0.3">
      <c r="A50" s="175">
        <v>45992</v>
      </c>
      <c r="B50" s="92" t="s">
        <v>45</v>
      </c>
      <c r="C50" s="93" t="s">
        <v>66</v>
      </c>
      <c r="D50" s="92" t="s">
        <v>1</v>
      </c>
      <c r="E50" s="176">
        <v>1.645833333333333</v>
      </c>
      <c r="F50" s="92" t="s">
        <v>51</v>
      </c>
      <c r="G50" s="94">
        <v>9</v>
      </c>
      <c r="H50" s="173">
        <v>759</v>
      </c>
      <c r="I50" s="2"/>
    </row>
    <row r="51" spans="1:9" ht="19.8" customHeight="1" x14ac:dyDescent="0.3">
      <c r="A51" s="175">
        <v>45992</v>
      </c>
      <c r="B51" s="92" t="s">
        <v>115</v>
      </c>
      <c r="C51" s="93" t="s">
        <v>126</v>
      </c>
      <c r="D51" s="92" t="s">
        <v>1</v>
      </c>
      <c r="E51" s="176">
        <v>1.774305555555556</v>
      </c>
      <c r="F51" s="92" t="s">
        <v>124</v>
      </c>
      <c r="G51" s="94">
        <v>6</v>
      </c>
      <c r="H51" s="173">
        <v>795</v>
      </c>
      <c r="I51" s="2"/>
    </row>
    <row r="52" spans="1:9" ht="19.8" customHeight="1" x14ac:dyDescent="0.3">
      <c r="A52" s="175">
        <v>45992</v>
      </c>
      <c r="B52" s="92" t="s">
        <v>115</v>
      </c>
      <c r="C52" s="93" t="s">
        <v>128</v>
      </c>
      <c r="D52" s="92" t="s">
        <v>1</v>
      </c>
      <c r="E52" s="176">
        <v>1.0138888888888891</v>
      </c>
      <c r="F52" s="92" t="s">
        <v>124</v>
      </c>
      <c r="G52" s="94">
        <v>1</v>
      </c>
      <c r="H52" s="173">
        <v>890</v>
      </c>
      <c r="I52" s="2"/>
    </row>
    <row r="53" spans="1:9" ht="19.8" customHeight="1" x14ac:dyDescent="0.3">
      <c r="A53" s="175">
        <v>45992</v>
      </c>
      <c r="B53" s="92" t="s">
        <v>130</v>
      </c>
      <c r="C53" s="93" t="s">
        <v>131</v>
      </c>
      <c r="D53" s="92" t="s">
        <v>1</v>
      </c>
      <c r="E53" s="176">
        <v>1.930555555555556</v>
      </c>
      <c r="F53" s="92" t="s">
        <v>132</v>
      </c>
      <c r="G53" s="94">
        <v>9</v>
      </c>
      <c r="H53" s="173">
        <v>935</v>
      </c>
      <c r="I53" s="2"/>
    </row>
    <row r="54" spans="1:9" ht="19.8" customHeight="1" x14ac:dyDescent="0.3">
      <c r="A54" s="175">
        <v>45992</v>
      </c>
      <c r="B54" s="92" t="s">
        <v>130</v>
      </c>
      <c r="C54" s="93" t="s">
        <v>136</v>
      </c>
      <c r="D54" s="92" t="s">
        <v>1</v>
      </c>
      <c r="E54" s="176">
        <v>1.3784722222222221</v>
      </c>
      <c r="F54" s="92" t="s">
        <v>132</v>
      </c>
      <c r="G54" s="94">
        <v>9</v>
      </c>
      <c r="H54" s="173">
        <v>935</v>
      </c>
      <c r="I54" s="2"/>
    </row>
    <row r="55" spans="1:9" ht="19.8" customHeight="1" x14ac:dyDescent="0.3">
      <c r="A55" s="175">
        <v>45992</v>
      </c>
      <c r="B55" s="92" t="s">
        <v>130</v>
      </c>
      <c r="C55" s="93" t="s">
        <v>137</v>
      </c>
      <c r="D55" s="92" t="s">
        <v>1</v>
      </c>
      <c r="E55" s="176">
        <v>1.6111111111111109</v>
      </c>
      <c r="F55" s="92" t="s">
        <v>132</v>
      </c>
      <c r="G55" s="94">
        <v>9</v>
      </c>
      <c r="H55" s="173">
        <v>935</v>
      </c>
      <c r="I55" s="2"/>
    </row>
    <row r="56" spans="1:9" ht="19.8" customHeight="1" x14ac:dyDescent="0.3">
      <c r="A56" s="175">
        <v>45992</v>
      </c>
      <c r="B56" s="92" t="s">
        <v>130</v>
      </c>
      <c r="C56" s="93" t="s">
        <v>138</v>
      </c>
      <c r="D56" s="92" t="s">
        <v>1</v>
      </c>
      <c r="E56" s="176">
        <v>1.239583333333333</v>
      </c>
      <c r="F56" s="92" t="s">
        <v>132</v>
      </c>
      <c r="G56" s="94">
        <v>9</v>
      </c>
      <c r="H56" s="173">
        <v>935</v>
      </c>
      <c r="I56" s="2"/>
    </row>
    <row r="57" spans="1:9" ht="19.8" customHeight="1" x14ac:dyDescent="0.3">
      <c r="A57" s="175">
        <v>45992</v>
      </c>
      <c r="B57" s="92" t="s">
        <v>130</v>
      </c>
      <c r="C57" s="93" t="s">
        <v>131</v>
      </c>
      <c r="D57" s="92" t="s">
        <v>1</v>
      </c>
      <c r="E57" s="176">
        <v>1.930555555555556</v>
      </c>
      <c r="F57" s="92" t="s">
        <v>134</v>
      </c>
      <c r="G57" s="94">
        <v>9</v>
      </c>
      <c r="H57" s="173">
        <v>980</v>
      </c>
      <c r="I57" s="2"/>
    </row>
    <row r="58" spans="1:9" ht="19.8" customHeight="1" x14ac:dyDescent="0.3">
      <c r="A58" s="175">
        <v>45992</v>
      </c>
      <c r="B58" s="92" t="s">
        <v>130</v>
      </c>
      <c r="C58" s="93" t="s">
        <v>136</v>
      </c>
      <c r="D58" s="92" t="s">
        <v>1</v>
      </c>
      <c r="E58" s="176">
        <v>1.3784722222222221</v>
      </c>
      <c r="F58" s="92" t="s">
        <v>134</v>
      </c>
      <c r="G58" s="94">
        <v>9</v>
      </c>
      <c r="H58" s="173">
        <v>980</v>
      </c>
      <c r="I58" s="2"/>
    </row>
    <row r="59" spans="1:9" ht="19.8" customHeight="1" x14ac:dyDescent="0.3">
      <c r="A59" s="175">
        <v>45992</v>
      </c>
      <c r="B59" s="92" t="s">
        <v>130</v>
      </c>
      <c r="C59" s="93" t="s">
        <v>137</v>
      </c>
      <c r="D59" s="92" t="s">
        <v>1</v>
      </c>
      <c r="E59" s="176">
        <v>1.6111111111111109</v>
      </c>
      <c r="F59" s="92" t="s">
        <v>134</v>
      </c>
      <c r="G59" s="94">
        <v>9</v>
      </c>
      <c r="H59" s="173">
        <v>980</v>
      </c>
      <c r="I59" s="2"/>
    </row>
    <row r="60" spans="1:9" ht="19.8" customHeight="1" x14ac:dyDescent="0.3">
      <c r="A60" s="175">
        <v>45992</v>
      </c>
      <c r="B60" s="92" t="s">
        <v>130</v>
      </c>
      <c r="C60" s="93" t="s">
        <v>138</v>
      </c>
      <c r="D60" s="92" t="s">
        <v>1</v>
      </c>
      <c r="E60" s="176">
        <v>1.239583333333333</v>
      </c>
      <c r="F60" s="92" t="s">
        <v>134</v>
      </c>
      <c r="G60" s="94">
        <v>9</v>
      </c>
      <c r="H60" s="173">
        <v>980</v>
      </c>
      <c r="I60" s="2"/>
    </row>
    <row r="61" spans="1:9" ht="19.8" customHeight="1" x14ac:dyDescent="0.3">
      <c r="A61" s="175">
        <v>45992</v>
      </c>
      <c r="B61" s="92" t="s">
        <v>26</v>
      </c>
      <c r="C61" s="93" t="s">
        <v>35</v>
      </c>
      <c r="D61" s="92" t="s">
        <v>1</v>
      </c>
      <c r="E61" s="176">
        <v>1.1284722222222221</v>
      </c>
      <c r="F61" s="92" t="s">
        <v>33</v>
      </c>
      <c r="G61" s="94">
        <v>2</v>
      </c>
      <c r="H61" s="99" t="s">
        <v>34</v>
      </c>
      <c r="I61" s="2"/>
    </row>
    <row r="62" spans="1:9" ht="19.8" customHeight="1" x14ac:dyDescent="0.3">
      <c r="A62" s="175">
        <v>45992</v>
      </c>
      <c r="B62" s="92" t="s">
        <v>26</v>
      </c>
      <c r="C62" s="93" t="s">
        <v>39</v>
      </c>
      <c r="D62" s="92" t="s">
        <v>1</v>
      </c>
      <c r="E62" s="176">
        <v>1.302083333333333</v>
      </c>
      <c r="F62" s="92" t="s">
        <v>33</v>
      </c>
      <c r="G62" s="94">
        <v>10</v>
      </c>
      <c r="H62" s="99" t="s">
        <v>34</v>
      </c>
      <c r="I62" s="2"/>
    </row>
    <row r="63" spans="1:9" ht="19.8" customHeight="1" x14ac:dyDescent="0.3">
      <c r="A63" s="175">
        <v>45992</v>
      </c>
      <c r="B63" s="92" t="s">
        <v>26</v>
      </c>
      <c r="C63" s="93" t="s">
        <v>27</v>
      </c>
      <c r="D63" s="92" t="s">
        <v>1</v>
      </c>
      <c r="E63" s="176">
        <v>1.8888888888888891</v>
      </c>
      <c r="F63" s="92" t="s">
        <v>33</v>
      </c>
      <c r="G63" s="94">
        <v>1</v>
      </c>
      <c r="H63" s="99" t="s">
        <v>34</v>
      </c>
      <c r="I63" s="2"/>
    </row>
    <row r="64" spans="1:9" ht="19.8" customHeight="1" x14ac:dyDescent="0.3">
      <c r="A64" s="175">
        <v>45992</v>
      </c>
      <c r="B64" s="92" t="s">
        <v>26</v>
      </c>
      <c r="C64" s="93" t="s">
        <v>41</v>
      </c>
      <c r="D64" s="92" t="s">
        <v>1</v>
      </c>
      <c r="E64" s="176">
        <v>1.788194444444444</v>
      </c>
      <c r="F64" s="92" t="s">
        <v>33</v>
      </c>
      <c r="G64" s="94">
        <v>3</v>
      </c>
      <c r="H64" s="99" t="s">
        <v>34</v>
      </c>
      <c r="I64" s="2"/>
    </row>
    <row r="65" spans="1:9" ht="19.8" customHeight="1" x14ac:dyDescent="0.3">
      <c r="A65" s="175">
        <v>45992</v>
      </c>
      <c r="B65" s="92" t="s">
        <v>130</v>
      </c>
      <c r="C65" s="93" t="s">
        <v>139</v>
      </c>
      <c r="D65" s="92" t="s">
        <v>1</v>
      </c>
      <c r="E65" s="176">
        <v>1.8888888888888891</v>
      </c>
      <c r="F65" s="92" t="s">
        <v>134</v>
      </c>
      <c r="G65" s="94">
        <v>4</v>
      </c>
      <c r="H65" s="99" t="s">
        <v>140</v>
      </c>
      <c r="I65" s="2"/>
    </row>
    <row r="66" spans="1:9" ht="19.8" customHeight="1" x14ac:dyDescent="0.3">
      <c r="A66" s="175">
        <v>45992</v>
      </c>
      <c r="B66" s="92" t="s">
        <v>130</v>
      </c>
      <c r="C66" s="93" t="s">
        <v>141</v>
      </c>
      <c r="D66" s="92" t="s">
        <v>1</v>
      </c>
      <c r="E66" s="176">
        <v>1.302083333333333</v>
      </c>
      <c r="F66" s="92" t="s">
        <v>134</v>
      </c>
      <c r="G66" s="94">
        <v>4</v>
      </c>
      <c r="H66" s="99" t="s">
        <v>140</v>
      </c>
      <c r="I66" s="2"/>
    </row>
    <row r="67" spans="1:9" ht="19.8" customHeight="1" x14ac:dyDescent="0.3">
      <c r="A67" s="175">
        <v>45992</v>
      </c>
      <c r="B67" s="92" t="s">
        <v>130</v>
      </c>
      <c r="C67" s="93" t="s">
        <v>142</v>
      </c>
      <c r="D67" s="92" t="s">
        <v>1</v>
      </c>
      <c r="E67" s="176">
        <v>1.1284722222222221</v>
      </c>
      <c r="F67" s="92" t="s">
        <v>134</v>
      </c>
      <c r="G67" s="94">
        <v>4</v>
      </c>
      <c r="H67" s="99" t="s">
        <v>140</v>
      </c>
      <c r="I67" s="2"/>
    </row>
    <row r="68" spans="1:9" ht="19.8" customHeight="1" x14ac:dyDescent="0.3">
      <c r="A68" s="175">
        <v>45992</v>
      </c>
      <c r="B68" s="92" t="s">
        <v>130</v>
      </c>
      <c r="C68" s="93" t="s">
        <v>143</v>
      </c>
      <c r="D68" s="92" t="s">
        <v>1</v>
      </c>
      <c r="E68" s="176">
        <v>1.006944444444444</v>
      </c>
      <c r="F68" s="92" t="s">
        <v>132</v>
      </c>
      <c r="G68" s="94">
        <v>2</v>
      </c>
      <c r="H68" s="99" t="s">
        <v>144</v>
      </c>
      <c r="I68" s="2"/>
    </row>
    <row r="69" spans="1:9" ht="19.8" customHeight="1" x14ac:dyDescent="0.3">
      <c r="A69" s="175">
        <v>45992</v>
      </c>
      <c r="B69" s="92" t="s">
        <v>130</v>
      </c>
      <c r="C69" s="93" t="s">
        <v>146</v>
      </c>
      <c r="D69" s="92" t="s">
        <v>1</v>
      </c>
      <c r="E69" s="176">
        <v>1.1423611111111109</v>
      </c>
      <c r="F69" s="92" t="s">
        <v>132</v>
      </c>
      <c r="G69" s="94">
        <v>9</v>
      </c>
      <c r="H69" s="99" t="s">
        <v>144</v>
      </c>
      <c r="I69" s="2"/>
    </row>
    <row r="70" spans="1:9" ht="19.8" customHeight="1" x14ac:dyDescent="0.3">
      <c r="A70" s="175">
        <v>45992</v>
      </c>
      <c r="B70" s="92" t="s">
        <v>130</v>
      </c>
      <c r="C70" s="93" t="s">
        <v>147</v>
      </c>
      <c r="D70" s="92" t="s">
        <v>1</v>
      </c>
      <c r="E70" s="176">
        <v>1.71875</v>
      </c>
      <c r="F70" s="92" t="s">
        <v>132</v>
      </c>
      <c r="G70" s="94">
        <v>9</v>
      </c>
      <c r="H70" s="99" t="s">
        <v>144</v>
      </c>
      <c r="I70" s="2"/>
    </row>
    <row r="71" spans="1:9" ht="19.8" customHeight="1" x14ac:dyDescent="0.3">
      <c r="A71" s="175">
        <v>45992</v>
      </c>
      <c r="B71" s="92" t="s">
        <v>130</v>
      </c>
      <c r="C71" s="93" t="s">
        <v>148</v>
      </c>
      <c r="D71" s="92" t="s">
        <v>1</v>
      </c>
      <c r="E71" s="176">
        <v>1.8298611111111109</v>
      </c>
      <c r="F71" s="92" t="s">
        <v>132</v>
      </c>
      <c r="G71" s="94">
        <v>9</v>
      </c>
      <c r="H71" s="99" t="s">
        <v>144</v>
      </c>
      <c r="I71" s="2"/>
    </row>
    <row r="72" spans="1:9" ht="19.8" customHeight="1" x14ac:dyDescent="0.3">
      <c r="A72" s="175">
        <v>45992</v>
      </c>
      <c r="B72" s="92" t="s">
        <v>130</v>
      </c>
      <c r="C72" s="93" t="s">
        <v>143</v>
      </c>
      <c r="D72" s="92" t="s">
        <v>1</v>
      </c>
      <c r="E72" s="176">
        <v>1.006944444444444</v>
      </c>
      <c r="F72" s="92" t="s">
        <v>134</v>
      </c>
      <c r="G72" s="94">
        <v>2</v>
      </c>
      <c r="H72" s="99" t="s">
        <v>145</v>
      </c>
      <c r="I72" s="2"/>
    </row>
    <row r="73" spans="1:9" ht="19.8" customHeight="1" x14ac:dyDescent="0.3">
      <c r="A73" s="175">
        <v>45992</v>
      </c>
      <c r="B73" s="92" t="s">
        <v>130</v>
      </c>
      <c r="C73" s="93" t="s">
        <v>146</v>
      </c>
      <c r="D73" s="92" t="s">
        <v>1</v>
      </c>
      <c r="E73" s="176">
        <v>1.1423611111111109</v>
      </c>
      <c r="F73" s="92" t="s">
        <v>134</v>
      </c>
      <c r="G73" s="94">
        <v>9</v>
      </c>
      <c r="H73" s="99" t="s">
        <v>145</v>
      </c>
      <c r="I73" s="2"/>
    </row>
    <row r="74" spans="1:9" ht="19.8" customHeight="1" x14ac:dyDescent="0.3">
      <c r="A74" s="175">
        <v>45992</v>
      </c>
      <c r="B74" s="92" t="s">
        <v>130</v>
      </c>
      <c r="C74" s="93" t="s">
        <v>147</v>
      </c>
      <c r="D74" s="92" t="s">
        <v>1</v>
      </c>
      <c r="E74" s="176">
        <v>1.71875</v>
      </c>
      <c r="F74" s="92" t="s">
        <v>134</v>
      </c>
      <c r="G74" s="94">
        <v>9</v>
      </c>
      <c r="H74" s="99" t="s">
        <v>145</v>
      </c>
      <c r="I74" s="2"/>
    </row>
    <row r="75" spans="1:9" ht="19.8" customHeight="1" x14ac:dyDescent="0.3">
      <c r="A75" s="175">
        <v>45992</v>
      </c>
      <c r="B75" s="92" t="s">
        <v>130</v>
      </c>
      <c r="C75" s="93" t="s">
        <v>148</v>
      </c>
      <c r="D75" s="92" t="s">
        <v>1</v>
      </c>
      <c r="E75" s="176">
        <v>1.8298611111111109</v>
      </c>
      <c r="F75" s="92" t="s">
        <v>134</v>
      </c>
      <c r="G75" s="94">
        <v>9</v>
      </c>
      <c r="H75" s="99" t="s">
        <v>145</v>
      </c>
      <c r="I75" s="2"/>
    </row>
    <row r="76" spans="1:9" ht="19.8" customHeight="1" x14ac:dyDescent="0.3">
      <c r="A76" s="179">
        <v>45992</v>
      </c>
      <c r="B76" s="100" t="s">
        <v>130</v>
      </c>
      <c r="C76" s="101" t="s">
        <v>149</v>
      </c>
      <c r="D76" s="100" t="s">
        <v>1</v>
      </c>
      <c r="E76" s="180">
        <v>1.788194444444444</v>
      </c>
      <c r="F76" s="100" t="s">
        <v>134</v>
      </c>
      <c r="G76" s="102">
        <v>4</v>
      </c>
      <c r="H76" s="103" t="s">
        <v>150</v>
      </c>
      <c r="I76" s="2"/>
    </row>
    <row r="77" spans="1:9" ht="19.8" customHeight="1" x14ac:dyDescent="0.3">
      <c r="A77" s="175">
        <v>45993</v>
      </c>
      <c r="B77" s="92" t="s">
        <v>74</v>
      </c>
      <c r="C77" s="93" t="s">
        <v>151</v>
      </c>
      <c r="D77" s="92" t="s">
        <v>1</v>
      </c>
      <c r="E77" s="176">
        <v>1.0451388888888891</v>
      </c>
      <c r="F77" s="92" t="s">
        <v>72</v>
      </c>
      <c r="G77" s="94">
        <v>1</v>
      </c>
      <c r="H77" s="173">
        <v>310</v>
      </c>
      <c r="I77" s="2"/>
    </row>
    <row r="78" spans="1:9" ht="19.8" customHeight="1" x14ac:dyDescent="0.3">
      <c r="A78" s="175">
        <v>45993</v>
      </c>
      <c r="B78" s="92" t="s">
        <v>26</v>
      </c>
      <c r="C78" s="93" t="s">
        <v>35</v>
      </c>
      <c r="D78" s="92" t="s">
        <v>1</v>
      </c>
      <c r="E78" s="176">
        <v>1.1284722222222221</v>
      </c>
      <c r="F78" s="92" t="s">
        <v>153</v>
      </c>
      <c r="G78" s="94">
        <v>6</v>
      </c>
      <c r="H78" s="173">
        <v>359</v>
      </c>
      <c r="I78" s="2"/>
    </row>
    <row r="79" spans="1:9" ht="19.8" customHeight="1" x14ac:dyDescent="0.3">
      <c r="A79" s="175">
        <v>45993</v>
      </c>
      <c r="B79" s="92" t="s">
        <v>26</v>
      </c>
      <c r="C79" s="93" t="s">
        <v>27</v>
      </c>
      <c r="D79" s="92" t="s">
        <v>1</v>
      </c>
      <c r="E79" s="176">
        <v>1.8888888888888891</v>
      </c>
      <c r="F79" s="92" t="s">
        <v>153</v>
      </c>
      <c r="G79" s="94">
        <v>3</v>
      </c>
      <c r="H79" s="173">
        <v>359</v>
      </c>
      <c r="I79" s="2"/>
    </row>
    <row r="80" spans="1:9" ht="19.8" customHeight="1" x14ac:dyDescent="0.3">
      <c r="A80" s="175">
        <v>45993</v>
      </c>
      <c r="B80" s="92" t="s">
        <v>45</v>
      </c>
      <c r="C80" s="93" t="s">
        <v>53</v>
      </c>
      <c r="D80" s="92" t="s">
        <v>1</v>
      </c>
      <c r="E80" s="176">
        <v>1.854166666666667</v>
      </c>
      <c r="F80" s="92" t="s">
        <v>154</v>
      </c>
      <c r="G80" s="94">
        <v>4</v>
      </c>
      <c r="H80" s="173">
        <v>369</v>
      </c>
      <c r="I80" s="2"/>
    </row>
    <row r="81" spans="1:9" ht="19.8" customHeight="1" x14ac:dyDescent="0.3">
      <c r="A81" s="175">
        <v>45993</v>
      </c>
      <c r="B81" s="92" t="s">
        <v>45</v>
      </c>
      <c r="C81" s="93" t="s">
        <v>57</v>
      </c>
      <c r="D81" s="92" t="s">
        <v>1</v>
      </c>
      <c r="E81" s="176">
        <v>1.256944444444444</v>
      </c>
      <c r="F81" s="92" t="s">
        <v>154</v>
      </c>
      <c r="G81" s="94">
        <v>3</v>
      </c>
      <c r="H81" s="173">
        <v>369</v>
      </c>
      <c r="I81" s="2"/>
    </row>
    <row r="82" spans="1:9" ht="19.8" customHeight="1" x14ac:dyDescent="0.3">
      <c r="A82" s="175">
        <v>45993</v>
      </c>
      <c r="B82" s="92" t="s">
        <v>45</v>
      </c>
      <c r="C82" s="93" t="s">
        <v>59</v>
      </c>
      <c r="D82" s="92" t="s">
        <v>1</v>
      </c>
      <c r="E82" s="176">
        <v>1.9027777777777779</v>
      </c>
      <c r="F82" s="92" t="s">
        <v>154</v>
      </c>
      <c r="G82" s="94">
        <v>1</v>
      </c>
      <c r="H82" s="173">
        <v>369</v>
      </c>
      <c r="I82" s="2"/>
    </row>
    <row r="83" spans="1:9" ht="19.8" customHeight="1" x14ac:dyDescent="0.3">
      <c r="A83" s="175">
        <v>45993</v>
      </c>
      <c r="B83" s="92" t="s">
        <v>45</v>
      </c>
      <c r="C83" s="93" t="s">
        <v>60</v>
      </c>
      <c r="D83" s="92" t="s">
        <v>1</v>
      </c>
      <c r="E83" s="176">
        <v>1.7986111111111109</v>
      </c>
      <c r="F83" s="92" t="s">
        <v>154</v>
      </c>
      <c r="G83" s="94">
        <v>2</v>
      </c>
      <c r="H83" s="173">
        <v>369</v>
      </c>
      <c r="I83" s="2"/>
    </row>
    <row r="84" spans="1:9" ht="19.8" customHeight="1" x14ac:dyDescent="0.3">
      <c r="A84" s="175">
        <v>45993</v>
      </c>
      <c r="B84" s="92" t="s">
        <v>45</v>
      </c>
      <c r="C84" s="93" t="s">
        <v>46</v>
      </c>
      <c r="D84" s="92" t="s">
        <v>1</v>
      </c>
      <c r="E84" s="176">
        <v>1.395833333333333</v>
      </c>
      <c r="F84" s="92" t="s">
        <v>154</v>
      </c>
      <c r="G84" s="94">
        <v>9</v>
      </c>
      <c r="H84" s="173">
        <v>369</v>
      </c>
      <c r="I84" s="2"/>
    </row>
    <row r="85" spans="1:9" ht="19.8" customHeight="1" x14ac:dyDescent="0.3">
      <c r="A85" s="175">
        <v>45993</v>
      </c>
      <c r="B85" s="92" t="s">
        <v>26</v>
      </c>
      <c r="C85" s="93" t="s">
        <v>39</v>
      </c>
      <c r="D85" s="92" t="s">
        <v>1</v>
      </c>
      <c r="E85" s="176">
        <v>1.302083333333333</v>
      </c>
      <c r="F85" s="92" t="s">
        <v>153</v>
      </c>
      <c r="G85" s="94">
        <v>1</v>
      </c>
      <c r="H85" s="173">
        <v>389</v>
      </c>
      <c r="I85" s="2"/>
    </row>
    <row r="86" spans="1:9" ht="19.8" customHeight="1" x14ac:dyDescent="0.3">
      <c r="A86" s="175">
        <v>45993</v>
      </c>
      <c r="B86" s="92" t="s">
        <v>26</v>
      </c>
      <c r="C86" s="93" t="s">
        <v>41</v>
      </c>
      <c r="D86" s="92" t="s">
        <v>1</v>
      </c>
      <c r="E86" s="176">
        <v>1.788194444444444</v>
      </c>
      <c r="F86" s="92" t="s">
        <v>153</v>
      </c>
      <c r="G86" s="94">
        <v>1</v>
      </c>
      <c r="H86" s="173">
        <v>389</v>
      </c>
      <c r="I86" s="2"/>
    </row>
    <row r="87" spans="1:9" ht="19.8" customHeight="1" x14ac:dyDescent="0.3">
      <c r="A87" s="175">
        <v>45993</v>
      </c>
      <c r="B87" s="92" t="s">
        <v>70</v>
      </c>
      <c r="C87" s="93" t="s">
        <v>71</v>
      </c>
      <c r="D87" s="92" t="s">
        <v>1</v>
      </c>
      <c r="E87" s="176">
        <v>1.739583333333333</v>
      </c>
      <c r="F87" s="92" t="s">
        <v>72</v>
      </c>
      <c r="G87" s="94">
        <v>4</v>
      </c>
      <c r="H87" s="173">
        <v>400</v>
      </c>
      <c r="I87" s="2"/>
    </row>
    <row r="88" spans="1:9" ht="19.8" customHeight="1" x14ac:dyDescent="0.3">
      <c r="A88" s="175">
        <v>45993</v>
      </c>
      <c r="B88" s="92" t="s">
        <v>70</v>
      </c>
      <c r="C88" s="93" t="s">
        <v>155</v>
      </c>
      <c r="D88" s="92" t="s">
        <v>1</v>
      </c>
      <c r="E88" s="176">
        <v>1.274305555555556</v>
      </c>
      <c r="F88" s="92" t="s">
        <v>72</v>
      </c>
      <c r="G88" s="94">
        <v>9</v>
      </c>
      <c r="H88" s="173">
        <v>400</v>
      </c>
      <c r="I88" s="2"/>
    </row>
    <row r="89" spans="1:9" ht="19.8" customHeight="1" x14ac:dyDescent="0.3">
      <c r="A89" s="175">
        <v>45993</v>
      </c>
      <c r="B89" s="92" t="s">
        <v>74</v>
      </c>
      <c r="C89" s="93" t="s">
        <v>78</v>
      </c>
      <c r="D89" s="92" t="s">
        <v>1</v>
      </c>
      <c r="E89" s="176">
        <v>1.666666666666667</v>
      </c>
      <c r="F89" s="92" t="s">
        <v>72</v>
      </c>
      <c r="G89" s="94">
        <v>9</v>
      </c>
      <c r="H89" s="173">
        <v>401</v>
      </c>
      <c r="I89" s="2"/>
    </row>
    <row r="90" spans="1:9" ht="19.8" customHeight="1" x14ac:dyDescent="0.3">
      <c r="A90" s="175">
        <v>45993</v>
      </c>
      <c r="B90" s="92" t="s">
        <v>45</v>
      </c>
      <c r="C90" s="93" t="s">
        <v>58</v>
      </c>
      <c r="D90" s="92" t="s">
        <v>1</v>
      </c>
      <c r="E90" s="176">
        <v>1.302083333333333</v>
      </c>
      <c r="F90" s="92" t="s">
        <v>154</v>
      </c>
      <c r="G90" s="94">
        <v>4</v>
      </c>
      <c r="H90" s="173">
        <v>409</v>
      </c>
      <c r="I90" s="2"/>
    </row>
    <row r="91" spans="1:9" ht="19.8" customHeight="1" x14ac:dyDescent="0.3">
      <c r="A91" s="175">
        <v>45993</v>
      </c>
      <c r="B91" s="92" t="s">
        <v>45</v>
      </c>
      <c r="C91" s="93" t="s">
        <v>62</v>
      </c>
      <c r="D91" s="92" t="s">
        <v>1</v>
      </c>
      <c r="E91" s="176">
        <v>1.5173611111111109</v>
      </c>
      <c r="F91" s="92" t="s">
        <v>154</v>
      </c>
      <c r="G91" s="94">
        <v>9</v>
      </c>
      <c r="H91" s="173">
        <v>409</v>
      </c>
      <c r="I91" s="2"/>
    </row>
    <row r="92" spans="1:9" ht="19.8" customHeight="1" x14ac:dyDescent="0.3">
      <c r="A92" s="175">
        <v>45993</v>
      </c>
      <c r="B92" s="92" t="s">
        <v>45</v>
      </c>
      <c r="C92" s="93" t="s">
        <v>66</v>
      </c>
      <c r="D92" s="92" t="s">
        <v>1</v>
      </c>
      <c r="E92" s="176">
        <v>1.645833333333333</v>
      </c>
      <c r="F92" s="92" t="s">
        <v>154</v>
      </c>
      <c r="G92" s="94">
        <v>9</v>
      </c>
      <c r="H92" s="173">
        <v>409</v>
      </c>
      <c r="I92" s="2"/>
    </row>
    <row r="93" spans="1:9" ht="19.8" customHeight="1" x14ac:dyDescent="0.3">
      <c r="A93" s="175">
        <v>45993</v>
      </c>
      <c r="B93" s="92" t="s">
        <v>79</v>
      </c>
      <c r="C93" s="93" t="s">
        <v>80</v>
      </c>
      <c r="D93" s="92" t="s">
        <v>1</v>
      </c>
      <c r="E93" s="176">
        <v>1.2222222222222221</v>
      </c>
      <c r="F93" s="92" t="s">
        <v>156</v>
      </c>
      <c r="G93" s="94">
        <v>9</v>
      </c>
      <c r="H93" s="173">
        <v>421</v>
      </c>
      <c r="I93" s="2"/>
    </row>
    <row r="94" spans="1:9" ht="19.8" customHeight="1" x14ac:dyDescent="0.3">
      <c r="A94" s="175">
        <v>45993</v>
      </c>
      <c r="B94" s="92" t="s">
        <v>45</v>
      </c>
      <c r="C94" s="93" t="s">
        <v>53</v>
      </c>
      <c r="D94" s="92" t="s">
        <v>1</v>
      </c>
      <c r="E94" s="176">
        <v>1.854166666666667</v>
      </c>
      <c r="F94" s="92" t="s">
        <v>49</v>
      </c>
      <c r="G94" s="94">
        <v>4</v>
      </c>
      <c r="H94" s="173">
        <v>469</v>
      </c>
      <c r="I94" s="2"/>
    </row>
    <row r="95" spans="1:9" ht="19.8" customHeight="1" x14ac:dyDescent="0.3">
      <c r="A95" s="175">
        <v>45993</v>
      </c>
      <c r="B95" s="92" t="s">
        <v>45</v>
      </c>
      <c r="C95" s="93" t="s">
        <v>57</v>
      </c>
      <c r="D95" s="92" t="s">
        <v>1</v>
      </c>
      <c r="E95" s="176">
        <v>1.256944444444444</v>
      </c>
      <c r="F95" s="92" t="s">
        <v>49</v>
      </c>
      <c r="G95" s="94">
        <v>3</v>
      </c>
      <c r="H95" s="173">
        <v>469</v>
      </c>
      <c r="I95" s="2"/>
    </row>
    <row r="96" spans="1:9" ht="19.8" customHeight="1" x14ac:dyDescent="0.3">
      <c r="A96" s="175">
        <v>45993</v>
      </c>
      <c r="B96" s="92" t="s">
        <v>45</v>
      </c>
      <c r="C96" s="93" t="s">
        <v>59</v>
      </c>
      <c r="D96" s="92" t="s">
        <v>1</v>
      </c>
      <c r="E96" s="176">
        <v>1.9027777777777779</v>
      </c>
      <c r="F96" s="92" t="s">
        <v>49</v>
      </c>
      <c r="G96" s="94">
        <v>1</v>
      </c>
      <c r="H96" s="173">
        <v>469</v>
      </c>
      <c r="I96" s="2"/>
    </row>
    <row r="97" spans="1:9" ht="19.8" customHeight="1" x14ac:dyDescent="0.3">
      <c r="A97" s="175">
        <v>45993</v>
      </c>
      <c r="B97" s="92" t="s">
        <v>45</v>
      </c>
      <c r="C97" s="93" t="s">
        <v>60</v>
      </c>
      <c r="D97" s="92" t="s">
        <v>1</v>
      </c>
      <c r="E97" s="176">
        <v>1.7986111111111109</v>
      </c>
      <c r="F97" s="92" t="s">
        <v>49</v>
      </c>
      <c r="G97" s="94">
        <v>2</v>
      </c>
      <c r="H97" s="173">
        <v>469</v>
      </c>
      <c r="I97" s="2"/>
    </row>
    <row r="98" spans="1:9" ht="19.8" customHeight="1" x14ac:dyDescent="0.3">
      <c r="A98" s="175">
        <v>45993</v>
      </c>
      <c r="B98" s="92" t="s">
        <v>45</v>
      </c>
      <c r="C98" s="93" t="s">
        <v>46</v>
      </c>
      <c r="D98" s="92" t="s">
        <v>1</v>
      </c>
      <c r="E98" s="176">
        <v>1.395833333333333</v>
      </c>
      <c r="F98" s="92" t="s">
        <v>49</v>
      </c>
      <c r="G98" s="94">
        <v>9</v>
      </c>
      <c r="H98" s="173">
        <v>469</v>
      </c>
      <c r="I98" s="2"/>
    </row>
    <row r="99" spans="1:9" ht="19.8" customHeight="1" x14ac:dyDescent="0.3">
      <c r="A99" s="177">
        <v>45993</v>
      </c>
      <c r="B99" s="96" t="s">
        <v>87</v>
      </c>
      <c r="C99" s="97" t="s">
        <v>102</v>
      </c>
      <c r="D99" s="96" t="s">
        <v>1</v>
      </c>
      <c r="E99" s="178">
        <v>1.5590277777777779</v>
      </c>
      <c r="F99" s="96" t="s">
        <v>89</v>
      </c>
      <c r="G99" s="98">
        <v>2</v>
      </c>
      <c r="H99" s="174">
        <v>471</v>
      </c>
      <c r="I99" s="2"/>
    </row>
    <row r="100" spans="1:9" ht="19.8" customHeight="1" x14ac:dyDescent="0.3">
      <c r="A100" s="177">
        <v>45993</v>
      </c>
      <c r="B100" s="96" t="s">
        <v>87</v>
      </c>
      <c r="C100" s="97" t="s">
        <v>109</v>
      </c>
      <c r="D100" s="96" t="s">
        <v>1</v>
      </c>
      <c r="E100" s="178">
        <v>1.96875</v>
      </c>
      <c r="F100" s="96" t="s">
        <v>89</v>
      </c>
      <c r="G100" s="98">
        <v>4</v>
      </c>
      <c r="H100" s="174">
        <v>471</v>
      </c>
      <c r="I100" s="2"/>
    </row>
    <row r="101" spans="1:9" ht="19.8" customHeight="1" x14ac:dyDescent="0.3">
      <c r="A101" s="177">
        <v>45993</v>
      </c>
      <c r="B101" s="96" t="s">
        <v>87</v>
      </c>
      <c r="C101" s="97" t="s">
        <v>165</v>
      </c>
      <c r="D101" s="96" t="s">
        <v>1</v>
      </c>
      <c r="E101" s="178">
        <v>1.229166666666667</v>
      </c>
      <c r="F101" s="96" t="s">
        <v>89</v>
      </c>
      <c r="G101" s="98">
        <v>9</v>
      </c>
      <c r="H101" s="174">
        <v>471</v>
      </c>
      <c r="I101" s="2"/>
    </row>
    <row r="102" spans="1:9" ht="19.8" customHeight="1" x14ac:dyDescent="0.3">
      <c r="A102" s="177">
        <v>45993</v>
      </c>
      <c r="B102" s="96" t="s">
        <v>87</v>
      </c>
      <c r="C102" s="97" t="s">
        <v>169</v>
      </c>
      <c r="D102" s="96" t="s">
        <v>1</v>
      </c>
      <c r="E102" s="178">
        <v>1.9340277777777779</v>
      </c>
      <c r="F102" s="96" t="s">
        <v>89</v>
      </c>
      <c r="G102" s="98">
        <v>9</v>
      </c>
      <c r="H102" s="174">
        <v>471</v>
      </c>
      <c r="I102" s="2"/>
    </row>
    <row r="103" spans="1:9" ht="19.8" customHeight="1" x14ac:dyDescent="0.3">
      <c r="A103" s="177">
        <v>45993</v>
      </c>
      <c r="B103" s="96" t="s">
        <v>87</v>
      </c>
      <c r="C103" s="97" t="s">
        <v>88</v>
      </c>
      <c r="D103" s="96" t="s">
        <v>1</v>
      </c>
      <c r="E103" s="178">
        <v>1.729166666666667</v>
      </c>
      <c r="F103" s="96" t="s">
        <v>89</v>
      </c>
      <c r="G103" s="98">
        <v>7</v>
      </c>
      <c r="H103" s="174">
        <v>471</v>
      </c>
      <c r="I103" s="2"/>
    </row>
    <row r="104" spans="1:9" ht="19.8" customHeight="1" x14ac:dyDescent="0.3">
      <c r="A104" s="175">
        <v>45993</v>
      </c>
      <c r="B104" s="92" t="s">
        <v>26</v>
      </c>
      <c r="C104" s="93" t="s">
        <v>35</v>
      </c>
      <c r="D104" s="92" t="s">
        <v>1</v>
      </c>
      <c r="E104" s="176">
        <v>1.1284722222222221</v>
      </c>
      <c r="F104" s="92" t="s">
        <v>31</v>
      </c>
      <c r="G104" s="94">
        <v>2</v>
      </c>
      <c r="H104" s="173">
        <v>509</v>
      </c>
      <c r="I104" s="2"/>
    </row>
    <row r="105" spans="1:9" ht="19.8" customHeight="1" x14ac:dyDescent="0.3">
      <c r="A105" s="175">
        <v>45993</v>
      </c>
      <c r="B105" s="92" t="s">
        <v>26</v>
      </c>
      <c r="C105" s="93" t="s">
        <v>27</v>
      </c>
      <c r="D105" s="92" t="s">
        <v>1</v>
      </c>
      <c r="E105" s="176">
        <v>1.8888888888888891</v>
      </c>
      <c r="F105" s="92" t="s">
        <v>31</v>
      </c>
      <c r="G105" s="94">
        <v>3</v>
      </c>
      <c r="H105" s="173">
        <v>509</v>
      </c>
      <c r="I105" s="2"/>
    </row>
    <row r="106" spans="1:9" ht="19.8" customHeight="1" x14ac:dyDescent="0.3">
      <c r="A106" s="175">
        <v>45993</v>
      </c>
      <c r="B106" s="92" t="s">
        <v>45</v>
      </c>
      <c r="C106" s="93" t="s">
        <v>58</v>
      </c>
      <c r="D106" s="92" t="s">
        <v>1</v>
      </c>
      <c r="E106" s="176">
        <v>1.302083333333333</v>
      </c>
      <c r="F106" s="92" t="s">
        <v>49</v>
      </c>
      <c r="G106" s="94">
        <v>4</v>
      </c>
      <c r="H106" s="173">
        <v>509</v>
      </c>
      <c r="I106" s="2"/>
    </row>
    <row r="107" spans="1:9" ht="19.8" customHeight="1" x14ac:dyDescent="0.3">
      <c r="A107" s="175">
        <v>45993</v>
      </c>
      <c r="B107" s="92" t="s">
        <v>45</v>
      </c>
      <c r="C107" s="93" t="s">
        <v>62</v>
      </c>
      <c r="D107" s="92" t="s">
        <v>1</v>
      </c>
      <c r="E107" s="176">
        <v>1.5173611111111109</v>
      </c>
      <c r="F107" s="92" t="s">
        <v>49</v>
      </c>
      <c r="G107" s="94">
        <v>9</v>
      </c>
      <c r="H107" s="173">
        <v>509</v>
      </c>
      <c r="I107" s="2"/>
    </row>
    <row r="108" spans="1:9" ht="19.8" customHeight="1" x14ac:dyDescent="0.3">
      <c r="A108" s="175">
        <v>45993</v>
      </c>
      <c r="B108" s="92" t="s">
        <v>45</v>
      </c>
      <c r="C108" s="93" t="s">
        <v>66</v>
      </c>
      <c r="D108" s="92" t="s">
        <v>1</v>
      </c>
      <c r="E108" s="176">
        <v>1.645833333333333</v>
      </c>
      <c r="F108" s="92" t="s">
        <v>49</v>
      </c>
      <c r="G108" s="94">
        <v>9</v>
      </c>
      <c r="H108" s="173">
        <v>509</v>
      </c>
      <c r="I108" s="2"/>
    </row>
    <row r="109" spans="1:9" ht="19.8" customHeight="1" x14ac:dyDescent="0.3">
      <c r="A109" s="177">
        <v>45993</v>
      </c>
      <c r="B109" s="96" t="s">
        <v>87</v>
      </c>
      <c r="C109" s="97" t="s">
        <v>95</v>
      </c>
      <c r="D109" s="96" t="s">
        <v>1</v>
      </c>
      <c r="E109" s="178">
        <v>1.614583333333333</v>
      </c>
      <c r="F109" s="96" t="s">
        <v>89</v>
      </c>
      <c r="G109" s="98">
        <v>7</v>
      </c>
      <c r="H109" s="174">
        <v>526</v>
      </c>
      <c r="I109" s="2"/>
    </row>
    <row r="110" spans="1:9" ht="19.8" customHeight="1" x14ac:dyDescent="0.3">
      <c r="A110" s="175">
        <v>45993</v>
      </c>
      <c r="B110" s="92" t="s">
        <v>26</v>
      </c>
      <c r="C110" s="93" t="s">
        <v>39</v>
      </c>
      <c r="D110" s="92" t="s">
        <v>1</v>
      </c>
      <c r="E110" s="176">
        <v>1.302083333333333</v>
      </c>
      <c r="F110" s="92" t="s">
        <v>31</v>
      </c>
      <c r="G110" s="94">
        <v>1</v>
      </c>
      <c r="H110" s="173">
        <v>539</v>
      </c>
      <c r="I110" s="2"/>
    </row>
    <row r="111" spans="1:9" ht="19.8" customHeight="1" x14ac:dyDescent="0.3">
      <c r="A111" s="175">
        <v>45993</v>
      </c>
      <c r="B111" s="92" t="s">
        <v>26</v>
      </c>
      <c r="C111" s="93" t="s">
        <v>41</v>
      </c>
      <c r="D111" s="92" t="s">
        <v>1</v>
      </c>
      <c r="E111" s="176">
        <v>1.788194444444444</v>
      </c>
      <c r="F111" s="92" t="s">
        <v>31</v>
      </c>
      <c r="G111" s="94">
        <v>1</v>
      </c>
      <c r="H111" s="173">
        <v>539</v>
      </c>
      <c r="I111" s="2"/>
    </row>
    <row r="112" spans="1:9" ht="19.8" customHeight="1" x14ac:dyDescent="0.3">
      <c r="A112" s="175">
        <v>45993</v>
      </c>
      <c r="B112" s="92" t="s">
        <v>79</v>
      </c>
      <c r="C112" s="93" t="s">
        <v>80</v>
      </c>
      <c r="D112" s="92" t="s">
        <v>1</v>
      </c>
      <c r="E112" s="176">
        <v>1.2222222222222221</v>
      </c>
      <c r="F112" s="92" t="s">
        <v>33</v>
      </c>
      <c r="G112" s="94">
        <v>9</v>
      </c>
      <c r="H112" s="173">
        <v>544</v>
      </c>
      <c r="I112" s="2"/>
    </row>
    <row r="113" spans="1:9" ht="19.8" customHeight="1" x14ac:dyDescent="0.3">
      <c r="A113" s="175">
        <v>45993</v>
      </c>
      <c r="B113" s="92" t="s">
        <v>45</v>
      </c>
      <c r="C113" s="93" t="s">
        <v>53</v>
      </c>
      <c r="D113" s="92" t="s">
        <v>1</v>
      </c>
      <c r="E113" s="176">
        <v>1.854166666666667</v>
      </c>
      <c r="F113" s="92" t="s">
        <v>51</v>
      </c>
      <c r="G113" s="94">
        <v>4</v>
      </c>
      <c r="H113" s="173">
        <v>559</v>
      </c>
      <c r="I113" s="2"/>
    </row>
    <row r="114" spans="1:9" ht="19.8" customHeight="1" x14ac:dyDescent="0.3">
      <c r="A114" s="175">
        <v>45993</v>
      </c>
      <c r="B114" s="92" t="s">
        <v>45</v>
      </c>
      <c r="C114" s="93" t="s">
        <v>57</v>
      </c>
      <c r="D114" s="92" t="s">
        <v>1</v>
      </c>
      <c r="E114" s="176">
        <v>1.256944444444444</v>
      </c>
      <c r="F114" s="92" t="s">
        <v>51</v>
      </c>
      <c r="G114" s="94">
        <v>3</v>
      </c>
      <c r="H114" s="173">
        <v>559</v>
      </c>
      <c r="I114" s="2"/>
    </row>
    <row r="115" spans="1:9" ht="19.8" customHeight="1" x14ac:dyDescent="0.3">
      <c r="A115" s="175">
        <v>45993</v>
      </c>
      <c r="B115" s="92" t="s">
        <v>45</v>
      </c>
      <c r="C115" s="93" t="s">
        <v>59</v>
      </c>
      <c r="D115" s="92" t="s">
        <v>1</v>
      </c>
      <c r="E115" s="176">
        <v>1.9027777777777779</v>
      </c>
      <c r="F115" s="92" t="s">
        <v>51</v>
      </c>
      <c r="G115" s="94">
        <v>1</v>
      </c>
      <c r="H115" s="173">
        <v>559</v>
      </c>
      <c r="I115" s="2"/>
    </row>
    <row r="116" spans="1:9" ht="19.8" customHeight="1" x14ac:dyDescent="0.3">
      <c r="A116" s="175">
        <v>45993</v>
      </c>
      <c r="B116" s="92" t="s">
        <v>45</v>
      </c>
      <c r="C116" s="93" t="s">
        <v>60</v>
      </c>
      <c r="D116" s="92" t="s">
        <v>1</v>
      </c>
      <c r="E116" s="176">
        <v>1.7986111111111109</v>
      </c>
      <c r="F116" s="92" t="s">
        <v>51</v>
      </c>
      <c r="G116" s="94">
        <v>2</v>
      </c>
      <c r="H116" s="173">
        <v>559</v>
      </c>
      <c r="I116" s="2"/>
    </row>
    <row r="117" spans="1:9" ht="19.8" customHeight="1" x14ac:dyDescent="0.3">
      <c r="A117" s="175">
        <v>45993</v>
      </c>
      <c r="B117" s="92" t="s">
        <v>45</v>
      </c>
      <c r="C117" s="93" t="s">
        <v>46</v>
      </c>
      <c r="D117" s="92" t="s">
        <v>1</v>
      </c>
      <c r="E117" s="176">
        <v>1.395833333333333</v>
      </c>
      <c r="F117" s="92" t="s">
        <v>51</v>
      </c>
      <c r="G117" s="94">
        <v>9</v>
      </c>
      <c r="H117" s="173">
        <v>559</v>
      </c>
      <c r="I117" s="2"/>
    </row>
    <row r="118" spans="1:9" ht="19.8" customHeight="1" x14ac:dyDescent="0.3">
      <c r="A118" s="175">
        <v>45993</v>
      </c>
      <c r="B118" s="92" t="s">
        <v>115</v>
      </c>
      <c r="C118" s="93" t="s">
        <v>116</v>
      </c>
      <c r="D118" s="92" t="s">
        <v>1</v>
      </c>
      <c r="E118" s="176">
        <v>1.2222222222222221</v>
      </c>
      <c r="F118" s="92" t="s">
        <v>117</v>
      </c>
      <c r="G118" s="94">
        <v>9</v>
      </c>
      <c r="H118" s="173">
        <v>579</v>
      </c>
      <c r="I118" s="2"/>
    </row>
    <row r="119" spans="1:9" ht="19.8" customHeight="1" x14ac:dyDescent="0.3">
      <c r="A119" s="175">
        <v>45993</v>
      </c>
      <c r="B119" s="92" t="s">
        <v>115</v>
      </c>
      <c r="C119" s="93" t="s">
        <v>123</v>
      </c>
      <c r="D119" s="92" t="s">
        <v>1</v>
      </c>
      <c r="E119" s="176">
        <v>1.958333333333333</v>
      </c>
      <c r="F119" s="92" t="s">
        <v>117</v>
      </c>
      <c r="G119" s="94">
        <v>9</v>
      </c>
      <c r="H119" s="173">
        <v>579</v>
      </c>
      <c r="I119" s="2"/>
    </row>
    <row r="120" spans="1:9" ht="19.8" customHeight="1" x14ac:dyDescent="0.3">
      <c r="A120" s="175">
        <v>45993</v>
      </c>
      <c r="B120" s="92" t="s">
        <v>115</v>
      </c>
      <c r="C120" s="93" t="s">
        <v>128</v>
      </c>
      <c r="D120" s="92" t="s">
        <v>1</v>
      </c>
      <c r="E120" s="176">
        <v>1.0138888888888891</v>
      </c>
      <c r="F120" s="92" t="s">
        <v>117</v>
      </c>
      <c r="G120" s="94">
        <v>9</v>
      </c>
      <c r="H120" s="173">
        <v>579</v>
      </c>
      <c r="I120" s="2"/>
    </row>
    <row r="121" spans="1:9" ht="19.8" customHeight="1" x14ac:dyDescent="0.3">
      <c r="A121" s="175">
        <v>45993</v>
      </c>
      <c r="B121" s="92" t="s">
        <v>115</v>
      </c>
      <c r="C121" s="93" t="s">
        <v>120</v>
      </c>
      <c r="D121" s="92" t="s">
        <v>1</v>
      </c>
      <c r="E121" s="176">
        <v>1.2777777777777779</v>
      </c>
      <c r="F121" s="92" t="s">
        <v>117</v>
      </c>
      <c r="G121" s="94">
        <v>9</v>
      </c>
      <c r="H121" s="173">
        <v>579</v>
      </c>
      <c r="I121" s="2"/>
    </row>
    <row r="122" spans="1:9" ht="19.8" customHeight="1" x14ac:dyDescent="0.3">
      <c r="A122" s="175">
        <v>45993</v>
      </c>
      <c r="B122" s="92" t="s">
        <v>115</v>
      </c>
      <c r="C122" s="93" t="s">
        <v>121</v>
      </c>
      <c r="D122" s="92" t="s">
        <v>1</v>
      </c>
      <c r="E122" s="176">
        <v>1.4861111111111109</v>
      </c>
      <c r="F122" s="92" t="s">
        <v>117</v>
      </c>
      <c r="G122" s="94">
        <v>9</v>
      </c>
      <c r="H122" s="173">
        <v>579</v>
      </c>
      <c r="I122" s="2"/>
    </row>
    <row r="123" spans="1:9" ht="19.8" customHeight="1" x14ac:dyDescent="0.3">
      <c r="A123" s="175">
        <v>45993</v>
      </c>
      <c r="B123" s="92" t="s">
        <v>115</v>
      </c>
      <c r="C123" s="93" t="s">
        <v>122</v>
      </c>
      <c r="D123" s="92" t="s">
        <v>1</v>
      </c>
      <c r="E123" s="176">
        <v>1.5486111111111109</v>
      </c>
      <c r="F123" s="92" t="s">
        <v>117</v>
      </c>
      <c r="G123" s="94">
        <v>9</v>
      </c>
      <c r="H123" s="173">
        <v>579</v>
      </c>
      <c r="I123" s="2"/>
    </row>
    <row r="124" spans="1:9" ht="19.8" customHeight="1" x14ac:dyDescent="0.3">
      <c r="A124" s="175">
        <v>45993</v>
      </c>
      <c r="B124" s="92" t="s">
        <v>45</v>
      </c>
      <c r="C124" s="93" t="s">
        <v>58</v>
      </c>
      <c r="D124" s="92" t="s">
        <v>1</v>
      </c>
      <c r="E124" s="176">
        <v>1.302083333333333</v>
      </c>
      <c r="F124" s="92" t="s">
        <v>51</v>
      </c>
      <c r="G124" s="94">
        <v>4</v>
      </c>
      <c r="H124" s="173">
        <v>599</v>
      </c>
      <c r="I124" s="2"/>
    </row>
    <row r="125" spans="1:9" ht="19.8" customHeight="1" x14ac:dyDescent="0.3">
      <c r="A125" s="175">
        <v>45993</v>
      </c>
      <c r="B125" s="92" t="s">
        <v>45</v>
      </c>
      <c r="C125" s="93" t="s">
        <v>62</v>
      </c>
      <c r="D125" s="92" t="s">
        <v>1</v>
      </c>
      <c r="E125" s="176">
        <v>1.5173611111111109</v>
      </c>
      <c r="F125" s="92" t="s">
        <v>51</v>
      </c>
      <c r="G125" s="94">
        <v>9</v>
      </c>
      <c r="H125" s="173">
        <v>599</v>
      </c>
      <c r="I125" s="2"/>
    </row>
    <row r="126" spans="1:9" ht="19.8" customHeight="1" x14ac:dyDescent="0.3">
      <c r="A126" s="175">
        <v>45993</v>
      </c>
      <c r="B126" s="92" t="s">
        <v>45</v>
      </c>
      <c r="C126" s="93" t="s">
        <v>66</v>
      </c>
      <c r="D126" s="92" t="s">
        <v>1</v>
      </c>
      <c r="E126" s="176">
        <v>1.645833333333333</v>
      </c>
      <c r="F126" s="92" t="s">
        <v>51</v>
      </c>
      <c r="G126" s="94">
        <v>9</v>
      </c>
      <c r="H126" s="173">
        <v>599</v>
      </c>
      <c r="I126" s="2"/>
    </row>
    <row r="127" spans="1:9" ht="19.8" customHeight="1" x14ac:dyDescent="0.3">
      <c r="A127" s="175">
        <v>45993</v>
      </c>
      <c r="B127" s="92" t="s">
        <v>130</v>
      </c>
      <c r="C127" s="93" t="s">
        <v>138</v>
      </c>
      <c r="D127" s="92" t="s">
        <v>1</v>
      </c>
      <c r="E127" s="176">
        <v>1.239583333333333</v>
      </c>
      <c r="F127" s="92" t="s">
        <v>117</v>
      </c>
      <c r="G127" s="94">
        <v>9</v>
      </c>
      <c r="H127" s="173">
        <v>678</v>
      </c>
      <c r="I127" s="2"/>
    </row>
    <row r="128" spans="1:9" ht="19.8" customHeight="1" x14ac:dyDescent="0.3">
      <c r="A128" s="175">
        <v>45993</v>
      </c>
      <c r="B128" s="92" t="s">
        <v>130</v>
      </c>
      <c r="C128" s="93" t="s">
        <v>138</v>
      </c>
      <c r="D128" s="92" t="s">
        <v>1</v>
      </c>
      <c r="E128" s="176">
        <v>1.239583333333333</v>
      </c>
      <c r="F128" s="92" t="s">
        <v>132</v>
      </c>
      <c r="G128" s="94">
        <v>9</v>
      </c>
      <c r="H128" s="173">
        <v>678</v>
      </c>
      <c r="I128" s="2"/>
    </row>
    <row r="129" spans="1:9" ht="19.8" customHeight="1" x14ac:dyDescent="0.3">
      <c r="A129" s="175">
        <v>45993</v>
      </c>
      <c r="B129" s="92" t="s">
        <v>130</v>
      </c>
      <c r="C129" s="93" t="s">
        <v>138</v>
      </c>
      <c r="D129" s="92" t="s">
        <v>1</v>
      </c>
      <c r="E129" s="176">
        <v>1.239583333333333</v>
      </c>
      <c r="F129" s="92" t="s">
        <v>134</v>
      </c>
      <c r="G129" s="94">
        <v>9</v>
      </c>
      <c r="H129" s="173">
        <v>723</v>
      </c>
      <c r="I129" s="2"/>
    </row>
    <row r="130" spans="1:9" ht="19.8" customHeight="1" x14ac:dyDescent="0.3">
      <c r="A130" s="175">
        <v>45993</v>
      </c>
      <c r="B130" s="92" t="s">
        <v>115</v>
      </c>
      <c r="C130" s="93" t="s">
        <v>126</v>
      </c>
      <c r="D130" s="92" t="s">
        <v>1</v>
      </c>
      <c r="E130" s="176">
        <v>1.770833333333333</v>
      </c>
      <c r="F130" s="92" t="s">
        <v>124</v>
      </c>
      <c r="G130" s="94">
        <v>9</v>
      </c>
      <c r="H130" s="173">
        <v>795</v>
      </c>
      <c r="I130" s="2"/>
    </row>
    <row r="131" spans="1:9" ht="19.8" customHeight="1" x14ac:dyDescent="0.3">
      <c r="A131" s="175">
        <v>45993</v>
      </c>
      <c r="B131" s="92" t="s">
        <v>130</v>
      </c>
      <c r="C131" s="93" t="s">
        <v>143</v>
      </c>
      <c r="D131" s="92" t="s">
        <v>1</v>
      </c>
      <c r="E131" s="176">
        <v>1.006944444444444</v>
      </c>
      <c r="F131" s="92" t="s">
        <v>117</v>
      </c>
      <c r="G131" s="94">
        <v>9</v>
      </c>
      <c r="H131" s="173">
        <v>935</v>
      </c>
      <c r="I131" s="2"/>
    </row>
    <row r="132" spans="1:9" ht="19.8" customHeight="1" x14ac:dyDescent="0.3">
      <c r="A132" s="175">
        <v>45993</v>
      </c>
      <c r="B132" s="92" t="s">
        <v>130</v>
      </c>
      <c r="C132" s="93" t="s">
        <v>146</v>
      </c>
      <c r="D132" s="92" t="s">
        <v>1</v>
      </c>
      <c r="E132" s="176">
        <v>1.1423611111111109</v>
      </c>
      <c r="F132" s="92" t="s">
        <v>117</v>
      </c>
      <c r="G132" s="94">
        <v>9</v>
      </c>
      <c r="H132" s="173">
        <v>935</v>
      </c>
      <c r="I132" s="2"/>
    </row>
    <row r="133" spans="1:9" ht="19.8" customHeight="1" x14ac:dyDescent="0.3">
      <c r="A133" s="175">
        <v>45993</v>
      </c>
      <c r="B133" s="92" t="s">
        <v>130</v>
      </c>
      <c r="C133" s="93" t="s">
        <v>131</v>
      </c>
      <c r="D133" s="92" t="s">
        <v>1</v>
      </c>
      <c r="E133" s="176">
        <v>1.930555555555556</v>
      </c>
      <c r="F133" s="92" t="s">
        <v>117</v>
      </c>
      <c r="G133" s="94">
        <v>9</v>
      </c>
      <c r="H133" s="173">
        <v>935</v>
      </c>
      <c r="I133" s="2"/>
    </row>
    <row r="134" spans="1:9" ht="19.8" customHeight="1" x14ac:dyDescent="0.3">
      <c r="A134" s="175">
        <v>45993</v>
      </c>
      <c r="B134" s="92" t="s">
        <v>130</v>
      </c>
      <c r="C134" s="93" t="s">
        <v>147</v>
      </c>
      <c r="D134" s="92" t="s">
        <v>1</v>
      </c>
      <c r="E134" s="176">
        <v>1.71875</v>
      </c>
      <c r="F134" s="92" t="s">
        <v>117</v>
      </c>
      <c r="G134" s="94">
        <v>9</v>
      </c>
      <c r="H134" s="173">
        <v>935</v>
      </c>
      <c r="I134" s="2"/>
    </row>
    <row r="135" spans="1:9" ht="19.8" customHeight="1" x14ac:dyDescent="0.3">
      <c r="A135" s="175">
        <v>45993</v>
      </c>
      <c r="B135" s="92" t="s">
        <v>130</v>
      </c>
      <c r="C135" s="93" t="s">
        <v>148</v>
      </c>
      <c r="D135" s="92" t="s">
        <v>1</v>
      </c>
      <c r="E135" s="176">
        <v>1.8298611111111109</v>
      </c>
      <c r="F135" s="92" t="s">
        <v>117</v>
      </c>
      <c r="G135" s="94">
        <v>9</v>
      </c>
      <c r="H135" s="173">
        <v>935</v>
      </c>
      <c r="I135" s="2"/>
    </row>
    <row r="136" spans="1:9" ht="19.8" customHeight="1" x14ac:dyDescent="0.3">
      <c r="A136" s="175">
        <v>45993</v>
      </c>
      <c r="B136" s="92" t="s">
        <v>130</v>
      </c>
      <c r="C136" s="93" t="s">
        <v>136</v>
      </c>
      <c r="D136" s="92" t="s">
        <v>1</v>
      </c>
      <c r="E136" s="176">
        <v>1.3784722222222221</v>
      </c>
      <c r="F136" s="92" t="s">
        <v>117</v>
      </c>
      <c r="G136" s="94">
        <v>9</v>
      </c>
      <c r="H136" s="173">
        <v>935</v>
      </c>
      <c r="I136" s="2"/>
    </row>
    <row r="137" spans="1:9" ht="19.8" customHeight="1" x14ac:dyDescent="0.3">
      <c r="A137" s="175">
        <v>45993</v>
      </c>
      <c r="B137" s="92" t="s">
        <v>130</v>
      </c>
      <c r="C137" s="93" t="s">
        <v>137</v>
      </c>
      <c r="D137" s="92" t="s">
        <v>1</v>
      </c>
      <c r="E137" s="176">
        <v>1.6111111111111109</v>
      </c>
      <c r="F137" s="92" t="s">
        <v>117</v>
      </c>
      <c r="G137" s="94">
        <v>9</v>
      </c>
      <c r="H137" s="173">
        <v>935</v>
      </c>
      <c r="I137" s="2"/>
    </row>
    <row r="138" spans="1:9" ht="19.8" customHeight="1" x14ac:dyDescent="0.3">
      <c r="A138" s="175">
        <v>45993</v>
      </c>
      <c r="B138" s="92" t="s">
        <v>130</v>
      </c>
      <c r="C138" s="93" t="s">
        <v>143</v>
      </c>
      <c r="D138" s="92" t="s">
        <v>1</v>
      </c>
      <c r="E138" s="176">
        <v>1.006944444444444</v>
      </c>
      <c r="F138" s="92" t="s">
        <v>132</v>
      </c>
      <c r="G138" s="94">
        <v>9</v>
      </c>
      <c r="H138" s="173">
        <v>935</v>
      </c>
      <c r="I138" s="2"/>
    </row>
    <row r="139" spans="1:9" ht="19.8" customHeight="1" x14ac:dyDescent="0.3">
      <c r="A139" s="175">
        <v>45993</v>
      </c>
      <c r="B139" s="92" t="s">
        <v>130</v>
      </c>
      <c r="C139" s="93" t="s">
        <v>146</v>
      </c>
      <c r="D139" s="92" t="s">
        <v>1</v>
      </c>
      <c r="E139" s="176">
        <v>1.1423611111111109</v>
      </c>
      <c r="F139" s="92" t="s">
        <v>132</v>
      </c>
      <c r="G139" s="94">
        <v>9</v>
      </c>
      <c r="H139" s="173">
        <v>935</v>
      </c>
      <c r="I139" s="2"/>
    </row>
    <row r="140" spans="1:9" ht="19.8" customHeight="1" x14ac:dyDescent="0.3">
      <c r="A140" s="175">
        <v>45993</v>
      </c>
      <c r="B140" s="92" t="s">
        <v>130</v>
      </c>
      <c r="C140" s="93" t="s">
        <v>131</v>
      </c>
      <c r="D140" s="92" t="s">
        <v>1</v>
      </c>
      <c r="E140" s="176">
        <v>1.930555555555556</v>
      </c>
      <c r="F140" s="92" t="s">
        <v>132</v>
      </c>
      <c r="G140" s="94">
        <v>9</v>
      </c>
      <c r="H140" s="173">
        <v>935</v>
      </c>
      <c r="I140" s="2"/>
    </row>
    <row r="141" spans="1:9" ht="19.8" customHeight="1" x14ac:dyDescent="0.3">
      <c r="A141" s="175">
        <v>45993</v>
      </c>
      <c r="B141" s="92" t="s">
        <v>130</v>
      </c>
      <c r="C141" s="93" t="s">
        <v>147</v>
      </c>
      <c r="D141" s="92" t="s">
        <v>1</v>
      </c>
      <c r="E141" s="176">
        <v>1.71875</v>
      </c>
      <c r="F141" s="92" t="s">
        <v>132</v>
      </c>
      <c r="G141" s="94">
        <v>9</v>
      </c>
      <c r="H141" s="173">
        <v>935</v>
      </c>
      <c r="I141" s="2"/>
    </row>
    <row r="142" spans="1:9" ht="19.8" customHeight="1" x14ac:dyDescent="0.3">
      <c r="A142" s="175">
        <v>45993</v>
      </c>
      <c r="B142" s="92" t="s">
        <v>130</v>
      </c>
      <c r="C142" s="93" t="s">
        <v>148</v>
      </c>
      <c r="D142" s="92" t="s">
        <v>1</v>
      </c>
      <c r="E142" s="176">
        <v>1.8298611111111109</v>
      </c>
      <c r="F142" s="92" t="s">
        <v>132</v>
      </c>
      <c r="G142" s="94">
        <v>9</v>
      </c>
      <c r="H142" s="173">
        <v>935</v>
      </c>
      <c r="I142" s="2"/>
    </row>
    <row r="143" spans="1:9" ht="19.8" customHeight="1" x14ac:dyDescent="0.3">
      <c r="A143" s="175">
        <v>45993</v>
      </c>
      <c r="B143" s="92" t="s">
        <v>130</v>
      </c>
      <c r="C143" s="93" t="s">
        <v>136</v>
      </c>
      <c r="D143" s="92" t="s">
        <v>1</v>
      </c>
      <c r="E143" s="176">
        <v>1.3784722222222221</v>
      </c>
      <c r="F143" s="92" t="s">
        <v>132</v>
      </c>
      <c r="G143" s="94">
        <v>9</v>
      </c>
      <c r="H143" s="173">
        <v>935</v>
      </c>
      <c r="I143" s="2"/>
    </row>
    <row r="144" spans="1:9" ht="19.8" customHeight="1" x14ac:dyDescent="0.3">
      <c r="A144" s="175">
        <v>45993</v>
      </c>
      <c r="B144" s="92" t="s">
        <v>130</v>
      </c>
      <c r="C144" s="93" t="s">
        <v>137</v>
      </c>
      <c r="D144" s="92" t="s">
        <v>1</v>
      </c>
      <c r="E144" s="176">
        <v>1.6111111111111109</v>
      </c>
      <c r="F144" s="92" t="s">
        <v>132</v>
      </c>
      <c r="G144" s="94">
        <v>9</v>
      </c>
      <c r="H144" s="173">
        <v>935</v>
      </c>
      <c r="I144" s="2"/>
    </row>
    <row r="145" spans="1:9" ht="19.8" customHeight="1" x14ac:dyDescent="0.3">
      <c r="A145" s="175">
        <v>45993</v>
      </c>
      <c r="B145" s="92" t="s">
        <v>130</v>
      </c>
      <c r="C145" s="93" t="s">
        <v>143</v>
      </c>
      <c r="D145" s="92" t="s">
        <v>1</v>
      </c>
      <c r="E145" s="176">
        <v>1.006944444444444</v>
      </c>
      <c r="F145" s="92" t="s">
        <v>134</v>
      </c>
      <c r="G145" s="94">
        <v>9</v>
      </c>
      <c r="H145" s="173">
        <v>980</v>
      </c>
      <c r="I145" s="2"/>
    </row>
    <row r="146" spans="1:9" ht="19.8" customHeight="1" x14ac:dyDescent="0.3">
      <c r="A146" s="175">
        <v>45993</v>
      </c>
      <c r="B146" s="92" t="s">
        <v>130</v>
      </c>
      <c r="C146" s="93" t="s">
        <v>146</v>
      </c>
      <c r="D146" s="92" t="s">
        <v>1</v>
      </c>
      <c r="E146" s="176">
        <v>1.1423611111111109</v>
      </c>
      <c r="F146" s="92" t="s">
        <v>134</v>
      </c>
      <c r="G146" s="94">
        <v>9</v>
      </c>
      <c r="H146" s="173">
        <v>980</v>
      </c>
      <c r="I146" s="2"/>
    </row>
    <row r="147" spans="1:9" ht="19.8" customHeight="1" x14ac:dyDescent="0.3">
      <c r="A147" s="175">
        <v>45993</v>
      </c>
      <c r="B147" s="92" t="s">
        <v>130</v>
      </c>
      <c r="C147" s="93" t="s">
        <v>131</v>
      </c>
      <c r="D147" s="92" t="s">
        <v>1</v>
      </c>
      <c r="E147" s="176">
        <v>1.930555555555556</v>
      </c>
      <c r="F147" s="92" t="s">
        <v>134</v>
      </c>
      <c r="G147" s="94">
        <v>9</v>
      </c>
      <c r="H147" s="173">
        <v>980</v>
      </c>
      <c r="I147" s="2"/>
    </row>
    <row r="148" spans="1:9" ht="19.8" customHeight="1" x14ac:dyDescent="0.3">
      <c r="A148" s="175">
        <v>45993</v>
      </c>
      <c r="B148" s="92" t="s">
        <v>130</v>
      </c>
      <c r="C148" s="93" t="s">
        <v>147</v>
      </c>
      <c r="D148" s="92" t="s">
        <v>1</v>
      </c>
      <c r="E148" s="176">
        <v>1.71875</v>
      </c>
      <c r="F148" s="92" t="s">
        <v>134</v>
      </c>
      <c r="G148" s="94">
        <v>9</v>
      </c>
      <c r="H148" s="173">
        <v>980</v>
      </c>
      <c r="I148" s="2"/>
    </row>
    <row r="149" spans="1:9" ht="19.8" customHeight="1" x14ac:dyDescent="0.3">
      <c r="A149" s="175">
        <v>45993</v>
      </c>
      <c r="B149" s="92" t="s">
        <v>130</v>
      </c>
      <c r="C149" s="93" t="s">
        <v>148</v>
      </c>
      <c r="D149" s="92" t="s">
        <v>1</v>
      </c>
      <c r="E149" s="176">
        <v>1.8298611111111109</v>
      </c>
      <c r="F149" s="92" t="s">
        <v>134</v>
      </c>
      <c r="G149" s="94">
        <v>9</v>
      </c>
      <c r="H149" s="173">
        <v>980</v>
      </c>
      <c r="I149" s="2"/>
    </row>
    <row r="150" spans="1:9" ht="19.8" customHeight="1" x14ac:dyDescent="0.3">
      <c r="A150" s="175">
        <v>45993</v>
      </c>
      <c r="B150" s="92" t="s">
        <v>130</v>
      </c>
      <c r="C150" s="93" t="s">
        <v>136</v>
      </c>
      <c r="D150" s="92" t="s">
        <v>1</v>
      </c>
      <c r="E150" s="176">
        <v>1.3784722222222221</v>
      </c>
      <c r="F150" s="92" t="s">
        <v>134</v>
      </c>
      <c r="G150" s="94">
        <v>9</v>
      </c>
      <c r="H150" s="173">
        <v>980</v>
      </c>
      <c r="I150" s="2"/>
    </row>
    <row r="151" spans="1:9" ht="19.8" customHeight="1" x14ac:dyDescent="0.3">
      <c r="A151" s="175">
        <v>45993</v>
      </c>
      <c r="B151" s="92" t="s">
        <v>130</v>
      </c>
      <c r="C151" s="93" t="s">
        <v>137</v>
      </c>
      <c r="D151" s="92" t="s">
        <v>1</v>
      </c>
      <c r="E151" s="176">
        <v>1.6111111111111109</v>
      </c>
      <c r="F151" s="92" t="s">
        <v>134</v>
      </c>
      <c r="G151" s="94">
        <v>9</v>
      </c>
      <c r="H151" s="173">
        <v>980</v>
      </c>
      <c r="I151" s="2"/>
    </row>
    <row r="152" spans="1:9" ht="19.8" customHeight="1" x14ac:dyDescent="0.3">
      <c r="A152" s="175">
        <v>45993</v>
      </c>
      <c r="B152" s="92" t="s">
        <v>26</v>
      </c>
      <c r="C152" s="93" t="s">
        <v>35</v>
      </c>
      <c r="D152" s="92" t="s">
        <v>1</v>
      </c>
      <c r="E152" s="176">
        <v>1.1284722222222221</v>
      </c>
      <c r="F152" s="92" t="s">
        <v>33</v>
      </c>
      <c r="G152" s="94">
        <v>2</v>
      </c>
      <c r="H152" s="99" t="s">
        <v>34</v>
      </c>
      <c r="I152" s="2"/>
    </row>
    <row r="153" spans="1:9" ht="19.8" customHeight="1" x14ac:dyDescent="0.3">
      <c r="A153" s="175">
        <v>45993</v>
      </c>
      <c r="B153" s="92" t="s">
        <v>26</v>
      </c>
      <c r="C153" s="93" t="s">
        <v>39</v>
      </c>
      <c r="D153" s="92" t="s">
        <v>1</v>
      </c>
      <c r="E153" s="176">
        <v>1.302083333333333</v>
      </c>
      <c r="F153" s="92" t="s">
        <v>33</v>
      </c>
      <c r="G153" s="94">
        <v>1</v>
      </c>
      <c r="H153" s="99" t="s">
        <v>34</v>
      </c>
      <c r="I153" s="2"/>
    </row>
    <row r="154" spans="1:9" ht="19.8" customHeight="1" x14ac:dyDescent="0.3">
      <c r="A154" s="175">
        <v>45993</v>
      </c>
      <c r="B154" s="92" t="s">
        <v>26</v>
      </c>
      <c r="C154" s="93" t="s">
        <v>27</v>
      </c>
      <c r="D154" s="92" t="s">
        <v>1</v>
      </c>
      <c r="E154" s="176">
        <v>1.8888888888888891</v>
      </c>
      <c r="F154" s="92" t="s">
        <v>33</v>
      </c>
      <c r="G154" s="94">
        <v>3</v>
      </c>
      <c r="H154" s="99" t="s">
        <v>34</v>
      </c>
      <c r="I154" s="2"/>
    </row>
    <row r="155" spans="1:9" ht="19.8" customHeight="1" x14ac:dyDescent="0.3">
      <c r="A155" s="175">
        <v>45993</v>
      </c>
      <c r="B155" s="92" t="s">
        <v>26</v>
      </c>
      <c r="C155" s="93" t="s">
        <v>41</v>
      </c>
      <c r="D155" s="92" t="s">
        <v>1</v>
      </c>
      <c r="E155" s="176">
        <v>1.788194444444444</v>
      </c>
      <c r="F155" s="92" t="s">
        <v>33</v>
      </c>
      <c r="G155" s="94">
        <v>1</v>
      </c>
      <c r="H155" s="99" t="s">
        <v>34</v>
      </c>
      <c r="I155" s="2"/>
    </row>
    <row r="156" spans="1:9" ht="19.8" customHeight="1" x14ac:dyDescent="0.3">
      <c r="A156" s="175">
        <v>45993</v>
      </c>
      <c r="B156" s="92" t="s">
        <v>130</v>
      </c>
      <c r="C156" s="93" t="s">
        <v>142</v>
      </c>
      <c r="D156" s="92" t="s">
        <v>1</v>
      </c>
      <c r="E156" s="176">
        <v>1.1284722222222221</v>
      </c>
      <c r="F156" s="92" t="s">
        <v>124</v>
      </c>
      <c r="G156" s="94">
        <v>4</v>
      </c>
      <c r="H156" s="99" t="s">
        <v>178</v>
      </c>
      <c r="I156" s="2"/>
    </row>
    <row r="157" spans="1:9" ht="19.8" customHeight="1" x14ac:dyDescent="0.3">
      <c r="A157" s="175">
        <v>45993</v>
      </c>
      <c r="B157" s="92" t="s">
        <v>130</v>
      </c>
      <c r="C157" s="93" t="s">
        <v>142</v>
      </c>
      <c r="D157" s="92" t="s">
        <v>1</v>
      </c>
      <c r="E157" s="176">
        <v>1.1284722222222221</v>
      </c>
      <c r="F157" s="92" t="s">
        <v>134</v>
      </c>
      <c r="G157" s="94">
        <v>4</v>
      </c>
      <c r="H157" s="99" t="s">
        <v>178</v>
      </c>
      <c r="I157" s="2"/>
    </row>
    <row r="158" spans="1:9" ht="19.8" customHeight="1" x14ac:dyDescent="0.3">
      <c r="A158" s="175">
        <v>45993</v>
      </c>
      <c r="B158" s="92" t="s">
        <v>130</v>
      </c>
      <c r="C158" s="93" t="s">
        <v>139</v>
      </c>
      <c r="D158" s="92" t="s">
        <v>1</v>
      </c>
      <c r="E158" s="176">
        <v>1.8888888888888891</v>
      </c>
      <c r="F158" s="92" t="s">
        <v>124</v>
      </c>
      <c r="G158" s="94">
        <v>4</v>
      </c>
      <c r="H158" s="99" t="s">
        <v>140</v>
      </c>
      <c r="I158" s="2"/>
    </row>
    <row r="159" spans="1:9" ht="19.8" customHeight="1" x14ac:dyDescent="0.3">
      <c r="A159" s="175">
        <v>45993</v>
      </c>
      <c r="B159" s="92" t="s">
        <v>130</v>
      </c>
      <c r="C159" s="93" t="s">
        <v>139</v>
      </c>
      <c r="D159" s="92" t="s">
        <v>1</v>
      </c>
      <c r="E159" s="176">
        <v>1.8888888888888891</v>
      </c>
      <c r="F159" s="92" t="s">
        <v>134</v>
      </c>
      <c r="G159" s="94">
        <v>4</v>
      </c>
      <c r="H159" s="99" t="s">
        <v>140</v>
      </c>
      <c r="I159" s="2"/>
    </row>
    <row r="160" spans="1:9" ht="19.8" customHeight="1" x14ac:dyDescent="0.3">
      <c r="A160" s="175">
        <v>45993</v>
      </c>
      <c r="B160" s="92" t="s">
        <v>130</v>
      </c>
      <c r="C160" s="93" t="s">
        <v>141</v>
      </c>
      <c r="D160" s="92" t="s">
        <v>1</v>
      </c>
      <c r="E160" s="176">
        <v>1.302083333333333</v>
      </c>
      <c r="F160" s="92" t="s">
        <v>124</v>
      </c>
      <c r="G160" s="94">
        <v>4</v>
      </c>
      <c r="H160" s="99" t="s">
        <v>179</v>
      </c>
      <c r="I160" s="2"/>
    </row>
    <row r="161" spans="1:9" ht="19.8" customHeight="1" x14ac:dyDescent="0.3">
      <c r="A161" s="175">
        <v>45993</v>
      </c>
      <c r="B161" s="92" t="s">
        <v>130</v>
      </c>
      <c r="C161" s="93" t="s">
        <v>149</v>
      </c>
      <c r="D161" s="92" t="s">
        <v>1</v>
      </c>
      <c r="E161" s="176">
        <v>1.788194444444444</v>
      </c>
      <c r="F161" s="92" t="s">
        <v>124</v>
      </c>
      <c r="G161" s="94">
        <v>4</v>
      </c>
      <c r="H161" s="99" t="s">
        <v>179</v>
      </c>
      <c r="I161" s="2"/>
    </row>
    <row r="162" spans="1:9" ht="19.8" customHeight="1" x14ac:dyDescent="0.3">
      <c r="A162" s="175">
        <v>45993</v>
      </c>
      <c r="B162" s="92" t="s">
        <v>130</v>
      </c>
      <c r="C162" s="93" t="s">
        <v>141</v>
      </c>
      <c r="D162" s="92" t="s">
        <v>1</v>
      </c>
      <c r="E162" s="176">
        <v>1.302083333333333</v>
      </c>
      <c r="F162" s="92" t="s">
        <v>134</v>
      </c>
      <c r="G162" s="94">
        <v>4</v>
      </c>
      <c r="H162" s="99" t="s">
        <v>179</v>
      </c>
      <c r="I162" s="2"/>
    </row>
    <row r="163" spans="1:9" ht="19.8" customHeight="1" x14ac:dyDescent="0.3">
      <c r="A163" s="179">
        <v>45993</v>
      </c>
      <c r="B163" s="100" t="s">
        <v>130</v>
      </c>
      <c r="C163" s="101" t="s">
        <v>149</v>
      </c>
      <c r="D163" s="100" t="s">
        <v>1</v>
      </c>
      <c r="E163" s="180">
        <v>1.788194444444444</v>
      </c>
      <c r="F163" s="100" t="s">
        <v>134</v>
      </c>
      <c r="G163" s="102">
        <v>4</v>
      </c>
      <c r="H163" s="103" t="s">
        <v>179</v>
      </c>
      <c r="I163" s="2"/>
    </row>
    <row r="164" spans="1:9" ht="19.8" customHeight="1" x14ac:dyDescent="0.3">
      <c r="A164" s="175">
        <v>45994</v>
      </c>
      <c r="B164" s="92" t="s">
        <v>26</v>
      </c>
      <c r="C164" s="93" t="s">
        <v>35</v>
      </c>
      <c r="D164" s="92" t="s">
        <v>1</v>
      </c>
      <c r="E164" s="176">
        <v>1.1284722222222221</v>
      </c>
      <c r="F164" s="92" t="s">
        <v>28</v>
      </c>
      <c r="G164" s="94">
        <v>1</v>
      </c>
      <c r="H164" s="173">
        <v>329</v>
      </c>
      <c r="I164" s="2"/>
    </row>
    <row r="165" spans="1:9" ht="19.8" customHeight="1" x14ac:dyDescent="0.3">
      <c r="A165" s="175">
        <v>45994</v>
      </c>
      <c r="B165" s="92" t="s">
        <v>26</v>
      </c>
      <c r="C165" s="93" t="s">
        <v>39</v>
      </c>
      <c r="D165" s="92" t="s">
        <v>1</v>
      </c>
      <c r="E165" s="176">
        <v>1.302083333333333</v>
      </c>
      <c r="F165" s="92" t="s">
        <v>28</v>
      </c>
      <c r="G165" s="94">
        <v>1</v>
      </c>
      <c r="H165" s="173">
        <v>359</v>
      </c>
      <c r="I165" s="2"/>
    </row>
    <row r="166" spans="1:9" ht="19.8" customHeight="1" x14ac:dyDescent="0.3">
      <c r="A166" s="175">
        <v>45994</v>
      </c>
      <c r="B166" s="92" t="s">
        <v>45</v>
      </c>
      <c r="C166" s="93" t="s">
        <v>53</v>
      </c>
      <c r="D166" s="92" t="s">
        <v>1</v>
      </c>
      <c r="E166" s="176">
        <v>1.854166666666667</v>
      </c>
      <c r="F166" s="92" t="s">
        <v>47</v>
      </c>
      <c r="G166" s="94">
        <v>1</v>
      </c>
      <c r="H166" s="173">
        <v>369</v>
      </c>
      <c r="I166" s="2"/>
    </row>
    <row r="167" spans="1:9" ht="19.8" customHeight="1" x14ac:dyDescent="0.3">
      <c r="A167" s="175">
        <v>45994</v>
      </c>
      <c r="B167" s="92" t="s">
        <v>45</v>
      </c>
      <c r="C167" s="93" t="s">
        <v>57</v>
      </c>
      <c r="D167" s="92" t="s">
        <v>1</v>
      </c>
      <c r="E167" s="176">
        <v>1.256944444444444</v>
      </c>
      <c r="F167" s="92" t="s">
        <v>47</v>
      </c>
      <c r="G167" s="94">
        <v>9</v>
      </c>
      <c r="H167" s="173">
        <v>369</v>
      </c>
      <c r="I167" s="2"/>
    </row>
    <row r="168" spans="1:9" ht="19.8" customHeight="1" x14ac:dyDescent="0.3">
      <c r="A168" s="175">
        <v>45994</v>
      </c>
      <c r="B168" s="92" t="s">
        <v>45</v>
      </c>
      <c r="C168" s="93" t="s">
        <v>58</v>
      </c>
      <c r="D168" s="92" t="s">
        <v>1</v>
      </c>
      <c r="E168" s="176">
        <v>1.302083333333333</v>
      </c>
      <c r="F168" s="92" t="s">
        <v>47</v>
      </c>
      <c r="G168" s="94">
        <v>9</v>
      </c>
      <c r="H168" s="173">
        <v>369</v>
      </c>
      <c r="I168" s="2"/>
    </row>
    <row r="169" spans="1:9" ht="19.8" customHeight="1" x14ac:dyDescent="0.3">
      <c r="A169" s="175">
        <v>45994</v>
      </c>
      <c r="B169" s="92" t="s">
        <v>70</v>
      </c>
      <c r="C169" s="93" t="s">
        <v>155</v>
      </c>
      <c r="D169" s="92" t="s">
        <v>1</v>
      </c>
      <c r="E169" s="176">
        <v>1.538194444444444</v>
      </c>
      <c r="F169" s="92" t="s">
        <v>72</v>
      </c>
      <c r="G169" s="94">
        <v>7</v>
      </c>
      <c r="H169" s="173">
        <v>400</v>
      </c>
      <c r="I169" s="2"/>
    </row>
    <row r="170" spans="1:9" ht="19.8" customHeight="1" x14ac:dyDescent="0.3">
      <c r="A170" s="175">
        <v>45994</v>
      </c>
      <c r="B170" s="92" t="s">
        <v>74</v>
      </c>
      <c r="C170" s="93" t="s">
        <v>78</v>
      </c>
      <c r="D170" s="92" t="s">
        <v>1</v>
      </c>
      <c r="E170" s="176">
        <v>1.666666666666667</v>
      </c>
      <c r="F170" s="92" t="s">
        <v>72</v>
      </c>
      <c r="G170" s="94">
        <v>9</v>
      </c>
      <c r="H170" s="173">
        <v>401</v>
      </c>
      <c r="I170" s="2"/>
    </row>
    <row r="171" spans="1:9" ht="19.8" customHeight="1" x14ac:dyDescent="0.3">
      <c r="A171" s="175">
        <v>45994</v>
      </c>
      <c r="B171" s="92" t="s">
        <v>79</v>
      </c>
      <c r="C171" s="93" t="s">
        <v>84</v>
      </c>
      <c r="D171" s="92" t="s">
        <v>1</v>
      </c>
      <c r="E171" s="176">
        <v>1.3923611111111109</v>
      </c>
      <c r="F171" s="92" t="s">
        <v>81</v>
      </c>
      <c r="G171" s="94">
        <v>9</v>
      </c>
      <c r="H171" s="173">
        <v>409</v>
      </c>
      <c r="I171" s="2"/>
    </row>
    <row r="172" spans="1:9" ht="19.8" customHeight="1" x14ac:dyDescent="0.3">
      <c r="A172" s="175">
        <v>45994</v>
      </c>
      <c r="B172" s="92" t="s">
        <v>45</v>
      </c>
      <c r="C172" s="93" t="s">
        <v>62</v>
      </c>
      <c r="D172" s="92" t="s">
        <v>1</v>
      </c>
      <c r="E172" s="176">
        <v>1.5173611111111109</v>
      </c>
      <c r="F172" s="92" t="s">
        <v>47</v>
      </c>
      <c r="G172" s="94">
        <v>9</v>
      </c>
      <c r="H172" s="173">
        <v>409</v>
      </c>
      <c r="I172" s="2"/>
    </row>
    <row r="173" spans="1:9" ht="19.8" customHeight="1" x14ac:dyDescent="0.3">
      <c r="A173" s="175">
        <v>45994</v>
      </c>
      <c r="B173" s="92" t="s">
        <v>45</v>
      </c>
      <c r="C173" s="93" t="s">
        <v>59</v>
      </c>
      <c r="D173" s="92" t="s">
        <v>1</v>
      </c>
      <c r="E173" s="176">
        <v>1.9027777777777779</v>
      </c>
      <c r="F173" s="92" t="s">
        <v>47</v>
      </c>
      <c r="G173" s="94">
        <v>1</v>
      </c>
      <c r="H173" s="173">
        <v>409</v>
      </c>
      <c r="I173" s="2"/>
    </row>
    <row r="174" spans="1:9" ht="19.8" customHeight="1" x14ac:dyDescent="0.3">
      <c r="A174" s="175">
        <v>45994</v>
      </c>
      <c r="B174" s="92" t="s">
        <v>45</v>
      </c>
      <c r="C174" s="93" t="s">
        <v>60</v>
      </c>
      <c r="D174" s="92" t="s">
        <v>1</v>
      </c>
      <c r="E174" s="176">
        <v>1.7986111111111109</v>
      </c>
      <c r="F174" s="92" t="s">
        <v>47</v>
      </c>
      <c r="G174" s="94">
        <v>4</v>
      </c>
      <c r="H174" s="173">
        <v>409</v>
      </c>
      <c r="I174" s="2"/>
    </row>
    <row r="175" spans="1:9" ht="19.8" customHeight="1" x14ac:dyDescent="0.3">
      <c r="A175" s="175">
        <v>45994</v>
      </c>
      <c r="B175" s="92" t="s">
        <v>45</v>
      </c>
      <c r="C175" s="93" t="s">
        <v>46</v>
      </c>
      <c r="D175" s="92" t="s">
        <v>1</v>
      </c>
      <c r="E175" s="176">
        <v>1.395833333333333</v>
      </c>
      <c r="F175" s="92" t="s">
        <v>47</v>
      </c>
      <c r="G175" s="94">
        <v>9</v>
      </c>
      <c r="H175" s="173">
        <v>409</v>
      </c>
      <c r="I175" s="2"/>
    </row>
    <row r="176" spans="1:9" ht="19.8" customHeight="1" x14ac:dyDescent="0.3">
      <c r="A176" s="175">
        <v>45994</v>
      </c>
      <c r="B176" s="92" t="s">
        <v>45</v>
      </c>
      <c r="C176" s="93" t="s">
        <v>66</v>
      </c>
      <c r="D176" s="92" t="s">
        <v>1</v>
      </c>
      <c r="E176" s="176">
        <v>1.645833333333333</v>
      </c>
      <c r="F176" s="92" t="s">
        <v>47</v>
      </c>
      <c r="G176" s="94">
        <v>8</v>
      </c>
      <c r="H176" s="173">
        <v>409</v>
      </c>
      <c r="I176" s="2"/>
    </row>
    <row r="177" spans="1:9" ht="19.8" customHeight="1" x14ac:dyDescent="0.3">
      <c r="A177" s="175">
        <v>45994</v>
      </c>
      <c r="B177" s="92" t="s">
        <v>26</v>
      </c>
      <c r="C177" s="93" t="s">
        <v>27</v>
      </c>
      <c r="D177" s="92" t="s">
        <v>1</v>
      </c>
      <c r="E177" s="176">
        <v>1.8888888888888891</v>
      </c>
      <c r="F177" s="92" t="s">
        <v>28</v>
      </c>
      <c r="G177" s="94">
        <v>1</v>
      </c>
      <c r="H177" s="173">
        <v>419</v>
      </c>
      <c r="I177" s="2"/>
    </row>
    <row r="178" spans="1:9" ht="19.8" customHeight="1" x14ac:dyDescent="0.3">
      <c r="A178" s="175">
        <v>45994</v>
      </c>
      <c r="B178" s="92" t="s">
        <v>45</v>
      </c>
      <c r="C178" s="93" t="s">
        <v>53</v>
      </c>
      <c r="D178" s="92" t="s">
        <v>1</v>
      </c>
      <c r="E178" s="176">
        <v>1.854166666666667</v>
      </c>
      <c r="F178" s="92" t="s">
        <v>49</v>
      </c>
      <c r="G178" s="94">
        <v>1</v>
      </c>
      <c r="H178" s="173">
        <v>469</v>
      </c>
      <c r="I178" s="2"/>
    </row>
    <row r="179" spans="1:9" ht="19.8" customHeight="1" x14ac:dyDescent="0.3">
      <c r="A179" s="175">
        <v>45994</v>
      </c>
      <c r="B179" s="92" t="s">
        <v>45</v>
      </c>
      <c r="C179" s="93" t="s">
        <v>57</v>
      </c>
      <c r="D179" s="92" t="s">
        <v>1</v>
      </c>
      <c r="E179" s="176">
        <v>1.256944444444444</v>
      </c>
      <c r="F179" s="92" t="s">
        <v>49</v>
      </c>
      <c r="G179" s="94">
        <v>9</v>
      </c>
      <c r="H179" s="173">
        <v>469</v>
      </c>
      <c r="I179" s="2"/>
    </row>
    <row r="180" spans="1:9" ht="19.8" customHeight="1" x14ac:dyDescent="0.3">
      <c r="A180" s="175">
        <v>45994</v>
      </c>
      <c r="B180" s="92" t="s">
        <v>45</v>
      </c>
      <c r="C180" s="93" t="s">
        <v>58</v>
      </c>
      <c r="D180" s="92" t="s">
        <v>1</v>
      </c>
      <c r="E180" s="176">
        <v>1.302083333333333</v>
      </c>
      <c r="F180" s="92" t="s">
        <v>49</v>
      </c>
      <c r="G180" s="94">
        <v>9</v>
      </c>
      <c r="H180" s="173">
        <v>469</v>
      </c>
      <c r="I180" s="2"/>
    </row>
    <row r="181" spans="1:9" ht="19.8" customHeight="1" x14ac:dyDescent="0.3">
      <c r="A181" s="175">
        <v>45994</v>
      </c>
      <c r="B181" s="92" t="s">
        <v>26</v>
      </c>
      <c r="C181" s="93" t="s">
        <v>35</v>
      </c>
      <c r="D181" s="92" t="s">
        <v>1</v>
      </c>
      <c r="E181" s="176">
        <v>1.1284722222222221</v>
      </c>
      <c r="F181" s="92" t="s">
        <v>31</v>
      </c>
      <c r="G181" s="94">
        <v>1</v>
      </c>
      <c r="H181" s="173">
        <v>479</v>
      </c>
      <c r="I181" s="2"/>
    </row>
    <row r="182" spans="1:9" ht="19.8" customHeight="1" x14ac:dyDescent="0.3">
      <c r="A182" s="175">
        <v>45994</v>
      </c>
      <c r="B182" s="92" t="s">
        <v>26</v>
      </c>
      <c r="C182" s="93" t="s">
        <v>41</v>
      </c>
      <c r="D182" s="92" t="s">
        <v>1</v>
      </c>
      <c r="E182" s="176">
        <v>1.788194444444444</v>
      </c>
      <c r="F182" s="92" t="s">
        <v>28</v>
      </c>
      <c r="G182" s="94">
        <v>2</v>
      </c>
      <c r="H182" s="173">
        <v>499</v>
      </c>
      <c r="I182" s="2"/>
    </row>
    <row r="183" spans="1:9" ht="19.8" customHeight="1" x14ac:dyDescent="0.3">
      <c r="A183" s="175">
        <v>45994</v>
      </c>
      <c r="B183" s="92" t="s">
        <v>26</v>
      </c>
      <c r="C183" s="93" t="s">
        <v>39</v>
      </c>
      <c r="D183" s="92" t="s">
        <v>1</v>
      </c>
      <c r="E183" s="176">
        <v>1.302083333333333</v>
      </c>
      <c r="F183" s="92" t="s">
        <v>31</v>
      </c>
      <c r="G183" s="94">
        <v>1</v>
      </c>
      <c r="H183" s="173">
        <v>509</v>
      </c>
      <c r="I183" s="2"/>
    </row>
    <row r="184" spans="1:9" ht="19.8" customHeight="1" x14ac:dyDescent="0.3">
      <c r="A184" s="175">
        <v>45994</v>
      </c>
      <c r="B184" s="92" t="s">
        <v>45</v>
      </c>
      <c r="C184" s="93" t="s">
        <v>62</v>
      </c>
      <c r="D184" s="92" t="s">
        <v>1</v>
      </c>
      <c r="E184" s="176">
        <v>1.5173611111111109</v>
      </c>
      <c r="F184" s="92" t="s">
        <v>49</v>
      </c>
      <c r="G184" s="94">
        <v>9</v>
      </c>
      <c r="H184" s="173">
        <v>509</v>
      </c>
      <c r="I184" s="2"/>
    </row>
    <row r="185" spans="1:9" ht="19.8" customHeight="1" x14ac:dyDescent="0.3">
      <c r="A185" s="175">
        <v>45994</v>
      </c>
      <c r="B185" s="92" t="s">
        <v>45</v>
      </c>
      <c r="C185" s="93" t="s">
        <v>59</v>
      </c>
      <c r="D185" s="92" t="s">
        <v>1</v>
      </c>
      <c r="E185" s="176">
        <v>1.9027777777777779</v>
      </c>
      <c r="F185" s="92" t="s">
        <v>49</v>
      </c>
      <c r="G185" s="94">
        <v>1</v>
      </c>
      <c r="H185" s="173">
        <v>509</v>
      </c>
      <c r="I185" s="2"/>
    </row>
    <row r="186" spans="1:9" ht="19.8" customHeight="1" x14ac:dyDescent="0.3">
      <c r="A186" s="175">
        <v>45994</v>
      </c>
      <c r="B186" s="92" t="s">
        <v>45</v>
      </c>
      <c r="C186" s="93" t="s">
        <v>60</v>
      </c>
      <c r="D186" s="92" t="s">
        <v>1</v>
      </c>
      <c r="E186" s="176">
        <v>1.7986111111111109</v>
      </c>
      <c r="F186" s="92" t="s">
        <v>49</v>
      </c>
      <c r="G186" s="94">
        <v>4</v>
      </c>
      <c r="H186" s="173">
        <v>509</v>
      </c>
      <c r="I186" s="2"/>
    </row>
    <row r="187" spans="1:9" ht="19.8" customHeight="1" x14ac:dyDescent="0.3">
      <c r="A187" s="175">
        <v>45994</v>
      </c>
      <c r="B187" s="92" t="s">
        <v>45</v>
      </c>
      <c r="C187" s="93" t="s">
        <v>46</v>
      </c>
      <c r="D187" s="92" t="s">
        <v>1</v>
      </c>
      <c r="E187" s="176">
        <v>1.395833333333333</v>
      </c>
      <c r="F187" s="92" t="s">
        <v>49</v>
      </c>
      <c r="G187" s="94">
        <v>9</v>
      </c>
      <c r="H187" s="173">
        <v>509</v>
      </c>
      <c r="I187" s="2"/>
    </row>
    <row r="188" spans="1:9" ht="19.8" customHeight="1" x14ac:dyDescent="0.3">
      <c r="A188" s="175">
        <v>45994</v>
      </c>
      <c r="B188" s="92" t="s">
        <v>45</v>
      </c>
      <c r="C188" s="93" t="s">
        <v>66</v>
      </c>
      <c r="D188" s="92" t="s">
        <v>1</v>
      </c>
      <c r="E188" s="176">
        <v>1.645833333333333</v>
      </c>
      <c r="F188" s="92" t="s">
        <v>49</v>
      </c>
      <c r="G188" s="94">
        <v>8</v>
      </c>
      <c r="H188" s="173">
        <v>509</v>
      </c>
      <c r="I188" s="2"/>
    </row>
    <row r="189" spans="1:9" ht="19.8" customHeight="1" x14ac:dyDescent="0.3">
      <c r="A189" s="177">
        <v>45994</v>
      </c>
      <c r="B189" s="96" t="s">
        <v>87</v>
      </c>
      <c r="C189" s="97" t="s">
        <v>95</v>
      </c>
      <c r="D189" s="96" t="s">
        <v>1</v>
      </c>
      <c r="E189" s="178">
        <v>1.614583333333333</v>
      </c>
      <c r="F189" s="96" t="s">
        <v>89</v>
      </c>
      <c r="G189" s="98">
        <v>9</v>
      </c>
      <c r="H189" s="174">
        <v>526</v>
      </c>
      <c r="I189" s="2"/>
    </row>
    <row r="190" spans="1:9" ht="19.8" customHeight="1" x14ac:dyDescent="0.3">
      <c r="A190" s="177">
        <v>45994</v>
      </c>
      <c r="B190" s="96" t="s">
        <v>87</v>
      </c>
      <c r="C190" s="97" t="s">
        <v>109</v>
      </c>
      <c r="D190" s="96" t="s">
        <v>1</v>
      </c>
      <c r="E190" s="178">
        <v>1.5173611111111109</v>
      </c>
      <c r="F190" s="96" t="s">
        <v>89</v>
      </c>
      <c r="G190" s="98">
        <v>9</v>
      </c>
      <c r="H190" s="174">
        <v>526</v>
      </c>
      <c r="I190" s="2"/>
    </row>
    <row r="191" spans="1:9" ht="19.8" customHeight="1" x14ac:dyDescent="0.3">
      <c r="A191" s="175">
        <v>45994</v>
      </c>
      <c r="B191" s="92" t="s">
        <v>79</v>
      </c>
      <c r="C191" s="93" t="s">
        <v>84</v>
      </c>
      <c r="D191" s="92" t="s">
        <v>1</v>
      </c>
      <c r="E191" s="176">
        <v>1.3923611111111109</v>
      </c>
      <c r="F191" s="92" t="s">
        <v>33</v>
      </c>
      <c r="G191" s="94">
        <v>9</v>
      </c>
      <c r="H191" s="173">
        <v>533</v>
      </c>
      <c r="I191" s="2"/>
    </row>
    <row r="192" spans="1:9" ht="19.8" customHeight="1" x14ac:dyDescent="0.3">
      <c r="A192" s="175">
        <v>45994</v>
      </c>
      <c r="B192" s="92" t="s">
        <v>45</v>
      </c>
      <c r="C192" s="93" t="s">
        <v>53</v>
      </c>
      <c r="D192" s="92" t="s">
        <v>1</v>
      </c>
      <c r="E192" s="176">
        <v>1.854166666666667</v>
      </c>
      <c r="F192" s="92" t="s">
        <v>51</v>
      </c>
      <c r="G192" s="94">
        <v>1</v>
      </c>
      <c r="H192" s="173">
        <v>559</v>
      </c>
      <c r="I192" s="2"/>
    </row>
    <row r="193" spans="1:9" ht="19.8" customHeight="1" x14ac:dyDescent="0.3">
      <c r="A193" s="175">
        <v>45994</v>
      </c>
      <c r="B193" s="92" t="s">
        <v>45</v>
      </c>
      <c r="C193" s="93" t="s">
        <v>57</v>
      </c>
      <c r="D193" s="92" t="s">
        <v>1</v>
      </c>
      <c r="E193" s="176">
        <v>1.256944444444444</v>
      </c>
      <c r="F193" s="92" t="s">
        <v>51</v>
      </c>
      <c r="G193" s="94">
        <v>9</v>
      </c>
      <c r="H193" s="173">
        <v>559</v>
      </c>
      <c r="I193" s="2"/>
    </row>
    <row r="194" spans="1:9" ht="19.8" customHeight="1" x14ac:dyDescent="0.3">
      <c r="A194" s="175">
        <v>45994</v>
      </c>
      <c r="B194" s="92" t="s">
        <v>45</v>
      </c>
      <c r="C194" s="93" t="s">
        <v>58</v>
      </c>
      <c r="D194" s="92" t="s">
        <v>1</v>
      </c>
      <c r="E194" s="176">
        <v>1.302083333333333</v>
      </c>
      <c r="F194" s="92" t="s">
        <v>51</v>
      </c>
      <c r="G194" s="94">
        <v>9</v>
      </c>
      <c r="H194" s="173">
        <v>559</v>
      </c>
      <c r="I194" s="2"/>
    </row>
    <row r="195" spans="1:9" ht="19.8" customHeight="1" x14ac:dyDescent="0.3">
      <c r="A195" s="175">
        <v>45994</v>
      </c>
      <c r="B195" s="92" t="s">
        <v>26</v>
      </c>
      <c r="C195" s="93" t="s">
        <v>27</v>
      </c>
      <c r="D195" s="92" t="s">
        <v>1</v>
      </c>
      <c r="E195" s="176">
        <v>1.8888888888888891</v>
      </c>
      <c r="F195" s="92" t="s">
        <v>31</v>
      </c>
      <c r="G195" s="94">
        <v>1</v>
      </c>
      <c r="H195" s="173">
        <v>569</v>
      </c>
      <c r="I195" s="2"/>
    </row>
    <row r="196" spans="1:9" ht="19.8" customHeight="1" x14ac:dyDescent="0.3">
      <c r="A196" s="175">
        <v>45994</v>
      </c>
      <c r="B196" s="92" t="s">
        <v>115</v>
      </c>
      <c r="C196" s="93" t="s">
        <v>123</v>
      </c>
      <c r="D196" s="92" t="s">
        <v>1</v>
      </c>
      <c r="E196" s="176">
        <v>1.958333333333333</v>
      </c>
      <c r="F196" s="92" t="s">
        <v>117</v>
      </c>
      <c r="G196" s="94">
        <v>9</v>
      </c>
      <c r="H196" s="173">
        <v>579</v>
      </c>
      <c r="I196" s="2"/>
    </row>
    <row r="197" spans="1:9" ht="19.8" customHeight="1" x14ac:dyDescent="0.3">
      <c r="A197" s="175">
        <v>45994</v>
      </c>
      <c r="B197" s="92" t="s">
        <v>115</v>
      </c>
      <c r="C197" s="93" t="s">
        <v>128</v>
      </c>
      <c r="D197" s="92" t="s">
        <v>1</v>
      </c>
      <c r="E197" s="176">
        <v>1.0138888888888891</v>
      </c>
      <c r="F197" s="92" t="s">
        <v>117</v>
      </c>
      <c r="G197" s="94">
        <v>9</v>
      </c>
      <c r="H197" s="173">
        <v>579</v>
      </c>
      <c r="I197" s="2"/>
    </row>
    <row r="198" spans="1:9" ht="19.8" customHeight="1" x14ac:dyDescent="0.3">
      <c r="A198" s="175">
        <v>45994</v>
      </c>
      <c r="B198" s="92" t="s">
        <v>115</v>
      </c>
      <c r="C198" s="93" t="s">
        <v>119</v>
      </c>
      <c r="D198" s="92" t="s">
        <v>1</v>
      </c>
      <c r="E198" s="176">
        <v>1.145833333333333</v>
      </c>
      <c r="F198" s="92" t="s">
        <v>117</v>
      </c>
      <c r="G198" s="94">
        <v>9</v>
      </c>
      <c r="H198" s="173">
        <v>579</v>
      </c>
      <c r="I198" s="2"/>
    </row>
    <row r="199" spans="1:9" ht="19.8" customHeight="1" x14ac:dyDescent="0.3">
      <c r="A199" s="175">
        <v>45994</v>
      </c>
      <c r="B199" s="92" t="s">
        <v>115</v>
      </c>
      <c r="C199" s="93" t="s">
        <v>120</v>
      </c>
      <c r="D199" s="92" t="s">
        <v>1</v>
      </c>
      <c r="E199" s="176">
        <v>1.2777777777777779</v>
      </c>
      <c r="F199" s="92" t="s">
        <v>117</v>
      </c>
      <c r="G199" s="94">
        <v>9</v>
      </c>
      <c r="H199" s="173">
        <v>579</v>
      </c>
      <c r="I199" s="2"/>
    </row>
    <row r="200" spans="1:9" ht="19.8" customHeight="1" x14ac:dyDescent="0.3">
      <c r="A200" s="175">
        <v>45994</v>
      </c>
      <c r="B200" s="92" t="s">
        <v>115</v>
      </c>
      <c r="C200" s="93" t="s">
        <v>121</v>
      </c>
      <c r="D200" s="92" t="s">
        <v>1</v>
      </c>
      <c r="E200" s="176">
        <v>1.4861111111111109</v>
      </c>
      <c r="F200" s="92" t="s">
        <v>117</v>
      </c>
      <c r="G200" s="94">
        <v>9</v>
      </c>
      <c r="H200" s="173">
        <v>579</v>
      </c>
      <c r="I200" s="2"/>
    </row>
    <row r="201" spans="1:9" ht="19.8" customHeight="1" x14ac:dyDescent="0.3">
      <c r="A201" s="175">
        <v>45994</v>
      </c>
      <c r="B201" s="92" t="s">
        <v>115</v>
      </c>
      <c r="C201" s="93" t="s">
        <v>122</v>
      </c>
      <c r="D201" s="92" t="s">
        <v>1</v>
      </c>
      <c r="E201" s="176">
        <v>1.5138888888888891</v>
      </c>
      <c r="F201" s="92" t="s">
        <v>117</v>
      </c>
      <c r="G201" s="94">
        <v>9</v>
      </c>
      <c r="H201" s="173">
        <v>579</v>
      </c>
      <c r="I201" s="2"/>
    </row>
    <row r="202" spans="1:9" ht="19.8" customHeight="1" x14ac:dyDescent="0.3">
      <c r="A202" s="175">
        <v>45994</v>
      </c>
      <c r="B202" s="92" t="s">
        <v>45</v>
      </c>
      <c r="C202" s="93" t="s">
        <v>62</v>
      </c>
      <c r="D202" s="92" t="s">
        <v>1</v>
      </c>
      <c r="E202" s="176">
        <v>1.5173611111111109</v>
      </c>
      <c r="F202" s="92" t="s">
        <v>51</v>
      </c>
      <c r="G202" s="94">
        <v>9</v>
      </c>
      <c r="H202" s="173">
        <v>599</v>
      </c>
      <c r="I202" s="2"/>
    </row>
    <row r="203" spans="1:9" ht="19.8" customHeight="1" x14ac:dyDescent="0.3">
      <c r="A203" s="175">
        <v>45994</v>
      </c>
      <c r="B203" s="92" t="s">
        <v>45</v>
      </c>
      <c r="C203" s="93" t="s">
        <v>59</v>
      </c>
      <c r="D203" s="92" t="s">
        <v>1</v>
      </c>
      <c r="E203" s="176">
        <v>1.9027777777777779</v>
      </c>
      <c r="F203" s="92" t="s">
        <v>51</v>
      </c>
      <c r="G203" s="94">
        <v>1</v>
      </c>
      <c r="H203" s="173">
        <v>599</v>
      </c>
      <c r="I203" s="2"/>
    </row>
    <row r="204" spans="1:9" ht="19.8" customHeight="1" x14ac:dyDescent="0.3">
      <c r="A204" s="175">
        <v>45994</v>
      </c>
      <c r="B204" s="92" t="s">
        <v>45</v>
      </c>
      <c r="C204" s="93" t="s">
        <v>60</v>
      </c>
      <c r="D204" s="92" t="s">
        <v>1</v>
      </c>
      <c r="E204" s="176">
        <v>1.7986111111111109</v>
      </c>
      <c r="F204" s="92" t="s">
        <v>51</v>
      </c>
      <c r="G204" s="94">
        <v>4</v>
      </c>
      <c r="H204" s="173">
        <v>599</v>
      </c>
      <c r="I204" s="2"/>
    </row>
    <row r="205" spans="1:9" ht="19.8" customHeight="1" x14ac:dyDescent="0.3">
      <c r="A205" s="175">
        <v>45994</v>
      </c>
      <c r="B205" s="92" t="s">
        <v>45</v>
      </c>
      <c r="C205" s="93" t="s">
        <v>46</v>
      </c>
      <c r="D205" s="92" t="s">
        <v>1</v>
      </c>
      <c r="E205" s="176">
        <v>1.395833333333333</v>
      </c>
      <c r="F205" s="92" t="s">
        <v>51</v>
      </c>
      <c r="G205" s="94">
        <v>9</v>
      </c>
      <c r="H205" s="173">
        <v>599</v>
      </c>
      <c r="I205" s="2"/>
    </row>
    <row r="206" spans="1:9" ht="19.8" customHeight="1" x14ac:dyDescent="0.3">
      <c r="A206" s="175">
        <v>45994</v>
      </c>
      <c r="B206" s="92" t="s">
        <v>45</v>
      </c>
      <c r="C206" s="93" t="s">
        <v>66</v>
      </c>
      <c r="D206" s="92" t="s">
        <v>1</v>
      </c>
      <c r="E206" s="176">
        <v>1.645833333333333</v>
      </c>
      <c r="F206" s="92" t="s">
        <v>51</v>
      </c>
      <c r="G206" s="94">
        <v>8</v>
      </c>
      <c r="H206" s="173">
        <v>599</v>
      </c>
      <c r="I206" s="2"/>
    </row>
    <row r="207" spans="1:9" ht="19.8" customHeight="1" x14ac:dyDescent="0.3">
      <c r="A207" s="175">
        <v>45994</v>
      </c>
      <c r="B207" s="92" t="s">
        <v>70</v>
      </c>
      <c r="C207" s="93" t="s">
        <v>71</v>
      </c>
      <c r="D207" s="92" t="s">
        <v>1</v>
      </c>
      <c r="E207" s="176">
        <v>1.8611111111111109</v>
      </c>
      <c r="F207" s="92" t="s">
        <v>72</v>
      </c>
      <c r="G207" s="94">
        <v>5</v>
      </c>
      <c r="H207" s="173">
        <v>645</v>
      </c>
      <c r="I207" s="2"/>
    </row>
    <row r="208" spans="1:9" ht="19.8" customHeight="1" x14ac:dyDescent="0.3">
      <c r="A208" s="175">
        <v>45994</v>
      </c>
      <c r="B208" s="92" t="s">
        <v>26</v>
      </c>
      <c r="C208" s="93" t="s">
        <v>41</v>
      </c>
      <c r="D208" s="92" t="s">
        <v>1</v>
      </c>
      <c r="E208" s="176">
        <v>1.788194444444444</v>
      </c>
      <c r="F208" s="92" t="s">
        <v>31</v>
      </c>
      <c r="G208" s="94">
        <v>2</v>
      </c>
      <c r="H208" s="173">
        <v>649</v>
      </c>
      <c r="I208" s="2"/>
    </row>
    <row r="209" spans="1:9" ht="19.8" customHeight="1" x14ac:dyDescent="0.3">
      <c r="A209" s="175">
        <v>45994</v>
      </c>
      <c r="B209" s="92" t="s">
        <v>130</v>
      </c>
      <c r="C209" s="93" t="s">
        <v>143</v>
      </c>
      <c r="D209" s="92" t="s">
        <v>1</v>
      </c>
      <c r="E209" s="176">
        <v>1.006944444444444</v>
      </c>
      <c r="F209" s="92" t="s">
        <v>132</v>
      </c>
      <c r="G209" s="94">
        <v>9</v>
      </c>
      <c r="H209" s="173">
        <v>678</v>
      </c>
      <c r="I209" s="2"/>
    </row>
    <row r="210" spans="1:9" ht="19.8" customHeight="1" x14ac:dyDescent="0.3">
      <c r="A210" s="175">
        <v>45994</v>
      </c>
      <c r="B210" s="92" t="s">
        <v>130</v>
      </c>
      <c r="C210" s="93" t="s">
        <v>146</v>
      </c>
      <c r="D210" s="92" t="s">
        <v>1</v>
      </c>
      <c r="E210" s="176">
        <v>1.1423611111111109</v>
      </c>
      <c r="F210" s="92" t="s">
        <v>132</v>
      </c>
      <c r="G210" s="94">
        <v>9</v>
      </c>
      <c r="H210" s="173">
        <v>678</v>
      </c>
      <c r="I210" s="2"/>
    </row>
    <row r="211" spans="1:9" ht="19.8" customHeight="1" x14ac:dyDescent="0.3">
      <c r="A211" s="175">
        <v>45994</v>
      </c>
      <c r="B211" s="92" t="s">
        <v>130</v>
      </c>
      <c r="C211" s="93" t="s">
        <v>136</v>
      </c>
      <c r="D211" s="92" t="s">
        <v>1</v>
      </c>
      <c r="E211" s="176">
        <v>1.3784722222222221</v>
      </c>
      <c r="F211" s="92" t="s">
        <v>132</v>
      </c>
      <c r="G211" s="94">
        <v>9</v>
      </c>
      <c r="H211" s="173">
        <v>678</v>
      </c>
      <c r="I211" s="2"/>
    </row>
    <row r="212" spans="1:9" ht="19.8" customHeight="1" x14ac:dyDescent="0.3">
      <c r="A212" s="175">
        <v>45994</v>
      </c>
      <c r="B212" s="92" t="s">
        <v>130</v>
      </c>
      <c r="C212" s="93" t="s">
        <v>138</v>
      </c>
      <c r="D212" s="92" t="s">
        <v>1</v>
      </c>
      <c r="E212" s="176">
        <v>1.239583333333333</v>
      </c>
      <c r="F212" s="92" t="s">
        <v>132</v>
      </c>
      <c r="G212" s="94">
        <v>9</v>
      </c>
      <c r="H212" s="173">
        <v>678</v>
      </c>
      <c r="I212" s="2"/>
    </row>
    <row r="213" spans="1:9" ht="19.8" customHeight="1" x14ac:dyDescent="0.3">
      <c r="A213" s="175">
        <v>45994</v>
      </c>
      <c r="B213" s="92" t="s">
        <v>130</v>
      </c>
      <c r="C213" s="93" t="s">
        <v>143</v>
      </c>
      <c r="D213" s="92" t="s">
        <v>1</v>
      </c>
      <c r="E213" s="176">
        <v>1.006944444444444</v>
      </c>
      <c r="F213" s="92" t="s">
        <v>134</v>
      </c>
      <c r="G213" s="94">
        <v>9</v>
      </c>
      <c r="H213" s="173">
        <v>723</v>
      </c>
      <c r="I213" s="2"/>
    </row>
    <row r="214" spans="1:9" ht="19.8" customHeight="1" x14ac:dyDescent="0.3">
      <c r="A214" s="175">
        <v>45994</v>
      </c>
      <c r="B214" s="92" t="s">
        <v>130</v>
      </c>
      <c r="C214" s="93" t="s">
        <v>146</v>
      </c>
      <c r="D214" s="92" t="s">
        <v>1</v>
      </c>
      <c r="E214" s="176">
        <v>1.1423611111111109</v>
      </c>
      <c r="F214" s="92" t="s">
        <v>134</v>
      </c>
      <c r="G214" s="94">
        <v>9</v>
      </c>
      <c r="H214" s="173">
        <v>723</v>
      </c>
      <c r="I214" s="2"/>
    </row>
    <row r="215" spans="1:9" ht="19.8" customHeight="1" x14ac:dyDescent="0.3">
      <c r="A215" s="175">
        <v>45994</v>
      </c>
      <c r="B215" s="92" t="s">
        <v>130</v>
      </c>
      <c r="C215" s="93" t="s">
        <v>136</v>
      </c>
      <c r="D215" s="92" t="s">
        <v>1</v>
      </c>
      <c r="E215" s="176">
        <v>1.3784722222222221</v>
      </c>
      <c r="F215" s="92" t="s">
        <v>134</v>
      </c>
      <c r="G215" s="94">
        <v>9</v>
      </c>
      <c r="H215" s="173">
        <v>723</v>
      </c>
      <c r="I215" s="2"/>
    </row>
    <row r="216" spans="1:9" ht="19.8" customHeight="1" x14ac:dyDescent="0.3">
      <c r="A216" s="175">
        <v>45994</v>
      </c>
      <c r="B216" s="92" t="s">
        <v>130</v>
      </c>
      <c r="C216" s="93" t="s">
        <v>138</v>
      </c>
      <c r="D216" s="92" t="s">
        <v>1</v>
      </c>
      <c r="E216" s="176">
        <v>1.239583333333333</v>
      </c>
      <c r="F216" s="92" t="s">
        <v>134</v>
      </c>
      <c r="G216" s="94">
        <v>9</v>
      </c>
      <c r="H216" s="173">
        <v>723</v>
      </c>
      <c r="I216" s="2"/>
    </row>
    <row r="217" spans="1:9" ht="19.8" customHeight="1" x14ac:dyDescent="0.3">
      <c r="A217" s="175">
        <v>45994</v>
      </c>
      <c r="B217" s="92" t="s">
        <v>115</v>
      </c>
      <c r="C217" s="93" t="s">
        <v>126</v>
      </c>
      <c r="D217" s="92" t="s">
        <v>1</v>
      </c>
      <c r="E217" s="176">
        <v>1.770833333333333</v>
      </c>
      <c r="F217" s="92" t="s">
        <v>124</v>
      </c>
      <c r="G217" s="94">
        <v>9</v>
      </c>
      <c r="H217" s="173">
        <v>795</v>
      </c>
      <c r="I217" s="2"/>
    </row>
    <row r="218" spans="1:9" ht="19.8" customHeight="1" x14ac:dyDescent="0.3">
      <c r="A218" s="175">
        <v>45994</v>
      </c>
      <c r="B218" s="92" t="s">
        <v>130</v>
      </c>
      <c r="C218" s="93" t="s">
        <v>148</v>
      </c>
      <c r="D218" s="92" t="s">
        <v>1</v>
      </c>
      <c r="E218" s="176">
        <v>1.8298611111111109</v>
      </c>
      <c r="F218" s="92" t="s">
        <v>132</v>
      </c>
      <c r="G218" s="94">
        <v>9</v>
      </c>
      <c r="H218" s="173">
        <v>935</v>
      </c>
      <c r="I218" s="2"/>
    </row>
    <row r="219" spans="1:9" ht="19.8" customHeight="1" x14ac:dyDescent="0.3">
      <c r="A219" s="175">
        <v>45994</v>
      </c>
      <c r="B219" s="92" t="s">
        <v>130</v>
      </c>
      <c r="C219" s="93" t="s">
        <v>137</v>
      </c>
      <c r="D219" s="92" t="s">
        <v>1</v>
      </c>
      <c r="E219" s="176">
        <v>1.6111111111111109</v>
      </c>
      <c r="F219" s="92" t="s">
        <v>132</v>
      </c>
      <c r="G219" s="94">
        <v>9</v>
      </c>
      <c r="H219" s="173">
        <v>935</v>
      </c>
      <c r="I219" s="2"/>
    </row>
    <row r="220" spans="1:9" ht="19.8" customHeight="1" x14ac:dyDescent="0.3">
      <c r="A220" s="175">
        <v>45994</v>
      </c>
      <c r="B220" s="92" t="s">
        <v>130</v>
      </c>
      <c r="C220" s="93" t="s">
        <v>148</v>
      </c>
      <c r="D220" s="92" t="s">
        <v>1</v>
      </c>
      <c r="E220" s="176">
        <v>1.8298611111111109</v>
      </c>
      <c r="F220" s="92" t="s">
        <v>134</v>
      </c>
      <c r="G220" s="94">
        <v>9</v>
      </c>
      <c r="H220" s="173">
        <v>980</v>
      </c>
      <c r="I220" s="2"/>
    </row>
    <row r="221" spans="1:9" ht="19.8" customHeight="1" x14ac:dyDescent="0.3">
      <c r="A221" s="175">
        <v>45994</v>
      </c>
      <c r="B221" s="92" t="s">
        <v>130</v>
      </c>
      <c r="C221" s="93" t="s">
        <v>137</v>
      </c>
      <c r="D221" s="92" t="s">
        <v>1</v>
      </c>
      <c r="E221" s="176">
        <v>1.6111111111111109</v>
      </c>
      <c r="F221" s="92" t="s">
        <v>134</v>
      </c>
      <c r="G221" s="94">
        <v>9</v>
      </c>
      <c r="H221" s="173">
        <v>980</v>
      </c>
      <c r="I221" s="2"/>
    </row>
    <row r="222" spans="1:9" ht="19.8" customHeight="1" x14ac:dyDescent="0.3">
      <c r="A222" s="175">
        <v>45994</v>
      </c>
      <c r="B222" s="92" t="s">
        <v>26</v>
      </c>
      <c r="C222" s="93" t="s">
        <v>35</v>
      </c>
      <c r="D222" s="92" t="s">
        <v>1</v>
      </c>
      <c r="E222" s="176">
        <v>1.1284722222222221</v>
      </c>
      <c r="F222" s="92" t="s">
        <v>33</v>
      </c>
      <c r="G222" s="94">
        <v>1</v>
      </c>
      <c r="H222" s="99" t="s">
        <v>34</v>
      </c>
      <c r="I222" s="2"/>
    </row>
    <row r="223" spans="1:9" ht="19.8" customHeight="1" x14ac:dyDescent="0.3">
      <c r="A223" s="175">
        <v>45994</v>
      </c>
      <c r="B223" s="92" t="s">
        <v>26</v>
      </c>
      <c r="C223" s="93" t="s">
        <v>39</v>
      </c>
      <c r="D223" s="92" t="s">
        <v>1</v>
      </c>
      <c r="E223" s="176">
        <v>1.302083333333333</v>
      </c>
      <c r="F223" s="92" t="s">
        <v>33</v>
      </c>
      <c r="G223" s="94">
        <v>1</v>
      </c>
      <c r="H223" s="99" t="s">
        <v>34</v>
      </c>
      <c r="I223" s="2"/>
    </row>
    <row r="224" spans="1:9" ht="19.8" customHeight="1" x14ac:dyDescent="0.3">
      <c r="A224" s="175">
        <v>45994</v>
      </c>
      <c r="B224" s="92" t="s">
        <v>26</v>
      </c>
      <c r="C224" s="93" t="s">
        <v>27</v>
      </c>
      <c r="D224" s="92" t="s">
        <v>1</v>
      </c>
      <c r="E224" s="176">
        <v>1.8888888888888891</v>
      </c>
      <c r="F224" s="92" t="s">
        <v>33</v>
      </c>
      <c r="G224" s="94">
        <v>1</v>
      </c>
      <c r="H224" s="99" t="s">
        <v>34</v>
      </c>
      <c r="I224" s="2"/>
    </row>
    <row r="225" spans="1:9" ht="19.8" customHeight="1" x14ac:dyDescent="0.3">
      <c r="A225" s="175">
        <v>45994</v>
      </c>
      <c r="B225" s="92" t="s">
        <v>26</v>
      </c>
      <c r="C225" s="93" t="s">
        <v>41</v>
      </c>
      <c r="D225" s="92" t="s">
        <v>1</v>
      </c>
      <c r="E225" s="176">
        <v>1.788194444444444</v>
      </c>
      <c r="F225" s="92" t="s">
        <v>33</v>
      </c>
      <c r="G225" s="94">
        <v>2</v>
      </c>
      <c r="H225" s="99" t="s">
        <v>34</v>
      </c>
      <c r="I225" s="2"/>
    </row>
    <row r="226" spans="1:9" ht="19.8" customHeight="1" x14ac:dyDescent="0.3">
      <c r="A226" s="175">
        <v>45994</v>
      </c>
      <c r="B226" s="92" t="s">
        <v>130</v>
      </c>
      <c r="C226" s="93" t="s">
        <v>142</v>
      </c>
      <c r="D226" s="92" t="s">
        <v>1</v>
      </c>
      <c r="E226" s="176">
        <v>1.1284722222222221</v>
      </c>
      <c r="F226" s="92" t="s">
        <v>134</v>
      </c>
      <c r="G226" s="94">
        <v>4</v>
      </c>
      <c r="H226" s="99" t="s">
        <v>178</v>
      </c>
      <c r="I226" s="2"/>
    </row>
    <row r="227" spans="1:9" ht="19.8" customHeight="1" x14ac:dyDescent="0.3">
      <c r="A227" s="177">
        <v>45994</v>
      </c>
      <c r="B227" s="96" t="s">
        <v>87</v>
      </c>
      <c r="C227" s="97" t="s">
        <v>88</v>
      </c>
      <c r="D227" s="96" t="s">
        <v>1</v>
      </c>
      <c r="E227" s="178">
        <v>1.520833333333333</v>
      </c>
      <c r="F227" s="96" t="s">
        <v>89</v>
      </c>
      <c r="G227" s="98">
        <v>9</v>
      </c>
      <c r="H227" s="104" t="s">
        <v>192</v>
      </c>
      <c r="I227" s="2"/>
    </row>
    <row r="228" spans="1:9" ht="19.8" customHeight="1" x14ac:dyDescent="0.3">
      <c r="A228" s="175">
        <v>45994</v>
      </c>
      <c r="B228" s="92" t="s">
        <v>130</v>
      </c>
      <c r="C228" s="93" t="s">
        <v>141</v>
      </c>
      <c r="D228" s="92" t="s">
        <v>1</v>
      </c>
      <c r="E228" s="176">
        <v>1.302083333333333</v>
      </c>
      <c r="F228" s="92" t="s">
        <v>134</v>
      </c>
      <c r="G228" s="94">
        <v>4</v>
      </c>
      <c r="H228" s="99" t="s">
        <v>140</v>
      </c>
      <c r="I228" s="2"/>
    </row>
    <row r="229" spans="1:9" ht="19.8" customHeight="1" x14ac:dyDescent="0.3">
      <c r="A229" s="175">
        <v>45994</v>
      </c>
      <c r="B229" s="92" t="s">
        <v>130</v>
      </c>
      <c r="C229" s="93" t="s">
        <v>131</v>
      </c>
      <c r="D229" s="92" t="s">
        <v>1</v>
      </c>
      <c r="E229" s="176">
        <v>1.930555555555556</v>
      </c>
      <c r="F229" s="92" t="s">
        <v>132</v>
      </c>
      <c r="G229" s="94">
        <v>9</v>
      </c>
      <c r="H229" s="99" t="s">
        <v>144</v>
      </c>
      <c r="I229" s="2"/>
    </row>
    <row r="230" spans="1:9" ht="19.8" customHeight="1" x14ac:dyDescent="0.3">
      <c r="A230" s="175">
        <v>45994</v>
      </c>
      <c r="B230" s="92" t="s">
        <v>130</v>
      </c>
      <c r="C230" s="93" t="s">
        <v>147</v>
      </c>
      <c r="D230" s="92" t="s">
        <v>1</v>
      </c>
      <c r="E230" s="176">
        <v>1.71875</v>
      </c>
      <c r="F230" s="92" t="s">
        <v>132</v>
      </c>
      <c r="G230" s="94">
        <v>9</v>
      </c>
      <c r="H230" s="99" t="s">
        <v>144</v>
      </c>
      <c r="I230" s="2"/>
    </row>
    <row r="231" spans="1:9" ht="19.8" customHeight="1" x14ac:dyDescent="0.3">
      <c r="A231" s="175">
        <v>45994</v>
      </c>
      <c r="B231" s="92" t="s">
        <v>130</v>
      </c>
      <c r="C231" s="93" t="s">
        <v>131</v>
      </c>
      <c r="D231" s="92" t="s">
        <v>1</v>
      </c>
      <c r="E231" s="176">
        <v>1.930555555555556</v>
      </c>
      <c r="F231" s="92" t="s">
        <v>134</v>
      </c>
      <c r="G231" s="94">
        <v>9</v>
      </c>
      <c r="H231" s="99" t="s">
        <v>145</v>
      </c>
      <c r="I231" s="2"/>
    </row>
    <row r="232" spans="1:9" ht="19.8" customHeight="1" x14ac:dyDescent="0.3">
      <c r="A232" s="175">
        <v>45994</v>
      </c>
      <c r="B232" s="92" t="s">
        <v>130</v>
      </c>
      <c r="C232" s="93" t="s">
        <v>147</v>
      </c>
      <c r="D232" s="92" t="s">
        <v>1</v>
      </c>
      <c r="E232" s="176">
        <v>1.71875</v>
      </c>
      <c r="F232" s="92" t="s">
        <v>134</v>
      </c>
      <c r="G232" s="94">
        <v>9</v>
      </c>
      <c r="H232" s="99" t="s">
        <v>145</v>
      </c>
      <c r="I232" s="2"/>
    </row>
    <row r="233" spans="1:9" ht="19.8" customHeight="1" x14ac:dyDescent="0.3">
      <c r="A233" s="175">
        <v>45994</v>
      </c>
      <c r="B233" s="92" t="s">
        <v>130</v>
      </c>
      <c r="C233" s="93" t="s">
        <v>139</v>
      </c>
      <c r="D233" s="92" t="s">
        <v>1</v>
      </c>
      <c r="E233" s="176">
        <v>1.8888888888888891</v>
      </c>
      <c r="F233" s="92" t="s">
        <v>134</v>
      </c>
      <c r="G233" s="94">
        <v>4</v>
      </c>
      <c r="H233" s="99" t="s">
        <v>179</v>
      </c>
      <c r="I233" s="2"/>
    </row>
    <row r="234" spans="1:9" ht="19.8" customHeight="1" x14ac:dyDescent="0.3">
      <c r="A234" s="179">
        <v>45994</v>
      </c>
      <c r="B234" s="100" t="s">
        <v>130</v>
      </c>
      <c r="C234" s="101" t="s">
        <v>149</v>
      </c>
      <c r="D234" s="100" t="s">
        <v>1</v>
      </c>
      <c r="E234" s="180">
        <v>1.788194444444444</v>
      </c>
      <c r="F234" s="100" t="s">
        <v>134</v>
      </c>
      <c r="G234" s="102">
        <v>4</v>
      </c>
      <c r="H234" s="103" t="s">
        <v>150</v>
      </c>
      <c r="I234" s="2"/>
    </row>
    <row r="235" spans="1:9" ht="19.8" customHeight="1" x14ac:dyDescent="0.3">
      <c r="A235" s="175">
        <v>45995</v>
      </c>
      <c r="B235" s="92" t="s">
        <v>26</v>
      </c>
      <c r="C235" s="93" t="s">
        <v>35</v>
      </c>
      <c r="D235" s="92" t="s">
        <v>1</v>
      </c>
      <c r="E235" s="176">
        <v>1.1284722222222221</v>
      </c>
      <c r="F235" s="92" t="s">
        <v>28</v>
      </c>
      <c r="G235" s="94">
        <v>4</v>
      </c>
      <c r="H235" s="173">
        <v>359</v>
      </c>
      <c r="I235" s="2"/>
    </row>
    <row r="236" spans="1:9" ht="19.8" customHeight="1" x14ac:dyDescent="0.3">
      <c r="A236" s="175">
        <v>45995</v>
      </c>
      <c r="B236" s="92" t="s">
        <v>26</v>
      </c>
      <c r="C236" s="93" t="s">
        <v>39</v>
      </c>
      <c r="D236" s="92" t="s">
        <v>1</v>
      </c>
      <c r="E236" s="176">
        <v>1.302083333333333</v>
      </c>
      <c r="F236" s="92" t="s">
        <v>28</v>
      </c>
      <c r="G236" s="94">
        <v>4</v>
      </c>
      <c r="H236" s="173">
        <v>359</v>
      </c>
      <c r="I236" s="2"/>
    </row>
    <row r="237" spans="1:9" ht="19.8" customHeight="1" x14ac:dyDescent="0.3">
      <c r="A237" s="175">
        <v>45995</v>
      </c>
      <c r="B237" s="92" t="s">
        <v>26</v>
      </c>
      <c r="C237" s="93" t="s">
        <v>27</v>
      </c>
      <c r="D237" s="92" t="s">
        <v>1</v>
      </c>
      <c r="E237" s="176">
        <v>1.8888888888888891</v>
      </c>
      <c r="F237" s="92" t="s">
        <v>28</v>
      </c>
      <c r="G237" s="94">
        <v>2</v>
      </c>
      <c r="H237" s="173">
        <v>389</v>
      </c>
      <c r="I237" s="2"/>
    </row>
    <row r="238" spans="1:9" ht="19.8" customHeight="1" x14ac:dyDescent="0.3">
      <c r="A238" s="175">
        <v>45995</v>
      </c>
      <c r="B238" s="92" t="s">
        <v>26</v>
      </c>
      <c r="C238" s="93" t="s">
        <v>41</v>
      </c>
      <c r="D238" s="92" t="s">
        <v>1</v>
      </c>
      <c r="E238" s="176">
        <v>1.788194444444444</v>
      </c>
      <c r="F238" s="92" t="s">
        <v>28</v>
      </c>
      <c r="G238" s="94">
        <v>5</v>
      </c>
      <c r="H238" s="173">
        <v>459</v>
      </c>
      <c r="I238" s="2"/>
    </row>
    <row r="239" spans="1:9" ht="19.8" customHeight="1" x14ac:dyDescent="0.3">
      <c r="A239" s="175">
        <v>45995</v>
      </c>
      <c r="B239" s="92" t="s">
        <v>26</v>
      </c>
      <c r="C239" s="93" t="s">
        <v>35</v>
      </c>
      <c r="D239" s="92" t="s">
        <v>1</v>
      </c>
      <c r="E239" s="176">
        <v>1.1284722222222221</v>
      </c>
      <c r="F239" s="92" t="s">
        <v>31</v>
      </c>
      <c r="G239" s="94">
        <v>4</v>
      </c>
      <c r="H239" s="173">
        <v>509</v>
      </c>
      <c r="I239" s="2"/>
    </row>
    <row r="240" spans="1:9" ht="19.8" customHeight="1" x14ac:dyDescent="0.3">
      <c r="A240" s="175">
        <v>45995</v>
      </c>
      <c r="B240" s="92" t="s">
        <v>26</v>
      </c>
      <c r="C240" s="93" t="s">
        <v>39</v>
      </c>
      <c r="D240" s="92" t="s">
        <v>1</v>
      </c>
      <c r="E240" s="176">
        <v>1.302083333333333</v>
      </c>
      <c r="F240" s="92" t="s">
        <v>31</v>
      </c>
      <c r="G240" s="94">
        <v>4</v>
      </c>
      <c r="H240" s="173">
        <v>509</v>
      </c>
      <c r="I240" s="2"/>
    </row>
    <row r="241" spans="1:9" ht="19.8" customHeight="1" x14ac:dyDescent="0.3">
      <c r="A241" s="175">
        <v>45995</v>
      </c>
      <c r="B241" s="92" t="s">
        <v>26</v>
      </c>
      <c r="C241" s="93" t="s">
        <v>27</v>
      </c>
      <c r="D241" s="92" t="s">
        <v>1</v>
      </c>
      <c r="E241" s="176">
        <v>1.8888888888888891</v>
      </c>
      <c r="F241" s="92" t="s">
        <v>31</v>
      </c>
      <c r="G241" s="94">
        <v>2</v>
      </c>
      <c r="H241" s="173">
        <v>539</v>
      </c>
      <c r="I241" s="2"/>
    </row>
    <row r="242" spans="1:9" ht="19.8" customHeight="1" x14ac:dyDescent="0.3">
      <c r="A242" s="175">
        <v>45995</v>
      </c>
      <c r="B242" s="92" t="s">
        <v>26</v>
      </c>
      <c r="C242" s="93" t="s">
        <v>41</v>
      </c>
      <c r="D242" s="92" t="s">
        <v>1</v>
      </c>
      <c r="E242" s="176">
        <v>1.788194444444444</v>
      </c>
      <c r="F242" s="92" t="s">
        <v>31</v>
      </c>
      <c r="G242" s="94">
        <v>5</v>
      </c>
      <c r="H242" s="173">
        <v>609</v>
      </c>
      <c r="I242" s="2"/>
    </row>
    <row r="243" spans="1:9" ht="19.8" customHeight="1" x14ac:dyDescent="0.3">
      <c r="A243" s="175">
        <v>45995</v>
      </c>
      <c r="B243" s="92" t="s">
        <v>26</v>
      </c>
      <c r="C243" s="93" t="s">
        <v>35</v>
      </c>
      <c r="D243" s="92" t="s">
        <v>1</v>
      </c>
      <c r="E243" s="176">
        <v>1.1284722222222221</v>
      </c>
      <c r="F243" s="92" t="s">
        <v>33</v>
      </c>
      <c r="G243" s="94">
        <v>4</v>
      </c>
      <c r="H243" s="99" t="s">
        <v>34</v>
      </c>
      <c r="I243" s="2"/>
    </row>
    <row r="244" spans="1:9" ht="19.8" customHeight="1" x14ac:dyDescent="0.3">
      <c r="A244" s="175">
        <v>45995</v>
      </c>
      <c r="B244" s="92" t="s">
        <v>26</v>
      </c>
      <c r="C244" s="93" t="s">
        <v>39</v>
      </c>
      <c r="D244" s="92" t="s">
        <v>1</v>
      </c>
      <c r="E244" s="176">
        <v>1.302083333333333</v>
      </c>
      <c r="F244" s="92" t="s">
        <v>33</v>
      </c>
      <c r="G244" s="94">
        <v>4</v>
      </c>
      <c r="H244" s="99" t="s">
        <v>34</v>
      </c>
      <c r="I244" s="2"/>
    </row>
    <row r="245" spans="1:9" ht="19.8" customHeight="1" x14ac:dyDescent="0.3">
      <c r="A245" s="175">
        <v>45995</v>
      </c>
      <c r="B245" s="92" t="s">
        <v>26</v>
      </c>
      <c r="C245" s="93" t="s">
        <v>27</v>
      </c>
      <c r="D245" s="92" t="s">
        <v>1</v>
      </c>
      <c r="E245" s="176">
        <v>1.8888888888888891</v>
      </c>
      <c r="F245" s="92" t="s">
        <v>33</v>
      </c>
      <c r="G245" s="94">
        <v>2</v>
      </c>
      <c r="H245" s="99" t="s">
        <v>34</v>
      </c>
      <c r="I245" s="2"/>
    </row>
    <row r="246" spans="1:9" ht="19.8" customHeight="1" x14ac:dyDescent="0.3">
      <c r="A246" s="177">
        <v>45995</v>
      </c>
      <c r="B246" s="96" t="s">
        <v>87</v>
      </c>
      <c r="C246" s="97" t="s">
        <v>169</v>
      </c>
      <c r="D246" s="96" t="s">
        <v>1</v>
      </c>
      <c r="E246" s="178">
        <v>1.0486111111111109</v>
      </c>
      <c r="F246" s="96"/>
      <c r="G246" s="96"/>
      <c r="H246" s="104" t="s">
        <v>585</v>
      </c>
      <c r="I246" s="2"/>
    </row>
    <row r="247" spans="1:9" ht="19.8" customHeight="1" x14ac:dyDescent="0.3">
      <c r="A247" s="177">
        <v>45995</v>
      </c>
      <c r="B247" s="96" t="s">
        <v>87</v>
      </c>
      <c r="C247" s="97" t="s">
        <v>165</v>
      </c>
      <c r="D247" s="96" t="s">
        <v>1</v>
      </c>
      <c r="E247" s="178">
        <v>1.114583333333333</v>
      </c>
      <c r="F247" s="96"/>
      <c r="G247" s="96"/>
      <c r="H247" s="104" t="s">
        <v>586</v>
      </c>
      <c r="I247" s="2"/>
    </row>
    <row r="248" spans="1:9" ht="19.8" customHeight="1" x14ac:dyDescent="0.3">
      <c r="A248" s="177">
        <v>45995</v>
      </c>
      <c r="B248" s="96" t="s">
        <v>87</v>
      </c>
      <c r="C248" s="97" t="s">
        <v>220</v>
      </c>
      <c r="D248" s="96" t="s">
        <v>1</v>
      </c>
      <c r="E248" s="178">
        <v>1.2534722222222221</v>
      </c>
      <c r="F248" s="96"/>
      <c r="G248" s="96"/>
      <c r="H248" s="104" t="s">
        <v>585</v>
      </c>
      <c r="I248" s="2"/>
    </row>
    <row r="249" spans="1:9" ht="19.8" customHeight="1" x14ac:dyDescent="0.3">
      <c r="A249" s="177">
        <v>45995</v>
      </c>
      <c r="B249" s="96" t="s">
        <v>87</v>
      </c>
      <c r="C249" s="97" t="s">
        <v>109</v>
      </c>
      <c r="D249" s="96" t="s">
        <v>1</v>
      </c>
      <c r="E249" s="178">
        <v>1.333333333333333</v>
      </c>
      <c r="F249" s="96"/>
      <c r="G249" s="96"/>
      <c r="H249" s="104" t="s">
        <v>585</v>
      </c>
      <c r="I249" s="2"/>
    </row>
    <row r="250" spans="1:9" ht="19.8" customHeight="1" x14ac:dyDescent="0.3">
      <c r="A250" s="177">
        <v>45995</v>
      </c>
      <c r="B250" s="96" t="s">
        <v>87</v>
      </c>
      <c r="C250" s="97" t="s">
        <v>241</v>
      </c>
      <c r="D250" s="96" t="s">
        <v>1</v>
      </c>
      <c r="E250" s="178">
        <v>1.364583333333333</v>
      </c>
      <c r="F250" s="96"/>
      <c r="G250" s="96"/>
      <c r="H250" s="104" t="s">
        <v>586</v>
      </c>
      <c r="I250" s="2"/>
    </row>
    <row r="251" spans="1:9" ht="19.8" customHeight="1" x14ac:dyDescent="0.3">
      <c r="A251" s="177">
        <v>45995</v>
      </c>
      <c r="B251" s="96" t="s">
        <v>87</v>
      </c>
      <c r="C251" s="97" t="s">
        <v>95</v>
      </c>
      <c r="D251" s="96" t="s">
        <v>1</v>
      </c>
      <c r="E251" s="178">
        <v>1.583333333333333</v>
      </c>
      <c r="F251" s="96"/>
      <c r="G251" s="96"/>
      <c r="H251" s="104" t="s">
        <v>587</v>
      </c>
      <c r="I251" s="2"/>
    </row>
    <row r="252" spans="1:9" ht="19.8" customHeight="1" x14ac:dyDescent="0.3">
      <c r="A252" s="181">
        <v>45995</v>
      </c>
      <c r="B252" s="105" t="s">
        <v>87</v>
      </c>
      <c r="C252" s="106" t="s">
        <v>102</v>
      </c>
      <c r="D252" s="105" t="s">
        <v>1</v>
      </c>
      <c r="E252" s="182">
        <v>1.739583333333333</v>
      </c>
      <c r="F252" s="105"/>
      <c r="G252" s="105"/>
      <c r="H252" s="107" t="s">
        <v>587</v>
      </c>
      <c r="I252" s="2"/>
    </row>
    <row r="253" spans="1:9" ht="19.8" customHeight="1" x14ac:dyDescent="0.3">
      <c r="A253" s="175">
        <v>45996</v>
      </c>
      <c r="B253" s="92" t="s">
        <v>26</v>
      </c>
      <c r="C253" s="93" t="s">
        <v>35</v>
      </c>
      <c r="D253" s="92" t="s">
        <v>1</v>
      </c>
      <c r="E253" s="176">
        <v>1.1284722222222221</v>
      </c>
      <c r="F253" s="92" t="s">
        <v>28</v>
      </c>
      <c r="G253" s="94">
        <v>1</v>
      </c>
      <c r="H253" s="173">
        <v>329</v>
      </c>
      <c r="I253" s="2"/>
    </row>
    <row r="254" spans="1:9" ht="19.8" customHeight="1" x14ac:dyDescent="0.3">
      <c r="A254" s="175">
        <v>45996</v>
      </c>
      <c r="B254" s="92" t="s">
        <v>26</v>
      </c>
      <c r="C254" s="93" t="s">
        <v>39</v>
      </c>
      <c r="D254" s="92" t="s">
        <v>1</v>
      </c>
      <c r="E254" s="176">
        <v>1.302083333333333</v>
      </c>
      <c r="F254" s="92" t="s">
        <v>28</v>
      </c>
      <c r="G254" s="94">
        <v>3</v>
      </c>
      <c r="H254" s="173">
        <v>329</v>
      </c>
      <c r="I254" s="2"/>
    </row>
    <row r="255" spans="1:9" ht="19.8" customHeight="1" x14ac:dyDescent="0.3">
      <c r="A255" s="175">
        <v>45996</v>
      </c>
      <c r="B255" s="92" t="s">
        <v>26</v>
      </c>
      <c r="C255" s="93" t="s">
        <v>27</v>
      </c>
      <c r="D255" s="92" t="s">
        <v>1</v>
      </c>
      <c r="E255" s="176">
        <v>1.8888888888888891</v>
      </c>
      <c r="F255" s="92" t="s">
        <v>28</v>
      </c>
      <c r="G255" s="94">
        <v>1</v>
      </c>
      <c r="H255" s="173">
        <v>329</v>
      </c>
      <c r="I255" s="2"/>
    </row>
    <row r="256" spans="1:9" ht="19.8" customHeight="1" x14ac:dyDescent="0.3">
      <c r="A256" s="175">
        <v>45996</v>
      </c>
      <c r="B256" s="92" t="s">
        <v>45</v>
      </c>
      <c r="C256" s="93" t="s">
        <v>58</v>
      </c>
      <c r="D256" s="92" t="s">
        <v>1</v>
      </c>
      <c r="E256" s="176">
        <v>1.46875</v>
      </c>
      <c r="F256" s="92" t="s">
        <v>47</v>
      </c>
      <c r="G256" s="94">
        <v>1</v>
      </c>
      <c r="H256" s="173">
        <v>329</v>
      </c>
      <c r="I256" s="2"/>
    </row>
    <row r="257" spans="1:9" ht="19.8" customHeight="1" x14ac:dyDescent="0.3">
      <c r="A257" s="175">
        <v>45996</v>
      </c>
      <c r="B257" s="92" t="s">
        <v>45</v>
      </c>
      <c r="C257" s="93" t="s">
        <v>46</v>
      </c>
      <c r="D257" s="92" t="s">
        <v>1</v>
      </c>
      <c r="E257" s="176">
        <v>1.395833333333333</v>
      </c>
      <c r="F257" s="92" t="s">
        <v>47</v>
      </c>
      <c r="G257" s="94">
        <v>3</v>
      </c>
      <c r="H257" s="173">
        <v>329</v>
      </c>
      <c r="I257" s="2"/>
    </row>
    <row r="258" spans="1:9" ht="19.8" customHeight="1" x14ac:dyDescent="0.3">
      <c r="A258" s="175">
        <v>45996</v>
      </c>
      <c r="B258" s="92" t="s">
        <v>79</v>
      </c>
      <c r="C258" s="93" t="s">
        <v>84</v>
      </c>
      <c r="D258" s="92" t="s">
        <v>1</v>
      </c>
      <c r="E258" s="176">
        <v>1.3923611111111109</v>
      </c>
      <c r="F258" s="92" t="s">
        <v>81</v>
      </c>
      <c r="G258" s="94">
        <v>9</v>
      </c>
      <c r="H258" s="173">
        <v>355</v>
      </c>
      <c r="I258" s="2"/>
    </row>
    <row r="259" spans="1:9" ht="19.8" customHeight="1" x14ac:dyDescent="0.3">
      <c r="A259" s="175">
        <v>45996</v>
      </c>
      <c r="B259" s="92" t="s">
        <v>79</v>
      </c>
      <c r="C259" s="93" t="s">
        <v>199</v>
      </c>
      <c r="D259" s="92" t="s">
        <v>1</v>
      </c>
      <c r="E259" s="176">
        <v>1.975694444444444</v>
      </c>
      <c r="F259" s="92" t="s">
        <v>81</v>
      </c>
      <c r="G259" s="94">
        <v>9</v>
      </c>
      <c r="H259" s="173">
        <v>355</v>
      </c>
      <c r="I259" s="2"/>
    </row>
    <row r="260" spans="1:9" ht="19.8" customHeight="1" x14ac:dyDescent="0.3">
      <c r="A260" s="175">
        <v>45996</v>
      </c>
      <c r="B260" s="92" t="s">
        <v>26</v>
      </c>
      <c r="C260" s="93" t="s">
        <v>41</v>
      </c>
      <c r="D260" s="92" t="s">
        <v>1</v>
      </c>
      <c r="E260" s="176">
        <v>1.788194444444444</v>
      </c>
      <c r="F260" s="92" t="s">
        <v>28</v>
      </c>
      <c r="G260" s="94">
        <v>5</v>
      </c>
      <c r="H260" s="173">
        <v>359</v>
      </c>
      <c r="I260" s="2"/>
    </row>
    <row r="261" spans="1:9" ht="19.8" customHeight="1" x14ac:dyDescent="0.3">
      <c r="A261" s="175">
        <v>45996</v>
      </c>
      <c r="B261" s="92" t="s">
        <v>45</v>
      </c>
      <c r="C261" s="93" t="s">
        <v>53</v>
      </c>
      <c r="D261" s="92" t="s">
        <v>1</v>
      </c>
      <c r="E261" s="176">
        <v>1.854166666666667</v>
      </c>
      <c r="F261" s="92" t="s">
        <v>47</v>
      </c>
      <c r="G261" s="94">
        <v>3</v>
      </c>
      <c r="H261" s="173">
        <v>369</v>
      </c>
      <c r="I261" s="2"/>
    </row>
    <row r="262" spans="1:9" ht="19.8" customHeight="1" x14ac:dyDescent="0.3">
      <c r="A262" s="175">
        <v>45996</v>
      </c>
      <c r="B262" s="92" t="s">
        <v>45</v>
      </c>
      <c r="C262" s="93" t="s">
        <v>57</v>
      </c>
      <c r="D262" s="92" t="s">
        <v>1</v>
      </c>
      <c r="E262" s="176">
        <v>1.256944444444444</v>
      </c>
      <c r="F262" s="92" t="s">
        <v>47</v>
      </c>
      <c r="G262" s="94">
        <v>9</v>
      </c>
      <c r="H262" s="173">
        <v>369</v>
      </c>
      <c r="I262" s="2"/>
    </row>
    <row r="263" spans="1:9" ht="19.8" customHeight="1" x14ac:dyDescent="0.3">
      <c r="A263" s="175">
        <v>45996</v>
      </c>
      <c r="B263" s="92" t="s">
        <v>45</v>
      </c>
      <c r="C263" s="93" t="s">
        <v>62</v>
      </c>
      <c r="D263" s="92" t="s">
        <v>1</v>
      </c>
      <c r="E263" s="176">
        <v>1.5173611111111109</v>
      </c>
      <c r="F263" s="92" t="s">
        <v>47</v>
      </c>
      <c r="G263" s="94">
        <v>9</v>
      </c>
      <c r="H263" s="173">
        <v>369</v>
      </c>
      <c r="I263" s="2"/>
    </row>
    <row r="264" spans="1:9" ht="19.8" customHeight="1" x14ac:dyDescent="0.3">
      <c r="A264" s="175">
        <v>45996</v>
      </c>
      <c r="B264" s="92" t="s">
        <v>45</v>
      </c>
      <c r="C264" s="93" t="s">
        <v>60</v>
      </c>
      <c r="D264" s="92" t="s">
        <v>1</v>
      </c>
      <c r="E264" s="176">
        <v>1.7986111111111109</v>
      </c>
      <c r="F264" s="92" t="s">
        <v>47</v>
      </c>
      <c r="G264" s="94">
        <v>3</v>
      </c>
      <c r="H264" s="173">
        <v>369</v>
      </c>
      <c r="I264" s="2"/>
    </row>
    <row r="265" spans="1:9" ht="19.8" customHeight="1" x14ac:dyDescent="0.3">
      <c r="A265" s="175">
        <v>45996</v>
      </c>
      <c r="B265" s="92" t="s">
        <v>45</v>
      </c>
      <c r="C265" s="93" t="s">
        <v>66</v>
      </c>
      <c r="D265" s="92" t="s">
        <v>1</v>
      </c>
      <c r="E265" s="176">
        <v>1.645833333333333</v>
      </c>
      <c r="F265" s="92" t="s">
        <v>47</v>
      </c>
      <c r="G265" s="94">
        <v>6</v>
      </c>
      <c r="H265" s="173">
        <v>369</v>
      </c>
      <c r="I265" s="2"/>
    </row>
    <row r="266" spans="1:9" ht="19.8" customHeight="1" x14ac:dyDescent="0.3">
      <c r="A266" s="175">
        <v>45996</v>
      </c>
      <c r="B266" s="92" t="s">
        <v>79</v>
      </c>
      <c r="C266" s="93" t="s">
        <v>200</v>
      </c>
      <c r="D266" s="92" t="s">
        <v>1</v>
      </c>
      <c r="E266" s="176">
        <v>1.677083333333333</v>
      </c>
      <c r="F266" s="92" t="s">
        <v>81</v>
      </c>
      <c r="G266" s="94">
        <v>9</v>
      </c>
      <c r="H266" s="173">
        <v>393</v>
      </c>
      <c r="I266" s="2"/>
    </row>
    <row r="267" spans="1:9" ht="19.8" customHeight="1" x14ac:dyDescent="0.3">
      <c r="A267" s="177">
        <v>45996</v>
      </c>
      <c r="B267" s="96" t="s">
        <v>87</v>
      </c>
      <c r="C267" s="97" t="s">
        <v>102</v>
      </c>
      <c r="D267" s="96" t="s">
        <v>1</v>
      </c>
      <c r="E267" s="178">
        <v>1.614583333333333</v>
      </c>
      <c r="F267" s="96" t="s">
        <v>89</v>
      </c>
      <c r="G267" s="98">
        <v>8</v>
      </c>
      <c r="H267" s="174">
        <v>401</v>
      </c>
      <c r="I267" s="2"/>
    </row>
    <row r="268" spans="1:9" ht="19.8" customHeight="1" x14ac:dyDescent="0.3">
      <c r="A268" s="177">
        <v>45996</v>
      </c>
      <c r="B268" s="96" t="s">
        <v>87</v>
      </c>
      <c r="C268" s="97" t="s">
        <v>169</v>
      </c>
      <c r="D268" s="96" t="s">
        <v>1</v>
      </c>
      <c r="E268" s="178">
        <v>1.114583333333333</v>
      </c>
      <c r="F268" s="96" t="s">
        <v>89</v>
      </c>
      <c r="G268" s="98">
        <v>9</v>
      </c>
      <c r="H268" s="174">
        <v>401</v>
      </c>
      <c r="I268" s="2"/>
    </row>
    <row r="269" spans="1:9" ht="19.8" customHeight="1" x14ac:dyDescent="0.3">
      <c r="A269" s="175">
        <v>45996</v>
      </c>
      <c r="B269" s="92" t="s">
        <v>74</v>
      </c>
      <c r="C269" s="93" t="s">
        <v>78</v>
      </c>
      <c r="D269" s="92" t="s">
        <v>1</v>
      </c>
      <c r="E269" s="176">
        <v>1.666666666666667</v>
      </c>
      <c r="F269" s="92" t="s">
        <v>72</v>
      </c>
      <c r="G269" s="94">
        <v>9</v>
      </c>
      <c r="H269" s="173">
        <v>401</v>
      </c>
      <c r="I269" s="2"/>
    </row>
    <row r="270" spans="1:9" ht="19.8" customHeight="1" x14ac:dyDescent="0.3">
      <c r="A270" s="175">
        <v>45996</v>
      </c>
      <c r="B270" s="92" t="s">
        <v>45</v>
      </c>
      <c r="C270" s="93" t="s">
        <v>58</v>
      </c>
      <c r="D270" s="92" t="s">
        <v>1</v>
      </c>
      <c r="E270" s="176">
        <v>1.46875</v>
      </c>
      <c r="F270" s="92" t="s">
        <v>49</v>
      </c>
      <c r="G270" s="94">
        <v>1</v>
      </c>
      <c r="H270" s="173">
        <v>429</v>
      </c>
      <c r="I270" s="2"/>
    </row>
    <row r="271" spans="1:9" ht="19.8" customHeight="1" x14ac:dyDescent="0.3">
      <c r="A271" s="175">
        <v>45996</v>
      </c>
      <c r="B271" s="92" t="s">
        <v>45</v>
      </c>
      <c r="C271" s="93" t="s">
        <v>46</v>
      </c>
      <c r="D271" s="92" t="s">
        <v>1</v>
      </c>
      <c r="E271" s="176">
        <v>1.395833333333333</v>
      </c>
      <c r="F271" s="92" t="s">
        <v>49</v>
      </c>
      <c r="G271" s="94">
        <v>3</v>
      </c>
      <c r="H271" s="173">
        <v>429</v>
      </c>
      <c r="I271" s="2"/>
    </row>
    <row r="272" spans="1:9" ht="19.8" customHeight="1" x14ac:dyDescent="0.3">
      <c r="A272" s="177">
        <v>45996</v>
      </c>
      <c r="B272" s="96" t="s">
        <v>87</v>
      </c>
      <c r="C272" s="97" t="s">
        <v>95</v>
      </c>
      <c r="D272" s="96" t="s">
        <v>1</v>
      </c>
      <c r="E272" s="178">
        <v>1.458333333333333</v>
      </c>
      <c r="F272" s="96" t="s">
        <v>89</v>
      </c>
      <c r="G272" s="98">
        <v>5</v>
      </c>
      <c r="H272" s="174">
        <v>436</v>
      </c>
      <c r="I272" s="2"/>
    </row>
    <row r="273" spans="1:9" ht="19.8" customHeight="1" x14ac:dyDescent="0.3">
      <c r="A273" s="177">
        <v>45996</v>
      </c>
      <c r="B273" s="96" t="s">
        <v>87</v>
      </c>
      <c r="C273" s="97" t="s">
        <v>109</v>
      </c>
      <c r="D273" s="96" t="s">
        <v>1</v>
      </c>
      <c r="E273" s="178">
        <v>1.319444444444444</v>
      </c>
      <c r="F273" s="96" t="s">
        <v>89</v>
      </c>
      <c r="G273" s="98">
        <v>9</v>
      </c>
      <c r="H273" s="174">
        <v>436</v>
      </c>
      <c r="I273" s="2"/>
    </row>
    <row r="274" spans="1:9" ht="19.8" customHeight="1" x14ac:dyDescent="0.3">
      <c r="A274" s="175">
        <v>45996</v>
      </c>
      <c r="B274" s="92" t="s">
        <v>45</v>
      </c>
      <c r="C274" s="93" t="s">
        <v>59</v>
      </c>
      <c r="D274" s="92" t="s">
        <v>1</v>
      </c>
      <c r="E274" s="176">
        <v>1.9027777777777779</v>
      </c>
      <c r="F274" s="92" t="s">
        <v>47</v>
      </c>
      <c r="G274" s="94">
        <v>9</v>
      </c>
      <c r="H274" s="173">
        <v>449</v>
      </c>
      <c r="I274" s="2"/>
    </row>
    <row r="275" spans="1:9" ht="19.8" customHeight="1" x14ac:dyDescent="0.3">
      <c r="A275" s="175">
        <v>45996</v>
      </c>
      <c r="B275" s="92" t="s">
        <v>45</v>
      </c>
      <c r="C275" s="93" t="s">
        <v>53</v>
      </c>
      <c r="D275" s="92" t="s">
        <v>1</v>
      </c>
      <c r="E275" s="176">
        <v>1.854166666666667</v>
      </c>
      <c r="F275" s="92" t="s">
        <v>49</v>
      </c>
      <c r="G275" s="94">
        <v>3</v>
      </c>
      <c r="H275" s="173">
        <v>469</v>
      </c>
      <c r="I275" s="2"/>
    </row>
    <row r="276" spans="1:9" ht="19.8" customHeight="1" x14ac:dyDescent="0.3">
      <c r="A276" s="175">
        <v>45996</v>
      </c>
      <c r="B276" s="92" t="s">
        <v>45</v>
      </c>
      <c r="C276" s="93" t="s">
        <v>57</v>
      </c>
      <c r="D276" s="92" t="s">
        <v>1</v>
      </c>
      <c r="E276" s="176">
        <v>1.256944444444444</v>
      </c>
      <c r="F276" s="92" t="s">
        <v>49</v>
      </c>
      <c r="G276" s="94">
        <v>9</v>
      </c>
      <c r="H276" s="173">
        <v>469</v>
      </c>
      <c r="I276" s="2"/>
    </row>
    <row r="277" spans="1:9" ht="19.8" customHeight="1" x14ac:dyDescent="0.3">
      <c r="A277" s="175">
        <v>45996</v>
      </c>
      <c r="B277" s="92" t="s">
        <v>45</v>
      </c>
      <c r="C277" s="93" t="s">
        <v>62</v>
      </c>
      <c r="D277" s="92" t="s">
        <v>1</v>
      </c>
      <c r="E277" s="176">
        <v>1.5173611111111109</v>
      </c>
      <c r="F277" s="92" t="s">
        <v>49</v>
      </c>
      <c r="G277" s="94">
        <v>9</v>
      </c>
      <c r="H277" s="173">
        <v>469</v>
      </c>
      <c r="I277" s="2"/>
    </row>
    <row r="278" spans="1:9" ht="19.8" customHeight="1" x14ac:dyDescent="0.3">
      <c r="A278" s="175">
        <v>45996</v>
      </c>
      <c r="B278" s="92" t="s">
        <v>45</v>
      </c>
      <c r="C278" s="93" t="s">
        <v>60</v>
      </c>
      <c r="D278" s="92" t="s">
        <v>1</v>
      </c>
      <c r="E278" s="176">
        <v>1.7986111111111109</v>
      </c>
      <c r="F278" s="92" t="s">
        <v>49</v>
      </c>
      <c r="G278" s="94">
        <v>3</v>
      </c>
      <c r="H278" s="173">
        <v>469</v>
      </c>
      <c r="I278" s="2"/>
    </row>
    <row r="279" spans="1:9" ht="19.8" customHeight="1" x14ac:dyDescent="0.3">
      <c r="A279" s="175">
        <v>45996</v>
      </c>
      <c r="B279" s="92" t="s">
        <v>45</v>
      </c>
      <c r="C279" s="93" t="s">
        <v>66</v>
      </c>
      <c r="D279" s="92" t="s">
        <v>1</v>
      </c>
      <c r="E279" s="176">
        <v>1.645833333333333</v>
      </c>
      <c r="F279" s="92" t="s">
        <v>49</v>
      </c>
      <c r="G279" s="94">
        <v>6</v>
      </c>
      <c r="H279" s="173">
        <v>469</v>
      </c>
      <c r="I279" s="2"/>
    </row>
    <row r="280" spans="1:9" ht="19.8" customHeight="1" x14ac:dyDescent="0.3">
      <c r="A280" s="177">
        <v>45996</v>
      </c>
      <c r="B280" s="96" t="s">
        <v>87</v>
      </c>
      <c r="C280" s="97" t="s">
        <v>165</v>
      </c>
      <c r="D280" s="96" t="s">
        <v>1</v>
      </c>
      <c r="E280" s="178">
        <v>1.7361111111111109</v>
      </c>
      <c r="F280" s="96" t="s">
        <v>89</v>
      </c>
      <c r="G280" s="98">
        <v>4</v>
      </c>
      <c r="H280" s="174">
        <v>471</v>
      </c>
      <c r="I280" s="2"/>
    </row>
    <row r="281" spans="1:9" ht="19.8" customHeight="1" x14ac:dyDescent="0.3">
      <c r="A281" s="175">
        <v>45996</v>
      </c>
      <c r="B281" s="92" t="s">
        <v>79</v>
      </c>
      <c r="C281" s="93" t="s">
        <v>84</v>
      </c>
      <c r="D281" s="92" t="s">
        <v>1</v>
      </c>
      <c r="E281" s="176">
        <v>1.3923611111111109</v>
      </c>
      <c r="F281" s="92" t="s">
        <v>33</v>
      </c>
      <c r="G281" s="94">
        <v>9</v>
      </c>
      <c r="H281" s="173">
        <v>479</v>
      </c>
      <c r="I281" s="2"/>
    </row>
    <row r="282" spans="1:9" ht="19.8" customHeight="1" x14ac:dyDescent="0.3">
      <c r="A282" s="175">
        <v>45996</v>
      </c>
      <c r="B282" s="92" t="s">
        <v>79</v>
      </c>
      <c r="C282" s="93" t="s">
        <v>199</v>
      </c>
      <c r="D282" s="92" t="s">
        <v>1</v>
      </c>
      <c r="E282" s="176">
        <v>1.975694444444444</v>
      </c>
      <c r="F282" s="92" t="s">
        <v>33</v>
      </c>
      <c r="G282" s="94">
        <v>9</v>
      </c>
      <c r="H282" s="173">
        <v>479</v>
      </c>
      <c r="I282" s="2"/>
    </row>
    <row r="283" spans="1:9" ht="19.8" customHeight="1" x14ac:dyDescent="0.3">
      <c r="A283" s="175">
        <v>45996</v>
      </c>
      <c r="B283" s="92" t="s">
        <v>26</v>
      </c>
      <c r="C283" s="93" t="s">
        <v>35</v>
      </c>
      <c r="D283" s="92" t="s">
        <v>1</v>
      </c>
      <c r="E283" s="176">
        <v>1.1284722222222221</v>
      </c>
      <c r="F283" s="92" t="s">
        <v>31</v>
      </c>
      <c r="G283" s="94">
        <v>1</v>
      </c>
      <c r="H283" s="173">
        <v>479</v>
      </c>
      <c r="I283" s="2"/>
    </row>
    <row r="284" spans="1:9" ht="19.8" customHeight="1" x14ac:dyDescent="0.3">
      <c r="A284" s="175">
        <v>45996</v>
      </c>
      <c r="B284" s="92" t="s">
        <v>26</v>
      </c>
      <c r="C284" s="93" t="s">
        <v>39</v>
      </c>
      <c r="D284" s="92" t="s">
        <v>1</v>
      </c>
      <c r="E284" s="176">
        <v>1.302083333333333</v>
      </c>
      <c r="F284" s="92" t="s">
        <v>31</v>
      </c>
      <c r="G284" s="94">
        <v>3</v>
      </c>
      <c r="H284" s="173">
        <v>479</v>
      </c>
      <c r="I284" s="2"/>
    </row>
    <row r="285" spans="1:9" ht="19.8" customHeight="1" x14ac:dyDescent="0.3">
      <c r="A285" s="175">
        <v>45996</v>
      </c>
      <c r="B285" s="92" t="s">
        <v>26</v>
      </c>
      <c r="C285" s="93" t="s">
        <v>27</v>
      </c>
      <c r="D285" s="92" t="s">
        <v>1</v>
      </c>
      <c r="E285" s="176">
        <v>1.8888888888888891</v>
      </c>
      <c r="F285" s="92" t="s">
        <v>31</v>
      </c>
      <c r="G285" s="94">
        <v>1</v>
      </c>
      <c r="H285" s="173">
        <v>479</v>
      </c>
      <c r="I285" s="2"/>
    </row>
    <row r="286" spans="1:9" ht="19.8" customHeight="1" x14ac:dyDescent="0.3">
      <c r="A286" s="175">
        <v>45996</v>
      </c>
      <c r="B286" s="92" t="s">
        <v>26</v>
      </c>
      <c r="C286" s="93" t="s">
        <v>41</v>
      </c>
      <c r="D286" s="92" t="s">
        <v>1</v>
      </c>
      <c r="E286" s="176">
        <v>1.788194444444444</v>
      </c>
      <c r="F286" s="92" t="s">
        <v>31</v>
      </c>
      <c r="G286" s="94">
        <v>5</v>
      </c>
      <c r="H286" s="173">
        <v>509</v>
      </c>
      <c r="I286" s="2"/>
    </row>
    <row r="287" spans="1:9" ht="19.8" customHeight="1" x14ac:dyDescent="0.3">
      <c r="A287" s="175">
        <v>45996</v>
      </c>
      <c r="B287" s="92" t="s">
        <v>79</v>
      </c>
      <c r="C287" s="93" t="s">
        <v>200</v>
      </c>
      <c r="D287" s="92" t="s">
        <v>1</v>
      </c>
      <c r="E287" s="176">
        <v>1.677083333333333</v>
      </c>
      <c r="F287" s="92" t="s">
        <v>33</v>
      </c>
      <c r="G287" s="94">
        <v>9</v>
      </c>
      <c r="H287" s="173">
        <v>516</v>
      </c>
      <c r="I287" s="2"/>
    </row>
    <row r="288" spans="1:9" ht="19.8" customHeight="1" x14ac:dyDescent="0.3">
      <c r="A288" s="175">
        <v>45996</v>
      </c>
      <c r="B288" s="92" t="s">
        <v>45</v>
      </c>
      <c r="C288" s="93" t="s">
        <v>58</v>
      </c>
      <c r="D288" s="92" t="s">
        <v>1</v>
      </c>
      <c r="E288" s="176">
        <v>1.46875</v>
      </c>
      <c r="F288" s="92" t="s">
        <v>51</v>
      </c>
      <c r="G288" s="94">
        <v>1</v>
      </c>
      <c r="H288" s="173">
        <v>519</v>
      </c>
      <c r="I288" s="2"/>
    </row>
    <row r="289" spans="1:9" ht="19.8" customHeight="1" x14ac:dyDescent="0.3">
      <c r="A289" s="175">
        <v>45996</v>
      </c>
      <c r="B289" s="92" t="s">
        <v>45</v>
      </c>
      <c r="C289" s="93" t="s">
        <v>46</v>
      </c>
      <c r="D289" s="92" t="s">
        <v>1</v>
      </c>
      <c r="E289" s="176">
        <v>1.395833333333333</v>
      </c>
      <c r="F289" s="92" t="s">
        <v>51</v>
      </c>
      <c r="G289" s="94">
        <v>3</v>
      </c>
      <c r="H289" s="173">
        <v>519</v>
      </c>
      <c r="I289" s="2"/>
    </row>
    <row r="290" spans="1:9" ht="19.8" customHeight="1" x14ac:dyDescent="0.3">
      <c r="A290" s="175">
        <v>45996</v>
      </c>
      <c r="B290" s="92" t="s">
        <v>45</v>
      </c>
      <c r="C290" s="93" t="s">
        <v>59</v>
      </c>
      <c r="D290" s="92" t="s">
        <v>1</v>
      </c>
      <c r="E290" s="176">
        <v>1.9027777777777779</v>
      </c>
      <c r="F290" s="92" t="s">
        <v>49</v>
      </c>
      <c r="G290" s="94">
        <v>9</v>
      </c>
      <c r="H290" s="173">
        <v>549</v>
      </c>
      <c r="I290" s="2"/>
    </row>
    <row r="291" spans="1:9" ht="19.8" customHeight="1" x14ac:dyDescent="0.3">
      <c r="A291" s="175">
        <v>45996</v>
      </c>
      <c r="B291" s="92" t="s">
        <v>45</v>
      </c>
      <c r="C291" s="93" t="s">
        <v>53</v>
      </c>
      <c r="D291" s="92" t="s">
        <v>1</v>
      </c>
      <c r="E291" s="176">
        <v>1.854166666666667</v>
      </c>
      <c r="F291" s="92" t="s">
        <v>51</v>
      </c>
      <c r="G291" s="94">
        <v>3</v>
      </c>
      <c r="H291" s="173">
        <v>559</v>
      </c>
      <c r="I291" s="2"/>
    </row>
    <row r="292" spans="1:9" ht="19.8" customHeight="1" x14ac:dyDescent="0.3">
      <c r="A292" s="175">
        <v>45996</v>
      </c>
      <c r="B292" s="92" t="s">
        <v>45</v>
      </c>
      <c r="C292" s="93" t="s">
        <v>57</v>
      </c>
      <c r="D292" s="92" t="s">
        <v>1</v>
      </c>
      <c r="E292" s="176">
        <v>1.256944444444444</v>
      </c>
      <c r="F292" s="92" t="s">
        <v>51</v>
      </c>
      <c r="G292" s="94">
        <v>9</v>
      </c>
      <c r="H292" s="173">
        <v>559</v>
      </c>
      <c r="I292" s="2"/>
    </row>
    <row r="293" spans="1:9" ht="19.8" customHeight="1" x14ac:dyDescent="0.3">
      <c r="A293" s="175">
        <v>45996</v>
      </c>
      <c r="B293" s="92" t="s">
        <v>45</v>
      </c>
      <c r="C293" s="93" t="s">
        <v>62</v>
      </c>
      <c r="D293" s="92" t="s">
        <v>1</v>
      </c>
      <c r="E293" s="176">
        <v>1.5173611111111109</v>
      </c>
      <c r="F293" s="92" t="s">
        <v>51</v>
      </c>
      <c r="G293" s="94">
        <v>9</v>
      </c>
      <c r="H293" s="173">
        <v>559</v>
      </c>
      <c r="I293" s="2"/>
    </row>
    <row r="294" spans="1:9" ht="19.8" customHeight="1" x14ac:dyDescent="0.3">
      <c r="A294" s="175">
        <v>45996</v>
      </c>
      <c r="B294" s="92" t="s">
        <v>45</v>
      </c>
      <c r="C294" s="93" t="s">
        <v>60</v>
      </c>
      <c r="D294" s="92" t="s">
        <v>1</v>
      </c>
      <c r="E294" s="176">
        <v>1.7986111111111109</v>
      </c>
      <c r="F294" s="92" t="s">
        <v>51</v>
      </c>
      <c r="G294" s="94">
        <v>3</v>
      </c>
      <c r="H294" s="173">
        <v>559</v>
      </c>
      <c r="I294" s="2"/>
    </row>
    <row r="295" spans="1:9" ht="19.8" customHeight="1" x14ac:dyDescent="0.3">
      <c r="A295" s="175">
        <v>45996</v>
      </c>
      <c r="B295" s="92" t="s">
        <v>45</v>
      </c>
      <c r="C295" s="93" t="s">
        <v>66</v>
      </c>
      <c r="D295" s="92" t="s">
        <v>1</v>
      </c>
      <c r="E295" s="176">
        <v>1.645833333333333</v>
      </c>
      <c r="F295" s="92" t="s">
        <v>51</v>
      </c>
      <c r="G295" s="94">
        <v>6</v>
      </c>
      <c r="H295" s="173">
        <v>559</v>
      </c>
      <c r="I295" s="2"/>
    </row>
    <row r="296" spans="1:9" ht="19.8" customHeight="1" x14ac:dyDescent="0.3">
      <c r="A296" s="175">
        <v>45996</v>
      </c>
      <c r="B296" s="92" t="s">
        <v>115</v>
      </c>
      <c r="C296" s="93" t="s">
        <v>119</v>
      </c>
      <c r="D296" s="92" t="s">
        <v>1</v>
      </c>
      <c r="E296" s="176">
        <v>1.145833333333333</v>
      </c>
      <c r="F296" s="92" t="s">
        <v>117</v>
      </c>
      <c r="G296" s="94">
        <v>9</v>
      </c>
      <c r="H296" s="173">
        <v>579</v>
      </c>
      <c r="I296" s="2"/>
    </row>
    <row r="297" spans="1:9" ht="19.8" customHeight="1" x14ac:dyDescent="0.3">
      <c r="A297" s="175">
        <v>45996</v>
      </c>
      <c r="B297" s="92" t="s">
        <v>115</v>
      </c>
      <c r="C297" s="93" t="s">
        <v>120</v>
      </c>
      <c r="D297" s="92" t="s">
        <v>1</v>
      </c>
      <c r="E297" s="176">
        <v>1.2777777777777779</v>
      </c>
      <c r="F297" s="92" t="s">
        <v>117</v>
      </c>
      <c r="G297" s="94">
        <v>9</v>
      </c>
      <c r="H297" s="173">
        <v>579</v>
      </c>
      <c r="I297" s="2"/>
    </row>
    <row r="298" spans="1:9" ht="19.8" customHeight="1" x14ac:dyDescent="0.3">
      <c r="A298" s="175">
        <v>45996</v>
      </c>
      <c r="B298" s="92" t="s">
        <v>115</v>
      </c>
      <c r="C298" s="93" t="s">
        <v>121</v>
      </c>
      <c r="D298" s="92" t="s">
        <v>1</v>
      </c>
      <c r="E298" s="176">
        <v>1.4861111111111109</v>
      </c>
      <c r="F298" s="92" t="s">
        <v>117</v>
      </c>
      <c r="G298" s="94">
        <v>9</v>
      </c>
      <c r="H298" s="173">
        <v>579</v>
      </c>
      <c r="I298" s="2"/>
    </row>
    <row r="299" spans="1:9" ht="19.8" customHeight="1" x14ac:dyDescent="0.3">
      <c r="A299" s="175">
        <v>45996</v>
      </c>
      <c r="B299" s="92" t="s">
        <v>115</v>
      </c>
      <c r="C299" s="93" t="s">
        <v>116</v>
      </c>
      <c r="D299" s="92" t="s">
        <v>1</v>
      </c>
      <c r="E299" s="176">
        <v>1.229166666666667</v>
      </c>
      <c r="F299" s="92" t="s">
        <v>117</v>
      </c>
      <c r="G299" s="94">
        <v>9</v>
      </c>
      <c r="H299" s="173">
        <v>583</v>
      </c>
      <c r="I299" s="2"/>
    </row>
    <row r="300" spans="1:9" ht="19.8" customHeight="1" x14ac:dyDescent="0.3">
      <c r="A300" s="175">
        <v>45996</v>
      </c>
      <c r="B300" s="92" t="s">
        <v>45</v>
      </c>
      <c r="C300" s="93" t="s">
        <v>59</v>
      </c>
      <c r="D300" s="92" t="s">
        <v>1</v>
      </c>
      <c r="E300" s="176">
        <v>1.9027777777777779</v>
      </c>
      <c r="F300" s="92" t="s">
        <v>51</v>
      </c>
      <c r="G300" s="94">
        <v>9</v>
      </c>
      <c r="H300" s="173">
        <v>639</v>
      </c>
      <c r="I300" s="2"/>
    </row>
    <row r="301" spans="1:9" ht="19.8" customHeight="1" x14ac:dyDescent="0.3">
      <c r="A301" s="175">
        <v>45996</v>
      </c>
      <c r="B301" s="92" t="s">
        <v>130</v>
      </c>
      <c r="C301" s="93" t="s">
        <v>146</v>
      </c>
      <c r="D301" s="92" t="s">
        <v>1</v>
      </c>
      <c r="E301" s="176">
        <v>1.1423611111111109</v>
      </c>
      <c r="F301" s="92" t="s">
        <v>132</v>
      </c>
      <c r="G301" s="94">
        <v>9</v>
      </c>
      <c r="H301" s="173">
        <v>678</v>
      </c>
      <c r="I301" s="2"/>
    </row>
    <row r="302" spans="1:9" ht="19.8" customHeight="1" x14ac:dyDescent="0.3">
      <c r="A302" s="175">
        <v>45996</v>
      </c>
      <c r="B302" s="92" t="s">
        <v>130</v>
      </c>
      <c r="C302" s="93" t="s">
        <v>147</v>
      </c>
      <c r="D302" s="92" t="s">
        <v>1</v>
      </c>
      <c r="E302" s="176">
        <v>1.71875</v>
      </c>
      <c r="F302" s="92" t="s">
        <v>132</v>
      </c>
      <c r="G302" s="94">
        <v>4</v>
      </c>
      <c r="H302" s="173">
        <v>678</v>
      </c>
      <c r="I302" s="2"/>
    </row>
    <row r="303" spans="1:9" ht="19.8" customHeight="1" x14ac:dyDescent="0.3">
      <c r="A303" s="175">
        <v>45996</v>
      </c>
      <c r="B303" s="92" t="s">
        <v>130</v>
      </c>
      <c r="C303" s="93" t="s">
        <v>136</v>
      </c>
      <c r="D303" s="92" t="s">
        <v>1</v>
      </c>
      <c r="E303" s="176">
        <v>1.3784722222222221</v>
      </c>
      <c r="F303" s="92" t="s">
        <v>132</v>
      </c>
      <c r="G303" s="94">
        <v>9</v>
      </c>
      <c r="H303" s="173">
        <v>678</v>
      </c>
      <c r="I303" s="2"/>
    </row>
    <row r="304" spans="1:9" ht="19.8" customHeight="1" x14ac:dyDescent="0.3">
      <c r="A304" s="175">
        <v>45996</v>
      </c>
      <c r="B304" s="92" t="s">
        <v>130</v>
      </c>
      <c r="C304" s="93" t="s">
        <v>137</v>
      </c>
      <c r="D304" s="92" t="s">
        <v>1</v>
      </c>
      <c r="E304" s="176">
        <v>1.6111111111111109</v>
      </c>
      <c r="F304" s="92" t="s">
        <v>132</v>
      </c>
      <c r="G304" s="94">
        <v>9</v>
      </c>
      <c r="H304" s="173">
        <v>678</v>
      </c>
      <c r="I304" s="2"/>
    </row>
    <row r="305" spans="1:9" ht="19.8" customHeight="1" x14ac:dyDescent="0.3">
      <c r="A305" s="175">
        <v>45996</v>
      </c>
      <c r="B305" s="92" t="s">
        <v>130</v>
      </c>
      <c r="C305" s="93" t="s">
        <v>138</v>
      </c>
      <c r="D305" s="92" t="s">
        <v>1</v>
      </c>
      <c r="E305" s="176">
        <v>1.239583333333333</v>
      </c>
      <c r="F305" s="92" t="s">
        <v>132</v>
      </c>
      <c r="G305" s="94">
        <v>9</v>
      </c>
      <c r="H305" s="173">
        <v>678</v>
      </c>
      <c r="I305" s="2"/>
    </row>
    <row r="306" spans="1:9" ht="19.8" customHeight="1" x14ac:dyDescent="0.3">
      <c r="A306" s="175">
        <v>45996</v>
      </c>
      <c r="B306" s="92" t="s">
        <v>130</v>
      </c>
      <c r="C306" s="93" t="s">
        <v>146</v>
      </c>
      <c r="D306" s="92" t="s">
        <v>1</v>
      </c>
      <c r="E306" s="176">
        <v>1.1423611111111109</v>
      </c>
      <c r="F306" s="92" t="s">
        <v>134</v>
      </c>
      <c r="G306" s="94">
        <v>9</v>
      </c>
      <c r="H306" s="173">
        <v>723</v>
      </c>
      <c r="I306" s="2"/>
    </row>
    <row r="307" spans="1:9" ht="19.8" customHeight="1" x14ac:dyDescent="0.3">
      <c r="A307" s="175">
        <v>45996</v>
      </c>
      <c r="B307" s="92" t="s">
        <v>130</v>
      </c>
      <c r="C307" s="93" t="s">
        <v>147</v>
      </c>
      <c r="D307" s="92" t="s">
        <v>1</v>
      </c>
      <c r="E307" s="176">
        <v>1.71875</v>
      </c>
      <c r="F307" s="92" t="s">
        <v>134</v>
      </c>
      <c r="G307" s="94">
        <v>4</v>
      </c>
      <c r="H307" s="173">
        <v>723</v>
      </c>
      <c r="I307" s="2"/>
    </row>
    <row r="308" spans="1:9" ht="19.8" customHeight="1" x14ac:dyDescent="0.3">
      <c r="A308" s="175">
        <v>45996</v>
      </c>
      <c r="B308" s="92" t="s">
        <v>130</v>
      </c>
      <c r="C308" s="93" t="s">
        <v>136</v>
      </c>
      <c r="D308" s="92" t="s">
        <v>1</v>
      </c>
      <c r="E308" s="176">
        <v>1.3784722222222221</v>
      </c>
      <c r="F308" s="92" t="s">
        <v>134</v>
      </c>
      <c r="G308" s="94">
        <v>9</v>
      </c>
      <c r="H308" s="173">
        <v>723</v>
      </c>
      <c r="I308" s="2"/>
    </row>
    <row r="309" spans="1:9" ht="19.8" customHeight="1" x14ac:dyDescent="0.3">
      <c r="A309" s="175">
        <v>45996</v>
      </c>
      <c r="B309" s="92" t="s">
        <v>130</v>
      </c>
      <c r="C309" s="93" t="s">
        <v>137</v>
      </c>
      <c r="D309" s="92" t="s">
        <v>1</v>
      </c>
      <c r="E309" s="176">
        <v>1.6111111111111109</v>
      </c>
      <c r="F309" s="92" t="s">
        <v>134</v>
      </c>
      <c r="G309" s="94">
        <v>9</v>
      </c>
      <c r="H309" s="173">
        <v>723</v>
      </c>
      <c r="I309" s="2"/>
    </row>
    <row r="310" spans="1:9" ht="19.8" customHeight="1" x14ac:dyDescent="0.3">
      <c r="A310" s="175">
        <v>45996</v>
      </c>
      <c r="B310" s="92" t="s">
        <v>130</v>
      </c>
      <c r="C310" s="93" t="s">
        <v>138</v>
      </c>
      <c r="D310" s="92" t="s">
        <v>1</v>
      </c>
      <c r="E310" s="176">
        <v>1.239583333333333</v>
      </c>
      <c r="F310" s="92" t="s">
        <v>134</v>
      </c>
      <c r="G310" s="94">
        <v>9</v>
      </c>
      <c r="H310" s="173">
        <v>723</v>
      </c>
      <c r="I310" s="2"/>
    </row>
    <row r="311" spans="1:9" ht="19.8" customHeight="1" x14ac:dyDescent="0.3">
      <c r="A311" s="177">
        <v>45996</v>
      </c>
      <c r="B311" s="96" t="s">
        <v>87</v>
      </c>
      <c r="C311" s="97" t="s">
        <v>88</v>
      </c>
      <c r="D311" s="96" t="s">
        <v>1</v>
      </c>
      <c r="E311" s="178">
        <v>1.9375</v>
      </c>
      <c r="F311" s="96" t="s">
        <v>89</v>
      </c>
      <c r="G311" s="98">
        <v>9</v>
      </c>
      <c r="H311" s="174">
        <v>781</v>
      </c>
      <c r="I311" s="2"/>
    </row>
    <row r="312" spans="1:9" ht="19.8" customHeight="1" x14ac:dyDescent="0.3">
      <c r="A312" s="175">
        <v>45996</v>
      </c>
      <c r="B312" s="92" t="s">
        <v>115</v>
      </c>
      <c r="C312" s="93" t="s">
        <v>126</v>
      </c>
      <c r="D312" s="92" t="s">
        <v>1</v>
      </c>
      <c r="E312" s="176">
        <v>1.770833333333333</v>
      </c>
      <c r="F312" s="92" t="s">
        <v>124</v>
      </c>
      <c r="G312" s="94">
        <v>9</v>
      </c>
      <c r="H312" s="173">
        <v>795</v>
      </c>
      <c r="I312" s="2"/>
    </row>
    <row r="313" spans="1:9" ht="19.8" customHeight="1" x14ac:dyDescent="0.3">
      <c r="A313" s="175">
        <v>45996</v>
      </c>
      <c r="B313" s="92" t="s">
        <v>130</v>
      </c>
      <c r="C313" s="93" t="s">
        <v>143</v>
      </c>
      <c r="D313" s="92" t="s">
        <v>1</v>
      </c>
      <c r="E313" s="176">
        <v>1.006944444444444</v>
      </c>
      <c r="F313" s="92" t="s">
        <v>132</v>
      </c>
      <c r="G313" s="94">
        <v>9</v>
      </c>
      <c r="H313" s="173">
        <v>935</v>
      </c>
      <c r="I313" s="2"/>
    </row>
    <row r="314" spans="1:9" ht="19.8" customHeight="1" x14ac:dyDescent="0.3">
      <c r="A314" s="175">
        <v>45996</v>
      </c>
      <c r="B314" s="92" t="s">
        <v>130</v>
      </c>
      <c r="C314" s="93" t="s">
        <v>131</v>
      </c>
      <c r="D314" s="92" t="s">
        <v>1</v>
      </c>
      <c r="E314" s="176">
        <v>1.930555555555556</v>
      </c>
      <c r="F314" s="92" t="s">
        <v>132</v>
      </c>
      <c r="G314" s="94">
        <v>9</v>
      </c>
      <c r="H314" s="173">
        <v>935</v>
      </c>
      <c r="I314" s="2"/>
    </row>
    <row r="315" spans="1:9" ht="19.8" customHeight="1" x14ac:dyDescent="0.3">
      <c r="A315" s="175">
        <v>45996</v>
      </c>
      <c r="B315" s="92" t="s">
        <v>130</v>
      </c>
      <c r="C315" s="93" t="s">
        <v>143</v>
      </c>
      <c r="D315" s="92" t="s">
        <v>1</v>
      </c>
      <c r="E315" s="176">
        <v>1.006944444444444</v>
      </c>
      <c r="F315" s="92" t="s">
        <v>134</v>
      </c>
      <c r="G315" s="94">
        <v>9</v>
      </c>
      <c r="H315" s="173">
        <v>980</v>
      </c>
      <c r="I315" s="2"/>
    </row>
    <row r="316" spans="1:9" ht="19.8" customHeight="1" x14ac:dyDescent="0.3">
      <c r="A316" s="175">
        <v>45996</v>
      </c>
      <c r="B316" s="92" t="s">
        <v>130</v>
      </c>
      <c r="C316" s="93" t="s">
        <v>131</v>
      </c>
      <c r="D316" s="92" t="s">
        <v>1</v>
      </c>
      <c r="E316" s="176">
        <v>1.930555555555556</v>
      </c>
      <c r="F316" s="92" t="s">
        <v>134</v>
      </c>
      <c r="G316" s="94">
        <v>9</v>
      </c>
      <c r="H316" s="173">
        <v>980</v>
      </c>
      <c r="I316" s="2"/>
    </row>
    <row r="317" spans="1:9" ht="19.8" customHeight="1" x14ac:dyDescent="0.3">
      <c r="A317" s="175">
        <v>45996</v>
      </c>
      <c r="B317" s="92" t="s">
        <v>26</v>
      </c>
      <c r="C317" s="93" t="s">
        <v>35</v>
      </c>
      <c r="D317" s="92" t="s">
        <v>1</v>
      </c>
      <c r="E317" s="176">
        <v>1.1284722222222221</v>
      </c>
      <c r="F317" s="92" t="s">
        <v>33</v>
      </c>
      <c r="G317" s="94">
        <v>1</v>
      </c>
      <c r="H317" s="99" t="s">
        <v>34</v>
      </c>
      <c r="I317" s="2"/>
    </row>
    <row r="318" spans="1:9" ht="19.8" customHeight="1" x14ac:dyDescent="0.3">
      <c r="A318" s="175">
        <v>45996</v>
      </c>
      <c r="B318" s="92" t="s">
        <v>26</v>
      </c>
      <c r="C318" s="93" t="s">
        <v>39</v>
      </c>
      <c r="D318" s="92" t="s">
        <v>1</v>
      </c>
      <c r="E318" s="176">
        <v>1.302083333333333</v>
      </c>
      <c r="F318" s="92" t="s">
        <v>33</v>
      </c>
      <c r="G318" s="94">
        <v>3</v>
      </c>
      <c r="H318" s="99" t="s">
        <v>34</v>
      </c>
      <c r="I318" s="2"/>
    </row>
    <row r="319" spans="1:9" ht="19.8" customHeight="1" x14ac:dyDescent="0.3">
      <c r="A319" s="175">
        <v>45996</v>
      </c>
      <c r="B319" s="92" t="s">
        <v>26</v>
      </c>
      <c r="C319" s="93" t="s">
        <v>27</v>
      </c>
      <c r="D319" s="92" t="s">
        <v>1</v>
      </c>
      <c r="E319" s="176">
        <v>1.8888888888888891</v>
      </c>
      <c r="F319" s="92" t="s">
        <v>33</v>
      </c>
      <c r="G319" s="94">
        <v>1</v>
      </c>
      <c r="H319" s="99" t="s">
        <v>34</v>
      </c>
      <c r="I319" s="2"/>
    </row>
    <row r="320" spans="1:9" ht="19.8" customHeight="1" x14ac:dyDescent="0.3">
      <c r="A320" s="175">
        <v>45996</v>
      </c>
      <c r="B320" s="92" t="s">
        <v>26</v>
      </c>
      <c r="C320" s="93" t="s">
        <v>41</v>
      </c>
      <c r="D320" s="92" t="s">
        <v>1</v>
      </c>
      <c r="E320" s="176">
        <v>1.788194444444444</v>
      </c>
      <c r="F320" s="92" t="s">
        <v>33</v>
      </c>
      <c r="G320" s="94">
        <v>5</v>
      </c>
      <c r="H320" s="99" t="s">
        <v>34</v>
      </c>
      <c r="I320" s="2"/>
    </row>
    <row r="321" spans="1:9" ht="19.8" customHeight="1" x14ac:dyDescent="0.3">
      <c r="A321" s="175">
        <v>45996</v>
      </c>
      <c r="B321" s="92" t="s">
        <v>130</v>
      </c>
      <c r="C321" s="93" t="s">
        <v>141</v>
      </c>
      <c r="D321" s="92" t="s">
        <v>1</v>
      </c>
      <c r="E321" s="176">
        <v>1.302083333333333</v>
      </c>
      <c r="F321" s="92" t="s">
        <v>134</v>
      </c>
      <c r="G321" s="94">
        <v>4</v>
      </c>
      <c r="H321" s="99" t="s">
        <v>218</v>
      </c>
      <c r="I321" s="2"/>
    </row>
    <row r="322" spans="1:9" ht="19.8" customHeight="1" x14ac:dyDescent="0.3">
      <c r="A322" s="175">
        <v>45996</v>
      </c>
      <c r="B322" s="92" t="s">
        <v>130</v>
      </c>
      <c r="C322" s="93" t="s">
        <v>139</v>
      </c>
      <c r="D322" s="92" t="s">
        <v>1</v>
      </c>
      <c r="E322" s="176">
        <v>1.8888888888888891</v>
      </c>
      <c r="F322" s="92" t="s">
        <v>134</v>
      </c>
      <c r="G322" s="94">
        <v>4</v>
      </c>
      <c r="H322" s="99" t="s">
        <v>178</v>
      </c>
      <c r="I322" s="2"/>
    </row>
    <row r="323" spans="1:9" ht="19.8" customHeight="1" x14ac:dyDescent="0.3">
      <c r="A323" s="175">
        <v>45996</v>
      </c>
      <c r="B323" s="92" t="s">
        <v>130</v>
      </c>
      <c r="C323" s="93" t="s">
        <v>142</v>
      </c>
      <c r="D323" s="92" t="s">
        <v>1</v>
      </c>
      <c r="E323" s="176">
        <v>1.1284722222222221</v>
      </c>
      <c r="F323" s="92" t="s">
        <v>134</v>
      </c>
      <c r="G323" s="94">
        <v>4</v>
      </c>
      <c r="H323" s="99" t="s">
        <v>178</v>
      </c>
      <c r="I323" s="2"/>
    </row>
    <row r="324" spans="1:9" ht="19.8" customHeight="1" x14ac:dyDescent="0.3">
      <c r="A324" s="175">
        <v>45996</v>
      </c>
      <c r="B324" s="92" t="s">
        <v>130</v>
      </c>
      <c r="C324" s="93" t="s">
        <v>149</v>
      </c>
      <c r="D324" s="92" t="s">
        <v>1</v>
      </c>
      <c r="E324" s="176">
        <v>1.788194444444444</v>
      </c>
      <c r="F324" s="92" t="s">
        <v>134</v>
      </c>
      <c r="G324" s="94">
        <v>4</v>
      </c>
      <c r="H324" s="99" t="s">
        <v>178</v>
      </c>
      <c r="I324" s="2"/>
    </row>
    <row r="325" spans="1:9" ht="19.8" customHeight="1" x14ac:dyDescent="0.3">
      <c r="A325" s="175">
        <v>45996</v>
      </c>
      <c r="B325" s="92" t="s">
        <v>130</v>
      </c>
      <c r="C325" s="93" t="s">
        <v>148</v>
      </c>
      <c r="D325" s="92" t="s">
        <v>1</v>
      </c>
      <c r="E325" s="176">
        <v>1.8298611111111109</v>
      </c>
      <c r="F325" s="92" t="s">
        <v>132</v>
      </c>
      <c r="G325" s="94">
        <v>9</v>
      </c>
      <c r="H325" s="99" t="s">
        <v>144</v>
      </c>
      <c r="I325" s="2"/>
    </row>
    <row r="326" spans="1:9" ht="19.8" customHeight="1" x14ac:dyDescent="0.3">
      <c r="A326" s="179">
        <v>45996</v>
      </c>
      <c r="B326" s="100" t="s">
        <v>130</v>
      </c>
      <c r="C326" s="101" t="s">
        <v>148</v>
      </c>
      <c r="D326" s="100" t="s">
        <v>1</v>
      </c>
      <c r="E326" s="180">
        <v>1.8298611111111109</v>
      </c>
      <c r="F326" s="100" t="s">
        <v>134</v>
      </c>
      <c r="G326" s="102">
        <v>9</v>
      </c>
      <c r="H326" s="103" t="s">
        <v>145</v>
      </c>
      <c r="I326" s="2"/>
    </row>
    <row r="327" spans="1:9" ht="19.8" customHeight="1" x14ac:dyDescent="0.3">
      <c r="A327" s="175">
        <v>45997</v>
      </c>
      <c r="B327" s="92" t="s">
        <v>26</v>
      </c>
      <c r="C327" s="93" t="s">
        <v>35</v>
      </c>
      <c r="D327" s="92" t="s">
        <v>1</v>
      </c>
      <c r="E327" s="176">
        <v>1.1284722222222221</v>
      </c>
      <c r="F327" s="92" t="s">
        <v>28</v>
      </c>
      <c r="G327" s="94">
        <v>1</v>
      </c>
      <c r="H327" s="173">
        <v>329</v>
      </c>
      <c r="I327" s="2"/>
    </row>
    <row r="328" spans="1:9" ht="19.8" customHeight="1" x14ac:dyDescent="0.3">
      <c r="A328" s="175">
        <v>45997</v>
      </c>
      <c r="B328" s="92" t="s">
        <v>79</v>
      </c>
      <c r="C328" s="93" t="s">
        <v>84</v>
      </c>
      <c r="D328" s="92" t="s">
        <v>1</v>
      </c>
      <c r="E328" s="176">
        <v>1.3298611111111109</v>
      </c>
      <c r="F328" s="92" t="s">
        <v>81</v>
      </c>
      <c r="G328" s="94">
        <v>9</v>
      </c>
      <c r="H328" s="173">
        <v>355</v>
      </c>
      <c r="I328" s="2"/>
    </row>
    <row r="329" spans="1:9" ht="19.8" customHeight="1" x14ac:dyDescent="0.3">
      <c r="A329" s="175">
        <v>45997</v>
      </c>
      <c r="B329" s="92" t="s">
        <v>79</v>
      </c>
      <c r="C329" s="93" t="s">
        <v>80</v>
      </c>
      <c r="D329" s="92" t="s">
        <v>1</v>
      </c>
      <c r="E329" s="176">
        <v>1.2152777777777779</v>
      </c>
      <c r="F329" s="92" t="s">
        <v>81</v>
      </c>
      <c r="G329" s="94">
        <v>9</v>
      </c>
      <c r="H329" s="173">
        <v>355</v>
      </c>
      <c r="I329" s="2"/>
    </row>
    <row r="330" spans="1:9" ht="19.8" customHeight="1" x14ac:dyDescent="0.3">
      <c r="A330" s="175">
        <v>45997</v>
      </c>
      <c r="B330" s="92" t="s">
        <v>26</v>
      </c>
      <c r="C330" s="93" t="s">
        <v>39</v>
      </c>
      <c r="D330" s="92" t="s">
        <v>1</v>
      </c>
      <c r="E330" s="176">
        <v>1.302083333333333</v>
      </c>
      <c r="F330" s="92" t="s">
        <v>28</v>
      </c>
      <c r="G330" s="94">
        <v>5</v>
      </c>
      <c r="H330" s="173">
        <v>359</v>
      </c>
      <c r="I330" s="2"/>
    </row>
    <row r="331" spans="1:9" ht="19.8" customHeight="1" x14ac:dyDescent="0.3">
      <c r="A331" s="175">
        <v>45997</v>
      </c>
      <c r="B331" s="92" t="s">
        <v>26</v>
      </c>
      <c r="C331" s="93" t="s">
        <v>27</v>
      </c>
      <c r="D331" s="92" t="s">
        <v>1</v>
      </c>
      <c r="E331" s="176">
        <v>1.8888888888888891</v>
      </c>
      <c r="F331" s="92" t="s">
        <v>28</v>
      </c>
      <c r="G331" s="94">
        <v>16</v>
      </c>
      <c r="H331" s="173">
        <v>359</v>
      </c>
      <c r="I331" s="2"/>
    </row>
    <row r="332" spans="1:9" ht="19.8" customHeight="1" x14ac:dyDescent="0.3">
      <c r="A332" s="175">
        <v>45997</v>
      </c>
      <c r="B332" s="92" t="s">
        <v>26</v>
      </c>
      <c r="C332" s="93" t="s">
        <v>41</v>
      </c>
      <c r="D332" s="92" t="s">
        <v>1</v>
      </c>
      <c r="E332" s="176">
        <v>1.788194444444444</v>
      </c>
      <c r="F332" s="92" t="s">
        <v>28</v>
      </c>
      <c r="G332" s="94">
        <v>7</v>
      </c>
      <c r="H332" s="173">
        <v>359</v>
      </c>
      <c r="I332" s="2"/>
    </row>
    <row r="333" spans="1:9" ht="19.8" customHeight="1" x14ac:dyDescent="0.3">
      <c r="A333" s="175">
        <v>45997</v>
      </c>
      <c r="B333" s="92" t="s">
        <v>45</v>
      </c>
      <c r="C333" s="93" t="s">
        <v>58</v>
      </c>
      <c r="D333" s="92" t="s">
        <v>1</v>
      </c>
      <c r="E333" s="176">
        <v>1.46875</v>
      </c>
      <c r="F333" s="92" t="s">
        <v>47</v>
      </c>
      <c r="G333" s="94">
        <v>5</v>
      </c>
      <c r="H333" s="173">
        <v>369</v>
      </c>
      <c r="I333" s="2"/>
    </row>
    <row r="334" spans="1:9" ht="19.8" customHeight="1" x14ac:dyDescent="0.3">
      <c r="A334" s="175">
        <v>45997</v>
      </c>
      <c r="B334" s="92" t="s">
        <v>70</v>
      </c>
      <c r="C334" s="93" t="s">
        <v>155</v>
      </c>
      <c r="D334" s="92" t="s">
        <v>1</v>
      </c>
      <c r="E334" s="176">
        <v>1.270833333333333</v>
      </c>
      <c r="F334" s="92" t="s">
        <v>72</v>
      </c>
      <c r="G334" s="94">
        <v>9</v>
      </c>
      <c r="H334" s="173">
        <v>400</v>
      </c>
      <c r="I334" s="2"/>
    </row>
    <row r="335" spans="1:9" ht="19.8" customHeight="1" x14ac:dyDescent="0.3">
      <c r="A335" s="175">
        <v>45997</v>
      </c>
      <c r="B335" s="92" t="s">
        <v>74</v>
      </c>
      <c r="C335" s="93" t="s">
        <v>78</v>
      </c>
      <c r="D335" s="92" t="s">
        <v>1</v>
      </c>
      <c r="E335" s="176">
        <v>1.666666666666667</v>
      </c>
      <c r="F335" s="92" t="s">
        <v>72</v>
      </c>
      <c r="G335" s="94">
        <v>9</v>
      </c>
      <c r="H335" s="173">
        <v>401</v>
      </c>
      <c r="I335" s="2"/>
    </row>
    <row r="336" spans="1:9" ht="19.8" customHeight="1" x14ac:dyDescent="0.3">
      <c r="A336" s="175">
        <v>45997</v>
      </c>
      <c r="B336" s="92" t="s">
        <v>45</v>
      </c>
      <c r="C336" s="93" t="s">
        <v>57</v>
      </c>
      <c r="D336" s="92" t="s">
        <v>1</v>
      </c>
      <c r="E336" s="176">
        <v>1.256944444444444</v>
      </c>
      <c r="F336" s="92" t="s">
        <v>47</v>
      </c>
      <c r="G336" s="94">
        <v>6</v>
      </c>
      <c r="H336" s="173">
        <v>409</v>
      </c>
      <c r="I336" s="2"/>
    </row>
    <row r="337" spans="1:9" ht="19.8" customHeight="1" x14ac:dyDescent="0.3">
      <c r="A337" s="175">
        <v>45997</v>
      </c>
      <c r="B337" s="92" t="s">
        <v>45</v>
      </c>
      <c r="C337" s="93" t="s">
        <v>62</v>
      </c>
      <c r="D337" s="92" t="s">
        <v>1</v>
      </c>
      <c r="E337" s="176">
        <v>1.5173611111111109</v>
      </c>
      <c r="F337" s="92" t="s">
        <v>47</v>
      </c>
      <c r="G337" s="94">
        <v>4</v>
      </c>
      <c r="H337" s="173">
        <v>409</v>
      </c>
      <c r="I337" s="2"/>
    </row>
    <row r="338" spans="1:9" ht="19.8" customHeight="1" x14ac:dyDescent="0.3">
      <c r="A338" s="175">
        <v>45997</v>
      </c>
      <c r="B338" s="92" t="s">
        <v>45</v>
      </c>
      <c r="C338" s="93" t="s">
        <v>60</v>
      </c>
      <c r="D338" s="92" t="s">
        <v>1</v>
      </c>
      <c r="E338" s="176">
        <v>1.7986111111111109</v>
      </c>
      <c r="F338" s="92" t="s">
        <v>47</v>
      </c>
      <c r="G338" s="94">
        <v>1</v>
      </c>
      <c r="H338" s="173">
        <v>409</v>
      </c>
      <c r="I338" s="2"/>
    </row>
    <row r="339" spans="1:9" ht="19.8" customHeight="1" x14ac:dyDescent="0.3">
      <c r="A339" s="175">
        <v>45997</v>
      </c>
      <c r="B339" s="92" t="s">
        <v>45</v>
      </c>
      <c r="C339" s="93" t="s">
        <v>46</v>
      </c>
      <c r="D339" s="92" t="s">
        <v>1</v>
      </c>
      <c r="E339" s="176">
        <v>1.395833333333333</v>
      </c>
      <c r="F339" s="92" t="s">
        <v>47</v>
      </c>
      <c r="G339" s="94">
        <v>4</v>
      </c>
      <c r="H339" s="173">
        <v>409</v>
      </c>
      <c r="I339" s="2"/>
    </row>
    <row r="340" spans="1:9" ht="19.8" customHeight="1" x14ac:dyDescent="0.3">
      <c r="A340" s="177">
        <v>45997</v>
      </c>
      <c r="B340" s="96" t="s">
        <v>87</v>
      </c>
      <c r="C340" s="97" t="s">
        <v>220</v>
      </c>
      <c r="D340" s="96" t="s">
        <v>1</v>
      </c>
      <c r="E340" s="178">
        <v>1.2361111111111109</v>
      </c>
      <c r="F340" s="96" t="s">
        <v>89</v>
      </c>
      <c r="G340" s="98">
        <v>3</v>
      </c>
      <c r="H340" s="174">
        <v>436</v>
      </c>
      <c r="I340" s="2"/>
    </row>
    <row r="341" spans="1:9" ht="19.8" customHeight="1" x14ac:dyDescent="0.3">
      <c r="A341" s="175">
        <v>45997</v>
      </c>
      <c r="B341" s="92" t="s">
        <v>45</v>
      </c>
      <c r="C341" s="93" t="s">
        <v>53</v>
      </c>
      <c r="D341" s="92" t="s">
        <v>1</v>
      </c>
      <c r="E341" s="176">
        <v>1.854166666666667</v>
      </c>
      <c r="F341" s="92" t="s">
        <v>47</v>
      </c>
      <c r="G341" s="94">
        <v>9</v>
      </c>
      <c r="H341" s="173">
        <v>449</v>
      </c>
      <c r="I341" s="2"/>
    </row>
    <row r="342" spans="1:9" ht="19.8" customHeight="1" x14ac:dyDescent="0.3">
      <c r="A342" s="175">
        <v>45997</v>
      </c>
      <c r="B342" s="92" t="s">
        <v>45</v>
      </c>
      <c r="C342" s="93" t="s">
        <v>59</v>
      </c>
      <c r="D342" s="92" t="s">
        <v>1</v>
      </c>
      <c r="E342" s="176">
        <v>1.9027777777777779</v>
      </c>
      <c r="F342" s="92" t="s">
        <v>47</v>
      </c>
      <c r="G342" s="94">
        <v>1</v>
      </c>
      <c r="H342" s="173">
        <v>449</v>
      </c>
      <c r="I342" s="2"/>
    </row>
    <row r="343" spans="1:9" ht="19.8" customHeight="1" x14ac:dyDescent="0.3">
      <c r="A343" s="175">
        <v>45997</v>
      </c>
      <c r="B343" s="92" t="s">
        <v>45</v>
      </c>
      <c r="C343" s="93" t="s">
        <v>66</v>
      </c>
      <c r="D343" s="92" t="s">
        <v>1</v>
      </c>
      <c r="E343" s="176">
        <v>1.645833333333333</v>
      </c>
      <c r="F343" s="92" t="s">
        <v>47</v>
      </c>
      <c r="G343" s="94">
        <v>8</v>
      </c>
      <c r="H343" s="173">
        <v>449</v>
      </c>
      <c r="I343" s="2"/>
    </row>
    <row r="344" spans="1:9" ht="19.8" customHeight="1" x14ac:dyDescent="0.3">
      <c r="A344" s="175">
        <v>45997</v>
      </c>
      <c r="B344" s="92" t="s">
        <v>45</v>
      </c>
      <c r="C344" s="93" t="s">
        <v>58</v>
      </c>
      <c r="D344" s="92" t="s">
        <v>1</v>
      </c>
      <c r="E344" s="176">
        <v>1.46875</v>
      </c>
      <c r="F344" s="92" t="s">
        <v>49</v>
      </c>
      <c r="G344" s="94">
        <v>5</v>
      </c>
      <c r="H344" s="173">
        <v>469</v>
      </c>
      <c r="I344" s="2"/>
    </row>
    <row r="345" spans="1:9" ht="19.8" customHeight="1" x14ac:dyDescent="0.3">
      <c r="A345" s="175">
        <v>45997</v>
      </c>
      <c r="B345" s="92" t="s">
        <v>79</v>
      </c>
      <c r="C345" s="93" t="s">
        <v>84</v>
      </c>
      <c r="D345" s="92" t="s">
        <v>1</v>
      </c>
      <c r="E345" s="176">
        <v>1.3298611111111109</v>
      </c>
      <c r="F345" s="92" t="s">
        <v>33</v>
      </c>
      <c r="G345" s="94">
        <v>9</v>
      </c>
      <c r="H345" s="173">
        <v>479</v>
      </c>
      <c r="I345" s="2"/>
    </row>
    <row r="346" spans="1:9" ht="19.8" customHeight="1" x14ac:dyDescent="0.3">
      <c r="A346" s="175">
        <v>45997</v>
      </c>
      <c r="B346" s="92" t="s">
        <v>79</v>
      </c>
      <c r="C346" s="93" t="s">
        <v>80</v>
      </c>
      <c r="D346" s="92" t="s">
        <v>1</v>
      </c>
      <c r="E346" s="176">
        <v>1.2152777777777779</v>
      </c>
      <c r="F346" s="92" t="s">
        <v>33</v>
      </c>
      <c r="G346" s="94">
        <v>9</v>
      </c>
      <c r="H346" s="173">
        <v>479</v>
      </c>
      <c r="I346" s="2"/>
    </row>
    <row r="347" spans="1:9" ht="19.8" customHeight="1" x14ac:dyDescent="0.3">
      <c r="A347" s="175">
        <v>45997</v>
      </c>
      <c r="B347" s="92" t="s">
        <v>26</v>
      </c>
      <c r="C347" s="93" t="s">
        <v>35</v>
      </c>
      <c r="D347" s="92" t="s">
        <v>1</v>
      </c>
      <c r="E347" s="176">
        <v>1.1284722222222221</v>
      </c>
      <c r="F347" s="92" t="s">
        <v>31</v>
      </c>
      <c r="G347" s="94">
        <v>1</v>
      </c>
      <c r="H347" s="173">
        <v>479</v>
      </c>
      <c r="I347" s="2"/>
    </row>
    <row r="348" spans="1:9" ht="19.8" customHeight="1" x14ac:dyDescent="0.3">
      <c r="A348" s="175">
        <v>45997</v>
      </c>
      <c r="B348" s="92" t="s">
        <v>26</v>
      </c>
      <c r="C348" s="93" t="s">
        <v>39</v>
      </c>
      <c r="D348" s="92" t="s">
        <v>1</v>
      </c>
      <c r="E348" s="176">
        <v>1.302083333333333</v>
      </c>
      <c r="F348" s="92" t="s">
        <v>31</v>
      </c>
      <c r="G348" s="94">
        <v>5</v>
      </c>
      <c r="H348" s="173">
        <v>509</v>
      </c>
      <c r="I348" s="2"/>
    </row>
    <row r="349" spans="1:9" ht="19.8" customHeight="1" x14ac:dyDescent="0.3">
      <c r="A349" s="175">
        <v>45997</v>
      </c>
      <c r="B349" s="92" t="s">
        <v>26</v>
      </c>
      <c r="C349" s="93" t="s">
        <v>27</v>
      </c>
      <c r="D349" s="92" t="s">
        <v>1</v>
      </c>
      <c r="E349" s="176">
        <v>1.8888888888888891</v>
      </c>
      <c r="F349" s="92" t="s">
        <v>31</v>
      </c>
      <c r="G349" s="94">
        <v>16</v>
      </c>
      <c r="H349" s="173">
        <v>509</v>
      </c>
      <c r="I349" s="2"/>
    </row>
    <row r="350" spans="1:9" ht="19.8" customHeight="1" x14ac:dyDescent="0.3">
      <c r="A350" s="175">
        <v>45997</v>
      </c>
      <c r="B350" s="92" t="s">
        <v>26</v>
      </c>
      <c r="C350" s="93" t="s">
        <v>41</v>
      </c>
      <c r="D350" s="92" t="s">
        <v>1</v>
      </c>
      <c r="E350" s="176">
        <v>1.788194444444444</v>
      </c>
      <c r="F350" s="92" t="s">
        <v>31</v>
      </c>
      <c r="G350" s="94">
        <v>7</v>
      </c>
      <c r="H350" s="173">
        <v>509</v>
      </c>
      <c r="I350" s="2"/>
    </row>
    <row r="351" spans="1:9" ht="19.8" customHeight="1" x14ac:dyDescent="0.3">
      <c r="A351" s="175">
        <v>45997</v>
      </c>
      <c r="B351" s="92" t="s">
        <v>45</v>
      </c>
      <c r="C351" s="93" t="s">
        <v>57</v>
      </c>
      <c r="D351" s="92" t="s">
        <v>1</v>
      </c>
      <c r="E351" s="176">
        <v>1.256944444444444</v>
      </c>
      <c r="F351" s="92" t="s">
        <v>49</v>
      </c>
      <c r="G351" s="94">
        <v>6</v>
      </c>
      <c r="H351" s="173">
        <v>509</v>
      </c>
      <c r="I351" s="2"/>
    </row>
    <row r="352" spans="1:9" ht="19.8" customHeight="1" x14ac:dyDescent="0.3">
      <c r="A352" s="175">
        <v>45997</v>
      </c>
      <c r="B352" s="92" t="s">
        <v>45</v>
      </c>
      <c r="C352" s="93" t="s">
        <v>62</v>
      </c>
      <c r="D352" s="92" t="s">
        <v>1</v>
      </c>
      <c r="E352" s="176">
        <v>1.5173611111111109</v>
      </c>
      <c r="F352" s="92" t="s">
        <v>49</v>
      </c>
      <c r="G352" s="94">
        <v>4</v>
      </c>
      <c r="H352" s="173">
        <v>509</v>
      </c>
      <c r="I352" s="2"/>
    </row>
    <row r="353" spans="1:9" ht="19.8" customHeight="1" x14ac:dyDescent="0.3">
      <c r="A353" s="175">
        <v>45997</v>
      </c>
      <c r="B353" s="92" t="s">
        <v>45</v>
      </c>
      <c r="C353" s="93" t="s">
        <v>60</v>
      </c>
      <c r="D353" s="92" t="s">
        <v>1</v>
      </c>
      <c r="E353" s="176">
        <v>1.7986111111111109</v>
      </c>
      <c r="F353" s="92" t="s">
        <v>49</v>
      </c>
      <c r="G353" s="94">
        <v>1</v>
      </c>
      <c r="H353" s="173">
        <v>509</v>
      </c>
      <c r="I353" s="2"/>
    </row>
    <row r="354" spans="1:9" ht="19.8" customHeight="1" x14ac:dyDescent="0.3">
      <c r="A354" s="175">
        <v>45997</v>
      </c>
      <c r="B354" s="92" t="s">
        <v>45</v>
      </c>
      <c r="C354" s="93" t="s">
        <v>46</v>
      </c>
      <c r="D354" s="92" t="s">
        <v>1</v>
      </c>
      <c r="E354" s="176">
        <v>1.395833333333333</v>
      </c>
      <c r="F354" s="92" t="s">
        <v>49</v>
      </c>
      <c r="G354" s="94">
        <v>4</v>
      </c>
      <c r="H354" s="173">
        <v>509</v>
      </c>
      <c r="I354" s="2"/>
    </row>
    <row r="355" spans="1:9" ht="19.8" customHeight="1" x14ac:dyDescent="0.3">
      <c r="A355" s="175">
        <v>45997</v>
      </c>
      <c r="B355" s="92" t="s">
        <v>45</v>
      </c>
      <c r="C355" s="93" t="s">
        <v>53</v>
      </c>
      <c r="D355" s="92" t="s">
        <v>1</v>
      </c>
      <c r="E355" s="176">
        <v>1.854166666666667</v>
      </c>
      <c r="F355" s="92" t="s">
        <v>49</v>
      </c>
      <c r="G355" s="94">
        <v>9</v>
      </c>
      <c r="H355" s="173">
        <v>549</v>
      </c>
      <c r="I355" s="2"/>
    </row>
    <row r="356" spans="1:9" ht="19.8" customHeight="1" x14ac:dyDescent="0.3">
      <c r="A356" s="175">
        <v>45997</v>
      </c>
      <c r="B356" s="92" t="s">
        <v>45</v>
      </c>
      <c r="C356" s="93" t="s">
        <v>59</v>
      </c>
      <c r="D356" s="92" t="s">
        <v>1</v>
      </c>
      <c r="E356" s="176">
        <v>1.9027777777777779</v>
      </c>
      <c r="F356" s="92" t="s">
        <v>49</v>
      </c>
      <c r="G356" s="94">
        <v>1</v>
      </c>
      <c r="H356" s="173">
        <v>549</v>
      </c>
      <c r="I356" s="2"/>
    </row>
    <row r="357" spans="1:9" ht="19.8" customHeight="1" x14ac:dyDescent="0.3">
      <c r="A357" s="175">
        <v>45997</v>
      </c>
      <c r="B357" s="92" t="s">
        <v>45</v>
      </c>
      <c r="C357" s="93" t="s">
        <v>66</v>
      </c>
      <c r="D357" s="92" t="s">
        <v>1</v>
      </c>
      <c r="E357" s="176">
        <v>1.645833333333333</v>
      </c>
      <c r="F357" s="92" t="s">
        <v>49</v>
      </c>
      <c r="G357" s="94">
        <v>8</v>
      </c>
      <c r="H357" s="173">
        <v>549</v>
      </c>
      <c r="I357" s="2"/>
    </row>
    <row r="358" spans="1:9" ht="19.8" customHeight="1" x14ac:dyDescent="0.3">
      <c r="A358" s="175">
        <v>45997</v>
      </c>
      <c r="B358" s="92" t="s">
        <v>45</v>
      </c>
      <c r="C358" s="93" t="s">
        <v>58</v>
      </c>
      <c r="D358" s="92" t="s">
        <v>1</v>
      </c>
      <c r="E358" s="176">
        <v>1.46875</v>
      </c>
      <c r="F358" s="92" t="s">
        <v>51</v>
      </c>
      <c r="G358" s="94">
        <v>5</v>
      </c>
      <c r="H358" s="173">
        <v>559</v>
      </c>
      <c r="I358" s="2"/>
    </row>
    <row r="359" spans="1:9" ht="19.8" customHeight="1" x14ac:dyDescent="0.3">
      <c r="A359" s="175">
        <v>45997</v>
      </c>
      <c r="B359" s="92" t="s">
        <v>115</v>
      </c>
      <c r="C359" s="93" t="s">
        <v>116</v>
      </c>
      <c r="D359" s="92" t="s">
        <v>1</v>
      </c>
      <c r="E359" s="176">
        <v>1.229166666666667</v>
      </c>
      <c r="F359" s="92" t="s">
        <v>117</v>
      </c>
      <c r="G359" s="94">
        <v>9</v>
      </c>
      <c r="H359" s="173">
        <v>579</v>
      </c>
      <c r="I359" s="2"/>
    </row>
    <row r="360" spans="1:9" ht="19.8" customHeight="1" x14ac:dyDescent="0.3">
      <c r="A360" s="175">
        <v>45997</v>
      </c>
      <c r="B360" s="92" t="s">
        <v>115</v>
      </c>
      <c r="C360" s="93" t="s">
        <v>119</v>
      </c>
      <c r="D360" s="92" t="s">
        <v>1</v>
      </c>
      <c r="E360" s="176">
        <v>1.145833333333333</v>
      </c>
      <c r="F360" s="92" t="s">
        <v>117</v>
      </c>
      <c r="G360" s="94">
        <v>9</v>
      </c>
      <c r="H360" s="173">
        <v>579</v>
      </c>
      <c r="I360" s="2"/>
    </row>
    <row r="361" spans="1:9" ht="19.8" customHeight="1" x14ac:dyDescent="0.3">
      <c r="A361" s="175">
        <v>45997</v>
      </c>
      <c r="B361" s="92" t="s">
        <v>115</v>
      </c>
      <c r="C361" s="93" t="s">
        <v>120</v>
      </c>
      <c r="D361" s="92" t="s">
        <v>1</v>
      </c>
      <c r="E361" s="176">
        <v>1.2777777777777779</v>
      </c>
      <c r="F361" s="92" t="s">
        <v>117</v>
      </c>
      <c r="G361" s="94">
        <v>9</v>
      </c>
      <c r="H361" s="173">
        <v>579</v>
      </c>
      <c r="I361" s="2"/>
    </row>
    <row r="362" spans="1:9" ht="19.8" customHeight="1" x14ac:dyDescent="0.3">
      <c r="A362" s="175">
        <v>45997</v>
      </c>
      <c r="B362" s="92" t="s">
        <v>115</v>
      </c>
      <c r="C362" s="93" t="s">
        <v>121</v>
      </c>
      <c r="D362" s="92" t="s">
        <v>1</v>
      </c>
      <c r="E362" s="176">
        <v>1.4861111111111109</v>
      </c>
      <c r="F362" s="92" t="s">
        <v>117</v>
      </c>
      <c r="G362" s="94">
        <v>9</v>
      </c>
      <c r="H362" s="173">
        <v>579</v>
      </c>
      <c r="I362" s="2"/>
    </row>
    <row r="363" spans="1:9" ht="19.8" customHeight="1" x14ac:dyDescent="0.3">
      <c r="A363" s="175">
        <v>45997</v>
      </c>
      <c r="B363" s="92" t="s">
        <v>45</v>
      </c>
      <c r="C363" s="93" t="s">
        <v>57</v>
      </c>
      <c r="D363" s="92" t="s">
        <v>1</v>
      </c>
      <c r="E363" s="176">
        <v>1.256944444444444</v>
      </c>
      <c r="F363" s="92" t="s">
        <v>51</v>
      </c>
      <c r="G363" s="94">
        <v>6</v>
      </c>
      <c r="H363" s="173">
        <v>599</v>
      </c>
      <c r="I363" s="2"/>
    </row>
    <row r="364" spans="1:9" ht="19.8" customHeight="1" x14ac:dyDescent="0.3">
      <c r="A364" s="175">
        <v>45997</v>
      </c>
      <c r="B364" s="92" t="s">
        <v>45</v>
      </c>
      <c r="C364" s="93" t="s">
        <v>62</v>
      </c>
      <c r="D364" s="92" t="s">
        <v>1</v>
      </c>
      <c r="E364" s="176">
        <v>1.5173611111111109</v>
      </c>
      <c r="F364" s="92" t="s">
        <v>51</v>
      </c>
      <c r="G364" s="94">
        <v>4</v>
      </c>
      <c r="H364" s="173">
        <v>599</v>
      </c>
      <c r="I364" s="2"/>
    </row>
    <row r="365" spans="1:9" ht="19.8" customHeight="1" x14ac:dyDescent="0.3">
      <c r="A365" s="175">
        <v>45997</v>
      </c>
      <c r="B365" s="92" t="s">
        <v>45</v>
      </c>
      <c r="C365" s="93" t="s">
        <v>60</v>
      </c>
      <c r="D365" s="92" t="s">
        <v>1</v>
      </c>
      <c r="E365" s="176">
        <v>1.7986111111111109</v>
      </c>
      <c r="F365" s="92" t="s">
        <v>51</v>
      </c>
      <c r="G365" s="94">
        <v>1</v>
      </c>
      <c r="H365" s="173">
        <v>599</v>
      </c>
      <c r="I365" s="2"/>
    </row>
    <row r="366" spans="1:9" ht="19.8" customHeight="1" x14ac:dyDescent="0.3">
      <c r="A366" s="175">
        <v>45997</v>
      </c>
      <c r="B366" s="92" t="s">
        <v>45</v>
      </c>
      <c r="C366" s="93" t="s">
        <v>46</v>
      </c>
      <c r="D366" s="92" t="s">
        <v>1</v>
      </c>
      <c r="E366" s="176">
        <v>1.395833333333333</v>
      </c>
      <c r="F366" s="92" t="s">
        <v>51</v>
      </c>
      <c r="G366" s="94">
        <v>4</v>
      </c>
      <c r="H366" s="173">
        <v>599</v>
      </c>
      <c r="I366" s="2"/>
    </row>
    <row r="367" spans="1:9" ht="19.8" customHeight="1" x14ac:dyDescent="0.3">
      <c r="A367" s="175">
        <v>45997</v>
      </c>
      <c r="B367" s="92" t="s">
        <v>115</v>
      </c>
      <c r="C367" s="93" t="s">
        <v>122</v>
      </c>
      <c r="D367" s="92" t="s">
        <v>1</v>
      </c>
      <c r="E367" s="176">
        <v>1.506944444444444</v>
      </c>
      <c r="F367" s="92" t="s">
        <v>124</v>
      </c>
      <c r="G367" s="94">
        <v>1</v>
      </c>
      <c r="H367" s="173">
        <v>637</v>
      </c>
      <c r="I367" s="2"/>
    </row>
    <row r="368" spans="1:9" ht="19.8" customHeight="1" x14ac:dyDescent="0.3">
      <c r="A368" s="175">
        <v>45997</v>
      </c>
      <c r="B368" s="92" t="s">
        <v>45</v>
      </c>
      <c r="C368" s="93" t="s">
        <v>53</v>
      </c>
      <c r="D368" s="92" t="s">
        <v>1</v>
      </c>
      <c r="E368" s="176">
        <v>1.854166666666667</v>
      </c>
      <c r="F368" s="92" t="s">
        <v>51</v>
      </c>
      <c r="G368" s="94">
        <v>9</v>
      </c>
      <c r="H368" s="173">
        <v>639</v>
      </c>
      <c r="I368" s="2"/>
    </row>
    <row r="369" spans="1:9" ht="19.8" customHeight="1" x14ac:dyDescent="0.3">
      <c r="A369" s="175">
        <v>45997</v>
      </c>
      <c r="B369" s="92" t="s">
        <v>45</v>
      </c>
      <c r="C369" s="93" t="s">
        <v>59</v>
      </c>
      <c r="D369" s="92" t="s">
        <v>1</v>
      </c>
      <c r="E369" s="176">
        <v>1.9027777777777779</v>
      </c>
      <c r="F369" s="92" t="s">
        <v>51</v>
      </c>
      <c r="G369" s="94">
        <v>1</v>
      </c>
      <c r="H369" s="173">
        <v>639</v>
      </c>
      <c r="I369" s="2"/>
    </row>
    <row r="370" spans="1:9" ht="19.8" customHeight="1" x14ac:dyDescent="0.3">
      <c r="A370" s="175">
        <v>45997</v>
      </c>
      <c r="B370" s="92" t="s">
        <v>45</v>
      </c>
      <c r="C370" s="93" t="s">
        <v>66</v>
      </c>
      <c r="D370" s="92" t="s">
        <v>1</v>
      </c>
      <c r="E370" s="176">
        <v>1.645833333333333</v>
      </c>
      <c r="F370" s="92" t="s">
        <v>51</v>
      </c>
      <c r="G370" s="94">
        <v>8</v>
      </c>
      <c r="H370" s="173">
        <v>639</v>
      </c>
      <c r="I370" s="2"/>
    </row>
    <row r="371" spans="1:9" ht="19.8" customHeight="1" x14ac:dyDescent="0.3">
      <c r="A371" s="177">
        <v>45997</v>
      </c>
      <c r="B371" s="96" t="s">
        <v>87</v>
      </c>
      <c r="C371" s="97" t="s">
        <v>109</v>
      </c>
      <c r="D371" s="96" t="s">
        <v>1</v>
      </c>
      <c r="E371" s="178">
        <v>1.333333333333333</v>
      </c>
      <c r="F371" s="96" t="s">
        <v>89</v>
      </c>
      <c r="G371" s="98">
        <v>9</v>
      </c>
      <c r="H371" s="174">
        <v>646</v>
      </c>
      <c r="I371" s="2"/>
    </row>
    <row r="372" spans="1:9" ht="19.8" customHeight="1" x14ac:dyDescent="0.3">
      <c r="A372" s="175">
        <v>45997</v>
      </c>
      <c r="B372" s="92" t="s">
        <v>130</v>
      </c>
      <c r="C372" s="93" t="s">
        <v>138</v>
      </c>
      <c r="D372" s="92" t="s">
        <v>1</v>
      </c>
      <c r="E372" s="176">
        <v>1.243055555555556</v>
      </c>
      <c r="F372" s="92" t="s">
        <v>132</v>
      </c>
      <c r="G372" s="94">
        <v>9</v>
      </c>
      <c r="H372" s="173">
        <v>797</v>
      </c>
      <c r="I372" s="2"/>
    </row>
    <row r="373" spans="1:9" ht="19.8" customHeight="1" x14ac:dyDescent="0.3">
      <c r="A373" s="175">
        <v>45997</v>
      </c>
      <c r="B373" s="92" t="s">
        <v>130</v>
      </c>
      <c r="C373" s="93" t="s">
        <v>138</v>
      </c>
      <c r="D373" s="92" t="s">
        <v>1</v>
      </c>
      <c r="E373" s="176">
        <v>1.243055555555556</v>
      </c>
      <c r="F373" s="92" t="s">
        <v>134</v>
      </c>
      <c r="G373" s="94">
        <v>9</v>
      </c>
      <c r="H373" s="173">
        <v>842</v>
      </c>
      <c r="I373" s="2"/>
    </row>
    <row r="374" spans="1:9" ht="19.8" customHeight="1" x14ac:dyDescent="0.3">
      <c r="A374" s="175">
        <v>45997</v>
      </c>
      <c r="B374" s="92" t="s">
        <v>130</v>
      </c>
      <c r="C374" s="93" t="s">
        <v>131</v>
      </c>
      <c r="D374" s="92" t="s">
        <v>1</v>
      </c>
      <c r="E374" s="176">
        <v>1.930555555555556</v>
      </c>
      <c r="F374" s="92" t="s">
        <v>132</v>
      </c>
      <c r="G374" s="94">
        <v>9</v>
      </c>
      <c r="H374" s="173">
        <v>935</v>
      </c>
      <c r="I374" s="2"/>
    </row>
    <row r="375" spans="1:9" ht="19.8" customHeight="1" x14ac:dyDescent="0.3">
      <c r="A375" s="175">
        <v>45997</v>
      </c>
      <c r="B375" s="92" t="s">
        <v>130</v>
      </c>
      <c r="C375" s="93" t="s">
        <v>136</v>
      </c>
      <c r="D375" s="92" t="s">
        <v>1</v>
      </c>
      <c r="E375" s="176">
        <v>1.3784722222222221</v>
      </c>
      <c r="F375" s="92" t="s">
        <v>132</v>
      </c>
      <c r="G375" s="94">
        <v>9</v>
      </c>
      <c r="H375" s="173">
        <v>935</v>
      </c>
      <c r="I375" s="2"/>
    </row>
    <row r="376" spans="1:9" ht="19.8" customHeight="1" x14ac:dyDescent="0.3">
      <c r="A376" s="175">
        <v>45997</v>
      </c>
      <c r="B376" s="92" t="s">
        <v>130</v>
      </c>
      <c r="C376" s="93" t="s">
        <v>131</v>
      </c>
      <c r="D376" s="92" t="s">
        <v>1</v>
      </c>
      <c r="E376" s="176">
        <v>1.930555555555556</v>
      </c>
      <c r="F376" s="92" t="s">
        <v>134</v>
      </c>
      <c r="G376" s="94">
        <v>9</v>
      </c>
      <c r="H376" s="173">
        <v>980</v>
      </c>
      <c r="I376" s="2"/>
    </row>
    <row r="377" spans="1:9" ht="19.8" customHeight="1" x14ac:dyDescent="0.3">
      <c r="A377" s="175">
        <v>45997</v>
      </c>
      <c r="B377" s="92" t="s">
        <v>130</v>
      </c>
      <c r="C377" s="93" t="s">
        <v>136</v>
      </c>
      <c r="D377" s="92" t="s">
        <v>1</v>
      </c>
      <c r="E377" s="176">
        <v>1.3784722222222221</v>
      </c>
      <c r="F377" s="92" t="s">
        <v>134</v>
      </c>
      <c r="G377" s="94">
        <v>9</v>
      </c>
      <c r="H377" s="173">
        <v>980</v>
      </c>
      <c r="I377" s="2"/>
    </row>
    <row r="378" spans="1:9" ht="19.8" customHeight="1" x14ac:dyDescent="0.3">
      <c r="A378" s="175">
        <v>45997</v>
      </c>
      <c r="B378" s="92" t="s">
        <v>115</v>
      </c>
      <c r="C378" s="93" t="s">
        <v>128</v>
      </c>
      <c r="D378" s="92" t="s">
        <v>1</v>
      </c>
      <c r="E378" s="176">
        <v>1.0138888888888891</v>
      </c>
      <c r="F378" s="92" t="s">
        <v>124</v>
      </c>
      <c r="G378" s="94">
        <v>2</v>
      </c>
      <c r="H378" s="173">
        <v>997</v>
      </c>
      <c r="I378" s="2"/>
    </row>
    <row r="379" spans="1:9" ht="19.8" customHeight="1" x14ac:dyDescent="0.3">
      <c r="A379" s="175">
        <v>45997</v>
      </c>
      <c r="B379" s="92" t="s">
        <v>26</v>
      </c>
      <c r="C379" s="93" t="s">
        <v>35</v>
      </c>
      <c r="D379" s="92" t="s">
        <v>1</v>
      </c>
      <c r="E379" s="176">
        <v>1.1284722222222221</v>
      </c>
      <c r="F379" s="92" t="s">
        <v>33</v>
      </c>
      <c r="G379" s="94">
        <v>1</v>
      </c>
      <c r="H379" s="99" t="s">
        <v>34</v>
      </c>
      <c r="I379" s="2"/>
    </row>
    <row r="380" spans="1:9" ht="19.8" customHeight="1" x14ac:dyDescent="0.3">
      <c r="A380" s="175">
        <v>45997</v>
      </c>
      <c r="B380" s="92" t="s">
        <v>26</v>
      </c>
      <c r="C380" s="93" t="s">
        <v>39</v>
      </c>
      <c r="D380" s="92" t="s">
        <v>1</v>
      </c>
      <c r="E380" s="176">
        <v>1.302083333333333</v>
      </c>
      <c r="F380" s="92" t="s">
        <v>33</v>
      </c>
      <c r="G380" s="94">
        <v>5</v>
      </c>
      <c r="H380" s="99" t="s">
        <v>34</v>
      </c>
      <c r="I380" s="2"/>
    </row>
    <row r="381" spans="1:9" ht="19.8" customHeight="1" x14ac:dyDescent="0.3">
      <c r="A381" s="175">
        <v>45997</v>
      </c>
      <c r="B381" s="92" t="s">
        <v>26</v>
      </c>
      <c r="C381" s="93" t="s">
        <v>27</v>
      </c>
      <c r="D381" s="92" t="s">
        <v>1</v>
      </c>
      <c r="E381" s="176">
        <v>1.8888888888888891</v>
      </c>
      <c r="F381" s="92" t="s">
        <v>33</v>
      </c>
      <c r="G381" s="94">
        <v>16</v>
      </c>
      <c r="H381" s="99" t="s">
        <v>34</v>
      </c>
      <c r="I381" s="2"/>
    </row>
    <row r="382" spans="1:9" ht="19.8" customHeight="1" x14ac:dyDescent="0.3">
      <c r="A382" s="175">
        <v>45997</v>
      </c>
      <c r="B382" s="92" t="s">
        <v>26</v>
      </c>
      <c r="C382" s="93" t="s">
        <v>41</v>
      </c>
      <c r="D382" s="92" t="s">
        <v>1</v>
      </c>
      <c r="E382" s="176">
        <v>1.788194444444444</v>
      </c>
      <c r="F382" s="92" t="s">
        <v>33</v>
      </c>
      <c r="G382" s="94">
        <v>7</v>
      </c>
      <c r="H382" s="99" t="s">
        <v>34</v>
      </c>
      <c r="I382" s="2"/>
    </row>
    <row r="383" spans="1:9" ht="19.8" customHeight="1" x14ac:dyDescent="0.3">
      <c r="A383" s="175">
        <v>45997</v>
      </c>
      <c r="B383" s="92" t="s">
        <v>130</v>
      </c>
      <c r="C383" s="93" t="s">
        <v>139</v>
      </c>
      <c r="D383" s="92" t="s">
        <v>1</v>
      </c>
      <c r="E383" s="176">
        <v>1.8888888888888891</v>
      </c>
      <c r="F383" s="92" t="s">
        <v>134</v>
      </c>
      <c r="G383" s="94">
        <v>4</v>
      </c>
      <c r="H383" s="99" t="s">
        <v>178</v>
      </c>
      <c r="I383" s="2"/>
    </row>
    <row r="384" spans="1:9" ht="19.8" customHeight="1" x14ac:dyDescent="0.3">
      <c r="A384" s="175">
        <v>45997</v>
      </c>
      <c r="B384" s="92" t="s">
        <v>130</v>
      </c>
      <c r="C384" s="93" t="s">
        <v>141</v>
      </c>
      <c r="D384" s="92" t="s">
        <v>1</v>
      </c>
      <c r="E384" s="176">
        <v>1.302083333333333</v>
      </c>
      <c r="F384" s="92" t="s">
        <v>134</v>
      </c>
      <c r="G384" s="94">
        <v>4</v>
      </c>
      <c r="H384" s="99" t="s">
        <v>178</v>
      </c>
      <c r="I384" s="2"/>
    </row>
    <row r="385" spans="1:9" ht="19.8" customHeight="1" x14ac:dyDescent="0.3">
      <c r="A385" s="175">
        <v>45997</v>
      </c>
      <c r="B385" s="92" t="s">
        <v>130</v>
      </c>
      <c r="C385" s="93" t="s">
        <v>142</v>
      </c>
      <c r="D385" s="92" t="s">
        <v>1</v>
      </c>
      <c r="E385" s="176">
        <v>1.1284722222222221</v>
      </c>
      <c r="F385" s="92" t="s">
        <v>134</v>
      </c>
      <c r="G385" s="94">
        <v>4</v>
      </c>
      <c r="H385" s="99" t="s">
        <v>178</v>
      </c>
      <c r="I385" s="2"/>
    </row>
    <row r="386" spans="1:9" ht="19.8" customHeight="1" x14ac:dyDescent="0.3">
      <c r="A386" s="175">
        <v>45997</v>
      </c>
      <c r="B386" s="92" t="s">
        <v>130</v>
      </c>
      <c r="C386" s="93" t="s">
        <v>149</v>
      </c>
      <c r="D386" s="92" t="s">
        <v>1</v>
      </c>
      <c r="E386" s="176">
        <v>1.788194444444444</v>
      </c>
      <c r="F386" s="92" t="s">
        <v>134</v>
      </c>
      <c r="G386" s="94">
        <v>4</v>
      </c>
      <c r="H386" s="99" t="s">
        <v>178</v>
      </c>
      <c r="I386" s="2"/>
    </row>
    <row r="387" spans="1:9" ht="19.8" customHeight="1" x14ac:dyDescent="0.3">
      <c r="A387" s="175">
        <v>45997</v>
      </c>
      <c r="B387" s="92" t="s">
        <v>130</v>
      </c>
      <c r="C387" s="93" t="s">
        <v>143</v>
      </c>
      <c r="D387" s="92" t="s">
        <v>1</v>
      </c>
      <c r="E387" s="176">
        <v>1.006944444444444</v>
      </c>
      <c r="F387" s="92" t="s">
        <v>132</v>
      </c>
      <c r="G387" s="94">
        <v>9</v>
      </c>
      <c r="H387" s="99" t="s">
        <v>144</v>
      </c>
      <c r="I387" s="2"/>
    </row>
    <row r="388" spans="1:9" ht="19.8" customHeight="1" x14ac:dyDescent="0.3">
      <c r="A388" s="175">
        <v>45997</v>
      </c>
      <c r="B388" s="92" t="s">
        <v>130</v>
      </c>
      <c r="C388" s="93" t="s">
        <v>146</v>
      </c>
      <c r="D388" s="92" t="s">
        <v>1</v>
      </c>
      <c r="E388" s="176">
        <v>1.1423611111111109</v>
      </c>
      <c r="F388" s="92" t="s">
        <v>132</v>
      </c>
      <c r="G388" s="94">
        <v>9</v>
      </c>
      <c r="H388" s="99" t="s">
        <v>144</v>
      </c>
      <c r="I388" s="2"/>
    </row>
    <row r="389" spans="1:9" ht="19.8" customHeight="1" x14ac:dyDescent="0.3">
      <c r="A389" s="175">
        <v>45997</v>
      </c>
      <c r="B389" s="92" t="s">
        <v>130</v>
      </c>
      <c r="C389" s="93" t="s">
        <v>147</v>
      </c>
      <c r="D389" s="92" t="s">
        <v>1</v>
      </c>
      <c r="E389" s="176">
        <v>1.71875</v>
      </c>
      <c r="F389" s="92" t="s">
        <v>132</v>
      </c>
      <c r="G389" s="94">
        <v>9</v>
      </c>
      <c r="H389" s="99" t="s">
        <v>144</v>
      </c>
      <c r="I389" s="2"/>
    </row>
    <row r="390" spans="1:9" ht="19.8" customHeight="1" x14ac:dyDescent="0.3">
      <c r="A390" s="175">
        <v>45997</v>
      </c>
      <c r="B390" s="92" t="s">
        <v>130</v>
      </c>
      <c r="C390" s="93" t="s">
        <v>148</v>
      </c>
      <c r="D390" s="92" t="s">
        <v>1</v>
      </c>
      <c r="E390" s="176">
        <v>1.8298611111111109</v>
      </c>
      <c r="F390" s="92" t="s">
        <v>132</v>
      </c>
      <c r="G390" s="94">
        <v>9</v>
      </c>
      <c r="H390" s="99" t="s">
        <v>144</v>
      </c>
      <c r="I390" s="2"/>
    </row>
    <row r="391" spans="1:9" ht="19.8" customHeight="1" x14ac:dyDescent="0.3">
      <c r="A391" s="175">
        <v>45997</v>
      </c>
      <c r="B391" s="92" t="s">
        <v>130</v>
      </c>
      <c r="C391" s="93" t="s">
        <v>137</v>
      </c>
      <c r="D391" s="92" t="s">
        <v>1</v>
      </c>
      <c r="E391" s="176">
        <v>1.6111111111111109</v>
      </c>
      <c r="F391" s="92" t="s">
        <v>132</v>
      </c>
      <c r="G391" s="94">
        <v>2</v>
      </c>
      <c r="H391" s="99" t="s">
        <v>144</v>
      </c>
      <c r="I391" s="2"/>
    </row>
    <row r="392" spans="1:9" ht="19.8" customHeight="1" x14ac:dyDescent="0.3">
      <c r="A392" s="175">
        <v>45997</v>
      </c>
      <c r="B392" s="92" t="s">
        <v>130</v>
      </c>
      <c r="C392" s="93" t="s">
        <v>143</v>
      </c>
      <c r="D392" s="92" t="s">
        <v>1</v>
      </c>
      <c r="E392" s="176">
        <v>1.006944444444444</v>
      </c>
      <c r="F392" s="92" t="s">
        <v>134</v>
      </c>
      <c r="G392" s="94">
        <v>9</v>
      </c>
      <c r="H392" s="99" t="s">
        <v>145</v>
      </c>
      <c r="I392" s="2"/>
    </row>
    <row r="393" spans="1:9" ht="19.8" customHeight="1" x14ac:dyDescent="0.3">
      <c r="A393" s="175">
        <v>45997</v>
      </c>
      <c r="B393" s="92" t="s">
        <v>130</v>
      </c>
      <c r="C393" s="93" t="s">
        <v>146</v>
      </c>
      <c r="D393" s="92" t="s">
        <v>1</v>
      </c>
      <c r="E393" s="176">
        <v>1.1423611111111109</v>
      </c>
      <c r="F393" s="92" t="s">
        <v>134</v>
      </c>
      <c r="G393" s="94">
        <v>9</v>
      </c>
      <c r="H393" s="99" t="s">
        <v>145</v>
      </c>
      <c r="I393" s="2"/>
    </row>
    <row r="394" spans="1:9" ht="19.8" customHeight="1" x14ac:dyDescent="0.3">
      <c r="A394" s="175">
        <v>45997</v>
      </c>
      <c r="B394" s="92" t="s">
        <v>130</v>
      </c>
      <c r="C394" s="93" t="s">
        <v>147</v>
      </c>
      <c r="D394" s="92" t="s">
        <v>1</v>
      </c>
      <c r="E394" s="176">
        <v>1.71875</v>
      </c>
      <c r="F394" s="92" t="s">
        <v>134</v>
      </c>
      <c r="G394" s="94">
        <v>9</v>
      </c>
      <c r="H394" s="99" t="s">
        <v>145</v>
      </c>
      <c r="I394" s="2"/>
    </row>
    <row r="395" spans="1:9" ht="19.8" customHeight="1" x14ac:dyDescent="0.3">
      <c r="A395" s="175">
        <v>45997</v>
      </c>
      <c r="B395" s="92" t="s">
        <v>130</v>
      </c>
      <c r="C395" s="93" t="s">
        <v>148</v>
      </c>
      <c r="D395" s="92" t="s">
        <v>1</v>
      </c>
      <c r="E395" s="176">
        <v>1.8298611111111109</v>
      </c>
      <c r="F395" s="92" t="s">
        <v>134</v>
      </c>
      <c r="G395" s="94">
        <v>9</v>
      </c>
      <c r="H395" s="99" t="s">
        <v>145</v>
      </c>
      <c r="I395" s="2"/>
    </row>
    <row r="396" spans="1:9" ht="19.8" customHeight="1" x14ac:dyDescent="0.3">
      <c r="A396" s="175">
        <v>45997</v>
      </c>
      <c r="B396" s="92" t="s">
        <v>130</v>
      </c>
      <c r="C396" s="93" t="s">
        <v>137</v>
      </c>
      <c r="D396" s="92" t="s">
        <v>1</v>
      </c>
      <c r="E396" s="176">
        <v>1.6111111111111109</v>
      </c>
      <c r="F396" s="92" t="s">
        <v>134</v>
      </c>
      <c r="G396" s="94">
        <v>2</v>
      </c>
      <c r="H396" s="99" t="s">
        <v>145</v>
      </c>
      <c r="I396" s="2"/>
    </row>
    <row r="397" spans="1:9" ht="19.8" customHeight="1" x14ac:dyDescent="0.3">
      <c r="A397" s="181">
        <v>45997</v>
      </c>
      <c r="B397" s="105" t="s">
        <v>87</v>
      </c>
      <c r="C397" s="106" t="s">
        <v>95</v>
      </c>
      <c r="D397" s="105" t="s">
        <v>1</v>
      </c>
      <c r="E397" s="182">
        <v>1.680555555555556</v>
      </c>
      <c r="F397" s="105" t="s">
        <v>226</v>
      </c>
      <c r="G397" s="105"/>
      <c r="H397" s="107" t="s">
        <v>227</v>
      </c>
      <c r="I397" s="2"/>
    </row>
    <row r="398" spans="1:9" ht="19.8" customHeight="1" x14ac:dyDescent="0.3">
      <c r="A398" s="175">
        <v>45998</v>
      </c>
      <c r="B398" s="92" t="s">
        <v>26</v>
      </c>
      <c r="C398" s="93" t="s">
        <v>35</v>
      </c>
      <c r="D398" s="92" t="s">
        <v>1</v>
      </c>
      <c r="E398" s="176">
        <v>1.1284722222222221</v>
      </c>
      <c r="F398" s="92" t="s">
        <v>28</v>
      </c>
      <c r="G398" s="94">
        <v>3</v>
      </c>
      <c r="H398" s="173">
        <v>299</v>
      </c>
      <c r="I398" s="2"/>
    </row>
    <row r="399" spans="1:9" ht="19.8" customHeight="1" x14ac:dyDescent="0.3">
      <c r="A399" s="175">
        <v>45998</v>
      </c>
      <c r="B399" s="92" t="s">
        <v>70</v>
      </c>
      <c r="C399" s="93" t="s">
        <v>235</v>
      </c>
      <c r="D399" s="92" t="s">
        <v>1</v>
      </c>
      <c r="E399" s="176">
        <v>1.3472222222222221</v>
      </c>
      <c r="F399" s="92" t="s">
        <v>72</v>
      </c>
      <c r="G399" s="94">
        <v>9</v>
      </c>
      <c r="H399" s="173">
        <v>300</v>
      </c>
      <c r="I399" s="2"/>
    </row>
    <row r="400" spans="1:9" ht="19.8" customHeight="1" x14ac:dyDescent="0.3">
      <c r="A400" s="175">
        <v>45998</v>
      </c>
      <c r="B400" s="92" t="s">
        <v>26</v>
      </c>
      <c r="C400" s="93" t="s">
        <v>39</v>
      </c>
      <c r="D400" s="92" t="s">
        <v>1</v>
      </c>
      <c r="E400" s="176">
        <v>1.302083333333333</v>
      </c>
      <c r="F400" s="92" t="s">
        <v>28</v>
      </c>
      <c r="G400" s="94">
        <v>10</v>
      </c>
      <c r="H400" s="173">
        <v>359</v>
      </c>
      <c r="I400" s="2"/>
    </row>
    <row r="401" spans="1:9" ht="19.8" customHeight="1" x14ac:dyDescent="0.3">
      <c r="A401" s="175">
        <v>45998</v>
      </c>
      <c r="B401" s="92" t="s">
        <v>26</v>
      </c>
      <c r="C401" s="93" t="s">
        <v>41</v>
      </c>
      <c r="D401" s="92" t="s">
        <v>1</v>
      </c>
      <c r="E401" s="176">
        <v>1.788194444444444</v>
      </c>
      <c r="F401" s="92" t="s">
        <v>28</v>
      </c>
      <c r="G401" s="94">
        <v>8</v>
      </c>
      <c r="H401" s="173">
        <v>359</v>
      </c>
      <c r="I401" s="2"/>
    </row>
    <row r="402" spans="1:9" ht="19.8" customHeight="1" x14ac:dyDescent="0.3">
      <c r="A402" s="175">
        <v>45998</v>
      </c>
      <c r="B402" s="92" t="s">
        <v>45</v>
      </c>
      <c r="C402" s="93" t="s">
        <v>58</v>
      </c>
      <c r="D402" s="92" t="s">
        <v>1</v>
      </c>
      <c r="E402" s="176">
        <v>1.302083333333333</v>
      </c>
      <c r="F402" s="92" t="s">
        <v>47</v>
      </c>
      <c r="G402" s="94">
        <v>3</v>
      </c>
      <c r="H402" s="173">
        <v>369</v>
      </c>
      <c r="I402" s="2"/>
    </row>
    <row r="403" spans="1:9" ht="19.8" customHeight="1" x14ac:dyDescent="0.3">
      <c r="A403" s="175">
        <v>45998</v>
      </c>
      <c r="B403" s="92" t="s">
        <v>26</v>
      </c>
      <c r="C403" s="93" t="s">
        <v>27</v>
      </c>
      <c r="D403" s="92" t="s">
        <v>1</v>
      </c>
      <c r="E403" s="176">
        <v>1.8888888888888891</v>
      </c>
      <c r="F403" s="92" t="s">
        <v>28</v>
      </c>
      <c r="G403" s="94">
        <v>2</v>
      </c>
      <c r="H403" s="173">
        <v>389</v>
      </c>
      <c r="I403" s="2"/>
    </row>
    <row r="404" spans="1:9" ht="19.8" customHeight="1" x14ac:dyDescent="0.3">
      <c r="A404" s="175">
        <v>45998</v>
      </c>
      <c r="B404" s="92" t="s">
        <v>79</v>
      </c>
      <c r="C404" s="93" t="s">
        <v>84</v>
      </c>
      <c r="D404" s="92" t="s">
        <v>1</v>
      </c>
      <c r="E404" s="176">
        <v>1.3888888888888891</v>
      </c>
      <c r="F404" s="92" t="s">
        <v>81</v>
      </c>
      <c r="G404" s="94">
        <v>9</v>
      </c>
      <c r="H404" s="173">
        <v>393</v>
      </c>
      <c r="I404" s="2"/>
    </row>
    <row r="405" spans="1:9" ht="19.8" customHeight="1" x14ac:dyDescent="0.3">
      <c r="A405" s="175">
        <v>45998</v>
      </c>
      <c r="B405" s="92" t="s">
        <v>74</v>
      </c>
      <c r="C405" s="93" t="s">
        <v>78</v>
      </c>
      <c r="D405" s="92" t="s">
        <v>1</v>
      </c>
      <c r="E405" s="176">
        <v>1.666666666666667</v>
      </c>
      <c r="F405" s="92" t="s">
        <v>72</v>
      </c>
      <c r="G405" s="94">
        <v>9</v>
      </c>
      <c r="H405" s="173">
        <v>401</v>
      </c>
      <c r="I405" s="2"/>
    </row>
    <row r="406" spans="1:9" ht="19.8" customHeight="1" x14ac:dyDescent="0.3">
      <c r="A406" s="175">
        <v>45998</v>
      </c>
      <c r="B406" s="92" t="s">
        <v>45</v>
      </c>
      <c r="C406" s="93" t="s">
        <v>53</v>
      </c>
      <c r="D406" s="92" t="s">
        <v>1</v>
      </c>
      <c r="E406" s="176">
        <v>1.854166666666667</v>
      </c>
      <c r="F406" s="92" t="s">
        <v>47</v>
      </c>
      <c r="G406" s="94">
        <v>9</v>
      </c>
      <c r="H406" s="173">
        <v>409</v>
      </c>
      <c r="I406" s="2"/>
    </row>
    <row r="407" spans="1:9" ht="19.8" customHeight="1" x14ac:dyDescent="0.3">
      <c r="A407" s="175">
        <v>45998</v>
      </c>
      <c r="B407" s="92" t="s">
        <v>45</v>
      </c>
      <c r="C407" s="93" t="s">
        <v>57</v>
      </c>
      <c r="D407" s="92" t="s">
        <v>1</v>
      </c>
      <c r="E407" s="176">
        <v>1.256944444444444</v>
      </c>
      <c r="F407" s="92" t="s">
        <v>47</v>
      </c>
      <c r="G407" s="94">
        <v>9</v>
      </c>
      <c r="H407" s="173">
        <v>409</v>
      </c>
      <c r="I407" s="2"/>
    </row>
    <row r="408" spans="1:9" ht="19.8" customHeight="1" x14ac:dyDescent="0.3">
      <c r="A408" s="175">
        <v>45998</v>
      </c>
      <c r="B408" s="92" t="s">
        <v>45</v>
      </c>
      <c r="C408" s="93" t="s">
        <v>59</v>
      </c>
      <c r="D408" s="92" t="s">
        <v>1</v>
      </c>
      <c r="E408" s="176">
        <v>1.9027777777777779</v>
      </c>
      <c r="F408" s="92" t="s">
        <v>47</v>
      </c>
      <c r="G408" s="94">
        <v>2</v>
      </c>
      <c r="H408" s="173">
        <v>409</v>
      </c>
      <c r="I408" s="2"/>
    </row>
    <row r="409" spans="1:9" ht="19.8" customHeight="1" x14ac:dyDescent="0.3">
      <c r="A409" s="175">
        <v>45998</v>
      </c>
      <c r="B409" s="92" t="s">
        <v>45</v>
      </c>
      <c r="C409" s="93" t="s">
        <v>60</v>
      </c>
      <c r="D409" s="92" t="s">
        <v>1</v>
      </c>
      <c r="E409" s="176">
        <v>1.7986111111111109</v>
      </c>
      <c r="F409" s="92" t="s">
        <v>47</v>
      </c>
      <c r="G409" s="94">
        <v>6</v>
      </c>
      <c r="H409" s="173">
        <v>409</v>
      </c>
      <c r="I409" s="2"/>
    </row>
    <row r="410" spans="1:9" ht="19.8" customHeight="1" x14ac:dyDescent="0.3">
      <c r="A410" s="175">
        <v>45998</v>
      </c>
      <c r="B410" s="92" t="s">
        <v>45</v>
      </c>
      <c r="C410" s="93" t="s">
        <v>46</v>
      </c>
      <c r="D410" s="92" t="s">
        <v>1</v>
      </c>
      <c r="E410" s="176">
        <v>1.395833333333333</v>
      </c>
      <c r="F410" s="92" t="s">
        <v>47</v>
      </c>
      <c r="G410" s="94">
        <v>9</v>
      </c>
      <c r="H410" s="173">
        <v>409</v>
      </c>
      <c r="I410" s="2"/>
    </row>
    <row r="411" spans="1:9" ht="19.8" customHeight="1" x14ac:dyDescent="0.3">
      <c r="A411" s="175">
        <v>45998</v>
      </c>
      <c r="B411" s="92" t="s">
        <v>45</v>
      </c>
      <c r="C411" s="93" t="s">
        <v>66</v>
      </c>
      <c r="D411" s="92" t="s">
        <v>1</v>
      </c>
      <c r="E411" s="176">
        <v>1.645833333333333</v>
      </c>
      <c r="F411" s="92" t="s">
        <v>47</v>
      </c>
      <c r="G411" s="94">
        <v>7</v>
      </c>
      <c r="H411" s="173">
        <v>409</v>
      </c>
      <c r="I411" s="2"/>
    </row>
    <row r="412" spans="1:9" ht="19.8" customHeight="1" x14ac:dyDescent="0.3">
      <c r="A412" s="177">
        <v>45998</v>
      </c>
      <c r="B412" s="96" t="s">
        <v>87</v>
      </c>
      <c r="C412" s="97" t="s">
        <v>109</v>
      </c>
      <c r="D412" s="96" t="s">
        <v>1</v>
      </c>
      <c r="E412" s="178">
        <v>1.319444444444444</v>
      </c>
      <c r="F412" s="96" t="s">
        <v>89</v>
      </c>
      <c r="G412" s="98">
        <v>6</v>
      </c>
      <c r="H412" s="174">
        <v>436</v>
      </c>
      <c r="I412" s="2"/>
    </row>
    <row r="413" spans="1:9" ht="19.8" customHeight="1" x14ac:dyDescent="0.3">
      <c r="A413" s="177">
        <v>45998</v>
      </c>
      <c r="B413" s="96" t="s">
        <v>87</v>
      </c>
      <c r="C413" s="97" t="s">
        <v>169</v>
      </c>
      <c r="D413" s="96" t="s">
        <v>1</v>
      </c>
      <c r="E413" s="178">
        <v>1.083333333333333</v>
      </c>
      <c r="F413" s="96" t="s">
        <v>89</v>
      </c>
      <c r="G413" s="98">
        <v>9</v>
      </c>
      <c r="H413" s="174">
        <v>436</v>
      </c>
      <c r="I413" s="2"/>
    </row>
    <row r="414" spans="1:9" ht="19.8" customHeight="1" x14ac:dyDescent="0.3">
      <c r="A414" s="175">
        <v>45998</v>
      </c>
      <c r="B414" s="92" t="s">
        <v>45</v>
      </c>
      <c r="C414" s="93" t="s">
        <v>62</v>
      </c>
      <c r="D414" s="92" t="s">
        <v>1</v>
      </c>
      <c r="E414" s="176">
        <v>1.5173611111111109</v>
      </c>
      <c r="F414" s="92" t="s">
        <v>47</v>
      </c>
      <c r="G414" s="94">
        <v>7</v>
      </c>
      <c r="H414" s="173">
        <v>449</v>
      </c>
      <c r="I414" s="2"/>
    </row>
    <row r="415" spans="1:9" ht="19.8" customHeight="1" x14ac:dyDescent="0.3">
      <c r="A415" s="175">
        <v>45998</v>
      </c>
      <c r="B415" s="92" t="s">
        <v>26</v>
      </c>
      <c r="C415" s="93" t="s">
        <v>35</v>
      </c>
      <c r="D415" s="92" t="s">
        <v>1</v>
      </c>
      <c r="E415" s="176">
        <v>1.1284722222222221</v>
      </c>
      <c r="F415" s="92" t="s">
        <v>31</v>
      </c>
      <c r="G415" s="94">
        <v>3</v>
      </c>
      <c r="H415" s="173">
        <v>449</v>
      </c>
      <c r="I415" s="2"/>
    </row>
    <row r="416" spans="1:9" ht="19.8" customHeight="1" x14ac:dyDescent="0.3">
      <c r="A416" s="175">
        <v>45998</v>
      </c>
      <c r="B416" s="92" t="s">
        <v>45</v>
      </c>
      <c r="C416" s="93" t="s">
        <v>58</v>
      </c>
      <c r="D416" s="92" t="s">
        <v>1</v>
      </c>
      <c r="E416" s="176">
        <v>1.302083333333333</v>
      </c>
      <c r="F416" s="92" t="s">
        <v>49</v>
      </c>
      <c r="G416" s="94">
        <v>3</v>
      </c>
      <c r="H416" s="173">
        <v>469</v>
      </c>
      <c r="I416" s="2"/>
    </row>
    <row r="417" spans="1:9" ht="19.8" customHeight="1" x14ac:dyDescent="0.3">
      <c r="A417" s="177">
        <v>45998</v>
      </c>
      <c r="B417" s="96" t="s">
        <v>87</v>
      </c>
      <c r="C417" s="97" t="s">
        <v>241</v>
      </c>
      <c r="D417" s="96" t="s">
        <v>1</v>
      </c>
      <c r="E417" s="178">
        <v>1.333333333333333</v>
      </c>
      <c r="F417" s="96" t="s">
        <v>89</v>
      </c>
      <c r="G417" s="98">
        <v>4</v>
      </c>
      <c r="H417" s="174">
        <v>471</v>
      </c>
      <c r="I417" s="2"/>
    </row>
    <row r="418" spans="1:9" ht="19.8" customHeight="1" x14ac:dyDescent="0.3">
      <c r="A418" s="175">
        <v>45998</v>
      </c>
      <c r="B418" s="92" t="s">
        <v>45</v>
      </c>
      <c r="C418" s="93" t="s">
        <v>53</v>
      </c>
      <c r="D418" s="92" t="s">
        <v>1</v>
      </c>
      <c r="E418" s="176">
        <v>1.854166666666667</v>
      </c>
      <c r="F418" s="92" t="s">
        <v>49</v>
      </c>
      <c r="G418" s="94">
        <v>9</v>
      </c>
      <c r="H418" s="173">
        <v>509</v>
      </c>
      <c r="I418" s="2"/>
    </row>
    <row r="419" spans="1:9" ht="19.8" customHeight="1" x14ac:dyDescent="0.3">
      <c r="A419" s="175">
        <v>45998</v>
      </c>
      <c r="B419" s="92" t="s">
        <v>45</v>
      </c>
      <c r="C419" s="93" t="s">
        <v>57</v>
      </c>
      <c r="D419" s="92" t="s">
        <v>1</v>
      </c>
      <c r="E419" s="176">
        <v>1.256944444444444</v>
      </c>
      <c r="F419" s="92" t="s">
        <v>49</v>
      </c>
      <c r="G419" s="94">
        <v>9</v>
      </c>
      <c r="H419" s="173">
        <v>509</v>
      </c>
      <c r="I419" s="2"/>
    </row>
    <row r="420" spans="1:9" ht="19.8" customHeight="1" x14ac:dyDescent="0.3">
      <c r="A420" s="175">
        <v>45998</v>
      </c>
      <c r="B420" s="92" t="s">
        <v>45</v>
      </c>
      <c r="C420" s="93" t="s">
        <v>59</v>
      </c>
      <c r="D420" s="92" t="s">
        <v>1</v>
      </c>
      <c r="E420" s="176">
        <v>1.9027777777777779</v>
      </c>
      <c r="F420" s="92" t="s">
        <v>49</v>
      </c>
      <c r="G420" s="94">
        <v>2</v>
      </c>
      <c r="H420" s="173">
        <v>509</v>
      </c>
      <c r="I420" s="2"/>
    </row>
    <row r="421" spans="1:9" ht="19.8" customHeight="1" x14ac:dyDescent="0.3">
      <c r="A421" s="175">
        <v>45998</v>
      </c>
      <c r="B421" s="92" t="s">
        <v>45</v>
      </c>
      <c r="C421" s="93" t="s">
        <v>60</v>
      </c>
      <c r="D421" s="92" t="s">
        <v>1</v>
      </c>
      <c r="E421" s="176">
        <v>1.7986111111111109</v>
      </c>
      <c r="F421" s="92" t="s">
        <v>49</v>
      </c>
      <c r="G421" s="94">
        <v>6</v>
      </c>
      <c r="H421" s="173">
        <v>509</v>
      </c>
      <c r="I421" s="2"/>
    </row>
    <row r="422" spans="1:9" ht="19.8" customHeight="1" x14ac:dyDescent="0.3">
      <c r="A422" s="175">
        <v>45998</v>
      </c>
      <c r="B422" s="92" t="s">
        <v>45</v>
      </c>
      <c r="C422" s="93" t="s">
        <v>46</v>
      </c>
      <c r="D422" s="92" t="s">
        <v>1</v>
      </c>
      <c r="E422" s="176">
        <v>1.395833333333333</v>
      </c>
      <c r="F422" s="92" t="s">
        <v>49</v>
      </c>
      <c r="G422" s="94">
        <v>9</v>
      </c>
      <c r="H422" s="173">
        <v>509</v>
      </c>
      <c r="I422" s="2"/>
    </row>
    <row r="423" spans="1:9" ht="19.8" customHeight="1" x14ac:dyDescent="0.3">
      <c r="A423" s="175">
        <v>45998</v>
      </c>
      <c r="B423" s="92" t="s">
        <v>45</v>
      </c>
      <c r="C423" s="93" t="s">
        <v>66</v>
      </c>
      <c r="D423" s="92" t="s">
        <v>1</v>
      </c>
      <c r="E423" s="176">
        <v>1.645833333333333</v>
      </c>
      <c r="F423" s="92" t="s">
        <v>49</v>
      </c>
      <c r="G423" s="94">
        <v>7</v>
      </c>
      <c r="H423" s="173">
        <v>509</v>
      </c>
      <c r="I423" s="2"/>
    </row>
    <row r="424" spans="1:9" ht="19.8" customHeight="1" x14ac:dyDescent="0.3">
      <c r="A424" s="175">
        <v>45998</v>
      </c>
      <c r="B424" s="92" t="s">
        <v>26</v>
      </c>
      <c r="C424" s="93" t="s">
        <v>39</v>
      </c>
      <c r="D424" s="92" t="s">
        <v>1</v>
      </c>
      <c r="E424" s="176">
        <v>1.302083333333333</v>
      </c>
      <c r="F424" s="92" t="s">
        <v>31</v>
      </c>
      <c r="G424" s="94">
        <v>10</v>
      </c>
      <c r="H424" s="173">
        <v>509</v>
      </c>
      <c r="I424" s="2"/>
    </row>
    <row r="425" spans="1:9" ht="19.8" customHeight="1" x14ac:dyDescent="0.3">
      <c r="A425" s="175">
        <v>45998</v>
      </c>
      <c r="B425" s="92" t="s">
        <v>26</v>
      </c>
      <c r="C425" s="93" t="s">
        <v>41</v>
      </c>
      <c r="D425" s="92" t="s">
        <v>1</v>
      </c>
      <c r="E425" s="176">
        <v>1.788194444444444</v>
      </c>
      <c r="F425" s="92" t="s">
        <v>31</v>
      </c>
      <c r="G425" s="94">
        <v>8</v>
      </c>
      <c r="H425" s="173">
        <v>509</v>
      </c>
      <c r="I425" s="2"/>
    </row>
    <row r="426" spans="1:9" ht="19.8" customHeight="1" x14ac:dyDescent="0.3">
      <c r="A426" s="175">
        <v>45998</v>
      </c>
      <c r="B426" s="92" t="s">
        <v>79</v>
      </c>
      <c r="C426" s="93" t="s">
        <v>84</v>
      </c>
      <c r="D426" s="92" t="s">
        <v>1</v>
      </c>
      <c r="E426" s="176">
        <v>1.3888888888888891</v>
      </c>
      <c r="F426" s="92" t="s">
        <v>33</v>
      </c>
      <c r="G426" s="94">
        <v>9</v>
      </c>
      <c r="H426" s="173">
        <v>516</v>
      </c>
      <c r="I426" s="2"/>
    </row>
    <row r="427" spans="1:9" ht="19.8" customHeight="1" x14ac:dyDescent="0.3">
      <c r="A427" s="175">
        <v>45998</v>
      </c>
      <c r="B427" s="92" t="s">
        <v>26</v>
      </c>
      <c r="C427" s="93" t="s">
        <v>27</v>
      </c>
      <c r="D427" s="92" t="s">
        <v>1</v>
      </c>
      <c r="E427" s="176">
        <v>1.8888888888888891</v>
      </c>
      <c r="F427" s="92" t="s">
        <v>31</v>
      </c>
      <c r="G427" s="94">
        <v>2</v>
      </c>
      <c r="H427" s="173">
        <v>539</v>
      </c>
      <c r="I427" s="2"/>
    </row>
    <row r="428" spans="1:9" ht="19.8" customHeight="1" x14ac:dyDescent="0.3">
      <c r="A428" s="175">
        <v>45998</v>
      </c>
      <c r="B428" s="92" t="s">
        <v>45</v>
      </c>
      <c r="C428" s="93" t="s">
        <v>62</v>
      </c>
      <c r="D428" s="92" t="s">
        <v>1</v>
      </c>
      <c r="E428" s="176">
        <v>1.5173611111111109</v>
      </c>
      <c r="F428" s="92" t="s">
        <v>49</v>
      </c>
      <c r="G428" s="94">
        <v>7</v>
      </c>
      <c r="H428" s="173">
        <v>549</v>
      </c>
      <c r="I428" s="2"/>
    </row>
    <row r="429" spans="1:9" ht="19.8" customHeight="1" x14ac:dyDescent="0.3">
      <c r="A429" s="175">
        <v>45998</v>
      </c>
      <c r="B429" s="92" t="s">
        <v>45</v>
      </c>
      <c r="C429" s="93" t="s">
        <v>58</v>
      </c>
      <c r="D429" s="92" t="s">
        <v>1</v>
      </c>
      <c r="E429" s="176">
        <v>1.302083333333333</v>
      </c>
      <c r="F429" s="92" t="s">
        <v>51</v>
      </c>
      <c r="G429" s="94">
        <v>3</v>
      </c>
      <c r="H429" s="173">
        <v>559</v>
      </c>
      <c r="I429" s="2"/>
    </row>
    <row r="430" spans="1:9" ht="19.8" customHeight="1" x14ac:dyDescent="0.3">
      <c r="A430" s="175">
        <v>45998</v>
      </c>
      <c r="B430" s="92" t="s">
        <v>45</v>
      </c>
      <c r="C430" s="93" t="s">
        <v>53</v>
      </c>
      <c r="D430" s="92" t="s">
        <v>1</v>
      </c>
      <c r="E430" s="176">
        <v>1.854166666666667</v>
      </c>
      <c r="F430" s="92" t="s">
        <v>51</v>
      </c>
      <c r="G430" s="94">
        <v>9</v>
      </c>
      <c r="H430" s="173">
        <v>599</v>
      </c>
      <c r="I430" s="2"/>
    </row>
    <row r="431" spans="1:9" ht="19.8" customHeight="1" x14ac:dyDescent="0.3">
      <c r="A431" s="175">
        <v>45998</v>
      </c>
      <c r="B431" s="92" t="s">
        <v>45</v>
      </c>
      <c r="C431" s="93" t="s">
        <v>57</v>
      </c>
      <c r="D431" s="92" t="s">
        <v>1</v>
      </c>
      <c r="E431" s="176">
        <v>1.256944444444444</v>
      </c>
      <c r="F431" s="92" t="s">
        <v>51</v>
      </c>
      <c r="G431" s="94">
        <v>9</v>
      </c>
      <c r="H431" s="173">
        <v>599</v>
      </c>
      <c r="I431" s="2"/>
    </row>
    <row r="432" spans="1:9" ht="19.8" customHeight="1" x14ac:dyDescent="0.3">
      <c r="A432" s="175">
        <v>45998</v>
      </c>
      <c r="B432" s="92" t="s">
        <v>45</v>
      </c>
      <c r="C432" s="93" t="s">
        <v>59</v>
      </c>
      <c r="D432" s="92" t="s">
        <v>1</v>
      </c>
      <c r="E432" s="176">
        <v>1.9027777777777779</v>
      </c>
      <c r="F432" s="92" t="s">
        <v>51</v>
      </c>
      <c r="G432" s="94">
        <v>2</v>
      </c>
      <c r="H432" s="173">
        <v>599</v>
      </c>
      <c r="I432" s="2"/>
    </row>
    <row r="433" spans="1:9" ht="19.8" customHeight="1" x14ac:dyDescent="0.3">
      <c r="A433" s="175">
        <v>45998</v>
      </c>
      <c r="B433" s="92" t="s">
        <v>45</v>
      </c>
      <c r="C433" s="93" t="s">
        <v>60</v>
      </c>
      <c r="D433" s="92" t="s">
        <v>1</v>
      </c>
      <c r="E433" s="176">
        <v>1.7986111111111109</v>
      </c>
      <c r="F433" s="92" t="s">
        <v>51</v>
      </c>
      <c r="G433" s="94">
        <v>6</v>
      </c>
      <c r="H433" s="173">
        <v>599</v>
      </c>
      <c r="I433" s="2"/>
    </row>
    <row r="434" spans="1:9" ht="19.8" customHeight="1" x14ac:dyDescent="0.3">
      <c r="A434" s="175">
        <v>45998</v>
      </c>
      <c r="B434" s="92" t="s">
        <v>45</v>
      </c>
      <c r="C434" s="93" t="s">
        <v>46</v>
      </c>
      <c r="D434" s="92" t="s">
        <v>1</v>
      </c>
      <c r="E434" s="176">
        <v>1.395833333333333</v>
      </c>
      <c r="F434" s="92" t="s">
        <v>51</v>
      </c>
      <c r="G434" s="94">
        <v>9</v>
      </c>
      <c r="H434" s="173">
        <v>599</v>
      </c>
      <c r="I434" s="2"/>
    </row>
    <row r="435" spans="1:9" ht="19.8" customHeight="1" x14ac:dyDescent="0.3">
      <c r="A435" s="175">
        <v>45998</v>
      </c>
      <c r="B435" s="92" t="s">
        <v>45</v>
      </c>
      <c r="C435" s="93" t="s">
        <v>66</v>
      </c>
      <c r="D435" s="92" t="s">
        <v>1</v>
      </c>
      <c r="E435" s="176">
        <v>1.645833333333333</v>
      </c>
      <c r="F435" s="92" t="s">
        <v>51</v>
      </c>
      <c r="G435" s="94">
        <v>7</v>
      </c>
      <c r="H435" s="173">
        <v>599</v>
      </c>
      <c r="I435" s="2"/>
    </row>
    <row r="436" spans="1:9" ht="19.8" customHeight="1" x14ac:dyDescent="0.3">
      <c r="A436" s="175">
        <v>45998</v>
      </c>
      <c r="B436" s="92" t="s">
        <v>45</v>
      </c>
      <c r="C436" s="93" t="s">
        <v>62</v>
      </c>
      <c r="D436" s="92" t="s">
        <v>1</v>
      </c>
      <c r="E436" s="176">
        <v>1.5173611111111109</v>
      </c>
      <c r="F436" s="92" t="s">
        <v>51</v>
      </c>
      <c r="G436" s="94">
        <v>7</v>
      </c>
      <c r="H436" s="173">
        <v>639</v>
      </c>
      <c r="I436" s="2"/>
    </row>
    <row r="437" spans="1:9" ht="19.8" customHeight="1" x14ac:dyDescent="0.3">
      <c r="A437" s="175">
        <v>45998</v>
      </c>
      <c r="B437" s="92" t="s">
        <v>130</v>
      </c>
      <c r="C437" s="93" t="s">
        <v>136</v>
      </c>
      <c r="D437" s="92" t="s">
        <v>1</v>
      </c>
      <c r="E437" s="176">
        <v>1.3784722222222221</v>
      </c>
      <c r="F437" s="92" t="s">
        <v>132</v>
      </c>
      <c r="G437" s="94">
        <v>9</v>
      </c>
      <c r="H437" s="173">
        <v>678</v>
      </c>
      <c r="I437" s="2"/>
    </row>
    <row r="438" spans="1:9" ht="19.8" customHeight="1" x14ac:dyDescent="0.3">
      <c r="A438" s="175">
        <v>45998</v>
      </c>
      <c r="B438" s="92" t="s">
        <v>130</v>
      </c>
      <c r="C438" s="93" t="s">
        <v>138</v>
      </c>
      <c r="D438" s="92" t="s">
        <v>1</v>
      </c>
      <c r="E438" s="176">
        <v>1.239583333333333</v>
      </c>
      <c r="F438" s="92" t="s">
        <v>132</v>
      </c>
      <c r="G438" s="94">
        <v>9</v>
      </c>
      <c r="H438" s="173">
        <v>678</v>
      </c>
      <c r="I438" s="2"/>
    </row>
    <row r="439" spans="1:9" ht="19.8" customHeight="1" x14ac:dyDescent="0.3">
      <c r="A439" s="177">
        <v>45998</v>
      </c>
      <c r="B439" s="96" t="s">
        <v>87</v>
      </c>
      <c r="C439" s="97" t="s">
        <v>88</v>
      </c>
      <c r="D439" s="96" t="s">
        <v>1</v>
      </c>
      <c r="E439" s="178">
        <v>1.510416666666667</v>
      </c>
      <c r="F439" s="96" t="s">
        <v>89</v>
      </c>
      <c r="G439" s="98">
        <v>9</v>
      </c>
      <c r="H439" s="174">
        <v>706</v>
      </c>
      <c r="I439" s="2"/>
    </row>
    <row r="440" spans="1:9" ht="19.8" customHeight="1" x14ac:dyDescent="0.3">
      <c r="A440" s="175">
        <v>45998</v>
      </c>
      <c r="B440" s="92" t="s">
        <v>115</v>
      </c>
      <c r="C440" s="93" t="s">
        <v>123</v>
      </c>
      <c r="D440" s="92" t="s">
        <v>1</v>
      </c>
      <c r="E440" s="176">
        <v>1.958333333333333</v>
      </c>
      <c r="F440" s="92" t="s">
        <v>124</v>
      </c>
      <c r="G440" s="94">
        <v>1</v>
      </c>
      <c r="H440" s="173">
        <v>712</v>
      </c>
      <c r="I440" s="2"/>
    </row>
    <row r="441" spans="1:9" ht="19.8" customHeight="1" x14ac:dyDescent="0.3">
      <c r="A441" s="175">
        <v>45998</v>
      </c>
      <c r="B441" s="92" t="s">
        <v>130</v>
      </c>
      <c r="C441" s="93" t="s">
        <v>136</v>
      </c>
      <c r="D441" s="92" t="s">
        <v>1</v>
      </c>
      <c r="E441" s="176">
        <v>1.3784722222222221</v>
      </c>
      <c r="F441" s="92" t="s">
        <v>134</v>
      </c>
      <c r="G441" s="94">
        <v>9</v>
      </c>
      <c r="H441" s="173">
        <v>723</v>
      </c>
      <c r="I441" s="2"/>
    </row>
    <row r="442" spans="1:9" ht="19.8" customHeight="1" x14ac:dyDescent="0.3">
      <c r="A442" s="175">
        <v>45998</v>
      </c>
      <c r="B442" s="92" t="s">
        <v>130</v>
      </c>
      <c r="C442" s="93" t="s">
        <v>138</v>
      </c>
      <c r="D442" s="92" t="s">
        <v>1</v>
      </c>
      <c r="E442" s="176">
        <v>1.239583333333333</v>
      </c>
      <c r="F442" s="92" t="s">
        <v>134</v>
      </c>
      <c r="G442" s="94">
        <v>9</v>
      </c>
      <c r="H442" s="173">
        <v>723</v>
      </c>
      <c r="I442" s="2"/>
    </row>
    <row r="443" spans="1:9" ht="19.8" customHeight="1" x14ac:dyDescent="0.3">
      <c r="A443" s="175">
        <v>45998</v>
      </c>
      <c r="B443" s="92" t="s">
        <v>115</v>
      </c>
      <c r="C443" s="93" t="s">
        <v>126</v>
      </c>
      <c r="D443" s="92" t="s">
        <v>1</v>
      </c>
      <c r="E443" s="176">
        <v>1.774305555555556</v>
      </c>
      <c r="F443" s="92" t="s">
        <v>124</v>
      </c>
      <c r="G443" s="94">
        <v>2</v>
      </c>
      <c r="H443" s="173">
        <v>795</v>
      </c>
      <c r="I443" s="2"/>
    </row>
    <row r="444" spans="1:9" ht="19.8" customHeight="1" x14ac:dyDescent="0.3">
      <c r="A444" s="175">
        <v>45998</v>
      </c>
      <c r="B444" s="92" t="s">
        <v>130</v>
      </c>
      <c r="C444" s="93" t="s">
        <v>146</v>
      </c>
      <c r="D444" s="92" t="s">
        <v>1</v>
      </c>
      <c r="E444" s="176">
        <v>1.1423611111111109</v>
      </c>
      <c r="F444" s="92" t="s">
        <v>132</v>
      </c>
      <c r="G444" s="94">
        <v>9</v>
      </c>
      <c r="H444" s="173">
        <v>935</v>
      </c>
      <c r="I444" s="2"/>
    </row>
    <row r="445" spans="1:9" ht="19.8" customHeight="1" x14ac:dyDescent="0.3">
      <c r="A445" s="175">
        <v>45998</v>
      </c>
      <c r="B445" s="92" t="s">
        <v>130</v>
      </c>
      <c r="C445" s="93" t="s">
        <v>131</v>
      </c>
      <c r="D445" s="92" t="s">
        <v>1</v>
      </c>
      <c r="E445" s="176">
        <v>1.930555555555556</v>
      </c>
      <c r="F445" s="92" t="s">
        <v>132</v>
      </c>
      <c r="G445" s="94">
        <v>9</v>
      </c>
      <c r="H445" s="173">
        <v>935</v>
      </c>
      <c r="I445" s="2"/>
    </row>
    <row r="446" spans="1:9" ht="19.8" customHeight="1" x14ac:dyDescent="0.3">
      <c r="A446" s="175">
        <v>45998</v>
      </c>
      <c r="B446" s="92" t="s">
        <v>130</v>
      </c>
      <c r="C446" s="93" t="s">
        <v>146</v>
      </c>
      <c r="D446" s="92" t="s">
        <v>1</v>
      </c>
      <c r="E446" s="176">
        <v>1.1423611111111109</v>
      </c>
      <c r="F446" s="92" t="s">
        <v>134</v>
      </c>
      <c r="G446" s="94">
        <v>9</v>
      </c>
      <c r="H446" s="173">
        <v>980</v>
      </c>
      <c r="I446" s="2"/>
    </row>
    <row r="447" spans="1:9" ht="19.8" customHeight="1" x14ac:dyDescent="0.3">
      <c r="A447" s="175">
        <v>45998</v>
      </c>
      <c r="B447" s="92" t="s">
        <v>130</v>
      </c>
      <c r="C447" s="93" t="s">
        <v>131</v>
      </c>
      <c r="D447" s="92" t="s">
        <v>1</v>
      </c>
      <c r="E447" s="176">
        <v>1.930555555555556</v>
      </c>
      <c r="F447" s="92" t="s">
        <v>134</v>
      </c>
      <c r="G447" s="94">
        <v>9</v>
      </c>
      <c r="H447" s="173">
        <v>980</v>
      </c>
      <c r="I447" s="2"/>
    </row>
    <row r="448" spans="1:9" ht="19.8" customHeight="1" x14ac:dyDescent="0.3">
      <c r="A448" s="175">
        <v>45998</v>
      </c>
      <c r="B448" s="92" t="s">
        <v>115</v>
      </c>
      <c r="C448" s="93" t="s">
        <v>116</v>
      </c>
      <c r="D448" s="92" t="s">
        <v>1</v>
      </c>
      <c r="E448" s="176">
        <v>1.2222222222222221</v>
      </c>
      <c r="F448" s="92" t="s">
        <v>124</v>
      </c>
      <c r="G448" s="94">
        <v>2</v>
      </c>
      <c r="H448" s="173">
        <v>993</v>
      </c>
      <c r="I448" s="2"/>
    </row>
    <row r="449" spans="1:9" ht="19.8" customHeight="1" x14ac:dyDescent="0.3">
      <c r="A449" s="175">
        <v>45998</v>
      </c>
      <c r="B449" s="92" t="s">
        <v>130</v>
      </c>
      <c r="C449" s="93" t="s">
        <v>142</v>
      </c>
      <c r="D449" s="92" t="s">
        <v>1</v>
      </c>
      <c r="E449" s="176">
        <v>1.1284722222222221</v>
      </c>
      <c r="F449" s="92" t="s">
        <v>134</v>
      </c>
      <c r="G449" s="94">
        <v>4</v>
      </c>
      <c r="H449" s="99" t="s">
        <v>250</v>
      </c>
      <c r="I449" s="2"/>
    </row>
    <row r="450" spans="1:9" ht="19.8" customHeight="1" x14ac:dyDescent="0.3">
      <c r="A450" s="175">
        <v>45998</v>
      </c>
      <c r="B450" s="92" t="s">
        <v>26</v>
      </c>
      <c r="C450" s="93" t="s">
        <v>35</v>
      </c>
      <c r="D450" s="92" t="s">
        <v>1</v>
      </c>
      <c r="E450" s="176">
        <v>1.1284722222222221</v>
      </c>
      <c r="F450" s="92" t="s">
        <v>33</v>
      </c>
      <c r="G450" s="94">
        <v>3</v>
      </c>
      <c r="H450" s="99" t="s">
        <v>34</v>
      </c>
      <c r="I450" s="2"/>
    </row>
    <row r="451" spans="1:9" ht="19.8" customHeight="1" x14ac:dyDescent="0.3">
      <c r="A451" s="175">
        <v>45998</v>
      </c>
      <c r="B451" s="92" t="s">
        <v>26</v>
      </c>
      <c r="C451" s="93" t="s">
        <v>39</v>
      </c>
      <c r="D451" s="92" t="s">
        <v>1</v>
      </c>
      <c r="E451" s="176">
        <v>1.302083333333333</v>
      </c>
      <c r="F451" s="92" t="s">
        <v>33</v>
      </c>
      <c r="G451" s="94">
        <v>10</v>
      </c>
      <c r="H451" s="99" t="s">
        <v>34</v>
      </c>
      <c r="I451" s="2"/>
    </row>
    <row r="452" spans="1:9" ht="19.8" customHeight="1" x14ac:dyDescent="0.3">
      <c r="A452" s="175">
        <v>45998</v>
      </c>
      <c r="B452" s="92" t="s">
        <v>26</v>
      </c>
      <c r="C452" s="93" t="s">
        <v>27</v>
      </c>
      <c r="D452" s="92" t="s">
        <v>1</v>
      </c>
      <c r="E452" s="176">
        <v>1.8888888888888891</v>
      </c>
      <c r="F452" s="92" t="s">
        <v>33</v>
      </c>
      <c r="G452" s="94">
        <v>2</v>
      </c>
      <c r="H452" s="99" t="s">
        <v>34</v>
      </c>
      <c r="I452" s="2"/>
    </row>
    <row r="453" spans="1:9" ht="19.8" customHeight="1" x14ac:dyDescent="0.3">
      <c r="A453" s="175">
        <v>45998</v>
      </c>
      <c r="B453" s="92" t="s">
        <v>26</v>
      </c>
      <c r="C453" s="93" t="s">
        <v>41</v>
      </c>
      <c r="D453" s="92" t="s">
        <v>1</v>
      </c>
      <c r="E453" s="176">
        <v>1.788194444444444</v>
      </c>
      <c r="F453" s="92" t="s">
        <v>33</v>
      </c>
      <c r="G453" s="94">
        <v>8</v>
      </c>
      <c r="H453" s="99" t="s">
        <v>34</v>
      </c>
      <c r="I453" s="2"/>
    </row>
    <row r="454" spans="1:9" ht="19.8" customHeight="1" x14ac:dyDescent="0.3">
      <c r="A454" s="175">
        <v>45998</v>
      </c>
      <c r="B454" s="92" t="s">
        <v>115</v>
      </c>
      <c r="C454" s="93" t="s">
        <v>120</v>
      </c>
      <c r="D454" s="92" t="s">
        <v>1</v>
      </c>
      <c r="E454" s="176">
        <v>1.2777777777777779</v>
      </c>
      <c r="F454" s="92" t="s">
        <v>124</v>
      </c>
      <c r="G454" s="94">
        <v>1</v>
      </c>
      <c r="H454" s="99" t="s">
        <v>255</v>
      </c>
      <c r="I454" s="2"/>
    </row>
    <row r="455" spans="1:9" ht="19.8" customHeight="1" x14ac:dyDescent="0.3">
      <c r="A455" s="175">
        <v>45998</v>
      </c>
      <c r="B455" s="92" t="s">
        <v>130</v>
      </c>
      <c r="C455" s="93" t="s">
        <v>141</v>
      </c>
      <c r="D455" s="92" t="s">
        <v>1</v>
      </c>
      <c r="E455" s="176">
        <v>1.302083333333333</v>
      </c>
      <c r="F455" s="92" t="s">
        <v>134</v>
      </c>
      <c r="G455" s="94">
        <v>4</v>
      </c>
      <c r="H455" s="99" t="s">
        <v>178</v>
      </c>
      <c r="I455" s="2"/>
    </row>
    <row r="456" spans="1:9" ht="19.8" customHeight="1" x14ac:dyDescent="0.3">
      <c r="A456" s="175">
        <v>45998</v>
      </c>
      <c r="B456" s="92" t="s">
        <v>130</v>
      </c>
      <c r="C456" s="93" t="s">
        <v>149</v>
      </c>
      <c r="D456" s="92" t="s">
        <v>1</v>
      </c>
      <c r="E456" s="176">
        <v>1.788194444444444</v>
      </c>
      <c r="F456" s="92" t="s">
        <v>134</v>
      </c>
      <c r="G456" s="94">
        <v>4</v>
      </c>
      <c r="H456" s="99" t="s">
        <v>178</v>
      </c>
      <c r="I456" s="2"/>
    </row>
    <row r="457" spans="1:9" ht="19.8" customHeight="1" x14ac:dyDescent="0.3">
      <c r="A457" s="175">
        <v>45998</v>
      </c>
      <c r="B457" s="92" t="s">
        <v>130</v>
      </c>
      <c r="C457" s="93" t="s">
        <v>148</v>
      </c>
      <c r="D457" s="92" t="s">
        <v>1</v>
      </c>
      <c r="E457" s="176">
        <v>1.8298611111111109</v>
      </c>
      <c r="F457" s="92" t="s">
        <v>132</v>
      </c>
      <c r="G457" s="94">
        <v>6</v>
      </c>
      <c r="H457" s="99" t="s">
        <v>144</v>
      </c>
      <c r="I457" s="2"/>
    </row>
    <row r="458" spans="1:9" ht="19.8" customHeight="1" x14ac:dyDescent="0.3">
      <c r="A458" s="175">
        <v>45998</v>
      </c>
      <c r="B458" s="92" t="s">
        <v>130</v>
      </c>
      <c r="C458" s="93" t="s">
        <v>137</v>
      </c>
      <c r="D458" s="92" t="s">
        <v>1</v>
      </c>
      <c r="E458" s="176">
        <v>1.6111111111111109</v>
      </c>
      <c r="F458" s="92" t="s">
        <v>132</v>
      </c>
      <c r="G458" s="94">
        <v>9</v>
      </c>
      <c r="H458" s="99" t="s">
        <v>144</v>
      </c>
      <c r="I458" s="2"/>
    </row>
    <row r="459" spans="1:9" ht="19.8" customHeight="1" x14ac:dyDescent="0.3">
      <c r="A459" s="175">
        <v>45998</v>
      </c>
      <c r="B459" s="92" t="s">
        <v>130</v>
      </c>
      <c r="C459" s="93" t="s">
        <v>148</v>
      </c>
      <c r="D459" s="92" t="s">
        <v>1</v>
      </c>
      <c r="E459" s="176">
        <v>1.8298611111111109</v>
      </c>
      <c r="F459" s="92" t="s">
        <v>134</v>
      </c>
      <c r="G459" s="94">
        <v>6</v>
      </c>
      <c r="H459" s="99" t="s">
        <v>145</v>
      </c>
      <c r="I459" s="2"/>
    </row>
    <row r="460" spans="1:9" ht="19.8" customHeight="1" x14ac:dyDescent="0.3">
      <c r="A460" s="175">
        <v>45998</v>
      </c>
      <c r="B460" s="92" t="s">
        <v>130</v>
      </c>
      <c r="C460" s="93" t="s">
        <v>137</v>
      </c>
      <c r="D460" s="92" t="s">
        <v>1</v>
      </c>
      <c r="E460" s="176">
        <v>1.6111111111111109</v>
      </c>
      <c r="F460" s="92" t="s">
        <v>134</v>
      </c>
      <c r="G460" s="94">
        <v>9</v>
      </c>
      <c r="H460" s="99" t="s">
        <v>145</v>
      </c>
      <c r="I460" s="2"/>
    </row>
    <row r="461" spans="1:9" ht="19.8" customHeight="1" x14ac:dyDescent="0.3">
      <c r="A461" s="175">
        <v>45998</v>
      </c>
      <c r="B461" s="92" t="s">
        <v>130</v>
      </c>
      <c r="C461" s="93" t="s">
        <v>139</v>
      </c>
      <c r="D461" s="92" t="s">
        <v>1</v>
      </c>
      <c r="E461" s="176">
        <v>1.8888888888888891</v>
      </c>
      <c r="F461" s="92" t="s">
        <v>134</v>
      </c>
      <c r="G461" s="94">
        <v>4</v>
      </c>
      <c r="H461" s="99" t="s">
        <v>179</v>
      </c>
      <c r="I461" s="2"/>
    </row>
    <row r="462" spans="1:9" ht="19.8" customHeight="1" x14ac:dyDescent="0.3">
      <c r="A462" s="177">
        <v>45998</v>
      </c>
      <c r="B462" s="96" t="s">
        <v>87</v>
      </c>
      <c r="C462" s="97" t="s">
        <v>95</v>
      </c>
      <c r="D462" s="96" t="s">
        <v>1</v>
      </c>
      <c r="E462" s="178">
        <v>1.631944444444444</v>
      </c>
      <c r="F462" s="96" t="s">
        <v>89</v>
      </c>
      <c r="G462" s="98">
        <v>5</v>
      </c>
      <c r="H462" s="104" t="s">
        <v>247</v>
      </c>
      <c r="I462" s="2"/>
    </row>
    <row r="463" spans="1:9" ht="19.8" customHeight="1" x14ac:dyDescent="0.3">
      <c r="A463" s="175">
        <v>45998</v>
      </c>
      <c r="B463" s="92" t="s">
        <v>130</v>
      </c>
      <c r="C463" s="93" t="s">
        <v>143</v>
      </c>
      <c r="D463" s="92" t="s">
        <v>1</v>
      </c>
      <c r="E463" s="176">
        <v>1.006944444444444</v>
      </c>
      <c r="F463" s="92" t="s">
        <v>132</v>
      </c>
      <c r="G463" s="94">
        <v>9</v>
      </c>
      <c r="H463" s="99" t="s">
        <v>251</v>
      </c>
      <c r="I463" s="2"/>
    </row>
    <row r="464" spans="1:9" ht="19.8" customHeight="1" x14ac:dyDescent="0.3">
      <c r="A464" s="175">
        <v>45998</v>
      </c>
      <c r="B464" s="92" t="s">
        <v>130</v>
      </c>
      <c r="C464" s="93" t="s">
        <v>147</v>
      </c>
      <c r="D464" s="92" t="s">
        <v>1</v>
      </c>
      <c r="E464" s="176">
        <v>1.71875</v>
      </c>
      <c r="F464" s="92" t="s">
        <v>132</v>
      </c>
      <c r="G464" s="94">
        <v>7</v>
      </c>
      <c r="H464" s="99" t="s">
        <v>251</v>
      </c>
      <c r="I464" s="2"/>
    </row>
    <row r="465" spans="1:9" ht="19.8" customHeight="1" x14ac:dyDescent="0.3">
      <c r="A465" s="175">
        <v>45998</v>
      </c>
      <c r="B465" s="92" t="s">
        <v>130</v>
      </c>
      <c r="C465" s="93" t="s">
        <v>143</v>
      </c>
      <c r="D465" s="92" t="s">
        <v>1</v>
      </c>
      <c r="E465" s="176">
        <v>1.006944444444444</v>
      </c>
      <c r="F465" s="92" t="s">
        <v>134</v>
      </c>
      <c r="G465" s="94">
        <v>9</v>
      </c>
      <c r="H465" s="99" t="s">
        <v>252</v>
      </c>
      <c r="I465" s="2"/>
    </row>
    <row r="466" spans="1:9" ht="19.8" customHeight="1" x14ac:dyDescent="0.3">
      <c r="A466" s="179">
        <v>45998</v>
      </c>
      <c r="B466" s="100" t="s">
        <v>130</v>
      </c>
      <c r="C466" s="101" t="s">
        <v>147</v>
      </c>
      <c r="D466" s="100" t="s">
        <v>1</v>
      </c>
      <c r="E466" s="180">
        <v>1.71875</v>
      </c>
      <c r="F466" s="100" t="s">
        <v>134</v>
      </c>
      <c r="G466" s="102">
        <v>7</v>
      </c>
      <c r="H466" s="103" t="s">
        <v>252</v>
      </c>
      <c r="I466" s="2"/>
    </row>
    <row r="467" spans="1:9" ht="19.8" customHeight="1" x14ac:dyDescent="0.3">
      <c r="A467" s="175">
        <v>45999</v>
      </c>
      <c r="B467" s="92" t="s">
        <v>26</v>
      </c>
      <c r="C467" s="93" t="s">
        <v>35</v>
      </c>
      <c r="D467" s="92" t="s">
        <v>1</v>
      </c>
      <c r="E467" s="176">
        <v>1.1284722222222221</v>
      </c>
      <c r="F467" s="92" t="s">
        <v>28</v>
      </c>
      <c r="G467" s="94">
        <v>9</v>
      </c>
      <c r="H467" s="173">
        <v>299</v>
      </c>
      <c r="I467" s="2"/>
    </row>
    <row r="468" spans="1:9" ht="19.8" customHeight="1" x14ac:dyDescent="0.3">
      <c r="A468" s="175">
        <v>45999</v>
      </c>
      <c r="B468" s="92" t="s">
        <v>70</v>
      </c>
      <c r="C468" s="93" t="s">
        <v>71</v>
      </c>
      <c r="D468" s="92" t="s">
        <v>1</v>
      </c>
      <c r="E468" s="176">
        <v>1.208333333333333</v>
      </c>
      <c r="F468" s="92" t="s">
        <v>72</v>
      </c>
      <c r="G468" s="94">
        <v>9</v>
      </c>
      <c r="H468" s="173">
        <v>300</v>
      </c>
      <c r="I468" s="2"/>
    </row>
    <row r="469" spans="1:9" ht="19.8" customHeight="1" x14ac:dyDescent="0.3">
      <c r="A469" s="175">
        <v>45999</v>
      </c>
      <c r="B469" s="92" t="s">
        <v>26</v>
      </c>
      <c r="C469" s="93" t="s">
        <v>39</v>
      </c>
      <c r="D469" s="92" t="s">
        <v>1</v>
      </c>
      <c r="E469" s="176">
        <v>1.302083333333333</v>
      </c>
      <c r="F469" s="92" t="s">
        <v>28</v>
      </c>
      <c r="G469" s="94">
        <v>10</v>
      </c>
      <c r="H469" s="173">
        <v>329</v>
      </c>
      <c r="I469" s="2"/>
    </row>
    <row r="470" spans="1:9" ht="19.8" customHeight="1" x14ac:dyDescent="0.3">
      <c r="A470" s="175">
        <v>45999</v>
      </c>
      <c r="B470" s="92" t="s">
        <v>26</v>
      </c>
      <c r="C470" s="93" t="s">
        <v>41</v>
      </c>
      <c r="D470" s="92" t="s">
        <v>1</v>
      </c>
      <c r="E470" s="176">
        <v>1.788194444444444</v>
      </c>
      <c r="F470" s="92" t="s">
        <v>28</v>
      </c>
      <c r="G470" s="94">
        <v>11</v>
      </c>
      <c r="H470" s="173">
        <v>329</v>
      </c>
      <c r="I470" s="2"/>
    </row>
    <row r="471" spans="1:9" ht="19.8" customHeight="1" x14ac:dyDescent="0.3">
      <c r="A471" s="175">
        <v>45999</v>
      </c>
      <c r="B471" s="92" t="s">
        <v>45</v>
      </c>
      <c r="C471" s="93" t="s">
        <v>57</v>
      </c>
      <c r="D471" s="92" t="s">
        <v>1</v>
      </c>
      <c r="E471" s="176">
        <v>1.256944444444444</v>
      </c>
      <c r="F471" s="92" t="s">
        <v>47</v>
      </c>
      <c r="G471" s="94">
        <v>1</v>
      </c>
      <c r="H471" s="173">
        <v>329</v>
      </c>
      <c r="I471" s="2"/>
    </row>
    <row r="472" spans="1:9" ht="19.8" customHeight="1" x14ac:dyDescent="0.3">
      <c r="A472" s="175">
        <v>45999</v>
      </c>
      <c r="B472" s="92" t="s">
        <v>45</v>
      </c>
      <c r="C472" s="93" t="s">
        <v>46</v>
      </c>
      <c r="D472" s="92" t="s">
        <v>1</v>
      </c>
      <c r="E472" s="176">
        <v>1.395833333333333</v>
      </c>
      <c r="F472" s="92" t="s">
        <v>47</v>
      </c>
      <c r="G472" s="94">
        <v>1</v>
      </c>
      <c r="H472" s="173">
        <v>329</v>
      </c>
      <c r="I472" s="2"/>
    </row>
    <row r="473" spans="1:9" ht="19.8" customHeight="1" x14ac:dyDescent="0.3">
      <c r="A473" s="175">
        <v>45999</v>
      </c>
      <c r="B473" s="92" t="s">
        <v>79</v>
      </c>
      <c r="C473" s="93" t="s">
        <v>84</v>
      </c>
      <c r="D473" s="92" t="s">
        <v>1</v>
      </c>
      <c r="E473" s="176">
        <v>1.3923611111111109</v>
      </c>
      <c r="F473" s="92" t="s">
        <v>81</v>
      </c>
      <c r="G473" s="94">
        <v>9</v>
      </c>
      <c r="H473" s="173">
        <v>350</v>
      </c>
      <c r="I473" s="2"/>
    </row>
    <row r="474" spans="1:9" ht="19.8" customHeight="1" x14ac:dyDescent="0.3">
      <c r="A474" s="175">
        <v>45999</v>
      </c>
      <c r="B474" s="92" t="s">
        <v>79</v>
      </c>
      <c r="C474" s="93" t="s">
        <v>80</v>
      </c>
      <c r="D474" s="92" t="s">
        <v>1</v>
      </c>
      <c r="E474" s="176">
        <v>1.1736111111111109</v>
      </c>
      <c r="F474" s="92" t="s">
        <v>81</v>
      </c>
      <c r="G474" s="94">
        <v>9</v>
      </c>
      <c r="H474" s="173">
        <v>350</v>
      </c>
      <c r="I474" s="2"/>
    </row>
    <row r="475" spans="1:9" ht="19.8" customHeight="1" x14ac:dyDescent="0.3">
      <c r="A475" s="175">
        <v>45999</v>
      </c>
      <c r="B475" s="92" t="s">
        <v>45</v>
      </c>
      <c r="C475" s="93" t="s">
        <v>58</v>
      </c>
      <c r="D475" s="92" t="s">
        <v>1</v>
      </c>
      <c r="E475" s="176">
        <v>1.46875</v>
      </c>
      <c r="F475" s="92" t="s">
        <v>47</v>
      </c>
      <c r="G475" s="94">
        <v>5</v>
      </c>
      <c r="H475" s="173">
        <v>369</v>
      </c>
      <c r="I475" s="2"/>
    </row>
    <row r="476" spans="1:9" ht="19.8" customHeight="1" x14ac:dyDescent="0.3">
      <c r="A476" s="175">
        <v>45999</v>
      </c>
      <c r="B476" s="92" t="s">
        <v>45</v>
      </c>
      <c r="C476" s="93" t="s">
        <v>62</v>
      </c>
      <c r="D476" s="92" t="s">
        <v>1</v>
      </c>
      <c r="E476" s="176">
        <v>1.5173611111111109</v>
      </c>
      <c r="F476" s="92" t="s">
        <v>47</v>
      </c>
      <c r="G476" s="94">
        <v>3</v>
      </c>
      <c r="H476" s="173">
        <v>369</v>
      </c>
      <c r="I476" s="2"/>
    </row>
    <row r="477" spans="1:9" ht="19.8" customHeight="1" x14ac:dyDescent="0.3">
      <c r="A477" s="175">
        <v>45999</v>
      </c>
      <c r="B477" s="92" t="s">
        <v>45</v>
      </c>
      <c r="C477" s="93" t="s">
        <v>60</v>
      </c>
      <c r="D477" s="92" t="s">
        <v>1</v>
      </c>
      <c r="E477" s="176">
        <v>1.7986111111111109</v>
      </c>
      <c r="F477" s="92" t="s">
        <v>47</v>
      </c>
      <c r="G477" s="94">
        <v>1</v>
      </c>
      <c r="H477" s="173">
        <v>369</v>
      </c>
      <c r="I477" s="2"/>
    </row>
    <row r="478" spans="1:9" ht="19.8" customHeight="1" x14ac:dyDescent="0.3">
      <c r="A478" s="175">
        <v>45999</v>
      </c>
      <c r="B478" s="92" t="s">
        <v>45</v>
      </c>
      <c r="C478" s="93" t="s">
        <v>66</v>
      </c>
      <c r="D478" s="92" t="s">
        <v>1</v>
      </c>
      <c r="E478" s="176">
        <v>1.645833333333333</v>
      </c>
      <c r="F478" s="92" t="s">
        <v>47</v>
      </c>
      <c r="G478" s="94">
        <v>3</v>
      </c>
      <c r="H478" s="173">
        <v>369</v>
      </c>
      <c r="I478" s="2"/>
    </row>
    <row r="479" spans="1:9" ht="19.8" customHeight="1" x14ac:dyDescent="0.3">
      <c r="A479" s="175">
        <v>45999</v>
      </c>
      <c r="B479" s="92" t="s">
        <v>26</v>
      </c>
      <c r="C479" s="93" t="s">
        <v>27</v>
      </c>
      <c r="D479" s="92" t="s">
        <v>1</v>
      </c>
      <c r="E479" s="176">
        <v>1.8888888888888891</v>
      </c>
      <c r="F479" s="92" t="s">
        <v>28</v>
      </c>
      <c r="G479" s="94">
        <v>1</v>
      </c>
      <c r="H479" s="173">
        <v>389</v>
      </c>
      <c r="I479" s="2"/>
    </row>
    <row r="480" spans="1:9" ht="19.8" customHeight="1" x14ac:dyDescent="0.3">
      <c r="A480" s="175">
        <v>45999</v>
      </c>
      <c r="B480" s="92" t="s">
        <v>74</v>
      </c>
      <c r="C480" s="93" t="s">
        <v>78</v>
      </c>
      <c r="D480" s="92" t="s">
        <v>1</v>
      </c>
      <c r="E480" s="176">
        <v>1.666666666666667</v>
      </c>
      <c r="F480" s="92" t="s">
        <v>72</v>
      </c>
      <c r="G480" s="94">
        <v>9</v>
      </c>
      <c r="H480" s="173">
        <v>401</v>
      </c>
      <c r="I480" s="2"/>
    </row>
    <row r="481" spans="1:9" ht="19.8" customHeight="1" x14ac:dyDescent="0.3">
      <c r="A481" s="175">
        <v>45999</v>
      </c>
      <c r="B481" s="92" t="s">
        <v>45</v>
      </c>
      <c r="C481" s="93" t="s">
        <v>53</v>
      </c>
      <c r="D481" s="92" t="s">
        <v>1</v>
      </c>
      <c r="E481" s="176">
        <v>1.854166666666667</v>
      </c>
      <c r="F481" s="92" t="s">
        <v>47</v>
      </c>
      <c r="G481" s="94">
        <v>1</v>
      </c>
      <c r="H481" s="173">
        <v>409</v>
      </c>
      <c r="I481" s="2"/>
    </row>
    <row r="482" spans="1:9" ht="19.8" customHeight="1" x14ac:dyDescent="0.3">
      <c r="A482" s="175">
        <v>45999</v>
      </c>
      <c r="B482" s="92" t="s">
        <v>45</v>
      </c>
      <c r="C482" s="93" t="s">
        <v>57</v>
      </c>
      <c r="D482" s="92" t="s">
        <v>1</v>
      </c>
      <c r="E482" s="176">
        <v>1.256944444444444</v>
      </c>
      <c r="F482" s="92" t="s">
        <v>49</v>
      </c>
      <c r="G482" s="94">
        <v>1</v>
      </c>
      <c r="H482" s="173">
        <v>429</v>
      </c>
      <c r="I482" s="2"/>
    </row>
    <row r="483" spans="1:9" ht="19.8" customHeight="1" x14ac:dyDescent="0.3">
      <c r="A483" s="175">
        <v>45999</v>
      </c>
      <c r="B483" s="92" t="s">
        <v>45</v>
      </c>
      <c r="C483" s="93" t="s">
        <v>46</v>
      </c>
      <c r="D483" s="92" t="s">
        <v>1</v>
      </c>
      <c r="E483" s="176">
        <v>1.395833333333333</v>
      </c>
      <c r="F483" s="92" t="s">
        <v>49</v>
      </c>
      <c r="G483" s="94">
        <v>1</v>
      </c>
      <c r="H483" s="173">
        <v>429</v>
      </c>
      <c r="I483" s="2"/>
    </row>
    <row r="484" spans="1:9" ht="19.8" customHeight="1" x14ac:dyDescent="0.3">
      <c r="A484" s="175">
        <v>45999</v>
      </c>
      <c r="B484" s="92" t="s">
        <v>26</v>
      </c>
      <c r="C484" s="93" t="s">
        <v>35</v>
      </c>
      <c r="D484" s="92" t="s">
        <v>1</v>
      </c>
      <c r="E484" s="176">
        <v>1.1284722222222221</v>
      </c>
      <c r="F484" s="92" t="s">
        <v>31</v>
      </c>
      <c r="G484" s="94">
        <v>9</v>
      </c>
      <c r="H484" s="173">
        <v>449</v>
      </c>
      <c r="I484" s="2"/>
    </row>
    <row r="485" spans="1:9" ht="19.8" customHeight="1" x14ac:dyDescent="0.3">
      <c r="A485" s="175">
        <v>45999</v>
      </c>
      <c r="B485" s="92" t="s">
        <v>45</v>
      </c>
      <c r="C485" s="93" t="s">
        <v>59</v>
      </c>
      <c r="D485" s="92" t="s">
        <v>1</v>
      </c>
      <c r="E485" s="176">
        <v>1.9027777777777779</v>
      </c>
      <c r="F485" s="92" t="s">
        <v>47</v>
      </c>
      <c r="G485" s="94">
        <v>5</v>
      </c>
      <c r="H485" s="173">
        <v>449</v>
      </c>
      <c r="I485" s="2"/>
    </row>
    <row r="486" spans="1:9" ht="19.8" customHeight="1" x14ac:dyDescent="0.3">
      <c r="A486" s="175">
        <v>45999</v>
      </c>
      <c r="B486" s="92" t="s">
        <v>45</v>
      </c>
      <c r="C486" s="93" t="s">
        <v>58</v>
      </c>
      <c r="D486" s="92" t="s">
        <v>1</v>
      </c>
      <c r="E486" s="176">
        <v>1.46875</v>
      </c>
      <c r="F486" s="92" t="s">
        <v>49</v>
      </c>
      <c r="G486" s="94">
        <v>5</v>
      </c>
      <c r="H486" s="173">
        <v>469</v>
      </c>
      <c r="I486" s="2"/>
    </row>
    <row r="487" spans="1:9" ht="19.8" customHeight="1" x14ac:dyDescent="0.3">
      <c r="A487" s="175">
        <v>45999</v>
      </c>
      <c r="B487" s="92" t="s">
        <v>45</v>
      </c>
      <c r="C487" s="93" t="s">
        <v>62</v>
      </c>
      <c r="D487" s="92" t="s">
        <v>1</v>
      </c>
      <c r="E487" s="176">
        <v>1.5173611111111109</v>
      </c>
      <c r="F487" s="92" t="s">
        <v>49</v>
      </c>
      <c r="G487" s="94">
        <v>3</v>
      </c>
      <c r="H487" s="173">
        <v>469</v>
      </c>
      <c r="I487" s="2"/>
    </row>
    <row r="488" spans="1:9" ht="19.8" customHeight="1" x14ac:dyDescent="0.3">
      <c r="A488" s="175">
        <v>45999</v>
      </c>
      <c r="B488" s="92" t="s">
        <v>45</v>
      </c>
      <c r="C488" s="93" t="s">
        <v>60</v>
      </c>
      <c r="D488" s="92" t="s">
        <v>1</v>
      </c>
      <c r="E488" s="176">
        <v>1.7986111111111109</v>
      </c>
      <c r="F488" s="92" t="s">
        <v>49</v>
      </c>
      <c r="G488" s="94">
        <v>1</v>
      </c>
      <c r="H488" s="173">
        <v>469</v>
      </c>
      <c r="I488" s="2"/>
    </row>
    <row r="489" spans="1:9" ht="19.8" customHeight="1" x14ac:dyDescent="0.3">
      <c r="A489" s="175">
        <v>45999</v>
      </c>
      <c r="B489" s="92" t="s">
        <v>45</v>
      </c>
      <c r="C489" s="93" t="s">
        <v>66</v>
      </c>
      <c r="D489" s="92" t="s">
        <v>1</v>
      </c>
      <c r="E489" s="176">
        <v>1.645833333333333</v>
      </c>
      <c r="F489" s="92" t="s">
        <v>49</v>
      </c>
      <c r="G489" s="94">
        <v>3</v>
      </c>
      <c r="H489" s="173">
        <v>469</v>
      </c>
      <c r="I489" s="2"/>
    </row>
    <row r="490" spans="1:9" ht="19.8" customHeight="1" x14ac:dyDescent="0.3">
      <c r="A490" s="177">
        <v>45999</v>
      </c>
      <c r="B490" s="96" t="s">
        <v>87</v>
      </c>
      <c r="C490" s="97" t="s">
        <v>102</v>
      </c>
      <c r="D490" s="96" t="s">
        <v>1</v>
      </c>
      <c r="E490" s="178">
        <v>1.006944444444444</v>
      </c>
      <c r="F490" s="96" t="s">
        <v>89</v>
      </c>
      <c r="G490" s="98">
        <v>2</v>
      </c>
      <c r="H490" s="174">
        <v>471</v>
      </c>
      <c r="I490" s="2"/>
    </row>
    <row r="491" spans="1:9" ht="19.8" customHeight="1" x14ac:dyDescent="0.3">
      <c r="A491" s="175">
        <v>45999</v>
      </c>
      <c r="B491" s="92" t="s">
        <v>79</v>
      </c>
      <c r="C491" s="93" t="s">
        <v>84</v>
      </c>
      <c r="D491" s="92" t="s">
        <v>1</v>
      </c>
      <c r="E491" s="176">
        <v>1.3923611111111109</v>
      </c>
      <c r="F491" s="92" t="s">
        <v>33</v>
      </c>
      <c r="G491" s="94">
        <v>9</v>
      </c>
      <c r="H491" s="173">
        <v>473</v>
      </c>
      <c r="I491" s="2"/>
    </row>
    <row r="492" spans="1:9" ht="19.8" customHeight="1" x14ac:dyDescent="0.3">
      <c r="A492" s="175">
        <v>45999</v>
      </c>
      <c r="B492" s="92" t="s">
        <v>79</v>
      </c>
      <c r="C492" s="93" t="s">
        <v>80</v>
      </c>
      <c r="D492" s="92" t="s">
        <v>1</v>
      </c>
      <c r="E492" s="176">
        <v>1.1736111111111109</v>
      </c>
      <c r="F492" s="92" t="s">
        <v>33</v>
      </c>
      <c r="G492" s="94">
        <v>9</v>
      </c>
      <c r="H492" s="173">
        <v>473</v>
      </c>
      <c r="I492" s="2"/>
    </row>
    <row r="493" spans="1:9" ht="19.8" customHeight="1" x14ac:dyDescent="0.3">
      <c r="A493" s="175">
        <v>45999</v>
      </c>
      <c r="B493" s="92" t="s">
        <v>26</v>
      </c>
      <c r="C493" s="93" t="s">
        <v>39</v>
      </c>
      <c r="D493" s="92" t="s">
        <v>1</v>
      </c>
      <c r="E493" s="176">
        <v>1.302083333333333</v>
      </c>
      <c r="F493" s="92" t="s">
        <v>31</v>
      </c>
      <c r="G493" s="94">
        <v>10</v>
      </c>
      <c r="H493" s="173">
        <v>479</v>
      </c>
      <c r="I493" s="2"/>
    </row>
    <row r="494" spans="1:9" ht="19.8" customHeight="1" x14ac:dyDescent="0.3">
      <c r="A494" s="175">
        <v>45999</v>
      </c>
      <c r="B494" s="92" t="s">
        <v>26</v>
      </c>
      <c r="C494" s="93" t="s">
        <v>41</v>
      </c>
      <c r="D494" s="92" t="s">
        <v>1</v>
      </c>
      <c r="E494" s="176">
        <v>1.788194444444444</v>
      </c>
      <c r="F494" s="92" t="s">
        <v>31</v>
      </c>
      <c r="G494" s="94">
        <v>11</v>
      </c>
      <c r="H494" s="173">
        <v>479</v>
      </c>
      <c r="I494" s="2"/>
    </row>
    <row r="495" spans="1:9" ht="19.8" customHeight="1" x14ac:dyDescent="0.3">
      <c r="A495" s="175">
        <v>45999</v>
      </c>
      <c r="B495" s="92" t="s">
        <v>45</v>
      </c>
      <c r="C495" s="93" t="s">
        <v>53</v>
      </c>
      <c r="D495" s="92" t="s">
        <v>1</v>
      </c>
      <c r="E495" s="176">
        <v>1.854166666666667</v>
      </c>
      <c r="F495" s="92" t="s">
        <v>49</v>
      </c>
      <c r="G495" s="94">
        <v>1</v>
      </c>
      <c r="H495" s="173">
        <v>509</v>
      </c>
      <c r="I495" s="2"/>
    </row>
    <row r="496" spans="1:9" ht="19.8" customHeight="1" x14ac:dyDescent="0.3">
      <c r="A496" s="175">
        <v>45999</v>
      </c>
      <c r="B496" s="92" t="s">
        <v>45</v>
      </c>
      <c r="C496" s="93" t="s">
        <v>57</v>
      </c>
      <c r="D496" s="92" t="s">
        <v>1</v>
      </c>
      <c r="E496" s="176">
        <v>1.256944444444444</v>
      </c>
      <c r="F496" s="92" t="s">
        <v>51</v>
      </c>
      <c r="G496" s="94">
        <v>1</v>
      </c>
      <c r="H496" s="173">
        <v>519</v>
      </c>
      <c r="I496" s="2"/>
    </row>
    <row r="497" spans="1:9" ht="19.8" customHeight="1" x14ac:dyDescent="0.3">
      <c r="A497" s="175">
        <v>45999</v>
      </c>
      <c r="B497" s="92" t="s">
        <v>45</v>
      </c>
      <c r="C497" s="93" t="s">
        <v>46</v>
      </c>
      <c r="D497" s="92" t="s">
        <v>1</v>
      </c>
      <c r="E497" s="176">
        <v>1.395833333333333</v>
      </c>
      <c r="F497" s="92" t="s">
        <v>51</v>
      </c>
      <c r="G497" s="94">
        <v>1</v>
      </c>
      <c r="H497" s="173">
        <v>519</v>
      </c>
      <c r="I497" s="2"/>
    </row>
    <row r="498" spans="1:9" ht="19.8" customHeight="1" x14ac:dyDescent="0.3">
      <c r="A498" s="177">
        <v>45999</v>
      </c>
      <c r="B498" s="96" t="s">
        <v>87</v>
      </c>
      <c r="C498" s="97" t="s">
        <v>95</v>
      </c>
      <c r="D498" s="96" t="s">
        <v>1</v>
      </c>
      <c r="E498" s="178">
        <v>1.614583333333333</v>
      </c>
      <c r="F498" s="96" t="s">
        <v>89</v>
      </c>
      <c r="G498" s="98">
        <v>7</v>
      </c>
      <c r="H498" s="174">
        <v>526</v>
      </c>
      <c r="I498" s="2"/>
    </row>
    <row r="499" spans="1:9" ht="19.8" customHeight="1" x14ac:dyDescent="0.3">
      <c r="A499" s="175">
        <v>45999</v>
      </c>
      <c r="B499" s="92" t="s">
        <v>26</v>
      </c>
      <c r="C499" s="93" t="s">
        <v>27</v>
      </c>
      <c r="D499" s="92" t="s">
        <v>1</v>
      </c>
      <c r="E499" s="176">
        <v>1.8888888888888891</v>
      </c>
      <c r="F499" s="92" t="s">
        <v>31</v>
      </c>
      <c r="G499" s="94">
        <v>1</v>
      </c>
      <c r="H499" s="173">
        <v>539</v>
      </c>
      <c r="I499" s="2"/>
    </row>
    <row r="500" spans="1:9" ht="19.8" customHeight="1" x14ac:dyDescent="0.3">
      <c r="A500" s="175">
        <v>45999</v>
      </c>
      <c r="B500" s="92" t="s">
        <v>45</v>
      </c>
      <c r="C500" s="93" t="s">
        <v>59</v>
      </c>
      <c r="D500" s="92" t="s">
        <v>1</v>
      </c>
      <c r="E500" s="176">
        <v>1.9027777777777779</v>
      </c>
      <c r="F500" s="92" t="s">
        <v>49</v>
      </c>
      <c r="G500" s="94">
        <v>5</v>
      </c>
      <c r="H500" s="173">
        <v>549</v>
      </c>
      <c r="I500" s="2"/>
    </row>
    <row r="501" spans="1:9" ht="19.8" customHeight="1" x14ac:dyDescent="0.3">
      <c r="A501" s="175">
        <v>45999</v>
      </c>
      <c r="B501" s="92" t="s">
        <v>45</v>
      </c>
      <c r="C501" s="93" t="s">
        <v>58</v>
      </c>
      <c r="D501" s="92" t="s">
        <v>1</v>
      </c>
      <c r="E501" s="176">
        <v>1.46875</v>
      </c>
      <c r="F501" s="92" t="s">
        <v>51</v>
      </c>
      <c r="G501" s="94">
        <v>5</v>
      </c>
      <c r="H501" s="173">
        <v>559</v>
      </c>
      <c r="I501" s="2"/>
    </row>
    <row r="502" spans="1:9" ht="19.8" customHeight="1" x14ac:dyDescent="0.3">
      <c r="A502" s="175">
        <v>45999</v>
      </c>
      <c r="B502" s="92" t="s">
        <v>45</v>
      </c>
      <c r="C502" s="93" t="s">
        <v>62</v>
      </c>
      <c r="D502" s="92" t="s">
        <v>1</v>
      </c>
      <c r="E502" s="176">
        <v>1.5173611111111109</v>
      </c>
      <c r="F502" s="92" t="s">
        <v>51</v>
      </c>
      <c r="G502" s="94">
        <v>3</v>
      </c>
      <c r="H502" s="173">
        <v>559</v>
      </c>
      <c r="I502" s="2"/>
    </row>
    <row r="503" spans="1:9" ht="19.8" customHeight="1" x14ac:dyDescent="0.3">
      <c r="A503" s="175">
        <v>45999</v>
      </c>
      <c r="B503" s="92" t="s">
        <v>45</v>
      </c>
      <c r="C503" s="93" t="s">
        <v>60</v>
      </c>
      <c r="D503" s="92" t="s">
        <v>1</v>
      </c>
      <c r="E503" s="176">
        <v>1.7986111111111109</v>
      </c>
      <c r="F503" s="92" t="s">
        <v>51</v>
      </c>
      <c r="G503" s="94">
        <v>1</v>
      </c>
      <c r="H503" s="173">
        <v>559</v>
      </c>
      <c r="I503" s="2"/>
    </row>
    <row r="504" spans="1:9" ht="19.8" customHeight="1" x14ac:dyDescent="0.3">
      <c r="A504" s="175">
        <v>45999</v>
      </c>
      <c r="B504" s="92" t="s">
        <v>45</v>
      </c>
      <c r="C504" s="93" t="s">
        <v>66</v>
      </c>
      <c r="D504" s="92" t="s">
        <v>1</v>
      </c>
      <c r="E504" s="176">
        <v>1.645833333333333</v>
      </c>
      <c r="F504" s="92" t="s">
        <v>51</v>
      </c>
      <c r="G504" s="94">
        <v>3</v>
      </c>
      <c r="H504" s="173">
        <v>559</v>
      </c>
      <c r="I504" s="2"/>
    </row>
    <row r="505" spans="1:9" ht="19.8" customHeight="1" x14ac:dyDescent="0.3">
      <c r="A505" s="175">
        <v>45999</v>
      </c>
      <c r="B505" s="92" t="s">
        <v>115</v>
      </c>
      <c r="C505" s="93" t="s">
        <v>116</v>
      </c>
      <c r="D505" s="92" t="s">
        <v>1</v>
      </c>
      <c r="E505" s="176">
        <v>1.229166666666667</v>
      </c>
      <c r="F505" s="92" t="s">
        <v>117</v>
      </c>
      <c r="G505" s="94">
        <v>9</v>
      </c>
      <c r="H505" s="173">
        <v>579</v>
      </c>
      <c r="I505" s="2"/>
    </row>
    <row r="506" spans="1:9" ht="19.8" customHeight="1" x14ac:dyDescent="0.3">
      <c r="A506" s="175">
        <v>45999</v>
      </c>
      <c r="B506" s="92" t="s">
        <v>115</v>
      </c>
      <c r="C506" s="93" t="s">
        <v>119</v>
      </c>
      <c r="D506" s="92" t="s">
        <v>1</v>
      </c>
      <c r="E506" s="176">
        <v>1.145833333333333</v>
      </c>
      <c r="F506" s="92" t="s">
        <v>117</v>
      </c>
      <c r="G506" s="94">
        <v>9</v>
      </c>
      <c r="H506" s="173">
        <v>579</v>
      </c>
      <c r="I506" s="2"/>
    </row>
    <row r="507" spans="1:9" ht="19.8" customHeight="1" x14ac:dyDescent="0.3">
      <c r="A507" s="175">
        <v>45999</v>
      </c>
      <c r="B507" s="92" t="s">
        <v>115</v>
      </c>
      <c r="C507" s="93" t="s">
        <v>120</v>
      </c>
      <c r="D507" s="92" t="s">
        <v>1</v>
      </c>
      <c r="E507" s="176">
        <v>1.2777777777777779</v>
      </c>
      <c r="F507" s="92" t="s">
        <v>117</v>
      </c>
      <c r="G507" s="94">
        <v>9</v>
      </c>
      <c r="H507" s="173">
        <v>579</v>
      </c>
      <c r="I507" s="2"/>
    </row>
    <row r="508" spans="1:9" ht="19.8" customHeight="1" x14ac:dyDescent="0.3">
      <c r="A508" s="175">
        <v>45999</v>
      </c>
      <c r="B508" s="92" t="s">
        <v>115</v>
      </c>
      <c r="C508" s="93" t="s">
        <v>121</v>
      </c>
      <c r="D508" s="92" t="s">
        <v>1</v>
      </c>
      <c r="E508" s="176">
        <v>1.4861111111111109</v>
      </c>
      <c r="F508" s="92" t="s">
        <v>117</v>
      </c>
      <c r="G508" s="94">
        <v>9</v>
      </c>
      <c r="H508" s="173">
        <v>579</v>
      </c>
      <c r="I508" s="2"/>
    </row>
    <row r="509" spans="1:9" ht="19.8" customHeight="1" x14ac:dyDescent="0.3">
      <c r="A509" s="175">
        <v>45999</v>
      </c>
      <c r="B509" s="92" t="s">
        <v>115</v>
      </c>
      <c r="C509" s="93" t="s">
        <v>128</v>
      </c>
      <c r="D509" s="92" t="s">
        <v>1</v>
      </c>
      <c r="E509" s="176">
        <v>1.0138888888888891</v>
      </c>
      <c r="F509" s="92" t="s">
        <v>117</v>
      </c>
      <c r="G509" s="94">
        <v>9</v>
      </c>
      <c r="H509" s="173">
        <v>583</v>
      </c>
      <c r="I509" s="2"/>
    </row>
    <row r="510" spans="1:9" ht="19.8" customHeight="1" x14ac:dyDescent="0.3">
      <c r="A510" s="175">
        <v>45999</v>
      </c>
      <c r="B510" s="92" t="s">
        <v>45</v>
      </c>
      <c r="C510" s="93" t="s">
        <v>53</v>
      </c>
      <c r="D510" s="92" t="s">
        <v>1</v>
      </c>
      <c r="E510" s="176">
        <v>1.854166666666667</v>
      </c>
      <c r="F510" s="92" t="s">
        <v>51</v>
      </c>
      <c r="G510" s="94">
        <v>1</v>
      </c>
      <c r="H510" s="173">
        <v>599</v>
      </c>
      <c r="I510" s="2"/>
    </row>
    <row r="511" spans="1:9" ht="19.8" customHeight="1" x14ac:dyDescent="0.3">
      <c r="A511" s="175">
        <v>45999</v>
      </c>
      <c r="B511" s="92" t="s">
        <v>45</v>
      </c>
      <c r="C511" s="93" t="s">
        <v>59</v>
      </c>
      <c r="D511" s="92" t="s">
        <v>1</v>
      </c>
      <c r="E511" s="176">
        <v>1.9027777777777779</v>
      </c>
      <c r="F511" s="92" t="s">
        <v>51</v>
      </c>
      <c r="G511" s="94">
        <v>5</v>
      </c>
      <c r="H511" s="173">
        <v>639</v>
      </c>
      <c r="I511" s="2"/>
    </row>
    <row r="512" spans="1:9" ht="19.8" customHeight="1" x14ac:dyDescent="0.3">
      <c r="A512" s="177">
        <v>45999</v>
      </c>
      <c r="B512" s="96" t="s">
        <v>87</v>
      </c>
      <c r="C512" s="97" t="s">
        <v>109</v>
      </c>
      <c r="D512" s="96" t="s">
        <v>1</v>
      </c>
      <c r="E512" s="178">
        <v>1.4236111111111109</v>
      </c>
      <c r="F512" s="96" t="s">
        <v>89</v>
      </c>
      <c r="G512" s="98">
        <v>9</v>
      </c>
      <c r="H512" s="174">
        <v>646</v>
      </c>
      <c r="I512" s="2"/>
    </row>
    <row r="513" spans="1:9" ht="19.8" customHeight="1" x14ac:dyDescent="0.3">
      <c r="A513" s="177">
        <v>45999</v>
      </c>
      <c r="B513" s="96" t="s">
        <v>87</v>
      </c>
      <c r="C513" s="97" t="s">
        <v>88</v>
      </c>
      <c r="D513" s="96" t="s">
        <v>1</v>
      </c>
      <c r="E513" s="178">
        <v>1.979166666666667</v>
      </c>
      <c r="F513" s="96" t="s">
        <v>89</v>
      </c>
      <c r="G513" s="98">
        <v>9</v>
      </c>
      <c r="H513" s="174">
        <v>646</v>
      </c>
      <c r="I513" s="2"/>
    </row>
    <row r="514" spans="1:9" ht="19.8" customHeight="1" x14ac:dyDescent="0.3">
      <c r="A514" s="175">
        <v>45999</v>
      </c>
      <c r="B514" s="92" t="s">
        <v>130</v>
      </c>
      <c r="C514" s="93" t="s">
        <v>148</v>
      </c>
      <c r="D514" s="92" t="s">
        <v>1</v>
      </c>
      <c r="E514" s="176">
        <v>1.8298611111111109</v>
      </c>
      <c r="F514" s="92" t="s">
        <v>132</v>
      </c>
      <c r="G514" s="94">
        <v>9</v>
      </c>
      <c r="H514" s="173">
        <v>678</v>
      </c>
      <c r="I514" s="2"/>
    </row>
    <row r="515" spans="1:9" ht="19.8" customHeight="1" x14ac:dyDescent="0.3">
      <c r="A515" s="175">
        <v>45999</v>
      </c>
      <c r="B515" s="92" t="s">
        <v>130</v>
      </c>
      <c r="C515" s="93" t="s">
        <v>148</v>
      </c>
      <c r="D515" s="92" t="s">
        <v>1</v>
      </c>
      <c r="E515" s="176">
        <v>1.8298611111111109</v>
      </c>
      <c r="F515" s="92" t="s">
        <v>134</v>
      </c>
      <c r="G515" s="94">
        <v>9</v>
      </c>
      <c r="H515" s="173">
        <v>723</v>
      </c>
      <c r="I515" s="2"/>
    </row>
    <row r="516" spans="1:9" ht="19.8" customHeight="1" x14ac:dyDescent="0.3">
      <c r="A516" s="175">
        <v>45999</v>
      </c>
      <c r="B516" s="92" t="s">
        <v>115</v>
      </c>
      <c r="C516" s="93" t="s">
        <v>126</v>
      </c>
      <c r="D516" s="92" t="s">
        <v>1</v>
      </c>
      <c r="E516" s="176">
        <v>1.770833333333333</v>
      </c>
      <c r="F516" s="92" t="s">
        <v>124</v>
      </c>
      <c r="G516" s="94">
        <v>9</v>
      </c>
      <c r="H516" s="173">
        <v>795</v>
      </c>
      <c r="I516" s="2"/>
    </row>
    <row r="517" spans="1:9" ht="19.8" customHeight="1" x14ac:dyDescent="0.3">
      <c r="A517" s="175">
        <v>45999</v>
      </c>
      <c r="B517" s="92" t="s">
        <v>130</v>
      </c>
      <c r="C517" s="93" t="s">
        <v>143</v>
      </c>
      <c r="D517" s="92" t="s">
        <v>1</v>
      </c>
      <c r="E517" s="176">
        <v>1.006944444444444</v>
      </c>
      <c r="F517" s="92" t="s">
        <v>132</v>
      </c>
      <c r="G517" s="94">
        <v>9</v>
      </c>
      <c r="H517" s="173">
        <v>935</v>
      </c>
      <c r="I517" s="2"/>
    </row>
    <row r="518" spans="1:9" ht="19.8" customHeight="1" x14ac:dyDescent="0.3">
      <c r="A518" s="175">
        <v>45999</v>
      </c>
      <c r="B518" s="92" t="s">
        <v>130</v>
      </c>
      <c r="C518" s="93" t="s">
        <v>146</v>
      </c>
      <c r="D518" s="92" t="s">
        <v>1</v>
      </c>
      <c r="E518" s="176">
        <v>1.1423611111111109</v>
      </c>
      <c r="F518" s="92" t="s">
        <v>132</v>
      </c>
      <c r="G518" s="94">
        <v>9</v>
      </c>
      <c r="H518" s="173">
        <v>935</v>
      </c>
      <c r="I518" s="2"/>
    </row>
    <row r="519" spans="1:9" ht="19.8" customHeight="1" x14ac:dyDescent="0.3">
      <c r="A519" s="175">
        <v>45999</v>
      </c>
      <c r="B519" s="92" t="s">
        <v>130</v>
      </c>
      <c r="C519" s="93" t="s">
        <v>147</v>
      </c>
      <c r="D519" s="92" t="s">
        <v>1</v>
      </c>
      <c r="E519" s="176">
        <v>1.71875</v>
      </c>
      <c r="F519" s="92" t="s">
        <v>132</v>
      </c>
      <c r="G519" s="94">
        <v>9</v>
      </c>
      <c r="H519" s="173">
        <v>935</v>
      </c>
      <c r="I519" s="2"/>
    </row>
    <row r="520" spans="1:9" ht="19.8" customHeight="1" x14ac:dyDescent="0.3">
      <c r="A520" s="175">
        <v>45999</v>
      </c>
      <c r="B520" s="92" t="s">
        <v>130</v>
      </c>
      <c r="C520" s="93" t="s">
        <v>136</v>
      </c>
      <c r="D520" s="92" t="s">
        <v>1</v>
      </c>
      <c r="E520" s="176">
        <v>1.3784722222222221</v>
      </c>
      <c r="F520" s="92" t="s">
        <v>132</v>
      </c>
      <c r="G520" s="94">
        <v>9</v>
      </c>
      <c r="H520" s="173">
        <v>935</v>
      </c>
      <c r="I520" s="2"/>
    </row>
    <row r="521" spans="1:9" ht="19.8" customHeight="1" x14ac:dyDescent="0.3">
      <c r="A521" s="175">
        <v>45999</v>
      </c>
      <c r="B521" s="92" t="s">
        <v>130</v>
      </c>
      <c r="C521" s="93" t="s">
        <v>137</v>
      </c>
      <c r="D521" s="92" t="s">
        <v>1</v>
      </c>
      <c r="E521" s="176">
        <v>1.6111111111111109</v>
      </c>
      <c r="F521" s="92" t="s">
        <v>132</v>
      </c>
      <c r="G521" s="94">
        <v>9</v>
      </c>
      <c r="H521" s="173">
        <v>935</v>
      </c>
      <c r="I521" s="2"/>
    </row>
    <row r="522" spans="1:9" ht="19.8" customHeight="1" x14ac:dyDescent="0.3">
      <c r="A522" s="175">
        <v>45999</v>
      </c>
      <c r="B522" s="92" t="s">
        <v>130</v>
      </c>
      <c r="C522" s="93" t="s">
        <v>138</v>
      </c>
      <c r="D522" s="92" t="s">
        <v>1</v>
      </c>
      <c r="E522" s="176">
        <v>1.239583333333333</v>
      </c>
      <c r="F522" s="92" t="s">
        <v>132</v>
      </c>
      <c r="G522" s="94">
        <v>9</v>
      </c>
      <c r="H522" s="173">
        <v>935</v>
      </c>
      <c r="I522" s="2"/>
    </row>
    <row r="523" spans="1:9" ht="19.8" customHeight="1" x14ac:dyDescent="0.3">
      <c r="A523" s="175">
        <v>45999</v>
      </c>
      <c r="B523" s="92" t="s">
        <v>130</v>
      </c>
      <c r="C523" s="93" t="s">
        <v>143</v>
      </c>
      <c r="D523" s="92" t="s">
        <v>1</v>
      </c>
      <c r="E523" s="176">
        <v>1.006944444444444</v>
      </c>
      <c r="F523" s="92" t="s">
        <v>134</v>
      </c>
      <c r="G523" s="94">
        <v>9</v>
      </c>
      <c r="H523" s="173">
        <v>980</v>
      </c>
      <c r="I523" s="2"/>
    </row>
    <row r="524" spans="1:9" ht="19.8" customHeight="1" x14ac:dyDescent="0.3">
      <c r="A524" s="175">
        <v>45999</v>
      </c>
      <c r="B524" s="92" t="s">
        <v>130</v>
      </c>
      <c r="C524" s="93" t="s">
        <v>146</v>
      </c>
      <c r="D524" s="92" t="s">
        <v>1</v>
      </c>
      <c r="E524" s="176">
        <v>1.1423611111111109</v>
      </c>
      <c r="F524" s="92" t="s">
        <v>134</v>
      </c>
      <c r="G524" s="94">
        <v>9</v>
      </c>
      <c r="H524" s="173">
        <v>980</v>
      </c>
      <c r="I524" s="2"/>
    </row>
    <row r="525" spans="1:9" ht="19.8" customHeight="1" x14ac:dyDescent="0.3">
      <c r="A525" s="175">
        <v>45999</v>
      </c>
      <c r="B525" s="92" t="s">
        <v>130</v>
      </c>
      <c r="C525" s="93" t="s">
        <v>147</v>
      </c>
      <c r="D525" s="92" t="s">
        <v>1</v>
      </c>
      <c r="E525" s="176">
        <v>1.71875</v>
      </c>
      <c r="F525" s="92" t="s">
        <v>134</v>
      </c>
      <c r="G525" s="94">
        <v>9</v>
      </c>
      <c r="H525" s="173">
        <v>980</v>
      </c>
      <c r="I525" s="2"/>
    </row>
    <row r="526" spans="1:9" ht="19.8" customHeight="1" x14ac:dyDescent="0.3">
      <c r="A526" s="175">
        <v>45999</v>
      </c>
      <c r="B526" s="92" t="s">
        <v>130</v>
      </c>
      <c r="C526" s="93" t="s">
        <v>136</v>
      </c>
      <c r="D526" s="92" t="s">
        <v>1</v>
      </c>
      <c r="E526" s="176">
        <v>1.3784722222222221</v>
      </c>
      <c r="F526" s="92" t="s">
        <v>134</v>
      </c>
      <c r="G526" s="94">
        <v>9</v>
      </c>
      <c r="H526" s="173">
        <v>980</v>
      </c>
      <c r="I526" s="2"/>
    </row>
    <row r="527" spans="1:9" ht="19.8" customHeight="1" x14ac:dyDescent="0.3">
      <c r="A527" s="175">
        <v>45999</v>
      </c>
      <c r="B527" s="92" t="s">
        <v>130</v>
      </c>
      <c r="C527" s="93" t="s">
        <v>137</v>
      </c>
      <c r="D527" s="92" t="s">
        <v>1</v>
      </c>
      <c r="E527" s="176">
        <v>1.6111111111111109</v>
      </c>
      <c r="F527" s="92" t="s">
        <v>134</v>
      </c>
      <c r="G527" s="94">
        <v>9</v>
      </c>
      <c r="H527" s="173">
        <v>980</v>
      </c>
      <c r="I527" s="2"/>
    </row>
    <row r="528" spans="1:9" ht="19.8" customHeight="1" x14ac:dyDescent="0.3">
      <c r="A528" s="175">
        <v>45999</v>
      </c>
      <c r="B528" s="92" t="s">
        <v>130</v>
      </c>
      <c r="C528" s="93" t="s">
        <v>138</v>
      </c>
      <c r="D528" s="92" t="s">
        <v>1</v>
      </c>
      <c r="E528" s="176">
        <v>1.239583333333333</v>
      </c>
      <c r="F528" s="92" t="s">
        <v>134</v>
      </c>
      <c r="G528" s="94">
        <v>9</v>
      </c>
      <c r="H528" s="173">
        <v>980</v>
      </c>
      <c r="I528" s="2"/>
    </row>
    <row r="529" spans="1:9" ht="19.8" customHeight="1" x14ac:dyDescent="0.3">
      <c r="A529" s="175">
        <v>45999</v>
      </c>
      <c r="B529" s="92" t="s">
        <v>115</v>
      </c>
      <c r="C529" s="93" t="s">
        <v>122</v>
      </c>
      <c r="D529" s="92" t="s">
        <v>1</v>
      </c>
      <c r="E529" s="176">
        <v>1.5138888888888891</v>
      </c>
      <c r="F529" s="92" t="s">
        <v>124</v>
      </c>
      <c r="G529" s="94">
        <v>2</v>
      </c>
      <c r="H529" s="173">
        <v>993</v>
      </c>
      <c r="I529" s="2"/>
    </row>
    <row r="530" spans="1:9" ht="19.8" customHeight="1" x14ac:dyDescent="0.3">
      <c r="A530" s="175">
        <v>45999</v>
      </c>
      <c r="B530" s="92" t="s">
        <v>130</v>
      </c>
      <c r="C530" s="93" t="s">
        <v>142</v>
      </c>
      <c r="D530" s="92" t="s">
        <v>1</v>
      </c>
      <c r="E530" s="176">
        <v>1.1284722222222221</v>
      </c>
      <c r="F530" s="92" t="s">
        <v>134</v>
      </c>
      <c r="G530" s="94">
        <v>4</v>
      </c>
      <c r="H530" s="99" t="s">
        <v>250</v>
      </c>
      <c r="I530" s="2"/>
    </row>
    <row r="531" spans="1:9" ht="19.8" customHeight="1" x14ac:dyDescent="0.3">
      <c r="A531" s="175">
        <v>45999</v>
      </c>
      <c r="B531" s="92" t="s">
        <v>26</v>
      </c>
      <c r="C531" s="93" t="s">
        <v>35</v>
      </c>
      <c r="D531" s="92" t="s">
        <v>1</v>
      </c>
      <c r="E531" s="176">
        <v>1.1284722222222221</v>
      </c>
      <c r="F531" s="92" t="s">
        <v>33</v>
      </c>
      <c r="G531" s="94">
        <v>9</v>
      </c>
      <c r="H531" s="99" t="s">
        <v>34</v>
      </c>
      <c r="I531" s="2"/>
    </row>
    <row r="532" spans="1:9" ht="19.8" customHeight="1" x14ac:dyDescent="0.3">
      <c r="A532" s="175">
        <v>45999</v>
      </c>
      <c r="B532" s="92" t="s">
        <v>26</v>
      </c>
      <c r="C532" s="93" t="s">
        <v>39</v>
      </c>
      <c r="D532" s="92" t="s">
        <v>1</v>
      </c>
      <c r="E532" s="176">
        <v>1.302083333333333</v>
      </c>
      <c r="F532" s="92" t="s">
        <v>33</v>
      </c>
      <c r="G532" s="94">
        <v>10</v>
      </c>
      <c r="H532" s="99" t="s">
        <v>34</v>
      </c>
      <c r="I532" s="2"/>
    </row>
    <row r="533" spans="1:9" ht="19.8" customHeight="1" x14ac:dyDescent="0.3">
      <c r="A533" s="175">
        <v>45999</v>
      </c>
      <c r="B533" s="92" t="s">
        <v>26</v>
      </c>
      <c r="C533" s="93" t="s">
        <v>27</v>
      </c>
      <c r="D533" s="92" t="s">
        <v>1</v>
      </c>
      <c r="E533" s="176">
        <v>1.8888888888888891</v>
      </c>
      <c r="F533" s="92" t="s">
        <v>33</v>
      </c>
      <c r="G533" s="94">
        <v>1</v>
      </c>
      <c r="H533" s="99" t="s">
        <v>34</v>
      </c>
      <c r="I533" s="2"/>
    </row>
    <row r="534" spans="1:9" ht="19.8" customHeight="1" x14ac:dyDescent="0.3">
      <c r="A534" s="175">
        <v>45999</v>
      </c>
      <c r="B534" s="92" t="s">
        <v>26</v>
      </c>
      <c r="C534" s="93" t="s">
        <v>41</v>
      </c>
      <c r="D534" s="92" t="s">
        <v>1</v>
      </c>
      <c r="E534" s="176">
        <v>1.788194444444444</v>
      </c>
      <c r="F534" s="92" t="s">
        <v>33</v>
      </c>
      <c r="G534" s="94">
        <v>11</v>
      </c>
      <c r="H534" s="99" t="s">
        <v>34</v>
      </c>
      <c r="I534" s="2"/>
    </row>
    <row r="535" spans="1:9" ht="19.8" customHeight="1" x14ac:dyDescent="0.3">
      <c r="A535" s="175">
        <v>45999</v>
      </c>
      <c r="B535" s="92" t="s">
        <v>130</v>
      </c>
      <c r="C535" s="93" t="s">
        <v>141</v>
      </c>
      <c r="D535" s="92" t="s">
        <v>1</v>
      </c>
      <c r="E535" s="176">
        <v>1.302083333333333</v>
      </c>
      <c r="F535" s="92" t="s">
        <v>134</v>
      </c>
      <c r="G535" s="94">
        <v>4</v>
      </c>
      <c r="H535" s="99" t="s">
        <v>218</v>
      </c>
      <c r="I535" s="2"/>
    </row>
    <row r="536" spans="1:9" ht="19.8" customHeight="1" x14ac:dyDescent="0.3">
      <c r="A536" s="175">
        <v>45999</v>
      </c>
      <c r="B536" s="92" t="s">
        <v>130</v>
      </c>
      <c r="C536" s="93" t="s">
        <v>149</v>
      </c>
      <c r="D536" s="92" t="s">
        <v>1</v>
      </c>
      <c r="E536" s="176">
        <v>1.788194444444444</v>
      </c>
      <c r="F536" s="92" t="s">
        <v>134</v>
      </c>
      <c r="G536" s="94">
        <v>4</v>
      </c>
      <c r="H536" s="99" t="s">
        <v>218</v>
      </c>
      <c r="I536" s="2"/>
    </row>
    <row r="537" spans="1:9" ht="19.8" customHeight="1" x14ac:dyDescent="0.3">
      <c r="A537" s="175">
        <v>45999</v>
      </c>
      <c r="B537" s="92" t="s">
        <v>130</v>
      </c>
      <c r="C537" s="93" t="s">
        <v>131</v>
      </c>
      <c r="D537" s="92" t="s">
        <v>1</v>
      </c>
      <c r="E537" s="176">
        <v>1.930555555555556</v>
      </c>
      <c r="F537" s="92" t="s">
        <v>132</v>
      </c>
      <c r="G537" s="94">
        <v>9</v>
      </c>
      <c r="H537" s="99" t="s">
        <v>144</v>
      </c>
      <c r="I537" s="2"/>
    </row>
    <row r="538" spans="1:9" ht="19.8" customHeight="1" x14ac:dyDescent="0.3">
      <c r="A538" s="175">
        <v>45999</v>
      </c>
      <c r="B538" s="92" t="s">
        <v>130</v>
      </c>
      <c r="C538" s="93" t="s">
        <v>131</v>
      </c>
      <c r="D538" s="92" t="s">
        <v>1</v>
      </c>
      <c r="E538" s="176">
        <v>1.930555555555556</v>
      </c>
      <c r="F538" s="92" t="s">
        <v>134</v>
      </c>
      <c r="G538" s="94">
        <v>9</v>
      </c>
      <c r="H538" s="99" t="s">
        <v>145</v>
      </c>
      <c r="I538" s="2"/>
    </row>
    <row r="539" spans="1:9" ht="19.8" customHeight="1" x14ac:dyDescent="0.3">
      <c r="A539" s="179">
        <v>45999</v>
      </c>
      <c r="B539" s="100" t="s">
        <v>130</v>
      </c>
      <c r="C539" s="101" t="s">
        <v>139</v>
      </c>
      <c r="D539" s="100" t="s">
        <v>1</v>
      </c>
      <c r="E539" s="180">
        <v>1.8888888888888891</v>
      </c>
      <c r="F539" s="100" t="s">
        <v>134</v>
      </c>
      <c r="G539" s="102">
        <v>4</v>
      </c>
      <c r="H539" s="103" t="s">
        <v>179</v>
      </c>
      <c r="I539" s="2"/>
    </row>
    <row r="540" spans="1:9" ht="19.8" customHeight="1" x14ac:dyDescent="0.3">
      <c r="A540" s="175">
        <v>46000</v>
      </c>
      <c r="B540" s="92" t="s">
        <v>70</v>
      </c>
      <c r="C540" s="93" t="s">
        <v>155</v>
      </c>
      <c r="D540" s="92" t="s">
        <v>1</v>
      </c>
      <c r="E540" s="176">
        <v>1.274305555555556</v>
      </c>
      <c r="F540" s="92" t="s">
        <v>72</v>
      </c>
      <c r="G540" s="94">
        <v>9</v>
      </c>
      <c r="H540" s="173">
        <v>300</v>
      </c>
      <c r="I540" s="2"/>
    </row>
    <row r="541" spans="1:9" ht="19.8" customHeight="1" x14ac:dyDescent="0.3">
      <c r="A541" s="175">
        <v>46000</v>
      </c>
      <c r="B541" s="92" t="s">
        <v>26</v>
      </c>
      <c r="C541" s="93" t="s">
        <v>35</v>
      </c>
      <c r="D541" s="92" t="s">
        <v>1</v>
      </c>
      <c r="E541" s="176">
        <v>1.1284722222222221</v>
      </c>
      <c r="F541" s="92" t="s">
        <v>153</v>
      </c>
      <c r="G541" s="94">
        <v>13</v>
      </c>
      <c r="H541" s="173">
        <v>329</v>
      </c>
      <c r="I541" s="2"/>
    </row>
    <row r="542" spans="1:9" ht="19.8" customHeight="1" x14ac:dyDescent="0.3">
      <c r="A542" s="175">
        <v>46000</v>
      </c>
      <c r="B542" s="92" t="s">
        <v>79</v>
      </c>
      <c r="C542" s="93" t="s">
        <v>80</v>
      </c>
      <c r="D542" s="92" t="s">
        <v>1</v>
      </c>
      <c r="E542" s="176">
        <v>1.2222222222222221</v>
      </c>
      <c r="F542" s="92" t="s">
        <v>156</v>
      </c>
      <c r="G542" s="94">
        <v>9</v>
      </c>
      <c r="H542" s="173">
        <v>350</v>
      </c>
      <c r="I542" s="2"/>
    </row>
    <row r="543" spans="1:9" ht="19.8" customHeight="1" x14ac:dyDescent="0.3">
      <c r="A543" s="175">
        <v>46000</v>
      </c>
      <c r="B543" s="92" t="s">
        <v>26</v>
      </c>
      <c r="C543" s="93" t="s">
        <v>27</v>
      </c>
      <c r="D543" s="92" t="s">
        <v>1</v>
      </c>
      <c r="E543" s="176">
        <v>1.8888888888888891</v>
      </c>
      <c r="F543" s="92" t="s">
        <v>153</v>
      </c>
      <c r="G543" s="94">
        <v>1</v>
      </c>
      <c r="H543" s="173">
        <v>359</v>
      </c>
      <c r="I543" s="2"/>
    </row>
    <row r="544" spans="1:9" ht="19.8" customHeight="1" x14ac:dyDescent="0.3">
      <c r="A544" s="175">
        <v>46000</v>
      </c>
      <c r="B544" s="92" t="s">
        <v>45</v>
      </c>
      <c r="C544" s="93" t="s">
        <v>57</v>
      </c>
      <c r="D544" s="92" t="s">
        <v>1</v>
      </c>
      <c r="E544" s="176">
        <v>1.256944444444444</v>
      </c>
      <c r="F544" s="92" t="s">
        <v>154</v>
      </c>
      <c r="G544" s="94">
        <v>8</v>
      </c>
      <c r="H544" s="173">
        <v>369</v>
      </c>
      <c r="I544" s="2"/>
    </row>
    <row r="545" spans="1:9" ht="19.8" customHeight="1" x14ac:dyDescent="0.3">
      <c r="A545" s="175">
        <v>46000</v>
      </c>
      <c r="B545" s="92" t="s">
        <v>45</v>
      </c>
      <c r="C545" s="93" t="s">
        <v>58</v>
      </c>
      <c r="D545" s="92" t="s">
        <v>1</v>
      </c>
      <c r="E545" s="176">
        <v>1.302083333333333</v>
      </c>
      <c r="F545" s="92" t="s">
        <v>154</v>
      </c>
      <c r="G545" s="94">
        <v>5</v>
      </c>
      <c r="H545" s="173">
        <v>369</v>
      </c>
      <c r="I545" s="2"/>
    </row>
    <row r="546" spans="1:9" ht="19.8" customHeight="1" x14ac:dyDescent="0.3">
      <c r="A546" s="175">
        <v>46000</v>
      </c>
      <c r="B546" s="92" t="s">
        <v>26</v>
      </c>
      <c r="C546" s="93" t="s">
        <v>39</v>
      </c>
      <c r="D546" s="92" t="s">
        <v>1</v>
      </c>
      <c r="E546" s="176">
        <v>1.302083333333333</v>
      </c>
      <c r="F546" s="92" t="s">
        <v>153</v>
      </c>
      <c r="G546" s="94">
        <v>1</v>
      </c>
      <c r="H546" s="173">
        <v>389</v>
      </c>
      <c r="I546" s="2"/>
    </row>
    <row r="547" spans="1:9" ht="19.8" customHeight="1" x14ac:dyDescent="0.3">
      <c r="A547" s="175">
        <v>46000</v>
      </c>
      <c r="B547" s="92" t="s">
        <v>70</v>
      </c>
      <c r="C547" s="93" t="s">
        <v>71</v>
      </c>
      <c r="D547" s="92" t="s">
        <v>1</v>
      </c>
      <c r="E547" s="176">
        <v>1.739583333333333</v>
      </c>
      <c r="F547" s="92" t="s">
        <v>72</v>
      </c>
      <c r="G547" s="94">
        <v>9</v>
      </c>
      <c r="H547" s="173">
        <v>400</v>
      </c>
      <c r="I547" s="2"/>
    </row>
    <row r="548" spans="1:9" ht="19.8" customHeight="1" x14ac:dyDescent="0.3">
      <c r="A548" s="175">
        <v>46000</v>
      </c>
      <c r="B548" s="92" t="s">
        <v>74</v>
      </c>
      <c r="C548" s="93" t="s">
        <v>78</v>
      </c>
      <c r="D548" s="92" t="s">
        <v>1</v>
      </c>
      <c r="E548" s="176">
        <v>1.666666666666667</v>
      </c>
      <c r="F548" s="92" t="s">
        <v>72</v>
      </c>
      <c r="G548" s="94">
        <v>9</v>
      </c>
      <c r="H548" s="173">
        <v>401</v>
      </c>
      <c r="I548" s="2"/>
    </row>
    <row r="549" spans="1:9" ht="19.8" customHeight="1" x14ac:dyDescent="0.3">
      <c r="A549" s="175">
        <v>46000</v>
      </c>
      <c r="B549" s="92" t="s">
        <v>45</v>
      </c>
      <c r="C549" s="93" t="s">
        <v>53</v>
      </c>
      <c r="D549" s="92" t="s">
        <v>1</v>
      </c>
      <c r="E549" s="176">
        <v>1.854166666666667</v>
      </c>
      <c r="F549" s="92" t="s">
        <v>154</v>
      </c>
      <c r="G549" s="94">
        <v>6</v>
      </c>
      <c r="H549" s="173">
        <v>409</v>
      </c>
      <c r="I549" s="2"/>
    </row>
    <row r="550" spans="1:9" ht="19.8" customHeight="1" x14ac:dyDescent="0.3">
      <c r="A550" s="175">
        <v>46000</v>
      </c>
      <c r="B550" s="92" t="s">
        <v>45</v>
      </c>
      <c r="C550" s="93" t="s">
        <v>59</v>
      </c>
      <c r="D550" s="92" t="s">
        <v>1</v>
      </c>
      <c r="E550" s="176">
        <v>1.9027777777777779</v>
      </c>
      <c r="F550" s="92" t="s">
        <v>154</v>
      </c>
      <c r="G550" s="94">
        <v>8</v>
      </c>
      <c r="H550" s="173">
        <v>409</v>
      </c>
      <c r="I550" s="2"/>
    </row>
    <row r="551" spans="1:9" ht="19.8" customHeight="1" x14ac:dyDescent="0.3">
      <c r="A551" s="175">
        <v>46000</v>
      </c>
      <c r="B551" s="92" t="s">
        <v>45</v>
      </c>
      <c r="C551" s="93" t="s">
        <v>46</v>
      </c>
      <c r="D551" s="92" t="s">
        <v>1</v>
      </c>
      <c r="E551" s="176">
        <v>1.395833333333333</v>
      </c>
      <c r="F551" s="92" t="s">
        <v>154</v>
      </c>
      <c r="G551" s="94">
        <v>2</v>
      </c>
      <c r="H551" s="173">
        <v>409</v>
      </c>
      <c r="I551" s="2"/>
    </row>
    <row r="552" spans="1:9" ht="19.8" customHeight="1" x14ac:dyDescent="0.3">
      <c r="A552" s="177">
        <v>46000</v>
      </c>
      <c r="B552" s="96" t="s">
        <v>87</v>
      </c>
      <c r="C552" s="97" t="s">
        <v>102</v>
      </c>
      <c r="D552" s="96" t="s">
        <v>1</v>
      </c>
      <c r="E552" s="178">
        <v>1.5590277777777779</v>
      </c>
      <c r="F552" s="96" t="s">
        <v>89</v>
      </c>
      <c r="G552" s="98">
        <v>6</v>
      </c>
      <c r="H552" s="174">
        <v>436</v>
      </c>
      <c r="I552" s="2"/>
    </row>
    <row r="553" spans="1:9" ht="19.8" customHeight="1" x14ac:dyDescent="0.3">
      <c r="A553" s="177">
        <v>46000</v>
      </c>
      <c r="B553" s="96" t="s">
        <v>87</v>
      </c>
      <c r="C553" s="97" t="s">
        <v>109</v>
      </c>
      <c r="D553" s="96" t="s">
        <v>1</v>
      </c>
      <c r="E553" s="178">
        <v>1.96875</v>
      </c>
      <c r="F553" s="96" t="s">
        <v>89</v>
      </c>
      <c r="G553" s="98">
        <v>9</v>
      </c>
      <c r="H553" s="174">
        <v>436</v>
      </c>
      <c r="I553" s="2"/>
    </row>
    <row r="554" spans="1:9" ht="19.8" customHeight="1" x14ac:dyDescent="0.3">
      <c r="A554" s="177">
        <v>46000</v>
      </c>
      <c r="B554" s="96" t="s">
        <v>87</v>
      </c>
      <c r="C554" s="97" t="s">
        <v>165</v>
      </c>
      <c r="D554" s="96" t="s">
        <v>1</v>
      </c>
      <c r="E554" s="178">
        <v>1.229166666666667</v>
      </c>
      <c r="F554" s="96" t="s">
        <v>89</v>
      </c>
      <c r="G554" s="98">
        <v>8</v>
      </c>
      <c r="H554" s="174">
        <v>436</v>
      </c>
      <c r="I554" s="2"/>
    </row>
    <row r="555" spans="1:9" ht="19.8" customHeight="1" x14ac:dyDescent="0.3">
      <c r="A555" s="175">
        <v>46000</v>
      </c>
      <c r="B555" s="92" t="s">
        <v>45</v>
      </c>
      <c r="C555" s="93" t="s">
        <v>62</v>
      </c>
      <c r="D555" s="92" t="s">
        <v>1</v>
      </c>
      <c r="E555" s="176">
        <v>1.5173611111111109</v>
      </c>
      <c r="F555" s="92" t="s">
        <v>154</v>
      </c>
      <c r="G555" s="94">
        <v>9</v>
      </c>
      <c r="H555" s="173">
        <v>449</v>
      </c>
      <c r="I555" s="2"/>
    </row>
    <row r="556" spans="1:9" ht="19.8" customHeight="1" x14ac:dyDescent="0.3">
      <c r="A556" s="175">
        <v>46000</v>
      </c>
      <c r="B556" s="92" t="s">
        <v>45</v>
      </c>
      <c r="C556" s="93" t="s">
        <v>66</v>
      </c>
      <c r="D556" s="92" t="s">
        <v>1</v>
      </c>
      <c r="E556" s="176">
        <v>1.645833333333333</v>
      </c>
      <c r="F556" s="92" t="s">
        <v>154</v>
      </c>
      <c r="G556" s="94">
        <v>6</v>
      </c>
      <c r="H556" s="173">
        <v>449</v>
      </c>
      <c r="I556" s="2"/>
    </row>
    <row r="557" spans="1:9" ht="19.8" customHeight="1" x14ac:dyDescent="0.3">
      <c r="A557" s="177">
        <v>46000</v>
      </c>
      <c r="B557" s="96" t="s">
        <v>87</v>
      </c>
      <c r="C557" s="97" t="s">
        <v>95</v>
      </c>
      <c r="D557" s="96" t="s">
        <v>1</v>
      </c>
      <c r="E557" s="178">
        <v>1.614583333333333</v>
      </c>
      <c r="F557" s="96" t="s">
        <v>89</v>
      </c>
      <c r="G557" s="98">
        <v>6</v>
      </c>
      <c r="H557" s="174">
        <v>471</v>
      </c>
      <c r="I557" s="2"/>
    </row>
    <row r="558" spans="1:9" ht="19.8" customHeight="1" x14ac:dyDescent="0.3">
      <c r="A558" s="177">
        <v>46000</v>
      </c>
      <c r="B558" s="96" t="s">
        <v>87</v>
      </c>
      <c r="C558" s="97" t="s">
        <v>88</v>
      </c>
      <c r="D558" s="96" t="s">
        <v>1</v>
      </c>
      <c r="E558" s="178">
        <v>1.729166666666667</v>
      </c>
      <c r="F558" s="96" t="s">
        <v>89</v>
      </c>
      <c r="G558" s="98">
        <v>8</v>
      </c>
      <c r="H558" s="174">
        <v>471</v>
      </c>
      <c r="I558" s="2"/>
    </row>
    <row r="559" spans="1:9" ht="19.8" customHeight="1" x14ac:dyDescent="0.3">
      <c r="A559" s="175">
        <v>46000</v>
      </c>
      <c r="B559" s="92" t="s">
        <v>45</v>
      </c>
      <c r="C559" s="93" t="s">
        <v>60</v>
      </c>
      <c r="D559" s="92" t="s">
        <v>1</v>
      </c>
      <c r="E559" s="176">
        <v>1.7986111111111109</v>
      </c>
      <c r="F559" s="92" t="s">
        <v>154</v>
      </c>
      <c r="G559" s="94">
        <v>3</v>
      </c>
      <c r="H559" s="173">
        <v>489</v>
      </c>
      <c r="I559" s="2"/>
    </row>
    <row r="560" spans="1:9" ht="19.8" customHeight="1" x14ac:dyDescent="0.3">
      <c r="A560" s="177">
        <v>46000</v>
      </c>
      <c r="B560" s="96" t="s">
        <v>87</v>
      </c>
      <c r="C560" s="97" t="s">
        <v>169</v>
      </c>
      <c r="D560" s="96" t="s">
        <v>1</v>
      </c>
      <c r="E560" s="178">
        <v>1.9340277777777779</v>
      </c>
      <c r="F560" s="96" t="s">
        <v>89</v>
      </c>
      <c r="G560" s="98">
        <v>4</v>
      </c>
      <c r="H560" s="174">
        <v>526</v>
      </c>
      <c r="I560" s="2"/>
    </row>
    <row r="561" spans="1:9" ht="19.8" customHeight="1" x14ac:dyDescent="0.3">
      <c r="A561" s="175">
        <v>46000</v>
      </c>
      <c r="B561" s="92" t="s">
        <v>26</v>
      </c>
      <c r="C561" s="93" t="s">
        <v>41</v>
      </c>
      <c r="D561" s="92" t="s">
        <v>1</v>
      </c>
      <c r="E561" s="176">
        <v>1.788194444444444</v>
      </c>
      <c r="F561" s="92" t="s">
        <v>153</v>
      </c>
      <c r="G561" s="94">
        <v>14</v>
      </c>
      <c r="H561" s="173">
        <v>539</v>
      </c>
      <c r="I561" s="2"/>
    </row>
    <row r="562" spans="1:9" ht="19.8" customHeight="1" x14ac:dyDescent="0.3">
      <c r="A562" s="175">
        <v>46000</v>
      </c>
      <c r="B562" s="92" t="s">
        <v>115</v>
      </c>
      <c r="C562" s="93" t="s">
        <v>116</v>
      </c>
      <c r="D562" s="92" t="s">
        <v>1</v>
      </c>
      <c r="E562" s="176">
        <v>1.2222222222222221</v>
      </c>
      <c r="F562" s="92" t="s">
        <v>117</v>
      </c>
      <c r="G562" s="94">
        <v>9</v>
      </c>
      <c r="H562" s="173">
        <v>579</v>
      </c>
      <c r="I562" s="2"/>
    </row>
    <row r="563" spans="1:9" ht="19.8" customHeight="1" x14ac:dyDescent="0.3">
      <c r="A563" s="175">
        <v>46000</v>
      </c>
      <c r="B563" s="92" t="s">
        <v>115</v>
      </c>
      <c r="C563" s="93" t="s">
        <v>119</v>
      </c>
      <c r="D563" s="92" t="s">
        <v>1</v>
      </c>
      <c r="E563" s="176">
        <v>1.145833333333333</v>
      </c>
      <c r="F563" s="92" t="s">
        <v>117</v>
      </c>
      <c r="G563" s="94">
        <v>9</v>
      </c>
      <c r="H563" s="173">
        <v>579</v>
      </c>
      <c r="I563" s="2"/>
    </row>
    <row r="564" spans="1:9" ht="19.8" customHeight="1" x14ac:dyDescent="0.3">
      <c r="A564" s="175">
        <v>46000</v>
      </c>
      <c r="B564" s="92" t="s">
        <v>115</v>
      </c>
      <c r="C564" s="93" t="s">
        <v>120</v>
      </c>
      <c r="D564" s="92" t="s">
        <v>1</v>
      </c>
      <c r="E564" s="176">
        <v>1.2777777777777779</v>
      </c>
      <c r="F564" s="92" t="s">
        <v>117</v>
      </c>
      <c r="G564" s="94">
        <v>9</v>
      </c>
      <c r="H564" s="173">
        <v>579</v>
      </c>
      <c r="I564" s="2"/>
    </row>
    <row r="565" spans="1:9" ht="19.8" customHeight="1" x14ac:dyDescent="0.3">
      <c r="A565" s="175">
        <v>46000</v>
      </c>
      <c r="B565" s="92" t="s">
        <v>115</v>
      </c>
      <c r="C565" s="93" t="s">
        <v>121</v>
      </c>
      <c r="D565" s="92" t="s">
        <v>1</v>
      </c>
      <c r="E565" s="176">
        <v>1.4861111111111109</v>
      </c>
      <c r="F565" s="92" t="s">
        <v>117</v>
      </c>
      <c r="G565" s="94">
        <v>9</v>
      </c>
      <c r="H565" s="173">
        <v>579</v>
      </c>
      <c r="I565" s="2"/>
    </row>
    <row r="566" spans="1:9" ht="19.8" customHeight="1" x14ac:dyDescent="0.3">
      <c r="A566" s="175">
        <v>46000</v>
      </c>
      <c r="B566" s="92" t="s">
        <v>130</v>
      </c>
      <c r="C566" s="93" t="s">
        <v>136</v>
      </c>
      <c r="D566" s="92" t="s">
        <v>1</v>
      </c>
      <c r="E566" s="176">
        <v>1.3784722222222221</v>
      </c>
      <c r="F566" s="92" t="s">
        <v>132</v>
      </c>
      <c r="G566" s="94">
        <v>9</v>
      </c>
      <c r="H566" s="173">
        <v>678</v>
      </c>
      <c r="I566" s="2"/>
    </row>
    <row r="567" spans="1:9" ht="19.8" customHeight="1" x14ac:dyDescent="0.3">
      <c r="A567" s="175">
        <v>46000</v>
      </c>
      <c r="B567" s="92" t="s">
        <v>130</v>
      </c>
      <c r="C567" s="93" t="s">
        <v>138</v>
      </c>
      <c r="D567" s="92" t="s">
        <v>1</v>
      </c>
      <c r="E567" s="176">
        <v>1.239583333333333</v>
      </c>
      <c r="F567" s="92" t="s">
        <v>132</v>
      </c>
      <c r="G567" s="94">
        <v>9</v>
      </c>
      <c r="H567" s="173">
        <v>678</v>
      </c>
      <c r="I567" s="2"/>
    </row>
    <row r="568" spans="1:9" ht="19.8" customHeight="1" x14ac:dyDescent="0.3">
      <c r="A568" s="175">
        <v>46000</v>
      </c>
      <c r="B568" s="92" t="s">
        <v>115</v>
      </c>
      <c r="C568" s="93" t="s">
        <v>128</v>
      </c>
      <c r="D568" s="92" t="s">
        <v>1</v>
      </c>
      <c r="E568" s="176">
        <v>1.0138888888888891</v>
      </c>
      <c r="F568" s="92" t="s">
        <v>124</v>
      </c>
      <c r="G568" s="94">
        <v>4</v>
      </c>
      <c r="H568" s="173">
        <v>712</v>
      </c>
      <c r="I568" s="2"/>
    </row>
    <row r="569" spans="1:9" ht="19.8" customHeight="1" x14ac:dyDescent="0.3">
      <c r="A569" s="175">
        <v>46000</v>
      </c>
      <c r="B569" s="92" t="s">
        <v>130</v>
      </c>
      <c r="C569" s="93" t="s">
        <v>136</v>
      </c>
      <c r="D569" s="92" t="s">
        <v>1</v>
      </c>
      <c r="E569" s="176">
        <v>1.3784722222222221</v>
      </c>
      <c r="F569" s="92" t="s">
        <v>134</v>
      </c>
      <c r="G569" s="94">
        <v>9</v>
      </c>
      <c r="H569" s="173">
        <v>723</v>
      </c>
      <c r="I569" s="2"/>
    </row>
    <row r="570" spans="1:9" ht="19.8" customHeight="1" x14ac:dyDescent="0.3">
      <c r="A570" s="175">
        <v>46000</v>
      </c>
      <c r="B570" s="92" t="s">
        <v>130</v>
      </c>
      <c r="C570" s="93" t="s">
        <v>138</v>
      </c>
      <c r="D570" s="92" t="s">
        <v>1</v>
      </c>
      <c r="E570" s="176">
        <v>1.239583333333333</v>
      </c>
      <c r="F570" s="92" t="s">
        <v>134</v>
      </c>
      <c r="G570" s="94">
        <v>9</v>
      </c>
      <c r="H570" s="173">
        <v>723</v>
      </c>
      <c r="I570" s="2"/>
    </row>
    <row r="571" spans="1:9" ht="19.8" customHeight="1" x14ac:dyDescent="0.3">
      <c r="A571" s="175">
        <v>46000</v>
      </c>
      <c r="B571" s="92" t="s">
        <v>130</v>
      </c>
      <c r="C571" s="93" t="s">
        <v>137</v>
      </c>
      <c r="D571" s="92" t="s">
        <v>1</v>
      </c>
      <c r="E571" s="176">
        <v>1.6111111111111109</v>
      </c>
      <c r="F571" s="92" t="s">
        <v>132</v>
      </c>
      <c r="G571" s="94">
        <v>1</v>
      </c>
      <c r="H571" s="173">
        <v>797</v>
      </c>
      <c r="I571" s="2"/>
    </row>
    <row r="572" spans="1:9" ht="19.8" customHeight="1" x14ac:dyDescent="0.3">
      <c r="A572" s="175">
        <v>46000</v>
      </c>
      <c r="B572" s="92" t="s">
        <v>130</v>
      </c>
      <c r="C572" s="93" t="s">
        <v>137</v>
      </c>
      <c r="D572" s="92" t="s">
        <v>1</v>
      </c>
      <c r="E572" s="176">
        <v>1.6111111111111109</v>
      </c>
      <c r="F572" s="92" t="s">
        <v>134</v>
      </c>
      <c r="G572" s="94">
        <v>1</v>
      </c>
      <c r="H572" s="173">
        <v>842</v>
      </c>
      <c r="I572" s="2"/>
    </row>
    <row r="573" spans="1:9" ht="19.8" customHeight="1" x14ac:dyDescent="0.3">
      <c r="A573" s="175">
        <v>46000</v>
      </c>
      <c r="B573" s="92" t="s">
        <v>130</v>
      </c>
      <c r="C573" s="93" t="s">
        <v>143</v>
      </c>
      <c r="D573" s="92" t="s">
        <v>1</v>
      </c>
      <c r="E573" s="176">
        <v>1.006944444444444</v>
      </c>
      <c r="F573" s="92" t="s">
        <v>132</v>
      </c>
      <c r="G573" s="94">
        <v>9</v>
      </c>
      <c r="H573" s="173">
        <v>935</v>
      </c>
      <c r="I573" s="2"/>
    </row>
    <row r="574" spans="1:9" ht="19.8" customHeight="1" x14ac:dyDescent="0.3">
      <c r="A574" s="175">
        <v>46000</v>
      </c>
      <c r="B574" s="92" t="s">
        <v>130</v>
      </c>
      <c r="C574" s="93" t="s">
        <v>146</v>
      </c>
      <c r="D574" s="92" t="s">
        <v>1</v>
      </c>
      <c r="E574" s="176">
        <v>1.1423611111111109</v>
      </c>
      <c r="F574" s="92" t="s">
        <v>132</v>
      </c>
      <c r="G574" s="94">
        <v>9</v>
      </c>
      <c r="H574" s="173">
        <v>935</v>
      </c>
      <c r="I574" s="2"/>
    </row>
    <row r="575" spans="1:9" ht="19.8" customHeight="1" x14ac:dyDescent="0.3">
      <c r="A575" s="175">
        <v>46000</v>
      </c>
      <c r="B575" s="92" t="s">
        <v>130</v>
      </c>
      <c r="C575" s="93" t="s">
        <v>147</v>
      </c>
      <c r="D575" s="92" t="s">
        <v>1</v>
      </c>
      <c r="E575" s="176">
        <v>1.71875</v>
      </c>
      <c r="F575" s="92" t="s">
        <v>132</v>
      </c>
      <c r="G575" s="94">
        <v>9</v>
      </c>
      <c r="H575" s="173">
        <v>935</v>
      </c>
      <c r="I575" s="2"/>
    </row>
    <row r="576" spans="1:9" ht="19.8" customHeight="1" x14ac:dyDescent="0.3">
      <c r="A576" s="175">
        <v>46000</v>
      </c>
      <c r="B576" s="92" t="s">
        <v>130</v>
      </c>
      <c r="C576" s="93" t="s">
        <v>148</v>
      </c>
      <c r="D576" s="92" t="s">
        <v>1</v>
      </c>
      <c r="E576" s="176">
        <v>1.8298611111111109</v>
      </c>
      <c r="F576" s="92" t="s">
        <v>132</v>
      </c>
      <c r="G576" s="94">
        <v>9</v>
      </c>
      <c r="H576" s="173">
        <v>935</v>
      </c>
      <c r="I576" s="2"/>
    </row>
    <row r="577" spans="1:9" ht="19.8" customHeight="1" x14ac:dyDescent="0.3">
      <c r="A577" s="175">
        <v>46000</v>
      </c>
      <c r="B577" s="92" t="s">
        <v>130</v>
      </c>
      <c r="C577" s="93" t="s">
        <v>143</v>
      </c>
      <c r="D577" s="92" t="s">
        <v>1</v>
      </c>
      <c r="E577" s="176">
        <v>1.006944444444444</v>
      </c>
      <c r="F577" s="92" t="s">
        <v>134</v>
      </c>
      <c r="G577" s="94">
        <v>9</v>
      </c>
      <c r="H577" s="173">
        <v>980</v>
      </c>
      <c r="I577" s="2"/>
    </row>
    <row r="578" spans="1:9" ht="19.8" customHeight="1" x14ac:dyDescent="0.3">
      <c r="A578" s="175">
        <v>46000</v>
      </c>
      <c r="B578" s="92" t="s">
        <v>130</v>
      </c>
      <c r="C578" s="93" t="s">
        <v>146</v>
      </c>
      <c r="D578" s="92" t="s">
        <v>1</v>
      </c>
      <c r="E578" s="176">
        <v>1.1423611111111109</v>
      </c>
      <c r="F578" s="92" t="s">
        <v>134</v>
      </c>
      <c r="G578" s="94">
        <v>9</v>
      </c>
      <c r="H578" s="173">
        <v>980</v>
      </c>
      <c r="I578" s="2"/>
    </row>
    <row r="579" spans="1:9" ht="19.8" customHeight="1" x14ac:dyDescent="0.3">
      <c r="A579" s="175">
        <v>46000</v>
      </c>
      <c r="B579" s="92" t="s">
        <v>130</v>
      </c>
      <c r="C579" s="93" t="s">
        <v>147</v>
      </c>
      <c r="D579" s="92" t="s">
        <v>1</v>
      </c>
      <c r="E579" s="176">
        <v>1.71875</v>
      </c>
      <c r="F579" s="92" t="s">
        <v>134</v>
      </c>
      <c r="G579" s="94">
        <v>9</v>
      </c>
      <c r="H579" s="173">
        <v>980</v>
      </c>
      <c r="I579" s="2"/>
    </row>
    <row r="580" spans="1:9" ht="19.8" customHeight="1" x14ac:dyDescent="0.3">
      <c r="A580" s="175">
        <v>46000</v>
      </c>
      <c r="B580" s="92" t="s">
        <v>130</v>
      </c>
      <c r="C580" s="93" t="s">
        <v>148</v>
      </c>
      <c r="D580" s="92" t="s">
        <v>1</v>
      </c>
      <c r="E580" s="176">
        <v>1.8298611111111109</v>
      </c>
      <c r="F580" s="92" t="s">
        <v>134</v>
      </c>
      <c r="G580" s="94">
        <v>9</v>
      </c>
      <c r="H580" s="173">
        <v>980</v>
      </c>
      <c r="I580" s="2"/>
    </row>
    <row r="581" spans="1:9" ht="19.8" customHeight="1" x14ac:dyDescent="0.3">
      <c r="A581" s="175">
        <v>46000</v>
      </c>
      <c r="B581" s="92" t="s">
        <v>130</v>
      </c>
      <c r="C581" s="93" t="s">
        <v>142</v>
      </c>
      <c r="D581" s="92" t="s">
        <v>1</v>
      </c>
      <c r="E581" s="176">
        <v>1.1284722222222221</v>
      </c>
      <c r="F581" s="92" t="s">
        <v>134</v>
      </c>
      <c r="G581" s="94">
        <v>4</v>
      </c>
      <c r="H581" s="99" t="s">
        <v>218</v>
      </c>
      <c r="I581" s="2"/>
    </row>
    <row r="582" spans="1:9" ht="19.8" customHeight="1" x14ac:dyDescent="0.3">
      <c r="A582" s="175">
        <v>46000</v>
      </c>
      <c r="B582" s="92" t="s">
        <v>130</v>
      </c>
      <c r="C582" s="93" t="s">
        <v>139</v>
      </c>
      <c r="D582" s="92" t="s">
        <v>1</v>
      </c>
      <c r="E582" s="176">
        <v>1.8888888888888891</v>
      </c>
      <c r="F582" s="92" t="s">
        <v>134</v>
      </c>
      <c r="G582" s="94">
        <v>4</v>
      </c>
      <c r="H582" s="99" t="s">
        <v>140</v>
      </c>
      <c r="I582" s="2"/>
    </row>
    <row r="583" spans="1:9" ht="19.8" customHeight="1" x14ac:dyDescent="0.3">
      <c r="A583" s="175">
        <v>46000</v>
      </c>
      <c r="B583" s="92" t="s">
        <v>130</v>
      </c>
      <c r="C583" s="93" t="s">
        <v>131</v>
      </c>
      <c r="D583" s="92" t="s">
        <v>1</v>
      </c>
      <c r="E583" s="176">
        <v>1.930555555555556</v>
      </c>
      <c r="F583" s="92" t="s">
        <v>132</v>
      </c>
      <c r="G583" s="94">
        <v>9</v>
      </c>
      <c r="H583" s="99" t="s">
        <v>144</v>
      </c>
      <c r="I583" s="2"/>
    </row>
    <row r="584" spans="1:9" ht="19.8" customHeight="1" x14ac:dyDescent="0.3">
      <c r="A584" s="175">
        <v>46000</v>
      </c>
      <c r="B584" s="92" t="s">
        <v>130</v>
      </c>
      <c r="C584" s="93" t="s">
        <v>131</v>
      </c>
      <c r="D584" s="92" t="s">
        <v>1</v>
      </c>
      <c r="E584" s="176">
        <v>1.930555555555556</v>
      </c>
      <c r="F584" s="92" t="s">
        <v>134</v>
      </c>
      <c r="G584" s="94">
        <v>9</v>
      </c>
      <c r="H584" s="99" t="s">
        <v>145</v>
      </c>
      <c r="I584" s="2"/>
    </row>
    <row r="585" spans="1:9" ht="19.8" customHeight="1" x14ac:dyDescent="0.3">
      <c r="A585" s="175">
        <v>46000</v>
      </c>
      <c r="B585" s="92" t="s">
        <v>130</v>
      </c>
      <c r="C585" s="93" t="s">
        <v>141</v>
      </c>
      <c r="D585" s="92" t="s">
        <v>1</v>
      </c>
      <c r="E585" s="176">
        <v>1.302083333333333</v>
      </c>
      <c r="F585" s="92" t="s">
        <v>134</v>
      </c>
      <c r="G585" s="94">
        <v>4</v>
      </c>
      <c r="H585" s="99" t="s">
        <v>179</v>
      </c>
      <c r="I585" s="2"/>
    </row>
    <row r="586" spans="1:9" ht="19.8" customHeight="1" x14ac:dyDescent="0.3">
      <c r="A586" s="179">
        <v>46000</v>
      </c>
      <c r="B586" s="100" t="s">
        <v>130</v>
      </c>
      <c r="C586" s="101" t="s">
        <v>149</v>
      </c>
      <c r="D586" s="100" t="s">
        <v>1</v>
      </c>
      <c r="E586" s="180">
        <v>1.788194444444444</v>
      </c>
      <c r="F586" s="100" t="s">
        <v>134</v>
      </c>
      <c r="G586" s="102">
        <v>4</v>
      </c>
      <c r="H586" s="103" t="s">
        <v>150</v>
      </c>
      <c r="I586" s="2"/>
    </row>
    <row r="587" spans="1:9" ht="19.8" customHeight="1" x14ac:dyDescent="0.3">
      <c r="A587" s="175">
        <v>46001</v>
      </c>
      <c r="B587" s="92" t="s">
        <v>26</v>
      </c>
      <c r="C587" s="93" t="s">
        <v>35</v>
      </c>
      <c r="D587" s="92" t="s">
        <v>1</v>
      </c>
      <c r="E587" s="176">
        <v>1.1284722222222221</v>
      </c>
      <c r="F587" s="92" t="s">
        <v>28</v>
      </c>
      <c r="G587" s="94">
        <v>6</v>
      </c>
      <c r="H587" s="173">
        <v>359</v>
      </c>
      <c r="I587" s="2"/>
    </row>
    <row r="588" spans="1:9" ht="19.8" customHeight="1" x14ac:dyDescent="0.3">
      <c r="A588" s="175">
        <v>46001</v>
      </c>
      <c r="B588" s="92" t="s">
        <v>79</v>
      </c>
      <c r="C588" s="93" t="s">
        <v>84</v>
      </c>
      <c r="D588" s="92" t="s">
        <v>1</v>
      </c>
      <c r="E588" s="176">
        <v>1.3923611111111109</v>
      </c>
      <c r="F588" s="92" t="s">
        <v>81</v>
      </c>
      <c r="G588" s="94">
        <v>9</v>
      </c>
      <c r="H588" s="173">
        <v>368</v>
      </c>
      <c r="I588" s="2"/>
    </row>
    <row r="589" spans="1:9" ht="19.8" customHeight="1" x14ac:dyDescent="0.3">
      <c r="A589" s="175">
        <v>46001</v>
      </c>
      <c r="B589" s="92" t="s">
        <v>70</v>
      </c>
      <c r="C589" s="93" t="s">
        <v>71</v>
      </c>
      <c r="D589" s="92" t="s">
        <v>1</v>
      </c>
      <c r="E589" s="176">
        <v>1.8611111111111109</v>
      </c>
      <c r="F589" s="92" t="s">
        <v>72</v>
      </c>
      <c r="G589" s="94">
        <v>4</v>
      </c>
      <c r="H589" s="173">
        <v>400</v>
      </c>
      <c r="I589" s="2"/>
    </row>
    <row r="590" spans="1:9" ht="19.8" customHeight="1" x14ac:dyDescent="0.3">
      <c r="A590" s="175">
        <v>46001</v>
      </c>
      <c r="B590" s="92" t="s">
        <v>74</v>
      </c>
      <c r="C590" s="93" t="s">
        <v>78</v>
      </c>
      <c r="D590" s="92" t="s">
        <v>1</v>
      </c>
      <c r="E590" s="176">
        <v>1.666666666666667</v>
      </c>
      <c r="F590" s="92" t="s">
        <v>72</v>
      </c>
      <c r="G590" s="94">
        <v>9</v>
      </c>
      <c r="H590" s="173">
        <v>401</v>
      </c>
      <c r="I590" s="2"/>
    </row>
    <row r="591" spans="1:9" ht="19.8" customHeight="1" x14ac:dyDescent="0.3">
      <c r="A591" s="175">
        <v>46001</v>
      </c>
      <c r="B591" s="92" t="s">
        <v>26</v>
      </c>
      <c r="C591" s="93" t="s">
        <v>39</v>
      </c>
      <c r="D591" s="92" t="s">
        <v>1</v>
      </c>
      <c r="E591" s="176">
        <v>1.302083333333333</v>
      </c>
      <c r="F591" s="92" t="s">
        <v>28</v>
      </c>
      <c r="G591" s="94">
        <v>2</v>
      </c>
      <c r="H591" s="173">
        <v>419</v>
      </c>
      <c r="I591" s="2"/>
    </row>
    <row r="592" spans="1:9" ht="19.8" customHeight="1" x14ac:dyDescent="0.3">
      <c r="A592" s="175">
        <v>46001</v>
      </c>
      <c r="B592" s="92" t="s">
        <v>26</v>
      </c>
      <c r="C592" s="93" t="s">
        <v>27</v>
      </c>
      <c r="D592" s="92" t="s">
        <v>1</v>
      </c>
      <c r="E592" s="176">
        <v>1.8888888888888891</v>
      </c>
      <c r="F592" s="92" t="s">
        <v>28</v>
      </c>
      <c r="G592" s="94">
        <v>10</v>
      </c>
      <c r="H592" s="173">
        <v>419</v>
      </c>
      <c r="I592" s="2"/>
    </row>
    <row r="593" spans="1:9" ht="19.8" customHeight="1" x14ac:dyDescent="0.3">
      <c r="A593" s="175">
        <v>46001</v>
      </c>
      <c r="B593" s="92" t="s">
        <v>26</v>
      </c>
      <c r="C593" s="93" t="s">
        <v>41</v>
      </c>
      <c r="D593" s="92" t="s">
        <v>1</v>
      </c>
      <c r="E593" s="176">
        <v>1.788194444444444</v>
      </c>
      <c r="F593" s="92" t="s">
        <v>28</v>
      </c>
      <c r="G593" s="94">
        <v>6</v>
      </c>
      <c r="H593" s="173">
        <v>419</v>
      </c>
      <c r="I593" s="2"/>
    </row>
    <row r="594" spans="1:9" ht="19.8" customHeight="1" x14ac:dyDescent="0.3">
      <c r="A594" s="175">
        <v>46001</v>
      </c>
      <c r="B594" s="92" t="s">
        <v>45</v>
      </c>
      <c r="C594" s="93" t="s">
        <v>57</v>
      </c>
      <c r="D594" s="92" t="s">
        <v>1</v>
      </c>
      <c r="E594" s="176">
        <v>1.256944444444444</v>
      </c>
      <c r="F594" s="92" t="s">
        <v>47</v>
      </c>
      <c r="G594" s="94">
        <v>1</v>
      </c>
      <c r="H594" s="173">
        <v>429</v>
      </c>
      <c r="I594" s="2"/>
    </row>
    <row r="595" spans="1:9" ht="19.8" customHeight="1" x14ac:dyDescent="0.3">
      <c r="A595" s="177">
        <v>46001</v>
      </c>
      <c r="B595" s="96" t="s">
        <v>87</v>
      </c>
      <c r="C595" s="97" t="s">
        <v>95</v>
      </c>
      <c r="D595" s="96" t="s">
        <v>1</v>
      </c>
      <c r="E595" s="178">
        <v>1.614583333333333</v>
      </c>
      <c r="F595" s="96" t="s">
        <v>89</v>
      </c>
      <c r="G595" s="98">
        <v>6</v>
      </c>
      <c r="H595" s="174">
        <v>436</v>
      </c>
      <c r="I595" s="2"/>
    </row>
    <row r="596" spans="1:9" ht="19.8" customHeight="1" x14ac:dyDescent="0.3">
      <c r="A596" s="177">
        <v>46001</v>
      </c>
      <c r="B596" s="96" t="s">
        <v>87</v>
      </c>
      <c r="C596" s="97" t="s">
        <v>88</v>
      </c>
      <c r="D596" s="96" t="s">
        <v>1</v>
      </c>
      <c r="E596" s="178">
        <v>1.520833333333333</v>
      </c>
      <c r="F596" s="96" t="s">
        <v>89</v>
      </c>
      <c r="G596" s="98">
        <v>5</v>
      </c>
      <c r="H596" s="174">
        <v>436</v>
      </c>
      <c r="I596" s="2"/>
    </row>
    <row r="597" spans="1:9" ht="19.8" customHeight="1" x14ac:dyDescent="0.3">
      <c r="A597" s="175">
        <v>46001</v>
      </c>
      <c r="B597" s="92" t="s">
        <v>45</v>
      </c>
      <c r="C597" s="93" t="s">
        <v>58</v>
      </c>
      <c r="D597" s="92" t="s">
        <v>1</v>
      </c>
      <c r="E597" s="176">
        <v>1.302083333333333</v>
      </c>
      <c r="F597" s="92" t="s">
        <v>47</v>
      </c>
      <c r="G597" s="94">
        <v>9</v>
      </c>
      <c r="H597" s="173">
        <v>469</v>
      </c>
      <c r="I597" s="2"/>
    </row>
    <row r="598" spans="1:9" ht="19.8" customHeight="1" x14ac:dyDescent="0.3">
      <c r="A598" s="175">
        <v>46001</v>
      </c>
      <c r="B598" s="92" t="s">
        <v>45</v>
      </c>
      <c r="C598" s="93" t="s">
        <v>60</v>
      </c>
      <c r="D598" s="92" t="s">
        <v>1</v>
      </c>
      <c r="E598" s="176">
        <v>1.7986111111111109</v>
      </c>
      <c r="F598" s="92" t="s">
        <v>47</v>
      </c>
      <c r="G598" s="94">
        <v>9</v>
      </c>
      <c r="H598" s="173">
        <v>469</v>
      </c>
      <c r="I598" s="2"/>
    </row>
    <row r="599" spans="1:9" ht="19.8" customHeight="1" x14ac:dyDescent="0.3">
      <c r="A599" s="175">
        <v>46001</v>
      </c>
      <c r="B599" s="92" t="s">
        <v>45</v>
      </c>
      <c r="C599" s="93" t="s">
        <v>46</v>
      </c>
      <c r="D599" s="92" t="s">
        <v>1</v>
      </c>
      <c r="E599" s="176">
        <v>1.395833333333333</v>
      </c>
      <c r="F599" s="92" t="s">
        <v>47</v>
      </c>
      <c r="G599" s="94">
        <v>4</v>
      </c>
      <c r="H599" s="173">
        <v>469</v>
      </c>
      <c r="I599" s="2"/>
    </row>
    <row r="600" spans="1:9" ht="19.8" customHeight="1" x14ac:dyDescent="0.3">
      <c r="A600" s="177">
        <v>46001</v>
      </c>
      <c r="B600" s="96" t="s">
        <v>87</v>
      </c>
      <c r="C600" s="97" t="s">
        <v>109</v>
      </c>
      <c r="D600" s="96" t="s">
        <v>1</v>
      </c>
      <c r="E600" s="178">
        <v>1.5173611111111109</v>
      </c>
      <c r="F600" s="96" t="s">
        <v>89</v>
      </c>
      <c r="G600" s="98">
        <v>5</v>
      </c>
      <c r="H600" s="174">
        <v>471</v>
      </c>
      <c r="I600" s="2"/>
    </row>
    <row r="601" spans="1:9" ht="19.8" customHeight="1" x14ac:dyDescent="0.3">
      <c r="A601" s="175">
        <v>46001</v>
      </c>
      <c r="B601" s="92" t="s">
        <v>79</v>
      </c>
      <c r="C601" s="93" t="s">
        <v>84</v>
      </c>
      <c r="D601" s="92" t="s">
        <v>1</v>
      </c>
      <c r="E601" s="176">
        <v>1.3923611111111109</v>
      </c>
      <c r="F601" s="92" t="s">
        <v>33</v>
      </c>
      <c r="G601" s="94">
        <v>9</v>
      </c>
      <c r="H601" s="173">
        <v>492</v>
      </c>
      <c r="I601" s="2"/>
    </row>
    <row r="602" spans="1:9" ht="19.8" customHeight="1" x14ac:dyDescent="0.3">
      <c r="A602" s="175">
        <v>46001</v>
      </c>
      <c r="B602" s="92" t="s">
        <v>45</v>
      </c>
      <c r="C602" s="93" t="s">
        <v>62</v>
      </c>
      <c r="D602" s="92" t="s">
        <v>1</v>
      </c>
      <c r="E602" s="176">
        <v>1.5173611111111109</v>
      </c>
      <c r="F602" s="92" t="s">
        <v>47</v>
      </c>
      <c r="G602" s="94">
        <v>4</v>
      </c>
      <c r="H602" s="173">
        <v>509</v>
      </c>
      <c r="I602" s="2"/>
    </row>
    <row r="603" spans="1:9" ht="19.8" customHeight="1" x14ac:dyDescent="0.3">
      <c r="A603" s="175">
        <v>46001</v>
      </c>
      <c r="B603" s="92" t="s">
        <v>26</v>
      </c>
      <c r="C603" s="93" t="s">
        <v>35</v>
      </c>
      <c r="D603" s="92" t="s">
        <v>1</v>
      </c>
      <c r="E603" s="176">
        <v>1.1284722222222221</v>
      </c>
      <c r="F603" s="92" t="s">
        <v>31</v>
      </c>
      <c r="G603" s="94">
        <v>6</v>
      </c>
      <c r="H603" s="173">
        <v>509</v>
      </c>
      <c r="I603" s="2"/>
    </row>
    <row r="604" spans="1:9" ht="19.8" customHeight="1" x14ac:dyDescent="0.3">
      <c r="A604" s="175">
        <v>46001</v>
      </c>
      <c r="B604" s="92" t="s">
        <v>45</v>
      </c>
      <c r="C604" s="93" t="s">
        <v>57</v>
      </c>
      <c r="D604" s="92" t="s">
        <v>1</v>
      </c>
      <c r="E604" s="176">
        <v>1.256944444444444</v>
      </c>
      <c r="F604" s="92" t="s">
        <v>49</v>
      </c>
      <c r="G604" s="94">
        <v>1</v>
      </c>
      <c r="H604" s="173">
        <v>529</v>
      </c>
      <c r="I604" s="2"/>
    </row>
    <row r="605" spans="1:9" ht="19.8" customHeight="1" x14ac:dyDescent="0.3">
      <c r="A605" s="175">
        <v>46001</v>
      </c>
      <c r="B605" s="92" t="s">
        <v>45</v>
      </c>
      <c r="C605" s="93" t="s">
        <v>53</v>
      </c>
      <c r="D605" s="92" t="s">
        <v>1</v>
      </c>
      <c r="E605" s="176">
        <v>1.854166666666667</v>
      </c>
      <c r="F605" s="92" t="s">
        <v>47</v>
      </c>
      <c r="G605" s="94">
        <v>9</v>
      </c>
      <c r="H605" s="173">
        <v>549</v>
      </c>
      <c r="I605" s="2"/>
    </row>
    <row r="606" spans="1:9" ht="19.8" customHeight="1" x14ac:dyDescent="0.3">
      <c r="A606" s="175">
        <v>46001</v>
      </c>
      <c r="B606" s="92" t="s">
        <v>45</v>
      </c>
      <c r="C606" s="93" t="s">
        <v>66</v>
      </c>
      <c r="D606" s="92" t="s">
        <v>1</v>
      </c>
      <c r="E606" s="176">
        <v>1.645833333333333</v>
      </c>
      <c r="F606" s="92" t="s">
        <v>47</v>
      </c>
      <c r="G606" s="94">
        <v>7</v>
      </c>
      <c r="H606" s="173">
        <v>549</v>
      </c>
      <c r="I606" s="2"/>
    </row>
    <row r="607" spans="1:9" ht="19.8" customHeight="1" x14ac:dyDescent="0.3">
      <c r="A607" s="175">
        <v>46001</v>
      </c>
      <c r="B607" s="92" t="s">
        <v>45</v>
      </c>
      <c r="C607" s="93" t="s">
        <v>58</v>
      </c>
      <c r="D607" s="92" t="s">
        <v>1</v>
      </c>
      <c r="E607" s="176">
        <v>1.302083333333333</v>
      </c>
      <c r="F607" s="92" t="s">
        <v>49</v>
      </c>
      <c r="G607" s="94">
        <v>9</v>
      </c>
      <c r="H607" s="173">
        <v>569</v>
      </c>
      <c r="I607" s="2"/>
    </row>
    <row r="608" spans="1:9" ht="19.8" customHeight="1" x14ac:dyDescent="0.3">
      <c r="A608" s="175">
        <v>46001</v>
      </c>
      <c r="B608" s="92" t="s">
        <v>45</v>
      </c>
      <c r="C608" s="93" t="s">
        <v>60</v>
      </c>
      <c r="D608" s="92" t="s">
        <v>1</v>
      </c>
      <c r="E608" s="176">
        <v>1.7986111111111109</v>
      </c>
      <c r="F608" s="92" t="s">
        <v>49</v>
      </c>
      <c r="G608" s="94">
        <v>9</v>
      </c>
      <c r="H608" s="173">
        <v>569</v>
      </c>
      <c r="I608" s="2"/>
    </row>
    <row r="609" spans="1:9" ht="19.8" customHeight="1" x14ac:dyDescent="0.3">
      <c r="A609" s="175">
        <v>46001</v>
      </c>
      <c r="B609" s="92" t="s">
        <v>45</v>
      </c>
      <c r="C609" s="93" t="s">
        <v>46</v>
      </c>
      <c r="D609" s="92" t="s">
        <v>1</v>
      </c>
      <c r="E609" s="176">
        <v>1.395833333333333</v>
      </c>
      <c r="F609" s="92" t="s">
        <v>49</v>
      </c>
      <c r="G609" s="94">
        <v>4</v>
      </c>
      <c r="H609" s="173">
        <v>569</v>
      </c>
      <c r="I609" s="2"/>
    </row>
    <row r="610" spans="1:9" ht="19.8" customHeight="1" x14ac:dyDescent="0.3">
      <c r="A610" s="175">
        <v>46001</v>
      </c>
      <c r="B610" s="92" t="s">
        <v>26</v>
      </c>
      <c r="C610" s="93" t="s">
        <v>39</v>
      </c>
      <c r="D610" s="92" t="s">
        <v>1</v>
      </c>
      <c r="E610" s="176">
        <v>1.302083333333333</v>
      </c>
      <c r="F610" s="92" t="s">
        <v>31</v>
      </c>
      <c r="G610" s="94">
        <v>2</v>
      </c>
      <c r="H610" s="173">
        <v>569</v>
      </c>
      <c r="I610" s="2"/>
    </row>
    <row r="611" spans="1:9" ht="19.8" customHeight="1" x14ac:dyDescent="0.3">
      <c r="A611" s="175">
        <v>46001</v>
      </c>
      <c r="B611" s="92" t="s">
        <v>26</v>
      </c>
      <c r="C611" s="93" t="s">
        <v>27</v>
      </c>
      <c r="D611" s="92" t="s">
        <v>1</v>
      </c>
      <c r="E611" s="176">
        <v>1.8888888888888891</v>
      </c>
      <c r="F611" s="92" t="s">
        <v>31</v>
      </c>
      <c r="G611" s="94">
        <v>10</v>
      </c>
      <c r="H611" s="173">
        <v>569</v>
      </c>
      <c r="I611" s="2"/>
    </row>
    <row r="612" spans="1:9" ht="19.8" customHeight="1" x14ac:dyDescent="0.3">
      <c r="A612" s="175">
        <v>46001</v>
      </c>
      <c r="B612" s="92" t="s">
        <v>26</v>
      </c>
      <c r="C612" s="93" t="s">
        <v>41</v>
      </c>
      <c r="D612" s="92" t="s">
        <v>1</v>
      </c>
      <c r="E612" s="176">
        <v>1.788194444444444</v>
      </c>
      <c r="F612" s="92" t="s">
        <v>31</v>
      </c>
      <c r="G612" s="94">
        <v>6</v>
      </c>
      <c r="H612" s="173">
        <v>569</v>
      </c>
      <c r="I612" s="2"/>
    </row>
    <row r="613" spans="1:9" ht="19.8" customHeight="1" x14ac:dyDescent="0.3">
      <c r="A613" s="175">
        <v>46001</v>
      </c>
      <c r="B613" s="92" t="s">
        <v>45</v>
      </c>
      <c r="C613" s="93" t="s">
        <v>62</v>
      </c>
      <c r="D613" s="92" t="s">
        <v>1</v>
      </c>
      <c r="E613" s="176">
        <v>1.5173611111111109</v>
      </c>
      <c r="F613" s="92" t="s">
        <v>49</v>
      </c>
      <c r="G613" s="94">
        <v>4</v>
      </c>
      <c r="H613" s="173">
        <v>609</v>
      </c>
      <c r="I613" s="2"/>
    </row>
    <row r="614" spans="1:9" ht="19.8" customHeight="1" x14ac:dyDescent="0.3">
      <c r="A614" s="175">
        <v>46001</v>
      </c>
      <c r="B614" s="92" t="s">
        <v>45</v>
      </c>
      <c r="C614" s="93" t="s">
        <v>57</v>
      </c>
      <c r="D614" s="92" t="s">
        <v>1</v>
      </c>
      <c r="E614" s="176">
        <v>1.256944444444444</v>
      </c>
      <c r="F614" s="92" t="s">
        <v>51</v>
      </c>
      <c r="G614" s="94">
        <v>1</v>
      </c>
      <c r="H614" s="173">
        <v>619</v>
      </c>
      <c r="I614" s="2"/>
    </row>
    <row r="615" spans="1:9" ht="19.8" customHeight="1" x14ac:dyDescent="0.3">
      <c r="A615" s="175">
        <v>46001</v>
      </c>
      <c r="B615" s="92" t="s">
        <v>45</v>
      </c>
      <c r="C615" s="93" t="s">
        <v>53</v>
      </c>
      <c r="D615" s="92" t="s">
        <v>1</v>
      </c>
      <c r="E615" s="176">
        <v>1.854166666666667</v>
      </c>
      <c r="F615" s="92" t="s">
        <v>49</v>
      </c>
      <c r="G615" s="94">
        <v>9</v>
      </c>
      <c r="H615" s="173">
        <v>649</v>
      </c>
      <c r="I615" s="2"/>
    </row>
    <row r="616" spans="1:9" ht="19.8" customHeight="1" x14ac:dyDescent="0.3">
      <c r="A616" s="175">
        <v>46001</v>
      </c>
      <c r="B616" s="92" t="s">
        <v>45</v>
      </c>
      <c r="C616" s="93" t="s">
        <v>66</v>
      </c>
      <c r="D616" s="92" t="s">
        <v>1</v>
      </c>
      <c r="E616" s="176">
        <v>1.645833333333333</v>
      </c>
      <c r="F616" s="92" t="s">
        <v>49</v>
      </c>
      <c r="G616" s="94">
        <v>7</v>
      </c>
      <c r="H616" s="173">
        <v>649</v>
      </c>
      <c r="I616" s="2"/>
    </row>
    <row r="617" spans="1:9" ht="19.8" customHeight="1" x14ac:dyDescent="0.3">
      <c r="A617" s="175">
        <v>46001</v>
      </c>
      <c r="B617" s="92" t="s">
        <v>45</v>
      </c>
      <c r="C617" s="93" t="s">
        <v>58</v>
      </c>
      <c r="D617" s="92" t="s">
        <v>1</v>
      </c>
      <c r="E617" s="176">
        <v>1.302083333333333</v>
      </c>
      <c r="F617" s="92" t="s">
        <v>51</v>
      </c>
      <c r="G617" s="94">
        <v>9</v>
      </c>
      <c r="H617" s="173">
        <v>659</v>
      </c>
      <c r="I617" s="2"/>
    </row>
    <row r="618" spans="1:9" ht="19.8" customHeight="1" x14ac:dyDescent="0.3">
      <c r="A618" s="175">
        <v>46001</v>
      </c>
      <c r="B618" s="92" t="s">
        <v>45</v>
      </c>
      <c r="C618" s="93" t="s">
        <v>60</v>
      </c>
      <c r="D618" s="92" t="s">
        <v>1</v>
      </c>
      <c r="E618" s="176">
        <v>1.7986111111111109</v>
      </c>
      <c r="F618" s="92" t="s">
        <v>51</v>
      </c>
      <c r="G618" s="94">
        <v>9</v>
      </c>
      <c r="H618" s="173">
        <v>659</v>
      </c>
      <c r="I618" s="2"/>
    </row>
    <row r="619" spans="1:9" ht="19.8" customHeight="1" x14ac:dyDescent="0.3">
      <c r="A619" s="175">
        <v>46001</v>
      </c>
      <c r="B619" s="92" t="s">
        <v>45</v>
      </c>
      <c r="C619" s="93" t="s">
        <v>46</v>
      </c>
      <c r="D619" s="92" t="s">
        <v>1</v>
      </c>
      <c r="E619" s="176">
        <v>1.395833333333333</v>
      </c>
      <c r="F619" s="92" t="s">
        <v>51</v>
      </c>
      <c r="G619" s="94">
        <v>4</v>
      </c>
      <c r="H619" s="173">
        <v>659</v>
      </c>
      <c r="I619" s="2"/>
    </row>
    <row r="620" spans="1:9" ht="19.8" customHeight="1" x14ac:dyDescent="0.3">
      <c r="A620" s="175">
        <v>46001</v>
      </c>
      <c r="B620" s="92" t="s">
        <v>45</v>
      </c>
      <c r="C620" s="93" t="s">
        <v>59</v>
      </c>
      <c r="D620" s="92" t="s">
        <v>1</v>
      </c>
      <c r="E620" s="176">
        <v>1.9027777777777779</v>
      </c>
      <c r="F620" s="92" t="s">
        <v>47</v>
      </c>
      <c r="G620" s="94">
        <v>9</v>
      </c>
      <c r="H620" s="173">
        <v>669</v>
      </c>
      <c r="I620" s="2"/>
    </row>
    <row r="621" spans="1:9" ht="19.8" customHeight="1" x14ac:dyDescent="0.3">
      <c r="A621" s="175">
        <v>46001</v>
      </c>
      <c r="B621" s="92" t="s">
        <v>45</v>
      </c>
      <c r="C621" s="93" t="s">
        <v>62</v>
      </c>
      <c r="D621" s="92" t="s">
        <v>1</v>
      </c>
      <c r="E621" s="176">
        <v>1.5173611111111109</v>
      </c>
      <c r="F621" s="92" t="s">
        <v>51</v>
      </c>
      <c r="G621" s="94">
        <v>4</v>
      </c>
      <c r="H621" s="173">
        <v>699</v>
      </c>
      <c r="I621" s="2"/>
    </row>
    <row r="622" spans="1:9" ht="19.8" customHeight="1" x14ac:dyDescent="0.3">
      <c r="A622" s="175">
        <v>46001</v>
      </c>
      <c r="B622" s="92" t="s">
        <v>115</v>
      </c>
      <c r="C622" s="93" t="s">
        <v>116</v>
      </c>
      <c r="D622" s="92" t="s">
        <v>1</v>
      </c>
      <c r="E622" s="176">
        <v>1.2222222222222221</v>
      </c>
      <c r="F622" s="92" t="s">
        <v>124</v>
      </c>
      <c r="G622" s="94">
        <v>9</v>
      </c>
      <c r="H622" s="173">
        <v>712</v>
      </c>
      <c r="I622" s="2"/>
    </row>
    <row r="623" spans="1:9" ht="19.8" customHeight="1" x14ac:dyDescent="0.3">
      <c r="A623" s="175">
        <v>46001</v>
      </c>
      <c r="B623" s="92" t="s">
        <v>45</v>
      </c>
      <c r="C623" s="93" t="s">
        <v>53</v>
      </c>
      <c r="D623" s="92" t="s">
        <v>1</v>
      </c>
      <c r="E623" s="176">
        <v>1.854166666666667</v>
      </c>
      <c r="F623" s="92" t="s">
        <v>51</v>
      </c>
      <c r="G623" s="94">
        <v>9</v>
      </c>
      <c r="H623" s="173">
        <v>739</v>
      </c>
      <c r="I623" s="2"/>
    </row>
    <row r="624" spans="1:9" ht="19.8" customHeight="1" x14ac:dyDescent="0.3">
      <c r="A624" s="175">
        <v>46001</v>
      </c>
      <c r="B624" s="92" t="s">
        <v>45</v>
      </c>
      <c r="C624" s="93" t="s">
        <v>66</v>
      </c>
      <c r="D624" s="92" t="s">
        <v>1</v>
      </c>
      <c r="E624" s="176">
        <v>1.645833333333333</v>
      </c>
      <c r="F624" s="92" t="s">
        <v>51</v>
      </c>
      <c r="G624" s="94">
        <v>7</v>
      </c>
      <c r="H624" s="173">
        <v>739</v>
      </c>
      <c r="I624" s="2"/>
    </row>
    <row r="625" spans="1:9" ht="19.8" customHeight="1" x14ac:dyDescent="0.3">
      <c r="A625" s="175">
        <v>46001</v>
      </c>
      <c r="B625" s="92" t="s">
        <v>45</v>
      </c>
      <c r="C625" s="93" t="s">
        <v>59</v>
      </c>
      <c r="D625" s="92" t="s">
        <v>1</v>
      </c>
      <c r="E625" s="176">
        <v>1.9027777777777779</v>
      </c>
      <c r="F625" s="92" t="s">
        <v>49</v>
      </c>
      <c r="G625" s="94">
        <v>9</v>
      </c>
      <c r="H625" s="173">
        <v>769</v>
      </c>
      <c r="I625" s="2"/>
    </row>
    <row r="626" spans="1:9" ht="19.8" customHeight="1" x14ac:dyDescent="0.3">
      <c r="A626" s="175">
        <v>46001</v>
      </c>
      <c r="B626" s="92" t="s">
        <v>45</v>
      </c>
      <c r="C626" s="93" t="s">
        <v>59</v>
      </c>
      <c r="D626" s="92" t="s">
        <v>1</v>
      </c>
      <c r="E626" s="176">
        <v>1.9027777777777779</v>
      </c>
      <c r="F626" s="92" t="s">
        <v>51</v>
      </c>
      <c r="G626" s="94">
        <v>9</v>
      </c>
      <c r="H626" s="173">
        <v>859</v>
      </c>
      <c r="I626" s="2"/>
    </row>
    <row r="627" spans="1:9" ht="19.8" customHeight="1" x14ac:dyDescent="0.3">
      <c r="A627" s="175">
        <v>46001</v>
      </c>
      <c r="B627" s="92" t="s">
        <v>130</v>
      </c>
      <c r="C627" s="93" t="s">
        <v>143</v>
      </c>
      <c r="D627" s="92" t="s">
        <v>1</v>
      </c>
      <c r="E627" s="176">
        <v>1.006944444444444</v>
      </c>
      <c r="F627" s="92" t="s">
        <v>132</v>
      </c>
      <c r="G627" s="94">
        <v>9</v>
      </c>
      <c r="H627" s="173">
        <v>897</v>
      </c>
      <c r="I627" s="2"/>
    </row>
    <row r="628" spans="1:9" ht="19.8" customHeight="1" x14ac:dyDescent="0.3">
      <c r="A628" s="175">
        <v>46001</v>
      </c>
      <c r="B628" s="92" t="s">
        <v>130</v>
      </c>
      <c r="C628" s="93" t="s">
        <v>146</v>
      </c>
      <c r="D628" s="92" t="s">
        <v>1</v>
      </c>
      <c r="E628" s="176">
        <v>1.1423611111111109</v>
      </c>
      <c r="F628" s="92" t="s">
        <v>132</v>
      </c>
      <c r="G628" s="94">
        <v>9</v>
      </c>
      <c r="H628" s="173">
        <v>897</v>
      </c>
      <c r="I628" s="2"/>
    </row>
    <row r="629" spans="1:9" ht="19.8" customHeight="1" x14ac:dyDescent="0.3">
      <c r="A629" s="175">
        <v>46001</v>
      </c>
      <c r="B629" s="92" t="s">
        <v>130</v>
      </c>
      <c r="C629" s="93" t="s">
        <v>131</v>
      </c>
      <c r="D629" s="92" t="s">
        <v>1</v>
      </c>
      <c r="E629" s="176">
        <v>1.930555555555556</v>
      </c>
      <c r="F629" s="92" t="s">
        <v>132</v>
      </c>
      <c r="G629" s="94">
        <v>9</v>
      </c>
      <c r="H629" s="173">
        <v>897</v>
      </c>
      <c r="I629" s="2"/>
    </row>
    <row r="630" spans="1:9" ht="19.8" customHeight="1" x14ac:dyDescent="0.3">
      <c r="A630" s="175">
        <v>46001</v>
      </c>
      <c r="B630" s="92" t="s">
        <v>130</v>
      </c>
      <c r="C630" s="93" t="s">
        <v>148</v>
      </c>
      <c r="D630" s="92" t="s">
        <v>1</v>
      </c>
      <c r="E630" s="176">
        <v>1.8298611111111109</v>
      </c>
      <c r="F630" s="92" t="s">
        <v>132</v>
      </c>
      <c r="G630" s="94">
        <v>9</v>
      </c>
      <c r="H630" s="173">
        <v>897</v>
      </c>
      <c r="I630" s="2"/>
    </row>
    <row r="631" spans="1:9" ht="19.8" customHeight="1" x14ac:dyDescent="0.3">
      <c r="A631" s="175">
        <v>46001</v>
      </c>
      <c r="B631" s="92" t="s">
        <v>130</v>
      </c>
      <c r="C631" s="93" t="s">
        <v>136</v>
      </c>
      <c r="D631" s="92" t="s">
        <v>1</v>
      </c>
      <c r="E631" s="176">
        <v>1.3784722222222221</v>
      </c>
      <c r="F631" s="92" t="s">
        <v>132</v>
      </c>
      <c r="G631" s="94">
        <v>9</v>
      </c>
      <c r="H631" s="173">
        <v>897</v>
      </c>
      <c r="I631" s="2"/>
    </row>
    <row r="632" spans="1:9" ht="19.8" customHeight="1" x14ac:dyDescent="0.3">
      <c r="A632" s="175">
        <v>46001</v>
      </c>
      <c r="B632" s="92" t="s">
        <v>130</v>
      </c>
      <c r="C632" s="93" t="s">
        <v>137</v>
      </c>
      <c r="D632" s="92" t="s">
        <v>1</v>
      </c>
      <c r="E632" s="176">
        <v>1.6111111111111109</v>
      </c>
      <c r="F632" s="92" t="s">
        <v>132</v>
      </c>
      <c r="G632" s="94">
        <v>1</v>
      </c>
      <c r="H632" s="173">
        <v>897</v>
      </c>
      <c r="I632" s="2"/>
    </row>
    <row r="633" spans="1:9" ht="19.8" customHeight="1" x14ac:dyDescent="0.3">
      <c r="A633" s="175">
        <v>46001</v>
      </c>
      <c r="B633" s="92" t="s">
        <v>130</v>
      </c>
      <c r="C633" s="93" t="s">
        <v>138</v>
      </c>
      <c r="D633" s="92" t="s">
        <v>1</v>
      </c>
      <c r="E633" s="176">
        <v>1.239583333333333</v>
      </c>
      <c r="F633" s="92" t="s">
        <v>132</v>
      </c>
      <c r="G633" s="94">
        <v>9</v>
      </c>
      <c r="H633" s="173">
        <v>897</v>
      </c>
      <c r="I633" s="2"/>
    </row>
    <row r="634" spans="1:9" ht="19.8" customHeight="1" x14ac:dyDescent="0.3">
      <c r="A634" s="175">
        <v>46001</v>
      </c>
      <c r="B634" s="92" t="s">
        <v>115</v>
      </c>
      <c r="C634" s="93" t="s">
        <v>121</v>
      </c>
      <c r="D634" s="92" t="s">
        <v>1</v>
      </c>
      <c r="E634" s="176">
        <v>1.4861111111111109</v>
      </c>
      <c r="F634" s="92" t="s">
        <v>124</v>
      </c>
      <c r="G634" s="94">
        <v>9</v>
      </c>
      <c r="H634" s="173">
        <v>993</v>
      </c>
      <c r="I634" s="2"/>
    </row>
    <row r="635" spans="1:9" ht="19.8" customHeight="1" x14ac:dyDescent="0.3">
      <c r="A635" s="175">
        <v>46001</v>
      </c>
      <c r="B635" s="92" t="s">
        <v>130</v>
      </c>
      <c r="C635" s="93" t="s">
        <v>143</v>
      </c>
      <c r="D635" s="92" t="s">
        <v>1</v>
      </c>
      <c r="E635" s="176">
        <v>1.006944444444444</v>
      </c>
      <c r="F635" s="92" t="s">
        <v>134</v>
      </c>
      <c r="G635" s="94">
        <v>9</v>
      </c>
      <c r="H635" s="99" t="s">
        <v>293</v>
      </c>
      <c r="I635" s="2"/>
    </row>
    <row r="636" spans="1:9" ht="19.8" customHeight="1" x14ac:dyDescent="0.3">
      <c r="A636" s="175">
        <v>46001</v>
      </c>
      <c r="B636" s="92" t="s">
        <v>130</v>
      </c>
      <c r="C636" s="93" t="s">
        <v>146</v>
      </c>
      <c r="D636" s="92" t="s">
        <v>1</v>
      </c>
      <c r="E636" s="176">
        <v>1.1423611111111109</v>
      </c>
      <c r="F636" s="92" t="s">
        <v>134</v>
      </c>
      <c r="G636" s="94">
        <v>9</v>
      </c>
      <c r="H636" s="99" t="s">
        <v>293</v>
      </c>
      <c r="I636" s="2"/>
    </row>
    <row r="637" spans="1:9" ht="19.8" customHeight="1" x14ac:dyDescent="0.3">
      <c r="A637" s="175">
        <v>46001</v>
      </c>
      <c r="B637" s="92" t="s">
        <v>130</v>
      </c>
      <c r="C637" s="93" t="s">
        <v>131</v>
      </c>
      <c r="D637" s="92" t="s">
        <v>1</v>
      </c>
      <c r="E637" s="176">
        <v>1.930555555555556</v>
      </c>
      <c r="F637" s="92" t="s">
        <v>134</v>
      </c>
      <c r="G637" s="94">
        <v>9</v>
      </c>
      <c r="H637" s="99" t="s">
        <v>293</v>
      </c>
      <c r="I637" s="2"/>
    </row>
    <row r="638" spans="1:9" ht="19.8" customHeight="1" x14ac:dyDescent="0.3">
      <c r="A638" s="175">
        <v>46001</v>
      </c>
      <c r="B638" s="92" t="s">
        <v>130</v>
      </c>
      <c r="C638" s="93" t="s">
        <v>148</v>
      </c>
      <c r="D638" s="92" t="s">
        <v>1</v>
      </c>
      <c r="E638" s="176">
        <v>1.8298611111111109</v>
      </c>
      <c r="F638" s="92" t="s">
        <v>134</v>
      </c>
      <c r="G638" s="94">
        <v>9</v>
      </c>
      <c r="H638" s="99" t="s">
        <v>293</v>
      </c>
      <c r="I638" s="2"/>
    </row>
    <row r="639" spans="1:9" ht="19.8" customHeight="1" x14ac:dyDescent="0.3">
      <c r="A639" s="175">
        <v>46001</v>
      </c>
      <c r="B639" s="92" t="s">
        <v>130</v>
      </c>
      <c r="C639" s="93" t="s">
        <v>136</v>
      </c>
      <c r="D639" s="92" t="s">
        <v>1</v>
      </c>
      <c r="E639" s="176">
        <v>1.3784722222222221</v>
      </c>
      <c r="F639" s="92" t="s">
        <v>134</v>
      </c>
      <c r="G639" s="94">
        <v>9</v>
      </c>
      <c r="H639" s="99" t="s">
        <v>293</v>
      </c>
      <c r="I639" s="2"/>
    </row>
    <row r="640" spans="1:9" ht="19.8" customHeight="1" x14ac:dyDescent="0.3">
      <c r="A640" s="175">
        <v>46001</v>
      </c>
      <c r="B640" s="92" t="s">
        <v>130</v>
      </c>
      <c r="C640" s="93" t="s">
        <v>137</v>
      </c>
      <c r="D640" s="92" t="s">
        <v>1</v>
      </c>
      <c r="E640" s="176">
        <v>1.6111111111111109</v>
      </c>
      <c r="F640" s="92" t="s">
        <v>134</v>
      </c>
      <c r="G640" s="94">
        <v>1</v>
      </c>
      <c r="H640" s="99" t="s">
        <v>293</v>
      </c>
      <c r="I640" s="2"/>
    </row>
    <row r="641" spans="1:9" ht="19.8" customHeight="1" x14ac:dyDescent="0.3">
      <c r="A641" s="175">
        <v>46001</v>
      </c>
      <c r="B641" s="92" t="s">
        <v>130</v>
      </c>
      <c r="C641" s="93" t="s">
        <v>138</v>
      </c>
      <c r="D641" s="92" t="s">
        <v>1</v>
      </c>
      <c r="E641" s="176">
        <v>1.239583333333333</v>
      </c>
      <c r="F641" s="92" t="s">
        <v>134</v>
      </c>
      <c r="G641" s="94">
        <v>9</v>
      </c>
      <c r="H641" s="99" t="s">
        <v>293</v>
      </c>
      <c r="I641" s="2"/>
    </row>
    <row r="642" spans="1:9" ht="19.8" customHeight="1" x14ac:dyDescent="0.3">
      <c r="A642" s="175">
        <v>46001</v>
      </c>
      <c r="B642" s="92" t="s">
        <v>26</v>
      </c>
      <c r="C642" s="93" t="s">
        <v>35</v>
      </c>
      <c r="D642" s="92" t="s">
        <v>1</v>
      </c>
      <c r="E642" s="176">
        <v>1.1284722222222221</v>
      </c>
      <c r="F642" s="92" t="s">
        <v>33</v>
      </c>
      <c r="G642" s="94">
        <v>6</v>
      </c>
      <c r="H642" s="99" t="s">
        <v>34</v>
      </c>
      <c r="I642" s="2"/>
    </row>
    <row r="643" spans="1:9" ht="19.8" customHeight="1" x14ac:dyDescent="0.3">
      <c r="A643" s="175">
        <v>46001</v>
      </c>
      <c r="B643" s="92" t="s">
        <v>26</v>
      </c>
      <c r="C643" s="93" t="s">
        <v>39</v>
      </c>
      <c r="D643" s="92" t="s">
        <v>1</v>
      </c>
      <c r="E643" s="176">
        <v>1.302083333333333</v>
      </c>
      <c r="F643" s="92" t="s">
        <v>33</v>
      </c>
      <c r="G643" s="94">
        <v>2</v>
      </c>
      <c r="H643" s="99" t="s">
        <v>34</v>
      </c>
      <c r="I643" s="2"/>
    </row>
    <row r="644" spans="1:9" ht="19.8" customHeight="1" x14ac:dyDescent="0.3">
      <c r="A644" s="175">
        <v>46001</v>
      </c>
      <c r="B644" s="92" t="s">
        <v>26</v>
      </c>
      <c r="C644" s="93" t="s">
        <v>27</v>
      </c>
      <c r="D644" s="92" t="s">
        <v>1</v>
      </c>
      <c r="E644" s="176">
        <v>1.8888888888888891</v>
      </c>
      <c r="F644" s="92" t="s">
        <v>33</v>
      </c>
      <c r="G644" s="94">
        <v>10</v>
      </c>
      <c r="H644" s="99" t="s">
        <v>34</v>
      </c>
      <c r="I644" s="2"/>
    </row>
    <row r="645" spans="1:9" ht="19.8" customHeight="1" x14ac:dyDescent="0.3">
      <c r="A645" s="175">
        <v>46001</v>
      </c>
      <c r="B645" s="92" t="s">
        <v>26</v>
      </c>
      <c r="C645" s="93" t="s">
        <v>41</v>
      </c>
      <c r="D645" s="92" t="s">
        <v>1</v>
      </c>
      <c r="E645" s="176">
        <v>1.788194444444444</v>
      </c>
      <c r="F645" s="92" t="s">
        <v>33</v>
      </c>
      <c r="G645" s="94">
        <v>6</v>
      </c>
      <c r="H645" s="99" t="s">
        <v>34</v>
      </c>
      <c r="I645" s="2"/>
    </row>
    <row r="646" spans="1:9" ht="19.8" customHeight="1" x14ac:dyDescent="0.3">
      <c r="A646" s="175">
        <v>46001</v>
      </c>
      <c r="B646" s="92" t="s">
        <v>130</v>
      </c>
      <c r="C646" s="93" t="s">
        <v>142</v>
      </c>
      <c r="D646" s="92" t="s">
        <v>1</v>
      </c>
      <c r="E646" s="176">
        <v>1.1284722222222221</v>
      </c>
      <c r="F646" s="92" t="s">
        <v>134</v>
      </c>
      <c r="G646" s="94">
        <v>4</v>
      </c>
      <c r="H646" s="99" t="s">
        <v>178</v>
      </c>
      <c r="I646" s="2"/>
    </row>
    <row r="647" spans="1:9" ht="19.8" customHeight="1" x14ac:dyDescent="0.3">
      <c r="A647" s="175">
        <v>46001</v>
      </c>
      <c r="B647" s="92" t="s">
        <v>130</v>
      </c>
      <c r="C647" s="93" t="s">
        <v>147</v>
      </c>
      <c r="D647" s="92" t="s">
        <v>1</v>
      </c>
      <c r="E647" s="176">
        <v>1.71875</v>
      </c>
      <c r="F647" s="92" t="s">
        <v>132</v>
      </c>
      <c r="G647" s="94">
        <v>9</v>
      </c>
      <c r="H647" s="99" t="s">
        <v>294</v>
      </c>
      <c r="I647" s="2"/>
    </row>
    <row r="648" spans="1:9" ht="19.8" customHeight="1" x14ac:dyDescent="0.3">
      <c r="A648" s="175">
        <v>46001</v>
      </c>
      <c r="B648" s="92" t="s">
        <v>130</v>
      </c>
      <c r="C648" s="93" t="s">
        <v>147</v>
      </c>
      <c r="D648" s="92" t="s">
        <v>1</v>
      </c>
      <c r="E648" s="176">
        <v>1.71875</v>
      </c>
      <c r="F648" s="92" t="s">
        <v>134</v>
      </c>
      <c r="G648" s="94">
        <v>9</v>
      </c>
      <c r="H648" s="99" t="s">
        <v>295</v>
      </c>
      <c r="I648" s="2"/>
    </row>
    <row r="649" spans="1:9" ht="19.8" customHeight="1" x14ac:dyDescent="0.3">
      <c r="A649" s="175">
        <v>46001</v>
      </c>
      <c r="B649" s="92" t="s">
        <v>130</v>
      </c>
      <c r="C649" s="93" t="s">
        <v>139</v>
      </c>
      <c r="D649" s="92" t="s">
        <v>1</v>
      </c>
      <c r="E649" s="176">
        <v>1.8888888888888891</v>
      </c>
      <c r="F649" s="92" t="s">
        <v>134</v>
      </c>
      <c r="G649" s="94">
        <v>4</v>
      </c>
      <c r="H649" s="99" t="s">
        <v>179</v>
      </c>
      <c r="I649" s="2"/>
    </row>
    <row r="650" spans="1:9" ht="19.8" customHeight="1" x14ac:dyDescent="0.3">
      <c r="A650" s="175">
        <v>46001</v>
      </c>
      <c r="B650" s="92" t="s">
        <v>130</v>
      </c>
      <c r="C650" s="93" t="s">
        <v>141</v>
      </c>
      <c r="D650" s="92" t="s">
        <v>1</v>
      </c>
      <c r="E650" s="176">
        <v>1.302083333333333</v>
      </c>
      <c r="F650" s="92" t="s">
        <v>134</v>
      </c>
      <c r="G650" s="94">
        <v>4</v>
      </c>
      <c r="H650" s="99" t="s">
        <v>179</v>
      </c>
      <c r="I650" s="2"/>
    </row>
    <row r="651" spans="1:9" ht="19.8" customHeight="1" x14ac:dyDescent="0.3">
      <c r="A651" s="175">
        <v>46001</v>
      </c>
      <c r="B651" s="92" t="s">
        <v>130</v>
      </c>
      <c r="C651" s="93" t="s">
        <v>149</v>
      </c>
      <c r="D651" s="92" t="s">
        <v>1</v>
      </c>
      <c r="E651" s="176">
        <v>1.788194444444444</v>
      </c>
      <c r="F651" s="92" t="s">
        <v>134</v>
      </c>
      <c r="G651" s="94">
        <v>4</v>
      </c>
      <c r="H651" s="99" t="s">
        <v>179</v>
      </c>
      <c r="I651" s="2"/>
    </row>
    <row r="652" spans="1:9" ht="19.8" customHeight="1" x14ac:dyDescent="0.3">
      <c r="A652" s="175">
        <v>46001</v>
      </c>
      <c r="B652" s="92" t="s">
        <v>115</v>
      </c>
      <c r="C652" s="93" t="s">
        <v>120</v>
      </c>
      <c r="D652" s="92" t="s">
        <v>1</v>
      </c>
      <c r="E652" s="176">
        <v>1.2777777777777779</v>
      </c>
      <c r="F652" s="92" t="s">
        <v>124</v>
      </c>
      <c r="G652" s="94">
        <v>9</v>
      </c>
      <c r="H652" s="99" t="s">
        <v>289</v>
      </c>
      <c r="I652" s="2"/>
    </row>
    <row r="653" spans="1:9" ht="19.8" customHeight="1" x14ac:dyDescent="0.3">
      <c r="A653" s="175">
        <v>46001</v>
      </c>
      <c r="B653" s="92" t="s">
        <v>115</v>
      </c>
      <c r="C653" s="93" t="s">
        <v>123</v>
      </c>
      <c r="D653" s="92" t="s">
        <v>1</v>
      </c>
      <c r="E653" s="176">
        <v>1.958333333333333</v>
      </c>
      <c r="F653" s="92" t="s">
        <v>124</v>
      </c>
      <c r="G653" s="94">
        <v>9</v>
      </c>
      <c r="H653" s="99" t="s">
        <v>290</v>
      </c>
      <c r="I653" s="2"/>
    </row>
    <row r="654" spans="1:9" ht="19.8" customHeight="1" x14ac:dyDescent="0.3">
      <c r="A654" s="175">
        <v>46001</v>
      </c>
      <c r="B654" s="92" t="s">
        <v>115</v>
      </c>
      <c r="C654" s="93" t="s">
        <v>119</v>
      </c>
      <c r="D654" s="92" t="s">
        <v>1</v>
      </c>
      <c r="E654" s="176">
        <v>1.145833333333333</v>
      </c>
      <c r="F654" s="92" t="s">
        <v>124</v>
      </c>
      <c r="G654" s="94">
        <v>9</v>
      </c>
      <c r="H654" s="99" t="s">
        <v>291</v>
      </c>
      <c r="I654" s="2"/>
    </row>
    <row r="655" spans="1:9" ht="19.8" customHeight="1" x14ac:dyDescent="0.3">
      <c r="A655" s="179">
        <v>46001</v>
      </c>
      <c r="B655" s="100" t="s">
        <v>115</v>
      </c>
      <c r="C655" s="101" t="s">
        <v>122</v>
      </c>
      <c r="D655" s="100" t="s">
        <v>1</v>
      </c>
      <c r="E655" s="180">
        <v>1.5138888888888891</v>
      </c>
      <c r="F655" s="100" t="s">
        <v>124</v>
      </c>
      <c r="G655" s="102">
        <v>9</v>
      </c>
      <c r="H655" s="103" t="s">
        <v>291</v>
      </c>
      <c r="I655" s="2"/>
    </row>
    <row r="656" spans="1:9" ht="19.8" customHeight="1" x14ac:dyDescent="0.3">
      <c r="A656" s="175">
        <v>46002</v>
      </c>
      <c r="B656" s="92" t="s">
        <v>26</v>
      </c>
      <c r="C656" s="93" t="s">
        <v>35</v>
      </c>
      <c r="D656" s="92" t="s">
        <v>1</v>
      </c>
      <c r="E656" s="176">
        <v>1.1284722222222221</v>
      </c>
      <c r="F656" s="92" t="s">
        <v>28</v>
      </c>
      <c r="G656" s="94">
        <v>1</v>
      </c>
      <c r="H656" s="173">
        <v>329</v>
      </c>
      <c r="I656" s="2"/>
    </row>
    <row r="657" spans="1:9" ht="19.8" customHeight="1" x14ac:dyDescent="0.3">
      <c r="A657" s="175">
        <v>46002</v>
      </c>
      <c r="B657" s="92" t="s">
        <v>79</v>
      </c>
      <c r="C657" s="93" t="s">
        <v>84</v>
      </c>
      <c r="D657" s="92" t="s">
        <v>1</v>
      </c>
      <c r="E657" s="176">
        <v>1.3298611111111109</v>
      </c>
      <c r="F657" s="92" t="s">
        <v>81</v>
      </c>
      <c r="G657" s="94">
        <v>9</v>
      </c>
      <c r="H657" s="173">
        <v>394</v>
      </c>
      <c r="I657" s="2"/>
    </row>
    <row r="658" spans="1:9" ht="19.8" customHeight="1" x14ac:dyDescent="0.3">
      <c r="A658" s="175">
        <v>46002</v>
      </c>
      <c r="B658" s="92" t="s">
        <v>70</v>
      </c>
      <c r="C658" s="93" t="s">
        <v>155</v>
      </c>
      <c r="D658" s="92" t="s">
        <v>1</v>
      </c>
      <c r="E658" s="176">
        <v>1.291666666666667</v>
      </c>
      <c r="F658" s="92" t="s">
        <v>72</v>
      </c>
      <c r="G658" s="94">
        <v>7</v>
      </c>
      <c r="H658" s="173">
        <v>400</v>
      </c>
      <c r="I658" s="2"/>
    </row>
    <row r="659" spans="1:9" ht="19.8" customHeight="1" x14ac:dyDescent="0.3">
      <c r="A659" s="177">
        <v>46002</v>
      </c>
      <c r="B659" s="96" t="s">
        <v>87</v>
      </c>
      <c r="C659" s="97" t="s">
        <v>220</v>
      </c>
      <c r="D659" s="96" t="s">
        <v>1</v>
      </c>
      <c r="E659" s="178">
        <v>1.2534722222222221</v>
      </c>
      <c r="F659" s="96" t="s">
        <v>89</v>
      </c>
      <c r="G659" s="98">
        <v>6</v>
      </c>
      <c r="H659" s="174">
        <v>401</v>
      </c>
      <c r="I659" s="2"/>
    </row>
    <row r="660" spans="1:9" ht="19.8" customHeight="1" x14ac:dyDescent="0.3">
      <c r="A660" s="177">
        <v>46002</v>
      </c>
      <c r="B660" s="96" t="s">
        <v>87</v>
      </c>
      <c r="C660" s="97" t="s">
        <v>241</v>
      </c>
      <c r="D660" s="96" t="s">
        <v>1</v>
      </c>
      <c r="E660" s="178">
        <v>1.364583333333333</v>
      </c>
      <c r="F660" s="96" t="s">
        <v>89</v>
      </c>
      <c r="G660" s="98">
        <v>3</v>
      </c>
      <c r="H660" s="174">
        <v>401</v>
      </c>
      <c r="I660" s="2"/>
    </row>
    <row r="661" spans="1:9" ht="19.8" customHeight="1" x14ac:dyDescent="0.3">
      <c r="A661" s="177">
        <v>46002</v>
      </c>
      <c r="B661" s="96" t="s">
        <v>87</v>
      </c>
      <c r="C661" s="97" t="s">
        <v>165</v>
      </c>
      <c r="D661" s="96" t="s">
        <v>1</v>
      </c>
      <c r="E661" s="178">
        <v>1.114583333333333</v>
      </c>
      <c r="F661" s="96" t="s">
        <v>89</v>
      </c>
      <c r="G661" s="98">
        <v>6</v>
      </c>
      <c r="H661" s="174">
        <v>401</v>
      </c>
      <c r="I661" s="2"/>
    </row>
    <row r="662" spans="1:9" ht="19.8" customHeight="1" x14ac:dyDescent="0.3">
      <c r="A662" s="177">
        <v>46002</v>
      </c>
      <c r="B662" s="96" t="s">
        <v>87</v>
      </c>
      <c r="C662" s="97" t="s">
        <v>169</v>
      </c>
      <c r="D662" s="96" t="s">
        <v>1</v>
      </c>
      <c r="E662" s="178">
        <v>1.0486111111111109</v>
      </c>
      <c r="F662" s="96" t="s">
        <v>89</v>
      </c>
      <c r="G662" s="98">
        <v>8</v>
      </c>
      <c r="H662" s="174">
        <v>401</v>
      </c>
      <c r="I662" s="2"/>
    </row>
    <row r="663" spans="1:9" ht="19.8" customHeight="1" x14ac:dyDescent="0.3">
      <c r="A663" s="175">
        <v>46002</v>
      </c>
      <c r="B663" s="92" t="s">
        <v>74</v>
      </c>
      <c r="C663" s="93" t="s">
        <v>78</v>
      </c>
      <c r="D663" s="92" t="s">
        <v>1</v>
      </c>
      <c r="E663" s="176">
        <v>1.666666666666667</v>
      </c>
      <c r="F663" s="92" t="s">
        <v>72</v>
      </c>
      <c r="G663" s="94">
        <v>6</v>
      </c>
      <c r="H663" s="173">
        <v>401</v>
      </c>
      <c r="I663" s="2"/>
    </row>
    <row r="664" spans="1:9" ht="19.8" customHeight="1" x14ac:dyDescent="0.3">
      <c r="A664" s="175">
        <v>46002</v>
      </c>
      <c r="B664" s="92" t="s">
        <v>26</v>
      </c>
      <c r="C664" s="93" t="s">
        <v>39</v>
      </c>
      <c r="D664" s="92" t="s">
        <v>1</v>
      </c>
      <c r="E664" s="176">
        <v>1.302083333333333</v>
      </c>
      <c r="F664" s="92" t="s">
        <v>28</v>
      </c>
      <c r="G664" s="94">
        <v>6</v>
      </c>
      <c r="H664" s="173">
        <v>419</v>
      </c>
      <c r="I664" s="2"/>
    </row>
    <row r="665" spans="1:9" ht="19.8" customHeight="1" x14ac:dyDescent="0.3">
      <c r="A665" s="175">
        <v>46002</v>
      </c>
      <c r="B665" s="92" t="s">
        <v>45</v>
      </c>
      <c r="C665" s="93" t="s">
        <v>57</v>
      </c>
      <c r="D665" s="92" t="s">
        <v>1</v>
      </c>
      <c r="E665" s="176">
        <v>1.256944444444444</v>
      </c>
      <c r="F665" s="92" t="s">
        <v>47</v>
      </c>
      <c r="G665" s="94">
        <v>5</v>
      </c>
      <c r="H665" s="173">
        <v>429</v>
      </c>
      <c r="I665" s="2"/>
    </row>
    <row r="666" spans="1:9" ht="19.8" customHeight="1" x14ac:dyDescent="0.3">
      <c r="A666" s="177">
        <v>46002</v>
      </c>
      <c r="B666" s="96" t="s">
        <v>87</v>
      </c>
      <c r="C666" s="97" t="s">
        <v>102</v>
      </c>
      <c r="D666" s="96" t="s">
        <v>1</v>
      </c>
      <c r="E666" s="178">
        <v>1.739583333333333</v>
      </c>
      <c r="F666" s="96" t="s">
        <v>89</v>
      </c>
      <c r="G666" s="98">
        <v>4</v>
      </c>
      <c r="H666" s="174">
        <v>471</v>
      </c>
      <c r="I666" s="2"/>
    </row>
    <row r="667" spans="1:9" ht="19.8" customHeight="1" x14ac:dyDescent="0.3">
      <c r="A667" s="177">
        <v>46002</v>
      </c>
      <c r="B667" s="96" t="s">
        <v>87</v>
      </c>
      <c r="C667" s="97" t="s">
        <v>95</v>
      </c>
      <c r="D667" s="96" t="s">
        <v>1</v>
      </c>
      <c r="E667" s="178">
        <v>1.583333333333333</v>
      </c>
      <c r="F667" s="96" t="s">
        <v>89</v>
      </c>
      <c r="G667" s="98">
        <v>6</v>
      </c>
      <c r="H667" s="174">
        <v>471</v>
      </c>
      <c r="I667" s="2"/>
    </row>
    <row r="668" spans="1:9" ht="19.8" customHeight="1" x14ac:dyDescent="0.3">
      <c r="A668" s="175">
        <v>46002</v>
      </c>
      <c r="B668" s="92" t="s">
        <v>26</v>
      </c>
      <c r="C668" s="93" t="s">
        <v>35</v>
      </c>
      <c r="D668" s="92" t="s">
        <v>1</v>
      </c>
      <c r="E668" s="176">
        <v>1.1284722222222221</v>
      </c>
      <c r="F668" s="92" t="s">
        <v>31</v>
      </c>
      <c r="G668" s="94">
        <v>1</v>
      </c>
      <c r="H668" s="173">
        <v>479</v>
      </c>
      <c r="I668" s="2"/>
    </row>
    <row r="669" spans="1:9" ht="19.8" customHeight="1" x14ac:dyDescent="0.3">
      <c r="A669" s="175">
        <v>46002</v>
      </c>
      <c r="B669" s="92" t="s">
        <v>26</v>
      </c>
      <c r="C669" s="93" t="s">
        <v>27</v>
      </c>
      <c r="D669" s="92" t="s">
        <v>1</v>
      </c>
      <c r="E669" s="176">
        <v>1.8888888888888891</v>
      </c>
      <c r="F669" s="92" t="s">
        <v>28</v>
      </c>
      <c r="G669" s="94">
        <v>17</v>
      </c>
      <c r="H669" s="173">
        <v>499</v>
      </c>
      <c r="I669" s="2"/>
    </row>
    <row r="670" spans="1:9" ht="19.8" customHeight="1" x14ac:dyDescent="0.3">
      <c r="A670" s="175">
        <v>46002</v>
      </c>
      <c r="B670" s="92" t="s">
        <v>26</v>
      </c>
      <c r="C670" s="93" t="s">
        <v>41</v>
      </c>
      <c r="D670" s="92" t="s">
        <v>1</v>
      </c>
      <c r="E670" s="176">
        <v>1.788194444444444</v>
      </c>
      <c r="F670" s="92" t="s">
        <v>28</v>
      </c>
      <c r="G670" s="94">
        <v>12</v>
      </c>
      <c r="H670" s="173">
        <v>499</v>
      </c>
      <c r="I670" s="2"/>
    </row>
    <row r="671" spans="1:9" ht="19.8" customHeight="1" x14ac:dyDescent="0.3">
      <c r="A671" s="175">
        <v>46002</v>
      </c>
      <c r="B671" s="92" t="s">
        <v>45</v>
      </c>
      <c r="C671" s="93" t="s">
        <v>62</v>
      </c>
      <c r="D671" s="92" t="s">
        <v>1</v>
      </c>
      <c r="E671" s="176">
        <v>1.5173611111111109</v>
      </c>
      <c r="F671" s="92" t="s">
        <v>47</v>
      </c>
      <c r="G671" s="94">
        <v>3</v>
      </c>
      <c r="H671" s="173">
        <v>509</v>
      </c>
      <c r="I671" s="2"/>
    </row>
    <row r="672" spans="1:9" ht="19.8" customHeight="1" x14ac:dyDescent="0.3">
      <c r="A672" s="175">
        <v>46002</v>
      </c>
      <c r="B672" s="92" t="s">
        <v>45</v>
      </c>
      <c r="C672" s="93" t="s">
        <v>59</v>
      </c>
      <c r="D672" s="92" t="s">
        <v>1</v>
      </c>
      <c r="E672" s="176">
        <v>1.9027777777777779</v>
      </c>
      <c r="F672" s="92" t="s">
        <v>47</v>
      </c>
      <c r="G672" s="94">
        <v>5</v>
      </c>
      <c r="H672" s="173">
        <v>509</v>
      </c>
      <c r="I672" s="2"/>
    </row>
    <row r="673" spans="1:9" ht="19.8" customHeight="1" x14ac:dyDescent="0.3">
      <c r="A673" s="175">
        <v>46002</v>
      </c>
      <c r="B673" s="92" t="s">
        <v>45</v>
      </c>
      <c r="C673" s="93" t="s">
        <v>46</v>
      </c>
      <c r="D673" s="92" t="s">
        <v>1</v>
      </c>
      <c r="E673" s="176">
        <v>1.395833333333333</v>
      </c>
      <c r="F673" s="92" t="s">
        <v>47</v>
      </c>
      <c r="G673" s="94">
        <v>4</v>
      </c>
      <c r="H673" s="173">
        <v>509</v>
      </c>
      <c r="I673" s="2"/>
    </row>
    <row r="674" spans="1:9" ht="19.8" customHeight="1" x14ac:dyDescent="0.3">
      <c r="A674" s="175">
        <v>46002</v>
      </c>
      <c r="B674" s="92" t="s">
        <v>79</v>
      </c>
      <c r="C674" s="93" t="s">
        <v>84</v>
      </c>
      <c r="D674" s="92" t="s">
        <v>1</v>
      </c>
      <c r="E674" s="176">
        <v>1.3298611111111109</v>
      </c>
      <c r="F674" s="92" t="s">
        <v>33</v>
      </c>
      <c r="G674" s="94">
        <v>9</v>
      </c>
      <c r="H674" s="173">
        <v>518</v>
      </c>
      <c r="I674" s="2"/>
    </row>
    <row r="675" spans="1:9" ht="19.8" customHeight="1" x14ac:dyDescent="0.3">
      <c r="A675" s="175">
        <v>46002</v>
      </c>
      <c r="B675" s="92" t="s">
        <v>45</v>
      </c>
      <c r="C675" s="93" t="s">
        <v>57</v>
      </c>
      <c r="D675" s="92" t="s">
        <v>1</v>
      </c>
      <c r="E675" s="176">
        <v>1.256944444444444</v>
      </c>
      <c r="F675" s="92" t="s">
        <v>49</v>
      </c>
      <c r="G675" s="94">
        <v>5</v>
      </c>
      <c r="H675" s="173">
        <v>529</v>
      </c>
      <c r="I675" s="2"/>
    </row>
    <row r="676" spans="1:9" ht="19.8" customHeight="1" x14ac:dyDescent="0.3">
      <c r="A676" s="175">
        <v>46002</v>
      </c>
      <c r="B676" s="92" t="s">
        <v>45</v>
      </c>
      <c r="C676" s="93" t="s">
        <v>53</v>
      </c>
      <c r="D676" s="92" t="s">
        <v>1</v>
      </c>
      <c r="E676" s="176">
        <v>1.854166666666667</v>
      </c>
      <c r="F676" s="92" t="s">
        <v>47</v>
      </c>
      <c r="G676" s="94">
        <v>4</v>
      </c>
      <c r="H676" s="173">
        <v>549</v>
      </c>
      <c r="I676" s="2"/>
    </row>
    <row r="677" spans="1:9" ht="19.8" customHeight="1" x14ac:dyDescent="0.3">
      <c r="A677" s="175">
        <v>46002</v>
      </c>
      <c r="B677" s="92" t="s">
        <v>45</v>
      </c>
      <c r="C677" s="93" t="s">
        <v>60</v>
      </c>
      <c r="D677" s="92" t="s">
        <v>1</v>
      </c>
      <c r="E677" s="176">
        <v>1.7986111111111109</v>
      </c>
      <c r="F677" s="92" t="s">
        <v>47</v>
      </c>
      <c r="G677" s="94">
        <v>7</v>
      </c>
      <c r="H677" s="173">
        <v>549</v>
      </c>
      <c r="I677" s="2"/>
    </row>
    <row r="678" spans="1:9" ht="19.8" customHeight="1" x14ac:dyDescent="0.3">
      <c r="A678" s="175">
        <v>46002</v>
      </c>
      <c r="B678" s="92" t="s">
        <v>45</v>
      </c>
      <c r="C678" s="93" t="s">
        <v>66</v>
      </c>
      <c r="D678" s="92" t="s">
        <v>1</v>
      </c>
      <c r="E678" s="176">
        <v>1.645833333333333</v>
      </c>
      <c r="F678" s="92" t="s">
        <v>47</v>
      </c>
      <c r="G678" s="94">
        <v>3</v>
      </c>
      <c r="H678" s="173">
        <v>549</v>
      </c>
      <c r="I678" s="2"/>
    </row>
    <row r="679" spans="1:9" ht="19.8" customHeight="1" x14ac:dyDescent="0.3">
      <c r="A679" s="175">
        <v>46002</v>
      </c>
      <c r="B679" s="92" t="s">
        <v>26</v>
      </c>
      <c r="C679" s="93" t="s">
        <v>39</v>
      </c>
      <c r="D679" s="92" t="s">
        <v>1</v>
      </c>
      <c r="E679" s="176">
        <v>1.302083333333333</v>
      </c>
      <c r="F679" s="92" t="s">
        <v>31</v>
      </c>
      <c r="G679" s="94">
        <v>6</v>
      </c>
      <c r="H679" s="173">
        <v>569</v>
      </c>
      <c r="I679" s="2"/>
    </row>
    <row r="680" spans="1:9" ht="19.8" customHeight="1" x14ac:dyDescent="0.3">
      <c r="A680" s="175">
        <v>46002</v>
      </c>
      <c r="B680" s="92" t="s">
        <v>70</v>
      </c>
      <c r="C680" s="93" t="s">
        <v>71</v>
      </c>
      <c r="D680" s="92" t="s">
        <v>1</v>
      </c>
      <c r="E680" s="176">
        <v>1.59375</v>
      </c>
      <c r="F680" s="92" t="s">
        <v>72</v>
      </c>
      <c r="G680" s="94">
        <v>9</v>
      </c>
      <c r="H680" s="173">
        <v>595</v>
      </c>
      <c r="I680" s="2"/>
    </row>
    <row r="681" spans="1:9" ht="19.8" customHeight="1" x14ac:dyDescent="0.3">
      <c r="A681" s="175">
        <v>46002</v>
      </c>
      <c r="B681" s="92" t="s">
        <v>45</v>
      </c>
      <c r="C681" s="93" t="s">
        <v>62</v>
      </c>
      <c r="D681" s="92" t="s">
        <v>1</v>
      </c>
      <c r="E681" s="176">
        <v>1.5173611111111109</v>
      </c>
      <c r="F681" s="92" t="s">
        <v>49</v>
      </c>
      <c r="G681" s="94">
        <v>3</v>
      </c>
      <c r="H681" s="173">
        <v>609</v>
      </c>
      <c r="I681" s="2"/>
    </row>
    <row r="682" spans="1:9" ht="19.8" customHeight="1" x14ac:dyDescent="0.3">
      <c r="A682" s="175">
        <v>46002</v>
      </c>
      <c r="B682" s="92" t="s">
        <v>45</v>
      </c>
      <c r="C682" s="93" t="s">
        <v>59</v>
      </c>
      <c r="D682" s="92" t="s">
        <v>1</v>
      </c>
      <c r="E682" s="176">
        <v>1.9027777777777779</v>
      </c>
      <c r="F682" s="92" t="s">
        <v>49</v>
      </c>
      <c r="G682" s="94">
        <v>5</v>
      </c>
      <c r="H682" s="173">
        <v>609</v>
      </c>
      <c r="I682" s="2"/>
    </row>
    <row r="683" spans="1:9" ht="19.8" customHeight="1" x14ac:dyDescent="0.3">
      <c r="A683" s="175">
        <v>46002</v>
      </c>
      <c r="B683" s="92" t="s">
        <v>45</v>
      </c>
      <c r="C683" s="93" t="s">
        <v>46</v>
      </c>
      <c r="D683" s="92" t="s">
        <v>1</v>
      </c>
      <c r="E683" s="176">
        <v>1.395833333333333</v>
      </c>
      <c r="F683" s="92" t="s">
        <v>49</v>
      </c>
      <c r="G683" s="94">
        <v>4</v>
      </c>
      <c r="H683" s="173">
        <v>609</v>
      </c>
      <c r="I683" s="2"/>
    </row>
    <row r="684" spans="1:9" ht="19.8" customHeight="1" x14ac:dyDescent="0.3">
      <c r="A684" s="175">
        <v>46002</v>
      </c>
      <c r="B684" s="92" t="s">
        <v>45</v>
      </c>
      <c r="C684" s="93" t="s">
        <v>57</v>
      </c>
      <c r="D684" s="92" t="s">
        <v>1</v>
      </c>
      <c r="E684" s="176">
        <v>1.256944444444444</v>
      </c>
      <c r="F684" s="92" t="s">
        <v>51</v>
      </c>
      <c r="G684" s="94">
        <v>5</v>
      </c>
      <c r="H684" s="173">
        <v>619</v>
      </c>
      <c r="I684" s="2"/>
    </row>
    <row r="685" spans="1:9" ht="19.8" customHeight="1" x14ac:dyDescent="0.3">
      <c r="A685" s="177">
        <v>46002</v>
      </c>
      <c r="B685" s="96" t="s">
        <v>87</v>
      </c>
      <c r="C685" s="97" t="s">
        <v>109</v>
      </c>
      <c r="D685" s="96" t="s">
        <v>1</v>
      </c>
      <c r="E685" s="178">
        <v>1.333333333333333</v>
      </c>
      <c r="F685" s="96" t="s">
        <v>89</v>
      </c>
      <c r="G685" s="98">
        <v>9</v>
      </c>
      <c r="H685" s="174">
        <v>646</v>
      </c>
      <c r="I685" s="2"/>
    </row>
    <row r="686" spans="1:9" ht="19.8" customHeight="1" x14ac:dyDescent="0.3">
      <c r="A686" s="175">
        <v>46002</v>
      </c>
      <c r="B686" s="92" t="s">
        <v>26</v>
      </c>
      <c r="C686" s="93" t="s">
        <v>27</v>
      </c>
      <c r="D686" s="92" t="s">
        <v>1</v>
      </c>
      <c r="E686" s="176">
        <v>1.8888888888888891</v>
      </c>
      <c r="F686" s="92" t="s">
        <v>31</v>
      </c>
      <c r="G686" s="94">
        <v>17</v>
      </c>
      <c r="H686" s="173">
        <v>649</v>
      </c>
      <c r="I686" s="2"/>
    </row>
    <row r="687" spans="1:9" ht="19.8" customHeight="1" x14ac:dyDescent="0.3">
      <c r="A687" s="175">
        <v>46002</v>
      </c>
      <c r="B687" s="92" t="s">
        <v>26</v>
      </c>
      <c r="C687" s="93" t="s">
        <v>41</v>
      </c>
      <c r="D687" s="92" t="s">
        <v>1</v>
      </c>
      <c r="E687" s="176">
        <v>1.788194444444444</v>
      </c>
      <c r="F687" s="92" t="s">
        <v>31</v>
      </c>
      <c r="G687" s="94">
        <v>12</v>
      </c>
      <c r="H687" s="173">
        <v>649</v>
      </c>
      <c r="I687" s="2"/>
    </row>
    <row r="688" spans="1:9" ht="19.8" customHeight="1" x14ac:dyDescent="0.3">
      <c r="A688" s="175">
        <v>46002</v>
      </c>
      <c r="B688" s="92" t="s">
        <v>45</v>
      </c>
      <c r="C688" s="93" t="s">
        <v>53</v>
      </c>
      <c r="D688" s="92" t="s">
        <v>1</v>
      </c>
      <c r="E688" s="176">
        <v>1.854166666666667</v>
      </c>
      <c r="F688" s="92" t="s">
        <v>49</v>
      </c>
      <c r="G688" s="94">
        <v>4</v>
      </c>
      <c r="H688" s="173">
        <v>649</v>
      </c>
      <c r="I688" s="2"/>
    </row>
    <row r="689" spans="1:9" ht="19.8" customHeight="1" x14ac:dyDescent="0.3">
      <c r="A689" s="175">
        <v>46002</v>
      </c>
      <c r="B689" s="92" t="s">
        <v>45</v>
      </c>
      <c r="C689" s="93" t="s">
        <v>60</v>
      </c>
      <c r="D689" s="92" t="s">
        <v>1</v>
      </c>
      <c r="E689" s="176">
        <v>1.7986111111111109</v>
      </c>
      <c r="F689" s="92" t="s">
        <v>49</v>
      </c>
      <c r="G689" s="94">
        <v>7</v>
      </c>
      <c r="H689" s="173">
        <v>649</v>
      </c>
      <c r="I689" s="2"/>
    </row>
    <row r="690" spans="1:9" ht="19.8" customHeight="1" x14ac:dyDescent="0.3">
      <c r="A690" s="175">
        <v>46002</v>
      </c>
      <c r="B690" s="92" t="s">
        <v>45</v>
      </c>
      <c r="C690" s="93" t="s">
        <v>66</v>
      </c>
      <c r="D690" s="92" t="s">
        <v>1</v>
      </c>
      <c r="E690" s="176">
        <v>1.645833333333333</v>
      </c>
      <c r="F690" s="92" t="s">
        <v>49</v>
      </c>
      <c r="G690" s="94">
        <v>3</v>
      </c>
      <c r="H690" s="173">
        <v>649</v>
      </c>
      <c r="I690" s="2"/>
    </row>
    <row r="691" spans="1:9" ht="19.8" customHeight="1" x14ac:dyDescent="0.3">
      <c r="A691" s="175">
        <v>46002</v>
      </c>
      <c r="B691" s="92" t="s">
        <v>45</v>
      </c>
      <c r="C691" s="93" t="s">
        <v>62</v>
      </c>
      <c r="D691" s="92" t="s">
        <v>1</v>
      </c>
      <c r="E691" s="176">
        <v>1.5173611111111109</v>
      </c>
      <c r="F691" s="92" t="s">
        <v>51</v>
      </c>
      <c r="G691" s="94">
        <v>3</v>
      </c>
      <c r="H691" s="173">
        <v>699</v>
      </c>
      <c r="I691" s="2"/>
    </row>
    <row r="692" spans="1:9" ht="19.8" customHeight="1" x14ac:dyDescent="0.3">
      <c r="A692" s="175">
        <v>46002</v>
      </c>
      <c r="B692" s="92" t="s">
        <v>45</v>
      </c>
      <c r="C692" s="93" t="s">
        <v>59</v>
      </c>
      <c r="D692" s="92" t="s">
        <v>1</v>
      </c>
      <c r="E692" s="176">
        <v>1.9027777777777779</v>
      </c>
      <c r="F692" s="92" t="s">
        <v>51</v>
      </c>
      <c r="G692" s="94">
        <v>5</v>
      </c>
      <c r="H692" s="173">
        <v>699</v>
      </c>
      <c r="I692" s="2"/>
    </row>
    <row r="693" spans="1:9" ht="19.8" customHeight="1" x14ac:dyDescent="0.3">
      <c r="A693" s="175">
        <v>46002</v>
      </c>
      <c r="B693" s="92" t="s">
        <v>45</v>
      </c>
      <c r="C693" s="93" t="s">
        <v>46</v>
      </c>
      <c r="D693" s="92" t="s">
        <v>1</v>
      </c>
      <c r="E693" s="176">
        <v>1.395833333333333</v>
      </c>
      <c r="F693" s="92" t="s">
        <v>51</v>
      </c>
      <c r="G693" s="94">
        <v>4</v>
      </c>
      <c r="H693" s="173">
        <v>699</v>
      </c>
      <c r="I693" s="2"/>
    </row>
    <row r="694" spans="1:9" ht="19.8" customHeight="1" x14ac:dyDescent="0.3">
      <c r="A694" s="175">
        <v>46002</v>
      </c>
      <c r="B694" s="92" t="s">
        <v>45</v>
      </c>
      <c r="C694" s="93" t="s">
        <v>53</v>
      </c>
      <c r="D694" s="92" t="s">
        <v>1</v>
      </c>
      <c r="E694" s="176">
        <v>1.854166666666667</v>
      </c>
      <c r="F694" s="92" t="s">
        <v>51</v>
      </c>
      <c r="G694" s="94">
        <v>4</v>
      </c>
      <c r="H694" s="173">
        <v>739</v>
      </c>
      <c r="I694" s="2"/>
    </row>
    <row r="695" spans="1:9" ht="19.8" customHeight="1" x14ac:dyDescent="0.3">
      <c r="A695" s="175">
        <v>46002</v>
      </c>
      <c r="B695" s="92" t="s">
        <v>45</v>
      </c>
      <c r="C695" s="93" t="s">
        <v>60</v>
      </c>
      <c r="D695" s="92" t="s">
        <v>1</v>
      </c>
      <c r="E695" s="176">
        <v>1.7986111111111109</v>
      </c>
      <c r="F695" s="92" t="s">
        <v>51</v>
      </c>
      <c r="G695" s="94">
        <v>7</v>
      </c>
      <c r="H695" s="173">
        <v>739</v>
      </c>
      <c r="I695" s="2"/>
    </row>
    <row r="696" spans="1:9" ht="19.8" customHeight="1" x14ac:dyDescent="0.3">
      <c r="A696" s="175">
        <v>46002</v>
      </c>
      <c r="B696" s="92" t="s">
        <v>45</v>
      </c>
      <c r="C696" s="93" t="s">
        <v>66</v>
      </c>
      <c r="D696" s="92" t="s">
        <v>1</v>
      </c>
      <c r="E696" s="176">
        <v>1.645833333333333</v>
      </c>
      <c r="F696" s="92" t="s">
        <v>51</v>
      </c>
      <c r="G696" s="94">
        <v>3</v>
      </c>
      <c r="H696" s="173">
        <v>739</v>
      </c>
      <c r="I696" s="2"/>
    </row>
    <row r="697" spans="1:9" ht="19.8" customHeight="1" x14ac:dyDescent="0.3">
      <c r="A697" s="175">
        <v>46002</v>
      </c>
      <c r="B697" s="92" t="s">
        <v>115</v>
      </c>
      <c r="C697" s="93" t="s">
        <v>121</v>
      </c>
      <c r="D697" s="92" t="s">
        <v>1</v>
      </c>
      <c r="E697" s="176">
        <v>1.4861111111111109</v>
      </c>
      <c r="F697" s="92" t="s">
        <v>124</v>
      </c>
      <c r="G697" s="94">
        <v>9</v>
      </c>
      <c r="H697" s="173">
        <v>795</v>
      </c>
      <c r="I697" s="2"/>
    </row>
    <row r="698" spans="1:9" ht="19.8" customHeight="1" x14ac:dyDescent="0.3">
      <c r="A698" s="175">
        <v>46002</v>
      </c>
      <c r="B698" s="92" t="s">
        <v>115</v>
      </c>
      <c r="C698" s="93" t="s">
        <v>122</v>
      </c>
      <c r="D698" s="92" t="s">
        <v>1</v>
      </c>
      <c r="E698" s="176">
        <v>1.5138888888888891</v>
      </c>
      <c r="F698" s="92" t="s">
        <v>124</v>
      </c>
      <c r="G698" s="94">
        <v>9</v>
      </c>
      <c r="H698" s="173">
        <v>795</v>
      </c>
      <c r="I698" s="2"/>
    </row>
    <row r="699" spans="1:9" ht="19.8" customHeight="1" x14ac:dyDescent="0.3">
      <c r="A699" s="175">
        <v>46002</v>
      </c>
      <c r="B699" s="92" t="s">
        <v>115</v>
      </c>
      <c r="C699" s="93" t="s">
        <v>116</v>
      </c>
      <c r="D699" s="92" t="s">
        <v>1</v>
      </c>
      <c r="E699" s="176">
        <v>1.229166666666667</v>
      </c>
      <c r="F699" s="92" t="s">
        <v>124</v>
      </c>
      <c r="G699" s="94">
        <v>9</v>
      </c>
      <c r="H699" s="173">
        <v>890</v>
      </c>
      <c r="I699" s="2"/>
    </row>
    <row r="700" spans="1:9" ht="19.8" customHeight="1" x14ac:dyDescent="0.3">
      <c r="A700" s="175">
        <v>46002</v>
      </c>
      <c r="B700" s="92" t="s">
        <v>130</v>
      </c>
      <c r="C700" s="93" t="s">
        <v>143</v>
      </c>
      <c r="D700" s="92" t="s">
        <v>1</v>
      </c>
      <c r="E700" s="176">
        <v>1.006944444444444</v>
      </c>
      <c r="F700" s="92" t="s">
        <v>132</v>
      </c>
      <c r="G700" s="94">
        <v>9</v>
      </c>
      <c r="H700" s="173">
        <v>897</v>
      </c>
      <c r="I700" s="2"/>
    </row>
    <row r="701" spans="1:9" ht="19.8" customHeight="1" x14ac:dyDescent="0.3">
      <c r="A701" s="175">
        <v>46002</v>
      </c>
      <c r="B701" s="92" t="s">
        <v>130</v>
      </c>
      <c r="C701" s="93" t="s">
        <v>146</v>
      </c>
      <c r="D701" s="92" t="s">
        <v>1</v>
      </c>
      <c r="E701" s="176">
        <v>1.1423611111111109</v>
      </c>
      <c r="F701" s="92" t="s">
        <v>132</v>
      </c>
      <c r="G701" s="94">
        <v>9</v>
      </c>
      <c r="H701" s="173">
        <v>897</v>
      </c>
      <c r="I701" s="2"/>
    </row>
    <row r="702" spans="1:9" ht="19.8" customHeight="1" x14ac:dyDescent="0.3">
      <c r="A702" s="175">
        <v>46002</v>
      </c>
      <c r="B702" s="92" t="s">
        <v>130</v>
      </c>
      <c r="C702" s="93" t="s">
        <v>131</v>
      </c>
      <c r="D702" s="92" t="s">
        <v>1</v>
      </c>
      <c r="E702" s="176">
        <v>1.930555555555556</v>
      </c>
      <c r="F702" s="92" t="s">
        <v>132</v>
      </c>
      <c r="G702" s="94">
        <v>9</v>
      </c>
      <c r="H702" s="173">
        <v>897</v>
      </c>
      <c r="I702" s="2"/>
    </row>
    <row r="703" spans="1:9" ht="19.8" customHeight="1" x14ac:dyDescent="0.3">
      <c r="A703" s="175">
        <v>46002</v>
      </c>
      <c r="B703" s="92" t="s">
        <v>130</v>
      </c>
      <c r="C703" s="93" t="s">
        <v>136</v>
      </c>
      <c r="D703" s="92" t="s">
        <v>1</v>
      </c>
      <c r="E703" s="176">
        <v>1.3784722222222221</v>
      </c>
      <c r="F703" s="92" t="s">
        <v>132</v>
      </c>
      <c r="G703" s="94">
        <v>9</v>
      </c>
      <c r="H703" s="173">
        <v>897</v>
      </c>
      <c r="I703" s="2"/>
    </row>
    <row r="704" spans="1:9" ht="19.8" customHeight="1" x14ac:dyDescent="0.3">
      <c r="A704" s="175">
        <v>46002</v>
      </c>
      <c r="B704" s="92" t="s">
        <v>130</v>
      </c>
      <c r="C704" s="93" t="s">
        <v>137</v>
      </c>
      <c r="D704" s="92" t="s">
        <v>1</v>
      </c>
      <c r="E704" s="176">
        <v>1.6111111111111109</v>
      </c>
      <c r="F704" s="92" t="s">
        <v>132</v>
      </c>
      <c r="G704" s="94">
        <v>9</v>
      </c>
      <c r="H704" s="173">
        <v>897</v>
      </c>
      <c r="I704" s="2"/>
    </row>
    <row r="705" spans="1:9" ht="19.8" customHeight="1" x14ac:dyDescent="0.3">
      <c r="A705" s="175">
        <v>46002</v>
      </c>
      <c r="B705" s="92" t="s">
        <v>130</v>
      </c>
      <c r="C705" s="93" t="s">
        <v>138</v>
      </c>
      <c r="D705" s="92" t="s">
        <v>1</v>
      </c>
      <c r="E705" s="176">
        <v>1.243055555555556</v>
      </c>
      <c r="F705" s="92" t="s">
        <v>132</v>
      </c>
      <c r="G705" s="94">
        <v>9</v>
      </c>
      <c r="H705" s="173">
        <v>897</v>
      </c>
      <c r="I705" s="2"/>
    </row>
    <row r="706" spans="1:9" ht="19.8" customHeight="1" x14ac:dyDescent="0.3">
      <c r="A706" s="175">
        <v>46002</v>
      </c>
      <c r="B706" s="92" t="s">
        <v>115</v>
      </c>
      <c r="C706" s="93" t="s">
        <v>123</v>
      </c>
      <c r="D706" s="92" t="s">
        <v>1</v>
      </c>
      <c r="E706" s="176">
        <v>1.958333333333333</v>
      </c>
      <c r="F706" s="92" t="s">
        <v>124</v>
      </c>
      <c r="G706" s="94">
        <v>9</v>
      </c>
      <c r="H706" s="173">
        <v>993</v>
      </c>
      <c r="I706" s="2"/>
    </row>
    <row r="707" spans="1:9" ht="19.8" customHeight="1" x14ac:dyDescent="0.3">
      <c r="A707" s="175">
        <v>46002</v>
      </c>
      <c r="B707" s="92" t="s">
        <v>130</v>
      </c>
      <c r="C707" s="93" t="s">
        <v>147</v>
      </c>
      <c r="D707" s="92" t="s">
        <v>1</v>
      </c>
      <c r="E707" s="176">
        <v>1.71875</v>
      </c>
      <c r="F707" s="92" t="s">
        <v>132</v>
      </c>
      <c r="G707" s="94">
        <v>9</v>
      </c>
      <c r="H707" s="99" t="s">
        <v>311</v>
      </c>
      <c r="I707" s="2"/>
    </row>
    <row r="708" spans="1:9" ht="19.8" customHeight="1" x14ac:dyDescent="0.3">
      <c r="A708" s="175">
        <v>46002</v>
      </c>
      <c r="B708" s="92" t="s">
        <v>130</v>
      </c>
      <c r="C708" s="93" t="s">
        <v>143</v>
      </c>
      <c r="D708" s="92" t="s">
        <v>1</v>
      </c>
      <c r="E708" s="176">
        <v>1.006944444444444</v>
      </c>
      <c r="F708" s="92" t="s">
        <v>134</v>
      </c>
      <c r="G708" s="94">
        <v>9</v>
      </c>
      <c r="H708" s="99" t="s">
        <v>293</v>
      </c>
      <c r="I708" s="2"/>
    </row>
    <row r="709" spans="1:9" ht="19.8" customHeight="1" x14ac:dyDescent="0.3">
      <c r="A709" s="175">
        <v>46002</v>
      </c>
      <c r="B709" s="92" t="s">
        <v>130</v>
      </c>
      <c r="C709" s="93" t="s">
        <v>146</v>
      </c>
      <c r="D709" s="92" t="s">
        <v>1</v>
      </c>
      <c r="E709" s="176">
        <v>1.1423611111111109</v>
      </c>
      <c r="F709" s="92" t="s">
        <v>134</v>
      </c>
      <c r="G709" s="94">
        <v>9</v>
      </c>
      <c r="H709" s="99" t="s">
        <v>293</v>
      </c>
      <c r="I709" s="2"/>
    </row>
    <row r="710" spans="1:9" ht="19.8" customHeight="1" x14ac:dyDescent="0.3">
      <c r="A710" s="175">
        <v>46002</v>
      </c>
      <c r="B710" s="92" t="s">
        <v>130</v>
      </c>
      <c r="C710" s="93" t="s">
        <v>131</v>
      </c>
      <c r="D710" s="92" t="s">
        <v>1</v>
      </c>
      <c r="E710" s="176">
        <v>1.930555555555556</v>
      </c>
      <c r="F710" s="92" t="s">
        <v>134</v>
      </c>
      <c r="G710" s="94">
        <v>9</v>
      </c>
      <c r="H710" s="99" t="s">
        <v>293</v>
      </c>
      <c r="I710" s="2"/>
    </row>
    <row r="711" spans="1:9" ht="19.8" customHeight="1" x14ac:dyDescent="0.3">
      <c r="A711" s="175">
        <v>46002</v>
      </c>
      <c r="B711" s="92" t="s">
        <v>130</v>
      </c>
      <c r="C711" s="93" t="s">
        <v>136</v>
      </c>
      <c r="D711" s="92" t="s">
        <v>1</v>
      </c>
      <c r="E711" s="176">
        <v>1.3784722222222221</v>
      </c>
      <c r="F711" s="92" t="s">
        <v>134</v>
      </c>
      <c r="G711" s="94">
        <v>9</v>
      </c>
      <c r="H711" s="99" t="s">
        <v>293</v>
      </c>
      <c r="I711" s="2"/>
    </row>
    <row r="712" spans="1:9" ht="19.8" customHeight="1" x14ac:dyDescent="0.3">
      <c r="A712" s="175">
        <v>46002</v>
      </c>
      <c r="B712" s="92" t="s">
        <v>130</v>
      </c>
      <c r="C712" s="93" t="s">
        <v>137</v>
      </c>
      <c r="D712" s="92" t="s">
        <v>1</v>
      </c>
      <c r="E712" s="176">
        <v>1.6111111111111109</v>
      </c>
      <c r="F712" s="92" t="s">
        <v>134</v>
      </c>
      <c r="G712" s="94">
        <v>9</v>
      </c>
      <c r="H712" s="99" t="s">
        <v>293</v>
      </c>
      <c r="I712" s="2"/>
    </row>
    <row r="713" spans="1:9" ht="19.8" customHeight="1" x14ac:dyDescent="0.3">
      <c r="A713" s="175">
        <v>46002</v>
      </c>
      <c r="B713" s="92" t="s">
        <v>130</v>
      </c>
      <c r="C713" s="93" t="s">
        <v>138</v>
      </c>
      <c r="D713" s="92" t="s">
        <v>1</v>
      </c>
      <c r="E713" s="176">
        <v>1.243055555555556</v>
      </c>
      <c r="F713" s="92" t="s">
        <v>134</v>
      </c>
      <c r="G713" s="94">
        <v>9</v>
      </c>
      <c r="H713" s="99" t="s">
        <v>293</v>
      </c>
      <c r="I713" s="2"/>
    </row>
    <row r="714" spans="1:9" ht="19.8" customHeight="1" x14ac:dyDescent="0.3">
      <c r="A714" s="175">
        <v>46002</v>
      </c>
      <c r="B714" s="92" t="s">
        <v>26</v>
      </c>
      <c r="C714" s="93" t="s">
        <v>35</v>
      </c>
      <c r="D714" s="92" t="s">
        <v>1</v>
      </c>
      <c r="E714" s="176">
        <v>1.1284722222222221</v>
      </c>
      <c r="F714" s="92" t="s">
        <v>33</v>
      </c>
      <c r="G714" s="94">
        <v>1</v>
      </c>
      <c r="H714" s="99" t="s">
        <v>34</v>
      </c>
      <c r="I714" s="2"/>
    </row>
    <row r="715" spans="1:9" ht="19.8" customHeight="1" x14ac:dyDescent="0.3">
      <c r="A715" s="175">
        <v>46002</v>
      </c>
      <c r="B715" s="92" t="s">
        <v>26</v>
      </c>
      <c r="C715" s="93" t="s">
        <v>39</v>
      </c>
      <c r="D715" s="92" t="s">
        <v>1</v>
      </c>
      <c r="E715" s="176">
        <v>1.302083333333333</v>
      </c>
      <c r="F715" s="92" t="s">
        <v>33</v>
      </c>
      <c r="G715" s="94">
        <v>6</v>
      </c>
      <c r="H715" s="99" t="s">
        <v>34</v>
      </c>
      <c r="I715" s="2"/>
    </row>
    <row r="716" spans="1:9" ht="19.8" customHeight="1" x14ac:dyDescent="0.3">
      <c r="A716" s="175">
        <v>46002</v>
      </c>
      <c r="B716" s="92" t="s">
        <v>26</v>
      </c>
      <c r="C716" s="93" t="s">
        <v>27</v>
      </c>
      <c r="D716" s="92" t="s">
        <v>1</v>
      </c>
      <c r="E716" s="176">
        <v>1.8888888888888891</v>
      </c>
      <c r="F716" s="92" t="s">
        <v>33</v>
      </c>
      <c r="G716" s="94">
        <v>17</v>
      </c>
      <c r="H716" s="99" t="s">
        <v>34</v>
      </c>
      <c r="I716" s="2"/>
    </row>
    <row r="717" spans="1:9" ht="19.8" customHeight="1" x14ac:dyDescent="0.3">
      <c r="A717" s="175">
        <v>46002</v>
      </c>
      <c r="B717" s="92" t="s">
        <v>26</v>
      </c>
      <c r="C717" s="93" t="s">
        <v>41</v>
      </c>
      <c r="D717" s="92" t="s">
        <v>1</v>
      </c>
      <c r="E717" s="176">
        <v>1.788194444444444</v>
      </c>
      <c r="F717" s="92" t="s">
        <v>33</v>
      </c>
      <c r="G717" s="94">
        <v>12</v>
      </c>
      <c r="H717" s="99" t="s">
        <v>34</v>
      </c>
      <c r="I717" s="2"/>
    </row>
    <row r="718" spans="1:9" ht="19.8" customHeight="1" x14ac:dyDescent="0.3">
      <c r="A718" s="175">
        <v>46002</v>
      </c>
      <c r="B718" s="92" t="s">
        <v>130</v>
      </c>
      <c r="C718" s="93" t="s">
        <v>147</v>
      </c>
      <c r="D718" s="92" t="s">
        <v>1</v>
      </c>
      <c r="E718" s="176">
        <v>1.71875</v>
      </c>
      <c r="F718" s="92" t="s">
        <v>134</v>
      </c>
      <c r="G718" s="94">
        <v>9</v>
      </c>
      <c r="H718" s="99" t="s">
        <v>312</v>
      </c>
      <c r="I718" s="2"/>
    </row>
    <row r="719" spans="1:9" ht="19.8" customHeight="1" x14ac:dyDescent="0.3">
      <c r="A719" s="175">
        <v>46002</v>
      </c>
      <c r="B719" s="92" t="s">
        <v>130</v>
      </c>
      <c r="C719" s="93" t="s">
        <v>148</v>
      </c>
      <c r="D719" s="92" t="s">
        <v>1</v>
      </c>
      <c r="E719" s="176">
        <v>1.8298611111111109</v>
      </c>
      <c r="F719" s="92" t="s">
        <v>132</v>
      </c>
      <c r="G719" s="94">
        <v>9</v>
      </c>
      <c r="H719" s="99" t="s">
        <v>313</v>
      </c>
      <c r="I719" s="2"/>
    </row>
    <row r="720" spans="1:9" ht="19.8" customHeight="1" x14ac:dyDescent="0.3">
      <c r="A720" s="175">
        <v>46002</v>
      </c>
      <c r="B720" s="92" t="s">
        <v>130</v>
      </c>
      <c r="C720" s="93" t="s">
        <v>142</v>
      </c>
      <c r="D720" s="92" t="s">
        <v>1</v>
      </c>
      <c r="E720" s="176">
        <v>1.1284722222222221</v>
      </c>
      <c r="F720" s="92" t="s">
        <v>134</v>
      </c>
      <c r="G720" s="94">
        <v>4</v>
      </c>
      <c r="H720" s="99" t="s">
        <v>178</v>
      </c>
      <c r="I720" s="2"/>
    </row>
    <row r="721" spans="1:9" ht="19.8" customHeight="1" x14ac:dyDescent="0.3">
      <c r="A721" s="175">
        <v>46002</v>
      </c>
      <c r="B721" s="92" t="s">
        <v>115</v>
      </c>
      <c r="C721" s="93" t="s">
        <v>128</v>
      </c>
      <c r="D721" s="92" t="s">
        <v>1</v>
      </c>
      <c r="E721" s="176">
        <v>1.0138888888888891</v>
      </c>
      <c r="F721" s="92" t="s">
        <v>124</v>
      </c>
      <c r="G721" s="94">
        <v>9</v>
      </c>
      <c r="H721" s="99" t="s">
        <v>310</v>
      </c>
      <c r="I721" s="2"/>
    </row>
    <row r="722" spans="1:9" ht="19.8" customHeight="1" x14ac:dyDescent="0.3">
      <c r="A722" s="175">
        <v>46002</v>
      </c>
      <c r="B722" s="92" t="s">
        <v>115</v>
      </c>
      <c r="C722" s="93" t="s">
        <v>119</v>
      </c>
      <c r="D722" s="92" t="s">
        <v>1</v>
      </c>
      <c r="E722" s="176">
        <v>1.145833333333333</v>
      </c>
      <c r="F722" s="92" t="s">
        <v>124</v>
      </c>
      <c r="G722" s="94">
        <v>9</v>
      </c>
      <c r="H722" s="99" t="s">
        <v>310</v>
      </c>
      <c r="I722" s="2"/>
    </row>
    <row r="723" spans="1:9" ht="19.8" customHeight="1" x14ac:dyDescent="0.3">
      <c r="A723" s="175">
        <v>46002</v>
      </c>
      <c r="B723" s="92" t="s">
        <v>115</v>
      </c>
      <c r="C723" s="93" t="s">
        <v>120</v>
      </c>
      <c r="D723" s="92" t="s">
        <v>1</v>
      </c>
      <c r="E723" s="176">
        <v>1.2777777777777779</v>
      </c>
      <c r="F723" s="92" t="s">
        <v>124</v>
      </c>
      <c r="G723" s="94">
        <v>9</v>
      </c>
      <c r="H723" s="99" t="s">
        <v>310</v>
      </c>
      <c r="I723" s="2"/>
    </row>
    <row r="724" spans="1:9" ht="19.8" customHeight="1" x14ac:dyDescent="0.3">
      <c r="A724" s="175">
        <v>46002</v>
      </c>
      <c r="B724" s="92" t="s">
        <v>130</v>
      </c>
      <c r="C724" s="93" t="s">
        <v>148</v>
      </c>
      <c r="D724" s="92" t="s">
        <v>1</v>
      </c>
      <c r="E724" s="176">
        <v>1.8298611111111109</v>
      </c>
      <c r="F724" s="92" t="s">
        <v>134</v>
      </c>
      <c r="G724" s="94">
        <v>9</v>
      </c>
      <c r="H724" s="99" t="s">
        <v>314</v>
      </c>
      <c r="I724" s="2"/>
    </row>
    <row r="725" spans="1:9" ht="19.8" customHeight="1" x14ac:dyDescent="0.3">
      <c r="A725" s="175">
        <v>46002</v>
      </c>
      <c r="B725" s="92" t="s">
        <v>130</v>
      </c>
      <c r="C725" s="93" t="s">
        <v>141</v>
      </c>
      <c r="D725" s="92" t="s">
        <v>1</v>
      </c>
      <c r="E725" s="176">
        <v>1.302083333333333</v>
      </c>
      <c r="F725" s="92" t="s">
        <v>134</v>
      </c>
      <c r="G725" s="94">
        <v>4</v>
      </c>
      <c r="H725" s="99" t="s">
        <v>179</v>
      </c>
      <c r="I725" s="2"/>
    </row>
    <row r="726" spans="1:9" ht="19.8" customHeight="1" x14ac:dyDescent="0.3">
      <c r="A726" s="175">
        <v>46002</v>
      </c>
      <c r="B726" s="92" t="s">
        <v>130</v>
      </c>
      <c r="C726" s="93" t="s">
        <v>139</v>
      </c>
      <c r="D726" s="92" t="s">
        <v>1</v>
      </c>
      <c r="E726" s="176">
        <v>1.8888888888888891</v>
      </c>
      <c r="F726" s="92" t="s">
        <v>134</v>
      </c>
      <c r="G726" s="94">
        <v>4</v>
      </c>
      <c r="H726" s="99" t="s">
        <v>150</v>
      </c>
      <c r="I726" s="2"/>
    </row>
    <row r="727" spans="1:9" ht="19.8" customHeight="1" x14ac:dyDescent="0.3">
      <c r="A727" s="175">
        <v>46002</v>
      </c>
      <c r="B727" s="92" t="s">
        <v>130</v>
      </c>
      <c r="C727" s="93" t="s">
        <v>149</v>
      </c>
      <c r="D727" s="92" t="s">
        <v>1</v>
      </c>
      <c r="E727" s="176">
        <v>1.788194444444444</v>
      </c>
      <c r="F727" s="92" t="s">
        <v>134</v>
      </c>
      <c r="G727" s="94">
        <v>4</v>
      </c>
      <c r="H727" s="99" t="s">
        <v>150</v>
      </c>
      <c r="I727" s="2"/>
    </row>
    <row r="728" spans="1:9" ht="19.8" customHeight="1" x14ac:dyDescent="0.3">
      <c r="A728" s="179">
        <v>46002</v>
      </c>
      <c r="B728" s="100" t="s">
        <v>115</v>
      </c>
      <c r="C728" s="101" t="s">
        <v>126</v>
      </c>
      <c r="D728" s="100" t="s">
        <v>1</v>
      </c>
      <c r="E728" s="180">
        <v>1.770833333333333</v>
      </c>
      <c r="F728" s="100" t="s">
        <v>124</v>
      </c>
      <c r="G728" s="102">
        <v>9</v>
      </c>
      <c r="H728" s="103" t="s">
        <v>290</v>
      </c>
      <c r="I728" s="2"/>
    </row>
    <row r="729" spans="1:9" ht="19.8" customHeight="1" x14ac:dyDescent="0.3">
      <c r="A729" s="175">
        <v>46003</v>
      </c>
      <c r="B729" s="92" t="s">
        <v>26</v>
      </c>
      <c r="C729" s="93" t="s">
        <v>35</v>
      </c>
      <c r="D729" s="92" t="s">
        <v>1</v>
      </c>
      <c r="E729" s="176">
        <v>1.1284722222222221</v>
      </c>
      <c r="F729" s="92" t="s">
        <v>28</v>
      </c>
      <c r="G729" s="94">
        <v>8</v>
      </c>
      <c r="H729" s="173">
        <v>329</v>
      </c>
      <c r="I729" s="2"/>
    </row>
    <row r="730" spans="1:9" ht="19.8" customHeight="1" x14ac:dyDescent="0.3">
      <c r="A730" s="175">
        <v>46003</v>
      </c>
      <c r="B730" s="92" t="s">
        <v>45</v>
      </c>
      <c r="C730" s="93" t="s">
        <v>58</v>
      </c>
      <c r="D730" s="92" t="s">
        <v>1</v>
      </c>
      <c r="E730" s="176">
        <v>1.46875</v>
      </c>
      <c r="F730" s="92" t="s">
        <v>47</v>
      </c>
      <c r="G730" s="94">
        <v>1</v>
      </c>
      <c r="H730" s="173">
        <v>349</v>
      </c>
      <c r="I730" s="2"/>
    </row>
    <row r="731" spans="1:9" ht="19.8" customHeight="1" x14ac:dyDescent="0.3">
      <c r="A731" s="175">
        <v>46003</v>
      </c>
      <c r="B731" s="92" t="s">
        <v>79</v>
      </c>
      <c r="C731" s="93" t="s">
        <v>84</v>
      </c>
      <c r="D731" s="92" t="s">
        <v>1</v>
      </c>
      <c r="E731" s="176">
        <v>1.3923611111111109</v>
      </c>
      <c r="F731" s="92" t="s">
        <v>81</v>
      </c>
      <c r="G731" s="94">
        <v>9</v>
      </c>
      <c r="H731" s="173">
        <v>355</v>
      </c>
      <c r="I731" s="2"/>
    </row>
    <row r="732" spans="1:9" ht="19.8" customHeight="1" x14ac:dyDescent="0.3">
      <c r="A732" s="175">
        <v>46003</v>
      </c>
      <c r="B732" s="92" t="s">
        <v>79</v>
      </c>
      <c r="C732" s="93" t="s">
        <v>199</v>
      </c>
      <c r="D732" s="92" t="s">
        <v>1</v>
      </c>
      <c r="E732" s="176">
        <v>1.975694444444444</v>
      </c>
      <c r="F732" s="92" t="s">
        <v>81</v>
      </c>
      <c r="G732" s="94">
        <v>9</v>
      </c>
      <c r="H732" s="173">
        <v>355</v>
      </c>
      <c r="I732" s="2"/>
    </row>
    <row r="733" spans="1:9" ht="19.8" customHeight="1" x14ac:dyDescent="0.3">
      <c r="A733" s="175">
        <v>46003</v>
      </c>
      <c r="B733" s="92" t="s">
        <v>26</v>
      </c>
      <c r="C733" s="93" t="s">
        <v>39</v>
      </c>
      <c r="D733" s="92" t="s">
        <v>1</v>
      </c>
      <c r="E733" s="176">
        <v>1.302083333333333</v>
      </c>
      <c r="F733" s="92" t="s">
        <v>28</v>
      </c>
      <c r="G733" s="94">
        <v>12</v>
      </c>
      <c r="H733" s="173">
        <v>359</v>
      </c>
      <c r="I733" s="2"/>
    </row>
    <row r="734" spans="1:9" ht="19.8" customHeight="1" x14ac:dyDescent="0.3">
      <c r="A734" s="175">
        <v>46003</v>
      </c>
      <c r="B734" s="92" t="s">
        <v>26</v>
      </c>
      <c r="C734" s="93" t="s">
        <v>27</v>
      </c>
      <c r="D734" s="92" t="s">
        <v>1</v>
      </c>
      <c r="E734" s="176">
        <v>1.8888888888888891</v>
      </c>
      <c r="F734" s="92" t="s">
        <v>28</v>
      </c>
      <c r="G734" s="94">
        <v>10</v>
      </c>
      <c r="H734" s="173">
        <v>359</v>
      </c>
      <c r="I734" s="2"/>
    </row>
    <row r="735" spans="1:9" ht="19.8" customHeight="1" x14ac:dyDescent="0.3">
      <c r="A735" s="175">
        <v>46003</v>
      </c>
      <c r="B735" s="92" t="s">
        <v>26</v>
      </c>
      <c r="C735" s="93" t="s">
        <v>41</v>
      </c>
      <c r="D735" s="92" t="s">
        <v>1</v>
      </c>
      <c r="E735" s="176">
        <v>1.788194444444444</v>
      </c>
      <c r="F735" s="92" t="s">
        <v>28</v>
      </c>
      <c r="G735" s="94">
        <v>2</v>
      </c>
      <c r="H735" s="173">
        <v>359</v>
      </c>
      <c r="I735" s="2"/>
    </row>
    <row r="736" spans="1:9" ht="19.8" customHeight="1" x14ac:dyDescent="0.3">
      <c r="A736" s="175">
        <v>46003</v>
      </c>
      <c r="B736" s="92" t="s">
        <v>45</v>
      </c>
      <c r="C736" s="93" t="s">
        <v>57</v>
      </c>
      <c r="D736" s="92" t="s">
        <v>1</v>
      </c>
      <c r="E736" s="176">
        <v>1.256944444444444</v>
      </c>
      <c r="F736" s="92" t="s">
        <v>47</v>
      </c>
      <c r="G736" s="94">
        <v>9</v>
      </c>
      <c r="H736" s="173">
        <v>389</v>
      </c>
      <c r="I736" s="2"/>
    </row>
    <row r="737" spans="1:9" ht="19.8" customHeight="1" x14ac:dyDescent="0.3">
      <c r="A737" s="175">
        <v>46003</v>
      </c>
      <c r="B737" s="92" t="s">
        <v>45</v>
      </c>
      <c r="C737" s="93" t="s">
        <v>46</v>
      </c>
      <c r="D737" s="92" t="s">
        <v>1</v>
      </c>
      <c r="E737" s="176">
        <v>1.395833333333333</v>
      </c>
      <c r="F737" s="92" t="s">
        <v>47</v>
      </c>
      <c r="G737" s="94">
        <v>9</v>
      </c>
      <c r="H737" s="173">
        <v>389</v>
      </c>
      <c r="I737" s="2"/>
    </row>
    <row r="738" spans="1:9" ht="19.8" customHeight="1" x14ac:dyDescent="0.3">
      <c r="A738" s="175">
        <v>46003</v>
      </c>
      <c r="B738" s="92" t="s">
        <v>79</v>
      </c>
      <c r="C738" s="93" t="s">
        <v>200</v>
      </c>
      <c r="D738" s="92" t="s">
        <v>1</v>
      </c>
      <c r="E738" s="176">
        <v>1.677083333333333</v>
      </c>
      <c r="F738" s="92" t="s">
        <v>81</v>
      </c>
      <c r="G738" s="94">
        <v>9</v>
      </c>
      <c r="H738" s="173">
        <v>393</v>
      </c>
      <c r="I738" s="2"/>
    </row>
    <row r="739" spans="1:9" ht="19.8" customHeight="1" x14ac:dyDescent="0.3">
      <c r="A739" s="175">
        <v>46003</v>
      </c>
      <c r="B739" s="92" t="s">
        <v>74</v>
      </c>
      <c r="C739" s="93" t="s">
        <v>78</v>
      </c>
      <c r="D739" s="92" t="s">
        <v>1</v>
      </c>
      <c r="E739" s="176">
        <v>1.666666666666667</v>
      </c>
      <c r="F739" s="92" t="s">
        <v>72</v>
      </c>
      <c r="G739" s="94">
        <v>9</v>
      </c>
      <c r="H739" s="173">
        <v>401</v>
      </c>
      <c r="I739" s="2"/>
    </row>
    <row r="740" spans="1:9" ht="19.8" customHeight="1" x14ac:dyDescent="0.3">
      <c r="A740" s="175">
        <v>46003</v>
      </c>
      <c r="B740" s="92" t="s">
        <v>45</v>
      </c>
      <c r="C740" s="93" t="s">
        <v>53</v>
      </c>
      <c r="D740" s="92" t="s">
        <v>1</v>
      </c>
      <c r="E740" s="176">
        <v>1.854166666666667</v>
      </c>
      <c r="F740" s="92" t="s">
        <v>47</v>
      </c>
      <c r="G740" s="94">
        <v>9</v>
      </c>
      <c r="H740" s="173">
        <v>429</v>
      </c>
      <c r="I740" s="2"/>
    </row>
    <row r="741" spans="1:9" ht="19.8" customHeight="1" x14ac:dyDescent="0.3">
      <c r="A741" s="175">
        <v>46003</v>
      </c>
      <c r="B741" s="92" t="s">
        <v>45</v>
      </c>
      <c r="C741" s="93" t="s">
        <v>62</v>
      </c>
      <c r="D741" s="92" t="s">
        <v>1</v>
      </c>
      <c r="E741" s="176">
        <v>1.5173611111111109</v>
      </c>
      <c r="F741" s="92" t="s">
        <v>47</v>
      </c>
      <c r="G741" s="94">
        <v>1</v>
      </c>
      <c r="H741" s="173">
        <v>429</v>
      </c>
      <c r="I741" s="2"/>
    </row>
    <row r="742" spans="1:9" ht="19.8" customHeight="1" x14ac:dyDescent="0.3">
      <c r="A742" s="175">
        <v>46003</v>
      </c>
      <c r="B742" s="92" t="s">
        <v>45</v>
      </c>
      <c r="C742" s="93" t="s">
        <v>59</v>
      </c>
      <c r="D742" s="92" t="s">
        <v>1</v>
      </c>
      <c r="E742" s="176">
        <v>1.9027777777777779</v>
      </c>
      <c r="F742" s="92" t="s">
        <v>47</v>
      </c>
      <c r="G742" s="94">
        <v>9</v>
      </c>
      <c r="H742" s="173">
        <v>429</v>
      </c>
      <c r="I742" s="2"/>
    </row>
    <row r="743" spans="1:9" ht="19.8" customHeight="1" x14ac:dyDescent="0.3">
      <c r="A743" s="175">
        <v>46003</v>
      </c>
      <c r="B743" s="92" t="s">
        <v>45</v>
      </c>
      <c r="C743" s="93" t="s">
        <v>60</v>
      </c>
      <c r="D743" s="92" t="s">
        <v>1</v>
      </c>
      <c r="E743" s="176">
        <v>1.7986111111111109</v>
      </c>
      <c r="F743" s="92" t="s">
        <v>47</v>
      </c>
      <c r="G743" s="94">
        <v>1</v>
      </c>
      <c r="H743" s="173">
        <v>429</v>
      </c>
      <c r="I743" s="2"/>
    </row>
    <row r="744" spans="1:9" ht="19.8" customHeight="1" x14ac:dyDescent="0.3">
      <c r="A744" s="175">
        <v>46003</v>
      </c>
      <c r="B744" s="92" t="s">
        <v>45</v>
      </c>
      <c r="C744" s="93" t="s">
        <v>66</v>
      </c>
      <c r="D744" s="92" t="s">
        <v>1</v>
      </c>
      <c r="E744" s="176">
        <v>1.645833333333333</v>
      </c>
      <c r="F744" s="92" t="s">
        <v>47</v>
      </c>
      <c r="G744" s="94">
        <v>5</v>
      </c>
      <c r="H744" s="173">
        <v>429</v>
      </c>
      <c r="I744" s="2"/>
    </row>
    <row r="745" spans="1:9" ht="19.8" customHeight="1" x14ac:dyDescent="0.3">
      <c r="A745" s="177">
        <v>46003</v>
      </c>
      <c r="B745" s="96" t="s">
        <v>87</v>
      </c>
      <c r="C745" s="97" t="s">
        <v>102</v>
      </c>
      <c r="D745" s="96" t="s">
        <v>1</v>
      </c>
      <c r="E745" s="178">
        <v>1.614583333333333</v>
      </c>
      <c r="F745" s="96" t="s">
        <v>89</v>
      </c>
      <c r="G745" s="98">
        <v>9</v>
      </c>
      <c r="H745" s="174">
        <v>436</v>
      </c>
      <c r="I745" s="2"/>
    </row>
    <row r="746" spans="1:9" ht="19.8" customHeight="1" x14ac:dyDescent="0.3">
      <c r="A746" s="177">
        <v>46003</v>
      </c>
      <c r="B746" s="96" t="s">
        <v>87</v>
      </c>
      <c r="C746" s="97" t="s">
        <v>95</v>
      </c>
      <c r="D746" s="96" t="s">
        <v>1</v>
      </c>
      <c r="E746" s="178">
        <v>1.458333333333333</v>
      </c>
      <c r="F746" s="96" t="s">
        <v>89</v>
      </c>
      <c r="G746" s="98">
        <v>5</v>
      </c>
      <c r="H746" s="174">
        <v>436</v>
      </c>
      <c r="I746" s="2"/>
    </row>
    <row r="747" spans="1:9" ht="19.8" customHeight="1" x14ac:dyDescent="0.3">
      <c r="A747" s="177">
        <v>46003</v>
      </c>
      <c r="B747" s="96" t="s">
        <v>87</v>
      </c>
      <c r="C747" s="97" t="s">
        <v>109</v>
      </c>
      <c r="D747" s="96" t="s">
        <v>1</v>
      </c>
      <c r="E747" s="178">
        <v>1.319444444444444</v>
      </c>
      <c r="F747" s="96" t="s">
        <v>89</v>
      </c>
      <c r="G747" s="98">
        <v>5</v>
      </c>
      <c r="H747" s="174">
        <v>436</v>
      </c>
      <c r="I747" s="2"/>
    </row>
    <row r="748" spans="1:9" ht="19.8" customHeight="1" x14ac:dyDescent="0.3">
      <c r="A748" s="177">
        <v>46003</v>
      </c>
      <c r="B748" s="96" t="s">
        <v>87</v>
      </c>
      <c r="C748" s="97" t="s">
        <v>165</v>
      </c>
      <c r="D748" s="96" t="s">
        <v>1</v>
      </c>
      <c r="E748" s="178">
        <v>1.7361111111111109</v>
      </c>
      <c r="F748" s="96" t="s">
        <v>89</v>
      </c>
      <c r="G748" s="98">
        <v>1</v>
      </c>
      <c r="H748" s="174">
        <v>436</v>
      </c>
      <c r="I748" s="2"/>
    </row>
    <row r="749" spans="1:9" ht="19.8" customHeight="1" x14ac:dyDescent="0.3">
      <c r="A749" s="177">
        <v>46003</v>
      </c>
      <c r="B749" s="96" t="s">
        <v>87</v>
      </c>
      <c r="C749" s="97" t="s">
        <v>169</v>
      </c>
      <c r="D749" s="96" t="s">
        <v>1</v>
      </c>
      <c r="E749" s="178">
        <v>1.114583333333333</v>
      </c>
      <c r="F749" s="96" t="s">
        <v>89</v>
      </c>
      <c r="G749" s="98">
        <v>3</v>
      </c>
      <c r="H749" s="174">
        <v>436</v>
      </c>
      <c r="I749" s="2"/>
    </row>
    <row r="750" spans="1:9" ht="19.8" customHeight="1" x14ac:dyDescent="0.3">
      <c r="A750" s="175">
        <v>46003</v>
      </c>
      <c r="B750" s="92" t="s">
        <v>45</v>
      </c>
      <c r="C750" s="93" t="s">
        <v>58</v>
      </c>
      <c r="D750" s="92" t="s">
        <v>1</v>
      </c>
      <c r="E750" s="176">
        <v>1.46875</v>
      </c>
      <c r="F750" s="92" t="s">
        <v>49</v>
      </c>
      <c r="G750" s="94">
        <v>1</v>
      </c>
      <c r="H750" s="173">
        <v>449</v>
      </c>
      <c r="I750" s="2"/>
    </row>
    <row r="751" spans="1:9" ht="19.8" customHeight="1" x14ac:dyDescent="0.3">
      <c r="A751" s="177">
        <v>46003</v>
      </c>
      <c r="B751" s="96" t="s">
        <v>87</v>
      </c>
      <c r="C751" s="97" t="s">
        <v>88</v>
      </c>
      <c r="D751" s="96" t="s">
        <v>1</v>
      </c>
      <c r="E751" s="178">
        <v>1.9375</v>
      </c>
      <c r="F751" s="96" t="s">
        <v>89</v>
      </c>
      <c r="G751" s="98">
        <v>7</v>
      </c>
      <c r="H751" s="174">
        <v>471</v>
      </c>
      <c r="I751" s="2"/>
    </row>
    <row r="752" spans="1:9" ht="19.8" customHeight="1" x14ac:dyDescent="0.3">
      <c r="A752" s="175">
        <v>46003</v>
      </c>
      <c r="B752" s="92" t="s">
        <v>79</v>
      </c>
      <c r="C752" s="93" t="s">
        <v>84</v>
      </c>
      <c r="D752" s="92" t="s">
        <v>1</v>
      </c>
      <c r="E752" s="176">
        <v>1.3923611111111109</v>
      </c>
      <c r="F752" s="92" t="s">
        <v>33</v>
      </c>
      <c r="G752" s="94">
        <v>9</v>
      </c>
      <c r="H752" s="173">
        <v>479</v>
      </c>
      <c r="I752" s="2"/>
    </row>
    <row r="753" spans="1:9" ht="19.8" customHeight="1" x14ac:dyDescent="0.3">
      <c r="A753" s="175">
        <v>46003</v>
      </c>
      <c r="B753" s="92" t="s">
        <v>79</v>
      </c>
      <c r="C753" s="93" t="s">
        <v>199</v>
      </c>
      <c r="D753" s="92" t="s">
        <v>1</v>
      </c>
      <c r="E753" s="176">
        <v>1.975694444444444</v>
      </c>
      <c r="F753" s="92" t="s">
        <v>33</v>
      </c>
      <c r="G753" s="94">
        <v>9</v>
      </c>
      <c r="H753" s="173">
        <v>479</v>
      </c>
      <c r="I753" s="2"/>
    </row>
    <row r="754" spans="1:9" ht="19.8" customHeight="1" x14ac:dyDescent="0.3">
      <c r="A754" s="175">
        <v>46003</v>
      </c>
      <c r="B754" s="92" t="s">
        <v>26</v>
      </c>
      <c r="C754" s="93" t="s">
        <v>35</v>
      </c>
      <c r="D754" s="92" t="s">
        <v>1</v>
      </c>
      <c r="E754" s="176">
        <v>1.1284722222222221</v>
      </c>
      <c r="F754" s="92" t="s">
        <v>31</v>
      </c>
      <c r="G754" s="94">
        <v>8</v>
      </c>
      <c r="H754" s="173">
        <v>479</v>
      </c>
      <c r="I754" s="2"/>
    </row>
    <row r="755" spans="1:9" ht="19.8" customHeight="1" x14ac:dyDescent="0.3">
      <c r="A755" s="175">
        <v>46003</v>
      </c>
      <c r="B755" s="92" t="s">
        <v>45</v>
      </c>
      <c r="C755" s="93" t="s">
        <v>57</v>
      </c>
      <c r="D755" s="92" t="s">
        <v>1</v>
      </c>
      <c r="E755" s="176">
        <v>1.256944444444444</v>
      </c>
      <c r="F755" s="92" t="s">
        <v>49</v>
      </c>
      <c r="G755" s="94">
        <v>9</v>
      </c>
      <c r="H755" s="173">
        <v>489</v>
      </c>
      <c r="I755" s="2"/>
    </row>
    <row r="756" spans="1:9" ht="19.8" customHeight="1" x14ac:dyDescent="0.3">
      <c r="A756" s="175">
        <v>46003</v>
      </c>
      <c r="B756" s="92" t="s">
        <v>45</v>
      </c>
      <c r="C756" s="93" t="s">
        <v>46</v>
      </c>
      <c r="D756" s="92" t="s">
        <v>1</v>
      </c>
      <c r="E756" s="176">
        <v>1.395833333333333</v>
      </c>
      <c r="F756" s="92" t="s">
        <v>49</v>
      </c>
      <c r="G756" s="94">
        <v>9</v>
      </c>
      <c r="H756" s="173">
        <v>489</v>
      </c>
      <c r="I756" s="2"/>
    </row>
    <row r="757" spans="1:9" ht="19.8" customHeight="1" x14ac:dyDescent="0.3">
      <c r="A757" s="175">
        <v>46003</v>
      </c>
      <c r="B757" s="92" t="s">
        <v>26</v>
      </c>
      <c r="C757" s="93" t="s">
        <v>39</v>
      </c>
      <c r="D757" s="92" t="s">
        <v>1</v>
      </c>
      <c r="E757" s="176">
        <v>1.302083333333333</v>
      </c>
      <c r="F757" s="92" t="s">
        <v>31</v>
      </c>
      <c r="G757" s="94">
        <v>12</v>
      </c>
      <c r="H757" s="173">
        <v>509</v>
      </c>
      <c r="I757" s="2"/>
    </row>
    <row r="758" spans="1:9" ht="19.8" customHeight="1" x14ac:dyDescent="0.3">
      <c r="A758" s="175">
        <v>46003</v>
      </c>
      <c r="B758" s="92" t="s">
        <v>26</v>
      </c>
      <c r="C758" s="93" t="s">
        <v>27</v>
      </c>
      <c r="D758" s="92" t="s">
        <v>1</v>
      </c>
      <c r="E758" s="176">
        <v>1.8888888888888891</v>
      </c>
      <c r="F758" s="92" t="s">
        <v>31</v>
      </c>
      <c r="G758" s="94">
        <v>10</v>
      </c>
      <c r="H758" s="173">
        <v>509</v>
      </c>
      <c r="I758" s="2"/>
    </row>
    <row r="759" spans="1:9" ht="19.8" customHeight="1" x14ac:dyDescent="0.3">
      <c r="A759" s="175">
        <v>46003</v>
      </c>
      <c r="B759" s="92" t="s">
        <v>26</v>
      </c>
      <c r="C759" s="93" t="s">
        <v>41</v>
      </c>
      <c r="D759" s="92" t="s">
        <v>1</v>
      </c>
      <c r="E759" s="176">
        <v>1.788194444444444</v>
      </c>
      <c r="F759" s="92" t="s">
        <v>31</v>
      </c>
      <c r="G759" s="94">
        <v>2</v>
      </c>
      <c r="H759" s="173">
        <v>509</v>
      </c>
      <c r="I759" s="2"/>
    </row>
    <row r="760" spans="1:9" ht="19.8" customHeight="1" x14ac:dyDescent="0.3">
      <c r="A760" s="175">
        <v>46003</v>
      </c>
      <c r="B760" s="92" t="s">
        <v>79</v>
      </c>
      <c r="C760" s="93" t="s">
        <v>200</v>
      </c>
      <c r="D760" s="92" t="s">
        <v>1</v>
      </c>
      <c r="E760" s="176">
        <v>1.677083333333333</v>
      </c>
      <c r="F760" s="92" t="s">
        <v>33</v>
      </c>
      <c r="G760" s="94">
        <v>9</v>
      </c>
      <c r="H760" s="173">
        <v>516</v>
      </c>
      <c r="I760" s="2"/>
    </row>
    <row r="761" spans="1:9" ht="19.8" customHeight="1" x14ac:dyDescent="0.3">
      <c r="A761" s="175">
        <v>46003</v>
      </c>
      <c r="B761" s="92" t="s">
        <v>45</v>
      </c>
      <c r="C761" s="93" t="s">
        <v>53</v>
      </c>
      <c r="D761" s="92" t="s">
        <v>1</v>
      </c>
      <c r="E761" s="176">
        <v>1.854166666666667</v>
      </c>
      <c r="F761" s="92" t="s">
        <v>49</v>
      </c>
      <c r="G761" s="94">
        <v>9</v>
      </c>
      <c r="H761" s="173">
        <v>529</v>
      </c>
      <c r="I761" s="2"/>
    </row>
    <row r="762" spans="1:9" ht="19.8" customHeight="1" x14ac:dyDescent="0.3">
      <c r="A762" s="175">
        <v>46003</v>
      </c>
      <c r="B762" s="92" t="s">
        <v>45</v>
      </c>
      <c r="C762" s="93" t="s">
        <v>62</v>
      </c>
      <c r="D762" s="92" t="s">
        <v>1</v>
      </c>
      <c r="E762" s="176">
        <v>1.5173611111111109</v>
      </c>
      <c r="F762" s="92" t="s">
        <v>49</v>
      </c>
      <c r="G762" s="94">
        <v>1</v>
      </c>
      <c r="H762" s="173">
        <v>529</v>
      </c>
      <c r="I762" s="2"/>
    </row>
    <row r="763" spans="1:9" ht="19.8" customHeight="1" x14ac:dyDescent="0.3">
      <c r="A763" s="175">
        <v>46003</v>
      </c>
      <c r="B763" s="92" t="s">
        <v>45</v>
      </c>
      <c r="C763" s="93" t="s">
        <v>59</v>
      </c>
      <c r="D763" s="92" t="s">
        <v>1</v>
      </c>
      <c r="E763" s="176">
        <v>1.9027777777777779</v>
      </c>
      <c r="F763" s="92" t="s">
        <v>49</v>
      </c>
      <c r="G763" s="94">
        <v>9</v>
      </c>
      <c r="H763" s="173">
        <v>529</v>
      </c>
      <c r="I763" s="2"/>
    </row>
    <row r="764" spans="1:9" ht="19.8" customHeight="1" x14ac:dyDescent="0.3">
      <c r="A764" s="175">
        <v>46003</v>
      </c>
      <c r="B764" s="92" t="s">
        <v>45</v>
      </c>
      <c r="C764" s="93" t="s">
        <v>60</v>
      </c>
      <c r="D764" s="92" t="s">
        <v>1</v>
      </c>
      <c r="E764" s="176">
        <v>1.7986111111111109</v>
      </c>
      <c r="F764" s="92" t="s">
        <v>49</v>
      </c>
      <c r="G764" s="94">
        <v>1</v>
      </c>
      <c r="H764" s="173">
        <v>529</v>
      </c>
      <c r="I764" s="2"/>
    </row>
    <row r="765" spans="1:9" ht="19.8" customHeight="1" x14ac:dyDescent="0.3">
      <c r="A765" s="175">
        <v>46003</v>
      </c>
      <c r="B765" s="92" t="s">
        <v>45</v>
      </c>
      <c r="C765" s="93" t="s">
        <v>66</v>
      </c>
      <c r="D765" s="92" t="s">
        <v>1</v>
      </c>
      <c r="E765" s="176">
        <v>1.645833333333333</v>
      </c>
      <c r="F765" s="92" t="s">
        <v>49</v>
      </c>
      <c r="G765" s="94">
        <v>5</v>
      </c>
      <c r="H765" s="173">
        <v>529</v>
      </c>
      <c r="I765" s="2"/>
    </row>
    <row r="766" spans="1:9" ht="19.8" customHeight="1" x14ac:dyDescent="0.3">
      <c r="A766" s="175">
        <v>46003</v>
      </c>
      <c r="B766" s="92" t="s">
        <v>45</v>
      </c>
      <c r="C766" s="93" t="s">
        <v>58</v>
      </c>
      <c r="D766" s="92" t="s">
        <v>1</v>
      </c>
      <c r="E766" s="176">
        <v>1.46875</v>
      </c>
      <c r="F766" s="92" t="s">
        <v>51</v>
      </c>
      <c r="G766" s="94">
        <v>1</v>
      </c>
      <c r="H766" s="173">
        <v>539</v>
      </c>
      <c r="I766" s="2"/>
    </row>
    <row r="767" spans="1:9" ht="19.8" customHeight="1" x14ac:dyDescent="0.3">
      <c r="A767" s="175">
        <v>46003</v>
      </c>
      <c r="B767" s="92" t="s">
        <v>45</v>
      </c>
      <c r="C767" s="93" t="s">
        <v>57</v>
      </c>
      <c r="D767" s="92" t="s">
        <v>1</v>
      </c>
      <c r="E767" s="176">
        <v>1.256944444444444</v>
      </c>
      <c r="F767" s="92" t="s">
        <v>51</v>
      </c>
      <c r="G767" s="94">
        <v>9</v>
      </c>
      <c r="H767" s="173">
        <v>579</v>
      </c>
      <c r="I767" s="2"/>
    </row>
    <row r="768" spans="1:9" ht="19.8" customHeight="1" x14ac:dyDescent="0.3">
      <c r="A768" s="175">
        <v>46003</v>
      </c>
      <c r="B768" s="92" t="s">
        <v>45</v>
      </c>
      <c r="C768" s="93" t="s">
        <v>46</v>
      </c>
      <c r="D768" s="92" t="s">
        <v>1</v>
      </c>
      <c r="E768" s="176">
        <v>1.395833333333333</v>
      </c>
      <c r="F768" s="92" t="s">
        <v>51</v>
      </c>
      <c r="G768" s="94">
        <v>9</v>
      </c>
      <c r="H768" s="173">
        <v>579</v>
      </c>
      <c r="I768" s="2"/>
    </row>
    <row r="769" spans="1:9" ht="19.8" customHeight="1" x14ac:dyDescent="0.3">
      <c r="A769" s="175">
        <v>46003</v>
      </c>
      <c r="B769" s="92" t="s">
        <v>45</v>
      </c>
      <c r="C769" s="93" t="s">
        <v>53</v>
      </c>
      <c r="D769" s="92" t="s">
        <v>1</v>
      </c>
      <c r="E769" s="176">
        <v>1.854166666666667</v>
      </c>
      <c r="F769" s="92" t="s">
        <v>51</v>
      </c>
      <c r="G769" s="94">
        <v>9</v>
      </c>
      <c r="H769" s="173">
        <v>619</v>
      </c>
      <c r="I769" s="2"/>
    </row>
    <row r="770" spans="1:9" ht="19.8" customHeight="1" x14ac:dyDescent="0.3">
      <c r="A770" s="175">
        <v>46003</v>
      </c>
      <c r="B770" s="92" t="s">
        <v>45</v>
      </c>
      <c r="C770" s="93" t="s">
        <v>62</v>
      </c>
      <c r="D770" s="92" t="s">
        <v>1</v>
      </c>
      <c r="E770" s="176">
        <v>1.5173611111111109</v>
      </c>
      <c r="F770" s="92" t="s">
        <v>51</v>
      </c>
      <c r="G770" s="94">
        <v>1</v>
      </c>
      <c r="H770" s="173">
        <v>619</v>
      </c>
      <c r="I770" s="2"/>
    </row>
    <row r="771" spans="1:9" ht="19.8" customHeight="1" x14ac:dyDescent="0.3">
      <c r="A771" s="175">
        <v>46003</v>
      </c>
      <c r="B771" s="92" t="s">
        <v>45</v>
      </c>
      <c r="C771" s="93" t="s">
        <v>59</v>
      </c>
      <c r="D771" s="92" t="s">
        <v>1</v>
      </c>
      <c r="E771" s="176">
        <v>1.9027777777777779</v>
      </c>
      <c r="F771" s="92" t="s">
        <v>51</v>
      </c>
      <c r="G771" s="94">
        <v>9</v>
      </c>
      <c r="H771" s="173">
        <v>619</v>
      </c>
      <c r="I771" s="2"/>
    </row>
    <row r="772" spans="1:9" ht="19.8" customHeight="1" x14ac:dyDescent="0.3">
      <c r="A772" s="175">
        <v>46003</v>
      </c>
      <c r="B772" s="92" t="s">
        <v>45</v>
      </c>
      <c r="C772" s="93" t="s">
        <v>60</v>
      </c>
      <c r="D772" s="92" t="s">
        <v>1</v>
      </c>
      <c r="E772" s="176">
        <v>1.7986111111111109</v>
      </c>
      <c r="F772" s="92" t="s">
        <v>51</v>
      </c>
      <c r="G772" s="94">
        <v>1</v>
      </c>
      <c r="H772" s="173">
        <v>619</v>
      </c>
      <c r="I772" s="2"/>
    </row>
    <row r="773" spans="1:9" ht="19.8" customHeight="1" x14ac:dyDescent="0.3">
      <c r="A773" s="175">
        <v>46003</v>
      </c>
      <c r="B773" s="92" t="s">
        <v>45</v>
      </c>
      <c r="C773" s="93" t="s">
        <v>66</v>
      </c>
      <c r="D773" s="92" t="s">
        <v>1</v>
      </c>
      <c r="E773" s="176">
        <v>1.645833333333333</v>
      </c>
      <c r="F773" s="92" t="s">
        <v>51</v>
      </c>
      <c r="G773" s="94">
        <v>5</v>
      </c>
      <c r="H773" s="173">
        <v>619</v>
      </c>
      <c r="I773" s="2"/>
    </row>
    <row r="774" spans="1:9" ht="19.8" customHeight="1" x14ac:dyDescent="0.3">
      <c r="A774" s="175">
        <v>46003</v>
      </c>
      <c r="B774" s="92" t="s">
        <v>130</v>
      </c>
      <c r="C774" s="93" t="s">
        <v>147</v>
      </c>
      <c r="D774" s="92" t="s">
        <v>1</v>
      </c>
      <c r="E774" s="176">
        <v>1.71875</v>
      </c>
      <c r="F774" s="92" t="s">
        <v>132</v>
      </c>
      <c r="G774" s="94">
        <v>8</v>
      </c>
      <c r="H774" s="173">
        <v>678</v>
      </c>
      <c r="I774" s="2"/>
    </row>
    <row r="775" spans="1:9" ht="19.8" customHeight="1" x14ac:dyDescent="0.3">
      <c r="A775" s="175">
        <v>46003</v>
      </c>
      <c r="B775" s="92" t="s">
        <v>130</v>
      </c>
      <c r="C775" s="93" t="s">
        <v>136</v>
      </c>
      <c r="D775" s="92" t="s">
        <v>1</v>
      </c>
      <c r="E775" s="176">
        <v>1.3784722222222221</v>
      </c>
      <c r="F775" s="92" t="s">
        <v>132</v>
      </c>
      <c r="G775" s="94">
        <v>9</v>
      </c>
      <c r="H775" s="173">
        <v>678</v>
      </c>
      <c r="I775" s="2"/>
    </row>
    <row r="776" spans="1:9" ht="19.8" customHeight="1" x14ac:dyDescent="0.3">
      <c r="A776" s="175">
        <v>46003</v>
      </c>
      <c r="B776" s="92" t="s">
        <v>130</v>
      </c>
      <c r="C776" s="93" t="s">
        <v>137</v>
      </c>
      <c r="D776" s="92" t="s">
        <v>1</v>
      </c>
      <c r="E776" s="176">
        <v>1.6111111111111109</v>
      </c>
      <c r="F776" s="92" t="s">
        <v>132</v>
      </c>
      <c r="G776" s="94">
        <v>9</v>
      </c>
      <c r="H776" s="173">
        <v>678</v>
      </c>
      <c r="I776" s="2"/>
    </row>
    <row r="777" spans="1:9" ht="19.8" customHeight="1" x14ac:dyDescent="0.3">
      <c r="A777" s="175">
        <v>46003</v>
      </c>
      <c r="B777" s="92" t="s">
        <v>130</v>
      </c>
      <c r="C777" s="93" t="s">
        <v>138</v>
      </c>
      <c r="D777" s="92" t="s">
        <v>1</v>
      </c>
      <c r="E777" s="176">
        <v>1.239583333333333</v>
      </c>
      <c r="F777" s="92" t="s">
        <v>132</v>
      </c>
      <c r="G777" s="94">
        <v>9</v>
      </c>
      <c r="H777" s="173">
        <v>678</v>
      </c>
      <c r="I777" s="2"/>
    </row>
    <row r="778" spans="1:9" ht="19.8" customHeight="1" x14ac:dyDescent="0.3">
      <c r="A778" s="175">
        <v>46003</v>
      </c>
      <c r="B778" s="92" t="s">
        <v>130</v>
      </c>
      <c r="C778" s="93" t="s">
        <v>147</v>
      </c>
      <c r="D778" s="92" t="s">
        <v>1</v>
      </c>
      <c r="E778" s="176">
        <v>1.71875</v>
      </c>
      <c r="F778" s="92" t="s">
        <v>134</v>
      </c>
      <c r="G778" s="94">
        <v>8</v>
      </c>
      <c r="H778" s="173">
        <v>723</v>
      </c>
      <c r="I778" s="2"/>
    </row>
    <row r="779" spans="1:9" ht="19.8" customHeight="1" x14ac:dyDescent="0.3">
      <c r="A779" s="175">
        <v>46003</v>
      </c>
      <c r="B779" s="92" t="s">
        <v>130</v>
      </c>
      <c r="C779" s="93" t="s">
        <v>136</v>
      </c>
      <c r="D779" s="92" t="s">
        <v>1</v>
      </c>
      <c r="E779" s="176">
        <v>1.3784722222222221</v>
      </c>
      <c r="F779" s="92" t="s">
        <v>134</v>
      </c>
      <c r="G779" s="94">
        <v>9</v>
      </c>
      <c r="H779" s="173">
        <v>723</v>
      </c>
      <c r="I779" s="2"/>
    </row>
    <row r="780" spans="1:9" ht="19.8" customHeight="1" x14ac:dyDescent="0.3">
      <c r="A780" s="175">
        <v>46003</v>
      </c>
      <c r="B780" s="92" t="s">
        <v>130</v>
      </c>
      <c r="C780" s="93" t="s">
        <v>137</v>
      </c>
      <c r="D780" s="92" t="s">
        <v>1</v>
      </c>
      <c r="E780" s="176">
        <v>1.6111111111111109</v>
      </c>
      <c r="F780" s="92" t="s">
        <v>134</v>
      </c>
      <c r="G780" s="94">
        <v>9</v>
      </c>
      <c r="H780" s="173">
        <v>723</v>
      </c>
      <c r="I780" s="2"/>
    </row>
    <row r="781" spans="1:9" ht="19.8" customHeight="1" x14ac:dyDescent="0.3">
      <c r="A781" s="175">
        <v>46003</v>
      </c>
      <c r="B781" s="92" t="s">
        <v>130</v>
      </c>
      <c r="C781" s="93" t="s">
        <v>138</v>
      </c>
      <c r="D781" s="92" t="s">
        <v>1</v>
      </c>
      <c r="E781" s="176">
        <v>1.239583333333333</v>
      </c>
      <c r="F781" s="92" t="s">
        <v>134</v>
      </c>
      <c r="G781" s="94">
        <v>9</v>
      </c>
      <c r="H781" s="173">
        <v>723</v>
      </c>
      <c r="I781" s="2"/>
    </row>
    <row r="782" spans="1:9" ht="19.8" customHeight="1" x14ac:dyDescent="0.3">
      <c r="A782" s="175">
        <v>46003</v>
      </c>
      <c r="B782" s="92" t="s">
        <v>115</v>
      </c>
      <c r="C782" s="93" t="s">
        <v>120</v>
      </c>
      <c r="D782" s="92" t="s">
        <v>1</v>
      </c>
      <c r="E782" s="176">
        <v>1.2777777777777779</v>
      </c>
      <c r="F782" s="92" t="s">
        <v>124</v>
      </c>
      <c r="G782" s="94">
        <v>9</v>
      </c>
      <c r="H782" s="173">
        <v>795</v>
      </c>
      <c r="I782" s="2"/>
    </row>
    <row r="783" spans="1:9" ht="19.8" customHeight="1" x14ac:dyDescent="0.3">
      <c r="A783" s="175">
        <v>46003</v>
      </c>
      <c r="B783" s="92" t="s">
        <v>115</v>
      </c>
      <c r="C783" s="93" t="s">
        <v>116</v>
      </c>
      <c r="D783" s="92" t="s">
        <v>1</v>
      </c>
      <c r="E783" s="176">
        <v>1.229166666666667</v>
      </c>
      <c r="F783" s="92" t="s">
        <v>124</v>
      </c>
      <c r="G783" s="94">
        <v>9</v>
      </c>
      <c r="H783" s="173">
        <v>890</v>
      </c>
      <c r="I783" s="2"/>
    </row>
    <row r="784" spans="1:9" ht="19.8" customHeight="1" x14ac:dyDescent="0.3">
      <c r="A784" s="175">
        <v>46003</v>
      </c>
      <c r="B784" s="92" t="s">
        <v>115</v>
      </c>
      <c r="C784" s="93" t="s">
        <v>128</v>
      </c>
      <c r="D784" s="92" t="s">
        <v>1</v>
      </c>
      <c r="E784" s="176">
        <v>1.0138888888888891</v>
      </c>
      <c r="F784" s="92" t="s">
        <v>124</v>
      </c>
      <c r="G784" s="94">
        <v>9</v>
      </c>
      <c r="H784" s="173">
        <v>890</v>
      </c>
      <c r="I784" s="2"/>
    </row>
    <row r="785" spans="1:9" ht="19.8" customHeight="1" x14ac:dyDescent="0.3">
      <c r="A785" s="175">
        <v>46003</v>
      </c>
      <c r="B785" s="92" t="s">
        <v>115</v>
      </c>
      <c r="C785" s="93" t="s">
        <v>119</v>
      </c>
      <c r="D785" s="92" t="s">
        <v>1</v>
      </c>
      <c r="E785" s="176">
        <v>1.145833333333333</v>
      </c>
      <c r="F785" s="92" t="s">
        <v>124</v>
      </c>
      <c r="G785" s="94">
        <v>9</v>
      </c>
      <c r="H785" s="173">
        <v>890</v>
      </c>
      <c r="I785" s="2"/>
    </row>
    <row r="786" spans="1:9" ht="19.8" customHeight="1" x14ac:dyDescent="0.3">
      <c r="A786" s="175">
        <v>46003</v>
      </c>
      <c r="B786" s="92" t="s">
        <v>130</v>
      </c>
      <c r="C786" s="93" t="s">
        <v>143</v>
      </c>
      <c r="D786" s="92" t="s">
        <v>1</v>
      </c>
      <c r="E786" s="176">
        <v>1.006944444444444</v>
      </c>
      <c r="F786" s="92" t="s">
        <v>132</v>
      </c>
      <c r="G786" s="94">
        <v>9</v>
      </c>
      <c r="H786" s="173">
        <v>935</v>
      </c>
      <c r="I786" s="2"/>
    </row>
    <row r="787" spans="1:9" ht="19.8" customHeight="1" x14ac:dyDescent="0.3">
      <c r="A787" s="175">
        <v>46003</v>
      </c>
      <c r="B787" s="92" t="s">
        <v>130</v>
      </c>
      <c r="C787" s="93" t="s">
        <v>131</v>
      </c>
      <c r="D787" s="92" t="s">
        <v>1</v>
      </c>
      <c r="E787" s="176">
        <v>1.930555555555556</v>
      </c>
      <c r="F787" s="92" t="s">
        <v>132</v>
      </c>
      <c r="G787" s="94">
        <v>9</v>
      </c>
      <c r="H787" s="173">
        <v>935</v>
      </c>
      <c r="I787" s="2"/>
    </row>
    <row r="788" spans="1:9" ht="19.8" customHeight="1" x14ac:dyDescent="0.3">
      <c r="A788" s="175">
        <v>46003</v>
      </c>
      <c r="B788" s="92" t="s">
        <v>130</v>
      </c>
      <c r="C788" s="93" t="s">
        <v>148</v>
      </c>
      <c r="D788" s="92" t="s">
        <v>1</v>
      </c>
      <c r="E788" s="176">
        <v>1.8298611111111109</v>
      </c>
      <c r="F788" s="92" t="s">
        <v>132</v>
      </c>
      <c r="G788" s="94">
        <v>9</v>
      </c>
      <c r="H788" s="173">
        <v>935</v>
      </c>
      <c r="I788" s="2"/>
    </row>
    <row r="789" spans="1:9" ht="19.8" customHeight="1" x14ac:dyDescent="0.3">
      <c r="A789" s="175">
        <v>46003</v>
      </c>
      <c r="B789" s="92" t="s">
        <v>130</v>
      </c>
      <c r="C789" s="93" t="s">
        <v>143</v>
      </c>
      <c r="D789" s="92" t="s">
        <v>1</v>
      </c>
      <c r="E789" s="176">
        <v>1.006944444444444</v>
      </c>
      <c r="F789" s="92" t="s">
        <v>134</v>
      </c>
      <c r="G789" s="94">
        <v>9</v>
      </c>
      <c r="H789" s="173">
        <v>980</v>
      </c>
      <c r="I789" s="2"/>
    </row>
    <row r="790" spans="1:9" ht="19.8" customHeight="1" x14ac:dyDescent="0.3">
      <c r="A790" s="175">
        <v>46003</v>
      </c>
      <c r="B790" s="92" t="s">
        <v>130</v>
      </c>
      <c r="C790" s="93" t="s">
        <v>131</v>
      </c>
      <c r="D790" s="92" t="s">
        <v>1</v>
      </c>
      <c r="E790" s="176">
        <v>1.930555555555556</v>
      </c>
      <c r="F790" s="92" t="s">
        <v>134</v>
      </c>
      <c r="G790" s="94">
        <v>9</v>
      </c>
      <c r="H790" s="173">
        <v>980</v>
      </c>
      <c r="I790" s="2"/>
    </row>
    <row r="791" spans="1:9" ht="19.8" customHeight="1" x14ac:dyDescent="0.3">
      <c r="A791" s="175">
        <v>46003</v>
      </c>
      <c r="B791" s="92" t="s">
        <v>130</v>
      </c>
      <c r="C791" s="93" t="s">
        <v>148</v>
      </c>
      <c r="D791" s="92" t="s">
        <v>1</v>
      </c>
      <c r="E791" s="176">
        <v>1.8298611111111109</v>
      </c>
      <c r="F791" s="92" t="s">
        <v>134</v>
      </c>
      <c r="G791" s="94">
        <v>9</v>
      </c>
      <c r="H791" s="173">
        <v>980</v>
      </c>
      <c r="I791" s="2"/>
    </row>
    <row r="792" spans="1:9" ht="19.8" customHeight="1" x14ac:dyDescent="0.3">
      <c r="A792" s="175">
        <v>46003</v>
      </c>
      <c r="B792" s="92" t="s">
        <v>26</v>
      </c>
      <c r="C792" s="93" t="s">
        <v>35</v>
      </c>
      <c r="D792" s="92" t="s">
        <v>1</v>
      </c>
      <c r="E792" s="176">
        <v>1.1284722222222221</v>
      </c>
      <c r="F792" s="92" t="s">
        <v>33</v>
      </c>
      <c r="G792" s="94">
        <v>8</v>
      </c>
      <c r="H792" s="99" t="s">
        <v>34</v>
      </c>
      <c r="I792" s="2"/>
    </row>
    <row r="793" spans="1:9" ht="19.8" customHeight="1" x14ac:dyDescent="0.3">
      <c r="A793" s="175">
        <v>46003</v>
      </c>
      <c r="B793" s="92" t="s">
        <v>26</v>
      </c>
      <c r="C793" s="93" t="s">
        <v>39</v>
      </c>
      <c r="D793" s="92" t="s">
        <v>1</v>
      </c>
      <c r="E793" s="176">
        <v>1.302083333333333</v>
      </c>
      <c r="F793" s="92" t="s">
        <v>33</v>
      </c>
      <c r="G793" s="94">
        <v>12</v>
      </c>
      <c r="H793" s="99" t="s">
        <v>34</v>
      </c>
      <c r="I793" s="2"/>
    </row>
    <row r="794" spans="1:9" ht="19.8" customHeight="1" x14ac:dyDescent="0.3">
      <c r="A794" s="175">
        <v>46003</v>
      </c>
      <c r="B794" s="92" t="s">
        <v>26</v>
      </c>
      <c r="C794" s="93" t="s">
        <v>27</v>
      </c>
      <c r="D794" s="92" t="s">
        <v>1</v>
      </c>
      <c r="E794" s="176">
        <v>1.8888888888888891</v>
      </c>
      <c r="F794" s="92" t="s">
        <v>33</v>
      </c>
      <c r="G794" s="94">
        <v>10</v>
      </c>
      <c r="H794" s="99" t="s">
        <v>34</v>
      </c>
      <c r="I794" s="2"/>
    </row>
    <row r="795" spans="1:9" ht="19.8" customHeight="1" x14ac:dyDescent="0.3">
      <c r="A795" s="175">
        <v>46003</v>
      </c>
      <c r="B795" s="92" t="s">
        <v>26</v>
      </c>
      <c r="C795" s="93" t="s">
        <v>41</v>
      </c>
      <c r="D795" s="92" t="s">
        <v>1</v>
      </c>
      <c r="E795" s="176">
        <v>1.788194444444444</v>
      </c>
      <c r="F795" s="92" t="s">
        <v>33</v>
      </c>
      <c r="G795" s="94">
        <v>2</v>
      </c>
      <c r="H795" s="99" t="s">
        <v>34</v>
      </c>
      <c r="I795" s="2"/>
    </row>
    <row r="796" spans="1:9" ht="19.8" customHeight="1" x14ac:dyDescent="0.3">
      <c r="A796" s="175">
        <v>46003</v>
      </c>
      <c r="B796" s="92" t="s">
        <v>130</v>
      </c>
      <c r="C796" s="93" t="s">
        <v>142</v>
      </c>
      <c r="D796" s="92" t="s">
        <v>1</v>
      </c>
      <c r="E796" s="176">
        <v>1.1284722222222221</v>
      </c>
      <c r="F796" s="92" t="s">
        <v>134</v>
      </c>
      <c r="G796" s="94">
        <v>4</v>
      </c>
      <c r="H796" s="99" t="s">
        <v>218</v>
      </c>
      <c r="I796" s="2"/>
    </row>
    <row r="797" spans="1:9" ht="19.8" customHeight="1" x14ac:dyDescent="0.3">
      <c r="A797" s="175">
        <v>46003</v>
      </c>
      <c r="B797" s="92" t="s">
        <v>130</v>
      </c>
      <c r="C797" s="93" t="s">
        <v>139</v>
      </c>
      <c r="D797" s="92" t="s">
        <v>1</v>
      </c>
      <c r="E797" s="176">
        <v>1.8888888888888891</v>
      </c>
      <c r="F797" s="92" t="s">
        <v>134</v>
      </c>
      <c r="G797" s="94">
        <v>4</v>
      </c>
      <c r="H797" s="99" t="s">
        <v>178</v>
      </c>
      <c r="I797" s="2"/>
    </row>
    <row r="798" spans="1:9" ht="19.8" customHeight="1" x14ac:dyDescent="0.3">
      <c r="A798" s="175">
        <v>46003</v>
      </c>
      <c r="B798" s="92" t="s">
        <v>130</v>
      </c>
      <c r="C798" s="93" t="s">
        <v>141</v>
      </c>
      <c r="D798" s="92" t="s">
        <v>1</v>
      </c>
      <c r="E798" s="176">
        <v>1.302083333333333</v>
      </c>
      <c r="F798" s="92" t="s">
        <v>134</v>
      </c>
      <c r="G798" s="94">
        <v>4</v>
      </c>
      <c r="H798" s="99" t="s">
        <v>178</v>
      </c>
      <c r="I798" s="2"/>
    </row>
    <row r="799" spans="1:9" ht="19.8" customHeight="1" x14ac:dyDescent="0.3">
      <c r="A799" s="175">
        <v>46003</v>
      </c>
      <c r="B799" s="92" t="s">
        <v>130</v>
      </c>
      <c r="C799" s="93" t="s">
        <v>149</v>
      </c>
      <c r="D799" s="92" t="s">
        <v>1</v>
      </c>
      <c r="E799" s="176">
        <v>1.788194444444444</v>
      </c>
      <c r="F799" s="92" t="s">
        <v>134</v>
      </c>
      <c r="G799" s="94">
        <v>4</v>
      </c>
      <c r="H799" s="99" t="s">
        <v>140</v>
      </c>
      <c r="I799" s="2"/>
    </row>
    <row r="800" spans="1:9" ht="19.8" customHeight="1" x14ac:dyDescent="0.3">
      <c r="A800" s="175">
        <v>46003</v>
      </c>
      <c r="B800" s="92" t="s">
        <v>130</v>
      </c>
      <c r="C800" s="93" t="s">
        <v>146</v>
      </c>
      <c r="D800" s="92" t="s">
        <v>1</v>
      </c>
      <c r="E800" s="176">
        <v>1.1423611111111109</v>
      </c>
      <c r="F800" s="92" t="s">
        <v>132</v>
      </c>
      <c r="G800" s="94">
        <v>9</v>
      </c>
      <c r="H800" s="99" t="s">
        <v>144</v>
      </c>
      <c r="I800" s="2"/>
    </row>
    <row r="801" spans="1:9" ht="19.8" customHeight="1" x14ac:dyDescent="0.3">
      <c r="A801" s="175">
        <v>46003</v>
      </c>
      <c r="B801" s="92" t="s">
        <v>130</v>
      </c>
      <c r="C801" s="93" t="s">
        <v>146</v>
      </c>
      <c r="D801" s="92" t="s">
        <v>1</v>
      </c>
      <c r="E801" s="176">
        <v>1.1423611111111109</v>
      </c>
      <c r="F801" s="92" t="s">
        <v>134</v>
      </c>
      <c r="G801" s="94">
        <v>9</v>
      </c>
      <c r="H801" s="99" t="s">
        <v>145</v>
      </c>
      <c r="I801" s="2"/>
    </row>
    <row r="802" spans="1:9" ht="19.8" customHeight="1" x14ac:dyDescent="0.3">
      <c r="A802" s="175">
        <v>46003</v>
      </c>
      <c r="B802" s="92" t="s">
        <v>115</v>
      </c>
      <c r="C802" s="93" t="s">
        <v>121</v>
      </c>
      <c r="D802" s="92" t="s">
        <v>1</v>
      </c>
      <c r="E802" s="176">
        <v>1.4861111111111109</v>
      </c>
      <c r="F802" s="92" t="s">
        <v>124</v>
      </c>
      <c r="G802" s="94">
        <v>9</v>
      </c>
      <c r="H802" s="99" t="s">
        <v>324</v>
      </c>
      <c r="I802" s="2"/>
    </row>
    <row r="803" spans="1:9" ht="19.8" customHeight="1" x14ac:dyDescent="0.3">
      <c r="A803" s="179">
        <v>46003</v>
      </c>
      <c r="B803" s="100" t="s">
        <v>115</v>
      </c>
      <c r="C803" s="101" t="s">
        <v>126</v>
      </c>
      <c r="D803" s="100" t="s">
        <v>1</v>
      </c>
      <c r="E803" s="180">
        <v>1.770833333333333</v>
      </c>
      <c r="F803" s="100" t="s">
        <v>124</v>
      </c>
      <c r="G803" s="102">
        <v>9</v>
      </c>
      <c r="H803" s="103" t="s">
        <v>291</v>
      </c>
      <c r="I803" s="2"/>
    </row>
    <row r="804" spans="1:9" ht="19.8" customHeight="1" x14ac:dyDescent="0.3">
      <c r="A804" s="175">
        <v>46004</v>
      </c>
      <c r="B804" s="92" t="s">
        <v>26</v>
      </c>
      <c r="C804" s="93" t="s">
        <v>35</v>
      </c>
      <c r="D804" s="92" t="s">
        <v>1</v>
      </c>
      <c r="E804" s="176">
        <v>1.1284722222222221</v>
      </c>
      <c r="F804" s="92" t="s">
        <v>28</v>
      </c>
      <c r="G804" s="94">
        <v>3</v>
      </c>
      <c r="H804" s="173">
        <v>329</v>
      </c>
      <c r="I804" s="2"/>
    </row>
    <row r="805" spans="1:9" ht="19.8" customHeight="1" x14ac:dyDescent="0.3">
      <c r="A805" s="175">
        <v>46004</v>
      </c>
      <c r="B805" s="92" t="s">
        <v>26</v>
      </c>
      <c r="C805" s="93" t="s">
        <v>39</v>
      </c>
      <c r="D805" s="92" t="s">
        <v>1</v>
      </c>
      <c r="E805" s="176">
        <v>1.302083333333333</v>
      </c>
      <c r="F805" s="92" t="s">
        <v>28</v>
      </c>
      <c r="G805" s="94">
        <v>9</v>
      </c>
      <c r="H805" s="173">
        <v>329</v>
      </c>
      <c r="I805" s="2"/>
    </row>
    <row r="806" spans="1:9" ht="19.8" customHeight="1" x14ac:dyDescent="0.3">
      <c r="A806" s="175">
        <v>46004</v>
      </c>
      <c r="B806" s="92" t="s">
        <v>79</v>
      </c>
      <c r="C806" s="93" t="s">
        <v>84</v>
      </c>
      <c r="D806" s="92" t="s">
        <v>1</v>
      </c>
      <c r="E806" s="176">
        <v>1.3298611111111109</v>
      </c>
      <c r="F806" s="92" t="s">
        <v>81</v>
      </c>
      <c r="G806" s="94">
        <v>9</v>
      </c>
      <c r="H806" s="173">
        <v>355</v>
      </c>
      <c r="I806" s="2"/>
    </row>
    <row r="807" spans="1:9" ht="19.8" customHeight="1" x14ac:dyDescent="0.3">
      <c r="A807" s="175">
        <v>46004</v>
      </c>
      <c r="B807" s="92" t="s">
        <v>79</v>
      </c>
      <c r="C807" s="93" t="s">
        <v>80</v>
      </c>
      <c r="D807" s="92" t="s">
        <v>1</v>
      </c>
      <c r="E807" s="176">
        <v>1.2152777777777779</v>
      </c>
      <c r="F807" s="92" t="s">
        <v>81</v>
      </c>
      <c r="G807" s="94">
        <v>9</v>
      </c>
      <c r="H807" s="173">
        <v>355</v>
      </c>
      <c r="I807" s="2"/>
    </row>
    <row r="808" spans="1:9" ht="19.8" customHeight="1" x14ac:dyDescent="0.3">
      <c r="A808" s="175">
        <v>46004</v>
      </c>
      <c r="B808" s="92" t="s">
        <v>26</v>
      </c>
      <c r="C808" s="93" t="s">
        <v>27</v>
      </c>
      <c r="D808" s="92" t="s">
        <v>1</v>
      </c>
      <c r="E808" s="176">
        <v>1.8888888888888891</v>
      </c>
      <c r="F808" s="92" t="s">
        <v>28</v>
      </c>
      <c r="G808" s="94">
        <v>3</v>
      </c>
      <c r="H808" s="173">
        <v>359</v>
      </c>
      <c r="I808" s="2"/>
    </row>
    <row r="809" spans="1:9" ht="19.8" customHeight="1" x14ac:dyDescent="0.3">
      <c r="A809" s="175">
        <v>46004</v>
      </c>
      <c r="B809" s="92" t="s">
        <v>26</v>
      </c>
      <c r="C809" s="93" t="s">
        <v>41</v>
      </c>
      <c r="D809" s="92" t="s">
        <v>1</v>
      </c>
      <c r="E809" s="176">
        <v>1.788194444444444</v>
      </c>
      <c r="F809" s="92" t="s">
        <v>28</v>
      </c>
      <c r="G809" s="94">
        <v>5</v>
      </c>
      <c r="H809" s="173">
        <v>389</v>
      </c>
      <c r="I809" s="2"/>
    </row>
    <row r="810" spans="1:9" ht="19.8" customHeight="1" x14ac:dyDescent="0.3">
      <c r="A810" s="175">
        <v>46004</v>
      </c>
      <c r="B810" s="92" t="s">
        <v>70</v>
      </c>
      <c r="C810" s="93" t="s">
        <v>155</v>
      </c>
      <c r="D810" s="92" t="s">
        <v>1</v>
      </c>
      <c r="E810" s="176">
        <v>1.270833333333333</v>
      </c>
      <c r="F810" s="92" t="s">
        <v>72</v>
      </c>
      <c r="G810" s="94">
        <v>9</v>
      </c>
      <c r="H810" s="173">
        <v>400</v>
      </c>
      <c r="I810" s="2"/>
    </row>
    <row r="811" spans="1:9" ht="19.8" customHeight="1" x14ac:dyDescent="0.3">
      <c r="A811" s="175">
        <v>46004</v>
      </c>
      <c r="B811" s="92" t="s">
        <v>74</v>
      </c>
      <c r="C811" s="93" t="s">
        <v>78</v>
      </c>
      <c r="D811" s="92" t="s">
        <v>1</v>
      </c>
      <c r="E811" s="176">
        <v>1.666666666666667</v>
      </c>
      <c r="F811" s="92" t="s">
        <v>72</v>
      </c>
      <c r="G811" s="94">
        <v>9</v>
      </c>
      <c r="H811" s="173">
        <v>401</v>
      </c>
      <c r="I811" s="2"/>
    </row>
    <row r="812" spans="1:9" ht="19.8" customHeight="1" x14ac:dyDescent="0.3">
      <c r="A812" s="175">
        <v>46004</v>
      </c>
      <c r="B812" s="92" t="s">
        <v>45</v>
      </c>
      <c r="C812" s="93" t="s">
        <v>58</v>
      </c>
      <c r="D812" s="92" t="s">
        <v>1</v>
      </c>
      <c r="E812" s="176">
        <v>1.46875</v>
      </c>
      <c r="F812" s="92" t="s">
        <v>47</v>
      </c>
      <c r="G812" s="94">
        <v>9</v>
      </c>
      <c r="H812" s="173">
        <v>409</v>
      </c>
      <c r="I812" s="2"/>
    </row>
    <row r="813" spans="1:9" ht="19.8" customHeight="1" x14ac:dyDescent="0.3">
      <c r="A813" s="175">
        <v>46004</v>
      </c>
      <c r="B813" s="92" t="s">
        <v>45</v>
      </c>
      <c r="C813" s="93" t="s">
        <v>62</v>
      </c>
      <c r="D813" s="92" t="s">
        <v>1</v>
      </c>
      <c r="E813" s="176">
        <v>1.5173611111111109</v>
      </c>
      <c r="F813" s="92" t="s">
        <v>47</v>
      </c>
      <c r="G813" s="94">
        <v>9</v>
      </c>
      <c r="H813" s="173">
        <v>409</v>
      </c>
      <c r="I813" s="2"/>
    </row>
    <row r="814" spans="1:9" ht="19.8" customHeight="1" x14ac:dyDescent="0.3">
      <c r="A814" s="175">
        <v>46004</v>
      </c>
      <c r="B814" s="92" t="s">
        <v>45</v>
      </c>
      <c r="C814" s="93" t="s">
        <v>66</v>
      </c>
      <c r="D814" s="92" t="s">
        <v>1</v>
      </c>
      <c r="E814" s="176">
        <v>1.645833333333333</v>
      </c>
      <c r="F814" s="92" t="s">
        <v>47</v>
      </c>
      <c r="G814" s="94">
        <v>2</v>
      </c>
      <c r="H814" s="173">
        <v>409</v>
      </c>
      <c r="I814" s="2"/>
    </row>
    <row r="815" spans="1:9" ht="19.8" customHeight="1" x14ac:dyDescent="0.3">
      <c r="A815" s="175">
        <v>46004</v>
      </c>
      <c r="B815" s="92" t="s">
        <v>45</v>
      </c>
      <c r="C815" s="93" t="s">
        <v>57</v>
      </c>
      <c r="D815" s="92" t="s">
        <v>1</v>
      </c>
      <c r="E815" s="176">
        <v>1.256944444444444</v>
      </c>
      <c r="F815" s="92" t="s">
        <v>47</v>
      </c>
      <c r="G815" s="94">
        <v>5</v>
      </c>
      <c r="H815" s="173">
        <v>449</v>
      </c>
      <c r="I815" s="2"/>
    </row>
    <row r="816" spans="1:9" ht="19.8" customHeight="1" x14ac:dyDescent="0.3">
      <c r="A816" s="175">
        <v>46004</v>
      </c>
      <c r="B816" s="92" t="s">
        <v>45</v>
      </c>
      <c r="C816" s="93" t="s">
        <v>60</v>
      </c>
      <c r="D816" s="92" t="s">
        <v>1</v>
      </c>
      <c r="E816" s="176">
        <v>1.7986111111111109</v>
      </c>
      <c r="F816" s="92" t="s">
        <v>47</v>
      </c>
      <c r="G816" s="94">
        <v>6</v>
      </c>
      <c r="H816" s="173">
        <v>449</v>
      </c>
      <c r="I816" s="2"/>
    </row>
    <row r="817" spans="1:9" ht="19.8" customHeight="1" x14ac:dyDescent="0.3">
      <c r="A817" s="175">
        <v>46004</v>
      </c>
      <c r="B817" s="92" t="s">
        <v>45</v>
      </c>
      <c r="C817" s="93" t="s">
        <v>46</v>
      </c>
      <c r="D817" s="92" t="s">
        <v>1</v>
      </c>
      <c r="E817" s="176">
        <v>1.395833333333333</v>
      </c>
      <c r="F817" s="92" t="s">
        <v>47</v>
      </c>
      <c r="G817" s="94">
        <v>5</v>
      </c>
      <c r="H817" s="173">
        <v>449</v>
      </c>
      <c r="I817" s="2"/>
    </row>
    <row r="818" spans="1:9" ht="19.8" customHeight="1" x14ac:dyDescent="0.3">
      <c r="A818" s="177">
        <v>46004</v>
      </c>
      <c r="B818" s="96" t="s">
        <v>87</v>
      </c>
      <c r="C818" s="97" t="s">
        <v>220</v>
      </c>
      <c r="D818" s="96" t="s">
        <v>1</v>
      </c>
      <c r="E818" s="178">
        <v>1.2361111111111109</v>
      </c>
      <c r="F818" s="96" t="s">
        <v>89</v>
      </c>
      <c r="G818" s="98">
        <v>7</v>
      </c>
      <c r="H818" s="174">
        <v>471</v>
      </c>
      <c r="I818" s="2"/>
    </row>
    <row r="819" spans="1:9" ht="19.8" customHeight="1" x14ac:dyDescent="0.3">
      <c r="A819" s="175">
        <v>46004</v>
      </c>
      <c r="B819" s="92" t="s">
        <v>26</v>
      </c>
      <c r="C819" s="93" t="s">
        <v>35</v>
      </c>
      <c r="D819" s="92" t="s">
        <v>1</v>
      </c>
      <c r="E819" s="176">
        <v>1.1284722222222221</v>
      </c>
      <c r="F819" s="92" t="s">
        <v>31</v>
      </c>
      <c r="G819" s="94">
        <v>3</v>
      </c>
      <c r="H819" s="173">
        <v>479</v>
      </c>
      <c r="I819" s="2"/>
    </row>
    <row r="820" spans="1:9" ht="19.8" customHeight="1" x14ac:dyDescent="0.3">
      <c r="A820" s="175">
        <v>46004</v>
      </c>
      <c r="B820" s="92" t="s">
        <v>26</v>
      </c>
      <c r="C820" s="93" t="s">
        <v>39</v>
      </c>
      <c r="D820" s="92" t="s">
        <v>1</v>
      </c>
      <c r="E820" s="176">
        <v>1.302083333333333</v>
      </c>
      <c r="F820" s="92" t="s">
        <v>31</v>
      </c>
      <c r="G820" s="94">
        <v>9</v>
      </c>
      <c r="H820" s="173">
        <v>479</v>
      </c>
      <c r="I820" s="2"/>
    </row>
    <row r="821" spans="1:9" ht="19.8" customHeight="1" x14ac:dyDescent="0.3">
      <c r="A821" s="175">
        <v>46004</v>
      </c>
      <c r="B821" s="92" t="s">
        <v>79</v>
      </c>
      <c r="C821" s="93" t="s">
        <v>84</v>
      </c>
      <c r="D821" s="92" t="s">
        <v>1</v>
      </c>
      <c r="E821" s="176">
        <v>1.3298611111111109</v>
      </c>
      <c r="F821" s="92" t="s">
        <v>33</v>
      </c>
      <c r="G821" s="94">
        <v>9</v>
      </c>
      <c r="H821" s="173">
        <v>479</v>
      </c>
      <c r="I821" s="2"/>
    </row>
    <row r="822" spans="1:9" ht="19.8" customHeight="1" x14ac:dyDescent="0.3">
      <c r="A822" s="175">
        <v>46004</v>
      </c>
      <c r="B822" s="92" t="s">
        <v>79</v>
      </c>
      <c r="C822" s="93" t="s">
        <v>80</v>
      </c>
      <c r="D822" s="92" t="s">
        <v>1</v>
      </c>
      <c r="E822" s="176">
        <v>1.2152777777777779</v>
      </c>
      <c r="F822" s="92" t="s">
        <v>33</v>
      </c>
      <c r="G822" s="94">
        <v>9</v>
      </c>
      <c r="H822" s="173">
        <v>479</v>
      </c>
      <c r="I822" s="2"/>
    </row>
    <row r="823" spans="1:9" ht="19.8" customHeight="1" x14ac:dyDescent="0.3">
      <c r="A823" s="175">
        <v>46004</v>
      </c>
      <c r="B823" s="92" t="s">
        <v>45</v>
      </c>
      <c r="C823" s="93" t="s">
        <v>53</v>
      </c>
      <c r="D823" s="92" t="s">
        <v>1</v>
      </c>
      <c r="E823" s="176">
        <v>1.854166666666667</v>
      </c>
      <c r="F823" s="92" t="s">
        <v>47</v>
      </c>
      <c r="G823" s="94">
        <v>4</v>
      </c>
      <c r="H823" s="173">
        <v>489</v>
      </c>
      <c r="I823" s="2"/>
    </row>
    <row r="824" spans="1:9" ht="19.8" customHeight="1" x14ac:dyDescent="0.3">
      <c r="A824" s="175">
        <v>46004</v>
      </c>
      <c r="B824" s="92" t="s">
        <v>26</v>
      </c>
      <c r="C824" s="93" t="s">
        <v>27</v>
      </c>
      <c r="D824" s="92" t="s">
        <v>1</v>
      </c>
      <c r="E824" s="176">
        <v>1.8888888888888891</v>
      </c>
      <c r="F824" s="92" t="s">
        <v>31</v>
      </c>
      <c r="G824" s="94">
        <v>3</v>
      </c>
      <c r="H824" s="173">
        <v>509</v>
      </c>
      <c r="I824" s="2"/>
    </row>
    <row r="825" spans="1:9" ht="19.8" customHeight="1" x14ac:dyDescent="0.3">
      <c r="A825" s="175">
        <v>46004</v>
      </c>
      <c r="B825" s="92" t="s">
        <v>45</v>
      </c>
      <c r="C825" s="93" t="s">
        <v>58</v>
      </c>
      <c r="D825" s="92" t="s">
        <v>1</v>
      </c>
      <c r="E825" s="176">
        <v>1.46875</v>
      </c>
      <c r="F825" s="92" t="s">
        <v>49</v>
      </c>
      <c r="G825" s="94">
        <v>9</v>
      </c>
      <c r="H825" s="173">
        <v>509</v>
      </c>
      <c r="I825" s="2"/>
    </row>
    <row r="826" spans="1:9" ht="19.8" customHeight="1" x14ac:dyDescent="0.3">
      <c r="A826" s="175">
        <v>46004</v>
      </c>
      <c r="B826" s="92" t="s">
        <v>45</v>
      </c>
      <c r="C826" s="93" t="s">
        <v>62</v>
      </c>
      <c r="D826" s="92" t="s">
        <v>1</v>
      </c>
      <c r="E826" s="176">
        <v>1.5173611111111109</v>
      </c>
      <c r="F826" s="92" t="s">
        <v>49</v>
      </c>
      <c r="G826" s="94">
        <v>9</v>
      </c>
      <c r="H826" s="173">
        <v>509</v>
      </c>
      <c r="I826" s="2"/>
    </row>
    <row r="827" spans="1:9" ht="19.8" customHeight="1" x14ac:dyDescent="0.3">
      <c r="A827" s="175">
        <v>46004</v>
      </c>
      <c r="B827" s="92" t="s">
        <v>45</v>
      </c>
      <c r="C827" s="93" t="s">
        <v>66</v>
      </c>
      <c r="D827" s="92" t="s">
        <v>1</v>
      </c>
      <c r="E827" s="176">
        <v>1.645833333333333</v>
      </c>
      <c r="F827" s="92" t="s">
        <v>49</v>
      </c>
      <c r="G827" s="94">
        <v>2</v>
      </c>
      <c r="H827" s="173">
        <v>509</v>
      </c>
      <c r="I827" s="2"/>
    </row>
    <row r="828" spans="1:9" ht="19.8" customHeight="1" x14ac:dyDescent="0.3">
      <c r="A828" s="175">
        <v>46004</v>
      </c>
      <c r="B828" s="92" t="s">
        <v>45</v>
      </c>
      <c r="C828" s="93" t="s">
        <v>59</v>
      </c>
      <c r="D828" s="92" t="s">
        <v>1</v>
      </c>
      <c r="E828" s="176">
        <v>1.9027777777777779</v>
      </c>
      <c r="F828" s="92" t="s">
        <v>47</v>
      </c>
      <c r="G828" s="94">
        <v>9</v>
      </c>
      <c r="H828" s="173">
        <v>529</v>
      </c>
      <c r="I828" s="2"/>
    </row>
    <row r="829" spans="1:9" ht="19.8" customHeight="1" x14ac:dyDescent="0.3">
      <c r="A829" s="175">
        <v>46004</v>
      </c>
      <c r="B829" s="92" t="s">
        <v>26</v>
      </c>
      <c r="C829" s="93" t="s">
        <v>41</v>
      </c>
      <c r="D829" s="92" t="s">
        <v>1</v>
      </c>
      <c r="E829" s="176">
        <v>1.788194444444444</v>
      </c>
      <c r="F829" s="92" t="s">
        <v>31</v>
      </c>
      <c r="G829" s="94">
        <v>5</v>
      </c>
      <c r="H829" s="173">
        <v>539</v>
      </c>
      <c r="I829" s="2"/>
    </row>
    <row r="830" spans="1:9" ht="19.8" customHeight="1" x14ac:dyDescent="0.3">
      <c r="A830" s="175">
        <v>46004</v>
      </c>
      <c r="B830" s="92" t="s">
        <v>45</v>
      </c>
      <c r="C830" s="93" t="s">
        <v>57</v>
      </c>
      <c r="D830" s="92" t="s">
        <v>1</v>
      </c>
      <c r="E830" s="176">
        <v>1.256944444444444</v>
      </c>
      <c r="F830" s="92" t="s">
        <v>49</v>
      </c>
      <c r="G830" s="94">
        <v>5</v>
      </c>
      <c r="H830" s="173">
        <v>549</v>
      </c>
      <c r="I830" s="2"/>
    </row>
    <row r="831" spans="1:9" ht="19.8" customHeight="1" x14ac:dyDescent="0.3">
      <c r="A831" s="175">
        <v>46004</v>
      </c>
      <c r="B831" s="92" t="s">
        <v>45</v>
      </c>
      <c r="C831" s="93" t="s">
        <v>60</v>
      </c>
      <c r="D831" s="92" t="s">
        <v>1</v>
      </c>
      <c r="E831" s="176">
        <v>1.7986111111111109</v>
      </c>
      <c r="F831" s="92" t="s">
        <v>49</v>
      </c>
      <c r="G831" s="94">
        <v>6</v>
      </c>
      <c r="H831" s="173">
        <v>549</v>
      </c>
      <c r="I831" s="2"/>
    </row>
    <row r="832" spans="1:9" ht="19.8" customHeight="1" x14ac:dyDescent="0.3">
      <c r="A832" s="175">
        <v>46004</v>
      </c>
      <c r="B832" s="92" t="s">
        <v>45</v>
      </c>
      <c r="C832" s="93" t="s">
        <v>46</v>
      </c>
      <c r="D832" s="92" t="s">
        <v>1</v>
      </c>
      <c r="E832" s="176">
        <v>1.395833333333333</v>
      </c>
      <c r="F832" s="92" t="s">
        <v>49</v>
      </c>
      <c r="G832" s="94">
        <v>5</v>
      </c>
      <c r="H832" s="173">
        <v>549</v>
      </c>
      <c r="I832" s="2"/>
    </row>
    <row r="833" spans="1:9" ht="19.8" customHeight="1" x14ac:dyDescent="0.3">
      <c r="A833" s="175">
        <v>46004</v>
      </c>
      <c r="B833" s="92" t="s">
        <v>130</v>
      </c>
      <c r="C833" s="93" t="s">
        <v>138</v>
      </c>
      <c r="D833" s="92" t="s">
        <v>1</v>
      </c>
      <c r="E833" s="176">
        <v>1.243055555555556</v>
      </c>
      <c r="F833" s="92" t="s">
        <v>132</v>
      </c>
      <c r="G833" s="94">
        <v>9</v>
      </c>
      <c r="H833" s="173">
        <v>574</v>
      </c>
      <c r="I833" s="2"/>
    </row>
    <row r="834" spans="1:9" ht="19.8" customHeight="1" x14ac:dyDescent="0.3">
      <c r="A834" s="175">
        <v>46004</v>
      </c>
      <c r="B834" s="92" t="s">
        <v>45</v>
      </c>
      <c r="C834" s="93" t="s">
        <v>53</v>
      </c>
      <c r="D834" s="92" t="s">
        <v>1</v>
      </c>
      <c r="E834" s="176">
        <v>1.854166666666667</v>
      </c>
      <c r="F834" s="92" t="s">
        <v>49</v>
      </c>
      <c r="G834" s="94">
        <v>4</v>
      </c>
      <c r="H834" s="173">
        <v>589</v>
      </c>
      <c r="I834" s="2"/>
    </row>
    <row r="835" spans="1:9" ht="19.8" customHeight="1" x14ac:dyDescent="0.3">
      <c r="A835" s="175">
        <v>46004</v>
      </c>
      <c r="B835" s="92" t="s">
        <v>45</v>
      </c>
      <c r="C835" s="93" t="s">
        <v>58</v>
      </c>
      <c r="D835" s="92" t="s">
        <v>1</v>
      </c>
      <c r="E835" s="176">
        <v>1.46875</v>
      </c>
      <c r="F835" s="92" t="s">
        <v>51</v>
      </c>
      <c r="G835" s="94">
        <v>9</v>
      </c>
      <c r="H835" s="173">
        <v>599</v>
      </c>
      <c r="I835" s="2"/>
    </row>
    <row r="836" spans="1:9" ht="19.8" customHeight="1" x14ac:dyDescent="0.3">
      <c r="A836" s="175">
        <v>46004</v>
      </c>
      <c r="B836" s="92" t="s">
        <v>45</v>
      </c>
      <c r="C836" s="93" t="s">
        <v>62</v>
      </c>
      <c r="D836" s="92" t="s">
        <v>1</v>
      </c>
      <c r="E836" s="176">
        <v>1.5173611111111109</v>
      </c>
      <c r="F836" s="92" t="s">
        <v>51</v>
      </c>
      <c r="G836" s="94">
        <v>9</v>
      </c>
      <c r="H836" s="173">
        <v>599</v>
      </c>
      <c r="I836" s="2"/>
    </row>
    <row r="837" spans="1:9" ht="19.8" customHeight="1" x14ac:dyDescent="0.3">
      <c r="A837" s="175">
        <v>46004</v>
      </c>
      <c r="B837" s="92" t="s">
        <v>45</v>
      </c>
      <c r="C837" s="93" t="s">
        <v>66</v>
      </c>
      <c r="D837" s="92" t="s">
        <v>1</v>
      </c>
      <c r="E837" s="176">
        <v>1.645833333333333</v>
      </c>
      <c r="F837" s="92" t="s">
        <v>51</v>
      </c>
      <c r="G837" s="94">
        <v>2</v>
      </c>
      <c r="H837" s="173">
        <v>599</v>
      </c>
      <c r="I837" s="2"/>
    </row>
    <row r="838" spans="1:9" ht="19.8" customHeight="1" x14ac:dyDescent="0.3">
      <c r="A838" s="175">
        <v>46004</v>
      </c>
      <c r="B838" s="92" t="s">
        <v>130</v>
      </c>
      <c r="C838" s="93" t="s">
        <v>138</v>
      </c>
      <c r="D838" s="92" t="s">
        <v>1</v>
      </c>
      <c r="E838" s="176">
        <v>1.243055555555556</v>
      </c>
      <c r="F838" s="92" t="s">
        <v>134</v>
      </c>
      <c r="G838" s="94">
        <v>9</v>
      </c>
      <c r="H838" s="173">
        <v>619</v>
      </c>
      <c r="I838" s="2"/>
    </row>
    <row r="839" spans="1:9" ht="19.8" customHeight="1" x14ac:dyDescent="0.3">
      <c r="A839" s="175">
        <v>46004</v>
      </c>
      <c r="B839" s="92" t="s">
        <v>45</v>
      </c>
      <c r="C839" s="93" t="s">
        <v>59</v>
      </c>
      <c r="D839" s="92" t="s">
        <v>1</v>
      </c>
      <c r="E839" s="176">
        <v>1.9027777777777779</v>
      </c>
      <c r="F839" s="92" t="s">
        <v>49</v>
      </c>
      <c r="G839" s="94">
        <v>9</v>
      </c>
      <c r="H839" s="173">
        <v>629</v>
      </c>
      <c r="I839" s="2"/>
    </row>
    <row r="840" spans="1:9" ht="19.8" customHeight="1" x14ac:dyDescent="0.3">
      <c r="A840" s="175">
        <v>46004</v>
      </c>
      <c r="B840" s="92" t="s">
        <v>45</v>
      </c>
      <c r="C840" s="93" t="s">
        <v>57</v>
      </c>
      <c r="D840" s="92" t="s">
        <v>1</v>
      </c>
      <c r="E840" s="176">
        <v>1.256944444444444</v>
      </c>
      <c r="F840" s="92" t="s">
        <v>51</v>
      </c>
      <c r="G840" s="94">
        <v>5</v>
      </c>
      <c r="H840" s="173">
        <v>639</v>
      </c>
      <c r="I840" s="2"/>
    </row>
    <row r="841" spans="1:9" ht="19.8" customHeight="1" x14ac:dyDescent="0.3">
      <c r="A841" s="175">
        <v>46004</v>
      </c>
      <c r="B841" s="92" t="s">
        <v>45</v>
      </c>
      <c r="C841" s="93" t="s">
        <v>60</v>
      </c>
      <c r="D841" s="92" t="s">
        <v>1</v>
      </c>
      <c r="E841" s="176">
        <v>1.7986111111111109</v>
      </c>
      <c r="F841" s="92" t="s">
        <v>51</v>
      </c>
      <c r="G841" s="94">
        <v>6</v>
      </c>
      <c r="H841" s="173">
        <v>639</v>
      </c>
      <c r="I841" s="2"/>
    </row>
    <row r="842" spans="1:9" ht="19.8" customHeight="1" x14ac:dyDescent="0.3">
      <c r="A842" s="175">
        <v>46004</v>
      </c>
      <c r="B842" s="92" t="s">
        <v>45</v>
      </c>
      <c r="C842" s="93" t="s">
        <v>46</v>
      </c>
      <c r="D842" s="92" t="s">
        <v>1</v>
      </c>
      <c r="E842" s="176">
        <v>1.395833333333333</v>
      </c>
      <c r="F842" s="92" t="s">
        <v>51</v>
      </c>
      <c r="G842" s="94">
        <v>5</v>
      </c>
      <c r="H842" s="173">
        <v>639</v>
      </c>
      <c r="I842" s="2"/>
    </row>
    <row r="843" spans="1:9" ht="19.8" customHeight="1" x14ac:dyDescent="0.3">
      <c r="A843" s="175">
        <v>46004</v>
      </c>
      <c r="B843" s="92" t="s">
        <v>130</v>
      </c>
      <c r="C843" s="93" t="s">
        <v>143</v>
      </c>
      <c r="D843" s="92" t="s">
        <v>1</v>
      </c>
      <c r="E843" s="176">
        <v>1.006944444444444</v>
      </c>
      <c r="F843" s="92" t="s">
        <v>132</v>
      </c>
      <c r="G843" s="94">
        <v>9</v>
      </c>
      <c r="H843" s="173">
        <v>678</v>
      </c>
      <c r="I843" s="2"/>
    </row>
    <row r="844" spans="1:9" ht="19.8" customHeight="1" x14ac:dyDescent="0.3">
      <c r="A844" s="175">
        <v>46004</v>
      </c>
      <c r="B844" s="92" t="s">
        <v>130</v>
      </c>
      <c r="C844" s="93" t="s">
        <v>146</v>
      </c>
      <c r="D844" s="92" t="s">
        <v>1</v>
      </c>
      <c r="E844" s="176">
        <v>1.1423611111111109</v>
      </c>
      <c r="F844" s="92" t="s">
        <v>132</v>
      </c>
      <c r="G844" s="94">
        <v>9</v>
      </c>
      <c r="H844" s="173">
        <v>678</v>
      </c>
      <c r="I844" s="2"/>
    </row>
    <row r="845" spans="1:9" ht="19.8" customHeight="1" x14ac:dyDescent="0.3">
      <c r="A845" s="175">
        <v>46004</v>
      </c>
      <c r="B845" s="92" t="s">
        <v>130</v>
      </c>
      <c r="C845" s="93" t="s">
        <v>136</v>
      </c>
      <c r="D845" s="92" t="s">
        <v>1</v>
      </c>
      <c r="E845" s="176">
        <v>1.3784722222222221</v>
      </c>
      <c r="F845" s="92" t="s">
        <v>132</v>
      </c>
      <c r="G845" s="94">
        <v>9</v>
      </c>
      <c r="H845" s="173">
        <v>678</v>
      </c>
      <c r="I845" s="2"/>
    </row>
    <row r="846" spans="1:9" ht="19.8" customHeight="1" x14ac:dyDescent="0.3">
      <c r="A846" s="175">
        <v>46004</v>
      </c>
      <c r="B846" s="92" t="s">
        <v>45</v>
      </c>
      <c r="C846" s="93" t="s">
        <v>53</v>
      </c>
      <c r="D846" s="92" t="s">
        <v>1</v>
      </c>
      <c r="E846" s="176">
        <v>1.854166666666667</v>
      </c>
      <c r="F846" s="92" t="s">
        <v>51</v>
      </c>
      <c r="G846" s="94">
        <v>4</v>
      </c>
      <c r="H846" s="173">
        <v>679</v>
      </c>
      <c r="I846" s="2"/>
    </row>
    <row r="847" spans="1:9" ht="19.8" customHeight="1" x14ac:dyDescent="0.3">
      <c r="A847" s="175">
        <v>46004</v>
      </c>
      <c r="B847" s="92" t="s">
        <v>45</v>
      </c>
      <c r="C847" s="93" t="s">
        <v>59</v>
      </c>
      <c r="D847" s="92" t="s">
        <v>1</v>
      </c>
      <c r="E847" s="176">
        <v>1.9027777777777779</v>
      </c>
      <c r="F847" s="92" t="s">
        <v>51</v>
      </c>
      <c r="G847" s="94">
        <v>9</v>
      </c>
      <c r="H847" s="173">
        <v>719</v>
      </c>
      <c r="I847" s="2"/>
    </row>
    <row r="848" spans="1:9" ht="19.8" customHeight="1" x14ac:dyDescent="0.3">
      <c r="A848" s="175">
        <v>46004</v>
      </c>
      <c r="B848" s="92" t="s">
        <v>130</v>
      </c>
      <c r="C848" s="93" t="s">
        <v>143</v>
      </c>
      <c r="D848" s="92" t="s">
        <v>1</v>
      </c>
      <c r="E848" s="176">
        <v>1.006944444444444</v>
      </c>
      <c r="F848" s="92" t="s">
        <v>134</v>
      </c>
      <c r="G848" s="94">
        <v>9</v>
      </c>
      <c r="H848" s="173">
        <v>723</v>
      </c>
      <c r="I848" s="2"/>
    </row>
    <row r="849" spans="1:9" ht="19.8" customHeight="1" x14ac:dyDescent="0.3">
      <c r="A849" s="175">
        <v>46004</v>
      </c>
      <c r="B849" s="92" t="s">
        <v>130</v>
      </c>
      <c r="C849" s="93" t="s">
        <v>146</v>
      </c>
      <c r="D849" s="92" t="s">
        <v>1</v>
      </c>
      <c r="E849" s="176">
        <v>1.1423611111111109</v>
      </c>
      <c r="F849" s="92" t="s">
        <v>134</v>
      </c>
      <c r="G849" s="94">
        <v>9</v>
      </c>
      <c r="H849" s="173">
        <v>723</v>
      </c>
      <c r="I849" s="2"/>
    </row>
    <row r="850" spans="1:9" ht="19.8" customHeight="1" x14ac:dyDescent="0.3">
      <c r="A850" s="175">
        <v>46004</v>
      </c>
      <c r="B850" s="92" t="s">
        <v>130</v>
      </c>
      <c r="C850" s="93" t="s">
        <v>136</v>
      </c>
      <c r="D850" s="92" t="s">
        <v>1</v>
      </c>
      <c r="E850" s="176">
        <v>1.3784722222222221</v>
      </c>
      <c r="F850" s="92" t="s">
        <v>134</v>
      </c>
      <c r="G850" s="94">
        <v>9</v>
      </c>
      <c r="H850" s="173">
        <v>723</v>
      </c>
      <c r="I850" s="2"/>
    </row>
    <row r="851" spans="1:9" ht="19.8" customHeight="1" x14ac:dyDescent="0.3">
      <c r="A851" s="177">
        <v>46004</v>
      </c>
      <c r="B851" s="96" t="s">
        <v>87</v>
      </c>
      <c r="C851" s="97" t="s">
        <v>95</v>
      </c>
      <c r="D851" s="96" t="s">
        <v>1</v>
      </c>
      <c r="E851" s="178">
        <v>1.680555555555556</v>
      </c>
      <c r="F851" s="96" t="s">
        <v>89</v>
      </c>
      <c r="G851" s="98">
        <v>9</v>
      </c>
      <c r="H851" s="174">
        <v>856</v>
      </c>
      <c r="I851" s="2"/>
    </row>
    <row r="852" spans="1:9" ht="19.8" customHeight="1" x14ac:dyDescent="0.3">
      <c r="A852" s="175">
        <v>46004</v>
      </c>
      <c r="B852" s="92" t="s">
        <v>130</v>
      </c>
      <c r="C852" s="93" t="s">
        <v>148</v>
      </c>
      <c r="D852" s="92" t="s">
        <v>1</v>
      </c>
      <c r="E852" s="176">
        <v>1.8298611111111109</v>
      </c>
      <c r="F852" s="92" t="s">
        <v>132</v>
      </c>
      <c r="G852" s="94">
        <v>9</v>
      </c>
      <c r="H852" s="173">
        <v>935</v>
      </c>
      <c r="I852" s="2"/>
    </row>
    <row r="853" spans="1:9" ht="19.8" customHeight="1" x14ac:dyDescent="0.3">
      <c r="A853" s="175">
        <v>46004</v>
      </c>
      <c r="B853" s="92" t="s">
        <v>130</v>
      </c>
      <c r="C853" s="93" t="s">
        <v>148</v>
      </c>
      <c r="D853" s="92" t="s">
        <v>1</v>
      </c>
      <c r="E853" s="176">
        <v>1.8298611111111109</v>
      </c>
      <c r="F853" s="92" t="s">
        <v>134</v>
      </c>
      <c r="G853" s="94">
        <v>9</v>
      </c>
      <c r="H853" s="173">
        <v>980</v>
      </c>
      <c r="I853" s="2"/>
    </row>
    <row r="854" spans="1:9" ht="19.8" customHeight="1" x14ac:dyDescent="0.3">
      <c r="A854" s="175">
        <v>46004</v>
      </c>
      <c r="B854" s="92" t="s">
        <v>115</v>
      </c>
      <c r="C854" s="93" t="s">
        <v>116</v>
      </c>
      <c r="D854" s="92" t="s">
        <v>1</v>
      </c>
      <c r="E854" s="176">
        <v>1.229166666666667</v>
      </c>
      <c r="F854" s="92" t="s">
        <v>124</v>
      </c>
      <c r="G854" s="94">
        <v>9</v>
      </c>
      <c r="H854" s="173">
        <v>993</v>
      </c>
      <c r="I854" s="2"/>
    </row>
    <row r="855" spans="1:9" ht="19.8" customHeight="1" x14ac:dyDescent="0.3">
      <c r="A855" s="175">
        <v>46004</v>
      </c>
      <c r="B855" s="92" t="s">
        <v>115</v>
      </c>
      <c r="C855" s="93" t="s">
        <v>119</v>
      </c>
      <c r="D855" s="92" t="s">
        <v>1</v>
      </c>
      <c r="E855" s="176">
        <v>1.145833333333333</v>
      </c>
      <c r="F855" s="92" t="s">
        <v>124</v>
      </c>
      <c r="G855" s="94">
        <v>9</v>
      </c>
      <c r="H855" s="173">
        <v>993</v>
      </c>
      <c r="I855" s="2"/>
    </row>
    <row r="856" spans="1:9" ht="19.8" customHeight="1" x14ac:dyDescent="0.3">
      <c r="A856" s="175">
        <v>46004</v>
      </c>
      <c r="B856" s="92" t="s">
        <v>115</v>
      </c>
      <c r="C856" s="93" t="s">
        <v>120</v>
      </c>
      <c r="D856" s="92" t="s">
        <v>1</v>
      </c>
      <c r="E856" s="176">
        <v>1.2777777777777779</v>
      </c>
      <c r="F856" s="92" t="s">
        <v>124</v>
      </c>
      <c r="G856" s="94">
        <v>9</v>
      </c>
      <c r="H856" s="173">
        <v>993</v>
      </c>
      <c r="I856" s="2"/>
    </row>
    <row r="857" spans="1:9" ht="19.8" customHeight="1" x14ac:dyDescent="0.3">
      <c r="A857" s="175">
        <v>46004</v>
      </c>
      <c r="B857" s="92" t="s">
        <v>26</v>
      </c>
      <c r="C857" s="93" t="s">
        <v>35</v>
      </c>
      <c r="D857" s="92" t="s">
        <v>1</v>
      </c>
      <c r="E857" s="176">
        <v>1.1284722222222221</v>
      </c>
      <c r="F857" s="92" t="s">
        <v>33</v>
      </c>
      <c r="G857" s="94">
        <v>3</v>
      </c>
      <c r="H857" s="99" t="s">
        <v>34</v>
      </c>
      <c r="I857" s="2"/>
    </row>
    <row r="858" spans="1:9" ht="19.8" customHeight="1" x14ac:dyDescent="0.3">
      <c r="A858" s="175">
        <v>46004</v>
      </c>
      <c r="B858" s="92" t="s">
        <v>26</v>
      </c>
      <c r="C858" s="93" t="s">
        <v>39</v>
      </c>
      <c r="D858" s="92" t="s">
        <v>1</v>
      </c>
      <c r="E858" s="176">
        <v>1.302083333333333</v>
      </c>
      <c r="F858" s="92" t="s">
        <v>33</v>
      </c>
      <c r="G858" s="94">
        <v>9</v>
      </c>
      <c r="H858" s="99" t="s">
        <v>34</v>
      </c>
      <c r="I858" s="2"/>
    </row>
    <row r="859" spans="1:9" ht="19.8" customHeight="1" x14ac:dyDescent="0.3">
      <c r="A859" s="175">
        <v>46004</v>
      </c>
      <c r="B859" s="92" t="s">
        <v>26</v>
      </c>
      <c r="C859" s="93" t="s">
        <v>27</v>
      </c>
      <c r="D859" s="92" t="s">
        <v>1</v>
      </c>
      <c r="E859" s="176">
        <v>1.8888888888888891</v>
      </c>
      <c r="F859" s="92" t="s">
        <v>33</v>
      </c>
      <c r="G859" s="94">
        <v>3</v>
      </c>
      <c r="H859" s="99" t="s">
        <v>34</v>
      </c>
      <c r="I859" s="2"/>
    </row>
    <row r="860" spans="1:9" ht="19.8" customHeight="1" x14ac:dyDescent="0.3">
      <c r="A860" s="175">
        <v>46004</v>
      </c>
      <c r="B860" s="92" t="s">
        <v>26</v>
      </c>
      <c r="C860" s="93" t="s">
        <v>41</v>
      </c>
      <c r="D860" s="92" t="s">
        <v>1</v>
      </c>
      <c r="E860" s="176">
        <v>1.788194444444444</v>
      </c>
      <c r="F860" s="92" t="s">
        <v>33</v>
      </c>
      <c r="G860" s="94">
        <v>5</v>
      </c>
      <c r="H860" s="99" t="s">
        <v>34</v>
      </c>
      <c r="I860" s="2"/>
    </row>
    <row r="861" spans="1:9" ht="19.8" customHeight="1" x14ac:dyDescent="0.3">
      <c r="A861" s="175">
        <v>46004</v>
      </c>
      <c r="B861" s="92" t="s">
        <v>130</v>
      </c>
      <c r="C861" s="93" t="s">
        <v>141</v>
      </c>
      <c r="D861" s="92" t="s">
        <v>1</v>
      </c>
      <c r="E861" s="176">
        <v>1.302083333333333</v>
      </c>
      <c r="F861" s="92" t="s">
        <v>134</v>
      </c>
      <c r="G861" s="94">
        <v>4</v>
      </c>
      <c r="H861" s="99" t="s">
        <v>218</v>
      </c>
      <c r="I861" s="2"/>
    </row>
    <row r="862" spans="1:9" ht="19.8" customHeight="1" x14ac:dyDescent="0.3">
      <c r="A862" s="175">
        <v>46004</v>
      </c>
      <c r="B862" s="92" t="s">
        <v>130</v>
      </c>
      <c r="C862" s="93" t="s">
        <v>142</v>
      </c>
      <c r="D862" s="92" t="s">
        <v>1</v>
      </c>
      <c r="E862" s="176">
        <v>1.1284722222222221</v>
      </c>
      <c r="F862" s="92" t="s">
        <v>134</v>
      </c>
      <c r="G862" s="94">
        <v>4</v>
      </c>
      <c r="H862" s="99" t="s">
        <v>178</v>
      </c>
      <c r="I862" s="2"/>
    </row>
    <row r="863" spans="1:9" ht="19.8" customHeight="1" x14ac:dyDescent="0.3">
      <c r="A863" s="175">
        <v>46004</v>
      </c>
      <c r="B863" s="92" t="s">
        <v>130</v>
      </c>
      <c r="C863" s="93" t="s">
        <v>139</v>
      </c>
      <c r="D863" s="92" t="s">
        <v>1</v>
      </c>
      <c r="E863" s="176">
        <v>1.8888888888888891</v>
      </c>
      <c r="F863" s="92" t="s">
        <v>134</v>
      </c>
      <c r="G863" s="94">
        <v>4</v>
      </c>
      <c r="H863" s="99" t="s">
        <v>140</v>
      </c>
      <c r="I863" s="2"/>
    </row>
    <row r="864" spans="1:9" ht="19.8" customHeight="1" x14ac:dyDescent="0.3">
      <c r="A864" s="175">
        <v>46004</v>
      </c>
      <c r="B864" s="92" t="s">
        <v>130</v>
      </c>
      <c r="C864" s="93" t="s">
        <v>149</v>
      </c>
      <c r="D864" s="92" t="s">
        <v>1</v>
      </c>
      <c r="E864" s="176">
        <v>1.788194444444444</v>
      </c>
      <c r="F864" s="92" t="s">
        <v>134</v>
      </c>
      <c r="G864" s="94">
        <v>4</v>
      </c>
      <c r="H864" s="99" t="s">
        <v>140</v>
      </c>
      <c r="I864" s="2"/>
    </row>
    <row r="865" spans="1:9" ht="19.8" customHeight="1" x14ac:dyDescent="0.3">
      <c r="A865" s="175">
        <v>46004</v>
      </c>
      <c r="B865" s="92" t="s">
        <v>130</v>
      </c>
      <c r="C865" s="93" t="s">
        <v>147</v>
      </c>
      <c r="D865" s="92" t="s">
        <v>1</v>
      </c>
      <c r="E865" s="176">
        <v>1.71875</v>
      </c>
      <c r="F865" s="92" t="s">
        <v>132</v>
      </c>
      <c r="G865" s="94">
        <v>9</v>
      </c>
      <c r="H865" s="99" t="s">
        <v>144</v>
      </c>
      <c r="I865" s="2"/>
    </row>
    <row r="866" spans="1:9" ht="19.8" customHeight="1" x14ac:dyDescent="0.3">
      <c r="A866" s="175">
        <v>46004</v>
      </c>
      <c r="B866" s="92" t="s">
        <v>130</v>
      </c>
      <c r="C866" s="93" t="s">
        <v>137</v>
      </c>
      <c r="D866" s="92" t="s">
        <v>1</v>
      </c>
      <c r="E866" s="176">
        <v>1.6111111111111109</v>
      </c>
      <c r="F866" s="92" t="s">
        <v>132</v>
      </c>
      <c r="G866" s="94">
        <v>9</v>
      </c>
      <c r="H866" s="99" t="s">
        <v>144</v>
      </c>
      <c r="I866" s="2"/>
    </row>
    <row r="867" spans="1:9" ht="19.8" customHeight="1" x14ac:dyDescent="0.3">
      <c r="A867" s="175">
        <v>46004</v>
      </c>
      <c r="B867" s="92" t="s">
        <v>130</v>
      </c>
      <c r="C867" s="93" t="s">
        <v>147</v>
      </c>
      <c r="D867" s="92" t="s">
        <v>1</v>
      </c>
      <c r="E867" s="176">
        <v>1.71875</v>
      </c>
      <c r="F867" s="92" t="s">
        <v>134</v>
      </c>
      <c r="G867" s="94">
        <v>9</v>
      </c>
      <c r="H867" s="99" t="s">
        <v>145</v>
      </c>
      <c r="I867" s="2"/>
    </row>
    <row r="868" spans="1:9" ht="19.8" customHeight="1" x14ac:dyDescent="0.3">
      <c r="A868" s="175">
        <v>46004</v>
      </c>
      <c r="B868" s="92" t="s">
        <v>130</v>
      </c>
      <c r="C868" s="93" t="s">
        <v>137</v>
      </c>
      <c r="D868" s="92" t="s">
        <v>1</v>
      </c>
      <c r="E868" s="176">
        <v>1.6111111111111109</v>
      </c>
      <c r="F868" s="92" t="s">
        <v>134</v>
      </c>
      <c r="G868" s="94">
        <v>9</v>
      </c>
      <c r="H868" s="99" t="s">
        <v>145</v>
      </c>
      <c r="I868" s="2"/>
    </row>
    <row r="869" spans="1:9" ht="19.8" customHeight="1" x14ac:dyDescent="0.3">
      <c r="A869" s="175">
        <v>46004</v>
      </c>
      <c r="B869" s="92" t="s">
        <v>115</v>
      </c>
      <c r="C869" s="93" t="s">
        <v>126</v>
      </c>
      <c r="D869" s="92" t="s">
        <v>1</v>
      </c>
      <c r="E869" s="176">
        <v>1.774305555555556</v>
      </c>
      <c r="F869" s="92" t="s">
        <v>124</v>
      </c>
      <c r="G869" s="94">
        <v>8</v>
      </c>
      <c r="H869" s="99" t="s">
        <v>291</v>
      </c>
      <c r="I869" s="2"/>
    </row>
    <row r="870" spans="1:9" ht="19.8" customHeight="1" x14ac:dyDescent="0.3">
      <c r="A870" s="175">
        <v>46004</v>
      </c>
      <c r="B870" s="92" t="s">
        <v>130</v>
      </c>
      <c r="C870" s="93" t="s">
        <v>131</v>
      </c>
      <c r="D870" s="92" t="s">
        <v>1</v>
      </c>
      <c r="E870" s="176">
        <v>1.930555555555556</v>
      </c>
      <c r="F870" s="92" t="s">
        <v>132</v>
      </c>
      <c r="G870" s="94">
        <v>5</v>
      </c>
      <c r="H870" s="99" t="s">
        <v>291</v>
      </c>
      <c r="I870" s="2"/>
    </row>
    <row r="871" spans="1:9" ht="19.8" customHeight="1" x14ac:dyDescent="0.3">
      <c r="A871" s="175">
        <v>46004</v>
      </c>
      <c r="B871" s="92" t="s">
        <v>115</v>
      </c>
      <c r="C871" s="93" t="s">
        <v>121</v>
      </c>
      <c r="D871" s="92" t="s">
        <v>1</v>
      </c>
      <c r="E871" s="176">
        <v>1.4861111111111109</v>
      </c>
      <c r="F871" s="92" t="s">
        <v>124</v>
      </c>
      <c r="G871" s="94">
        <v>9</v>
      </c>
      <c r="H871" s="99" t="s">
        <v>291</v>
      </c>
      <c r="I871" s="2"/>
    </row>
    <row r="872" spans="1:9" ht="19.8" customHeight="1" x14ac:dyDescent="0.3">
      <c r="A872" s="175">
        <v>46004</v>
      </c>
      <c r="B872" s="92" t="s">
        <v>130</v>
      </c>
      <c r="C872" s="93" t="s">
        <v>131</v>
      </c>
      <c r="D872" s="92" t="s">
        <v>1</v>
      </c>
      <c r="E872" s="176">
        <v>1.930555555555556</v>
      </c>
      <c r="F872" s="92" t="s">
        <v>134</v>
      </c>
      <c r="G872" s="94">
        <v>5</v>
      </c>
      <c r="H872" s="99" t="s">
        <v>336</v>
      </c>
      <c r="I872" s="2"/>
    </row>
    <row r="873" spans="1:9" ht="19.8" customHeight="1" x14ac:dyDescent="0.3">
      <c r="A873" s="181">
        <v>46004</v>
      </c>
      <c r="B873" s="105" t="s">
        <v>87</v>
      </c>
      <c r="C873" s="106" t="s">
        <v>109</v>
      </c>
      <c r="D873" s="105" t="s">
        <v>1</v>
      </c>
      <c r="E873" s="182">
        <v>1.333333333333333</v>
      </c>
      <c r="F873" s="105" t="s">
        <v>226</v>
      </c>
      <c r="G873" s="105"/>
      <c r="H873" s="107" t="s">
        <v>227</v>
      </c>
      <c r="I873" s="2"/>
    </row>
    <row r="874" spans="1:9" ht="19.8" customHeight="1" x14ac:dyDescent="0.3">
      <c r="A874" s="175">
        <v>46005</v>
      </c>
      <c r="B874" s="92" t="s">
        <v>26</v>
      </c>
      <c r="C874" s="93" t="s">
        <v>35</v>
      </c>
      <c r="D874" s="92" t="s">
        <v>1</v>
      </c>
      <c r="E874" s="176">
        <v>1.1284722222222221</v>
      </c>
      <c r="F874" s="92" t="s">
        <v>28</v>
      </c>
      <c r="G874" s="94">
        <v>5</v>
      </c>
      <c r="H874" s="173">
        <v>329</v>
      </c>
      <c r="I874" s="2"/>
    </row>
    <row r="875" spans="1:9" ht="19.8" customHeight="1" x14ac:dyDescent="0.3">
      <c r="A875" s="175">
        <v>46005</v>
      </c>
      <c r="B875" s="92" t="s">
        <v>26</v>
      </c>
      <c r="C875" s="93" t="s">
        <v>41</v>
      </c>
      <c r="D875" s="92" t="s">
        <v>1</v>
      </c>
      <c r="E875" s="176">
        <v>1.788194444444444</v>
      </c>
      <c r="F875" s="92" t="s">
        <v>28</v>
      </c>
      <c r="G875" s="94">
        <v>11</v>
      </c>
      <c r="H875" s="173">
        <v>329</v>
      </c>
      <c r="I875" s="2"/>
    </row>
    <row r="876" spans="1:9" ht="19.8" customHeight="1" x14ac:dyDescent="0.3">
      <c r="A876" s="175">
        <v>46005</v>
      </c>
      <c r="B876" s="92" t="s">
        <v>79</v>
      </c>
      <c r="C876" s="93" t="s">
        <v>84</v>
      </c>
      <c r="D876" s="92" t="s">
        <v>1</v>
      </c>
      <c r="E876" s="176">
        <v>1.3888888888888891</v>
      </c>
      <c r="F876" s="92" t="s">
        <v>81</v>
      </c>
      <c r="G876" s="94">
        <v>9</v>
      </c>
      <c r="H876" s="173">
        <v>355</v>
      </c>
      <c r="I876" s="2"/>
    </row>
    <row r="877" spans="1:9" ht="19.8" customHeight="1" x14ac:dyDescent="0.3">
      <c r="A877" s="175">
        <v>46005</v>
      </c>
      <c r="B877" s="92" t="s">
        <v>26</v>
      </c>
      <c r="C877" s="93" t="s">
        <v>39</v>
      </c>
      <c r="D877" s="92" t="s">
        <v>1</v>
      </c>
      <c r="E877" s="176">
        <v>1.302083333333333</v>
      </c>
      <c r="F877" s="92" t="s">
        <v>28</v>
      </c>
      <c r="G877" s="94">
        <v>10</v>
      </c>
      <c r="H877" s="173">
        <v>359</v>
      </c>
      <c r="I877" s="2"/>
    </row>
    <row r="878" spans="1:9" ht="19.8" customHeight="1" x14ac:dyDescent="0.3">
      <c r="A878" s="175">
        <v>46005</v>
      </c>
      <c r="B878" s="92" t="s">
        <v>45</v>
      </c>
      <c r="C878" s="93" t="s">
        <v>57</v>
      </c>
      <c r="D878" s="92" t="s">
        <v>1</v>
      </c>
      <c r="E878" s="176">
        <v>1.256944444444444</v>
      </c>
      <c r="F878" s="92" t="s">
        <v>47</v>
      </c>
      <c r="G878" s="94">
        <v>9</v>
      </c>
      <c r="H878" s="173">
        <v>369</v>
      </c>
      <c r="I878" s="2"/>
    </row>
    <row r="879" spans="1:9" ht="19.8" customHeight="1" x14ac:dyDescent="0.3">
      <c r="A879" s="175">
        <v>46005</v>
      </c>
      <c r="B879" s="92" t="s">
        <v>45</v>
      </c>
      <c r="C879" s="93" t="s">
        <v>58</v>
      </c>
      <c r="D879" s="92" t="s">
        <v>1</v>
      </c>
      <c r="E879" s="176">
        <v>1.302083333333333</v>
      </c>
      <c r="F879" s="92" t="s">
        <v>47</v>
      </c>
      <c r="G879" s="94">
        <v>5</v>
      </c>
      <c r="H879" s="173">
        <v>369</v>
      </c>
      <c r="I879" s="2"/>
    </row>
    <row r="880" spans="1:9" ht="19.8" customHeight="1" x14ac:dyDescent="0.3">
      <c r="A880" s="175">
        <v>46005</v>
      </c>
      <c r="B880" s="92" t="s">
        <v>45</v>
      </c>
      <c r="C880" s="93" t="s">
        <v>46</v>
      </c>
      <c r="D880" s="92" t="s">
        <v>1</v>
      </c>
      <c r="E880" s="176">
        <v>1.395833333333333</v>
      </c>
      <c r="F880" s="92" t="s">
        <v>47</v>
      </c>
      <c r="G880" s="94">
        <v>5</v>
      </c>
      <c r="H880" s="173">
        <v>369</v>
      </c>
      <c r="I880" s="2"/>
    </row>
    <row r="881" spans="1:9" ht="19.8" customHeight="1" x14ac:dyDescent="0.3">
      <c r="A881" s="175">
        <v>46005</v>
      </c>
      <c r="B881" s="92" t="s">
        <v>70</v>
      </c>
      <c r="C881" s="93" t="s">
        <v>235</v>
      </c>
      <c r="D881" s="92" t="s">
        <v>1</v>
      </c>
      <c r="E881" s="176">
        <v>1.3472222222222221</v>
      </c>
      <c r="F881" s="92" t="s">
        <v>72</v>
      </c>
      <c r="G881" s="94">
        <v>9</v>
      </c>
      <c r="H881" s="173">
        <v>400</v>
      </c>
      <c r="I881" s="2"/>
    </row>
    <row r="882" spans="1:9" ht="19.8" customHeight="1" x14ac:dyDescent="0.3">
      <c r="A882" s="175">
        <v>46005</v>
      </c>
      <c r="B882" s="92" t="s">
        <v>74</v>
      </c>
      <c r="C882" s="93" t="s">
        <v>78</v>
      </c>
      <c r="D882" s="92" t="s">
        <v>1</v>
      </c>
      <c r="E882" s="176">
        <v>1.666666666666667</v>
      </c>
      <c r="F882" s="92" t="s">
        <v>72</v>
      </c>
      <c r="G882" s="94">
        <v>9</v>
      </c>
      <c r="H882" s="173">
        <v>401</v>
      </c>
      <c r="I882" s="2"/>
    </row>
    <row r="883" spans="1:9" ht="19.8" customHeight="1" x14ac:dyDescent="0.3">
      <c r="A883" s="175">
        <v>46005</v>
      </c>
      <c r="B883" s="92" t="s">
        <v>45</v>
      </c>
      <c r="C883" s="93" t="s">
        <v>62</v>
      </c>
      <c r="D883" s="92" t="s">
        <v>1</v>
      </c>
      <c r="E883" s="176">
        <v>1.5173611111111109</v>
      </c>
      <c r="F883" s="92" t="s">
        <v>47</v>
      </c>
      <c r="G883" s="94">
        <v>1</v>
      </c>
      <c r="H883" s="173">
        <v>409</v>
      </c>
      <c r="I883" s="2"/>
    </row>
    <row r="884" spans="1:9" ht="19.8" customHeight="1" x14ac:dyDescent="0.3">
      <c r="A884" s="175">
        <v>46005</v>
      </c>
      <c r="B884" s="92" t="s">
        <v>45</v>
      </c>
      <c r="C884" s="93" t="s">
        <v>59</v>
      </c>
      <c r="D884" s="92" t="s">
        <v>1</v>
      </c>
      <c r="E884" s="176">
        <v>1.9027777777777779</v>
      </c>
      <c r="F884" s="92" t="s">
        <v>47</v>
      </c>
      <c r="G884" s="94">
        <v>9</v>
      </c>
      <c r="H884" s="173">
        <v>409</v>
      </c>
      <c r="I884" s="2"/>
    </row>
    <row r="885" spans="1:9" ht="19.8" customHeight="1" x14ac:dyDescent="0.3">
      <c r="A885" s="175">
        <v>46005</v>
      </c>
      <c r="B885" s="92" t="s">
        <v>45</v>
      </c>
      <c r="C885" s="93" t="s">
        <v>66</v>
      </c>
      <c r="D885" s="92" t="s">
        <v>1</v>
      </c>
      <c r="E885" s="176">
        <v>1.645833333333333</v>
      </c>
      <c r="F885" s="92" t="s">
        <v>47</v>
      </c>
      <c r="G885" s="94">
        <v>1</v>
      </c>
      <c r="H885" s="173">
        <v>409</v>
      </c>
      <c r="I885" s="2"/>
    </row>
    <row r="886" spans="1:9" ht="19.8" customHeight="1" x14ac:dyDescent="0.3">
      <c r="A886" s="177">
        <v>46005</v>
      </c>
      <c r="B886" s="96" t="s">
        <v>87</v>
      </c>
      <c r="C886" s="97" t="s">
        <v>241</v>
      </c>
      <c r="D886" s="96" t="s">
        <v>1</v>
      </c>
      <c r="E886" s="178">
        <v>1.333333333333333</v>
      </c>
      <c r="F886" s="96" t="s">
        <v>89</v>
      </c>
      <c r="G886" s="98">
        <v>7</v>
      </c>
      <c r="H886" s="174">
        <v>436</v>
      </c>
      <c r="I886" s="2"/>
    </row>
    <row r="887" spans="1:9" ht="19.8" customHeight="1" x14ac:dyDescent="0.3">
      <c r="A887" s="177">
        <v>46005</v>
      </c>
      <c r="B887" s="96" t="s">
        <v>87</v>
      </c>
      <c r="C887" s="97" t="s">
        <v>109</v>
      </c>
      <c r="D887" s="96" t="s">
        <v>1</v>
      </c>
      <c r="E887" s="178">
        <v>1.319444444444444</v>
      </c>
      <c r="F887" s="96" t="s">
        <v>89</v>
      </c>
      <c r="G887" s="98">
        <v>2</v>
      </c>
      <c r="H887" s="174">
        <v>436</v>
      </c>
      <c r="I887" s="2"/>
    </row>
    <row r="888" spans="1:9" ht="19.8" customHeight="1" x14ac:dyDescent="0.3">
      <c r="A888" s="175">
        <v>46005</v>
      </c>
      <c r="B888" s="92" t="s">
        <v>45</v>
      </c>
      <c r="C888" s="93" t="s">
        <v>53</v>
      </c>
      <c r="D888" s="92" t="s">
        <v>1</v>
      </c>
      <c r="E888" s="176">
        <v>1.854166666666667</v>
      </c>
      <c r="F888" s="92" t="s">
        <v>47</v>
      </c>
      <c r="G888" s="94">
        <v>8</v>
      </c>
      <c r="H888" s="173">
        <v>449</v>
      </c>
      <c r="I888" s="2"/>
    </row>
    <row r="889" spans="1:9" ht="19.8" customHeight="1" x14ac:dyDescent="0.3">
      <c r="A889" s="175">
        <v>46005</v>
      </c>
      <c r="B889" s="92" t="s">
        <v>45</v>
      </c>
      <c r="C889" s="93" t="s">
        <v>60</v>
      </c>
      <c r="D889" s="92" t="s">
        <v>1</v>
      </c>
      <c r="E889" s="176">
        <v>1.7986111111111109</v>
      </c>
      <c r="F889" s="92" t="s">
        <v>47</v>
      </c>
      <c r="G889" s="94">
        <v>9</v>
      </c>
      <c r="H889" s="173">
        <v>449</v>
      </c>
      <c r="I889" s="2"/>
    </row>
    <row r="890" spans="1:9" ht="19.8" customHeight="1" x14ac:dyDescent="0.3">
      <c r="A890" s="175">
        <v>46005</v>
      </c>
      <c r="B890" s="92" t="s">
        <v>45</v>
      </c>
      <c r="C890" s="93" t="s">
        <v>57</v>
      </c>
      <c r="D890" s="92" t="s">
        <v>1</v>
      </c>
      <c r="E890" s="176">
        <v>1.256944444444444</v>
      </c>
      <c r="F890" s="92" t="s">
        <v>49</v>
      </c>
      <c r="G890" s="94">
        <v>9</v>
      </c>
      <c r="H890" s="173">
        <v>469</v>
      </c>
      <c r="I890" s="2"/>
    </row>
    <row r="891" spans="1:9" ht="19.8" customHeight="1" x14ac:dyDescent="0.3">
      <c r="A891" s="175">
        <v>46005</v>
      </c>
      <c r="B891" s="92" t="s">
        <v>45</v>
      </c>
      <c r="C891" s="93" t="s">
        <v>58</v>
      </c>
      <c r="D891" s="92" t="s">
        <v>1</v>
      </c>
      <c r="E891" s="176">
        <v>1.302083333333333</v>
      </c>
      <c r="F891" s="92" t="s">
        <v>49</v>
      </c>
      <c r="G891" s="94">
        <v>5</v>
      </c>
      <c r="H891" s="173">
        <v>469</v>
      </c>
      <c r="I891" s="2"/>
    </row>
    <row r="892" spans="1:9" ht="19.8" customHeight="1" x14ac:dyDescent="0.3">
      <c r="A892" s="175">
        <v>46005</v>
      </c>
      <c r="B892" s="92" t="s">
        <v>45</v>
      </c>
      <c r="C892" s="93" t="s">
        <v>46</v>
      </c>
      <c r="D892" s="92" t="s">
        <v>1</v>
      </c>
      <c r="E892" s="176">
        <v>1.395833333333333</v>
      </c>
      <c r="F892" s="92" t="s">
        <v>49</v>
      </c>
      <c r="G892" s="94">
        <v>5</v>
      </c>
      <c r="H892" s="173">
        <v>469</v>
      </c>
      <c r="I892" s="2"/>
    </row>
    <row r="893" spans="1:9" ht="19.8" customHeight="1" x14ac:dyDescent="0.3">
      <c r="A893" s="177">
        <v>46005</v>
      </c>
      <c r="B893" s="96" t="s">
        <v>87</v>
      </c>
      <c r="C893" s="97" t="s">
        <v>95</v>
      </c>
      <c r="D893" s="96" t="s">
        <v>1</v>
      </c>
      <c r="E893" s="178">
        <v>1.631944444444444</v>
      </c>
      <c r="F893" s="96" t="s">
        <v>89</v>
      </c>
      <c r="G893" s="98">
        <v>9</v>
      </c>
      <c r="H893" s="174">
        <v>471</v>
      </c>
      <c r="I893" s="2"/>
    </row>
    <row r="894" spans="1:9" ht="19.8" customHeight="1" x14ac:dyDescent="0.3">
      <c r="A894" s="177">
        <v>46005</v>
      </c>
      <c r="B894" s="96" t="s">
        <v>87</v>
      </c>
      <c r="C894" s="97" t="s">
        <v>88</v>
      </c>
      <c r="D894" s="96" t="s">
        <v>1</v>
      </c>
      <c r="E894" s="178">
        <v>1.510416666666667</v>
      </c>
      <c r="F894" s="96" t="s">
        <v>89</v>
      </c>
      <c r="G894" s="98">
        <v>5</v>
      </c>
      <c r="H894" s="174">
        <v>471</v>
      </c>
      <c r="I894" s="2"/>
    </row>
    <row r="895" spans="1:9" ht="19.8" customHeight="1" x14ac:dyDescent="0.3">
      <c r="A895" s="175">
        <v>46005</v>
      </c>
      <c r="B895" s="92" t="s">
        <v>26</v>
      </c>
      <c r="C895" s="93" t="s">
        <v>35</v>
      </c>
      <c r="D895" s="92" t="s">
        <v>1</v>
      </c>
      <c r="E895" s="176">
        <v>1.1284722222222221</v>
      </c>
      <c r="F895" s="92" t="s">
        <v>31</v>
      </c>
      <c r="G895" s="94">
        <v>5</v>
      </c>
      <c r="H895" s="173">
        <v>479</v>
      </c>
      <c r="I895" s="2"/>
    </row>
    <row r="896" spans="1:9" ht="19.8" customHeight="1" x14ac:dyDescent="0.3">
      <c r="A896" s="175">
        <v>46005</v>
      </c>
      <c r="B896" s="92" t="s">
        <v>26</v>
      </c>
      <c r="C896" s="93" t="s">
        <v>41</v>
      </c>
      <c r="D896" s="92" t="s">
        <v>1</v>
      </c>
      <c r="E896" s="176">
        <v>1.788194444444444</v>
      </c>
      <c r="F896" s="92" t="s">
        <v>31</v>
      </c>
      <c r="G896" s="94">
        <v>11</v>
      </c>
      <c r="H896" s="173">
        <v>479</v>
      </c>
      <c r="I896" s="2"/>
    </row>
    <row r="897" spans="1:9" ht="19.8" customHeight="1" x14ac:dyDescent="0.3">
      <c r="A897" s="175">
        <v>46005</v>
      </c>
      <c r="B897" s="92" t="s">
        <v>79</v>
      </c>
      <c r="C897" s="93" t="s">
        <v>84</v>
      </c>
      <c r="D897" s="92" t="s">
        <v>1</v>
      </c>
      <c r="E897" s="176">
        <v>1.3888888888888891</v>
      </c>
      <c r="F897" s="92" t="s">
        <v>33</v>
      </c>
      <c r="G897" s="94">
        <v>9</v>
      </c>
      <c r="H897" s="173">
        <v>479</v>
      </c>
      <c r="I897" s="2"/>
    </row>
    <row r="898" spans="1:9" ht="19.8" customHeight="1" x14ac:dyDescent="0.3">
      <c r="A898" s="175">
        <v>46005</v>
      </c>
      <c r="B898" s="92" t="s">
        <v>26</v>
      </c>
      <c r="C898" s="93" t="s">
        <v>39</v>
      </c>
      <c r="D898" s="92" t="s">
        <v>1</v>
      </c>
      <c r="E898" s="176">
        <v>1.302083333333333</v>
      </c>
      <c r="F898" s="92" t="s">
        <v>31</v>
      </c>
      <c r="G898" s="94">
        <v>10</v>
      </c>
      <c r="H898" s="173">
        <v>509</v>
      </c>
      <c r="I898" s="2"/>
    </row>
    <row r="899" spans="1:9" ht="19.8" customHeight="1" x14ac:dyDescent="0.3">
      <c r="A899" s="175">
        <v>46005</v>
      </c>
      <c r="B899" s="92" t="s">
        <v>45</v>
      </c>
      <c r="C899" s="93" t="s">
        <v>62</v>
      </c>
      <c r="D899" s="92" t="s">
        <v>1</v>
      </c>
      <c r="E899" s="176">
        <v>1.5173611111111109</v>
      </c>
      <c r="F899" s="92" t="s">
        <v>49</v>
      </c>
      <c r="G899" s="94">
        <v>1</v>
      </c>
      <c r="H899" s="173">
        <v>509</v>
      </c>
      <c r="I899" s="2"/>
    </row>
    <row r="900" spans="1:9" ht="19.8" customHeight="1" x14ac:dyDescent="0.3">
      <c r="A900" s="175">
        <v>46005</v>
      </c>
      <c r="B900" s="92" t="s">
        <v>45</v>
      </c>
      <c r="C900" s="93" t="s">
        <v>59</v>
      </c>
      <c r="D900" s="92" t="s">
        <v>1</v>
      </c>
      <c r="E900" s="176">
        <v>1.9027777777777779</v>
      </c>
      <c r="F900" s="92" t="s">
        <v>49</v>
      </c>
      <c r="G900" s="94">
        <v>9</v>
      </c>
      <c r="H900" s="173">
        <v>509</v>
      </c>
      <c r="I900" s="2"/>
    </row>
    <row r="901" spans="1:9" ht="19.8" customHeight="1" x14ac:dyDescent="0.3">
      <c r="A901" s="175">
        <v>46005</v>
      </c>
      <c r="B901" s="92" t="s">
        <v>45</v>
      </c>
      <c r="C901" s="93" t="s">
        <v>66</v>
      </c>
      <c r="D901" s="92" t="s">
        <v>1</v>
      </c>
      <c r="E901" s="176">
        <v>1.645833333333333</v>
      </c>
      <c r="F901" s="92" t="s">
        <v>49</v>
      </c>
      <c r="G901" s="94">
        <v>1</v>
      </c>
      <c r="H901" s="173">
        <v>509</v>
      </c>
      <c r="I901" s="2"/>
    </row>
    <row r="902" spans="1:9" ht="19.8" customHeight="1" x14ac:dyDescent="0.3">
      <c r="A902" s="175">
        <v>46005</v>
      </c>
      <c r="B902" s="92" t="s">
        <v>45</v>
      </c>
      <c r="C902" s="93" t="s">
        <v>53</v>
      </c>
      <c r="D902" s="92" t="s">
        <v>1</v>
      </c>
      <c r="E902" s="176">
        <v>1.854166666666667</v>
      </c>
      <c r="F902" s="92" t="s">
        <v>49</v>
      </c>
      <c r="G902" s="94">
        <v>8</v>
      </c>
      <c r="H902" s="173">
        <v>549</v>
      </c>
      <c r="I902" s="2"/>
    </row>
    <row r="903" spans="1:9" ht="19.8" customHeight="1" x14ac:dyDescent="0.3">
      <c r="A903" s="175">
        <v>46005</v>
      </c>
      <c r="B903" s="92" t="s">
        <v>45</v>
      </c>
      <c r="C903" s="93" t="s">
        <v>60</v>
      </c>
      <c r="D903" s="92" t="s">
        <v>1</v>
      </c>
      <c r="E903" s="176">
        <v>1.7986111111111109</v>
      </c>
      <c r="F903" s="92" t="s">
        <v>49</v>
      </c>
      <c r="G903" s="94">
        <v>9</v>
      </c>
      <c r="H903" s="173">
        <v>549</v>
      </c>
      <c r="I903" s="2"/>
    </row>
    <row r="904" spans="1:9" ht="19.8" customHeight="1" x14ac:dyDescent="0.3">
      <c r="A904" s="175">
        <v>46005</v>
      </c>
      <c r="B904" s="92" t="s">
        <v>45</v>
      </c>
      <c r="C904" s="93" t="s">
        <v>57</v>
      </c>
      <c r="D904" s="92" t="s">
        <v>1</v>
      </c>
      <c r="E904" s="176">
        <v>1.256944444444444</v>
      </c>
      <c r="F904" s="92" t="s">
        <v>51</v>
      </c>
      <c r="G904" s="94">
        <v>9</v>
      </c>
      <c r="H904" s="173">
        <v>559</v>
      </c>
      <c r="I904" s="2"/>
    </row>
    <row r="905" spans="1:9" ht="19.8" customHeight="1" x14ac:dyDescent="0.3">
      <c r="A905" s="175">
        <v>46005</v>
      </c>
      <c r="B905" s="92" t="s">
        <v>45</v>
      </c>
      <c r="C905" s="93" t="s">
        <v>58</v>
      </c>
      <c r="D905" s="92" t="s">
        <v>1</v>
      </c>
      <c r="E905" s="176">
        <v>1.302083333333333</v>
      </c>
      <c r="F905" s="92" t="s">
        <v>51</v>
      </c>
      <c r="G905" s="94">
        <v>5</v>
      </c>
      <c r="H905" s="173">
        <v>559</v>
      </c>
      <c r="I905" s="2"/>
    </row>
    <row r="906" spans="1:9" ht="19.8" customHeight="1" x14ac:dyDescent="0.3">
      <c r="A906" s="175">
        <v>46005</v>
      </c>
      <c r="B906" s="92" t="s">
        <v>45</v>
      </c>
      <c r="C906" s="93" t="s">
        <v>46</v>
      </c>
      <c r="D906" s="92" t="s">
        <v>1</v>
      </c>
      <c r="E906" s="176">
        <v>1.395833333333333</v>
      </c>
      <c r="F906" s="92" t="s">
        <v>51</v>
      </c>
      <c r="G906" s="94">
        <v>5</v>
      </c>
      <c r="H906" s="173">
        <v>559</v>
      </c>
      <c r="I906" s="2"/>
    </row>
    <row r="907" spans="1:9" ht="19.8" customHeight="1" x14ac:dyDescent="0.3">
      <c r="A907" s="175">
        <v>46005</v>
      </c>
      <c r="B907" s="92" t="s">
        <v>130</v>
      </c>
      <c r="C907" s="93" t="s">
        <v>138</v>
      </c>
      <c r="D907" s="92" t="s">
        <v>1</v>
      </c>
      <c r="E907" s="176">
        <v>1.239583333333333</v>
      </c>
      <c r="F907" s="92" t="s">
        <v>132</v>
      </c>
      <c r="G907" s="94">
        <v>9</v>
      </c>
      <c r="H907" s="173">
        <v>574</v>
      </c>
      <c r="I907" s="2"/>
    </row>
    <row r="908" spans="1:9" ht="19.8" customHeight="1" x14ac:dyDescent="0.3">
      <c r="A908" s="175">
        <v>46005</v>
      </c>
      <c r="B908" s="92" t="s">
        <v>26</v>
      </c>
      <c r="C908" s="93" t="s">
        <v>27</v>
      </c>
      <c r="D908" s="92" t="s">
        <v>1</v>
      </c>
      <c r="E908" s="176">
        <v>1.8888888888888891</v>
      </c>
      <c r="F908" s="92" t="s">
        <v>28</v>
      </c>
      <c r="G908" s="94">
        <v>14</v>
      </c>
      <c r="H908" s="173">
        <v>589</v>
      </c>
      <c r="I908" s="2"/>
    </row>
    <row r="909" spans="1:9" ht="19.8" customHeight="1" x14ac:dyDescent="0.3">
      <c r="A909" s="175">
        <v>46005</v>
      </c>
      <c r="B909" s="92" t="s">
        <v>45</v>
      </c>
      <c r="C909" s="93" t="s">
        <v>62</v>
      </c>
      <c r="D909" s="92" t="s">
        <v>1</v>
      </c>
      <c r="E909" s="176">
        <v>1.5173611111111109</v>
      </c>
      <c r="F909" s="92" t="s">
        <v>51</v>
      </c>
      <c r="G909" s="94">
        <v>1</v>
      </c>
      <c r="H909" s="173">
        <v>599</v>
      </c>
      <c r="I909" s="2"/>
    </row>
    <row r="910" spans="1:9" ht="19.8" customHeight="1" x14ac:dyDescent="0.3">
      <c r="A910" s="175">
        <v>46005</v>
      </c>
      <c r="B910" s="92" t="s">
        <v>45</v>
      </c>
      <c r="C910" s="93" t="s">
        <v>59</v>
      </c>
      <c r="D910" s="92" t="s">
        <v>1</v>
      </c>
      <c r="E910" s="176">
        <v>1.9027777777777779</v>
      </c>
      <c r="F910" s="92" t="s">
        <v>51</v>
      </c>
      <c r="G910" s="94">
        <v>9</v>
      </c>
      <c r="H910" s="173">
        <v>599</v>
      </c>
      <c r="I910" s="2"/>
    </row>
    <row r="911" spans="1:9" ht="19.8" customHeight="1" x14ac:dyDescent="0.3">
      <c r="A911" s="175">
        <v>46005</v>
      </c>
      <c r="B911" s="92" t="s">
        <v>45</v>
      </c>
      <c r="C911" s="93" t="s">
        <v>66</v>
      </c>
      <c r="D911" s="92" t="s">
        <v>1</v>
      </c>
      <c r="E911" s="176">
        <v>1.645833333333333</v>
      </c>
      <c r="F911" s="92" t="s">
        <v>51</v>
      </c>
      <c r="G911" s="94">
        <v>1</v>
      </c>
      <c r="H911" s="173">
        <v>599</v>
      </c>
      <c r="I911" s="2"/>
    </row>
    <row r="912" spans="1:9" ht="19.8" customHeight="1" x14ac:dyDescent="0.3">
      <c r="A912" s="175">
        <v>46005</v>
      </c>
      <c r="B912" s="92" t="s">
        <v>130</v>
      </c>
      <c r="C912" s="93" t="s">
        <v>138</v>
      </c>
      <c r="D912" s="92" t="s">
        <v>1</v>
      </c>
      <c r="E912" s="176">
        <v>1.239583333333333</v>
      </c>
      <c r="F912" s="92" t="s">
        <v>134</v>
      </c>
      <c r="G912" s="94">
        <v>9</v>
      </c>
      <c r="H912" s="173">
        <v>619</v>
      </c>
      <c r="I912" s="2"/>
    </row>
    <row r="913" spans="1:9" ht="19.8" customHeight="1" x14ac:dyDescent="0.3">
      <c r="A913" s="175">
        <v>46005</v>
      </c>
      <c r="B913" s="92" t="s">
        <v>45</v>
      </c>
      <c r="C913" s="93" t="s">
        <v>53</v>
      </c>
      <c r="D913" s="92" t="s">
        <v>1</v>
      </c>
      <c r="E913" s="176">
        <v>1.854166666666667</v>
      </c>
      <c r="F913" s="92" t="s">
        <v>51</v>
      </c>
      <c r="G913" s="94">
        <v>8</v>
      </c>
      <c r="H913" s="173">
        <v>639</v>
      </c>
      <c r="I913" s="2"/>
    </row>
    <row r="914" spans="1:9" ht="19.8" customHeight="1" x14ac:dyDescent="0.3">
      <c r="A914" s="175">
        <v>46005</v>
      </c>
      <c r="B914" s="92" t="s">
        <v>45</v>
      </c>
      <c r="C914" s="93" t="s">
        <v>60</v>
      </c>
      <c r="D914" s="92" t="s">
        <v>1</v>
      </c>
      <c r="E914" s="176">
        <v>1.7986111111111109</v>
      </c>
      <c r="F914" s="92" t="s">
        <v>51</v>
      </c>
      <c r="G914" s="94">
        <v>9</v>
      </c>
      <c r="H914" s="173">
        <v>639</v>
      </c>
      <c r="I914" s="2"/>
    </row>
    <row r="915" spans="1:9" ht="19.8" customHeight="1" x14ac:dyDescent="0.3">
      <c r="A915" s="175">
        <v>46005</v>
      </c>
      <c r="B915" s="92" t="s">
        <v>130</v>
      </c>
      <c r="C915" s="93" t="s">
        <v>136</v>
      </c>
      <c r="D915" s="92" t="s">
        <v>1</v>
      </c>
      <c r="E915" s="176">
        <v>1.3784722222222221</v>
      </c>
      <c r="F915" s="92" t="s">
        <v>132</v>
      </c>
      <c r="G915" s="94">
        <v>9</v>
      </c>
      <c r="H915" s="173">
        <v>678</v>
      </c>
      <c r="I915" s="2"/>
    </row>
    <row r="916" spans="1:9" ht="19.8" customHeight="1" x14ac:dyDescent="0.3">
      <c r="A916" s="175">
        <v>46005</v>
      </c>
      <c r="B916" s="92" t="s">
        <v>130</v>
      </c>
      <c r="C916" s="93" t="s">
        <v>136</v>
      </c>
      <c r="D916" s="92" t="s">
        <v>1</v>
      </c>
      <c r="E916" s="176">
        <v>1.3784722222222221</v>
      </c>
      <c r="F916" s="92" t="s">
        <v>134</v>
      </c>
      <c r="G916" s="94">
        <v>9</v>
      </c>
      <c r="H916" s="173">
        <v>723</v>
      </c>
      <c r="I916" s="2"/>
    </row>
    <row r="917" spans="1:9" ht="19.8" customHeight="1" x14ac:dyDescent="0.3">
      <c r="A917" s="175">
        <v>46005</v>
      </c>
      <c r="B917" s="92" t="s">
        <v>26</v>
      </c>
      <c r="C917" s="93" t="s">
        <v>27</v>
      </c>
      <c r="D917" s="92" t="s">
        <v>1</v>
      </c>
      <c r="E917" s="176">
        <v>1.8888888888888891</v>
      </c>
      <c r="F917" s="92" t="s">
        <v>31</v>
      </c>
      <c r="G917" s="94">
        <v>14</v>
      </c>
      <c r="H917" s="173">
        <v>739</v>
      </c>
      <c r="I917" s="2"/>
    </row>
    <row r="918" spans="1:9" ht="19.8" customHeight="1" x14ac:dyDescent="0.3">
      <c r="A918" s="175">
        <v>46005</v>
      </c>
      <c r="B918" s="92" t="s">
        <v>130</v>
      </c>
      <c r="C918" s="93" t="s">
        <v>146</v>
      </c>
      <c r="D918" s="92" t="s">
        <v>1</v>
      </c>
      <c r="E918" s="176">
        <v>1.1423611111111109</v>
      </c>
      <c r="F918" s="92" t="s">
        <v>132</v>
      </c>
      <c r="G918" s="94">
        <v>9</v>
      </c>
      <c r="H918" s="173">
        <v>935</v>
      </c>
      <c r="I918" s="2"/>
    </row>
    <row r="919" spans="1:9" ht="19.8" customHeight="1" x14ac:dyDescent="0.3">
      <c r="A919" s="175">
        <v>46005</v>
      </c>
      <c r="B919" s="92" t="s">
        <v>130</v>
      </c>
      <c r="C919" s="93" t="s">
        <v>146</v>
      </c>
      <c r="D919" s="92" t="s">
        <v>1</v>
      </c>
      <c r="E919" s="176">
        <v>1.1423611111111109</v>
      </c>
      <c r="F919" s="92" t="s">
        <v>134</v>
      </c>
      <c r="G919" s="94">
        <v>9</v>
      </c>
      <c r="H919" s="173">
        <v>980</v>
      </c>
      <c r="I919" s="2"/>
    </row>
    <row r="920" spans="1:9" ht="19.8" customHeight="1" x14ac:dyDescent="0.3">
      <c r="A920" s="175">
        <v>46005</v>
      </c>
      <c r="B920" s="92" t="s">
        <v>26</v>
      </c>
      <c r="C920" s="93" t="s">
        <v>35</v>
      </c>
      <c r="D920" s="92" t="s">
        <v>1</v>
      </c>
      <c r="E920" s="176">
        <v>1.1284722222222221</v>
      </c>
      <c r="F920" s="92" t="s">
        <v>33</v>
      </c>
      <c r="G920" s="94">
        <v>5</v>
      </c>
      <c r="H920" s="99" t="s">
        <v>34</v>
      </c>
      <c r="I920" s="2"/>
    </row>
    <row r="921" spans="1:9" ht="19.8" customHeight="1" x14ac:dyDescent="0.3">
      <c r="A921" s="175">
        <v>46005</v>
      </c>
      <c r="B921" s="92" t="s">
        <v>26</v>
      </c>
      <c r="C921" s="93" t="s">
        <v>39</v>
      </c>
      <c r="D921" s="92" t="s">
        <v>1</v>
      </c>
      <c r="E921" s="176">
        <v>1.302083333333333</v>
      </c>
      <c r="F921" s="92" t="s">
        <v>33</v>
      </c>
      <c r="G921" s="94">
        <v>10</v>
      </c>
      <c r="H921" s="99" t="s">
        <v>34</v>
      </c>
      <c r="I921" s="2"/>
    </row>
    <row r="922" spans="1:9" ht="19.8" customHeight="1" x14ac:dyDescent="0.3">
      <c r="A922" s="175">
        <v>46005</v>
      </c>
      <c r="B922" s="92" t="s">
        <v>26</v>
      </c>
      <c r="C922" s="93" t="s">
        <v>27</v>
      </c>
      <c r="D922" s="92" t="s">
        <v>1</v>
      </c>
      <c r="E922" s="176">
        <v>1.8888888888888891</v>
      </c>
      <c r="F922" s="92" t="s">
        <v>33</v>
      </c>
      <c r="G922" s="94">
        <v>14</v>
      </c>
      <c r="H922" s="99" t="s">
        <v>34</v>
      </c>
      <c r="I922" s="2"/>
    </row>
    <row r="923" spans="1:9" ht="19.8" customHeight="1" x14ac:dyDescent="0.3">
      <c r="A923" s="175">
        <v>46005</v>
      </c>
      <c r="B923" s="92" t="s">
        <v>26</v>
      </c>
      <c r="C923" s="93" t="s">
        <v>41</v>
      </c>
      <c r="D923" s="92" t="s">
        <v>1</v>
      </c>
      <c r="E923" s="176">
        <v>1.788194444444444</v>
      </c>
      <c r="F923" s="92" t="s">
        <v>33</v>
      </c>
      <c r="G923" s="94">
        <v>11</v>
      </c>
      <c r="H923" s="99" t="s">
        <v>34</v>
      </c>
      <c r="I923" s="2"/>
    </row>
    <row r="924" spans="1:9" ht="19.8" customHeight="1" x14ac:dyDescent="0.3">
      <c r="A924" s="175">
        <v>46005</v>
      </c>
      <c r="B924" s="92" t="s">
        <v>115</v>
      </c>
      <c r="C924" s="93" t="s">
        <v>116</v>
      </c>
      <c r="D924" s="92" t="s">
        <v>1</v>
      </c>
      <c r="E924" s="176">
        <v>1.2222222222222221</v>
      </c>
      <c r="F924" s="92" t="s">
        <v>124</v>
      </c>
      <c r="G924" s="94">
        <v>9</v>
      </c>
      <c r="H924" s="99" t="s">
        <v>255</v>
      </c>
      <c r="I924" s="2"/>
    </row>
    <row r="925" spans="1:9" ht="19.8" customHeight="1" x14ac:dyDescent="0.3">
      <c r="A925" s="175">
        <v>46005</v>
      </c>
      <c r="B925" s="92" t="s">
        <v>115</v>
      </c>
      <c r="C925" s="93" t="s">
        <v>119</v>
      </c>
      <c r="D925" s="92" t="s">
        <v>1</v>
      </c>
      <c r="E925" s="176">
        <v>1.145833333333333</v>
      </c>
      <c r="F925" s="92" t="s">
        <v>124</v>
      </c>
      <c r="G925" s="94">
        <v>9</v>
      </c>
      <c r="H925" s="99" t="s">
        <v>255</v>
      </c>
      <c r="I925" s="2"/>
    </row>
    <row r="926" spans="1:9" ht="19.8" customHeight="1" x14ac:dyDescent="0.3">
      <c r="A926" s="175">
        <v>46005</v>
      </c>
      <c r="B926" s="92" t="s">
        <v>115</v>
      </c>
      <c r="C926" s="93" t="s">
        <v>120</v>
      </c>
      <c r="D926" s="92" t="s">
        <v>1</v>
      </c>
      <c r="E926" s="176">
        <v>1.2777777777777779</v>
      </c>
      <c r="F926" s="92" t="s">
        <v>124</v>
      </c>
      <c r="G926" s="94">
        <v>9</v>
      </c>
      <c r="H926" s="99" t="s">
        <v>255</v>
      </c>
      <c r="I926" s="2"/>
    </row>
    <row r="927" spans="1:9" ht="19.8" customHeight="1" x14ac:dyDescent="0.3">
      <c r="A927" s="175">
        <v>46005</v>
      </c>
      <c r="B927" s="92" t="s">
        <v>115</v>
      </c>
      <c r="C927" s="93" t="s">
        <v>121</v>
      </c>
      <c r="D927" s="92" t="s">
        <v>1</v>
      </c>
      <c r="E927" s="176">
        <v>1.4861111111111109</v>
      </c>
      <c r="F927" s="92" t="s">
        <v>124</v>
      </c>
      <c r="G927" s="94">
        <v>9</v>
      </c>
      <c r="H927" s="99" t="s">
        <v>255</v>
      </c>
      <c r="I927" s="2"/>
    </row>
    <row r="928" spans="1:9" ht="19.8" customHeight="1" x14ac:dyDescent="0.3">
      <c r="A928" s="175">
        <v>46005</v>
      </c>
      <c r="B928" s="92" t="s">
        <v>130</v>
      </c>
      <c r="C928" s="93" t="s">
        <v>142</v>
      </c>
      <c r="D928" s="92" t="s">
        <v>1</v>
      </c>
      <c r="E928" s="176">
        <v>1.1284722222222221</v>
      </c>
      <c r="F928" s="92" t="s">
        <v>134</v>
      </c>
      <c r="G928" s="94">
        <v>4</v>
      </c>
      <c r="H928" s="99" t="s">
        <v>218</v>
      </c>
      <c r="I928" s="2"/>
    </row>
    <row r="929" spans="1:9" ht="19.8" customHeight="1" x14ac:dyDescent="0.3">
      <c r="A929" s="175">
        <v>46005</v>
      </c>
      <c r="B929" s="92" t="s">
        <v>130</v>
      </c>
      <c r="C929" s="93" t="s">
        <v>149</v>
      </c>
      <c r="D929" s="92" t="s">
        <v>1</v>
      </c>
      <c r="E929" s="176">
        <v>1.788194444444444</v>
      </c>
      <c r="F929" s="92" t="s">
        <v>134</v>
      </c>
      <c r="G929" s="94">
        <v>4</v>
      </c>
      <c r="H929" s="99" t="s">
        <v>218</v>
      </c>
      <c r="I929" s="2"/>
    </row>
    <row r="930" spans="1:9" ht="19.8" customHeight="1" x14ac:dyDescent="0.3">
      <c r="A930" s="175">
        <v>46005</v>
      </c>
      <c r="B930" s="92" t="s">
        <v>130</v>
      </c>
      <c r="C930" s="93" t="s">
        <v>141</v>
      </c>
      <c r="D930" s="92" t="s">
        <v>1</v>
      </c>
      <c r="E930" s="176">
        <v>1.302083333333333</v>
      </c>
      <c r="F930" s="92" t="s">
        <v>134</v>
      </c>
      <c r="G930" s="94">
        <v>4</v>
      </c>
      <c r="H930" s="99" t="s">
        <v>178</v>
      </c>
      <c r="I930" s="2"/>
    </row>
    <row r="931" spans="1:9" ht="19.8" customHeight="1" x14ac:dyDescent="0.3">
      <c r="A931" s="175">
        <v>46005</v>
      </c>
      <c r="B931" s="92" t="s">
        <v>130</v>
      </c>
      <c r="C931" s="93" t="s">
        <v>143</v>
      </c>
      <c r="D931" s="92" t="s">
        <v>1</v>
      </c>
      <c r="E931" s="176">
        <v>1.006944444444444</v>
      </c>
      <c r="F931" s="92" t="s">
        <v>132</v>
      </c>
      <c r="G931" s="94">
        <v>9</v>
      </c>
      <c r="H931" s="99" t="s">
        <v>144</v>
      </c>
      <c r="I931" s="2"/>
    </row>
    <row r="932" spans="1:9" ht="19.8" customHeight="1" x14ac:dyDescent="0.3">
      <c r="A932" s="175">
        <v>46005</v>
      </c>
      <c r="B932" s="92" t="s">
        <v>130</v>
      </c>
      <c r="C932" s="93" t="s">
        <v>131</v>
      </c>
      <c r="D932" s="92" t="s">
        <v>1</v>
      </c>
      <c r="E932" s="176">
        <v>1.930555555555556</v>
      </c>
      <c r="F932" s="92" t="s">
        <v>132</v>
      </c>
      <c r="G932" s="94">
        <v>9</v>
      </c>
      <c r="H932" s="99" t="s">
        <v>144</v>
      </c>
      <c r="I932" s="2"/>
    </row>
    <row r="933" spans="1:9" ht="19.8" customHeight="1" x14ac:dyDescent="0.3">
      <c r="A933" s="175">
        <v>46005</v>
      </c>
      <c r="B933" s="92" t="s">
        <v>130</v>
      </c>
      <c r="C933" s="93" t="s">
        <v>147</v>
      </c>
      <c r="D933" s="92" t="s">
        <v>1</v>
      </c>
      <c r="E933" s="176">
        <v>1.71875</v>
      </c>
      <c r="F933" s="92" t="s">
        <v>132</v>
      </c>
      <c r="G933" s="94">
        <v>9</v>
      </c>
      <c r="H933" s="99" t="s">
        <v>144</v>
      </c>
      <c r="I933" s="2"/>
    </row>
    <row r="934" spans="1:9" ht="19.8" customHeight="1" x14ac:dyDescent="0.3">
      <c r="A934" s="175">
        <v>46005</v>
      </c>
      <c r="B934" s="92" t="s">
        <v>130</v>
      </c>
      <c r="C934" s="93" t="s">
        <v>148</v>
      </c>
      <c r="D934" s="92" t="s">
        <v>1</v>
      </c>
      <c r="E934" s="176">
        <v>1.8298611111111109</v>
      </c>
      <c r="F934" s="92" t="s">
        <v>132</v>
      </c>
      <c r="G934" s="94">
        <v>9</v>
      </c>
      <c r="H934" s="99" t="s">
        <v>144</v>
      </c>
      <c r="I934" s="2"/>
    </row>
    <row r="935" spans="1:9" ht="19.8" customHeight="1" x14ac:dyDescent="0.3">
      <c r="A935" s="175">
        <v>46005</v>
      </c>
      <c r="B935" s="92" t="s">
        <v>130</v>
      </c>
      <c r="C935" s="93" t="s">
        <v>137</v>
      </c>
      <c r="D935" s="92" t="s">
        <v>1</v>
      </c>
      <c r="E935" s="176">
        <v>1.6111111111111109</v>
      </c>
      <c r="F935" s="92" t="s">
        <v>132</v>
      </c>
      <c r="G935" s="94">
        <v>9</v>
      </c>
      <c r="H935" s="99" t="s">
        <v>144</v>
      </c>
      <c r="I935" s="2"/>
    </row>
    <row r="936" spans="1:9" ht="19.8" customHeight="1" x14ac:dyDescent="0.3">
      <c r="A936" s="175">
        <v>46005</v>
      </c>
      <c r="B936" s="92" t="s">
        <v>130</v>
      </c>
      <c r="C936" s="93" t="s">
        <v>143</v>
      </c>
      <c r="D936" s="92" t="s">
        <v>1</v>
      </c>
      <c r="E936" s="176">
        <v>1.006944444444444</v>
      </c>
      <c r="F936" s="92" t="s">
        <v>134</v>
      </c>
      <c r="G936" s="94">
        <v>9</v>
      </c>
      <c r="H936" s="99" t="s">
        <v>145</v>
      </c>
      <c r="I936" s="2"/>
    </row>
    <row r="937" spans="1:9" ht="19.8" customHeight="1" x14ac:dyDescent="0.3">
      <c r="A937" s="175">
        <v>46005</v>
      </c>
      <c r="B937" s="92" t="s">
        <v>130</v>
      </c>
      <c r="C937" s="93" t="s">
        <v>131</v>
      </c>
      <c r="D937" s="92" t="s">
        <v>1</v>
      </c>
      <c r="E937" s="176">
        <v>1.930555555555556</v>
      </c>
      <c r="F937" s="92" t="s">
        <v>134</v>
      </c>
      <c r="G937" s="94">
        <v>9</v>
      </c>
      <c r="H937" s="99" t="s">
        <v>145</v>
      </c>
      <c r="I937" s="2"/>
    </row>
    <row r="938" spans="1:9" ht="19.8" customHeight="1" x14ac:dyDescent="0.3">
      <c r="A938" s="175">
        <v>46005</v>
      </c>
      <c r="B938" s="92" t="s">
        <v>130</v>
      </c>
      <c r="C938" s="93" t="s">
        <v>147</v>
      </c>
      <c r="D938" s="92" t="s">
        <v>1</v>
      </c>
      <c r="E938" s="176">
        <v>1.71875</v>
      </c>
      <c r="F938" s="92" t="s">
        <v>134</v>
      </c>
      <c r="G938" s="94">
        <v>9</v>
      </c>
      <c r="H938" s="99" t="s">
        <v>145</v>
      </c>
      <c r="I938" s="2"/>
    </row>
    <row r="939" spans="1:9" ht="19.8" customHeight="1" x14ac:dyDescent="0.3">
      <c r="A939" s="175">
        <v>46005</v>
      </c>
      <c r="B939" s="92" t="s">
        <v>130</v>
      </c>
      <c r="C939" s="93" t="s">
        <v>148</v>
      </c>
      <c r="D939" s="92" t="s">
        <v>1</v>
      </c>
      <c r="E939" s="176">
        <v>1.8298611111111109</v>
      </c>
      <c r="F939" s="92" t="s">
        <v>134</v>
      </c>
      <c r="G939" s="94">
        <v>9</v>
      </c>
      <c r="H939" s="99" t="s">
        <v>145</v>
      </c>
      <c r="I939" s="2"/>
    </row>
    <row r="940" spans="1:9" ht="19.8" customHeight="1" x14ac:dyDescent="0.3">
      <c r="A940" s="175">
        <v>46005</v>
      </c>
      <c r="B940" s="92" t="s">
        <v>130</v>
      </c>
      <c r="C940" s="93" t="s">
        <v>137</v>
      </c>
      <c r="D940" s="92" t="s">
        <v>1</v>
      </c>
      <c r="E940" s="176">
        <v>1.6111111111111109</v>
      </c>
      <c r="F940" s="92" t="s">
        <v>134</v>
      </c>
      <c r="G940" s="94">
        <v>9</v>
      </c>
      <c r="H940" s="99" t="s">
        <v>145</v>
      </c>
      <c r="I940" s="2"/>
    </row>
    <row r="941" spans="1:9" ht="19.8" customHeight="1" x14ac:dyDescent="0.3">
      <c r="A941" s="175">
        <v>46005</v>
      </c>
      <c r="B941" s="92" t="s">
        <v>115</v>
      </c>
      <c r="C941" s="93" t="s">
        <v>123</v>
      </c>
      <c r="D941" s="92" t="s">
        <v>1</v>
      </c>
      <c r="E941" s="176">
        <v>1.958333333333333</v>
      </c>
      <c r="F941" s="92" t="s">
        <v>124</v>
      </c>
      <c r="G941" s="94">
        <v>9</v>
      </c>
      <c r="H941" s="99" t="s">
        <v>290</v>
      </c>
      <c r="I941" s="2"/>
    </row>
    <row r="942" spans="1:9" ht="19.8" customHeight="1" x14ac:dyDescent="0.3">
      <c r="A942" s="175">
        <v>46005</v>
      </c>
      <c r="B942" s="92" t="s">
        <v>130</v>
      </c>
      <c r="C942" s="93" t="s">
        <v>139</v>
      </c>
      <c r="D942" s="92" t="s">
        <v>1</v>
      </c>
      <c r="E942" s="176">
        <v>1.8888888888888891</v>
      </c>
      <c r="F942" s="92" t="s">
        <v>134</v>
      </c>
      <c r="G942" s="94">
        <v>4</v>
      </c>
      <c r="H942" s="99" t="s">
        <v>344</v>
      </c>
      <c r="I942" s="2"/>
    </row>
    <row r="943" spans="1:9" ht="19.8" customHeight="1" x14ac:dyDescent="0.3">
      <c r="A943" s="175">
        <v>46005</v>
      </c>
      <c r="B943" s="92" t="s">
        <v>115</v>
      </c>
      <c r="C943" s="93" t="s">
        <v>126</v>
      </c>
      <c r="D943" s="92" t="s">
        <v>1</v>
      </c>
      <c r="E943" s="176">
        <v>1.774305555555556</v>
      </c>
      <c r="F943" s="92" t="s">
        <v>124</v>
      </c>
      <c r="G943" s="94">
        <v>4</v>
      </c>
      <c r="H943" s="99" t="s">
        <v>291</v>
      </c>
      <c r="I943" s="2"/>
    </row>
    <row r="944" spans="1:9" ht="19.8" customHeight="1" x14ac:dyDescent="0.3">
      <c r="A944" s="181">
        <v>46005</v>
      </c>
      <c r="B944" s="105" t="s">
        <v>87</v>
      </c>
      <c r="C944" s="106" t="s">
        <v>169</v>
      </c>
      <c r="D944" s="105" t="s">
        <v>1</v>
      </c>
      <c r="E944" s="182">
        <v>1.083333333333333</v>
      </c>
      <c r="F944" s="105" t="s">
        <v>226</v>
      </c>
      <c r="G944" s="105"/>
      <c r="H944" s="107" t="s">
        <v>227</v>
      </c>
      <c r="I944" s="2"/>
    </row>
    <row r="945" spans="1:9" ht="19.8" customHeight="1" x14ac:dyDescent="0.3">
      <c r="A945" s="175">
        <v>46006</v>
      </c>
      <c r="B945" s="92" t="s">
        <v>26</v>
      </c>
      <c r="C945" s="93" t="s">
        <v>35</v>
      </c>
      <c r="D945" s="92" t="s">
        <v>1</v>
      </c>
      <c r="E945" s="176">
        <v>1.1284722222222221</v>
      </c>
      <c r="F945" s="92" t="s">
        <v>28</v>
      </c>
      <c r="G945" s="94">
        <v>10</v>
      </c>
      <c r="H945" s="173">
        <v>299</v>
      </c>
      <c r="I945" s="2"/>
    </row>
    <row r="946" spans="1:9" ht="19.8" customHeight="1" x14ac:dyDescent="0.3">
      <c r="A946" s="175">
        <v>46006</v>
      </c>
      <c r="B946" s="92" t="s">
        <v>26</v>
      </c>
      <c r="C946" s="93" t="s">
        <v>39</v>
      </c>
      <c r="D946" s="92" t="s">
        <v>1</v>
      </c>
      <c r="E946" s="176">
        <v>1.302083333333333</v>
      </c>
      <c r="F946" s="92" t="s">
        <v>28</v>
      </c>
      <c r="G946" s="94">
        <v>5</v>
      </c>
      <c r="H946" s="173">
        <v>299</v>
      </c>
      <c r="I946" s="2"/>
    </row>
    <row r="947" spans="1:9" ht="19.8" customHeight="1" x14ac:dyDescent="0.3">
      <c r="A947" s="175">
        <v>46006</v>
      </c>
      <c r="B947" s="92" t="s">
        <v>79</v>
      </c>
      <c r="C947" s="93" t="s">
        <v>84</v>
      </c>
      <c r="D947" s="92" t="s">
        <v>1</v>
      </c>
      <c r="E947" s="176">
        <v>1.3923611111111109</v>
      </c>
      <c r="F947" s="92" t="s">
        <v>81</v>
      </c>
      <c r="G947" s="94">
        <v>9</v>
      </c>
      <c r="H947" s="173">
        <v>350</v>
      </c>
      <c r="I947" s="2"/>
    </row>
    <row r="948" spans="1:9" ht="19.8" customHeight="1" x14ac:dyDescent="0.3">
      <c r="A948" s="175">
        <v>46006</v>
      </c>
      <c r="B948" s="92" t="s">
        <v>79</v>
      </c>
      <c r="C948" s="93" t="s">
        <v>80</v>
      </c>
      <c r="D948" s="92" t="s">
        <v>1</v>
      </c>
      <c r="E948" s="176">
        <v>1.1736111111111109</v>
      </c>
      <c r="F948" s="92" t="s">
        <v>81</v>
      </c>
      <c r="G948" s="94">
        <v>9</v>
      </c>
      <c r="H948" s="173">
        <v>350</v>
      </c>
      <c r="I948" s="2"/>
    </row>
    <row r="949" spans="1:9" ht="19.8" customHeight="1" x14ac:dyDescent="0.3">
      <c r="A949" s="175">
        <v>46006</v>
      </c>
      <c r="B949" s="92" t="s">
        <v>45</v>
      </c>
      <c r="C949" s="93" t="s">
        <v>53</v>
      </c>
      <c r="D949" s="92" t="s">
        <v>1</v>
      </c>
      <c r="E949" s="176">
        <v>1.854166666666667</v>
      </c>
      <c r="F949" s="92" t="s">
        <v>47</v>
      </c>
      <c r="G949" s="94">
        <v>2</v>
      </c>
      <c r="H949" s="173">
        <v>369</v>
      </c>
      <c r="I949" s="2"/>
    </row>
    <row r="950" spans="1:9" ht="19.8" customHeight="1" x14ac:dyDescent="0.3">
      <c r="A950" s="175">
        <v>46006</v>
      </c>
      <c r="B950" s="92" t="s">
        <v>45</v>
      </c>
      <c r="C950" s="93" t="s">
        <v>57</v>
      </c>
      <c r="D950" s="92" t="s">
        <v>1</v>
      </c>
      <c r="E950" s="176">
        <v>1.256944444444444</v>
      </c>
      <c r="F950" s="92" t="s">
        <v>47</v>
      </c>
      <c r="G950" s="94">
        <v>5</v>
      </c>
      <c r="H950" s="173">
        <v>369</v>
      </c>
      <c r="I950" s="2"/>
    </row>
    <row r="951" spans="1:9" ht="19.8" customHeight="1" x14ac:dyDescent="0.3">
      <c r="A951" s="175">
        <v>46006</v>
      </c>
      <c r="B951" s="92" t="s">
        <v>45</v>
      </c>
      <c r="C951" s="93" t="s">
        <v>59</v>
      </c>
      <c r="D951" s="92" t="s">
        <v>1</v>
      </c>
      <c r="E951" s="176">
        <v>1.9027777777777779</v>
      </c>
      <c r="F951" s="92" t="s">
        <v>47</v>
      </c>
      <c r="G951" s="94">
        <v>8</v>
      </c>
      <c r="H951" s="173">
        <v>369</v>
      </c>
      <c r="I951" s="2"/>
    </row>
    <row r="952" spans="1:9" ht="19.8" customHeight="1" x14ac:dyDescent="0.3">
      <c r="A952" s="175">
        <v>46006</v>
      </c>
      <c r="B952" s="92" t="s">
        <v>45</v>
      </c>
      <c r="C952" s="93" t="s">
        <v>60</v>
      </c>
      <c r="D952" s="92" t="s">
        <v>1</v>
      </c>
      <c r="E952" s="176">
        <v>1.7986111111111109</v>
      </c>
      <c r="F952" s="92" t="s">
        <v>47</v>
      </c>
      <c r="G952" s="94">
        <v>5</v>
      </c>
      <c r="H952" s="173">
        <v>369</v>
      </c>
      <c r="I952" s="2"/>
    </row>
    <row r="953" spans="1:9" ht="19.8" customHeight="1" x14ac:dyDescent="0.3">
      <c r="A953" s="175">
        <v>46006</v>
      </c>
      <c r="B953" s="92" t="s">
        <v>45</v>
      </c>
      <c r="C953" s="93" t="s">
        <v>46</v>
      </c>
      <c r="D953" s="92" t="s">
        <v>1</v>
      </c>
      <c r="E953" s="176">
        <v>1.395833333333333</v>
      </c>
      <c r="F953" s="92" t="s">
        <v>47</v>
      </c>
      <c r="G953" s="94">
        <v>2</v>
      </c>
      <c r="H953" s="173">
        <v>369</v>
      </c>
      <c r="I953" s="2"/>
    </row>
    <row r="954" spans="1:9" ht="19.8" customHeight="1" x14ac:dyDescent="0.3">
      <c r="A954" s="175">
        <v>46006</v>
      </c>
      <c r="B954" s="92" t="s">
        <v>74</v>
      </c>
      <c r="C954" s="93" t="s">
        <v>78</v>
      </c>
      <c r="D954" s="92" t="s">
        <v>1</v>
      </c>
      <c r="E954" s="176">
        <v>1.666666666666667</v>
      </c>
      <c r="F954" s="92" t="s">
        <v>72</v>
      </c>
      <c r="G954" s="94">
        <v>9</v>
      </c>
      <c r="H954" s="173">
        <v>401</v>
      </c>
      <c r="I954" s="2"/>
    </row>
    <row r="955" spans="1:9" ht="19.8" customHeight="1" x14ac:dyDescent="0.3">
      <c r="A955" s="175">
        <v>46006</v>
      </c>
      <c r="B955" s="92" t="s">
        <v>45</v>
      </c>
      <c r="C955" s="93" t="s">
        <v>58</v>
      </c>
      <c r="D955" s="92" t="s">
        <v>1</v>
      </c>
      <c r="E955" s="176">
        <v>1.46875</v>
      </c>
      <c r="F955" s="92" t="s">
        <v>47</v>
      </c>
      <c r="G955" s="94">
        <v>9</v>
      </c>
      <c r="H955" s="173">
        <v>409</v>
      </c>
      <c r="I955" s="2"/>
    </row>
    <row r="956" spans="1:9" ht="19.8" customHeight="1" x14ac:dyDescent="0.3">
      <c r="A956" s="175">
        <v>46006</v>
      </c>
      <c r="B956" s="92" t="s">
        <v>45</v>
      </c>
      <c r="C956" s="93" t="s">
        <v>62</v>
      </c>
      <c r="D956" s="92" t="s">
        <v>1</v>
      </c>
      <c r="E956" s="176">
        <v>1.5173611111111109</v>
      </c>
      <c r="F956" s="92" t="s">
        <v>47</v>
      </c>
      <c r="G956" s="94">
        <v>3</v>
      </c>
      <c r="H956" s="173">
        <v>409</v>
      </c>
      <c r="I956" s="2"/>
    </row>
    <row r="957" spans="1:9" ht="19.8" customHeight="1" x14ac:dyDescent="0.3">
      <c r="A957" s="175">
        <v>46006</v>
      </c>
      <c r="B957" s="92" t="s">
        <v>45</v>
      </c>
      <c r="C957" s="93" t="s">
        <v>66</v>
      </c>
      <c r="D957" s="92" t="s">
        <v>1</v>
      </c>
      <c r="E957" s="176">
        <v>1.645833333333333</v>
      </c>
      <c r="F957" s="92" t="s">
        <v>47</v>
      </c>
      <c r="G957" s="94">
        <v>6</v>
      </c>
      <c r="H957" s="173">
        <v>409</v>
      </c>
      <c r="I957" s="2"/>
    </row>
    <row r="958" spans="1:9" ht="19.8" customHeight="1" x14ac:dyDescent="0.3">
      <c r="A958" s="177">
        <v>46006</v>
      </c>
      <c r="B958" s="96" t="s">
        <v>87</v>
      </c>
      <c r="C958" s="97" t="s">
        <v>102</v>
      </c>
      <c r="D958" s="96" t="s">
        <v>1</v>
      </c>
      <c r="E958" s="178">
        <v>1.006944444444444</v>
      </c>
      <c r="F958" s="96" t="s">
        <v>89</v>
      </c>
      <c r="G958" s="98">
        <v>9</v>
      </c>
      <c r="H958" s="174">
        <v>436</v>
      </c>
      <c r="I958" s="2"/>
    </row>
    <row r="959" spans="1:9" ht="19.8" customHeight="1" x14ac:dyDescent="0.3">
      <c r="A959" s="177">
        <v>46006</v>
      </c>
      <c r="B959" s="96" t="s">
        <v>87</v>
      </c>
      <c r="C959" s="97" t="s">
        <v>109</v>
      </c>
      <c r="D959" s="96" t="s">
        <v>1</v>
      </c>
      <c r="E959" s="178">
        <v>1.4236111111111109</v>
      </c>
      <c r="F959" s="96" t="s">
        <v>89</v>
      </c>
      <c r="G959" s="98">
        <v>8</v>
      </c>
      <c r="H959" s="174">
        <v>436</v>
      </c>
      <c r="I959" s="2"/>
    </row>
    <row r="960" spans="1:9" ht="19.8" customHeight="1" x14ac:dyDescent="0.3">
      <c r="A960" s="177">
        <v>46006</v>
      </c>
      <c r="B960" s="96" t="s">
        <v>87</v>
      </c>
      <c r="C960" s="97" t="s">
        <v>88</v>
      </c>
      <c r="D960" s="96" t="s">
        <v>1</v>
      </c>
      <c r="E960" s="178">
        <v>1.979166666666667</v>
      </c>
      <c r="F960" s="96" t="s">
        <v>89</v>
      </c>
      <c r="G960" s="98">
        <v>5</v>
      </c>
      <c r="H960" s="174">
        <v>436</v>
      </c>
      <c r="I960" s="2"/>
    </row>
    <row r="961" spans="1:9" ht="19.8" customHeight="1" x14ac:dyDescent="0.3">
      <c r="A961" s="175">
        <v>46006</v>
      </c>
      <c r="B961" s="92" t="s">
        <v>26</v>
      </c>
      <c r="C961" s="93" t="s">
        <v>35</v>
      </c>
      <c r="D961" s="92" t="s">
        <v>1</v>
      </c>
      <c r="E961" s="176">
        <v>1.1284722222222221</v>
      </c>
      <c r="F961" s="92" t="s">
        <v>31</v>
      </c>
      <c r="G961" s="94">
        <v>10</v>
      </c>
      <c r="H961" s="173">
        <v>449</v>
      </c>
      <c r="I961" s="2"/>
    </row>
    <row r="962" spans="1:9" ht="19.8" customHeight="1" x14ac:dyDescent="0.3">
      <c r="A962" s="175">
        <v>46006</v>
      </c>
      <c r="B962" s="92" t="s">
        <v>26</v>
      </c>
      <c r="C962" s="93" t="s">
        <v>39</v>
      </c>
      <c r="D962" s="92" t="s">
        <v>1</v>
      </c>
      <c r="E962" s="176">
        <v>1.302083333333333</v>
      </c>
      <c r="F962" s="92" t="s">
        <v>31</v>
      </c>
      <c r="G962" s="94">
        <v>5</v>
      </c>
      <c r="H962" s="173">
        <v>449</v>
      </c>
      <c r="I962" s="2"/>
    </row>
    <row r="963" spans="1:9" ht="19.8" customHeight="1" x14ac:dyDescent="0.3">
      <c r="A963" s="175">
        <v>46006</v>
      </c>
      <c r="B963" s="92" t="s">
        <v>26</v>
      </c>
      <c r="C963" s="93" t="s">
        <v>27</v>
      </c>
      <c r="D963" s="92" t="s">
        <v>1</v>
      </c>
      <c r="E963" s="176">
        <v>1.8888888888888891</v>
      </c>
      <c r="F963" s="92" t="s">
        <v>28</v>
      </c>
      <c r="G963" s="94">
        <v>10</v>
      </c>
      <c r="H963" s="173">
        <v>459</v>
      </c>
      <c r="I963" s="2"/>
    </row>
    <row r="964" spans="1:9" ht="19.8" customHeight="1" x14ac:dyDescent="0.3">
      <c r="A964" s="175">
        <v>46006</v>
      </c>
      <c r="B964" s="92" t="s">
        <v>26</v>
      </c>
      <c r="C964" s="93" t="s">
        <v>41</v>
      </c>
      <c r="D964" s="92" t="s">
        <v>1</v>
      </c>
      <c r="E964" s="176">
        <v>1.788194444444444</v>
      </c>
      <c r="F964" s="92" t="s">
        <v>28</v>
      </c>
      <c r="G964" s="94">
        <v>10</v>
      </c>
      <c r="H964" s="173">
        <v>459</v>
      </c>
      <c r="I964" s="2"/>
    </row>
    <row r="965" spans="1:9" ht="19.8" customHeight="1" x14ac:dyDescent="0.3">
      <c r="A965" s="175">
        <v>46006</v>
      </c>
      <c r="B965" s="92" t="s">
        <v>45</v>
      </c>
      <c r="C965" s="93" t="s">
        <v>53</v>
      </c>
      <c r="D965" s="92" t="s">
        <v>1</v>
      </c>
      <c r="E965" s="176">
        <v>1.854166666666667</v>
      </c>
      <c r="F965" s="92" t="s">
        <v>49</v>
      </c>
      <c r="G965" s="94">
        <v>2</v>
      </c>
      <c r="H965" s="173">
        <v>469</v>
      </c>
      <c r="I965" s="2"/>
    </row>
    <row r="966" spans="1:9" ht="19.8" customHeight="1" x14ac:dyDescent="0.3">
      <c r="A966" s="175">
        <v>46006</v>
      </c>
      <c r="B966" s="92" t="s">
        <v>45</v>
      </c>
      <c r="C966" s="93" t="s">
        <v>57</v>
      </c>
      <c r="D966" s="92" t="s">
        <v>1</v>
      </c>
      <c r="E966" s="176">
        <v>1.256944444444444</v>
      </c>
      <c r="F966" s="92" t="s">
        <v>49</v>
      </c>
      <c r="G966" s="94">
        <v>5</v>
      </c>
      <c r="H966" s="173">
        <v>469</v>
      </c>
      <c r="I966" s="2"/>
    </row>
    <row r="967" spans="1:9" ht="19.8" customHeight="1" x14ac:dyDescent="0.3">
      <c r="A967" s="175">
        <v>46006</v>
      </c>
      <c r="B967" s="92" t="s">
        <v>45</v>
      </c>
      <c r="C967" s="93" t="s">
        <v>59</v>
      </c>
      <c r="D967" s="92" t="s">
        <v>1</v>
      </c>
      <c r="E967" s="176">
        <v>1.9027777777777779</v>
      </c>
      <c r="F967" s="92" t="s">
        <v>49</v>
      </c>
      <c r="G967" s="94">
        <v>8</v>
      </c>
      <c r="H967" s="173">
        <v>469</v>
      </c>
      <c r="I967" s="2"/>
    </row>
    <row r="968" spans="1:9" ht="19.8" customHeight="1" x14ac:dyDescent="0.3">
      <c r="A968" s="175">
        <v>46006</v>
      </c>
      <c r="B968" s="92" t="s">
        <v>45</v>
      </c>
      <c r="C968" s="93" t="s">
        <v>60</v>
      </c>
      <c r="D968" s="92" t="s">
        <v>1</v>
      </c>
      <c r="E968" s="176">
        <v>1.7986111111111109</v>
      </c>
      <c r="F968" s="92" t="s">
        <v>49</v>
      </c>
      <c r="G968" s="94">
        <v>5</v>
      </c>
      <c r="H968" s="173">
        <v>469</v>
      </c>
      <c r="I968" s="2"/>
    </row>
    <row r="969" spans="1:9" ht="19.8" customHeight="1" x14ac:dyDescent="0.3">
      <c r="A969" s="175">
        <v>46006</v>
      </c>
      <c r="B969" s="92" t="s">
        <v>45</v>
      </c>
      <c r="C969" s="93" t="s">
        <v>46</v>
      </c>
      <c r="D969" s="92" t="s">
        <v>1</v>
      </c>
      <c r="E969" s="176">
        <v>1.395833333333333</v>
      </c>
      <c r="F969" s="92" t="s">
        <v>49</v>
      </c>
      <c r="G969" s="94">
        <v>2</v>
      </c>
      <c r="H969" s="173">
        <v>469</v>
      </c>
      <c r="I969" s="2"/>
    </row>
    <row r="970" spans="1:9" ht="19.8" customHeight="1" x14ac:dyDescent="0.3">
      <c r="A970" s="177">
        <v>46006</v>
      </c>
      <c r="B970" s="96" t="s">
        <v>87</v>
      </c>
      <c r="C970" s="97" t="s">
        <v>95</v>
      </c>
      <c r="D970" s="96" t="s">
        <v>1</v>
      </c>
      <c r="E970" s="178">
        <v>1.614583333333333</v>
      </c>
      <c r="F970" s="96" t="s">
        <v>89</v>
      </c>
      <c r="G970" s="98">
        <v>9</v>
      </c>
      <c r="H970" s="174">
        <v>471</v>
      </c>
      <c r="I970" s="2"/>
    </row>
    <row r="971" spans="1:9" ht="19.8" customHeight="1" x14ac:dyDescent="0.3">
      <c r="A971" s="175">
        <v>46006</v>
      </c>
      <c r="B971" s="92" t="s">
        <v>79</v>
      </c>
      <c r="C971" s="93" t="s">
        <v>84</v>
      </c>
      <c r="D971" s="92" t="s">
        <v>1</v>
      </c>
      <c r="E971" s="176">
        <v>1.3923611111111109</v>
      </c>
      <c r="F971" s="92" t="s">
        <v>33</v>
      </c>
      <c r="G971" s="94">
        <v>9</v>
      </c>
      <c r="H971" s="173">
        <v>473</v>
      </c>
      <c r="I971" s="2"/>
    </row>
    <row r="972" spans="1:9" ht="19.8" customHeight="1" x14ac:dyDescent="0.3">
      <c r="A972" s="175">
        <v>46006</v>
      </c>
      <c r="B972" s="92" t="s">
        <v>79</v>
      </c>
      <c r="C972" s="93" t="s">
        <v>80</v>
      </c>
      <c r="D972" s="92" t="s">
        <v>1</v>
      </c>
      <c r="E972" s="176">
        <v>1.1736111111111109</v>
      </c>
      <c r="F972" s="92" t="s">
        <v>33</v>
      </c>
      <c r="G972" s="94">
        <v>9</v>
      </c>
      <c r="H972" s="173">
        <v>473</v>
      </c>
      <c r="I972" s="2"/>
    </row>
    <row r="973" spans="1:9" ht="19.8" customHeight="1" x14ac:dyDescent="0.3">
      <c r="A973" s="175">
        <v>46006</v>
      </c>
      <c r="B973" s="92" t="s">
        <v>45</v>
      </c>
      <c r="C973" s="93" t="s">
        <v>58</v>
      </c>
      <c r="D973" s="92" t="s">
        <v>1</v>
      </c>
      <c r="E973" s="176">
        <v>1.46875</v>
      </c>
      <c r="F973" s="92" t="s">
        <v>49</v>
      </c>
      <c r="G973" s="94">
        <v>9</v>
      </c>
      <c r="H973" s="173">
        <v>509</v>
      </c>
      <c r="I973" s="2"/>
    </row>
    <row r="974" spans="1:9" ht="19.8" customHeight="1" x14ac:dyDescent="0.3">
      <c r="A974" s="175">
        <v>46006</v>
      </c>
      <c r="B974" s="92" t="s">
        <v>45</v>
      </c>
      <c r="C974" s="93" t="s">
        <v>62</v>
      </c>
      <c r="D974" s="92" t="s">
        <v>1</v>
      </c>
      <c r="E974" s="176">
        <v>1.5173611111111109</v>
      </c>
      <c r="F974" s="92" t="s">
        <v>49</v>
      </c>
      <c r="G974" s="94">
        <v>3</v>
      </c>
      <c r="H974" s="173">
        <v>509</v>
      </c>
      <c r="I974" s="2"/>
    </row>
    <row r="975" spans="1:9" ht="19.8" customHeight="1" x14ac:dyDescent="0.3">
      <c r="A975" s="175">
        <v>46006</v>
      </c>
      <c r="B975" s="92" t="s">
        <v>45</v>
      </c>
      <c r="C975" s="93" t="s">
        <v>66</v>
      </c>
      <c r="D975" s="92" t="s">
        <v>1</v>
      </c>
      <c r="E975" s="176">
        <v>1.645833333333333</v>
      </c>
      <c r="F975" s="92" t="s">
        <v>49</v>
      </c>
      <c r="G975" s="94">
        <v>6</v>
      </c>
      <c r="H975" s="173">
        <v>509</v>
      </c>
      <c r="I975" s="2"/>
    </row>
    <row r="976" spans="1:9" ht="19.8" customHeight="1" x14ac:dyDescent="0.3">
      <c r="A976" s="175">
        <v>46006</v>
      </c>
      <c r="B976" s="92" t="s">
        <v>45</v>
      </c>
      <c r="C976" s="93" t="s">
        <v>53</v>
      </c>
      <c r="D976" s="92" t="s">
        <v>1</v>
      </c>
      <c r="E976" s="176">
        <v>1.854166666666667</v>
      </c>
      <c r="F976" s="92" t="s">
        <v>51</v>
      </c>
      <c r="G976" s="94">
        <v>2</v>
      </c>
      <c r="H976" s="173">
        <v>559</v>
      </c>
      <c r="I976" s="2"/>
    </row>
    <row r="977" spans="1:9" ht="19.8" customHeight="1" x14ac:dyDescent="0.3">
      <c r="A977" s="175">
        <v>46006</v>
      </c>
      <c r="B977" s="92" t="s">
        <v>45</v>
      </c>
      <c r="C977" s="93" t="s">
        <v>57</v>
      </c>
      <c r="D977" s="92" t="s">
        <v>1</v>
      </c>
      <c r="E977" s="176">
        <v>1.256944444444444</v>
      </c>
      <c r="F977" s="92" t="s">
        <v>51</v>
      </c>
      <c r="G977" s="94">
        <v>5</v>
      </c>
      <c r="H977" s="173">
        <v>559</v>
      </c>
      <c r="I977" s="2"/>
    </row>
    <row r="978" spans="1:9" ht="19.8" customHeight="1" x14ac:dyDescent="0.3">
      <c r="A978" s="175">
        <v>46006</v>
      </c>
      <c r="B978" s="92" t="s">
        <v>45</v>
      </c>
      <c r="C978" s="93" t="s">
        <v>59</v>
      </c>
      <c r="D978" s="92" t="s">
        <v>1</v>
      </c>
      <c r="E978" s="176">
        <v>1.9027777777777779</v>
      </c>
      <c r="F978" s="92" t="s">
        <v>51</v>
      </c>
      <c r="G978" s="94">
        <v>8</v>
      </c>
      <c r="H978" s="173">
        <v>559</v>
      </c>
      <c r="I978" s="2"/>
    </row>
    <row r="979" spans="1:9" ht="19.8" customHeight="1" x14ac:dyDescent="0.3">
      <c r="A979" s="175">
        <v>46006</v>
      </c>
      <c r="B979" s="92" t="s">
        <v>45</v>
      </c>
      <c r="C979" s="93" t="s">
        <v>60</v>
      </c>
      <c r="D979" s="92" t="s">
        <v>1</v>
      </c>
      <c r="E979" s="176">
        <v>1.7986111111111109</v>
      </c>
      <c r="F979" s="92" t="s">
        <v>51</v>
      </c>
      <c r="G979" s="94">
        <v>5</v>
      </c>
      <c r="H979" s="173">
        <v>559</v>
      </c>
      <c r="I979" s="2"/>
    </row>
    <row r="980" spans="1:9" ht="19.8" customHeight="1" x14ac:dyDescent="0.3">
      <c r="A980" s="175">
        <v>46006</v>
      </c>
      <c r="B980" s="92" t="s">
        <v>45</v>
      </c>
      <c r="C980" s="93" t="s">
        <v>46</v>
      </c>
      <c r="D980" s="92" t="s">
        <v>1</v>
      </c>
      <c r="E980" s="176">
        <v>1.395833333333333</v>
      </c>
      <c r="F980" s="92" t="s">
        <v>51</v>
      </c>
      <c r="G980" s="94">
        <v>2</v>
      </c>
      <c r="H980" s="173">
        <v>559</v>
      </c>
      <c r="I980" s="2"/>
    </row>
    <row r="981" spans="1:9" ht="19.8" customHeight="1" x14ac:dyDescent="0.3">
      <c r="A981" s="175">
        <v>46006</v>
      </c>
      <c r="B981" s="92" t="s">
        <v>130</v>
      </c>
      <c r="C981" s="93" t="s">
        <v>136</v>
      </c>
      <c r="D981" s="92" t="s">
        <v>1</v>
      </c>
      <c r="E981" s="176">
        <v>1.3784722222222221</v>
      </c>
      <c r="F981" s="92" t="s">
        <v>132</v>
      </c>
      <c r="G981" s="94">
        <v>9</v>
      </c>
      <c r="H981" s="173">
        <v>574</v>
      </c>
      <c r="I981" s="2"/>
    </row>
    <row r="982" spans="1:9" ht="19.8" customHeight="1" x14ac:dyDescent="0.3">
      <c r="A982" s="175">
        <v>46006</v>
      </c>
      <c r="B982" s="92" t="s">
        <v>70</v>
      </c>
      <c r="C982" s="93" t="s">
        <v>71</v>
      </c>
      <c r="D982" s="92" t="s">
        <v>1</v>
      </c>
      <c r="E982" s="176">
        <v>1.208333333333333</v>
      </c>
      <c r="F982" s="92" t="s">
        <v>72</v>
      </c>
      <c r="G982" s="94">
        <v>2</v>
      </c>
      <c r="H982" s="173">
        <v>595</v>
      </c>
      <c r="I982" s="2"/>
    </row>
    <row r="983" spans="1:9" ht="19.8" customHeight="1" x14ac:dyDescent="0.3">
      <c r="A983" s="175">
        <v>46006</v>
      </c>
      <c r="B983" s="92" t="s">
        <v>45</v>
      </c>
      <c r="C983" s="93" t="s">
        <v>58</v>
      </c>
      <c r="D983" s="92" t="s">
        <v>1</v>
      </c>
      <c r="E983" s="176">
        <v>1.46875</v>
      </c>
      <c r="F983" s="92" t="s">
        <v>51</v>
      </c>
      <c r="G983" s="94">
        <v>9</v>
      </c>
      <c r="H983" s="173">
        <v>599</v>
      </c>
      <c r="I983" s="2"/>
    </row>
    <row r="984" spans="1:9" ht="19.8" customHeight="1" x14ac:dyDescent="0.3">
      <c r="A984" s="175">
        <v>46006</v>
      </c>
      <c r="B984" s="92" t="s">
        <v>45</v>
      </c>
      <c r="C984" s="93" t="s">
        <v>62</v>
      </c>
      <c r="D984" s="92" t="s">
        <v>1</v>
      </c>
      <c r="E984" s="176">
        <v>1.5173611111111109</v>
      </c>
      <c r="F984" s="92" t="s">
        <v>51</v>
      </c>
      <c r="G984" s="94">
        <v>3</v>
      </c>
      <c r="H984" s="173">
        <v>599</v>
      </c>
      <c r="I984" s="2"/>
    </row>
    <row r="985" spans="1:9" ht="19.8" customHeight="1" x14ac:dyDescent="0.3">
      <c r="A985" s="175">
        <v>46006</v>
      </c>
      <c r="B985" s="92" t="s">
        <v>45</v>
      </c>
      <c r="C985" s="93" t="s">
        <v>66</v>
      </c>
      <c r="D985" s="92" t="s">
        <v>1</v>
      </c>
      <c r="E985" s="176">
        <v>1.645833333333333</v>
      </c>
      <c r="F985" s="92" t="s">
        <v>51</v>
      </c>
      <c r="G985" s="94">
        <v>6</v>
      </c>
      <c r="H985" s="173">
        <v>599</v>
      </c>
      <c r="I985" s="2"/>
    </row>
    <row r="986" spans="1:9" ht="19.8" customHeight="1" x14ac:dyDescent="0.3">
      <c r="A986" s="175">
        <v>46006</v>
      </c>
      <c r="B986" s="92" t="s">
        <v>26</v>
      </c>
      <c r="C986" s="93" t="s">
        <v>27</v>
      </c>
      <c r="D986" s="92" t="s">
        <v>1</v>
      </c>
      <c r="E986" s="176">
        <v>1.8888888888888891</v>
      </c>
      <c r="F986" s="92" t="s">
        <v>31</v>
      </c>
      <c r="G986" s="94">
        <v>10</v>
      </c>
      <c r="H986" s="173">
        <v>609</v>
      </c>
      <c r="I986" s="2"/>
    </row>
    <row r="987" spans="1:9" ht="19.8" customHeight="1" x14ac:dyDescent="0.3">
      <c r="A987" s="175">
        <v>46006</v>
      </c>
      <c r="B987" s="92" t="s">
        <v>26</v>
      </c>
      <c r="C987" s="93" t="s">
        <v>41</v>
      </c>
      <c r="D987" s="92" t="s">
        <v>1</v>
      </c>
      <c r="E987" s="176">
        <v>1.788194444444444</v>
      </c>
      <c r="F987" s="92" t="s">
        <v>31</v>
      </c>
      <c r="G987" s="94">
        <v>10</v>
      </c>
      <c r="H987" s="173">
        <v>609</v>
      </c>
      <c r="I987" s="2"/>
    </row>
    <row r="988" spans="1:9" ht="19.8" customHeight="1" x14ac:dyDescent="0.3">
      <c r="A988" s="175">
        <v>46006</v>
      </c>
      <c r="B988" s="92" t="s">
        <v>130</v>
      </c>
      <c r="C988" s="93" t="s">
        <v>136</v>
      </c>
      <c r="D988" s="92" t="s">
        <v>1</v>
      </c>
      <c r="E988" s="176">
        <v>1.3784722222222221</v>
      </c>
      <c r="F988" s="92" t="s">
        <v>134</v>
      </c>
      <c r="G988" s="94">
        <v>9</v>
      </c>
      <c r="H988" s="173">
        <v>619</v>
      </c>
      <c r="I988" s="2"/>
    </row>
    <row r="989" spans="1:9" ht="19.8" customHeight="1" x14ac:dyDescent="0.3">
      <c r="A989" s="175">
        <v>46006</v>
      </c>
      <c r="B989" s="92" t="s">
        <v>130</v>
      </c>
      <c r="C989" s="93" t="s">
        <v>146</v>
      </c>
      <c r="D989" s="92" t="s">
        <v>1</v>
      </c>
      <c r="E989" s="176">
        <v>1.1423611111111109</v>
      </c>
      <c r="F989" s="92" t="s">
        <v>132</v>
      </c>
      <c r="G989" s="94">
        <v>9</v>
      </c>
      <c r="H989" s="173">
        <v>678</v>
      </c>
      <c r="I989" s="2"/>
    </row>
    <row r="990" spans="1:9" ht="19.8" customHeight="1" x14ac:dyDescent="0.3">
      <c r="A990" s="175">
        <v>46006</v>
      </c>
      <c r="B990" s="92" t="s">
        <v>130</v>
      </c>
      <c r="C990" s="93" t="s">
        <v>137</v>
      </c>
      <c r="D990" s="92" t="s">
        <v>1</v>
      </c>
      <c r="E990" s="176">
        <v>1.6111111111111109</v>
      </c>
      <c r="F990" s="92" t="s">
        <v>132</v>
      </c>
      <c r="G990" s="94">
        <v>9</v>
      </c>
      <c r="H990" s="173">
        <v>678</v>
      </c>
      <c r="I990" s="2"/>
    </row>
    <row r="991" spans="1:9" ht="19.8" customHeight="1" x14ac:dyDescent="0.3">
      <c r="A991" s="175">
        <v>46006</v>
      </c>
      <c r="B991" s="92" t="s">
        <v>130</v>
      </c>
      <c r="C991" s="93" t="s">
        <v>138</v>
      </c>
      <c r="D991" s="92" t="s">
        <v>1</v>
      </c>
      <c r="E991" s="176">
        <v>1.239583333333333</v>
      </c>
      <c r="F991" s="92" t="s">
        <v>132</v>
      </c>
      <c r="G991" s="94">
        <v>9</v>
      </c>
      <c r="H991" s="173">
        <v>678</v>
      </c>
      <c r="I991" s="2"/>
    </row>
    <row r="992" spans="1:9" ht="19.8" customHeight="1" x14ac:dyDescent="0.3">
      <c r="A992" s="175">
        <v>46006</v>
      </c>
      <c r="B992" s="92" t="s">
        <v>115</v>
      </c>
      <c r="C992" s="93" t="s">
        <v>120</v>
      </c>
      <c r="D992" s="92" t="s">
        <v>1</v>
      </c>
      <c r="E992" s="176">
        <v>1.2777777777777779</v>
      </c>
      <c r="F992" s="92" t="s">
        <v>124</v>
      </c>
      <c r="G992" s="94">
        <v>9</v>
      </c>
      <c r="H992" s="173">
        <v>712</v>
      </c>
      <c r="I992" s="2"/>
    </row>
    <row r="993" spans="1:9" ht="19.8" customHeight="1" x14ac:dyDescent="0.3">
      <c r="A993" s="175">
        <v>46006</v>
      </c>
      <c r="B993" s="92" t="s">
        <v>115</v>
      </c>
      <c r="C993" s="93" t="s">
        <v>121</v>
      </c>
      <c r="D993" s="92" t="s">
        <v>1</v>
      </c>
      <c r="E993" s="176">
        <v>1.4861111111111109</v>
      </c>
      <c r="F993" s="92" t="s">
        <v>124</v>
      </c>
      <c r="G993" s="94">
        <v>9</v>
      </c>
      <c r="H993" s="173">
        <v>712</v>
      </c>
      <c r="I993" s="2"/>
    </row>
    <row r="994" spans="1:9" ht="19.8" customHeight="1" x14ac:dyDescent="0.3">
      <c r="A994" s="175">
        <v>46006</v>
      </c>
      <c r="B994" s="92" t="s">
        <v>130</v>
      </c>
      <c r="C994" s="93" t="s">
        <v>146</v>
      </c>
      <c r="D994" s="92" t="s">
        <v>1</v>
      </c>
      <c r="E994" s="176">
        <v>1.1423611111111109</v>
      </c>
      <c r="F994" s="92" t="s">
        <v>134</v>
      </c>
      <c r="G994" s="94">
        <v>9</v>
      </c>
      <c r="H994" s="173">
        <v>723</v>
      </c>
      <c r="I994" s="2"/>
    </row>
    <row r="995" spans="1:9" ht="19.8" customHeight="1" x14ac:dyDescent="0.3">
      <c r="A995" s="175">
        <v>46006</v>
      </c>
      <c r="B995" s="92" t="s">
        <v>130</v>
      </c>
      <c r="C995" s="93" t="s">
        <v>137</v>
      </c>
      <c r="D995" s="92" t="s">
        <v>1</v>
      </c>
      <c r="E995" s="176">
        <v>1.6111111111111109</v>
      </c>
      <c r="F995" s="92" t="s">
        <v>134</v>
      </c>
      <c r="G995" s="94">
        <v>9</v>
      </c>
      <c r="H995" s="173">
        <v>723</v>
      </c>
      <c r="I995" s="2"/>
    </row>
    <row r="996" spans="1:9" ht="19.8" customHeight="1" x14ac:dyDescent="0.3">
      <c r="A996" s="175">
        <v>46006</v>
      </c>
      <c r="B996" s="92" t="s">
        <v>130</v>
      </c>
      <c r="C996" s="93" t="s">
        <v>138</v>
      </c>
      <c r="D996" s="92" t="s">
        <v>1</v>
      </c>
      <c r="E996" s="176">
        <v>1.239583333333333</v>
      </c>
      <c r="F996" s="92" t="s">
        <v>134</v>
      </c>
      <c r="G996" s="94">
        <v>9</v>
      </c>
      <c r="H996" s="173">
        <v>723</v>
      </c>
      <c r="I996" s="2"/>
    </row>
    <row r="997" spans="1:9" ht="19.8" customHeight="1" x14ac:dyDescent="0.3">
      <c r="A997" s="175">
        <v>46006</v>
      </c>
      <c r="B997" s="92" t="s">
        <v>115</v>
      </c>
      <c r="C997" s="93" t="s">
        <v>122</v>
      </c>
      <c r="D997" s="92" t="s">
        <v>1</v>
      </c>
      <c r="E997" s="176">
        <v>1.5625</v>
      </c>
      <c r="F997" s="92" t="s">
        <v>124</v>
      </c>
      <c r="G997" s="94">
        <v>9</v>
      </c>
      <c r="H997" s="173">
        <v>890</v>
      </c>
      <c r="I997" s="2"/>
    </row>
    <row r="998" spans="1:9" ht="19.8" customHeight="1" x14ac:dyDescent="0.3">
      <c r="A998" s="175">
        <v>46006</v>
      </c>
      <c r="B998" s="92" t="s">
        <v>130</v>
      </c>
      <c r="C998" s="93" t="s">
        <v>143</v>
      </c>
      <c r="D998" s="92" t="s">
        <v>1</v>
      </c>
      <c r="E998" s="176">
        <v>1.006944444444444</v>
      </c>
      <c r="F998" s="92" t="s">
        <v>132</v>
      </c>
      <c r="G998" s="94">
        <v>9</v>
      </c>
      <c r="H998" s="173">
        <v>935</v>
      </c>
      <c r="I998" s="2"/>
    </row>
    <row r="999" spans="1:9" ht="19.8" customHeight="1" x14ac:dyDescent="0.3">
      <c r="A999" s="175">
        <v>46006</v>
      </c>
      <c r="B999" s="92" t="s">
        <v>130</v>
      </c>
      <c r="C999" s="93" t="s">
        <v>147</v>
      </c>
      <c r="D999" s="92" t="s">
        <v>1</v>
      </c>
      <c r="E999" s="176">
        <v>1.71875</v>
      </c>
      <c r="F999" s="92" t="s">
        <v>132</v>
      </c>
      <c r="G999" s="94">
        <v>9</v>
      </c>
      <c r="H999" s="173">
        <v>935</v>
      </c>
      <c r="I999" s="2"/>
    </row>
    <row r="1000" spans="1:9" ht="19.8" customHeight="1" x14ac:dyDescent="0.3">
      <c r="A1000" s="175">
        <v>46006</v>
      </c>
      <c r="B1000" s="92" t="s">
        <v>130</v>
      </c>
      <c r="C1000" s="93" t="s">
        <v>143</v>
      </c>
      <c r="D1000" s="92" t="s">
        <v>1</v>
      </c>
      <c r="E1000" s="176">
        <v>1.006944444444444</v>
      </c>
      <c r="F1000" s="92" t="s">
        <v>134</v>
      </c>
      <c r="G1000" s="94">
        <v>9</v>
      </c>
      <c r="H1000" s="173">
        <v>980</v>
      </c>
      <c r="I1000" s="2"/>
    </row>
    <row r="1001" spans="1:9" ht="19.8" customHeight="1" x14ac:dyDescent="0.3">
      <c r="A1001" s="175">
        <v>46006</v>
      </c>
      <c r="B1001" s="92" t="s">
        <v>130</v>
      </c>
      <c r="C1001" s="93" t="s">
        <v>147</v>
      </c>
      <c r="D1001" s="92" t="s">
        <v>1</v>
      </c>
      <c r="E1001" s="176">
        <v>1.71875</v>
      </c>
      <c r="F1001" s="92" t="s">
        <v>134</v>
      </c>
      <c r="G1001" s="94">
        <v>9</v>
      </c>
      <c r="H1001" s="173">
        <v>980</v>
      </c>
      <c r="I1001" s="2"/>
    </row>
    <row r="1002" spans="1:9" ht="19.8" customHeight="1" x14ac:dyDescent="0.3">
      <c r="A1002" s="175">
        <v>46006</v>
      </c>
      <c r="B1002" s="92" t="s">
        <v>130</v>
      </c>
      <c r="C1002" s="93" t="s">
        <v>142</v>
      </c>
      <c r="D1002" s="92" t="s">
        <v>1</v>
      </c>
      <c r="E1002" s="176">
        <v>1.1284722222222221</v>
      </c>
      <c r="F1002" s="92" t="s">
        <v>134</v>
      </c>
      <c r="G1002" s="94">
        <v>4</v>
      </c>
      <c r="H1002" s="99" t="s">
        <v>250</v>
      </c>
      <c r="I1002" s="2"/>
    </row>
    <row r="1003" spans="1:9" ht="19.8" customHeight="1" x14ac:dyDescent="0.3">
      <c r="A1003" s="175">
        <v>46006</v>
      </c>
      <c r="B1003" s="92" t="s">
        <v>26</v>
      </c>
      <c r="C1003" s="93" t="s">
        <v>35</v>
      </c>
      <c r="D1003" s="92" t="s">
        <v>1</v>
      </c>
      <c r="E1003" s="176">
        <v>1.1284722222222221</v>
      </c>
      <c r="F1003" s="92" t="s">
        <v>33</v>
      </c>
      <c r="G1003" s="94">
        <v>10</v>
      </c>
      <c r="H1003" s="99" t="s">
        <v>34</v>
      </c>
      <c r="I1003" s="2"/>
    </row>
    <row r="1004" spans="1:9" ht="19.8" customHeight="1" x14ac:dyDescent="0.3">
      <c r="A1004" s="175">
        <v>46006</v>
      </c>
      <c r="B1004" s="92" t="s">
        <v>26</v>
      </c>
      <c r="C1004" s="93" t="s">
        <v>39</v>
      </c>
      <c r="D1004" s="92" t="s">
        <v>1</v>
      </c>
      <c r="E1004" s="176">
        <v>1.302083333333333</v>
      </c>
      <c r="F1004" s="92" t="s">
        <v>33</v>
      </c>
      <c r="G1004" s="94">
        <v>5</v>
      </c>
      <c r="H1004" s="99" t="s">
        <v>34</v>
      </c>
      <c r="I1004" s="2"/>
    </row>
    <row r="1005" spans="1:9" ht="19.8" customHeight="1" x14ac:dyDescent="0.3">
      <c r="A1005" s="175">
        <v>46006</v>
      </c>
      <c r="B1005" s="92" t="s">
        <v>26</v>
      </c>
      <c r="C1005" s="93" t="s">
        <v>27</v>
      </c>
      <c r="D1005" s="92" t="s">
        <v>1</v>
      </c>
      <c r="E1005" s="176">
        <v>1.8888888888888891</v>
      </c>
      <c r="F1005" s="92" t="s">
        <v>33</v>
      </c>
      <c r="G1005" s="94">
        <v>10</v>
      </c>
      <c r="H1005" s="99" t="s">
        <v>34</v>
      </c>
      <c r="I1005" s="2"/>
    </row>
    <row r="1006" spans="1:9" ht="19.8" customHeight="1" x14ac:dyDescent="0.3">
      <c r="A1006" s="175">
        <v>46006</v>
      </c>
      <c r="B1006" s="92" t="s">
        <v>26</v>
      </c>
      <c r="C1006" s="93" t="s">
        <v>41</v>
      </c>
      <c r="D1006" s="92" t="s">
        <v>1</v>
      </c>
      <c r="E1006" s="176">
        <v>1.788194444444444</v>
      </c>
      <c r="F1006" s="92" t="s">
        <v>33</v>
      </c>
      <c r="G1006" s="94">
        <v>10</v>
      </c>
      <c r="H1006" s="99" t="s">
        <v>34</v>
      </c>
      <c r="I1006" s="2"/>
    </row>
    <row r="1007" spans="1:9" ht="19.8" customHeight="1" x14ac:dyDescent="0.3">
      <c r="A1007" s="175">
        <v>46006</v>
      </c>
      <c r="B1007" s="92" t="s">
        <v>130</v>
      </c>
      <c r="C1007" s="93" t="s">
        <v>141</v>
      </c>
      <c r="D1007" s="92" t="s">
        <v>1</v>
      </c>
      <c r="E1007" s="176">
        <v>1.302083333333333</v>
      </c>
      <c r="F1007" s="92" t="s">
        <v>134</v>
      </c>
      <c r="G1007" s="94">
        <v>4</v>
      </c>
      <c r="H1007" s="99" t="s">
        <v>218</v>
      </c>
      <c r="I1007" s="2"/>
    </row>
    <row r="1008" spans="1:9" ht="19.8" customHeight="1" x14ac:dyDescent="0.3">
      <c r="A1008" s="175">
        <v>46006</v>
      </c>
      <c r="B1008" s="92" t="s">
        <v>115</v>
      </c>
      <c r="C1008" s="93" t="s">
        <v>116</v>
      </c>
      <c r="D1008" s="92" t="s">
        <v>1</v>
      </c>
      <c r="E1008" s="176">
        <v>1.2326388888888891</v>
      </c>
      <c r="F1008" s="92" t="s">
        <v>124</v>
      </c>
      <c r="G1008" s="94">
        <v>9</v>
      </c>
      <c r="H1008" s="99" t="s">
        <v>310</v>
      </c>
      <c r="I1008" s="2"/>
    </row>
    <row r="1009" spans="1:9" ht="19.8" customHeight="1" x14ac:dyDescent="0.3">
      <c r="A1009" s="175">
        <v>46006</v>
      </c>
      <c r="B1009" s="92" t="s">
        <v>130</v>
      </c>
      <c r="C1009" s="93" t="s">
        <v>131</v>
      </c>
      <c r="D1009" s="92" t="s">
        <v>1</v>
      </c>
      <c r="E1009" s="176">
        <v>1.930555555555556</v>
      </c>
      <c r="F1009" s="92" t="s">
        <v>132</v>
      </c>
      <c r="G1009" s="94">
        <v>9</v>
      </c>
      <c r="H1009" s="99" t="s">
        <v>144</v>
      </c>
      <c r="I1009" s="2"/>
    </row>
    <row r="1010" spans="1:9" ht="19.8" customHeight="1" x14ac:dyDescent="0.3">
      <c r="A1010" s="175">
        <v>46006</v>
      </c>
      <c r="B1010" s="92" t="s">
        <v>130</v>
      </c>
      <c r="C1010" s="93" t="s">
        <v>148</v>
      </c>
      <c r="D1010" s="92" t="s">
        <v>1</v>
      </c>
      <c r="E1010" s="176">
        <v>1.8298611111111109</v>
      </c>
      <c r="F1010" s="92" t="s">
        <v>132</v>
      </c>
      <c r="G1010" s="94">
        <v>9</v>
      </c>
      <c r="H1010" s="99" t="s">
        <v>144</v>
      </c>
      <c r="I1010" s="2"/>
    </row>
    <row r="1011" spans="1:9" ht="19.8" customHeight="1" x14ac:dyDescent="0.3">
      <c r="A1011" s="175">
        <v>46006</v>
      </c>
      <c r="B1011" s="92" t="s">
        <v>130</v>
      </c>
      <c r="C1011" s="93" t="s">
        <v>131</v>
      </c>
      <c r="D1011" s="92" t="s">
        <v>1</v>
      </c>
      <c r="E1011" s="176">
        <v>1.930555555555556</v>
      </c>
      <c r="F1011" s="92" t="s">
        <v>134</v>
      </c>
      <c r="G1011" s="94">
        <v>9</v>
      </c>
      <c r="H1011" s="99" t="s">
        <v>145</v>
      </c>
      <c r="I1011" s="2"/>
    </row>
    <row r="1012" spans="1:9" ht="19.8" customHeight="1" x14ac:dyDescent="0.3">
      <c r="A1012" s="175">
        <v>46006</v>
      </c>
      <c r="B1012" s="92" t="s">
        <v>130</v>
      </c>
      <c r="C1012" s="93" t="s">
        <v>148</v>
      </c>
      <c r="D1012" s="92" t="s">
        <v>1</v>
      </c>
      <c r="E1012" s="176">
        <v>1.8298611111111109</v>
      </c>
      <c r="F1012" s="92" t="s">
        <v>134</v>
      </c>
      <c r="G1012" s="94">
        <v>9</v>
      </c>
      <c r="H1012" s="99" t="s">
        <v>145</v>
      </c>
      <c r="I1012" s="2"/>
    </row>
    <row r="1013" spans="1:9" ht="19.8" customHeight="1" x14ac:dyDescent="0.3">
      <c r="A1013" s="175">
        <v>46006</v>
      </c>
      <c r="B1013" s="92" t="s">
        <v>130</v>
      </c>
      <c r="C1013" s="93" t="s">
        <v>139</v>
      </c>
      <c r="D1013" s="92" t="s">
        <v>1</v>
      </c>
      <c r="E1013" s="176">
        <v>1.8888888888888891</v>
      </c>
      <c r="F1013" s="92" t="s">
        <v>134</v>
      </c>
      <c r="G1013" s="94">
        <v>4</v>
      </c>
      <c r="H1013" s="99" t="s">
        <v>179</v>
      </c>
      <c r="I1013" s="2"/>
    </row>
    <row r="1014" spans="1:9" ht="19.8" customHeight="1" x14ac:dyDescent="0.3">
      <c r="A1014" s="175">
        <v>46006</v>
      </c>
      <c r="B1014" s="92" t="s">
        <v>130</v>
      </c>
      <c r="C1014" s="93" t="s">
        <v>149</v>
      </c>
      <c r="D1014" s="92" t="s">
        <v>1</v>
      </c>
      <c r="E1014" s="176">
        <v>1.788194444444444</v>
      </c>
      <c r="F1014" s="92" t="s">
        <v>134</v>
      </c>
      <c r="G1014" s="94">
        <v>4</v>
      </c>
      <c r="H1014" s="99" t="s">
        <v>179</v>
      </c>
      <c r="I1014" s="2"/>
    </row>
    <row r="1015" spans="1:9" ht="19.8" customHeight="1" x14ac:dyDescent="0.3">
      <c r="A1015" s="175">
        <v>46006</v>
      </c>
      <c r="B1015" s="92" t="s">
        <v>115</v>
      </c>
      <c r="C1015" s="93" t="s">
        <v>128</v>
      </c>
      <c r="D1015" s="92" t="s">
        <v>1</v>
      </c>
      <c r="E1015" s="176">
        <v>1.0138888888888891</v>
      </c>
      <c r="F1015" s="92" t="s">
        <v>124</v>
      </c>
      <c r="G1015" s="94">
        <v>9</v>
      </c>
      <c r="H1015" s="99" t="s">
        <v>324</v>
      </c>
      <c r="I1015" s="2"/>
    </row>
    <row r="1016" spans="1:9" ht="19.8" customHeight="1" x14ac:dyDescent="0.3">
      <c r="A1016" s="175">
        <v>46006</v>
      </c>
      <c r="B1016" s="92" t="s">
        <v>115</v>
      </c>
      <c r="C1016" s="93" t="s">
        <v>126</v>
      </c>
      <c r="D1016" s="92" t="s">
        <v>1</v>
      </c>
      <c r="E1016" s="176">
        <v>1.774305555555556</v>
      </c>
      <c r="F1016" s="92" t="s">
        <v>124</v>
      </c>
      <c r="G1016" s="94">
        <v>9</v>
      </c>
      <c r="H1016" s="99" t="s">
        <v>350</v>
      </c>
      <c r="I1016" s="2"/>
    </row>
    <row r="1017" spans="1:9" ht="19.8" customHeight="1" x14ac:dyDescent="0.3">
      <c r="A1017" s="175">
        <v>46006</v>
      </c>
      <c r="B1017" s="92" t="s">
        <v>115</v>
      </c>
      <c r="C1017" s="93" t="s">
        <v>123</v>
      </c>
      <c r="D1017" s="92" t="s">
        <v>1</v>
      </c>
      <c r="E1017" s="176">
        <v>1.958333333333333</v>
      </c>
      <c r="F1017" s="92" t="s">
        <v>124</v>
      </c>
      <c r="G1017" s="94">
        <v>7</v>
      </c>
      <c r="H1017" s="99" t="s">
        <v>291</v>
      </c>
      <c r="I1017" s="2"/>
    </row>
    <row r="1018" spans="1:9" ht="19.8" customHeight="1" x14ac:dyDescent="0.3">
      <c r="A1018" s="179">
        <v>46006</v>
      </c>
      <c r="B1018" s="100" t="s">
        <v>115</v>
      </c>
      <c r="C1018" s="101" t="s">
        <v>119</v>
      </c>
      <c r="D1018" s="100" t="s">
        <v>1</v>
      </c>
      <c r="E1018" s="180">
        <v>1.145833333333333</v>
      </c>
      <c r="F1018" s="100" t="s">
        <v>124</v>
      </c>
      <c r="G1018" s="102">
        <v>7</v>
      </c>
      <c r="H1018" s="103" t="s">
        <v>291</v>
      </c>
      <c r="I1018" s="2"/>
    </row>
    <row r="1019" spans="1:9" ht="19.8" customHeight="1" x14ac:dyDescent="0.3">
      <c r="A1019" s="175">
        <v>46007</v>
      </c>
      <c r="B1019" s="92" t="s">
        <v>26</v>
      </c>
      <c r="C1019" s="93" t="s">
        <v>27</v>
      </c>
      <c r="D1019" s="92" t="s">
        <v>1</v>
      </c>
      <c r="E1019" s="176">
        <v>1.8888888888888891</v>
      </c>
      <c r="F1019" s="92" t="s">
        <v>153</v>
      </c>
      <c r="G1019" s="94">
        <v>1</v>
      </c>
      <c r="H1019" s="173">
        <v>299</v>
      </c>
      <c r="I1019" s="2"/>
    </row>
    <row r="1020" spans="1:9" ht="19.8" customHeight="1" x14ac:dyDescent="0.3">
      <c r="A1020" s="175">
        <v>46007</v>
      </c>
      <c r="B1020" s="92" t="s">
        <v>26</v>
      </c>
      <c r="C1020" s="93" t="s">
        <v>35</v>
      </c>
      <c r="D1020" s="92" t="s">
        <v>1</v>
      </c>
      <c r="E1020" s="176">
        <v>1.1284722222222221</v>
      </c>
      <c r="F1020" s="92" t="s">
        <v>153</v>
      </c>
      <c r="G1020" s="94">
        <v>16</v>
      </c>
      <c r="H1020" s="173">
        <v>329</v>
      </c>
      <c r="I1020" s="2"/>
    </row>
    <row r="1021" spans="1:9" ht="19.8" customHeight="1" x14ac:dyDescent="0.3">
      <c r="A1021" s="175">
        <v>46007</v>
      </c>
      <c r="B1021" s="92" t="s">
        <v>45</v>
      </c>
      <c r="C1021" s="93" t="s">
        <v>57</v>
      </c>
      <c r="D1021" s="92" t="s">
        <v>1</v>
      </c>
      <c r="E1021" s="176">
        <v>1.256944444444444</v>
      </c>
      <c r="F1021" s="92" t="s">
        <v>154</v>
      </c>
      <c r="G1021" s="94">
        <v>1</v>
      </c>
      <c r="H1021" s="173">
        <v>329</v>
      </c>
      <c r="I1021" s="2"/>
    </row>
    <row r="1022" spans="1:9" ht="19.8" customHeight="1" x14ac:dyDescent="0.3">
      <c r="A1022" s="175">
        <v>46007</v>
      </c>
      <c r="B1022" s="92" t="s">
        <v>45</v>
      </c>
      <c r="C1022" s="93" t="s">
        <v>58</v>
      </c>
      <c r="D1022" s="92" t="s">
        <v>1</v>
      </c>
      <c r="E1022" s="176">
        <v>1.302083333333333</v>
      </c>
      <c r="F1022" s="92" t="s">
        <v>154</v>
      </c>
      <c r="G1022" s="94">
        <v>8</v>
      </c>
      <c r="H1022" s="173">
        <v>329</v>
      </c>
      <c r="I1022" s="2"/>
    </row>
    <row r="1023" spans="1:9" ht="19.8" customHeight="1" x14ac:dyDescent="0.3">
      <c r="A1023" s="175">
        <v>46007</v>
      </c>
      <c r="B1023" s="92" t="s">
        <v>79</v>
      </c>
      <c r="C1023" s="93" t="s">
        <v>80</v>
      </c>
      <c r="D1023" s="92" t="s">
        <v>1</v>
      </c>
      <c r="E1023" s="176">
        <v>1.2222222222222221</v>
      </c>
      <c r="F1023" s="92" t="s">
        <v>156</v>
      </c>
      <c r="G1023" s="94">
        <v>9</v>
      </c>
      <c r="H1023" s="173">
        <v>350</v>
      </c>
      <c r="I1023" s="2"/>
    </row>
    <row r="1024" spans="1:9" ht="19.8" customHeight="1" x14ac:dyDescent="0.3">
      <c r="A1024" s="175">
        <v>46007</v>
      </c>
      <c r="B1024" s="92" t="s">
        <v>26</v>
      </c>
      <c r="C1024" s="93" t="s">
        <v>39</v>
      </c>
      <c r="D1024" s="92" t="s">
        <v>1</v>
      </c>
      <c r="E1024" s="176">
        <v>1.302083333333333</v>
      </c>
      <c r="F1024" s="92" t="s">
        <v>153</v>
      </c>
      <c r="G1024" s="94">
        <v>10</v>
      </c>
      <c r="H1024" s="173">
        <v>359</v>
      </c>
      <c r="I1024" s="2"/>
    </row>
    <row r="1025" spans="1:9" ht="19.8" customHeight="1" x14ac:dyDescent="0.3">
      <c r="A1025" s="175">
        <v>46007</v>
      </c>
      <c r="B1025" s="92" t="s">
        <v>26</v>
      </c>
      <c r="C1025" s="93" t="s">
        <v>41</v>
      </c>
      <c r="D1025" s="92" t="s">
        <v>1</v>
      </c>
      <c r="E1025" s="176">
        <v>1.788194444444444</v>
      </c>
      <c r="F1025" s="92" t="s">
        <v>153</v>
      </c>
      <c r="G1025" s="94">
        <v>3</v>
      </c>
      <c r="H1025" s="173">
        <v>359</v>
      </c>
      <c r="I1025" s="2"/>
    </row>
    <row r="1026" spans="1:9" ht="19.8" customHeight="1" x14ac:dyDescent="0.3">
      <c r="A1026" s="175">
        <v>46007</v>
      </c>
      <c r="B1026" s="92" t="s">
        <v>45</v>
      </c>
      <c r="C1026" s="93" t="s">
        <v>53</v>
      </c>
      <c r="D1026" s="92" t="s">
        <v>1</v>
      </c>
      <c r="E1026" s="176">
        <v>1.854166666666667</v>
      </c>
      <c r="F1026" s="92" t="s">
        <v>154</v>
      </c>
      <c r="G1026" s="94">
        <v>5</v>
      </c>
      <c r="H1026" s="173">
        <v>369</v>
      </c>
      <c r="I1026" s="2"/>
    </row>
    <row r="1027" spans="1:9" ht="19.8" customHeight="1" x14ac:dyDescent="0.3">
      <c r="A1027" s="175">
        <v>46007</v>
      </c>
      <c r="B1027" s="92" t="s">
        <v>45</v>
      </c>
      <c r="C1027" s="93" t="s">
        <v>62</v>
      </c>
      <c r="D1027" s="92" t="s">
        <v>1</v>
      </c>
      <c r="E1027" s="176">
        <v>1.5173611111111109</v>
      </c>
      <c r="F1027" s="92" t="s">
        <v>154</v>
      </c>
      <c r="G1027" s="94">
        <v>9</v>
      </c>
      <c r="H1027" s="173">
        <v>369</v>
      </c>
      <c r="I1027" s="2"/>
    </row>
    <row r="1028" spans="1:9" ht="19.8" customHeight="1" x14ac:dyDescent="0.3">
      <c r="A1028" s="175">
        <v>46007</v>
      </c>
      <c r="B1028" s="92" t="s">
        <v>45</v>
      </c>
      <c r="C1028" s="93" t="s">
        <v>60</v>
      </c>
      <c r="D1028" s="92" t="s">
        <v>1</v>
      </c>
      <c r="E1028" s="176">
        <v>1.7986111111111109</v>
      </c>
      <c r="F1028" s="92" t="s">
        <v>154</v>
      </c>
      <c r="G1028" s="94">
        <v>3</v>
      </c>
      <c r="H1028" s="173">
        <v>369</v>
      </c>
      <c r="I1028" s="2"/>
    </row>
    <row r="1029" spans="1:9" ht="19.8" customHeight="1" x14ac:dyDescent="0.3">
      <c r="A1029" s="175">
        <v>46007</v>
      </c>
      <c r="B1029" s="92" t="s">
        <v>45</v>
      </c>
      <c r="C1029" s="93" t="s">
        <v>46</v>
      </c>
      <c r="D1029" s="92" t="s">
        <v>1</v>
      </c>
      <c r="E1029" s="176">
        <v>1.395833333333333</v>
      </c>
      <c r="F1029" s="92" t="s">
        <v>154</v>
      </c>
      <c r="G1029" s="94">
        <v>9</v>
      </c>
      <c r="H1029" s="173">
        <v>369</v>
      </c>
      <c r="I1029" s="2"/>
    </row>
    <row r="1030" spans="1:9" ht="19.8" customHeight="1" x14ac:dyDescent="0.3">
      <c r="A1030" s="175">
        <v>46007</v>
      </c>
      <c r="B1030" s="92" t="s">
        <v>45</v>
      </c>
      <c r="C1030" s="93" t="s">
        <v>66</v>
      </c>
      <c r="D1030" s="92" t="s">
        <v>1</v>
      </c>
      <c r="E1030" s="176">
        <v>1.645833333333333</v>
      </c>
      <c r="F1030" s="92" t="s">
        <v>154</v>
      </c>
      <c r="G1030" s="94">
        <v>4</v>
      </c>
      <c r="H1030" s="173">
        <v>369</v>
      </c>
      <c r="I1030" s="2"/>
    </row>
    <row r="1031" spans="1:9" ht="19.8" customHeight="1" x14ac:dyDescent="0.3">
      <c r="A1031" s="175">
        <v>46007</v>
      </c>
      <c r="B1031" s="92" t="s">
        <v>70</v>
      </c>
      <c r="C1031" s="93" t="s">
        <v>71</v>
      </c>
      <c r="D1031" s="92" t="s">
        <v>1</v>
      </c>
      <c r="E1031" s="176">
        <v>1.739583333333333</v>
      </c>
      <c r="F1031" s="92" t="s">
        <v>72</v>
      </c>
      <c r="G1031" s="94">
        <v>2</v>
      </c>
      <c r="H1031" s="173">
        <v>400</v>
      </c>
      <c r="I1031" s="2"/>
    </row>
    <row r="1032" spans="1:9" ht="19.8" customHeight="1" x14ac:dyDescent="0.3">
      <c r="A1032" s="177">
        <v>46007</v>
      </c>
      <c r="B1032" s="96" t="s">
        <v>87</v>
      </c>
      <c r="C1032" s="97" t="s">
        <v>102</v>
      </c>
      <c r="D1032" s="96" t="s">
        <v>1</v>
      </c>
      <c r="E1032" s="178">
        <v>1.5590277777777779</v>
      </c>
      <c r="F1032" s="96" t="s">
        <v>89</v>
      </c>
      <c r="G1032" s="98">
        <v>9</v>
      </c>
      <c r="H1032" s="174">
        <v>401</v>
      </c>
      <c r="I1032" s="2"/>
    </row>
    <row r="1033" spans="1:9" ht="19.8" customHeight="1" x14ac:dyDescent="0.3">
      <c r="A1033" s="177">
        <v>46007</v>
      </c>
      <c r="B1033" s="96" t="s">
        <v>87</v>
      </c>
      <c r="C1033" s="97" t="s">
        <v>95</v>
      </c>
      <c r="D1033" s="96" t="s">
        <v>1</v>
      </c>
      <c r="E1033" s="178">
        <v>1.614583333333333</v>
      </c>
      <c r="F1033" s="96" t="s">
        <v>89</v>
      </c>
      <c r="G1033" s="98">
        <v>3</v>
      </c>
      <c r="H1033" s="174">
        <v>401</v>
      </c>
      <c r="I1033" s="2"/>
    </row>
    <row r="1034" spans="1:9" ht="19.8" customHeight="1" x14ac:dyDescent="0.3">
      <c r="A1034" s="177">
        <v>46007</v>
      </c>
      <c r="B1034" s="96" t="s">
        <v>87</v>
      </c>
      <c r="C1034" s="97" t="s">
        <v>109</v>
      </c>
      <c r="D1034" s="96" t="s">
        <v>1</v>
      </c>
      <c r="E1034" s="178">
        <v>1.96875</v>
      </c>
      <c r="F1034" s="96" t="s">
        <v>89</v>
      </c>
      <c r="G1034" s="98">
        <v>9</v>
      </c>
      <c r="H1034" s="174">
        <v>401</v>
      </c>
      <c r="I1034" s="2"/>
    </row>
    <row r="1035" spans="1:9" ht="19.8" customHeight="1" x14ac:dyDescent="0.3">
      <c r="A1035" s="177">
        <v>46007</v>
      </c>
      <c r="B1035" s="96" t="s">
        <v>87</v>
      </c>
      <c r="C1035" s="97" t="s">
        <v>165</v>
      </c>
      <c r="D1035" s="96" t="s">
        <v>1</v>
      </c>
      <c r="E1035" s="178">
        <v>1.229166666666667</v>
      </c>
      <c r="F1035" s="96" t="s">
        <v>89</v>
      </c>
      <c r="G1035" s="98">
        <v>9</v>
      </c>
      <c r="H1035" s="174">
        <v>401</v>
      </c>
      <c r="I1035" s="2"/>
    </row>
    <row r="1036" spans="1:9" ht="19.8" customHeight="1" x14ac:dyDescent="0.3">
      <c r="A1036" s="177">
        <v>46007</v>
      </c>
      <c r="B1036" s="96" t="s">
        <v>87</v>
      </c>
      <c r="C1036" s="97" t="s">
        <v>169</v>
      </c>
      <c r="D1036" s="96" t="s">
        <v>1</v>
      </c>
      <c r="E1036" s="178">
        <v>1.9340277777777779</v>
      </c>
      <c r="F1036" s="96" t="s">
        <v>89</v>
      </c>
      <c r="G1036" s="98">
        <v>8</v>
      </c>
      <c r="H1036" s="174">
        <v>401</v>
      </c>
      <c r="I1036" s="2"/>
    </row>
    <row r="1037" spans="1:9" ht="19.8" customHeight="1" x14ac:dyDescent="0.3">
      <c r="A1037" s="175">
        <v>46007</v>
      </c>
      <c r="B1037" s="92" t="s">
        <v>74</v>
      </c>
      <c r="C1037" s="93" t="s">
        <v>78</v>
      </c>
      <c r="D1037" s="92" t="s">
        <v>1</v>
      </c>
      <c r="E1037" s="176">
        <v>1.666666666666667</v>
      </c>
      <c r="F1037" s="92" t="s">
        <v>72</v>
      </c>
      <c r="G1037" s="94">
        <v>6</v>
      </c>
      <c r="H1037" s="173">
        <v>401</v>
      </c>
      <c r="I1037" s="2"/>
    </row>
    <row r="1038" spans="1:9" ht="19.8" customHeight="1" x14ac:dyDescent="0.3">
      <c r="A1038" s="177">
        <v>46007</v>
      </c>
      <c r="B1038" s="96" t="s">
        <v>87</v>
      </c>
      <c r="C1038" s="97" t="s">
        <v>88</v>
      </c>
      <c r="D1038" s="96" t="s">
        <v>1</v>
      </c>
      <c r="E1038" s="178">
        <v>1.729166666666667</v>
      </c>
      <c r="F1038" s="96" t="s">
        <v>89</v>
      </c>
      <c r="G1038" s="98">
        <v>8</v>
      </c>
      <c r="H1038" s="174">
        <v>401</v>
      </c>
      <c r="I1038" s="2"/>
    </row>
    <row r="1039" spans="1:9" ht="19.8" customHeight="1" x14ac:dyDescent="0.3">
      <c r="A1039" s="175">
        <v>46007</v>
      </c>
      <c r="B1039" s="92" t="s">
        <v>45</v>
      </c>
      <c r="C1039" s="93" t="s">
        <v>59</v>
      </c>
      <c r="D1039" s="92" t="s">
        <v>1</v>
      </c>
      <c r="E1039" s="176">
        <v>1.9027777777777779</v>
      </c>
      <c r="F1039" s="92" t="s">
        <v>154</v>
      </c>
      <c r="G1039" s="94">
        <v>9</v>
      </c>
      <c r="H1039" s="173">
        <v>569</v>
      </c>
      <c r="I1039" s="2"/>
    </row>
    <row r="1040" spans="1:9" ht="19.8" customHeight="1" x14ac:dyDescent="0.3">
      <c r="A1040" s="175">
        <v>46007</v>
      </c>
      <c r="B1040" s="92" t="s">
        <v>70</v>
      </c>
      <c r="C1040" s="93" t="s">
        <v>155</v>
      </c>
      <c r="D1040" s="92" t="s">
        <v>1</v>
      </c>
      <c r="E1040" s="176">
        <v>1.274305555555556</v>
      </c>
      <c r="F1040" s="92" t="s">
        <v>72</v>
      </c>
      <c r="G1040" s="94">
        <v>9</v>
      </c>
      <c r="H1040" s="173">
        <v>595</v>
      </c>
      <c r="I1040" s="2"/>
    </row>
    <row r="1041" spans="1:9" ht="19.8" customHeight="1" x14ac:dyDescent="0.3">
      <c r="A1041" s="175">
        <v>46007</v>
      </c>
      <c r="B1041" s="92" t="s">
        <v>130</v>
      </c>
      <c r="C1041" s="93" t="s">
        <v>143</v>
      </c>
      <c r="D1041" s="92" t="s">
        <v>1</v>
      </c>
      <c r="E1041" s="176">
        <v>1.006944444444444</v>
      </c>
      <c r="F1041" s="92" t="s">
        <v>132</v>
      </c>
      <c r="G1041" s="94">
        <v>9</v>
      </c>
      <c r="H1041" s="173">
        <v>678</v>
      </c>
      <c r="I1041" s="2"/>
    </row>
    <row r="1042" spans="1:9" ht="19.8" customHeight="1" x14ac:dyDescent="0.3">
      <c r="A1042" s="175">
        <v>46007</v>
      </c>
      <c r="B1042" s="92" t="s">
        <v>130</v>
      </c>
      <c r="C1042" s="93" t="s">
        <v>146</v>
      </c>
      <c r="D1042" s="92" t="s">
        <v>1</v>
      </c>
      <c r="E1042" s="176">
        <v>1.1423611111111109</v>
      </c>
      <c r="F1042" s="92" t="s">
        <v>132</v>
      </c>
      <c r="G1042" s="94">
        <v>9</v>
      </c>
      <c r="H1042" s="173">
        <v>678</v>
      </c>
      <c r="I1042" s="2"/>
    </row>
    <row r="1043" spans="1:9" ht="19.8" customHeight="1" x14ac:dyDescent="0.3">
      <c r="A1043" s="175">
        <v>46007</v>
      </c>
      <c r="B1043" s="92" t="s">
        <v>130</v>
      </c>
      <c r="C1043" s="93" t="s">
        <v>131</v>
      </c>
      <c r="D1043" s="92" t="s">
        <v>1</v>
      </c>
      <c r="E1043" s="176">
        <v>1.930555555555556</v>
      </c>
      <c r="F1043" s="92" t="s">
        <v>132</v>
      </c>
      <c r="G1043" s="94">
        <v>9</v>
      </c>
      <c r="H1043" s="173">
        <v>678</v>
      </c>
      <c r="I1043" s="2"/>
    </row>
    <row r="1044" spans="1:9" ht="19.8" customHeight="1" x14ac:dyDescent="0.3">
      <c r="A1044" s="175">
        <v>46007</v>
      </c>
      <c r="B1044" s="92" t="s">
        <v>130</v>
      </c>
      <c r="C1044" s="93" t="s">
        <v>148</v>
      </c>
      <c r="D1044" s="92" t="s">
        <v>1</v>
      </c>
      <c r="E1044" s="176">
        <v>1.8298611111111109</v>
      </c>
      <c r="F1044" s="92" t="s">
        <v>132</v>
      </c>
      <c r="G1044" s="94">
        <v>9</v>
      </c>
      <c r="H1044" s="173">
        <v>678</v>
      </c>
      <c r="I1044" s="2"/>
    </row>
    <row r="1045" spans="1:9" ht="19.8" customHeight="1" x14ac:dyDescent="0.3">
      <c r="A1045" s="175">
        <v>46007</v>
      </c>
      <c r="B1045" s="92" t="s">
        <v>130</v>
      </c>
      <c r="C1045" s="93" t="s">
        <v>136</v>
      </c>
      <c r="D1045" s="92" t="s">
        <v>1</v>
      </c>
      <c r="E1045" s="176">
        <v>1.3784722222222221</v>
      </c>
      <c r="F1045" s="92" t="s">
        <v>132</v>
      </c>
      <c r="G1045" s="94">
        <v>9</v>
      </c>
      <c r="H1045" s="173">
        <v>678</v>
      </c>
      <c r="I1045" s="2"/>
    </row>
    <row r="1046" spans="1:9" ht="19.8" customHeight="1" x14ac:dyDescent="0.3">
      <c r="A1046" s="175">
        <v>46007</v>
      </c>
      <c r="B1046" s="92" t="s">
        <v>130</v>
      </c>
      <c r="C1046" s="93" t="s">
        <v>137</v>
      </c>
      <c r="D1046" s="92" t="s">
        <v>1</v>
      </c>
      <c r="E1046" s="176">
        <v>1.6111111111111109</v>
      </c>
      <c r="F1046" s="92" t="s">
        <v>132</v>
      </c>
      <c r="G1046" s="94">
        <v>9</v>
      </c>
      <c r="H1046" s="173">
        <v>678</v>
      </c>
      <c r="I1046" s="2"/>
    </row>
    <row r="1047" spans="1:9" ht="19.8" customHeight="1" x14ac:dyDescent="0.3">
      <c r="A1047" s="175">
        <v>46007</v>
      </c>
      <c r="B1047" s="92" t="s">
        <v>130</v>
      </c>
      <c r="C1047" s="93" t="s">
        <v>138</v>
      </c>
      <c r="D1047" s="92" t="s">
        <v>1</v>
      </c>
      <c r="E1047" s="176">
        <v>1.239583333333333</v>
      </c>
      <c r="F1047" s="92" t="s">
        <v>132</v>
      </c>
      <c r="G1047" s="94">
        <v>9</v>
      </c>
      <c r="H1047" s="173">
        <v>678</v>
      </c>
      <c r="I1047" s="2"/>
    </row>
    <row r="1048" spans="1:9" ht="19.8" customHeight="1" x14ac:dyDescent="0.3">
      <c r="A1048" s="175">
        <v>46007</v>
      </c>
      <c r="B1048" s="92" t="s">
        <v>115</v>
      </c>
      <c r="C1048" s="93" t="s">
        <v>119</v>
      </c>
      <c r="D1048" s="92" t="s">
        <v>1</v>
      </c>
      <c r="E1048" s="176">
        <v>1.145833333333333</v>
      </c>
      <c r="F1048" s="92" t="s">
        <v>124</v>
      </c>
      <c r="G1048" s="94">
        <v>9</v>
      </c>
      <c r="H1048" s="173">
        <v>712</v>
      </c>
      <c r="I1048" s="2"/>
    </row>
    <row r="1049" spans="1:9" ht="19.8" customHeight="1" x14ac:dyDescent="0.3">
      <c r="A1049" s="175">
        <v>46007</v>
      </c>
      <c r="B1049" s="92" t="s">
        <v>115</v>
      </c>
      <c r="C1049" s="93" t="s">
        <v>120</v>
      </c>
      <c r="D1049" s="92" t="s">
        <v>1</v>
      </c>
      <c r="E1049" s="176">
        <v>1.28125</v>
      </c>
      <c r="F1049" s="92" t="s">
        <v>124</v>
      </c>
      <c r="G1049" s="94">
        <v>9</v>
      </c>
      <c r="H1049" s="173">
        <v>712</v>
      </c>
      <c r="I1049" s="2"/>
    </row>
    <row r="1050" spans="1:9" ht="19.8" customHeight="1" x14ac:dyDescent="0.3">
      <c r="A1050" s="175">
        <v>46007</v>
      </c>
      <c r="B1050" s="92" t="s">
        <v>130</v>
      </c>
      <c r="C1050" s="93" t="s">
        <v>143</v>
      </c>
      <c r="D1050" s="92" t="s">
        <v>1</v>
      </c>
      <c r="E1050" s="176">
        <v>1.006944444444444</v>
      </c>
      <c r="F1050" s="92" t="s">
        <v>134</v>
      </c>
      <c r="G1050" s="94">
        <v>9</v>
      </c>
      <c r="H1050" s="173">
        <v>723</v>
      </c>
      <c r="I1050" s="2"/>
    </row>
    <row r="1051" spans="1:9" ht="19.8" customHeight="1" x14ac:dyDescent="0.3">
      <c r="A1051" s="175">
        <v>46007</v>
      </c>
      <c r="B1051" s="92" t="s">
        <v>130</v>
      </c>
      <c r="C1051" s="93" t="s">
        <v>146</v>
      </c>
      <c r="D1051" s="92" t="s">
        <v>1</v>
      </c>
      <c r="E1051" s="176">
        <v>1.1423611111111109</v>
      </c>
      <c r="F1051" s="92" t="s">
        <v>134</v>
      </c>
      <c r="G1051" s="94">
        <v>9</v>
      </c>
      <c r="H1051" s="173">
        <v>723</v>
      </c>
      <c r="I1051" s="2"/>
    </row>
    <row r="1052" spans="1:9" ht="19.8" customHeight="1" x14ac:dyDescent="0.3">
      <c r="A1052" s="175">
        <v>46007</v>
      </c>
      <c r="B1052" s="92" t="s">
        <v>130</v>
      </c>
      <c r="C1052" s="93" t="s">
        <v>131</v>
      </c>
      <c r="D1052" s="92" t="s">
        <v>1</v>
      </c>
      <c r="E1052" s="176">
        <v>1.930555555555556</v>
      </c>
      <c r="F1052" s="92" t="s">
        <v>134</v>
      </c>
      <c r="G1052" s="94">
        <v>9</v>
      </c>
      <c r="H1052" s="173">
        <v>723</v>
      </c>
      <c r="I1052" s="2"/>
    </row>
    <row r="1053" spans="1:9" ht="19.8" customHeight="1" x14ac:dyDescent="0.3">
      <c r="A1053" s="175">
        <v>46007</v>
      </c>
      <c r="B1053" s="92" t="s">
        <v>130</v>
      </c>
      <c r="C1053" s="93" t="s">
        <v>148</v>
      </c>
      <c r="D1053" s="92" t="s">
        <v>1</v>
      </c>
      <c r="E1053" s="176">
        <v>1.8298611111111109</v>
      </c>
      <c r="F1053" s="92" t="s">
        <v>134</v>
      </c>
      <c r="G1053" s="94">
        <v>9</v>
      </c>
      <c r="H1053" s="173">
        <v>723</v>
      </c>
      <c r="I1053" s="2"/>
    </row>
    <row r="1054" spans="1:9" ht="19.8" customHeight="1" x14ac:dyDescent="0.3">
      <c r="A1054" s="175">
        <v>46007</v>
      </c>
      <c r="B1054" s="92" t="s">
        <v>130</v>
      </c>
      <c r="C1054" s="93" t="s">
        <v>136</v>
      </c>
      <c r="D1054" s="92" t="s">
        <v>1</v>
      </c>
      <c r="E1054" s="176">
        <v>1.3784722222222221</v>
      </c>
      <c r="F1054" s="92" t="s">
        <v>134</v>
      </c>
      <c r="G1054" s="94">
        <v>9</v>
      </c>
      <c r="H1054" s="173">
        <v>723</v>
      </c>
      <c r="I1054" s="2"/>
    </row>
    <row r="1055" spans="1:9" ht="19.8" customHeight="1" x14ac:dyDescent="0.3">
      <c r="A1055" s="175">
        <v>46007</v>
      </c>
      <c r="B1055" s="92" t="s">
        <v>130</v>
      </c>
      <c r="C1055" s="93" t="s">
        <v>137</v>
      </c>
      <c r="D1055" s="92" t="s">
        <v>1</v>
      </c>
      <c r="E1055" s="176">
        <v>1.6111111111111109</v>
      </c>
      <c r="F1055" s="92" t="s">
        <v>134</v>
      </c>
      <c r="G1055" s="94">
        <v>9</v>
      </c>
      <c r="H1055" s="173">
        <v>723</v>
      </c>
      <c r="I1055" s="2"/>
    </row>
    <row r="1056" spans="1:9" ht="19.8" customHeight="1" x14ac:dyDescent="0.3">
      <c r="A1056" s="175">
        <v>46007</v>
      </c>
      <c r="B1056" s="92" t="s">
        <v>130</v>
      </c>
      <c r="C1056" s="93" t="s">
        <v>138</v>
      </c>
      <c r="D1056" s="92" t="s">
        <v>1</v>
      </c>
      <c r="E1056" s="176">
        <v>1.239583333333333</v>
      </c>
      <c r="F1056" s="92" t="s">
        <v>134</v>
      </c>
      <c r="G1056" s="94">
        <v>9</v>
      </c>
      <c r="H1056" s="173">
        <v>723</v>
      </c>
      <c r="I1056" s="2"/>
    </row>
    <row r="1057" spans="1:9" ht="19.8" customHeight="1" x14ac:dyDescent="0.3">
      <c r="A1057" s="175">
        <v>46007</v>
      </c>
      <c r="B1057" s="92" t="s">
        <v>115</v>
      </c>
      <c r="C1057" s="93" t="s">
        <v>128</v>
      </c>
      <c r="D1057" s="92" t="s">
        <v>1</v>
      </c>
      <c r="E1057" s="176">
        <v>1.0138888888888891</v>
      </c>
      <c r="F1057" s="92" t="s">
        <v>124</v>
      </c>
      <c r="G1057" s="94">
        <v>9</v>
      </c>
      <c r="H1057" s="173">
        <v>890</v>
      </c>
      <c r="I1057" s="2"/>
    </row>
    <row r="1058" spans="1:9" ht="19.8" customHeight="1" x14ac:dyDescent="0.3">
      <c r="A1058" s="175">
        <v>46007</v>
      </c>
      <c r="B1058" s="92" t="s">
        <v>115</v>
      </c>
      <c r="C1058" s="93" t="s">
        <v>121</v>
      </c>
      <c r="D1058" s="92" t="s">
        <v>1</v>
      </c>
      <c r="E1058" s="176">
        <v>1.4861111111111109</v>
      </c>
      <c r="F1058" s="92" t="s">
        <v>124</v>
      </c>
      <c r="G1058" s="94">
        <v>9</v>
      </c>
      <c r="H1058" s="173">
        <v>890</v>
      </c>
      <c r="I1058" s="2"/>
    </row>
    <row r="1059" spans="1:9" ht="19.8" customHeight="1" x14ac:dyDescent="0.3">
      <c r="A1059" s="175">
        <v>46007</v>
      </c>
      <c r="B1059" s="92" t="s">
        <v>130</v>
      </c>
      <c r="C1059" s="93" t="s">
        <v>147</v>
      </c>
      <c r="D1059" s="92" t="s">
        <v>1</v>
      </c>
      <c r="E1059" s="176">
        <v>1.71875</v>
      </c>
      <c r="F1059" s="92" t="s">
        <v>132</v>
      </c>
      <c r="G1059" s="94">
        <v>9</v>
      </c>
      <c r="H1059" s="173">
        <v>935</v>
      </c>
      <c r="I1059" s="2"/>
    </row>
    <row r="1060" spans="1:9" ht="19.8" customHeight="1" x14ac:dyDescent="0.3">
      <c r="A1060" s="175">
        <v>46007</v>
      </c>
      <c r="B1060" s="92" t="s">
        <v>130</v>
      </c>
      <c r="C1060" s="93" t="s">
        <v>147</v>
      </c>
      <c r="D1060" s="92" t="s">
        <v>1</v>
      </c>
      <c r="E1060" s="176">
        <v>1.71875</v>
      </c>
      <c r="F1060" s="92" t="s">
        <v>134</v>
      </c>
      <c r="G1060" s="94">
        <v>9</v>
      </c>
      <c r="H1060" s="173">
        <v>980</v>
      </c>
      <c r="I1060" s="2"/>
    </row>
    <row r="1061" spans="1:9" ht="19.8" customHeight="1" x14ac:dyDescent="0.3">
      <c r="A1061" s="175">
        <v>46007</v>
      </c>
      <c r="B1061" s="92" t="s">
        <v>115</v>
      </c>
      <c r="C1061" s="93" t="s">
        <v>122</v>
      </c>
      <c r="D1061" s="92" t="s">
        <v>1</v>
      </c>
      <c r="E1061" s="176">
        <v>1.5034722222222221</v>
      </c>
      <c r="F1061" s="92" t="s">
        <v>124</v>
      </c>
      <c r="G1061" s="94">
        <v>9</v>
      </c>
      <c r="H1061" s="173">
        <v>993</v>
      </c>
      <c r="I1061" s="2"/>
    </row>
    <row r="1062" spans="1:9" ht="19.8" customHeight="1" x14ac:dyDescent="0.3">
      <c r="A1062" s="175">
        <v>46007</v>
      </c>
      <c r="B1062" s="92" t="s">
        <v>130</v>
      </c>
      <c r="C1062" s="93" t="s">
        <v>139</v>
      </c>
      <c r="D1062" s="92" t="s">
        <v>1</v>
      </c>
      <c r="E1062" s="176">
        <v>1.8888888888888891</v>
      </c>
      <c r="F1062" s="92" t="s">
        <v>134</v>
      </c>
      <c r="G1062" s="94">
        <v>4</v>
      </c>
      <c r="H1062" s="99" t="s">
        <v>218</v>
      </c>
      <c r="I1062" s="2"/>
    </row>
    <row r="1063" spans="1:9" ht="19.8" customHeight="1" x14ac:dyDescent="0.3">
      <c r="A1063" s="175">
        <v>46007</v>
      </c>
      <c r="B1063" s="92" t="s">
        <v>130</v>
      </c>
      <c r="C1063" s="93" t="s">
        <v>142</v>
      </c>
      <c r="D1063" s="92" t="s">
        <v>1</v>
      </c>
      <c r="E1063" s="176">
        <v>1.1284722222222221</v>
      </c>
      <c r="F1063" s="92" t="s">
        <v>134</v>
      </c>
      <c r="G1063" s="94">
        <v>4</v>
      </c>
      <c r="H1063" s="99" t="s">
        <v>218</v>
      </c>
      <c r="I1063" s="2"/>
    </row>
    <row r="1064" spans="1:9" ht="19.8" customHeight="1" x14ac:dyDescent="0.3">
      <c r="A1064" s="175">
        <v>46007</v>
      </c>
      <c r="B1064" s="92" t="s">
        <v>130</v>
      </c>
      <c r="C1064" s="93" t="s">
        <v>141</v>
      </c>
      <c r="D1064" s="92" t="s">
        <v>1</v>
      </c>
      <c r="E1064" s="176">
        <v>1.302083333333333</v>
      </c>
      <c r="F1064" s="92" t="s">
        <v>134</v>
      </c>
      <c r="G1064" s="94">
        <v>4</v>
      </c>
      <c r="H1064" s="99" t="s">
        <v>178</v>
      </c>
      <c r="I1064" s="2"/>
    </row>
    <row r="1065" spans="1:9" ht="19.8" customHeight="1" x14ac:dyDescent="0.3">
      <c r="A1065" s="175">
        <v>46007</v>
      </c>
      <c r="B1065" s="92" t="s">
        <v>130</v>
      </c>
      <c r="C1065" s="93" t="s">
        <v>149</v>
      </c>
      <c r="D1065" s="92" t="s">
        <v>1</v>
      </c>
      <c r="E1065" s="176">
        <v>1.788194444444444</v>
      </c>
      <c r="F1065" s="92" t="s">
        <v>134</v>
      </c>
      <c r="G1065" s="94">
        <v>4</v>
      </c>
      <c r="H1065" s="99" t="s">
        <v>140</v>
      </c>
      <c r="I1065" s="2"/>
    </row>
    <row r="1066" spans="1:9" ht="19.8" customHeight="1" x14ac:dyDescent="0.3">
      <c r="A1066" s="175">
        <v>46007</v>
      </c>
      <c r="B1066" s="92" t="s">
        <v>115</v>
      </c>
      <c r="C1066" s="93" t="s">
        <v>116</v>
      </c>
      <c r="D1066" s="92" t="s">
        <v>1</v>
      </c>
      <c r="E1066" s="176">
        <v>1.2222222222222221</v>
      </c>
      <c r="F1066" s="92" t="s">
        <v>124</v>
      </c>
      <c r="G1066" s="94">
        <v>9</v>
      </c>
      <c r="H1066" s="99" t="s">
        <v>324</v>
      </c>
      <c r="I1066" s="2"/>
    </row>
    <row r="1067" spans="1:9" ht="19.8" customHeight="1" x14ac:dyDescent="0.3">
      <c r="A1067" s="179">
        <v>46007</v>
      </c>
      <c r="B1067" s="100" t="s">
        <v>115</v>
      </c>
      <c r="C1067" s="101" t="s">
        <v>123</v>
      </c>
      <c r="D1067" s="100" t="s">
        <v>1</v>
      </c>
      <c r="E1067" s="180">
        <v>1.958333333333333</v>
      </c>
      <c r="F1067" s="100" t="s">
        <v>124</v>
      </c>
      <c r="G1067" s="102">
        <v>7</v>
      </c>
      <c r="H1067" s="103" t="s">
        <v>291</v>
      </c>
      <c r="I1067" s="2"/>
    </row>
    <row r="1068" spans="1:9" ht="19.8" customHeight="1" x14ac:dyDescent="0.3">
      <c r="A1068" s="175">
        <v>46008</v>
      </c>
      <c r="B1068" s="92" t="s">
        <v>26</v>
      </c>
      <c r="C1068" s="93" t="s">
        <v>35</v>
      </c>
      <c r="D1068" s="92" t="s">
        <v>1</v>
      </c>
      <c r="E1068" s="176">
        <v>1.1284722222222221</v>
      </c>
      <c r="F1068" s="92" t="s">
        <v>28</v>
      </c>
      <c r="G1068" s="94">
        <v>16</v>
      </c>
      <c r="H1068" s="173">
        <v>299</v>
      </c>
      <c r="I1068" s="2"/>
    </row>
    <row r="1069" spans="1:9" ht="19.8" customHeight="1" x14ac:dyDescent="0.3">
      <c r="A1069" s="175">
        <v>46008</v>
      </c>
      <c r="B1069" s="92" t="s">
        <v>26</v>
      </c>
      <c r="C1069" s="93" t="s">
        <v>39</v>
      </c>
      <c r="D1069" s="92" t="s">
        <v>1</v>
      </c>
      <c r="E1069" s="176">
        <v>1.302083333333333</v>
      </c>
      <c r="F1069" s="92" t="s">
        <v>28</v>
      </c>
      <c r="G1069" s="94">
        <v>19</v>
      </c>
      <c r="H1069" s="173">
        <v>299</v>
      </c>
      <c r="I1069" s="2"/>
    </row>
    <row r="1070" spans="1:9" ht="19.8" customHeight="1" x14ac:dyDescent="0.3">
      <c r="A1070" s="175">
        <v>46008</v>
      </c>
      <c r="B1070" s="92" t="s">
        <v>26</v>
      </c>
      <c r="C1070" s="93" t="s">
        <v>41</v>
      </c>
      <c r="D1070" s="92" t="s">
        <v>1</v>
      </c>
      <c r="E1070" s="176">
        <v>1.788194444444444</v>
      </c>
      <c r="F1070" s="92" t="s">
        <v>28</v>
      </c>
      <c r="G1070" s="94">
        <v>1</v>
      </c>
      <c r="H1070" s="173">
        <v>299</v>
      </c>
      <c r="I1070" s="2"/>
    </row>
    <row r="1071" spans="1:9" ht="19.8" customHeight="1" x14ac:dyDescent="0.3">
      <c r="A1071" s="175">
        <v>46008</v>
      </c>
      <c r="B1071" s="92" t="s">
        <v>45</v>
      </c>
      <c r="C1071" s="93" t="s">
        <v>57</v>
      </c>
      <c r="D1071" s="92" t="s">
        <v>1</v>
      </c>
      <c r="E1071" s="176">
        <v>1.256944444444444</v>
      </c>
      <c r="F1071" s="92" t="s">
        <v>47</v>
      </c>
      <c r="G1071" s="94">
        <v>9</v>
      </c>
      <c r="H1071" s="173">
        <v>329</v>
      </c>
      <c r="I1071" s="2"/>
    </row>
    <row r="1072" spans="1:9" ht="19.8" customHeight="1" x14ac:dyDescent="0.3">
      <c r="A1072" s="175">
        <v>46008</v>
      </c>
      <c r="B1072" s="92" t="s">
        <v>45</v>
      </c>
      <c r="C1072" s="93" t="s">
        <v>59</v>
      </c>
      <c r="D1072" s="92" t="s">
        <v>1</v>
      </c>
      <c r="E1072" s="176">
        <v>1.9027777777777779</v>
      </c>
      <c r="F1072" s="92" t="s">
        <v>47</v>
      </c>
      <c r="G1072" s="94">
        <v>5</v>
      </c>
      <c r="H1072" s="173">
        <v>329</v>
      </c>
      <c r="I1072" s="2"/>
    </row>
    <row r="1073" spans="1:9" ht="19.8" customHeight="1" x14ac:dyDescent="0.3">
      <c r="A1073" s="175">
        <v>46008</v>
      </c>
      <c r="B1073" s="92" t="s">
        <v>45</v>
      </c>
      <c r="C1073" s="93" t="s">
        <v>46</v>
      </c>
      <c r="D1073" s="92" t="s">
        <v>1</v>
      </c>
      <c r="E1073" s="176">
        <v>1.395833333333333</v>
      </c>
      <c r="F1073" s="92" t="s">
        <v>47</v>
      </c>
      <c r="G1073" s="94">
        <v>8</v>
      </c>
      <c r="H1073" s="173">
        <v>329</v>
      </c>
      <c r="I1073" s="2"/>
    </row>
    <row r="1074" spans="1:9" ht="19.8" customHeight="1" x14ac:dyDescent="0.3">
      <c r="A1074" s="175">
        <v>46008</v>
      </c>
      <c r="B1074" s="92" t="s">
        <v>79</v>
      </c>
      <c r="C1074" s="93" t="s">
        <v>84</v>
      </c>
      <c r="D1074" s="92" t="s">
        <v>1</v>
      </c>
      <c r="E1074" s="176">
        <v>1.3923611111111109</v>
      </c>
      <c r="F1074" s="92" t="s">
        <v>81</v>
      </c>
      <c r="G1074" s="94">
        <v>9</v>
      </c>
      <c r="H1074" s="173">
        <v>350</v>
      </c>
      <c r="I1074" s="2"/>
    </row>
    <row r="1075" spans="1:9" ht="19.8" customHeight="1" x14ac:dyDescent="0.3">
      <c r="A1075" s="175">
        <v>46008</v>
      </c>
      <c r="B1075" s="92" t="s">
        <v>45</v>
      </c>
      <c r="C1075" s="93" t="s">
        <v>53</v>
      </c>
      <c r="D1075" s="92" t="s">
        <v>1</v>
      </c>
      <c r="E1075" s="176">
        <v>1.854166666666667</v>
      </c>
      <c r="F1075" s="92" t="s">
        <v>47</v>
      </c>
      <c r="G1075" s="94">
        <v>9</v>
      </c>
      <c r="H1075" s="173">
        <v>369</v>
      </c>
      <c r="I1075" s="2"/>
    </row>
    <row r="1076" spans="1:9" ht="19.8" customHeight="1" x14ac:dyDescent="0.3">
      <c r="A1076" s="175">
        <v>46008</v>
      </c>
      <c r="B1076" s="92" t="s">
        <v>45</v>
      </c>
      <c r="C1076" s="93" t="s">
        <v>58</v>
      </c>
      <c r="D1076" s="92" t="s">
        <v>1</v>
      </c>
      <c r="E1076" s="176">
        <v>1.302083333333333</v>
      </c>
      <c r="F1076" s="92" t="s">
        <v>47</v>
      </c>
      <c r="G1076" s="94">
        <v>9</v>
      </c>
      <c r="H1076" s="173">
        <v>369</v>
      </c>
      <c r="I1076" s="2"/>
    </row>
    <row r="1077" spans="1:9" ht="19.8" customHeight="1" x14ac:dyDescent="0.3">
      <c r="A1077" s="175">
        <v>46008</v>
      </c>
      <c r="B1077" s="92" t="s">
        <v>45</v>
      </c>
      <c r="C1077" s="93" t="s">
        <v>62</v>
      </c>
      <c r="D1077" s="92" t="s">
        <v>1</v>
      </c>
      <c r="E1077" s="176">
        <v>1.5173611111111109</v>
      </c>
      <c r="F1077" s="92" t="s">
        <v>47</v>
      </c>
      <c r="G1077" s="94">
        <v>1</v>
      </c>
      <c r="H1077" s="173">
        <v>369</v>
      </c>
      <c r="I1077" s="2"/>
    </row>
    <row r="1078" spans="1:9" ht="19.8" customHeight="1" x14ac:dyDescent="0.3">
      <c r="A1078" s="175">
        <v>46008</v>
      </c>
      <c r="B1078" s="92" t="s">
        <v>45</v>
      </c>
      <c r="C1078" s="93" t="s">
        <v>60</v>
      </c>
      <c r="D1078" s="92" t="s">
        <v>1</v>
      </c>
      <c r="E1078" s="176">
        <v>1.7986111111111109</v>
      </c>
      <c r="F1078" s="92" t="s">
        <v>47</v>
      </c>
      <c r="G1078" s="94">
        <v>5</v>
      </c>
      <c r="H1078" s="173">
        <v>369</v>
      </c>
      <c r="I1078" s="2"/>
    </row>
    <row r="1079" spans="1:9" ht="19.8" customHeight="1" x14ac:dyDescent="0.3">
      <c r="A1079" s="175">
        <v>46008</v>
      </c>
      <c r="B1079" s="92" t="s">
        <v>45</v>
      </c>
      <c r="C1079" s="93" t="s">
        <v>66</v>
      </c>
      <c r="D1079" s="92" t="s">
        <v>1</v>
      </c>
      <c r="E1079" s="176">
        <v>1.645833333333333</v>
      </c>
      <c r="F1079" s="92" t="s">
        <v>47</v>
      </c>
      <c r="G1079" s="94">
        <v>9</v>
      </c>
      <c r="H1079" s="173">
        <v>369</v>
      </c>
      <c r="I1079" s="2"/>
    </row>
    <row r="1080" spans="1:9" ht="19.8" customHeight="1" x14ac:dyDescent="0.3">
      <c r="A1080" s="175">
        <v>46008</v>
      </c>
      <c r="B1080" s="92" t="s">
        <v>26</v>
      </c>
      <c r="C1080" s="93" t="s">
        <v>27</v>
      </c>
      <c r="D1080" s="92" t="s">
        <v>1</v>
      </c>
      <c r="E1080" s="176">
        <v>1.8888888888888891</v>
      </c>
      <c r="F1080" s="92" t="s">
        <v>28</v>
      </c>
      <c r="G1080" s="94">
        <v>11</v>
      </c>
      <c r="H1080" s="173">
        <v>389</v>
      </c>
      <c r="I1080" s="2"/>
    </row>
    <row r="1081" spans="1:9" ht="19.8" customHeight="1" x14ac:dyDescent="0.3">
      <c r="A1081" s="177">
        <v>46008</v>
      </c>
      <c r="B1081" s="96" t="s">
        <v>87</v>
      </c>
      <c r="C1081" s="97" t="s">
        <v>109</v>
      </c>
      <c r="D1081" s="96" t="s">
        <v>1</v>
      </c>
      <c r="E1081" s="178">
        <v>1.479166666666667</v>
      </c>
      <c r="F1081" s="96" t="s">
        <v>89</v>
      </c>
      <c r="G1081" s="98">
        <v>5</v>
      </c>
      <c r="H1081" s="174">
        <v>401</v>
      </c>
      <c r="I1081" s="2"/>
    </row>
    <row r="1082" spans="1:9" ht="19.8" customHeight="1" x14ac:dyDescent="0.3">
      <c r="A1082" s="175">
        <v>46008</v>
      </c>
      <c r="B1082" s="92" t="s">
        <v>74</v>
      </c>
      <c r="C1082" s="93" t="s">
        <v>78</v>
      </c>
      <c r="D1082" s="92" t="s">
        <v>1</v>
      </c>
      <c r="E1082" s="176">
        <v>1.666666666666667</v>
      </c>
      <c r="F1082" s="92" t="s">
        <v>72</v>
      </c>
      <c r="G1082" s="94">
        <v>9</v>
      </c>
      <c r="H1082" s="173">
        <v>401</v>
      </c>
      <c r="I1082" s="2"/>
    </row>
    <row r="1083" spans="1:9" ht="19.8" customHeight="1" x14ac:dyDescent="0.3">
      <c r="A1083" s="175">
        <v>46008</v>
      </c>
      <c r="B1083" s="92" t="s">
        <v>130</v>
      </c>
      <c r="C1083" s="93" t="s">
        <v>146</v>
      </c>
      <c r="D1083" s="92" t="s">
        <v>1</v>
      </c>
      <c r="E1083" s="176">
        <v>1.1423611111111109</v>
      </c>
      <c r="F1083" s="92" t="s">
        <v>364</v>
      </c>
      <c r="G1083" s="94">
        <v>1</v>
      </c>
      <c r="H1083" s="173">
        <v>425</v>
      </c>
      <c r="I1083" s="2"/>
    </row>
    <row r="1084" spans="1:9" ht="19.8" customHeight="1" x14ac:dyDescent="0.3">
      <c r="A1084" s="175">
        <v>46008</v>
      </c>
      <c r="B1084" s="92" t="s">
        <v>45</v>
      </c>
      <c r="C1084" s="93" t="s">
        <v>57</v>
      </c>
      <c r="D1084" s="92" t="s">
        <v>1</v>
      </c>
      <c r="E1084" s="176">
        <v>1.256944444444444</v>
      </c>
      <c r="F1084" s="92" t="s">
        <v>49</v>
      </c>
      <c r="G1084" s="94">
        <v>9</v>
      </c>
      <c r="H1084" s="173">
        <v>429</v>
      </c>
      <c r="I1084" s="2"/>
    </row>
    <row r="1085" spans="1:9" ht="19.8" customHeight="1" x14ac:dyDescent="0.3">
      <c r="A1085" s="175">
        <v>46008</v>
      </c>
      <c r="B1085" s="92" t="s">
        <v>45</v>
      </c>
      <c r="C1085" s="93" t="s">
        <v>59</v>
      </c>
      <c r="D1085" s="92" t="s">
        <v>1</v>
      </c>
      <c r="E1085" s="176">
        <v>1.9027777777777779</v>
      </c>
      <c r="F1085" s="92" t="s">
        <v>49</v>
      </c>
      <c r="G1085" s="94">
        <v>5</v>
      </c>
      <c r="H1085" s="173">
        <v>429</v>
      </c>
      <c r="I1085" s="2"/>
    </row>
    <row r="1086" spans="1:9" ht="19.8" customHeight="1" x14ac:dyDescent="0.3">
      <c r="A1086" s="175">
        <v>46008</v>
      </c>
      <c r="B1086" s="92" t="s">
        <v>45</v>
      </c>
      <c r="C1086" s="93" t="s">
        <v>46</v>
      </c>
      <c r="D1086" s="92" t="s">
        <v>1</v>
      </c>
      <c r="E1086" s="176">
        <v>1.395833333333333</v>
      </c>
      <c r="F1086" s="92" t="s">
        <v>49</v>
      </c>
      <c r="G1086" s="94">
        <v>8</v>
      </c>
      <c r="H1086" s="173">
        <v>429</v>
      </c>
      <c r="I1086" s="2"/>
    </row>
    <row r="1087" spans="1:9" ht="19.8" customHeight="1" x14ac:dyDescent="0.3">
      <c r="A1087" s="177">
        <v>46008</v>
      </c>
      <c r="B1087" s="96" t="s">
        <v>87</v>
      </c>
      <c r="C1087" s="97" t="s">
        <v>95</v>
      </c>
      <c r="D1087" s="96" t="s">
        <v>1</v>
      </c>
      <c r="E1087" s="178">
        <v>1.614583333333333</v>
      </c>
      <c r="F1087" s="96" t="s">
        <v>89</v>
      </c>
      <c r="G1087" s="98">
        <v>8</v>
      </c>
      <c r="H1087" s="174">
        <v>436</v>
      </c>
      <c r="I1087" s="2"/>
    </row>
    <row r="1088" spans="1:9" ht="19.8" customHeight="1" x14ac:dyDescent="0.3">
      <c r="A1088" s="177">
        <v>46008</v>
      </c>
      <c r="B1088" s="96" t="s">
        <v>87</v>
      </c>
      <c r="C1088" s="97" t="s">
        <v>88</v>
      </c>
      <c r="D1088" s="96" t="s">
        <v>1</v>
      </c>
      <c r="E1088" s="178">
        <v>1.520833333333333</v>
      </c>
      <c r="F1088" s="96" t="s">
        <v>89</v>
      </c>
      <c r="G1088" s="98">
        <v>4</v>
      </c>
      <c r="H1088" s="174">
        <v>436</v>
      </c>
      <c r="I1088" s="2"/>
    </row>
    <row r="1089" spans="1:9" ht="19.8" customHeight="1" x14ac:dyDescent="0.3">
      <c r="A1089" s="175">
        <v>46008</v>
      </c>
      <c r="B1089" s="92" t="s">
        <v>26</v>
      </c>
      <c r="C1089" s="93" t="s">
        <v>35</v>
      </c>
      <c r="D1089" s="92" t="s">
        <v>1</v>
      </c>
      <c r="E1089" s="176">
        <v>1.1284722222222221</v>
      </c>
      <c r="F1089" s="92" t="s">
        <v>31</v>
      </c>
      <c r="G1089" s="94">
        <v>16</v>
      </c>
      <c r="H1089" s="173">
        <v>449</v>
      </c>
      <c r="I1089" s="2"/>
    </row>
    <row r="1090" spans="1:9" ht="19.8" customHeight="1" x14ac:dyDescent="0.3">
      <c r="A1090" s="175">
        <v>46008</v>
      </c>
      <c r="B1090" s="92" t="s">
        <v>26</v>
      </c>
      <c r="C1090" s="93" t="s">
        <v>39</v>
      </c>
      <c r="D1090" s="92" t="s">
        <v>1</v>
      </c>
      <c r="E1090" s="176">
        <v>1.302083333333333</v>
      </c>
      <c r="F1090" s="92" t="s">
        <v>31</v>
      </c>
      <c r="G1090" s="94">
        <v>19</v>
      </c>
      <c r="H1090" s="173">
        <v>449</v>
      </c>
      <c r="I1090" s="2"/>
    </row>
    <row r="1091" spans="1:9" ht="19.8" customHeight="1" x14ac:dyDescent="0.3">
      <c r="A1091" s="175">
        <v>46008</v>
      </c>
      <c r="B1091" s="92" t="s">
        <v>26</v>
      </c>
      <c r="C1091" s="93" t="s">
        <v>41</v>
      </c>
      <c r="D1091" s="92" t="s">
        <v>1</v>
      </c>
      <c r="E1091" s="176">
        <v>1.788194444444444</v>
      </c>
      <c r="F1091" s="92" t="s">
        <v>31</v>
      </c>
      <c r="G1091" s="94">
        <v>1</v>
      </c>
      <c r="H1091" s="173">
        <v>449</v>
      </c>
      <c r="I1091" s="2"/>
    </row>
    <row r="1092" spans="1:9" ht="19.8" customHeight="1" x14ac:dyDescent="0.3">
      <c r="A1092" s="175">
        <v>46008</v>
      </c>
      <c r="B1092" s="92" t="s">
        <v>45</v>
      </c>
      <c r="C1092" s="93" t="s">
        <v>53</v>
      </c>
      <c r="D1092" s="92" t="s">
        <v>1</v>
      </c>
      <c r="E1092" s="176">
        <v>1.854166666666667</v>
      </c>
      <c r="F1092" s="92" t="s">
        <v>49</v>
      </c>
      <c r="G1092" s="94">
        <v>9</v>
      </c>
      <c r="H1092" s="173">
        <v>469</v>
      </c>
      <c r="I1092" s="2"/>
    </row>
    <row r="1093" spans="1:9" ht="19.8" customHeight="1" x14ac:dyDescent="0.3">
      <c r="A1093" s="175">
        <v>46008</v>
      </c>
      <c r="B1093" s="92" t="s">
        <v>45</v>
      </c>
      <c r="C1093" s="93" t="s">
        <v>58</v>
      </c>
      <c r="D1093" s="92" t="s">
        <v>1</v>
      </c>
      <c r="E1093" s="176">
        <v>1.302083333333333</v>
      </c>
      <c r="F1093" s="92" t="s">
        <v>49</v>
      </c>
      <c r="G1093" s="94">
        <v>9</v>
      </c>
      <c r="H1093" s="173">
        <v>469</v>
      </c>
      <c r="I1093" s="2"/>
    </row>
    <row r="1094" spans="1:9" ht="19.8" customHeight="1" x14ac:dyDescent="0.3">
      <c r="A1094" s="175">
        <v>46008</v>
      </c>
      <c r="B1094" s="92" t="s">
        <v>45</v>
      </c>
      <c r="C1094" s="93" t="s">
        <v>62</v>
      </c>
      <c r="D1094" s="92" t="s">
        <v>1</v>
      </c>
      <c r="E1094" s="176">
        <v>1.5173611111111109</v>
      </c>
      <c r="F1094" s="92" t="s">
        <v>49</v>
      </c>
      <c r="G1094" s="94">
        <v>1</v>
      </c>
      <c r="H1094" s="173">
        <v>469</v>
      </c>
      <c r="I1094" s="2"/>
    </row>
    <row r="1095" spans="1:9" ht="19.8" customHeight="1" x14ac:dyDescent="0.3">
      <c r="A1095" s="175">
        <v>46008</v>
      </c>
      <c r="B1095" s="92" t="s">
        <v>45</v>
      </c>
      <c r="C1095" s="93" t="s">
        <v>60</v>
      </c>
      <c r="D1095" s="92" t="s">
        <v>1</v>
      </c>
      <c r="E1095" s="176">
        <v>1.7986111111111109</v>
      </c>
      <c r="F1095" s="92" t="s">
        <v>49</v>
      </c>
      <c r="G1095" s="94">
        <v>5</v>
      </c>
      <c r="H1095" s="173">
        <v>469</v>
      </c>
      <c r="I1095" s="2"/>
    </row>
    <row r="1096" spans="1:9" ht="19.8" customHeight="1" x14ac:dyDescent="0.3">
      <c r="A1096" s="175">
        <v>46008</v>
      </c>
      <c r="B1096" s="92" t="s">
        <v>45</v>
      </c>
      <c r="C1096" s="93" t="s">
        <v>66</v>
      </c>
      <c r="D1096" s="92" t="s">
        <v>1</v>
      </c>
      <c r="E1096" s="176">
        <v>1.645833333333333</v>
      </c>
      <c r="F1096" s="92" t="s">
        <v>49</v>
      </c>
      <c r="G1096" s="94">
        <v>9</v>
      </c>
      <c r="H1096" s="173">
        <v>469</v>
      </c>
      <c r="I1096" s="2"/>
    </row>
    <row r="1097" spans="1:9" ht="19.8" customHeight="1" x14ac:dyDescent="0.3">
      <c r="A1097" s="175">
        <v>46008</v>
      </c>
      <c r="B1097" s="92" t="s">
        <v>79</v>
      </c>
      <c r="C1097" s="93" t="s">
        <v>84</v>
      </c>
      <c r="D1097" s="92" t="s">
        <v>1</v>
      </c>
      <c r="E1097" s="176">
        <v>1.3923611111111109</v>
      </c>
      <c r="F1097" s="92" t="s">
        <v>33</v>
      </c>
      <c r="G1097" s="94">
        <v>9</v>
      </c>
      <c r="H1097" s="173">
        <v>473</v>
      </c>
      <c r="I1097" s="2"/>
    </row>
    <row r="1098" spans="1:9" ht="19.8" customHeight="1" x14ac:dyDescent="0.3">
      <c r="A1098" s="175">
        <v>46008</v>
      </c>
      <c r="B1098" s="92" t="s">
        <v>130</v>
      </c>
      <c r="C1098" s="93" t="s">
        <v>146</v>
      </c>
      <c r="D1098" s="92" t="s">
        <v>1</v>
      </c>
      <c r="E1098" s="176">
        <v>1.1423611111111109</v>
      </c>
      <c r="F1098" s="92" t="s">
        <v>132</v>
      </c>
      <c r="G1098" s="94">
        <v>1</v>
      </c>
      <c r="H1098" s="173">
        <v>511</v>
      </c>
      <c r="I1098" s="2"/>
    </row>
    <row r="1099" spans="1:9" ht="19.8" customHeight="1" x14ac:dyDescent="0.3">
      <c r="A1099" s="175">
        <v>46008</v>
      </c>
      <c r="B1099" s="92" t="s">
        <v>130</v>
      </c>
      <c r="C1099" s="93" t="s">
        <v>146</v>
      </c>
      <c r="D1099" s="92" t="s">
        <v>1</v>
      </c>
      <c r="E1099" s="176">
        <v>1.1423611111111109</v>
      </c>
      <c r="F1099" s="92" t="s">
        <v>134</v>
      </c>
      <c r="G1099" s="94">
        <v>1</v>
      </c>
      <c r="H1099" s="173">
        <v>513</v>
      </c>
      <c r="I1099" s="2"/>
    </row>
    <row r="1100" spans="1:9" ht="19.8" customHeight="1" x14ac:dyDescent="0.3">
      <c r="A1100" s="175">
        <v>46008</v>
      </c>
      <c r="B1100" s="92" t="s">
        <v>45</v>
      </c>
      <c r="C1100" s="93" t="s">
        <v>57</v>
      </c>
      <c r="D1100" s="92" t="s">
        <v>1</v>
      </c>
      <c r="E1100" s="176">
        <v>1.256944444444444</v>
      </c>
      <c r="F1100" s="92" t="s">
        <v>51</v>
      </c>
      <c r="G1100" s="94">
        <v>9</v>
      </c>
      <c r="H1100" s="173">
        <v>519</v>
      </c>
      <c r="I1100" s="2"/>
    </row>
    <row r="1101" spans="1:9" ht="19.8" customHeight="1" x14ac:dyDescent="0.3">
      <c r="A1101" s="175">
        <v>46008</v>
      </c>
      <c r="B1101" s="92" t="s">
        <v>45</v>
      </c>
      <c r="C1101" s="93" t="s">
        <v>59</v>
      </c>
      <c r="D1101" s="92" t="s">
        <v>1</v>
      </c>
      <c r="E1101" s="176">
        <v>1.9027777777777779</v>
      </c>
      <c r="F1101" s="92" t="s">
        <v>51</v>
      </c>
      <c r="G1101" s="94">
        <v>5</v>
      </c>
      <c r="H1101" s="173">
        <v>519</v>
      </c>
      <c r="I1101" s="2"/>
    </row>
    <row r="1102" spans="1:9" ht="19.8" customHeight="1" x14ac:dyDescent="0.3">
      <c r="A1102" s="175">
        <v>46008</v>
      </c>
      <c r="B1102" s="92" t="s">
        <v>45</v>
      </c>
      <c r="C1102" s="93" t="s">
        <v>46</v>
      </c>
      <c r="D1102" s="92" t="s">
        <v>1</v>
      </c>
      <c r="E1102" s="176">
        <v>1.395833333333333</v>
      </c>
      <c r="F1102" s="92" t="s">
        <v>51</v>
      </c>
      <c r="G1102" s="94">
        <v>8</v>
      </c>
      <c r="H1102" s="173">
        <v>519</v>
      </c>
      <c r="I1102" s="2"/>
    </row>
    <row r="1103" spans="1:9" ht="19.8" customHeight="1" x14ac:dyDescent="0.3">
      <c r="A1103" s="175">
        <v>46008</v>
      </c>
      <c r="B1103" s="92" t="s">
        <v>26</v>
      </c>
      <c r="C1103" s="93" t="s">
        <v>27</v>
      </c>
      <c r="D1103" s="92" t="s">
        <v>1</v>
      </c>
      <c r="E1103" s="176">
        <v>1.8888888888888891</v>
      </c>
      <c r="F1103" s="92" t="s">
        <v>31</v>
      </c>
      <c r="G1103" s="94">
        <v>11</v>
      </c>
      <c r="H1103" s="173">
        <v>539</v>
      </c>
      <c r="I1103" s="2"/>
    </row>
    <row r="1104" spans="1:9" ht="19.8" customHeight="1" x14ac:dyDescent="0.3">
      <c r="A1104" s="175">
        <v>46008</v>
      </c>
      <c r="B1104" s="92" t="s">
        <v>45</v>
      </c>
      <c r="C1104" s="93" t="s">
        <v>53</v>
      </c>
      <c r="D1104" s="92" t="s">
        <v>1</v>
      </c>
      <c r="E1104" s="176">
        <v>1.854166666666667</v>
      </c>
      <c r="F1104" s="92" t="s">
        <v>51</v>
      </c>
      <c r="G1104" s="94">
        <v>9</v>
      </c>
      <c r="H1104" s="173">
        <v>559</v>
      </c>
      <c r="I1104" s="2"/>
    </row>
    <row r="1105" spans="1:9" ht="19.8" customHeight="1" x14ac:dyDescent="0.3">
      <c r="A1105" s="175">
        <v>46008</v>
      </c>
      <c r="B1105" s="92" t="s">
        <v>45</v>
      </c>
      <c r="C1105" s="93" t="s">
        <v>58</v>
      </c>
      <c r="D1105" s="92" t="s">
        <v>1</v>
      </c>
      <c r="E1105" s="176">
        <v>1.302083333333333</v>
      </c>
      <c r="F1105" s="92" t="s">
        <v>51</v>
      </c>
      <c r="G1105" s="94">
        <v>9</v>
      </c>
      <c r="H1105" s="173">
        <v>559</v>
      </c>
      <c r="I1105" s="2"/>
    </row>
    <row r="1106" spans="1:9" ht="19.8" customHeight="1" x14ac:dyDescent="0.3">
      <c r="A1106" s="175">
        <v>46008</v>
      </c>
      <c r="B1106" s="92" t="s">
        <v>45</v>
      </c>
      <c r="C1106" s="93" t="s">
        <v>62</v>
      </c>
      <c r="D1106" s="92" t="s">
        <v>1</v>
      </c>
      <c r="E1106" s="176">
        <v>1.5173611111111109</v>
      </c>
      <c r="F1106" s="92" t="s">
        <v>51</v>
      </c>
      <c r="G1106" s="94">
        <v>1</v>
      </c>
      <c r="H1106" s="173">
        <v>559</v>
      </c>
      <c r="I1106" s="2"/>
    </row>
    <row r="1107" spans="1:9" ht="19.8" customHeight="1" x14ac:dyDescent="0.3">
      <c r="A1107" s="175">
        <v>46008</v>
      </c>
      <c r="B1107" s="92" t="s">
        <v>45</v>
      </c>
      <c r="C1107" s="93" t="s">
        <v>60</v>
      </c>
      <c r="D1107" s="92" t="s">
        <v>1</v>
      </c>
      <c r="E1107" s="176">
        <v>1.7986111111111109</v>
      </c>
      <c r="F1107" s="92" t="s">
        <v>51</v>
      </c>
      <c r="G1107" s="94">
        <v>5</v>
      </c>
      <c r="H1107" s="173">
        <v>559</v>
      </c>
      <c r="I1107" s="2"/>
    </row>
    <row r="1108" spans="1:9" ht="19.8" customHeight="1" x14ac:dyDescent="0.3">
      <c r="A1108" s="175">
        <v>46008</v>
      </c>
      <c r="B1108" s="92" t="s">
        <v>45</v>
      </c>
      <c r="C1108" s="93" t="s">
        <v>66</v>
      </c>
      <c r="D1108" s="92" t="s">
        <v>1</v>
      </c>
      <c r="E1108" s="176">
        <v>1.645833333333333</v>
      </c>
      <c r="F1108" s="92" t="s">
        <v>51</v>
      </c>
      <c r="G1108" s="94">
        <v>9</v>
      </c>
      <c r="H1108" s="173">
        <v>559</v>
      </c>
      <c r="I1108" s="2"/>
    </row>
    <row r="1109" spans="1:9" ht="19.8" customHeight="1" x14ac:dyDescent="0.3">
      <c r="A1109" s="175">
        <v>46008</v>
      </c>
      <c r="B1109" s="92" t="s">
        <v>130</v>
      </c>
      <c r="C1109" s="93" t="s">
        <v>136</v>
      </c>
      <c r="D1109" s="92" t="s">
        <v>1</v>
      </c>
      <c r="E1109" s="176">
        <v>1.3784722222222221</v>
      </c>
      <c r="F1109" s="92" t="s">
        <v>132</v>
      </c>
      <c r="G1109" s="94">
        <v>9</v>
      </c>
      <c r="H1109" s="173">
        <v>574</v>
      </c>
      <c r="I1109" s="2"/>
    </row>
    <row r="1110" spans="1:9" ht="19.8" customHeight="1" x14ac:dyDescent="0.3">
      <c r="A1110" s="175">
        <v>46008</v>
      </c>
      <c r="B1110" s="92" t="s">
        <v>130</v>
      </c>
      <c r="C1110" s="93" t="s">
        <v>136</v>
      </c>
      <c r="D1110" s="92" t="s">
        <v>1</v>
      </c>
      <c r="E1110" s="176">
        <v>1.3784722222222221</v>
      </c>
      <c r="F1110" s="92" t="s">
        <v>134</v>
      </c>
      <c r="G1110" s="94">
        <v>9</v>
      </c>
      <c r="H1110" s="173">
        <v>619</v>
      </c>
      <c r="I1110" s="2"/>
    </row>
    <row r="1111" spans="1:9" ht="19.8" customHeight="1" x14ac:dyDescent="0.3">
      <c r="A1111" s="175">
        <v>46008</v>
      </c>
      <c r="B1111" s="92" t="s">
        <v>115</v>
      </c>
      <c r="C1111" s="93" t="s">
        <v>116</v>
      </c>
      <c r="D1111" s="92" t="s">
        <v>1</v>
      </c>
      <c r="E1111" s="176">
        <v>1.2222222222222221</v>
      </c>
      <c r="F1111" s="92" t="s">
        <v>124</v>
      </c>
      <c r="G1111" s="94">
        <v>9</v>
      </c>
      <c r="H1111" s="173">
        <v>637</v>
      </c>
      <c r="I1111" s="2"/>
    </row>
    <row r="1112" spans="1:9" ht="19.8" customHeight="1" x14ac:dyDescent="0.3">
      <c r="A1112" s="175">
        <v>46008</v>
      </c>
      <c r="B1112" s="92" t="s">
        <v>115</v>
      </c>
      <c r="C1112" s="93" t="s">
        <v>121</v>
      </c>
      <c r="D1112" s="92" t="s">
        <v>1</v>
      </c>
      <c r="E1112" s="176">
        <v>1.4861111111111109</v>
      </c>
      <c r="F1112" s="92" t="s">
        <v>124</v>
      </c>
      <c r="G1112" s="94">
        <v>9</v>
      </c>
      <c r="H1112" s="173">
        <v>637</v>
      </c>
      <c r="I1112" s="2"/>
    </row>
    <row r="1113" spans="1:9" ht="19.8" customHeight="1" x14ac:dyDescent="0.3">
      <c r="A1113" s="175">
        <v>46008</v>
      </c>
      <c r="B1113" s="92" t="s">
        <v>130</v>
      </c>
      <c r="C1113" s="93" t="s">
        <v>143</v>
      </c>
      <c r="D1113" s="92" t="s">
        <v>1</v>
      </c>
      <c r="E1113" s="176">
        <v>1.006944444444444</v>
      </c>
      <c r="F1113" s="92" t="s">
        <v>132</v>
      </c>
      <c r="G1113" s="94">
        <v>9</v>
      </c>
      <c r="H1113" s="173">
        <v>678</v>
      </c>
      <c r="I1113" s="2"/>
    </row>
    <row r="1114" spans="1:9" ht="19.8" customHeight="1" x14ac:dyDescent="0.3">
      <c r="A1114" s="175">
        <v>46008</v>
      </c>
      <c r="B1114" s="92" t="s">
        <v>130</v>
      </c>
      <c r="C1114" s="93" t="s">
        <v>147</v>
      </c>
      <c r="D1114" s="92" t="s">
        <v>1</v>
      </c>
      <c r="E1114" s="176">
        <v>1.71875</v>
      </c>
      <c r="F1114" s="92" t="s">
        <v>132</v>
      </c>
      <c r="G1114" s="94">
        <v>9</v>
      </c>
      <c r="H1114" s="173">
        <v>678</v>
      </c>
      <c r="I1114" s="2"/>
    </row>
    <row r="1115" spans="1:9" ht="19.8" customHeight="1" x14ac:dyDescent="0.3">
      <c r="A1115" s="175">
        <v>46008</v>
      </c>
      <c r="B1115" s="92" t="s">
        <v>130</v>
      </c>
      <c r="C1115" s="93" t="s">
        <v>137</v>
      </c>
      <c r="D1115" s="92" t="s">
        <v>1</v>
      </c>
      <c r="E1115" s="176">
        <v>1.6111111111111109</v>
      </c>
      <c r="F1115" s="92" t="s">
        <v>132</v>
      </c>
      <c r="G1115" s="94">
        <v>9</v>
      </c>
      <c r="H1115" s="173">
        <v>678</v>
      </c>
      <c r="I1115" s="2"/>
    </row>
    <row r="1116" spans="1:9" ht="19.8" customHeight="1" x14ac:dyDescent="0.3">
      <c r="A1116" s="175">
        <v>46008</v>
      </c>
      <c r="B1116" s="92" t="s">
        <v>130</v>
      </c>
      <c r="C1116" s="93" t="s">
        <v>138</v>
      </c>
      <c r="D1116" s="92" t="s">
        <v>1</v>
      </c>
      <c r="E1116" s="176">
        <v>1.239583333333333</v>
      </c>
      <c r="F1116" s="92" t="s">
        <v>132</v>
      </c>
      <c r="G1116" s="94">
        <v>9</v>
      </c>
      <c r="H1116" s="173">
        <v>678</v>
      </c>
      <c r="I1116" s="2"/>
    </row>
    <row r="1117" spans="1:9" ht="19.8" customHeight="1" x14ac:dyDescent="0.3">
      <c r="A1117" s="175">
        <v>46008</v>
      </c>
      <c r="B1117" s="92" t="s">
        <v>115</v>
      </c>
      <c r="C1117" s="93" t="s">
        <v>119</v>
      </c>
      <c r="D1117" s="92" t="s">
        <v>1</v>
      </c>
      <c r="E1117" s="176">
        <v>1.145833333333333</v>
      </c>
      <c r="F1117" s="92" t="s">
        <v>124</v>
      </c>
      <c r="G1117" s="94">
        <v>9</v>
      </c>
      <c r="H1117" s="173">
        <v>712</v>
      </c>
      <c r="I1117" s="2"/>
    </row>
    <row r="1118" spans="1:9" ht="19.8" customHeight="1" x14ac:dyDescent="0.3">
      <c r="A1118" s="175">
        <v>46008</v>
      </c>
      <c r="B1118" s="92" t="s">
        <v>130</v>
      </c>
      <c r="C1118" s="93" t="s">
        <v>143</v>
      </c>
      <c r="D1118" s="92" t="s">
        <v>1</v>
      </c>
      <c r="E1118" s="176">
        <v>1.006944444444444</v>
      </c>
      <c r="F1118" s="92" t="s">
        <v>134</v>
      </c>
      <c r="G1118" s="94">
        <v>9</v>
      </c>
      <c r="H1118" s="173">
        <v>723</v>
      </c>
      <c r="I1118" s="2"/>
    </row>
    <row r="1119" spans="1:9" ht="19.8" customHeight="1" x14ac:dyDescent="0.3">
      <c r="A1119" s="175">
        <v>46008</v>
      </c>
      <c r="B1119" s="92" t="s">
        <v>130</v>
      </c>
      <c r="C1119" s="93" t="s">
        <v>147</v>
      </c>
      <c r="D1119" s="92" t="s">
        <v>1</v>
      </c>
      <c r="E1119" s="176">
        <v>1.71875</v>
      </c>
      <c r="F1119" s="92" t="s">
        <v>134</v>
      </c>
      <c r="G1119" s="94">
        <v>9</v>
      </c>
      <c r="H1119" s="173">
        <v>723</v>
      </c>
      <c r="I1119" s="2"/>
    </row>
    <row r="1120" spans="1:9" ht="19.8" customHeight="1" x14ac:dyDescent="0.3">
      <c r="A1120" s="175">
        <v>46008</v>
      </c>
      <c r="B1120" s="92" t="s">
        <v>130</v>
      </c>
      <c r="C1120" s="93" t="s">
        <v>137</v>
      </c>
      <c r="D1120" s="92" t="s">
        <v>1</v>
      </c>
      <c r="E1120" s="176">
        <v>1.6111111111111109</v>
      </c>
      <c r="F1120" s="92" t="s">
        <v>134</v>
      </c>
      <c r="G1120" s="94">
        <v>9</v>
      </c>
      <c r="H1120" s="173">
        <v>723</v>
      </c>
      <c r="I1120" s="2"/>
    </row>
    <row r="1121" spans="1:9" ht="19.8" customHeight="1" x14ac:dyDescent="0.3">
      <c r="A1121" s="175">
        <v>46008</v>
      </c>
      <c r="B1121" s="92" t="s">
        <v>130</v>
      </c>
      <c r="C1121" s="93" t="s">
        <v>138</v>
      </c>
      <c r="D1121" s="92" t="s">
        <v>1</v>
      </c>
      <c r="E1121" s="176">
        <v>1.239583333333333</v>
      </c>
      <c r="F1121" s="92" t="s">
        <v>134</v>
      </c>
      <c r="G1121" s="94">
        <v>9</v>
      </c>
      <c r="H1121" s="173">
        <v>723</v>
      </c>
      <c r="I1121" s="2"/>
    </row>
    <row r="1122" spans="1:9" ht="19.8" customHeight="1" x14ac:dyDescent="0.3">
      <c r="A1122" s="175">
        <v>46008</v>
      </c>
      <c r="B1122" s="92" t="s">
        <v>115</v>
      </c>
      <c r="C1122" s="93" t="s">
        <v>120</v>
      </c>
      <c r="D1122" s="92" t="s">
        <v>1</v>
      </c>
      <c r="E1122" s="176">
        <v>1.2777777777777779</v>
      </c>
      <c r="F1122" s="92" t="s">
        <v>124</v>
      </c>
      <c r="G1122" s="94">
        <v>9</v>
      </c>
      <c r="H1122" s="173">
        <v>799</v>
      </c>
      <c r="I1122" s="2"/>
    </row>
    <row r="1123" spans="1:9" ht="19.8" customHeight="1" x14ac:dyDescent="0.3">
      <c r="A1123" s="175">
        <v>46008</v>
      </c>
      <c r="B1123" s="92" t="s">
        <v>115</v>
      </c>
      <c r="C1123" s="93" t="s">
        <v>122</v>
      </c>
      <c r="D1123" s="92" t="s">
        <v>1</v>
      </c>
      <c r="E1123" s="176">
        <v>1.5138888888888891</v>
      </c>
      <c r="F1123" s="92" t="s">
        <v>124</v>
      </c>
      <c r="G1123" s="94">
        <v>9</v>
      </c>
      <c r="H1123" s="173">
        <v>890</v>
      </c>
      <c r="I1123" s="2"/>
    </row>
    <row r="1124" spans="1:9" ht="19.8" customHeight="1" x14ac:dyDescent="0.3">
      <c r="A1124" s="175">
        <v>46008</v>
      </c>
      <c r="B1124" s="92" t="s">
        <v>130</v>
      </c>
      <c r="C1124" s="93" t="s">
        <v>141</v>
      </c>
      <c r="D1124" s="92" t="s">
        <v>1</v>
      </c>
      <c r="E1124" s="176">
        <v>1.302083333333333</v>
      </c>
      <c r="F1124" s="92" t="s">
        <v>134</v>
      </c>
      <c r="G1124" s="94">
        <v>4</v>
      </c>
      <c r="H1124" s="99" t="s">
        <v>250</v>
      </c>
      <c r="I1124" s="2"/>
    </row>
    <row r="1125" spans="1:9" ht="19.8" customHeight="1" x14ac:dyDescent="0.3">
      <c r="A1125" s="175">
        <v>46008</v>
      </c>
      <c r="B1125" s="92" t="s">
        <v>130</v>
      </c>
      <c r="C1125" s="93" t="s">
        <v>142</v>
      </c>
      <c r="D1125" s="92" t="s">
        <v>1</v>
      </c>
      <c r="E1125" s="176">
        <v>1.1284722222222221</v>
      </c>
      <c r="F1125" s="92" t="s">
        <v>134</v>
      </c>
      <c r="G1125" s="94">
        <v>4</v>
      </c>
      <c r="H1125" s="99" t="s">
        <v>250</v>
      </c>
      <c r="I1125" s="2"/>
    </row>
    <row r="1126" spans="1:9" ht="19.8" customHeight="1" x14ac:dyDescent="0.3">
      <c r="A1126" s="175">
        <v>46008</v>
      </c>
      <c r="B1126" s="92" t="s">
        <v>26</v>
      </c>
      <c r="C1126" s="93" t="s">
        <v>35</v>
      </c>
      <c r="D1126" s="92" t="s">
        <v>1</v>
      </c>
      <c r="E1126" s="176">
        <v>1.1284722222222221</v>
      </c>
      <c r="F1126" s="92" t="s">
        <v>33</v>
      </c>
      <c r="G1126" s="94">
        <v>16</v>
      </c>
      <c r="H1126" s="99" t="s">
        <v>34</v>
      </c>
      <c r="I1126" s="2"/>
    </row>
    <row r="1127" spans="1:9" ht="19.8" customHeight="1" x14ac:dyDescent="0.3">
      <c r="A1127" s="175">
        <v>46008</v>
      </c>
      <c r="B1127" s="92" t="s">
        <v>26</v>
      </c>
      <c r="C1127" s="93" t="s">
        <v>39</v>
      </c>
      <c r="D1127" s="92" t="s">
        <v>1</v>
      </c>
      <c r="E1127" s="176">
        <v>1.302083333333333</v>
      </c>
      <c r="F1127" s="92" t="s">
        <v>33</v>
      </c>
      <c r="G1127" s="94">
        <v>19</v>
      </c>
      <c r="H1127" s="99" t="s">
        <v>34</v>
      </c>
      <c r="I1127" s="2"/>
    </row>
    <row r="1128" spans="1:9" ht="19.8" customHeight="1" x14ac:dyDescent="0.3">
      <c r="A1128" s="175">
        <v>46008</v>
      </c>
      <c r="B1128" s="92" t="s">
        <v>26</v>
      </c>
      <c r="C1128" s="93" t="s">
        <v>27</v>
      </c>
      <c r="D1128" s="92" t="s">
        <v>1</v>
      </c>
      <c r="E1128" s="176">
        <v>1.8888888888888891</v>
      </c>
      <c r="F1128" s="92" t="s">
        <v>33</v>
      </c>
      <c r="G1128" s="94">
        <v>11</v>
      </c>
      <c r="H1128" s="99" t="s">
        <v>34</v>
      </c>
      <c r="I1128" s="2"/>
    </row>
    <row r="1129" spans="1:9" ht="19.8" customHeight="1" x14ac:dyDescent="0.3">
      <c r="A1129" s="175">
        <v>46008</v>
      </c>
      <c r="B1129" s="92" t="s">
        <v>26</v>
      </c>
      <c r="C1129" s="93" t="s">
        <v>41</v>
      </c>
      <c r="D1129" s="92" t="s">
        <v>1</v>
      </c>
      <c r="E1129" s="176">
        <v>1.788194444444444</v>
      </c>
      <c r="F1129" s="92" t="s">
        <v>33</v>
      </c>
      <c r="G1129" s="94">
        <v>1</v>
      </c>
      <c r="H1129" s="99" t="s">
        <v>34</v>
      </c>
      <c r="I1129" s="2"/>
    </row>
    <row r="1130" spans="1:9" ht="19.8" customHeight="1" x14ac:dyDescent="0.3">
      <c r="A1130" s="175">
        <v>46008</v>
      </c>
      <c r="B1130" s="92" t="s">
        <v>115</v>
      </c>
      <c r="C1130" s="93" t="s">
        <v>123</v>
      </c>
      <c r="D1130" s="92" t="s">
        <v>1</v>
      </c>
      <c r="E1130" s="176">
        <v>1.958333333333333</v>
      </c>
      <c r="F1130" s="92" t="s">
        <v>124</v>
      </c>
      <c r="G1130" s="94">
        <v>9</v>
      </c>
      <c r="H1130" s="99" t="s">
        <v>255</v>
      </c>
      <c r="I1130" s="2"/>
    </row>
    <row r="1131" spans="1:9" ht="19.8" customHeight="1" x14ac:dyDescent="0.3">
      <c r="A1131" s="175">
        <v>46008</v>
      </c>
      <c r="B1131" s="92" t="s">
        <v>130</v>
      </c>
      <c r="C1131" s="93" t="s">
        <v>149</v>
      </c>
      <c r="D1131" s="92" t="s">
        <v>1</v>
      </c>
      <c r="E1131" s="176">
        <v>1.788194444444444</v>
      </c>
      <c r="F1131" s="92" t="s">
        <v>134</v>
      </c>
      <c r="G1131" s="94">
        <v>4</v>
      </c>
      <c r="H1131" s="99" t="s">
        <v>218</v>
      </c>
      <c r="I1131" s="2"/>
    </row>
    <row r="1132" spans="1:9" ht="19.8" customHeight="1" x14ac:dyDescent="0.3">
      <c r="A1132" s="175">
        <v>46008</v>
      </c>
      <c r="B1132" s="92" t="s">
        <v>130</v>
      </c>
      <c r="C1132" s="93" t="s">
        <v>139</v>
      </c>
      <c r="D1132" s="92" t="s">
        <v>1</v>
      </c>
      <c r="E1132" s="176">
        <v>1.8888888888888891</v>
      </c>
      <c r="F1132" s="92" t="s">
        <v>134</v>
      </c>
      <c r="G1132" s="94">
        <v>4</v>
      </c>
      <c r="H1132" s="99" t="s">
        <v>140</v>
      </c>
      <c r="I1132" s="2"/>
    </row>
    <row r="1133" spans="1:9" ht="19.8" customHeight="1" x14ac:dyDescent="0.3">
      <c r="A1133" s="175">
        <v>46008</v>
      </c>
      <c r="B1133" s="92" t="s">
        <v>130</v>
      </c>
      <c r="C1133" s="93" t="s">
        <v>131</v>
      </c>
      <c r="D1133" s="92" t="s">
        <v>1</v>
      </c>
      <c r="E1133" s="176">
        <v>1.930555555555556</v>
      </c>
      <c r="F1133" s="92" t="s">
        <v>132</v>
      </c>
      <c r="G1133" s="94">
        <v>6</v>
      </c>
      <c r="H1133" s="99" t="s">
        <v>144</v>
      </c>
      <c r="I1133" s="2"/>
    </row>
    <row r="1134" spans="1:9" ht="19.8" customHeight="1" x14ac:dyDescent="0.3">
      <c r="A1134" s="175">
        <v>46008</v>
      </c>
      <c r="B1134" s="92" t="s">
        <v>130</v>
      </c>
      <c r="C1134" s="93" t="s">
        <v>148</v>
      </c>
      <c r="D1134" s="92" t="s">
        <v>1</v>
      </c>
      <c r="E1134" s="176">
        <v>1.8298611111111109</v>
      </c>
      <c r="F1134" s="92" t="s">
        <v>132</v>
      </c>
      <c r="G1134" s="94">
        <v>9</v>
      </c>
      <c r="H1134" s="99" t="s">
        <v>144</v>
      </c>
      <c r="I1134" s="2"/>
    </row>
    <row r="1135" spans="1:9" ht="19.8" customHeight="1" x14ac:dyDescent="0.3">
      <c r="A1135" s="175">
        <v>46008</v>
      </c>
      <c r="B1135" s="92" t="s">
        <v>130</v>
      </c>
      <c r="C1135" s="93" t="s">
        <v>131</v>
      </c>
      <c r="D1135" s="92" t="s">
        <v>1</v>
      </c>
      <c r="E1135" s="176">
        <v>1.930555555555556</v>
      </c>
      <c r="F1135" s="92" t="s">
        <v>134</v>
      </c>
      <c r="G1135" s="94">
        <v>6</v>
      </c>
      <c r="H1135" s="99" t="s">
        <v>145</v>
      </c>
      <c r="I1135" s="2"/>
    </row>
    <row r="1136" spans="1:9" ht="19.8" customHeight="1" x14ac:dyDescent="0.3">
      <c r="A1136" s="175">
        <v>46008</v>
      </c>
      <c r="B1136" s="92" t="s">
        <v>130</v>
      </c>
      <c r="C1136" s="93" t="s">
        <v>148</v>
      </c>
      <c r="D1136" s="92" t="s">
        <v>1</v>
      </c>
      <c r="E1136" s="176">
        <v>1.8298611111111109</v>
      </c>
      <c r="F1136" s="92" t="s">
        <v>134</v>
      </c>
      <c r="G1136" s="94">
        <v>9</v>
      </c>
      <c r="H1136" s="99" t="s">
        <v>145</v>
      </c>
      <c r="I1136" s="2"/>
    </row>
    <row r="1137" spans="1:9" ht="19.8" customHeight="1" x14ac:dyDescent="0.3">
      <c r="A1137" s="179">
        <v>46008</v>
      </c>
      <c r="B1137" s="100" t="s">
        <v>115</v>
      </c>
      <c r="C1137" s="101" t="s">
        <v>126</v>
      </c>
      <c r="D1137" s="100" t="s">
        <v>1</v>
      </c>
      <c r="E1137" s="180">
        <v>1.770833333333333</v>
      </c>
      <c r="F1137" s="100" t="s">
        <v>124</v>
      </c>
      <c r="G1137" s="102">
        <v>9</v>
      </c>
      <c r="H1137" s="103" t="s">
        <v>291</v>
      </c>
      <c r="I1137" s="2"/>
    </row>
    <row r="1138" spans="1:9" ht="19.8" customHeight="1" x14ac:dyDescent="0.3">
      <c r="A1138" s="175">
        <v>46009</v>
      </c>
      <c r="B1138" s="92" t="s">
        <v>26</v>
      </c>
      <c r="C1138" s="93" t="s">
        <v>35</v>
      </c>
      <c r="D1138" s="92" t="s">
        <v>1</v>
      </c>
      <c r="E1138" s="176">
        <v>1.1284722222222221</v>
      </c>
      <c r="F1138" s="92" t="s">
        <v>28</v>
      </c>
      <c r="G1138" s="94">
        <v>3</v>
      </c>
      <c r="H1138" s="173">
        <v>299</v>
      </c>
      <c r="I1138" s="2"/>
    </row>
    <row r="1139" spans="1:9" ht="19.8" customHeight="1" x14ac:dyDescent="0.3">
      <c r="A1139" s="175">
        <v>46009</v>
      </c>
      <c r="B1139" s="92" t="s">
        <v>26</v>
      </c>
      <c r="C1139" s="93" t="s">
        <v>39</v>
      </c>
      <c r="D1139" s="92" t="s">
        <v>1</v>
      </c>
      <c r="E1139" s="176">
        <v>1.302083333333333</v>
      </c>
      <c r="F1139" s="92" t="s">
        <v>28</v>
      </c>
      <c r="G1139" s="94">
        <v>17</v>
      </c>
      <c r="H1139" s="173">
        <v>299</v>
      </c>
      <c r="I1139" s="2"/>
    </row>
    <row r="1140" spans="1:9" ht="19.8" customHeight="1" x14ac:dyDescent="0.3">
      <c r="A1140" s="175">
        <v>46009</v>
      </c>
      <c r="B1140" s="92" t="s">
        <v>45</v>
      </c>
      <c r="C1140" s="93" t="s">
        <v>57</v>
      </c>
      <c r="D1140" s="92" t="s">
        <v>1</v>
      </c>
      <c r="E1140" s="176">
        <v>1.256944444444444</v>
      </c>
      <c r="F1140" s="92" t="s">
        <v>47</v>
      </c>
      <c r="G1140" s="94">
        <v>8</v>
      </c>
      <c r="H1140" s="173">
        <v>329</v>
      </c>
      <c r="I1140" s="2"/>
    </row>
    <row r="1141" spans="1:9" ht="19.8" customHeight="1" x14ac:dyDescent="0.3">
      <c r="A1141" s="175">
        <v>46009</v>
      </c>
      <c r="B1141" s="92" t="s">
        <v>45</v>
      </c>
      <c r="C1141" s="93" t="s">
        <v>58</v>
      </c>
      <c r="D1141" s="92" t="s">
        <v>1</v>
      </c>
      <c r="E1141" s="176">
        <v>1.302083333333333</v>
      </c>
      <c r="F1141" s="92" t="s">
        <v>47</v>
      </c>
      <c r="G1141" s="94">
        <v>9</v>
      </c>
      <c r="H1141" s="173">
        <v>329</v>
      </c>
      <c r="I1141" s="2"/>
    </row>
    <row r="1142" spans="1:9" ht="19.8" customHeight="1" x14ac:dyDescent="0.3">
      <c r="A1142" s="175">
        <v>46009</v>
      </c>
      <c r="B1142" s="92" t="s">
        <v>45</v>
      </c>
      <c r="C1142" s="93" t="s">
        <v>46</v>
      </c>
      <c r="D1142" s="92" t="s">
        <v>1</v>
      </c>
      <c r="E1142" s="176">
        <v>1.395833333333333</v>
      </c>
      <c r="F1142" s="92" t="s">
        <v>47</v>
      </c>
      <c r="G1142" s="94">
        <v>6</v>
      </c>
      <c r="H1142" s="173">
        <v>329</v>
      </c>
      <c r="I1142" s="2"/>
    </row>
    <row r="1143" spans="1:9" ht="19.8" customHeight="1" x14ac:dyDescent="0.3">
      <c r="A1143" s="175">
        <v>46009</v>
      </c>
      <c r="B1143" s="92" t="s">
        <v>79</v>
      </c>
      <c r="C1143" s="93" t="s">
        <v>84</v>
      </c>
      <c r="D1143" s="92" t="s">
        <v>1</v>
      </c>
      <c r="E1143" s="176">
        <v>1.3298611111111109</v>
      </c>
      <c r="F1143" s="92" t="s">
        <v>81</v>
      </c>
      <c r="G1143" s="94">
        <v>9</v>
      </c>
      <c r="H1143" s="173">
        <v>350</v>
      </c>
      <c r="I1143" s="2"/>
    </row>
    <row r="1144" spans="1:9" ht="19.8" customHeight="1" x14ac:dyDescent="0.3">
      <c r="A1144" s="175">
        <v>46009</v>
      </c>
      <c r="B1144" s="92" t="s">
        <v>26</v>
      </c>
      <c r="C1144" s="93" t="s">
        <v>27</v>
      </c>
      <c r="D1144" s="92" t="s">
        <v>1</v>
      </c>
      <c r="E1144" s="176">
        <v>1.8888888888888891</v>
      </c>
      <c r="F1144" s="92" t="s">
        <v>28</v>
      </c>
      <c r="G1144" s="94">
        <v>17</v>
      </c>
      <c r="H1144" s="173">
        <v>359</v>
      </c>
      <c r="I1144" s="2"/>
    </row>
    <row r="1145" spans="1:9" ht="19.8" customHeight="1" x14ac:dyDescent="0.3">
      <c r="A1145" s="175">
        <v>46009</v>
      </c>
      <c r="B1145" s="92" t="s">
        <v>26</v>
      </c>
      <c r="C1145" s="93" t="s">
        <v>41</v>
      </c>
      <c r="D1145" s="92" t="s">
        <v>1</v>
      </c>
      <c r="E1145" s="176">
        <v>1.788194444444444</v>
      </c>
      <c r="F1145" s="92" t="s">
        <v>28</v>
      </c>
      <c r="G1145" s="94">
        <v>4</v>
      </c>
      <c r="H1145" s="173">
        <v>359</v>
      </c>
      <c r="I1145" s="2"/>
    </row>
    <row r="1146" spans="1:9" ht="19.8" customHeight="1" x14ac:dyDescent="0.3">
      <c r="A1146" s="177">
        <v>46009</v>
      </c>
      <c r="B1146" s="96" t="s">
        <v>87</v>
      </c>
      <c r="C1146" s="97" t="s">
        <v>220</v>
      </c>
      <c r="D1146" s="96" t="s">
        <v>1</v>
      </c>
      <c r="E1146" s="178">
        <v>1.2534722222222221</v>
      </c>
      <c r="F1146" s="96" t="s">
        <v>89</v>
      </c>
      <c r="G1146" s="98">
        <v>9</v>
      </c>
      <c r="H1146" s="174">
        <v>401</v>
      </c>
      <c r="I1146" s="2"/>
    </row>
    <row r="1147" spans="1:9" ht="19.8" customHeight="1" x14ac:dyDescent="0.3">
      <c r="A1147" s="177">
        <v>46009</v>
      </c>
      <c r="B1147" s="96" t="s">
        <v>87</v>
      </c>
      <c r="C1147" s="97" t="s">
        <v>241</v>
      </c>
      <c r="D1147" s="96" t="s">
        <v>1</v>
      </c>
      <c r="E1147" s="178">
        <v>1.364583333333333</v>
      </c>
      <c r="F1147" s="96" t="s">
        <v>89</v>
      </c>
      <c r="G1147" s="98">
        <v>2</v>
      </c>
      <c r="H1147" s="174">
        <v>401</v>
      </c>
      <c r="I1147" s="2"/>
    </row>
    <row r="1148" spans="1:9" ht="19.8" customHeight="1" x14ac:dyDescent="0.3">
      <c r="A1148" s="177">
        <v>46009</v>
      </c>
      <c r="B1148" s="96" t="s">
        <v>87</v>
      </c>
      <c r="C1148" s="97" t="s">
        <v>109</v>
      </c>
      <c r="D1148" s="96" t="s">
        <v>1</v>
      </c>
      <c r="E1148" s="178">
        <v>1.333333333333333</v>
      </c>
      <c r="F1148" s="96" t="s">
        <v>89</v>
      </c>
      <c r="G1148" s="98">
        <v>7</v>
      </c>
      <c r="H1148" s="174">
        <v>401</v>
      </c>
      <c r="I1148" s="2"/>
    </row>
    <row r="1149" spans="1:9" ht="19.8" customHeight="1" x14ac:dyDescent="0.3">
      <c r="A1149" s="177">
        <v>46009</v>
      </c>
      <c r="B1149" s="96" t="s">
        <v>87</v>
      </c>
      <c r="C1149" s="97" t="s">
        <v>165</v>
      </c>
      <c r="D1149" s="96" t="s">
        <v>1</v>
      </c>
      <c r="E1149" s="178">
        <v>1.114583333333333</v>
      </c>
      <c r="F1149" s="96" t="s">
        <v>89</v>
      </c>
      <c r="G1149" s="98">
        <v>8</v>
      </c>
      <c r="H1149" s="174">
        <v>401</v>
      </c>
      <c r="I1149" s="2"/>
    </row>
    <row r="1150" spans="1:9" ht="19.8" customHeight="1" x14ac:dyDescent="0.3">
      <c r="A1150" s="177">
        <v>46009</v>
      </c>
      <c r="B1150" s="96" t="s">
        <v>87</v>
      </c>
      <c r="C1150" s="97" t="s">
        <v>169</v>
      </c>
      <c r="D1150" s="96" t="s">
        <v>1</v>
      </c>
      <c r="E1150" s="178">
        <v>1.0486111111111109</v>
      </c>
      <c r="F1150" s="96" t="s">
        <v>89</v>
      </c>
      <c r="G1150" s="98">
        <v>9</v>
      </c>
      <c r="H1150" s="174">
        <v>401</v>
      </c>
      <c r="I1150" s="2"/>
    </row>
    <row r="1151" spans="1:9" ht="19.8" customHeight="1" x14ac:dyDescent="0.3">
      <c r="A1151" s="175">
        <v>46009</v>
      </c>
      <c r="B1151" s="92" t="s">
        <v>74</v>
      </c>
      <c r="C1151" s="93" t="s">
        <v>78</v>
      </c>
      <c r="D1151" s="92" t="s">
        <v>1</v>
      </c>
      <c r="E1151" s="176">
        <v>1.666666666666667</v>
      </c>
      <c r="F1151" s="92" t="s">
        <v>72</v>
      </c>
      <c r="G1151" s="94">
        <v>2</v>
      </c>
      <c r="H1151" s="173">
        <v>401</v>
      </c>
      <c r="I1151" s="2"/>
    </row>
    <row r="1152" spans="1:9" ht="19.8" customHeight="1" x14ac:dyDescent="0.3">
      <c r="A1152" s="175">
        <v>46009</v>
      </c>
      <c r="B1152" s="92" t="s">
        <v>45</v>
      </c>
      <c r="C1152" s="93" t="s">
        <v>53</v>
      </c>
      <c r="D1152" s="92" t="s">
        <v>1</v>
      </c>
      <c r="E1152" s="176">
        <v>1.854166666666667</v>
      </c>
      <c r="F1152" s="92" t="s">
        <v>47</v>
      </c>
      <c r="G1152" s="94">
        <v>6</v>
      </c>
      <c r="H1152" s="173">
        <v>409</v>
      </c>
      <c r="I1152" s="2"/>
    </row>
    <row r="1153" spans="1:9" ht="19.8" customHeight="1" x14ac:dyDescent="0.3">
      <c r="A1153" s="175">
        <v>46009</v>
      </c>
      <c r="B1153" s="92" t="s">
        <v>45</v>
      </c>
      <c r="C1153" s="93" t="s">
        <v>62</v>
      </c>
      <c r="D1153" s="92" t="s">
        <v>1</v>
      </c>
      <c r="E1153" s="176">
        <v>1.5173611111111109</v>
      </c>
      <c r="F1153" s="92" t="s">
        <v>47</v>
      </c>
      <c r="G1153" s="94">
        <v>9</v>
      </c>
      <c r="H1153" s="173">
        <v>409</v>
      </c>
      <c r="I1153" s="2"/>
    </row>
    <row r="1154" spans="1:9" ht="19.8" customHeight="1" x14ac:dyDescent="0.3">
      <c r="A1154" s="175">
        <v>46009</v>
      </c>
      <c r="B1154" s="92" t="s">
        <v>45</v>
      </c>
      <c r="C1154" s="93" t="s">
        <v>59</v>
      </c>
      <c r="D1154" s="92" t="s">
        <v>1</v>
      </c>
      <c r="E1154" s="176">
        <v>1.9027777777777779</v>
      </c>
      <c r="F1154" s="92" t="s">
        <v>47</v>
      </c>
      <c r="G1154" s="94">
        <v>1</v>
      </c>
      <c r="H1154" s="173">
        <v>409</v>
      </c>
      <c r="I1154" s="2"/>
    </row>
    <row r="1155" spans="1:9" ht="19.8" customHeight="1" x14ac:dyDescent="0.3">
      <c r="A1155" s="175">
        <v>46009</v>
      </c>
      <c r="B1155" s="92" t="s">
        <v>45</v>
      </c>
      <c r="C1155" s="93" t="s">
        <v>60</v>
      </c>
      <c r="D1155" s="92" t="s">
        <v>1</v>
      </c>
      <c r="E1155" s="176">
        <v>1.7986111111111109</v>
      </c>
      <c r="F1155" s="92" t="s">
        <v>47</v>
      </c>
      <c r="G1155" s="94">
        <v>2</v>
      </c>
      <c r="H1155" s="173">
        <v>409</v>
      </c>
      <c r="I1155" s="2"/>
    </row>
    <row r="1156" spans="1:9" ht="19.8" customHeight="1" x14ac:dyDescent="0.3">
      <c r="A1156" s="175">
        <v>46009</v>
      </c>
      <c r="B1156" s="92" t="s">
        <v>45</v>
      </c>
      <c r="C1156" s="93" t="s">
        <v>66</v>
      </c>
      <c r="D1156" s="92" t="s">
        <v>1</v>
      </c>
      <c r="E1156" s="176">
        <v>1.645833333333333</v>
      </c>
      <c r="F1156" s="92" t="s">
        <v>47</v>
      </c>
      <c r="G1156" s="94">
        <v>4</v>
      </c>
      <c r="H1156" s="173">
        <v>409</v>
      </c>
      <c r="I1156" s="2"/>
    </row>
    <row r="1157" spans="1:9" ht="19.8" customHeight="1" x14ac:dyDescent="0.3">
      <c r="A1157" s="175">
        <v>46009</v>
      </c>
      <c r="B1157" s="92" t="s">
        <v>45</v>
      </c>
      <c r="C1157" s="93" t="s">
        <v>57</v>
      </c>
      <c r="D1157" s="92" t="s">
        <v>1</v>
      </c>
      <c r="E1157" s="176">
        <v>1.256944444444444</v>
      </c>
      <c r="F1157" s="92" t="s">
        <v>49</v>
      </c>
      <c r="G1157" s="94">
        <v>8</v>
      </c>
      <c r="H1157" s="173">
        <v>429</v>
      </c>
      <c r="I1157" s="2"/>
    </row>
    <row r="1158" spans="1:9" ht="19.8" customHeight="1" x14ac:dyDescent="0.3">
      <c r="A1158" s="175">
        <v>46009</v>
      </c>
      <c r="B1158" s="92" t="s">
        <v>45</v>
      </c>
      <c r="C1158" s="93" t="s">
        <v>58</v>
      </c>
      <c r="D1158" s="92" t="s">
        <v>1</v>
      </c>
      <c r="E1158" s="176">
        <v>1.302083333333333</v>
      </c>
      <c r="F1158" s="92" t="s">
        <v>49</v>
      </c>
      <c r="G1158" s="94">
        <v>9</v>
      </c>
      <c r="H1158" s="173">
        <v>429</v>
      </c>
      <c r="I1158" s="2"/>
    </row>
    <row r="1159" spans="1:9" ht="19.8" customHeight="1" x14ac:dyDescent="0.3">
      <c r="A1159" s="175">
        <v>46009</v>
      </c>
      <c r="B1159" s="92" t="s">
        <v>45</v>
      </c>
      <c r="C1159" s="93" t="s">
        <v>46</v>
      </c>
      <c r="D1159" s="92" t="s">
        <v>1</v>
      </c>
      <c r="E1159" s="176">
        <v>1.395833333333333</v>
      </c>
      <c r="F1159" s="92" t="s">
        <v>49</v>
      </c>
      <c r="G1159" s="94">
        <v>6</v>
      </c>
      <c r="H1159" s="173">
        <v>429</v>
      </c>
      <c r="I1159" s="2"/>
    </row>
    <row r="1160" spans="1:9" ht="19.8" customHeight="1" x14ac:dyDescent="0.3">
      <c r="A1160" s="177">
        <v>46009</v>
      </c>
      <c r="B1160" s="96" t="s">
        <v>87</v>
      </c>
      <c r="C1160" s="97" t="s">
        <v>95</v>
      </c>
      <c r="D1160" s="96" t="s">
        <v>1</v>
      </c>
      <c r="E1160" s="178">
        <v>1.583333333333333</v>
      </c>
      <c r="F1160" s="96" t="s">
        <v>89</v>
      </c>
      <c r="G1160" s="98">
        <v>8</v>
      </c>
      <c r="H1160" s="174">
        <v>436</v>
      </c>
      <c r="I1160" s="2"/>
    </row>
    <row r="1161" spans="1:9" ht="19.8" customHeight="1" x14ac:dyDescent="0.3">
      <c r="A1161" s="175">
        <v>46009</v>
      </c>
      <c r="B1161" s="92" t="s">
        <v>26</v>
      </c>
      <c r="C1161" s="93" t="s">
        <v>35</v>
      </c>
      <c r="D1161" s="92" t="s">
        <v>1</v>
      </c>
      <c r="E1161" s="176">
        <v>1.1284722222222221</v>
      </c>
      <c r="F1161" s="92" t="s">
        <v>31</v>
      </c>
      <c r="G1161" s="94">
        <v>3</v>
      </c>
      <c r="H1161" s="173">
        <v>449</v>
      </c>
      <c r="I1161" s="2"/>
    </row>
    <row r="1162" spans="1:9" ht="19.8" customHeight="1" x14ac:dyDescent="0.3">
      <c r="A1162" s="175">
        <v>46009</v>
      </c>
      <c r="B1162" s="92" t="s">
        <v>26</v>
      </c>
      <c r="C1162" s="93" t="s">
        <v>39</v>
      </c>
      <c r="D1162" s="92" t="s">
        <v>1</v>
      </c>
      <c r="E1162" s="176">
        <v>1.302083333333333</v>
      </c>
      <c r="F1162" s="92" t="s">
        <v>31</v>
      </c>
      <c r="G1162" s="94">
        <v>17</v>
      </c>
      <c r="H1162" s="173">
        <v>449</v>
      </c>
      <c r="I1162" s="2"/>
    </row>
    <row r="1163" spans="1:9" ht="19.8" customHeight="1" x14ac:dyDescent="0.3">
      <c r="A1163" s="177">
        <v>46009</v>
      </c>
      <c r="B1163" s="96" t="s">
        <v>87</v>
      </c>
      <c r="C1163" s="97" t="s">
        <v>102</v>
      </c>
      <c r="D1163" s="96" t="s">
        <v>1</v>
      </c>
      <c r="E1163" s="178">
        <v>1.739583333333333</v>
      </c>
      <c r="F1163" s="96" t="s">
        <v>89</v>
      </c>
      <c r="G1163" s="98">
        <v>9</v>
      </c>
      <c r="H1163" s="174">
        <v>471</v>
      </c>
      <c r="I1163" s="2"/>
    </row>
    <row r="1164" spans="1:9" ht="19.8" customHeight="1" x14ac:dyDescent="0.3">
      <c r="A1164" s="175">
        <v>46009</v>
      </c>
      <c r="B1164" s="92" t="s">
        <v>79</v>
      </c>
      <c r="C1164" s="93" t="s">
        <v>84</v>
      </c>
      <c r="D1164" s="92" t="s">
        <v>1</v>
      </c>
      <c r="E1164" s="176">
        <v>1.3298611111111109</v>
      </c>
      <c r="F1164" s="92" t="s">
        <v>33</v>
      </c>
      <c r="G1164" s="94">
        <v>9</v>
      </c>
      <c r="H1164" s="173">
        <v>473</v>
      </c>
      <c r="I1164" s="2"/>
    </row>
    <row r="1165" spans="1:9" ht="19.8" customHeight="1" x14ac:dyDescent="0.3">
      <c r="A1165" s="175">
        <v>46009</v>
      </c>
      <c r="B1165" s="92" t="s">
        <v>26</v>
      </c>
      <c r="C1165" s="93" t="s">
        <v>27</v>
      </c>
      <c r="D1165" s="92" t="s">
        <v>1</v>
      </c>
      <c r="E1165" s="176">
        <v>1.8888888888888891</v>
      </c>
      <c r="F1165" s="92" t="s">
        <v>31</v>
      </c>
      <c r="G1165" s="94">
        <v>17</v>
      </c>
      <c r="H1165" s="173">
        <v>509</v>
      </c>
      <c r="I1165" s="2"/>
    </row>
    <row r="1166" spans="1:9" ht="19.8" customHeight="1" x14ac:dyDescent="0.3">
      <c r="A1166" s="175">
        <v>46009</v>
      </c>
      <c r="B1166" s="92" t="s">
        <v>26</v>
      </c>
      <c r="C1166" s="93" t="s">
        <v>41</v>
      </c>
      <c r="D1166" s="92" t="s">
        <v>1</v>
      </c>
      <c r="E1166" s="176">
        <v>1.788194444444444</v>
      </c>
      <c r="F1166" s="92" t="s">
        <v>31</v>
      </c>
      <c r="G1166" s="94">
        <v>4</v>
      </c>
      <c r="H1166" s="173">
        <v>509</v>
      </c>
      <c r="I1166" s="2"/>
    </row>
    <row r="1167" spans="1:9" ht="19.8" customHeight="1" x14ac:dyDescent="0.3">
      <c r="A1167" s="175">
        <v>46009</v>
      </c>
      <c r="B1167" s="92" t="s">
        <v>45</v>
      </c>
      <c r="C1167" s="93" t="s">
        <v>53</v>
      </c>
      <c r="D1167" s="92" t="s">
        <v>1</v>
      </c>
      <c r="E1167" s="176">
        <v>1.854166666666667</v>
      </c>
      <c r="F1167" s="92" t="s">
        <v>49</v>
      </c>
      <c r="G1167" s="94">
        <v>6</v>
      </c>
      <c r="H1167" s="173">
        <v>509</v>
      </c>
      <c r="I1167" s="2"/>
    </row>
    <row r="1168" spans="1:9" ht="19.8" customHeight="1" x14ac:dyDescent="0.3">
      <c r="A1168" s="175">
        <v>46009</v>
      </c>
      <c r="B1168" s="92" t="s">
        <v>45</v>
      </c>
      <c r="C1168" s="93" t="s">
        <v>62</v>
      </c>
      <c r="D1168" s="92" t="s">
        <v>1</v>
      </c>
      <c r="E1168" s="176">
        <v>1.5173611111111109</v>
      </c>
      <c r="F1168" s="92" t="s">
        <v>49</v>
      </c>
      <c r="G1168" s="94">
        <v>9</v>
      </c>
      <c r="H1168" s="173">
        <v>509</v>
      </c>
      <c r="I1168" s="2"/>
    </row>
    <row r="1169" spans="1:9" ht="19.8" customHeight="1" x14ac:dyDescent="0.3">
      <c r="A1169" s="175">
        <v>46009</v>
      </c>
      <c r="B1169" s="92" t="s">
        <v>45</v>
      </c>
      <c r="C1169" s="93" t="s">
        <v>59</v>
      </c>
      <c r="D1169" s="92" t="s">
        <v>1</v>
      </c>
      <c r="E1169" s="176">
        <v>1.9027777777777779</v>
      </c>
      <c r="F1169" s="92" t="s">
        <v>49</v>
      </c>
      <c r="G1169" s="94">
        <v>1</v>
      </c>
      <c r="H1169" s="173">
        <v>509</v>
      </c>
      <c r="I1169" s="2"/>
    </row>
    <row r="1170" spans="1:9" ht="19.8" customHeight="1" x14ac:dyDescent="0.3">
      <c r="A1170" s="175">
        <v>46009</v>
      </c>
      <c r="B1170" s="92" t="s">
        <v>45</v>
      </c>
      <c r="C1170" s="93" t="s">
        <v>60</v>
      </c>
      <c r="D1170" s="92" t="s">
        <v>1</v>
      </c>
      <c r="E1170" s="176">
        <v>1.7986111111111109</v>
      </c>
      <c r="F1170" s="92" t="s">
        <v>49</v>
      </c>
      <c r="G1170" s="94">
        <v>2</v>
      </c>
      <c r="H1170" s="173">
        <v>509</v>
      </c>
      <c r="I1170" s="2"/>
    </row>
    <row r="1171" spans="1:9" ht="19.8" customHeight="1" x14ac:dyDescent="0.3">
      <c r="A1171" s="175">
        <v>46009</v>
      </c>
      <c r="B1171" s="92" t="s">
        <v>45</v>
      </c>
      <c r="C1171" s="93" t="s">
        <v>66</v>
      </c>
      <c r="D1171" s="92" t="s">
        <v>1</v>
      </c>
      <c r="E1171" s="176">
        <v>1.645833333333333</v>
      </c>
      <c r="F1171" s="92" t="s">
        <v>49</v>
      </c>
      <c r="G1171" s="94">
        <v>4</v>
      </c>
      <c r="H1171" s="173">
        <v>509</v>
      </c>
      <c r="I1171" s="2"/>
    </row>
    <row r="1172" spans="1:9" ht="19.8" customHeight="1" x14ac:dyDescent="0.3">
      <c r="A1172" s="175">
        <v>46009</v>
      </c>
      <c r="B1172" s="92" t="s">
        <v>45</v>
      </c>
      <c r="C1172" s="93" t="s">
        <v>57</v>
      </c>
      <c r="D1172" s="92" t="s">
        <v>1</v>
      </c>
      <c r="E1172" s="176">
        <v>1.256944444444444</v>
      </c>
      <c r="F1172" s="92" t="s">
        <v>51</v>
      </c>
      <c r="G1172" s="94">
        <v>8</v>
      </c>
      <c r="H1172" s="173">
        <v>519</v>
      </c>
      <c r="I1172" s="2"/>
    </row>
    <row r="1173" spans="1:9" ht="19.8" customHeight="1" x14ac:dyDescent="0.3">
      <c r="A1173" s="175">
        <v>46009</v>
      </c>
      <c r="B1173" s="92" t="s">
        <v>45</v>
      </c>
      <c r="C1173" s="93" t="s">
        <v>58</v>
      </c>
      <c r="D1173" s="92" t="s">
        <v>1</v>
      </c>
      <c r="E1173" s="176">
        <v>1.302083333333333</v>
      </c>
      <c r="F1173" s="92" t="s">
        <v>51</v>
      </c>
      <c r="G1173" s="94">
        <v>9</v>
      </c>
      <c r="H1173" s="173">
        <v>519</v>
      </c>
      <c r="I1173" s="2"/>
    </row>
    <row r="1174" spans="1:9" ht="19.8" customHeight="1" x14ac:dyDescent="0.3">
      <c r="A1174" s="175">
        <v>46009</v>
      </c>
      <c r="B1174" s="92" t="s">
        <v>45</v>
      </c>
      <c r="C1174" s="93" t="s">
        <v>46</v>
      </c>
      <c r="D1174" s="92" t="s">
        <v>1</v>
      </c>
      <c r="E1174" s="176">
        <v>1.395833333333333</v>
      </c>
      <c r="F1174" s="92" t="s">
        <v>51</v>
      </c>
      <c r="G1174" s="94">
        <v>6</v>
      </c>
      <c r="H1174" s="173">
        <v>519</v>
      </c>
      <c r="I1174" s="2"/>
    </row>
    <row r="1175" spans="1:9" ht="19.8" customHeight="1" x14ac:dyDescent="0.3">
      <c r="A1175" s="175">
        <v>46009</v>
      </c>
      <c r="B1175" s="92" t="s">
        <v>45</v>
      </c>
      <c r="C1175" s="93" t="s">
        <v>53</v>
      </c>
      <c r="D1175" s="92" t="s">
        <v>1</v>
      </c>
      <c r="E1175" s="176">
        <v>1.854166666666667</v>
      </c>
      <c r="F1175" s="92" t="s">
        <v>51</v>
      </c>
      <c r="G1175" s="94">
        <v>6</v>
      </c>
      <c r="H1175" s="173">
        <v>599</v>
      </c>
      <c r="I1175" s="2"/>
    </row>
    <row r="1176" spans="1:9" ht="19.8" customHeight="1" x14ac:dyDescent="0.3">
      <c r="A1176" s="175">
        <v>46009</v>
      </c>
      <c r="B1176" s="92" t="s">
        <v>45</v>
      </c>
      <c r="C1176" s="93" t="s">
        <v>62</v>
      </c>
      <c r="D1176" s="92" t="s">
        <v>1</v>
      </c>
      <c r="E1176" s="176">
        <v>1.5173611111111109</v>
      </c>
      <c r="F1176" s="92" t="s">
        <v>51</v>
      </c>
      <c r="G1176" s="94">
        <v>9</v>
      </c>
      <c r="H1176" s="173">
        <v>599</v>
      </c>
      <c r="I1176" s="2"/>
    </row>
    <row r="1177" spans="1:9" ht="19.8" customHeight="1" x14ac:dyDescent="0.3">
      <c r="A1177" s="175">
        <v>46009</v>
      </c>
      <c r="B1177" s="92" t="s">
        <v>45</v>
      </c>
      <c r="C1177" s="93" t="s">
        <v>59</v>
      </c>
      <c r="D1177" s="92" t="s">
        <v>1</v>
      </c>
      <c r="E1177" s="176">
        <v>1.9027777777777779</v>
      </c>
      <c r="F1177" s="92" t="s">
        <v>51</v>
      </c>
      <c r="G1177" s="94">
        <v>1</v>
      </c>
      <c r="H1177" s="173">
        <v>599</v>
      </c>
      <c r="I1177" s="2"/>
    </row>
    <row r="1178" spans="1:9" ht="19.8" customHeight="1" x14ac:dyDescent="0.3">
      <c r="A1178" s="175">
        <v>46009</v>
      </c>
      <c r="B1178" s="92" t="s">
        <v>45</v>
      </c>
      <c r="C1178" s="93" t="s">
        <v>60</v>
      </c>
      <c r="D1178" s="92" t="s">
        <v>1</v>
      </c>
      <c r="E1178" s="176">
        <v>1.7986111111111109</v>
      </c>
      <c r="F1178" s="92" t="s">
        <v>51</v>
      </c>
      <c r="G1178" s="94">
        <v>2</v>
      </c>
      <c r="H1178" s="173">
        <v>599</v>
      </c>
      <c r="I1178" s="2"/>
    </row>
    <row r="1179" spans="1:9" ht="19.8" customHeight="1" x14ac:dyDescent="0.3">
      <c r="A1179" s="175">
        <v>46009</v>
      </c>
      <c r="B1179" s="92" t="s">
        <v>45</v>
      </c>
      <c r="C1179" s="93" t="s">
        <v>66</v>
      </c>
      <c r="D1179" s="92" t="s">
        <v>1</v>
      </c>
      <c r="E1179" s="176">
        <v>1.645833333333333</v>
      </c>
      <c r="F1179" s="92" t="s">
        <v>51</v>
      </c>
      <c r="G1179" s="94">
        <v>4</v>
      </c>
      <c r="H1179" s="173">
        <v>599</v>
      </c>
      <c r="I1179" s="2"/>
    </row>
    <row r="1180" spans="1:9" ht="19.8" customHeight="1" x14ac:dyDescent="0.3">
      <c r="A1180" s="175">
        <v>46009</v>
      </c>
      <c r="B1180" s="92" t="s">
        <v>115</v>
      </c>
      <c r="C1180" s="93" t="s">
        <v>128</v>
      </c>
      <c r="D1180" s="92" t="s">
        <v>1</v>
      </c>
      <c r="E1180" s="176">
        <v>1.0138888888888891</v>
      </c>
      <c r="F1180" s="92" t="s">
        <v>124</v>
      </c>
      <c r="G1180" s="94">
        <v>9</v>
      </c>
      <c r="H1180" s="173">
        <v>637</v>
      </c>
      <c r="I1180" s="2"/>
    </row>
    <row r="1181" spans="1:9" ht="19.8" customHeight="1" x14ac:dyDescent="0.3">
      <c r="A1181" s="175">
        <v>46009</v>
      </c>
      <c r="B1181" s="92" t="s">
        <v>70</v>
      </c>
      <c r="C1181" s="93" t="s">
        <v>71</v>
      </c>
      <c r="D1181" s="92" t="s">
        <v>1</v>
      </c>
      <c r="E1181" s="176">
        <v>1.59375</v>
      </c>
      <c r="F1181" s="92" t="s">
        <v>72</v>
      </c>
      <c r="G1181" s="94">
        <v>9</v>
      </c>
      <c r="H1181" s="173">
        <v>645</v>
      </c>
      <c r="I1181" s="2"/>
    </row>
    <row r="1182" spans="1:9" ht="19.8" customHeight="1" x14ac:dyDescent="0.3">
      <c r="A1182" s="175">
        <v>46009</v>
      </c>
      <c r="B1182" s="92" t="s">
        <v>70</v>
      </c>
      <c r="C1182" s="93" t="s">
        <v>155</v>
      </c>
      <c r="D1182" s="92" t="s">
        <v>1</v>
      </c>
      <c r="E1182" s="176">
        <v>1.291666666666667</v>
      </c>
      <c r="F1182" s="92" t="s">
        <v>72</v>
      </c>
      <c r="G1182" s="94">
        <v>9</v>
      </c>
      <c r="H1182" s="173">
        <v>645</v>
      </c>
      <c r="I1182" s="2"/>
    </row>
    <row r="1183" spans="1:9" ht="19.8" customHeight="1" x14ac:dyDescent="0.3">
      <c r="A1183" s="175">
        <v>46009</v>
      </c>
      <c r="B1183" s="92" t="s">
        <v>130</v>
      </c>
      <c r="C1183" s="93" t="s">
        <v>143</v>
      </c>
      <c r="D1183" s="92" t="s">
        <v>1</v>
      </c>
      <c r="E1183" s="176">
        <v>1.006944444444444</v>
      </c>
      <c r="F1183" s="92" t="s">
        <v>132</v>
      </c>
      <c r="G1183" s="94">
        <v>9</v>
      </c>
      <c r="H1183" s="173">
        <v>678</v>
      </c>
      <c r="I1183" s="2"/>
    </row>
    <row r="1184" spans="1:9" ht="19.8" customHeight="1" x14ac:dyDescent="0.3">
      <c r="A1184" s="175">
        <v>46009</v>
      </c>
      <c r="B1184" s="92" t="s">
        <v>130</v>
      </c>
      <c r="C1184" s="93" t="s">
        <v>136</v>
      </c>
      <c r="D1184" s="92" t="s">
        <v>1</v>
      </c>
      <c r="E1184" s="176">
        <v>1.3784722222222221</v>
      </c>
      <c r="F1184" s="92" t="s">
        <v>132</v>
      </c>
      <c r="G1184" s="94">
        <v>9</v>
      </c>
      <c r="H1184" s="173">
        <v>678</v>
      </c>
      <c r="I1184" s="2"/>
    </row>
    <row r="1185" spans="1:9" ht="19.8" customHeight="1" x14ac:dyDescent="0.3">
      <c r="A1185" s="175">
        <v>46009</v>
      </c>
      <c r="B1185" s="92" t="s">
        <v>130</v>
      </c>
      <c r="C1185" s="93" t="s">
        <v>137</v>
      </c>
      <c r="D1185" s="92" t="s">
        <v>1</v>
      </c>
      <c r="E1185" s="176">
        <v>1.6111111111111109</v>
      </c>
      <c r="F1185" s="92" t="s">
        <v>132</v>
      </c>
      <c r="G1185" s="94">
        <v>9</v>
      </c>
      <c r="H1185" s="173">
        <v>678</v>
      </c>
      <c r="I1185" s="2"/>
    </row>
    <row r="1186" spans="1:9" ht="19.8" customHeight="1" x14ac:dyDescent="0.3">
      <c r="A1186" s="175">
        <v>46009</v>
      </c>
      <c r="B1186" s="92" t="s">
        <v>130</v>
      </c>
      <c r="C1186" s="93" t="s">
        <v>138</v>
      </c>
      <c r="D1186" s="92" t="s">
        <v>1</v>
      </c>
      <c r="E1186" s="176">
        <v>1.243055555555556</v>
      </c>
      <c r="F1186" s="92" t="s">
        <v>132</v>
      </c>
      <c r="G1186" s="94">
        <v>9</v>
      </c>
      <c r="H1186" s="173">
        <v>678</v>
      </c>
      <c r="I1186" s="2"/>
    </row>
    <row r="1187" spans="1:9" ht="19.8" customHeight="1" x14ac:dyDescent="0.3">
      <c r="A1187" s="175">
        <v>46009</v>
      </c>
      <c r="B1187" s="92" t="s">
        <v>115</v>
      </c>
      <c r="C1187" s="93" t="s">
        <v>116</v>
      </c>
      <c r="D1187" s="92" t="s">
        <v>1</v>
      </c>
      <c r="E1187" s="176">
        <v>1.2326388888888891</v>
      </c>
      <c r="F1187" s="92" t="s">
        <v>124</v>
      </c>
      <c r="G1187" s="94">
        <v>9</v>
      </c>
      <c r="H1187" s="173">
        <v>712</v>
      </c>
      <c r="I1187" s="2"/>
    </row>
    <row r="1188" spans="1:9" ht="19.8" customHeight="1" x14ac:dyDescent="0.3">
      <c r="A1188" s="175">
        <v>46009</v>
      </c>
      <c r="B1188" s="92" t="s">
        <v>115</v>
      </c>
      <c r="C1188" s="93" t="s">
        <v>121</v>
      </c>
      <c r="D1188" s="92" t="s">
        <v>1</v>
      </c>
      <c r="E1188" s="176">
        <v>1.4861111111111109</v>
      </c>
      <c r="F1188" s="92" t="s">
        <v>124</v>
      </c>
      <c r="G1188" s="94">
        <v>9</v>
      </c>
      <c r="H1188" s="173">
        <v>712</v>
      </c>
      <c r="I1188" s="2"/>
    </row>
    <row r="1189" spans="1:9" ht="19.8" customHeight="1" x14ac:dyDescent="0.3">
      <c r="A1189" s="175">
        <v>46009</v>
      </c>
      <c r="B1189" s="92" t="s">
        <v>115</v>
      </c>
      <c r="C1189" s="93" t="s">
        <v>122</v>
      </c>
      <c r="D1189" s="92" t="s">
        <v>1</v>
      </c>
      <c r="E1189" s="176">
        <v>1.5138888888888891</v>
      </c>
      <c r="F1189" s="92" t="s">
        <v>124</v>
      </c>
      <c r="G1189" s="94">
        <v>9</v>
      </c>
      <c r="H1189" s="173">
        <v>712</v>
      </c>
      <c r="I1189" s="2"/>
    </row>
    <row r="1190" spans="1:9" ht="19.8" customHeight="1" x14ac:dyDescent="0.3">
      <c r="A1190" s="175">
        <v>46009</v>
      </c>
      <c r="B1190" s="92" t="s">
        <v>130</v>
      </c>
      <c r="C1190" s="93" t="s">
        <v>143</v>
      </c>
      <c r="D1190" s="92" t="s">
        <v>1</v>
      </c>
      <c r="E1190" s="176">
        <v>1.006944444444444</v>
      </c>
      <c r="F1190" s="92" t="s">
        <v>134</v>
      </c>
      <c r="G1190" s="94">
        <v>9</v>
      </c>
      <c r="H1190" s="173">
        <v>723</v>
      </c>
      <c r="I1190" s="2"/>
    </row>
    <row r="1191" spans="1:9" ht="19.8" customHeight="1" x14ac:dyDescent="0.3">
      <c r="A1191" s="175">
        <v>46009</v>
      </c>
      <c r="B1191" s="92" t="s">
        <v>130</v>
      </c>
      <c r="C1191" s="93" t="s">
        <v>136</v>
      </c>
      <c r="D1191" s="92" t="s">
        <v>1</v>
      </c>
      <c r="E1191" s="176">
        <v>1.3784722222222221</v>
      </c>
      <c r="F1191" s="92" t="s">
        <v>134</v>
      </c>
      <c r="G1191" s="94">
        <v>9</v>
      </c>
      <c r="H1191" s="173">
        <v>723</v>
      </c>
      <c r="I1191" s="2"/>
    </row>
    <row r="1192" spans="1:9" ht="19.8" customHeight="1" x14ac:dyDescent="0.3">
      <c r="A1192" s="175">
        <v>46009</v>
      </c>
      <c r="B1192" s="92" t="s">
        <v>130</v>
      </c>
      <c r="C1192" s="93" t="s">
        <v>137</v>
      </c>
      <c r="D1192" s="92" t="s">
        <v>1</v>
      </c>
      <c r="E1192" s="176">
        <v>1.6111111111111109</v>
      </c>
      <c r="F1192" s="92" t="s">
        <v>134</v>
      </c>
      <c r="G1192" s="94">
        <v>9</v>
      </c>
      <c r="H1192" s="173">
        <v>723</v>
      </c>
      <c r="I1192" s="2"/>
    </row>
    <row r="1193" spans="1:9" ht="19.8" customHeight="1" x14ac:dyDescent="0.3">
      <c r="A1193" s="175">
        <v>46009</v>
      </c>
      <c r="B1193" s="92" t="s">
        <v>130</v>
      </c>
      <c r="C1193" s="93" t="s">
        <v>138</v>
      </c>
      <c r="D1193" s="92" t="s">
        <v>1</v>
      </c>
      <c r="E1193" s="176">
        <v>1.243055555555556</v>
      </c>
      <c r="F1193" s="92" t="s">
        <v>134</v>
      </c>
      <c r="G1193" s="94">
        <v>9</v>
      </c>
      <c r="H1193" s="173">
        <v>723</v>
      </c>
      <c r="I1193" s="2"/>
    </row>
    <row r="1194" spans="1:9" ht="19.8" customHeight="1" x14ac:dyDescent="0.3">
      <c r="A1194" s="175">
        <v>46009</v>
      </c>
      <c r="B1194" s="92" t="s">
        <v>115</v>
      </c>
      <c r="C1194" s="93" t="s">
        <v>123</v>
      </c>
      <c r="D1194" s="92" t="s">
        <v>1</v>
      </c>
      <c r="E1194" s="176">
        <v>1.958333333333333</v>
      </c>
      <c r="F1194" s="92" t="s">
        <v>124</v>
      </c>
      <c r="G1194" s="94">
        <v>9</v>
      </c>
      <c r="H1194" s="173">
        <v>795</v>
      </c>
      <c r="I1194" s="2"/>
    </row>
    <row r="1195" spans="1:9" ht="19.8" customHeight="1" x14ac:dyDescent="0.3">
      <c r="A1195" s="175">
        <v>46009</v>
      </c>
      <c r="B1195" s="92" t="s">
        <v>130</v>
      </c>
      <c r="C1195" s="93" t="s">
        <v>147</v>
      </c>
      <c r="D1195" s="92" t="s">
        <v>1</v>
      </c>
      <c r="E1195" s="176">
        <v>1.71875</v>
      </c>
      <c r="F1195" s="92" t="s">
        <v>132</v>
      </c>
      <c r="G1195" s="94">
        <v>9</v>
      </c>
      <c r="H1195" s="173">
        <v>810</v>
      </c>
      <c r="I1195" s="2"/>
    </row>
    <row r="1196" spans="1:9" ht="19.8" customHeight="1" x14ac:dyDescent="0.3">
      <c r="A1196" s="175">
        <v>46009</v>
      </c>
      <c r="B1196" s="92" t="s">
        <v>130</v>
      </c>
      <c r="C1196" s="93" t="s">
        <v>148</v>
      </c>
      <c r="D1196" s="92" t="s">
        <v>1</v>
      </c>
      <c r="E1196" s="176">
        <v>1.8298611111111109</v>
      </c>
      <c r="F1196" s="92" t="s">
        <v>132</v>
      </c>
      <c r="G1196" s="94">
        <v>9</v>
      </c>
      <c r="H1196" s="173">
        <v>810</v>
      </c>
      <c r="I1196" s="2"/>
    </row>
    <row r="1197" spans="1:9" ht="19.8" customHeight="1" x14ac:dyDescent="0.3">
      <c r="A1197" s="175">
        <v>46009</v>
      </c>
      <c r="B1197" s="92" t="s">
        <v>130</v>
      </c>
      <c r="C1197" s="93" t="s">
        <v>147</v>
      </c>
      <c r="D1197" s="92" t="s">
        <v>1</v>
      </c>
      <c r="E1197" s="176">
        <v>1.71875</v>
      </c>
      <c r="F1197" s="92" t="s">
        <v>134</v>
      </c>
      <c r="G1197" s="94">
        <v>9</v>
      </c>
      <c r="H1197" s="173">
        <v>855</v>
      </c>
      <c r="I1197" s="2"/>
    </row>
    <row r="1198" spans="1:9" ht="19.8" customHeight="1" x14ac:dyDescent="0.3">
      <c r="A1198" s="175">
        <v>46009</v>
      </c>
      <c r="B1198" s="92" t="s">
        <v>130</v>
      </c>
      <c r="C1198" s="93" t="s">
        <v>148</v>
      </c>
      <c r="D1198" s="92" t="s">
        <v>1</v>
      </c>
      <c r="E1198" s="176">
        <v>1.8298611111111109</v>
      </c>
      <c r="F1198" s="92" t="s">
        <v>134</v>
      </c>
      <c r="G1198" s="94">
        <v>9</v>
      </c>
      <c r="H1198" s="173">
        <v>855</v>
      </c>
      <c r="I1198" s="2"/>
    </row>
    <row r="1199" spans="1:9" ht="19.8" customHeight="1" x14ac:dyDescent="0.3">
      <c r="A1199" s="175">
        <v>46009</v>
      </c>
      <c r="B1199" s="92" t="s">
        <v>115</v>
      </c>
      <c r="C1199" s="93" t="s">
        <v>120</v>
      </c>
      <c r="D1199" s="92" t="s">
        <v>1</v>
      </c>
      <c r="E1199" s="176">
        <v>1.28125</v>
      </c>
      <c r="F1199" s="92" t="s">
        <v>124</v>
      </c>
      <c r="G1199" s="94">
        <v>9</v>
      </c>
      <c r="H1199" s="173">
        <v>890</v>
      </c>
      <c r="I1199" s="2"/>
    </row>
    <row r="1200" spans="1:9" ht="19.8" customHeight="1" x14ac:dyDescent="0.3">
      <c r="A1200" s="175">
        <v>46009</v>
      </c>
      <c r="B1200" s="92" t="s">
        <v>130</v>
      </c>
      <c r="C1200" s="93" t="s">
        <v>141</v>
      </c>
      <c r="D1200" s="92" t="s">
        <v>1</v>
      </c>
      <c r="E1200" s="176">
        <v>1.302083333333333</v>
      </c>
      <c r="F1200" s="92" t="s">
        <v>134</v>
      </c>
      <c r="G1200" s="94">
        <v>4</v>
      </c>
      <c r="H1200" s="99" t="s">
        <v>250</v>
      </c>
      <c r="I1200" s="2"/>
    </row>
    <row r="1201" spans="1:9" ht="19.8" customHeight="1" x14ac:dyDescent="0.3">
      <c r="A1201" s="175">
        <v>46009</v>
      </c>
      <c r="B1201" s="92" t="s">
        <v>26</v>
      </c>
      <c r="C1201" s="93" t="s">
        <v>35</v>
      </c>
      <c r="D1201" s="92" t="s">
        <v>1</v>
      </c>
      <c r="E1201" s="176">
        <v>1.1284722222222221</v>
      </c>
      <c r="F1201" s="92" t="s">
        <v>33</v>
      </c>
      <c r="G1201" s="94">
        <v>3</v>
      </c>
      <c r="H1201" s="99" t="s">
        <v>34</v>
      </c>
      <c r="I1201" s="2"/>
    </row>
    <row r="1202" spans="1:9" ht="19.8" customHeight="1" x14ac:dyDescent="0.3">
      <c r="A1202" s="175">
        <v>46009</v>
      </c>
      <c r="B1202" s="92" t="s">
        <v>26</v>
      </c>
      <c r="C1202" s="93" t="s">
        <v>39</v>
      </c>
      <c r="D1202" s="92" t="s">
        <v>1</v>
      </c>
      <c r="E1202" s="176">
        <v>1.302083333333333</v>
      </c>
      <c r="F1202" s="92" t="s">
        <v>33</v>
      </c>
      <c r="G1202" s="94">
        <v>17</v>
      </c>
      <c r="H1202" s="99" t="s">
        <v>34</v>
      </c>
      <c r="I1202" s="2"/>
    </row>
    <row r="1203" spans="1:9" ht="19.8" customHeight="1" x14ac:dyDescent="0.3">
      <c r="A1203" s="175">
        <v>46009</v>
      </c>
      <c r="B1203" s="92" t="s">
        <v>26</v>
      </c>
      <c r="C1203" s="93" t="s">
        <v>27</v>
      </c>
      <c r="D1203" s="92" t="s">
        <v>1</v>
      </c>
      <c r="E1203" s="176">
        <v>1.8888888888888891</v>
      </c>
      <c r="F1203" s="92" t="s">
        <v>33</v>
      </c>
      <c r="G1203" s="94">
        <v>17</v>
      </c>
      <c r="H1203" s="99" t="s">
        <v>34</v>
      </c>
      <c r="I1203" s="2"/>
    </row>
    <row r="1204" spans="1:9" ht="19.8" customHeight="1" x14ac:dyDescent="0.3">
      <c r="A1204" s="175">
        <v>46009</v>
      </c>
      <c r="B1204" s="92" t="s">
        <v>26</v>
      </c>
      <c r="C1204" s="93" t="s">
        <v>41</v>
      </c>
      <c r="D1204" s="92" t="s">
        <v>1</v>
      </c>
      <c r="E1204" s="176">
        <v>1.788194444444444</v>
      </c>
      <c r="F1204" s="92" t="s">
        <v>33</v>
      </c>
      <c r="G1204" s="94">
        <v>4</v>
      </c>
      <c r="H1204" s="99" t="s">
        <v>34</v>
      </c>
      <c r="I1204" s="2"/>
    </row>
    <row r="1205" spans="1:9" ht="19.8" customHeight="1" x14ac:dyDescent="0.3">
      <c r="A1205" s="175">
        <v>46009</v>
      </c>
      <c r="B1205" s="92" t="s">
        <v>130</v>
      </c>
      <c r="C1205" s="93" t="s">
        <v>142</v>
      </c>
      <c r="D1205" s="92" t="s">
        <v>1</v>
      </c>
      <c r="E1205" s="176">
        <v>1.1284722222222221</v>
      </c>
      <c r="F1205" s="92" t="s">
        <v>134</v>
      </c>
      <c r="G1205" s="94">
        <v>4</v>
      </c>
      <c r="H1205" s="99" t="s">
        <v>218</v>
      </c>
      <c r="I1205" s="2"/>
    </row>
    <row r="1206" spans="1:9" ht="19.8" customHeight="1" x14ac:dyDescent="0.3">
      <c r="A1206" s="175">
        <v>46009</v>
      </c>
      <c r="B1206" s="92" t="s">
        <v>130</v>
      </c>
      <c r="C1206" s="93" t="s">
        <v>139</v>
      </c>
      <c r="D1206" s="92" t="s">
        <v>1</v>
      </c>
      <c r="E1206" s="176">
        <v>1.8888888888888891</v>
      </c>
      <c r="F1206" s="92" t="s">
        <v>134</v>
      </c>
      <c r="G1206" s="94">
        <v>4</v>
      </c>
      <c r="H1206" s="99" t="s">
        <v>178</v>
      </c>
      <c r="I1206" s="2"/>
    </row>
    <row r="1207" spans="1:9" ht="19.8" customHeight="1" x14ac:dyDescent="0.3">
      <c r="A1207" s="175">
        <v>46009</v>
      </c>
      <c r="B1207" s="92" t="s">
        <v>130</v>
      </c>
      <c r="C1207" s="93" t="s">
        <v>149</v>
      </c>
      <c r="D1207" s="92" t="s">
        <v>1</v>
      </c>
      <c r="E1207" s="176">
        <v>1.788194444444444</v>
      </c>
      <c r="F1207" s="92" t="s">
        <v>134</v>
      </c>
      <c r="G1207" s="94">
        <v>4</v>
      </c>
      <c r="H1207" s="99" t="s">
        <v>178</v>
      </c>
      <c r="I1207" s="2"/>
    </row>
    <row r="1208" spans="1:9" ht="19.8" customHeight="1" x14ac:dyDescent="0.3">
      <c r="A1208" s="175">
        <v>46009</v>
      </c>
      <c r="B1208" s="92" t="s">
        <v>115</v>
      </c>
      <c r="C1208" s="93" t="s">
        <v>126</v>
      </c>
      <c r="D1208" s="92" t="s">
        <v>1</v>
      </c>
      <c r="E1208" s="176">
        <v>1.774305555555556</v>
      </c>
      <c r="F1208" s="92" t="s">
        <v>124</v>
      </c>
      <c r="G1208" s="94">
        <v>9</v>
      </c>
      <c r="H1208" s="99" t="s">
        <v>310</v>
      </c>
      <c r="I1208" s="2"/>
    </row>
    <row r="1209" spans="1:9" ht="19.8" customHeight="1" x14ac:dyDescent="0.3">
      <c r="A1209" s="175">
        <v>46009</v>
      </c>
      <c r="B1209" s="92" t="s">
        <v>130</v>
      </c>
      <c r="C1209" s="93" t="s">
        <v>146</v>
      </c>
      <c r="D1209" s="92" t="s">
        <v>1</v>
      </c>
      <c r="E1209" s="176">
        <v>1.1423611111111109</v>
      </c>
      <c r="F1209" s="92" t="s">
        <v>132</v>
      </c>
      <c r="G1209" s="94">
        <v>9</v>
      </c>
      <c r="H1209" s="99" t="s">
        <v>144</v>
      </c>
      <c r="I1209" s="2"/>
    </row>
    <row r="1210" spans="1:9" ht="19.8" customHeight="1" x14ac:dyDescent="0.3">
      <c r="A1210" s="175">
        <v>46009</v>
      </c>
      <c r="B1210" s="92" t="s">
        <v>130</v>
      </c>
      <c r="C1210" s="93" t="s">
        <v>131</v>
      </c>
      <c r="D1210" s="92" t="s">
        <v>1</v>
      </c>
      <c r="E1210" s="176">
        <v>1.930555555555556</v>
      </c>
      <c r="F1210" s="92" t="s">
        <v>132</v>
      </c>
      <c r="G1210" s="94">
        <v>9</v>
      </c>
      <c r="H1210" s="99" t="s">
        <v>144</v>
      </c>
      <c r="I1210" s="2"/>
    </row>
    <row r="1211" spans="1:9" ht="19.8" customHeight="1" x14ac:dyDescent="0.3">
      <c r="A1211" s="175">
        <v>46009</v>
      </c>
      <c r="B1211" s="92" t="s">
        <v>130</v>
      </c>
      <c r="C1211" s="93" t="s">
        <v>146</v>
      </c>
      <c r="D1211" s="92" t="s">
        <v>1</v>
      </c>
      <c r="E1211" s="176">
        <v>1.1423611111111109</v>
      </c>
      <c r="F1211" s="92" t="s">
        <v>134</v>
      </c>
      <c r="G1211" s="94">
        <v>9</v>
      </c>
      <c r="H1211" s="99" t="s">
        <v>145</v>
      </c>
      <c r="I1211" s="2"/>
    </row>
    <row r="1212" spans="1:9" ht="19.8" customHeight="1" x14ac:dyDescent="0.3">
      <c r="A1212" s="175">
        <v>46009</v>
      </c>
      <c r="B1212" s="92" t="s">
        <v>130</v>
      </c>
      <c r="C1212" s="93" t="s">
        <v>131</v>
      </c>
      <c r="D1212" s="92" t="s">
        <v>1</v>
      </c>
      <c r="E1212" s="176">
        <v>1.930555555555556</v>
      </c>
      <c r="F1212" s="92" t="s">
        <v>134</v>
      </c>
      <c r="G1212" s="94">
        <v>9</v>
      </c>
      <c r="H1212" s="99" t="s">
        <v>145</v>
      </c>
      <c r="I1212" s="2"/>
    </row>
    <row r="1213" spans="1:9" ht="19.8" customHeight="1" x14ac:dyDescent="0.3">
      <c r="A1213" s="179">
        <v>46009</v>
      </c>
      <c r="B1213" s="100" t="s">
        <v>115</v>
      </c>
      <c r="C1213" s="101" t="s">
        <v>119</v>
      </c>
      <c r="D1213" s="100" t="s">
        <v>1</v>
      </c>
      <c r="E1213" s="180">
        <v>1.145833333333333</v>
      </c>
      <c r="F1213" s="100" t="s">
        <v>124</v>
      </c>
      <c r="G1213" s="102">
        <v>9</v>
      </c>
      <c r="H1213" s="103" t="s">
        <v>324</v>
      </c>
      <c r="I1213" s="2"/>
    </row>
    <row r="1214" spans="1:9" ht="19.8" customHeight="1" x14ac:dyDescent="0.3">
      <c r="A1214" s="175">
        <v>46010</v>
      </c>
      <c r="B1214" s="92" t="s">
        <v>26</v>
      </c>
      <c r="C1214" s="93" t="s">
        <v>39</v>
      </c>
      <c r="D1214" s="92" t="s">
        <v>1</v>
      </c>
      <c r="E1214" s="176">
        <v>1.302083333333333</v>
      </c>
      <c r="F1214" s="92" t="s">
        <v>28</v>
      </c>
      <c r="G1214" s="94">
        <v>2</v>
      </c>
      <c r="H1214" s="173">
        <v>299</v>
      </c>
      <c r="I1214" s="2"/>
    </row>
    <row r="1215" spans="1:9" ht="19.8" customHeight="1" x14ac:dyDescent="0.3">
      <c r="A1215" s="175">
        <v>46010</v>
      </c>
      <c r="B1215" s="92" t="s">
        <v>45</v>
      </c>
      <c r="C1215" s="93" t="s">
        <v>58</v>
      </c>
      <c r="D1215" s="92" t="s">
        <v>1</v>
      </c>
      <c r="E1215" s="176">
        <v>1.46875</v>
      </c>
      <c r="F1215" s="92" t="s">
        <v>47</v>
      </c>
      <c r="G1215" s="94">
        <v>4</v>
      </c>
      <c r="H1215" s="173">
        <v>329</v>
      </c>
      <c r="I1215" s="2"/>
    </row>
    <row r="1216" spans="1:9" ht="19.8" customHeight="1" x14ac:dyDescent="0.3">
      <c r="A1216" s="175">
        <v>46010</v>
      </c>
      <c r="B1216" s="92" t="s">
        <v>26</v>
      </c>
      <c r="C1216" s="93" t="s">
        <v>35</v>
      </c>
      <c r="D1216" s="92" t="s">
        <v>1</v>
      </c>
      <c r="E1216" s="176">
        <v>1.1284722222222221</v>
      </c>
      <c r="F1216" s="92" t="s">
        <v>28</v>
      </c>
      <c r="G1216" s="94">
        <v>11</v>
      </c>
      <c r="H1216" s="173">
        <v>329</v>
      </c>
      <c r="I1216" s="2"/>
    </row>
    <row r="1217" spans="1:9" ht="19.8" customHeight="1" x14ac:dyDescent="0.3">
      <c r="A1217" s="175">
        <v>46010</v>
      </c>
      <c r="B1217" s="92" t="s">
        <v>26</v>
      </c>
      <c r="C1217" s="93" t="s">
        <v>41</v>
      </c>
      <c r="D1217" s="92" t="s">
        <v>1</v>
      </c>
      <c r="E1217" s="176">
        <v>1.788194444444444</v>
      </c>
      <c r="F1217" s="92" t="s">
        <v>28</v>
      </c>
      <c r="G1217" s="94">
        <v>4</v>
      </c>
      <c r="H1217" s="173">
        <v>329</v>
      </c>
      <c r="I1217" s="2"/>
    </row>
    <row r="1218" spans="1:9" ht="19.8" customHeight="1" x14ac:dyDescent="0.3">
      <c r="A1218" s="175">
        <v>46010</v>
      </c>
      <c r="B1218" s="92" t="s">
        <v>79</v>
      </c>
      <c r="C1218" s="93" t="s">
        <v>84</v>
      </c>
      <c r="D1218" s="92" t="s">
        <v>1</v>
      </c>
      <c r="E1218" s="176">
        <v>1.3923611111111109</v>
      </c>
      <c r="F1218" s="92" t="s">
        <v>81</v>
      </c>
      <c r="G1218" s="94">
        <v>9</v>
      </c>
      <c r="H1218" s="173">
        <v>355</v>
      </c>
      <c r="I1218" s="2"/>
    </row>
    <row r="1219" spans="1:9" ht="19.8" customHeight="1" x14ac:dyDescent="0.3">
      <c r="A1219" s="175">
        <v>46010</v>
      </c>
      <c r="B1219" s="92" t="s">
        <v>79</v>
      </c>
      <c r="C1219" s="93" t="s">
        <v>199</v>
      </c>
      <c r="D1219" s="92" t="s">
        <v>1</v>
      </c>
      <c r="E1219" s="176">
        <v>1.975694444444444</v>
      </c>
      <c r="F1219" s="92" t="s">
        <v>81</v>
      </c>
      <c r="G1219" s="94">
        <v>9</v>
      </c>
      <c r="H1219" s="173">
        <v>355</v>
      </c>
      <c r="I1219" s="2"/>
    </row>
    <row r="1220" spans="1:9" ht="19.8" customHeight="1" x14ac:dyDescent="0.3">
      <c r="A1220" s="175">
        <v>46010</v>
      </c>
      <c r="B1220" s="92" t="s">
        <v>79</v>
      </c>
      <c r="C1220" s="93" t="s">
        <v>200</v>
      </c>
      <c r="D1220" s="92" t="s">
        <v>1</v>
      </c>
      <c r="E1220" s="176">
        <v>1.677083333333333</v>
      </c>
      <c r="F1220" s="92" t="s">
        <v>81</v>
      </c>
      <c r="G1220" s="94">
        <v>9</v>
      </c>
      <c r="H1220" s="173">
        <v>355</v>
      </c>
      <c r="I1220" s="2"/>
    </row>
    <row r="1221" spans="1:9" ht="19.8" customHeight="1" x14ac:dyDescent="0.3">
      <c r="A1221" s="175">
        <v>46010</v>
      </c>
      <c r="B1221" s="92" t="s">
        <v>45</v>
      </c>
      <c r="C1221" s="93" t="s">
        <v>53</v>
      </c>
      <c r="D1221" s="92" t="s">
        <v>1</v>
      </c>
      <c r="E1221" s="176">
        <v>1.854166666666667</v>
      </c>
      <c r="F1221" s="92" t="s">
        <v>47</v>
      </c>
      <c r="G1221" s="94">
        <v>6</v>
      </c>
      <c r="H1221" s="173">
        <v>369</v>
      </c>
      <c r="I1221" s="2"/>
    </row>
    <row r="1222" spans="1:9" ht="19.8" customHeight="1" x14ac:dyDescent="0.3">
      <c r="A1222" s="175">
        <v>46010</v>
      </c>
      <c r="B1222" s="92" t="s">
        <v>45</v>
      </c>
      <c r="C1222" s="93" t="s">
        <v>57</v>
      </c>
      <c r="D1222" s="92" t="s">
        <v>1</v>
      </c>
      <c r="E1222" s="176">
        <v>1.256944444444444</v>
      </c>
      <c r="F1222" s="92" t="s">
        <v>47</v>
      </c>
      <c r="G1222" s="94">
        <v>9</v>
      </c>
      <c r="H1222" s="173">
        <v>369</v>
      </c>
      <c r="I1222" s="2"/>
    </row>
    <row r="1223" spans="1:9" ht="19.8" customHeight="1" x14ac:dyDescent="0.3">
      <c r="A1223" s="175">
        <v>46010</v>
      </c>
      <c r="B1223" s="92" t="s">
        <v>45</v>
      </c>
      <c r="C1223" s="93" t="s">
        <v>59</v>
      </c>
      <c r="D1223" s="92" t="s">
        <v>1</v>
      </c>
      <c r="E1223" s="176">
        <v>1.9027777777777779</v>
      </c>
      <c r="F1223" s="92" t="s">
        <v>47</v>
      </c>
      <c r="G1223" s="94">
        <v>5</v>
      </c>
      <c r="H1223" s="173">
        <v>369</v>
      </c>
      <c r="I1223" s="2"/>
    </row>
    <row r="1224" spans="1:9" ht="19.8" customHeight="1" x14ac:dyDescent="0.3">
      <c r="A1224" s="175">
        <v>46010</v>
      </c>
      <c r="B1224" s="92" t="s">
        <v>45</v>
      </c>
      <c r="C1224" s="93" t="s">
        <v>60</v>
      </c>
      <c r="D1224" s="92" t="s">
        <v>1</v>
      </c>
      <c r="E1224" s="176">
        <v>1.7986111111111109</v>
      </c>
      <c r="F1224" s="92" t="s">
        <v>47</v>
      </c>
      <c r="G1224" s="94">
        <v>2</v>
      </c>
      <c r="H1224" s="173">
        <v>369</v>
      </c>
      <c r="I1224" s="2"/>
    </row>
    <row r="1225" spans="1:9" ht="19.8" customHeight="1" x14ac:dyDescent="0.3">
      <c r="A1225" s="175">
        <v>46010</v>
      </c>
      <c r="B1225" s="92" t="s">
        <v>45</v>
      </c>
      <c r="C1225" s="93" t="s">
        <v>46</v>
      </c>
      <c r="D1225" s="92" t="s">
        <v>1</v>
      </c>
      <c r="E1225" s="176">
        <v>1.395833333333333</v>
      </c>
      <c r="F1225" s="92" t="s">
        <v>47</v>
      </c>
      <c r="G1225" s="94">
        <v>7</v>
      </c>
      <c r="H1225" s="173">
        <v>369</v>
      </c>
      <c r="I1225" s="2"/>
    </row>
    <row r="1226" spans="1:9" ht="19.8" customHeight="1" x14ac:dyDescent="0.3">
      <c r="A1226" s="175">
        <v>46010</v>
      </c>
      <c r="B1226" s="92" t="s">
        <v>45</v>
      </c>
      <c r="C1226" s="93" t="s">
        <v>66</v>
      </c>
      <c r="D1226" s="92" t="s">
        <v>1</v>
      </c>
      <c r="E1226" s="176">
        <v>1.645833333333333</v>
      </c>
      <c r="F1226" s="92" t="s">
        <v>47</v>
      </c>
      <c r="G1226" s="94">
        <v>8</v>
      </c>
      <c r="H1226" s="173">
        <v>369</v>
      </c>
      <c r="I1226" s="2"/>
    </row>
    <row r="1227" spans="1:9" ht="19.8" customHeight="1" x14ac:dyDescent="0.3">
      <c r="A1227" s="175">
        <v>46010</v>
      </c>
      <c r="B1227" s="92" t="s">
        <v>26</v>
      </c>
      <c r="C1227" s="93" t="s">
        <v>27</v>
      </c>
      <c r="D1227" s="92" t="s">
        <v>1</v>
      </c>
      <c r="E1227" s="176">
        <v>1.8888888888888891</v>
      </c>
      <c r="F1227" s="92" t="s">
        <v>28</v>
      </c>
      <c r="G1227" s="94">
        <v>13</v>
      </c>
      <c r="H1227" s="173">
        <v>389</v>
      </c>
      <c r="I1227" s="2"/>
    </row>
    <row r="1228" spans="1:9" ht="19.8" customHeight="1" x14ac:dyDescent="0.3">
      <c r="A1228" s="175">
        <v>46010</v>
      </c>
      <c r="B1228" s="92" t="s">
        <v>70</v>
      </c>
      <c r="C1228" s="93" t="s">
        <v>155</v>
      </c>
      <c r="D1228" s="92" t="s">
        <v>1</v>
      </c>
      <c r="E1228" s="176">
        <v>1.270833333333333</v>
      </c>
      <c r="F1228" s="92" t="s">
        <v>72</v>
      </c>
      <c r="G1228" s="94">
        <v>5</v>
      </c>
      <c r="H1228" s="173">
        <v>400</v>
      </c>
      <c r="I1228" s="2"/>
    </row>
    <row r="1229" spans="1:9" ht="19.8" customHeight="1" x14ac:dyDescent="0.3">
      <c r="A1229" s="175">
        <v>46010</v>
      </c>
      <c r="B1229" s="92" t="s">
        <v>74</v>
      </c>
      <c r="C1229" s="93" t="s">
        <v>78</v>
      </c>
      <c r="D1229" s="92" t="s">
        <v>1</v>
      </c>
      <c r="E1229" s="176">
        <v>1.666666666666667</v>
      </c>
      <c r="F1229" s="92" t="s">
        <v>72</v>
      </c>
      <c r="G1229" s="94">
        <v>5</v>
      </c>
      <c r="H1229" s="173">
        <v>401</v>
      </c>
      <c r="I1229" s="2"/>
    </row>
    <row r="1230" spans="1:9" ht="19.8" customHeight="1" x14ac:dyDescent="0.3">
      <c r="A1230" s="175">
        <v>46010</v>
      </c>
      <c r="B1230" s="92" t="s">
        <v>45</v>
      </c>
      <c r="C1230" s="93" t="s">
        <v>62</v>
      </c>
      <c r="D1230" s="92" t="s">
        <v>1</v>
      </c>
      <c r="E1230" s="176">
        <v>1.5173611111111109</v>
      </c>
      <c r="F1230" s="92" t="s">
        <v>47</v>
      </c>
      <c r="G1230" s="94">
        <v>9</v>
      </c>
      <c r="H1230" s="173">
        <v>409</v>
      </c>
      <c r="I1230" s="2"/>
    </row>
    <row r="1231" spans="1:9" ht="19.8" customHeight="1" x14ac:dyDescent="0.3">
      <c r="A1231" s="175">
        <v>46010</v>
      </c>
      <c r="B1231" s="92" t="s">
        <v>45</v>
      </c>
      <c r="C1231" s="93" t="s">
        <v>58</v>
      </c>
      <c r="D1231" s="92" t="s">
        <v>1</v>
      </c>
      <c r="E1231" s="176">
        <v>1.46875</v>
      </c>
      <c r="F1231" s="92" t="s">
        <v>49</v>
      </c>
      <c r="G1231" s="94">
        <v>4</v>
      </c>
      <c r="H1231" s="173">
        <v>429</v>
      </c>
      <c r="I1231" s="2"/>
    </row>
    <row r="1232" spans="1:9" ht="19.8" customHeight="1" x14ac:dyDescent="0.3">
      <c r="A1232" s="177">
        <v>46010</v>
      </c>
      <c r="B1232" s="96" t="s">
        <v>87</v>
      </c>
      <c r="C1232" s="97" t="s">
        <v>95</v>
      </c>
      <c r="D1232" s="96" t="s">
        <v>1</v>
      </c>
      <c r="E1232" s="178">
        <v>1.458333333333333</v>
      </c>
      <c r="F1232" s="96" t="s">
        <v>89</v>
      </c>
      <c r="G1232" s="98">
        <v>5</v>
      </c>
      <c r="H1232" s="174">
        <v>436</v>
      </c>
      <c r="I1232" s="2"/>
    </row>
    <row r="1233" spans="1:9" ht="19.8" customHeight="1" x14ac:dyDescent="0.3">
      <c r="A1233" s="177">
        <v>46010</v>
      </c>
      <c r="B1233" s="96" t="s">
        <v>87</v>
      </c>
      <c r="C1233" s="97" t="s">
        <v>109</v>
      </c>
      <c r="D1233" s="96" t="s">
        <v>1</v>
      </c>
      <c r="E1233" s="178">
        <v>1.319444444444444</v>
      </c>
      <c r="F1233" s="96" t="s">
        <v>89</v>
      </c>
      <c r="G1233" s="98">
        <v>9</v>
      </c>
      <c r="H1233" s="174">
        <v>436</v>
      </c>
      <c r="I1233" s="2"/>
    </row>
    <row r="1234" spans="1:9" ht="19.8" customHeight="1" x14ac:dyDescent="0.3">
      <c r="A1234" s="177">
        <v>46010</v>
      </c>
      <c r="B1234" s="96" t="s">
        <v>87</v>
      </c>
      <c r="C1234" s="97" t="s">
        <v>169</v>
      </c>
      <c r="D1234" s="96" t="s">
        <v>1</v>
      </c>
      <c r="E1234" s="178">
        <v>1.114583333333333</v>
      </c>
      <c r="F1234" s="96" t="s">
        <v>89</v>
      </c>
      <c r="G1234" s="98">
        <v>5</v>
      </c>
      <c r="H1234" s="174">
        <v>436</v>
      </c>
      <c r="I1234" s="2"/>
    </row>
    <row r="1235" spans="1:9" ht="19.8" customHeight="1" x14ac:dyDescent="0.3">
      <c r="A1235" s="175">
        <v>46010</v>
      </c>
      <c r="B1235" s="92" t="s">
        <v>26</v>
      </c>
      <c r="C1235" s="93" t="s">
        <v>39</v>
      </c>
      <c r="D1235" s="92" t="s">
        <v>1</v>
      </c>
      <c r="E1235" s="176">
        <v>1.302083333333333</v>
      </c>
      <c r="F1235" s="92" t="s">
        <v>31</v>
      </c>
      <c r="G1235" s="94">
        <v>2</v>
      </c>
      <c r="H1235" s="173">
        <v>449</v>
      </c>
      <c r="I1235" s="2"/>
    </row>
    <row r="1236" spans="1:9" ht="19.8" customHeight="1" x14ac:dyDescent="0.3">
      <c r="A1236" s="175">
        <v>46010</v>
      </c>
      <c r="B1236" s="92" t="s">
        <v>45</v>
      </c>
      <c r="C1236" s="93" t="s">
        <v>53</v>
      </c>
      <c r="D1236" s="92" t="s">
        <v>1</v>
      </c>
      <c r="E1236" s="176">
        <v>1.854166666666667</v>
      </c>
      <c r="F1236" s="92" t="s">
        <v>49</v>
      </c>
      <c r="G1236" s="94">
        <v>6</v>
      </c>
      <c r="H1236" s="173">
        <v>469</v>
      </c>
      <c r="I1236" s="2"/>
    </row>
    <row r="1237" spans="1:9" ht="19.8" customHeight="1" x14ac:dyDescent="0.3">
      <c r="A1237" s="175">
        <v>46010</v>
      </c>
      <c r="B1237" s="92" t="s">
        <v>45</v>
      </c>
      <c r="C1237" s="93" t="s">
        <v>57</v>
      </c>
      <c r="D1237" s="92" t="s">
        <v>1</v>
      </c>
      <c r="E1237" s="176">
        <v>1.256944444444444</v>
      </c>
      <c r="F1237" s="92" t="s">
        <v>49</v>
      </c>
      <c r="G1237" s="94">
        <v>9</v>
      </c>
      <c r="H1237" s="173">
        <v>469</v>
      </c>
      <c r="I1237" s="2"/>
    </row>
    <row r="1238" spans="1:9" ht="19.8" customHeight="1" x14ac:dyDescent="0.3">
      <c r="A1238" s="175">
        <v>46010</v>
      </c>
      <c r="B1238" s="92" t="s">
        <v>45</v>
      </c>
      <c r="C1238" s="93" t="s">
        <v>59</v>
      </c>
      <c r="D1238" s="92" t="s">
        <v>1</v>
      </c>
      <c r="E1238" s="176">
        <v>1.9027777777777779</v>
      </c>
      <c r="F1238" s="92" t="s">
        <v>49</v>
      </c>
      <c r="G1238" s="94">
        <v>5</v>
      </c>
      <c r="H1238" s="173">
        <v>469</v>
      </c>
      <c r="I1238" s="2"/>
    </row>
    <row r="1239" spans="1:9" ht="19.8" customHeight="1" x14ac:dyDescent="0.3">
      <c r="A1239" s="175">
        <v>46010</v>
      </c>
      <c r="B1239" s="92" t="s">
        <v>45</v>
      </c>
      <c r="C1239" s="93" t="s">
        <v>60</v>
      </c>
      <c r="D1239" s="92" t="s">
        <v>1</v>
      </c>
      <c r="E1239" s="176">
        <v>1.7986111111111109</v>
      </c>
      <c r="F1239" s="92" t="s">
        <v>49</v>
      </c>
      <c r="G1239" s="94">
        <v>2</v>
      </c>
      <c r="H1239" s="173">
        <v>469</v>
      </c>
      <c r="I1239" s="2"/>
    </row>
    <row r="1240" spans="1:9" ht="19.8" customHeight="1" x14ac:dyDescent="0.3">
      <c r="A1240" s="175">
        <v>46010</v>
      </c>
      <c r="B1240" s="92" t="s">
        <v>45</v>
      </c>
      <c r="C1240" s="93" t="s">
        <v>46</v>
      </c>
      <c r="D1240" s="92" t="s">
        <v>1</v>
      </c>
      <c r="E1240" s="176">
        <v>1.395833333333333</v>
      </c>
      <c r="F1240" s="92" t="s">
        <v>49</v>
      </c>
      <c r="G1240" s="94">
        <v>7</v>
      </c>
      <c r="H1240" s="173">
        <v>469</v>
      </c>
      <c r="I1240" s="2"/>
    </row>
    <row r="1241" spans="1:9" ht="19.8" customHeight="1" x14ac:dyDescent="0.3">
      <c r="A1241" s="175">
        <v>46010</v>
      </c>
      <c r="B1241" s="92" t="s">
        <v>45</v>
      </c>
      <c r="C1241" s="93" t="s">
        <v>66</v>
      </c>
      <c r="D1241" s="92" t="s">
        <v>1</v>
      </c>
      <c r="E1241" s="176">
        <v>1.645833333333333</v>
      </c>
      <c r="F1241" s="92" t="s">
        <v>49</v>
      </c>
      <c r="G1241" s="94">
        <v>8</v>
      </c>
      <c r="H1241" s="173">
        <v>469</v>
      </c>
      <c r="I1241" s="2"/>
    </row>
    <row r="1242" spans="1:9" ht="19.8" customHeight="1" x14ac:dyDescent="0.3">
      <c r="A1242" s="177">
        <v>46010</v>
      </c>
      <c r="B1242" s="96" t="s">
        <v>87</v>
      </c>
      <c r="C1242" s="97" t="s">
        <v>102</v>
      </c>
      <c r="D1242" s="96" t="s">
        <v>1</v>
      </c>
      <c r="E1242" s="178">
        <v>1.614583333333333</v>
      </c>
      <c r="F1242" s="96" t="s">
        <v>89</v>
      </c>
      <c r="G1242" s="98">
        <v>9</v>
      </c>
      <c r="H1242" s="174">
        <v>471</v>
      </c>
      <c r="I1242" s="2"/>
    </row>
    <row r="1243" spans="1:9" ht="19.8" customHeight="1" x14ac:dyDescent="0.3">
      <c r="A1243" s="175">
        <v>46010</v>
      </c>
      <c r="B1243" s="92" t="s">
        <v>79</v>
      </c>
      <c r="C1243" s="93" t="s">
        <v>84</v>
      </c>
      <c r="D1243" s="92" t="s">
        <v>1</v>
      </c>
      <c r="E1243" s="176">
        <v>1.3923611111111109</v>
      </c>
      <c r="F1243" s="92" t="s">
        <v>33</v>
      </c>
      <c r="G1243" s="94">
        <v>9</v>
      </c>
      <c r="H1243" s="173">
        <v>479</v>
      </c>
      <c r="I1243" s="2"/>
    </row>
    <row r="1244" spans="1:9" ht="19.8" customHeight="1" x14ac:dyDescent="0.3">
      <c r="A1244" s="175">
        <v>46010</v>
      </c>
      <c r="B1244" s="92" t="s">
        <v>79</v>
      </c>
      <c r="C1244" s="93" t="s">
        <v>199</v>
      </c>
      <c r="D1244" s="92" t="s">
        <v>1</v>
      </c>
      <c r="E1244" s="176">
        <v>1.975694444444444</v>
      </c>
      <c r="F1244" s="92" t="s">
        <v>33</v>
      </c>
      <c r="G1244" s="94">
        <v>9</v>
      </c>
      <c r="H1244" s="173">
        <v>479</v>
      </c>
      <c r="I1244" s="2"/>
    </row>
    <row r="1245" spans="1:9" ht="19.8" customHeight="1" x14ac:dyDescent="0.3">
      <c r="A1245" s="175">
        <v>46010</v>
      </c>
      <c r="B1245" s="92" t="s">
        <v>79</v>
      </c>
      <c r="C1245" s="93" t="s">
        <v>200</v>
      </c>
      <c r="D1245" s="92" t="s">
        <v>1</v>
      </c>
      <c r="E1245" s="176">
        <v>1.677083333333333</v>
      </c>
      <c r="F1245" s="92" t="s">
        <v>33</v>
      </c>
      <c r="G1245" s="94">
        <v>9</v>
      </c>
      <c r="H1245" s="173">
        <v>479</v>
      </c>
      <c r="I1245" s="2"/>
    </row>
    <row r="1246" spans="1:9" ht="19.8" customHeight="1" x14ac:dyDescent="0.3">
      <c r="A1246" s="175">
        <v>46010</v>
      </c>
      <c r="B1246" s="92" t="s">
        <v>26</v>
      </c>
      <c r="C1246" s="93" t="s">
        <v>35</v>
      </c>
      <c r="D1246" s="92" t="s">
        <v>1</v>
      </c>
      <c r="E1246" s="176">
        <v>1.1284722222222221</v>
      </c>
      <c r="F1246" s="92" t="s">
        <v>31</v>
      </c>
      <c r="G1246" s="94">
        <v>11</v>
      </c>
      <c r="H1246" s="173">
        <v>479</v>
      </c>
      <c r="I1246" s="2"/>
    </row>
    <row r="1247" spans="1:9" ht="19.8" customHeight="1" x14ac:dyDescent="0.3">
      <c r="A1247" s="175">
        <v>46010</v>
      </c>
      <c r="B1247" s="92" t="s">
        <v>26</v>
      </c>
      <c r="C1247" s="93" t="s">
        <v>41</v>
      </c>
      <c r="D1247" s="92" t="s">
        <v>1</v>
      </c>
      <c r="E1247" s="176">
        <v>1.788194444444444</v>
      </c>
      <c r="F1247" s="92" t="s">
        <v>31</v>
      </c>
      <c r="G1247" s="94">
        <v>4</v>
      </c>
      <c r="H1247" s="173">
        <v>479</v>
      </c>
      <c r="I1247" s="2"/>
    </row>
    <row r="1248" spans="1:9" ht="19.8" customHeight="1" x14ac:dyDescent="0.3">
      <c r="A1248" s="175">
        <v>46010</v>
      </c>
      <c r="B1248" s="92" t="s">
        <v>45</v>
      </c>
      <c r="C1248" s="93" t="s">
        <v>62</v>
      </c>
      <c r="D1248" s="92" t="s">
        <v>1</v>
      </c>
      <c r="E1248" s="176">
        <v>1.5173611111111109</v>
      </c>
      <c r="F1248" s="92" t="s">
        <v>49</v>
      </c>
      <c r="G1248" s="94">
        <v>9</v>
      </c>
      <c r="H1248" s="173">
        <v>509</v>
      </c>
      <c r="I1248" s="2"/>
    </row>
    <row r="1249" spans="1:9" ht="19.8" customHeight="1" x14ac:dyDescent="0.3">
      <c r="A1249" s="175">
        <v>46010</v>
      </c>
      <c r="B1249" s="92" t="s">
        <v>45</v>
      </c>
      <c r="C1249" s="93" t="s">
        <v>58</v>
      </c>
      <c r="D1249" s="92" t="s">
        <v>1</v>
      </c>
      <c r="E1249" s="176">
        <v>1.46875</v>
      </c>
      <c r="F1249" s="92" t="s">
        <v>51</v>
      </c>
      <c r="G1249" s="94">
        <v>4</v>
      </c>
      <c r="H1249" s="173">
        <v>519</v>
      </c>
      <c r="I1249" s="2"/>
    </row>
    <row r="1250" spans="1:9" ht="19.8" customHeight="1" x14ac:dyDescent="0.3">
      <c r="A1250" s="177">
        <v>46010</v>
      </c>
      <c r="B1250" s="96" t="s">
        <v>87</v>
      </c>
      <c r="C1250" s="97" t="s">
        <v>165</v>
      </c>
      <c r="D1250" s="96" t="s">
        <v>1</v>
      </c>
      <c r="E1250" s="178">
        <v>1.7361111111111109</v>
      </c>
      <c r="F1250" s="96" t="s">
        <v>89</v>
      </c>
      <c r="G1250" s="98">
        <v>8</v>
      </c>
      <c r="H1250" s="174">
        <v>526</v>
      </c>
      <c r="I1250" s="2"/>
    </row>
    <row r="1251" spans="1:9" ht="19.8" customHeight="1" x14ac:dyDescent="0.3">
      <c r="A1251" s="177">
        <v>46010</v>
      </c>
      <c r="B1251" s="96" t="s">
        <v>87</v>
      </c>
      <c r="C1251" s="97" t="s">
        <v>88</v>
      </c>
      <c r="D1251" s="96" t="s">
        <v>1</v>
      </c>
      <c r="E1251" s="178">
        <v>1.9375</v>
      </c>
      <c r="F1251" s="96" t="s">
        <v>89</v>
      </c>
      <c r="G1251" s="98">
        <v>9</v>
      </c>
      <c r="H1251" s="174">
        <v>526</v>
      </c>
      <c r="I1251" s="2"/>
    </row>
    <row r="1252" spans="1:9" ht="19.8" customHeight="1" x14ac:dyDescent="0.3">
      <c r="A1252" s="175">
        <v>46010</v>
      </c>
      <c r="B1252" s="92" t="s">
        <v>26</v>
      </c>
      <c r="C1252" s="93" t="s">
        <v>27</v>
      </c>
      <c r="D1252" s="92" t="s">
        <v>1</v>
      </c>
      <c r="E1252" s="176">
        <v>1.8888888888888891</v>
      </c>
      <c r="F1252" s="92" t="s">
        <v>31</v>
      </c>
      <c r="G1252" s="94">
        <v>13</v>
      </c>
      <c r="H1252" s="173">
        <v>539</v>
      </c>
      <c r="I1252" s="2"/>
    </row>
    <row r="1253" spans="1:9" ht="19.8" customHeight="1" x14ac:dyDescent="0.3">
      <c r="A1253" s="175">
        <v>46010</v>
      </c>
      <c r="B1253" s="92" t="s">
        <v>45</v>
      </c>
      <c r="C1253" s="93" t="s">
        <v>53</v>
      </c>
      <c r="D1253" s="92" t="s">
        <v>1</v>
      </c>
      <c r="E1253" s="176">
        <v>1.854166666666667</v>
      </c>
      <c r="F1253" s="92" t="s">
        <v>51</v>
      </c>
      <c r="G1253" s="94">
        <v>6</v>
      </c>
      <c r="H1253" s="173">
        <v>559</v>
      </c>
      <c r="I1253" s="2"/>
    </row>
    <row r="1254" spans="1:9" ht="19.8" customHeight="1" x14ac:dyDescent="0.3">
      <c r="A1254" s="175">
        <v>46010</v>
      </c>
      <c r="B1254" s="92" t="s">
        <v>45</v>
      </c>
      <c r="C1254" s="93" t="s">
        <v>57</v>
      </c>
      <c r="D1254" s="92" t="s">
        <v>1</v>
      </c>
      <c r="E1254" s="176">
        <v>1.256944444444444</v>
      </c>
      <c r="F1254" s="92" t="s">
        <v>51</v>
      </c>
      <c r="G1254" s="94">
        <v>9</v>
      </c>
      <c r="H1254" s="173">
        <v>559</v>
      </c>
      <c r="I1254" s="2"/>
    </row>
    <row r="1255" spans="1:9" ht="19.8" customHeight="1" x14ac:dyDescent="0.3">
      <c r="A1255" s="175">
        <v>46010</v>
      </c>
      <c r="B1255" s="92" t="s">
        <v>45</v>
      </c>
      <c r="C1255" s="93" t="s">
        <v>59</v>
      </c>
      <c r="D1255" s="92" t="s">
        <v>1</v>
      </c>
      <c r="E1255" s="176">
        <v>1.9027777777777779</v>
      </c>
      <c r="F1255" s="92" t="s">
        <v>51</v>
      </c>
      <c r="G1255" s="94">
        <v>5</v>
      </c>
      <c r="H1255" s="173">
        <v>559</v>
      </c>
      <c r="I1255" s="2"/>
    </row>
    <row r="1256" spans="1:9" ht="19.8" customHeight="1" x14ac:dyDescent="0.3">
      <c r="A1256" s="175">
        <v>46010</v>
      </c>
      <c r="B1256" s="92" t="s">
        <v>45</v>
      </c>
      <c r="C1256" s="93" t="s">
        <v>60</v>
      </c>
      <c r="D1256" s="92" t="s">
        <v>1</v>
      </c>
      <c r="E1256" s="176">
        <v>1.7986111111111109</v>
      </c>
      <c r="F1256" s="92" t="s">
        <v>51</v>
      </c>
      <c r="G1256" s="94">
        <v>2</v>
      </c>
      <c r="H1256" s="173">
        <v>559</v>
      </c>
      <c r="I1256" s="2"/>
    </row>
    <row r="1257" spans="1:9" ht="19.8" customHeight="1" x14ac:dyDescent="0.3">
      <c r="A1257" s="175">
        <v>46010</v>
      </c>
      <c r="B1257" s="92" t="s">
        <v>45</v>
      </c>
      <c r="C1257" s="93" t="s">
        <v>46</v>
      </c>
      <c r="D1257" s="92" t="s">
        <v>1</v>
      </c>
      <c r="E1257" s="176">
        <v>1.395833333333333</v>
      </c>
      <c r="F1257" s="92" t="s">
        <v>51</v>
      </c>
      <c r="G1257" s="94">
        <v>7</v>
      </c>
      <c r="H1257" s="173">
        <v>559</v>
      </c>
      <c r="I1257" s="2"/>
    </row>
    <row r="1258" spans="1:9" ht="19.8" customHeight="1" x14ac:dyDescent="0.3">
      <c r="A1258" s="175">
        <v>46010</v>
      </c>
      <c r="B1258" s="92" t="s">
        <v>45</v>
      </c>
      <c r="C1258" s="93" t="s">
        <v>66</v>
      </c>
      <c r="D1258" s="92" t="s">
        <v>1</v>
      </c>
      <c r="E1258" s="176">
        <v>1.645833333333333</v>
      </c>
      <c r="F1258" s="92" t="s">
        <v>51</v>
      </c>
      <c r="G1258" s="94">
        <v>8</v>
      </c>
      <c r="H1258" s="173">
        <v>559</v>
      </c>
      <c r="I1258" s="2"/>
    </row>
    <row r="1259" spans="1:9" ht="19.8" customHeight="1" x14ac:dyDescent="0.3">
      <c r="A1259" s="175">
        <v>46010</v>
      </c>
      <c r="B1259" s="92" t="s">
        <v>45</v>
      </c>
      <c r="C1259" s="93" t="s">
        <v>62</v>
      </c>
      <c r="D1259" s="92" t="s">
        <v>1</v>
      </c>
      <c r="E1259" s="176">
        <v>1.5173611111111109</v>
      </c>
      <c r="F1259" s="92" t="s">
        <v>51</v>
      </c>
      <c r="G1259" s="94">
        <v>9</v>
      </c>
      <c r="H1259" s="173">
        <v>599</v>
      </c>
      <c r="I1259" s="2"/>
    </row>
    <row r="1260" spans="1:9" ht="19.8" customHeight="1" x14ac:dyDescent="0.3">
      <c r="A1260" s="175">
        <v>46010</v>
      </c>
      <c r="B1260" s="92" t="s">
        <v>115</v>
      </c>
      <c r="C1260" s="93" t="s">
        <v>120</v>
      </c>
      <c r="D1260" s="92" t="s">
        <v>1</v>
      </c>
      <c r="E1260" s="176">
        <v>1.28125</v>
      </c>
      <c r="F1260" s="92" t="s">
        <v>124</v>
      </c>
      <c r="G1260" s="94">
        <v>9</v>
      </c>
      <c r="H1260" s="173">
        <v>637</v>
      </c>
      <c r="I1260" s="2"/>
    </row>
    <row r="1261" spans="1:9" ht="19.8" customHeight="1" x14ac:dyDescent="0.3">
      <c r="A1261" s="175">
        <v>46010</v>
      </c>
      <c r="B1261" s="92" t="s">
        <v>130</v>
      </c>
      <c r="C1261" s="93" t="s">
        <v>143</v>
      </c>
      <c r="D1261" s="92" t="s">
        <v>1</v>
      </c>
      <c r="E1261" s="176">
        <v>1.006944444444444</v>
      </c>
      <c r="F1261" s="92" t="s">
        <v>132</v>
      </c>
      <c r="G1261" s="94">
        <v>9</v>
      </c>
      <c r="H1261" s="173">
        <v>678</v>
      </c>
      <c r="I1261" s="2"/>
    </row>
    <row r="1262" spans="1:9" ht="19.8" customHeight="1" x14ac:dyDescent="0.3">
      <c r="A1262" s="175">
        <v>46010</v>
      </c>
      <c r="B1262" s="92" t="s">
        <v>130</v>
      </c>
      <c r="C1262" s="93" t="s">
        <v>147</v>
      </c>
      <c r="D1262" s="92" t="s">
        <v>1</v>
      </c>
      <c r="E1262" s="176">
        <v>1.71875</v>
      </c>
      <c r="F1262" s="92" t="s">
        <v>132</v>
      </c>
      <c r="G1262" s="94">
        <v>9</v>
      </c>
      <c r="H1262" s="173">
        <v>678</v>
      </c>
      <c r="I1262" s="2"/>
    </row>
    <row r="1263" spans="1:9" ht="19.8" customHeight="1" x14ac:dyDescent="0.3">
      <c r="A1263" s="175">
        <v>46010</v>
      </c>
      <c r="B1263" s="92" t="s">
        <v>130</v>
      </c>
      <c r="C1263" s="93" t="s">
        <v>148</v>
      </c>
      <c r="D1263" s="92" t="s">
        <v>1</v>
      </c>
      <c r="E1263" s="176">
        <v>1.8298611111111109</v>
      </c>
      <c r="F1263" s="92" t="s">
        <v>132</v>
      </c>
      <c r="G1263" s="94">
        <v>9</v>
      </c>
      <c r="H1263" s="173">
        <v>678</v>
      </c>
      <c r="I1263" s="2"/>
    </row>
    <row r="1264" spans="1:9" ht="19.8" customHeight="1" x14ac:dyDescent="0.3">
      <c r="A1264" s="175">
        <v>46010</v>
      </c>
      <c r="B1264" s="92" t="s">
        <v>130</v>
      </c>
      <c r="C1264" s="93" t="s">
        <v>136</v>
      </c>
      <c r="D1264" s="92" t="s">
        <v>1</v>
      </c>
      <c r="E1264" s="176">
        <v>1.3784722222222221</v>
      </c>
      <c r="F1264" s="92" t="s">
        <v>132</v>
      </c>
      <c r="G1264" s="94">
        <v>9</v>
      </c>
      <c r="H1264" s="173">
        <v>678</v>
      </c>
      <c r="I1264" s="2"/>
    </row>
    <row r="1265" spans="1:9" ht="19.8" customHeight="1" x14ac:dyDescent="0.3">
      <c r="A1265" s="175">
        <v>46010</v>
      </c>
      <c r="B1265" s="92" t="s">
        <v>130</v>
      </c>
      <c r="C1265" s="93" t="s">
        <v>137</v>
      </c>
      <c r="D1265" s="92" t="s">
        <v>1</v>
      </c>
      <c r="E1265" s="176">
        <v>1.6111111111111109</v>
      </c>
      <c r="F1265" s="92" t="s">
        <v>132</v>
      </c>
      <c r="G1265" s="94">
        <v>9</v>
      </c>
      <c r="H1265" s="173">
        <v>678</v>
      </c>
      <c r="I1265" s="2"/>
    </row>
    <row r="1266" spans="1:9" ht="19.8" customHeight="1" x14ac:dyDescent="0.3">
      <c r="A1266" s="175">
        <v>46010</v>
      </c>
      <c r="B1266" s="92" t="s">
        <v>130</v>
      </c>
      <c r="C1266" s="93" t="s">
        <v>138</v>
      </c>
      <c r="D1266" s="92" t="s">
        <v>1</v>
      </c>
      <c r="E1266" s="176">
        <v>1.239583333333333</v>
      </c>
      <c r="F1266" s="92" t="s">
        <v>132</v>
      </c>
      <c r="G1266" s="94">
        <v>9</v>
      </c>
      <c r="H1266" s="173">
        <v>678</v>
      </c>
      <c r="I1266" s="2"/>
    </row>
    <row r="1267" spans="1:9" ht="19.8" customHeight="1" x14ac:dyDescent="0.3">
      <c r="A1267" s="175">
        <v>46010</v>
      </c>
      <c r="B1267" s="92" t="s">
        <v>115</v>
      </c>
      <c r="C1267" s="93" t="s">
        <v>116</v>
      </c>
      <c r="D1267" s="92" t="s">
        <v>1</v>
      </c>
      <c r="E1267" s="176">
        <v>1.229166666666667</v>
      </c>
      <c r="F1267" s="92" t="s">
        <v>124</v>
      </c>
      <c r="G1267" s="94">
        <v>9</v>
      </c>
      <c r="H1267" s="173">
        <v>712</v>
      </c>
      <c r="I1267" s="2"/>
    </row>
    <row r="1268" spans="1:9" ht="19.8" customHeight="1" x14ac:dyDescent="0.3">
      <c r="A1268" s="175">
        <v>46010</v>
      </c>
      <c r="B1268" s="92" t="s">
        <v>115</v>
      </c>
      <c r="C1268" s="93" t="s">
        <v>121</v>
      </c>
      <c r="D1268" s="92" t="s">
        <v>1</v>
      </c>
      <c r="E1268" s="176">
        <v>1.4861111111111109</v>
      </c>
      <c r="F1268" s="92" t="s">
        <v>124</v>
      </c>
      <c r="G1268" s="94">
        <v>9</v>
      </c>
      <c r="H1268" s="173">
        <v>712</v>
      </c>
      <c r="I1268" s="2"/>
    </row>
    <row r="1269" spans="1:9" ht="19.8" customHeight="1" x14ac:dyDescent="0.3">
      <c r="A1269" s="175">
        <v>46010</v>
      </c>
      <c r="B1269" s="92" t="s">
        <v>130</v>
      </c>
      <c r="C1269" s="93" t="s">
        <v>143</v>
      </c>
      <c r="D1269" s="92" t="s">
        <v>1</v>
      </c>
      <c r="E1269" s="176">
        <v>1.006944444444444</v>
      </c>
      <c r="F1269" s="92" t="s">
        <v>134</v>
      </c>
      <c r="G1269" s="94">
        <v>9</v>
      </c>
      <c r="H1269" s="173">
        <v>723</v>
      </c>
      <c r="I1269" s="2"/>
    </row>
    <row r="1270" spans="1:9" ht="19.8" customHeight="1" x14ac:dyDescent="0.3">
      <c r="A1270" s="175">
        <v>46010</v>
      </c>
      <c r="B1270" s="92" t="s">
        <v>130</v>
      </c>
      <c r="C1270" s="93" t="s">
        <v>147</v>
      </c>
      <c r="D1270" s="92" t="s">
        <v>1</v>
      </c>
      <c r="E1270" s="176">
        <v>1.71875</v>
      </c>
      <c r="F1270" s="92" t="s">
        <v>134</v>
      </c>
      <c r="G1270" s="94">
        <v>9</v>
      </c>
      <c r="H1270" s="173">
        <v>723</v>
      </c>
      <c r="I1270" s="2"/>
    </row>
    <row r="1271" spans="1:9" ht="19.8" customHeight="1" x14ac:dyDescent="0.3">
      <c r="A1271" s="175">
        <v>46010</v>
      </c>
      <c r="B1271" s="92" t="s">
        <v>130</v>
      </c>
      <c r="C1271" s="93" t="s">
        <v>148</v>
      </c>
      <c r="D1271" s="92" t="s">
        <v>1</v>
      </c>
      <c r="E1271" s="176">
        <v>1.8298611111111109</v>
      </c>
      <c r="F1271" s="92" t="s">
        <v>134</v>
      </c>
      <c r="G1271" s="94">
        <v>9</v>
      </c>
      <c r="H1271" s="173">
        <v>723</v>
      </c>
      <c r="I1271" s="2"/>
    </row>
    <row r="1272" spans="1:9" ht="19.8" customHeight="1" x14ac:dyDescent="0.3">
      <c r="A1272" s="175">
        <v>46010</v>
      </c>
      <c r="B1272" s="92" t="s">
        <v>130</v>
      </c>
      <c r="C1272" s="93" t="s">
        <v>136</v>
      </c>
      <c r="D1272" s="92" t="s">
        <v>1</v>
      </c>
      <c r="E1272" s="176">
        <v>1.3784722222222221</v>
      </c>
      <c r="F1272" s="92" t="s">
        <v>134</v>
      </c>
      <c r="G1272" s="94">
        <v>9</v>
      </c>
      <c r="H1272" s="173">
        <v>723</v>
      </c>
      <c r="I1272" s="2"/>
    </row>
    <row r="1273" spans="1:9" ht="19.8" customHeight="1" x14ac:dyDescent="0.3">
      <c r="A1273" s="175">
        <v>46010</v>
      </c>
      <c r="B1273" s="92" t="s">
        <v>130</v>
      </c>
      <c r="C1273" s="93" t="s">
        <v>137</v>
      </c>
      <c r="D1273" s="92" t="s">
        <v>1</v>
      </c>
      <c r="E1273" s="176">
        <v>1.6111111111111109</v>
      </c>
      <c r="F1273" s="92" t="s">
        <v>134</v>
      </c>
      <c r="G1273" s="94">
        <v>9</v>
      </c>
      <c r="H1273" s="173">
        <v>723</v>
      </c>
      <c r="I1273" s="2"/>
    </row>
    <row r="1274" spans="1:9" ht="19.8" customHeight="1" x14ac:dyDescent="0.3">
      <c r="A1274" s="175">
        <v>46010</v>
      </c>
      <c r="B1274" s="92" t="s">
        <v>130</v>
      </c>
      <c r="C1274" s="93" t="s">
        <v>138</v>
      </c>
      <c r="D1274" s="92" t="s">
        <v>1</v>
      </c>
      <c r="E1274" s="176">
        <v>1.239583333333333</v>
      </c>
      <c r="F1274" s="92" t="s">
        <v>134</v>
      </c>
      <c r="G1274" s="94">
        <v>9</v>
      </c>
      <c r="H1274" s="173">
        <v>723</v>
      </c>
      <c r="I1274" s="2"/>
    </row>
    <row r="1275" spans="1:9" ht="19.8" customHeight="1" x14ac:dyDescent="0.3">
      <c r="A1275" s="175">
        <v>46010</v>
      </c>
      <c r="B1275" s="92" t="s">
        <v>115</v>
      </c>
      <c r="C1275" s="93" t="s">
        <v>128</v>
      </c>
      <c r="D1275" s="92" t="s">
        <v>1</v>
      </c>
      <c r="E1275" s="176">
        <v>1.0138888888888891</v>
      </c>
      <c r="F1275" s="92" t="s">
        <v>124</v>
      </c>
      <c r="G1275" s="94">
        <v>9</v>
      </c>
      <c r="H1275" s="173">
        <v>795</v>
      </c>
      <c r="I1275" s="2"/>
    </row>
    <row r="1276" spans="1:9" ht="19.8" customHeight="1" x14ac:dyDescent="0.3">
      <c r="A1276" s="175">
        <v>46010</v>
      </c>
      <c r="B1276" s="92" t="s">
        <v>115</v>
      </c>
      <c r="C1276" s="93" t="s">
        <v>119</v>
      </c>
      <c r="D1276" s="92" t="s">
        <v>1</v>
      </c>
      <c r="E1276" s="176">
        <v>1.145833333333333</v>
      </c>
      <c r="F1276" s="92" t="s">
        <v>124</v>
      </c>
      <c r="G1276" s="94">
        <v>9</v>
      </c>
      <c r="H1276" s="173">
        <v>795</v>
      </c>
      <c r="I1276" s="2"/>
    </row>
    <row r="1277" spans="1:9" ht="19.8" customHeight="1" x14ac:dyDescent="0.3">
      <c r="A1277" s="175">
        <v>46010</v>
      </c>
      <c r="B1277" s="92" t="s">
        <v>130</v>
      </c>
      <c r="C1277" s="93" t="s">
        <v>131</v>
      </c>
      <c r="D1277" s="92" t="s">
        <v>1</v>
      </c>
      <c r="E1277" s="176">
        <v>1.930555555555556</v>
      </c>
      <c r="F1277" s="92" t="s">
        <v>132</v>
      </c>
      <c r="G1277" s="94">
        <v>9</v>
      </c>
      <c r="H1277" s="173">
        <v>935</v>
      </c>
      <c r="I1277" s="2"/>
    </row>
    <row r="1278" spans="1:9" ht="19.8" customHeight="1" x14ac:dyDescent="0.3">
      <c r="A1278" s="175">
        <v>46010</v>
      </c>
      <c r="B1278" s="92" t="s">
        <v>130</v>
      </c>
      <c r="C1278" s="93" t="s">
        <v>131</v>
      </c>
      <c r="D1278" s="92" t="s">
        <v>1</v>
      </c>
      <c r="E1278" s="176">
        <v>1.930555555555556</v>
      </c>
      <c r="F1278" s="92" t="s">
        <v>134</v>
      </c>
      <c r="G1278" s="94">
        <v>9</v>
      </c>
      <c r="H1278" s="173">
        <v>980</v>
      </c>
      <c r="I1278" s="2"/>
    </row>
    <row r="1279" spans="1:9" ht="19.8" customHeight="1" x14ac:dyDescent="0.3">
      <c r="A1279" s="175">
        <v>46010</v>
      </c>
      <c r="B1279" s="92" t="s">
        <v>26</v>
      </c>
      <c r="C1279" s="93" t="s">
        <v>35</v>
      </c>
      <c r="D1279" s="92" t="s">
        <v>1</v>
      </c>
      <c r="E1279" s="176">
        <v>1.1284722222222221</v>
      </c>
      <c r="F1279" s="92" t="s">
        <v>33</v>
      </c>
      <c r="G1279" s="94">
        <v>11</v>
      </c>
      <c r="H1279" s="99" t="s">
        <v>34</v>
      </c>
      <c r="I1279" s="2"/>
    </row>
    <row r="1280" spans="1:9" ht="19.8" customHeight="1" x14ac:dyDescent="0.3">
      <c r="A1280" s="175">
        <v>46010</v>
      </c>
      <c r="B1280" s="92" t="s">
        <v>26</v>
      </c>
      <c r="C1280" s="93" t="s">
        <v>39</v>
      </c>
      <c r="D1280" s="92" t="s">
        <v>1</v>
      </c>
      <c r="E1280" s="176">
        <v>1.302083333333333</v>
      </c>
      <c r="F1280" s="92" t="s">
        <v>33</v>
      </c>
      <c r="G1280" s="94">
        <v>2</v>
      </c>
      <c r="H1280" s="99" t="s">
        <v>34</v>
      </c>
      <c r="I1280" s="2"/>
    </row>
    <row r="1281" spans="1:9" ht="19.8" customHeight="1" x14ac:dyDescent="0.3">
      <c r="A1281" s="175">
        <v>46010</v>
      </c>
      <c r="B1281" s="92" t="s">
        <v>26</v>
      </c>
      <c r="C1281" s="93" t="s">
        <v>27</v>
      </c>
      <c r="D1281" s="92" t="s">
        <v>1</v>
      </c>
      <c r="E1281" s="176">
        <v>1.8888888888888891</v>
      </c>
      <c r="F1281" s="92" t="s">
        <v>33</v>
      </c>
      <c r="G1281" s="94">
        <v>13</v>
      </c>
      <c r="H1281" s="99" t="s">
        <v>34</v>
      </c>
      <c r="I1281" s="2"/>
    </row>
    <row r="1282" spans="1:9" ht="19.8" customHeight="1" x14ac:dyDescent="0.3">
      <c r="A1282" s="175">
        <v>46010</v>
      </c>
      <c r="B1282" s="92" t="s">
        <v>26</v>
      </c>
      <c r="C1282" s="93" t="s">
        <v>41</v>
      </c>
      <c r="D1282" s="92" t="s">
        <v>1</v>
      </c>
      <c r="E1282" s="176">
        <v>1.788194444444444</v>
      </c>
      <c r="F1282" s="92" t="s">
        <v>33</v>
      </c>
      <c r="G1282" s="94">
        <v>4</v>
      </c>
      <c r="H1282" s="99" t="s">
        <v>34</v>
      </c>
      <c r="I1282" s="2"/>
    </row>
    <row r="1283" spans="1:9" ht="19.8" customHeight="1" x14ac:dyDescent="0.3">
      <c r="A1283" s="175">
        <v>46010</v>
      </c>
      <c r="B1283" s="92" t="s">
        <v>130</v>
      </c>
      <c r="C1283" s="93" t="s">
        <v>141</v>
      </c>
      <c r="D1283" s="92" t="s">
        <v>1</v>
      </c>
      <c r="E1283" s="176">
        <v>1.302083333333333</v>
      </c>
      <c r="F1283" s="92" t="s">
        <v>134</v>
      </c>
      <c r="G1283" s="94">
        <v>4</v>
      </c>
      <c r="H1283" s="99" t="s">
        <v>218</v>
      </c>
      <c r="I1283" s="2"/>
    </row>
    <row r="1284" spans="1:9" ht="19.8" customHeight="1" x14ac:dyDescent="0.3">
      <c r="A1284" s="175">
        <v>46010</v>
      </c>
      <c r="B1284" s="92" t="s">
        <v>130</v>
      </c>
      <c r="C1284" s="93" t="s">
        <v>142</v>
      </c>
      <c r="D1284" s="92" t="s">
        <v>1</v>
      </c>
      <c r="E1284" s="176">
        <v>1.1284722222222221</v>
      </c>
      <c r="F1284" s="92" t="s">
        <v>134</v>
      </c>
      <c r="G1284" s="94">
        <v>4</v>
      </c>
      <c r="H1284" s="99" t="s">
        <v>218</v>
      </c>
      <c r="I1284" s="2"/>
    </row>
    <row r="1285" spans="1:9" ht="19.8" customHeight="1" x14ac:dyDescent="0.3">
      <c r="A1285" s="175">
        <v>46010</v>
      </c>
      <c r="B1285" s="92" t="s">
        <v>130</v>
      </c>
      <c r="C1285" s="93" t="s">
        <v>149</v>
      </c>
      <c r="D1285" s="92" t="s">
        <v>1</v>
      </c>
      <c r="E1285" s="176">
        <v>1.788194444444444</v>
      </c>
      <c r="F1285" s="92" t="s">
        <v>134</v>
      </c>
      <c r="G1285" s="94">
        <v>4</v>
      </c>
      <c r="H1285" s="99" t="s">
        <v>178</v>
      </c>
      <c r="I1285" s="2"/>
    </row>
    <row r="1286" spans="1:9" ht="19.8" customHeight="1" x14ac:dyDescent="0.3">
      <c r="A1286" s="175">
        <v>46010</v>
      </c>
      <c r="B1286" s="92" t="s">
        <v>130</v>
      </c>
      <c r="C1286" s="93" t="s">
        <v>139</v>
      </c>
      <c r="D1286" s="92" t="s">
        <v>1</v>
      </c>
      <c r="E1286" s="176">
        <v>1.8888888888888891</v>
      </c>
      <c r="F1286" s="92" t="s">
        <v>134</v>
      </c>
      <c r="G1286" s="94">
        <v>4</v>
      </c>
      <c r="H1286" s="99" t="s">
        <v>140</v>
      </c>
      <c r="I1286" s="2"/>
    </row>
    <row r="1287" spans="1:9" ht="19.8" customHeight="1" x14ac:dyDescent="0.3">
      <c r="A1287" s="175">
        <v>46010</v>
      </c>
      <c r="B1287" s="92" t="s">
        <v>115</v>
      </c>
      <c r="C1287" s="93" t="s">
        <v>126</v>
      </c>
      <c r="D1287" s="92" t="s">
        <v>1</v>
      </c>
      <c r="E1287" s="176">
        <v>1.770833333333333</v>
      </c>
      <c r="F1287" s="92" t="s">
        <v>124</v>
      </c>
      <c r="G1287" s="94">
        <v>9</v>
      </c>
      <c r="H1287" s="99" t="s">
        <v>324</v>
      </c>
      <c r="I1287" s="2"/>
    </row>
    <row r="1288" spans="1:9" ht="19.8" customHeight="1" x14ac:dyDescent="0.3">
      <c r="A1288" s="175">
        <v>46010</v>
      </c>
      <c r="B1288" s="92" t="s">
        <v>130</v>
      </c>
      <c r="C1288" s="93" t="s">
        <v>146</v>
      </c>
      <c r="D1288" s="92" t="s">
        <v>1</v>
      </c>
      <c r="E1288" s="176">
        <v>1.1423611111111109</v>
      </c>
      <c r="F1288" s="92" t="s">
        <v>132</v>
      </c>
      <c r="G1288" s="94">
        <v>1</v>
      </c>
      <c r="H1288" s="99" t="s">
        <v>291</v>
      </c>
      <c r="I1288" s="2"/>
    </row>
    <row r="1289" spans="1:9" ht="19.8" customHeight="1" x14ac:dyDescent="0.3">
      <c r="A1289" s="179">
        <v>46010</v>
      </c>
      <c r="B1289" s="100" t="s">
        <v>130</v>
      </c>
      <c r="C1289" s="101" t="s">
        <v>146</v>
      </c>
      <c r="D1289" s="100" t="s">
        <v>1</v>
      </c>
      <c r="E1289" s="180">
        <v>1.1423611111111109</v>
      </c>
      <c r="F1289" s="100" t="s">
        <v>134</v>
      </c>
      <c r="G1289" s="102">
        <v>1</v>
      </c>
      <c r="H1289" s="103" t="s">
        <v>336</v>
      </c>
      <c r="I1289" s="2"/>
    </row>
    <row r="1290" spans="1:9" ht="19.8" customHeight="1" x14ac:dyDescent="0.3">
      <c r="A1290" s="175">
        <v>46011</v>
      </c>
      <c r="B1290" s="92" t="s">
        <v>26</v>
      </c>
      <c r="C1290" s="93" t="s">
        <v>35</v>
      </c>
      <c r="D1290" s="92" t="s">
        <v>1</v>
      </c>
      <c r="E1290" s="176">
        <v>1.1284722222222221</v>
      </c>
      <c r="F1290" s="92" t="s">
        <v>28</v>
      </c>
      <c r="G1290" s="94">
        <v>2</v>
      </c>
      <c r="H1290" s="173">
        <v>299</v>
      </c>
      <c r="I1290" s="2"/>
    </row>
    <row r="1291" spans="1:9" ht="19.8" customHeight="1" x14ac:dyDescent="0.3">
      <c r="A1291" s="175">
        <v>46011</v>
      </c>
      <c r="B1291" s="92" t="s">
        <v>26</v>
      </c>
      <c r="C1291" s="93" t="s">
        <v>39</v>
      </c>
      <c r="D1291" s="92" t="s">
        <v>1</v>
      </c>
      <c r="E1291" s="176">
        <v>1.302083333333333</v>
      </c>
      <c r="F1291" s="92" t="s">
        <v>28</v>
      </c>
      <c r="G1291" s="94">
        <v>10</v>
      </c>
      <c r="H1291" s="173">
        <v>329</v>
      </c>
      <c r="I1291" s="2"/>
    </row>
    <row r="1292" spans="1:9" ht="19.8" customHeight="1" x14ac:dyDescent="0.3">
      <c r="A1292" s="175">
        <v>46011</v>
      </c>
      <c r="B1292" s="92" t="s">
        <v>79</v>
      </c>
      <c r="C1292" s="93" t="s">
        <v>84</v>
      </c>
      <c r="D1292" s="92" t="s">
        <v>1</v>
      </c>
      <c r="E1292" s="176">
        <v>1.3298611111111109</v>
      </c>
      <c r="F1292" s="92" t="s">
        <v>81</v>
      </c>
      <c r="G1292" s="94">
        <v>9</v>
      </c>
      <c r="H1292" s="173">
        <v>355</v>
      </c>
      <c r="I1292" s="2"/>
    </row>
    <row r="1293" spans="1:9" ht="19.8" customHeight="1" x14ac:dyDescent="0.3">
      <c r="A1293" s="175">
        <v>46011</v>
      </c>
      <c r="B1293" s="92" t="s">
        <v>79</v>
      </c>
      <c r="C1293" s="93" t="s">
        <v>80</v>
      </c>
      <c r="D1293" s="92" t="s">
        <v>1</v>
      </c>
      <c r="E1293" s="176">
        <v>1.2152777777777779</v>
      </c>
      <c r="F1293" s="92" t="s">
        <v>81</v>
      </c>
      <c r="G1293" s="94">
        <v>9</v>
      </c>
      <c r="H1293" s="173">
        <v>355</v>
      </c>
      <c r="I1293" s="2"/>
    </row>
    <row r="1294" spans="1:9" ht="19.8" customHeight="1" x14ac:dyDescent="0.3">
      <c r="A1294" s="175">
        <v>46011</v>
      </c>
      <c r="B1294" s="92" t="s">
        <v>45</v>
      </c>
      <c r="C1294" s="93" t="s">
        <v>53</v>
      </c>
      <c r="D1294" s="92" t="s">
        <v>1</v>
      </c>
      <c r="E1294" s="176">
        <v>1.854166666666667</v>
      </c>
      <c r="F1294" s="92" t="s">
        <v>47</v>
      </c>
      <c r="G1294" s="94">
        <v>9</v>
      </c>
      <c r="H1294" s="173">
        <v>369</v>
      </c>
      <c r="I1294" s="2"/>
    </row>
    <row r="1295" spans="1:9" ht="19.8" customHeight="1" x14ac:dyDescent="0.3">
      <c r="A1295" s="175">
        <v>46011</v>
      </c>
      <c r="B1295" s="92" t="s">
        <v>45</v>
      </c>
      <c r="C1295" s="93" t="s">
        <v>57</v>
      </c>
      <c r="D1295" s="92" t="s">
        <v>1</v>
      </c>
      <c r="E1295" s="176">
        <v>1.256944444444444</v>
      </c>
      <c r="F1295" s="92" t="s">
        <v>47</v>
      </c>
      <c r="G1295" s="94">
        <v>1</v>
      </c>
      <c r="H1295" s="173">
        <v>369</v>
      </c>
      <c r="I1295" s="2"/>
    </row>
    <row r="1296" spans="1:9" ht="19.8" customHeight="1" x14ac:dyDescent="0.3">
      <c r="A1296" s="175">
        <v>46011</v>
      </c>
      <c r="B1296" s="92" t="s">
        <v>45</v>
      </c>
      <c r="C1296" s="93" t="s">
        <v>59</v>
      </c>
      <c r="D1296" s="92" t="s">
        <v>1</v>
      </c>
      <c r="E1296" s="176">
        <v>1.9027777777777779</v>
      </c>
      <c r="F1296" s="92" t="s">
        <v>47</v>
      </c>
      <c r="G1296" s="94">
        <v>2</v>
      </c>
      <c r="H1296" s="173">
        <v>369</v>
      </c>
      <c r="I1296" s="2"/>
    </row>
    <row r="1297" spans="1:9" ht="19.8" customHeight="1" x14ac:dyDescent="0.3">
      <c r="A1297" s="175">
        <v>46011</v>
      </c>
      <c r="B1297" s="92" t="s">
        <v>45</v>
      </c>
      <c r="C1297" s="93" t="s">
        <v>46</v>
      </c>
      <c r="D1297" s="92" t="s">
        <v>1</v>
      </c>
      <c r="E1297" s="176">
        <v>1.395833333333333</v>
      </c>
      <c r="F1297" s="92" t="s">
        <v>47</v>
      </c>
      <c r="G1297" s="94">
        <v>2</v>
      </c>
      <c r="H1297" s="173">
        <v>369</v>
      </c>
      <c r="I1297" s="2"/>
    </row>
    <row r="1298" spans="1:9" ht="19.8" customHeight="1" x14ac:dyDescent="0.3">
      <c r="A1298" s="175">
        <v>46011</v>
      </c>
      <c r="B1298" s="92" t="s">
        <v>26</v>
      </c>
      <c r="C1298" s="93" t="s">
        <v>41</v>
      </c>
      <c r="D1298" s="92" t="s">
        <v>1</v>
      </c>
      <c r="E1298" s="176">
        <v>1.788194444444444</v>
      </c>
      <c r="F1298" s="92" t="s">
        <v>28</v>
      </c>
      <c r="G1298" s="94">
        <v>13</v>
      </c>
      <c r="H1298" s="173">
        <v>389</v>
      </c>
      <c r="I1298" s="2"/>
    </row>
    <row r="1299" spans="1:9" ht="19.8" customHeight="1" x14ac:dyDescent="0.3">
      <c r="A1299" s="175">
        <v>46011</v>
      </c>
      <c r="B1299" s="92" t="s">
        <v>74</v>
      </c>
      <c r="C1299" s="93" t="s">
        <v>78</v>
      </c>
      <c r="D1299" s="92" t="s">
        <v>1</v>
      </c>
      <c r="E1299" s="176">
        <v>1.666666666666667</v>
      </c>
      <c r="F1299" s="92" t="s">
        <v>72</v>
      </c>
      <c r="G1299" s="94">
        <v>1</v>
      </c>
      <c r="H1299" s="173">
        <v>401</v>
      </c>
      <c r="I1299" s="2"/>
    </row>
    <row r="1300" spans="1:9" ht="19.8" customHeight="1" x14ac:dyDescent="0.3">
      <c r="A1300" s="175">
        <v>46011</v>
      </c>
      <c r="B1300" s="92" t="s">
        <v>45</v>
      </c>
      <c r="C1300" s="93" t="s">
        <v>58</v>
      </c>
      <c r="D1300" s="92" t="s">
        <v>1</v>
      </c>
      <c r="E1300" s="176">
        <v>1.46875</v>
      </c>
      <c r="F1300" s="92" t="s">
        <v>47</v>
      </c>
      <c r="G1300" s="94">
        <v>6</v>
      </c>
      <c r="H1300" s="173">
        <v>409</v>
      </c>
      <c r="I1300" s="2"/>
    </row>
    <row r="1301" spans="1:9" ht="19.8" customHeight="1" x14ac:dyDescent="0.3">
      <c r="A1301" s="175">
        <v>46011</v>
      </c>
      <c r="B1301" s="92" t="s">
        <v>45</v>
      </c>
      <c r="C1301" s="93" t="s">
        <v>62</v>
      </c>
      <c r="D1301" s="92" t="s">
        <v>1</v>
      </c>
      <c r="E1301" s="176">
        <v>1.5173611111111109</v>
      </c>
      <c r="F1301" s="92" t="s">
        <v>47</v>
      </c>
      <c r="G1301" s="94">
        <v>9</v>
      </c>
      <c r="H1301" s="173">
        <v>409</v>
      </c>
      <c r="I1301" s="2"/>
    </row>
    <row r="1302" spans="1:9" ht="19.8" customHeight="1" x14ac:dyDescent="0.3">
      <c r="A1302" s="175">
        <v>46011</v>
      </c>
      <c r="B1302" s="92" t="s">
        <v>45</v>
      </c>
      <c r="C1302" s="93" t="s">
        <v>66</v>
      </c>
      <c r="D1302" s="92" t="s">
        <v>1</v>
      </c>
      <c r="E1302" s="176">
        <v>1.645833333333333</v>
      </c>
      <c r="F1302" s="92" t="s">
        <v>47</v>
      </c>
      <c r="G1302" s="94">
        <v>8</v>
      </c>
      <c r="H1302" s="173">
        <v>409</v>
      </c>
      <c r="I1302" s="2"/>
    </row>
    <row r="1303" spans="1:9" ht="19.8" customHeight="1" x14ac:dyDescent="0.3">
      <c r="A1303" s="175">
        <v>46011</v>
      </c>
      <c r="B1303" s="92" t="s">
        <v>26</v>
      </c>
      <c r="C1303" s="93" t="s">
        <v>35</v>
      </c>
      <c r="D1303" s="92" t="s">
        <v>1</v>
      </c>
      <c r="E1303" s="176">
        <v>1.1284722222222221</v>
      </c>
      <c r="F1303" s="92" t="s">
        <v>31</v>
      </c>
      <c r="G1303" s="94">
        <v>2</v>
      </c>
      <c r="H1303" s="173">
        <v>449</v>
      </c>
      <c r="I1303" s="2"/>
    </row>
    <row r="1304" spans="1:9" ht="19.8" customHeight="1" x14ac:dyDescent="0.3">
      <c r="A1304" s="175">
        <v>46011</v>
      </c>
      <c r="B1304" s="92" t="s">
        <v>45</v>
      </c>
      <c r="C1304" s="93" t="s">
        <v>60</v>
      </c>
      <c r="D1304" s="92" t="s">
        <v>1</v>
      </c>
      <c r="E1304" s="176">
        <v>1.7986111111111109</v>
      </c>
      <c r="F1304" s="92" t="s">
        <v>47</v>
      </c>
      <c r="G1304" s="94">
        <v>5</v>
      </c>
      <c r="H1304" s="173">
        <v>449</v>
      </c>
      <c r="I1304" s="2"/>
    </row>
    <row r="1305" spans="1:9" ht="19.8" customHeight="1" x14ac:dyDescent="0.3">
      <c r="A1305" s="175">
        <v>46011</v>
      </c>
      <c r="B1305" s="92" t="s">
        <v>45</v>
      </c>
      <c r="C1305" s="93" t="s">
        <v>53</v>
      </c>
      <c r="D1305" s="92" t="s">
        <v>1</v>
      </c>
      <c r="E1305" s="176">
        <v>1.854166666666667</v>
      </c>
      <c r="F1305" s="92" t="s">
        <v>49</v>
      </c>
      <c r="G1305" s="94">
        <v>9</v>
      </c>
      <c r="H1305" s="173">
        <v>469</v>
      </c>
      <c r="I1305" s="2"/>
    </row>
    <row r="1306" spans="1:9" ht="19.8" customHeight="1" x14ac:dyDescent="0.3">
      <c r="A1306" s="175">
        <v>46011</v>
      </c>
      <c r="B1306" s="92" t="s">
        <v>45</v>
      </c>
      <c r="C1306" s="93" t="s">
        <v>57</v>
      </c>
      <c r="D1306" s="92" t="s">
        <v>1</v>
      </c>
      <c r="E1306" s="176">
        <v>1.256944444444444</v>
      </c>
      <c r="F1306" s="92" t="s">
        <v>49</v>
      </c>
      <c r="G1306" s="94">
        <v>1</v>
      </c>
      <c r="H1306" s="173">
        <v>469</v>
      </c>
      <c r="I1306" s="2"/>
    </row>
    <row r="1307" spans="1:9" ht="19.8" customHeight="1" x14ac:dyDescent="0.3">
      <c r="A1307" s="175">
        <v>46011</v>
      </c>
      <c r="B1307" s="92" t="s">
        <v>45</v>
      </c>
      <c r="C1307" s="93" t="s">
        <v>59</v>
      </c>
      <c r="D1307" s="92" t="s">
        <v>1</v>
      </c>
      <c r="E1307" s="176">
        <v>1.9027777777777779</v>
      </c>
      <c r="F1307" s="92" t="s">
        <v>49</v>
      </c>
      <c r="G1307" s="94">
        <v>2</v>
      </c>
      <c r="H1307" s="173">
        <v>469</v>
      </c>
      <c r="I1307" s="2"/>
    </row>
    <row r="1308" spans="1:9" ht="19.8" customHeight="1" x14ac:dyDescent="0.3">
      <c r="A1308" s="175">
        <v>46011</v>
      </c>
      <c r="B1308" s="92" t="s">
        <v>45</v>
      </c>
      <c r="C1308" s="93" t="s">
        <v>46</v>
      </c>
      <c r="D1308" s="92" t="s">
        <v>1</v>
      </c>
      <c r="E1308" s="176">
        <v>1.395833333333333</v>
      </c>
      <c r="F1308" s="92" t="s">
        <v>49</v>
      </c>
      <c r="G1308" s="94">
        <v>2</v>
      </c>
      <c r="H1308" s="173">
        <v>469</v>
      </c>
      <c r="I1308" s="2"/>
    </row>
    <row r="1309" spans="1:9" ht="19.8" customHeight="1" x14ac:dyDescent="0.3">
      <c r="A1309" s="177">
        <v>46011</v>
      </c>
      <c r="B1309" s="96" t="s">
        <v>87</v>
      </c>
      <c r="C1309" s="97" t="s">
        <v>220</v>
      </c>
      <c r="D1309" s="96" t="s">
        <v>1</v>
      </c>
      <c r="E1309" s="178">
        <v>1.2361111111111109</v>
      </c>
      <c r="F1309" s="96" t="s">
        <v>89</v>
      </c>
      <c r="G1309" s="98">
        <v>5</v>
      </c>
      <c r="H1309" s="174">
        <v>471</v>
      </c>
      <c r="I1309" s="2"/>
    </row>
    <row r="1310" spans="1:9" ht="19.8" customHeight="1" x14ac:dyDescent="0.3">
      <c r="A1310" s="177">
        <v>46011</v>
      </c>
      <c r="B1310" s="96" t="s">
        <v>87</v>
      </c>
      <c r="C1310" s="97" t="s">
        <v>109</v>
      </c>
      <c r="D1310" s="96" t="s">
        <v>1</v>
      </c>
      <c r="E1310" s="178">
        <v>1.333333333333333</v>
      </c>
      <c r="F1310" s="96" t="s">
        <v>89</v>
      </c>
      <c r="G1310" s="98">
        <v>2</v>
      </c>
      <c r="H1310" s="174">
        <v>471</v>
      </c>
      <c r="I1310" s="2"/>
    </row>
    <row r="1311" spans="1:9" ht="19.8" customHeight="1" x14ac:dyDescent="0.3">
      <c r="A1311" s="175">
        <v>46011</v>
      </c>
      <c r="B1311" s="92" t="s">
        <v>26</v>
      </c>
      <c r="C1311" s="93" t="s">
        <v>39</v>
      </c>
      <c r="D1311" s="92" t="s">
        <v>1</v>
      </c>
      <c r="E1311" s="176">
        <v>1.302083333333333</v>
      </c>
      <c r="F1311" s="92" t="s">
        <v>31</v>
      </c>
      <c r="G1311" s="94">
        <v>10</v>
      </c>
      <c r="H1311" s="173">
        <v>479</v>
      </c>
      <c r="I1311" s="2"/>
    </row>
    <row r="1312" spans="1:9" ht="19.8" customHeight="1" x14ac:dyDescent="0.3">
      <c r="A1312" s="175">
        <v>46011</v>
      </c>
      <c r="B1312" s="92" t="s">
        <v>79</v>
      </c>
      <c r="C1312" s="93" t="s">
        <v>84</v>
      </c>
      <c r="D1312" s="92" t="s">
        <v>1</v>
      </c>
      <c r="E1312" s="176">
        <v>1.3298611111111109</v>
      </c>
      <c r="F1312" s="92" t="s">
        <v>33</v>
      </c>
      <c r="G1312" s="94">
        <v>9</v>
      </c>
      <c r="H1312" s="173">
        <v>479</v>
      </c>
      <c r="I1312" s="2"/>
    </row>
    <row r="1313" spans="1:9" ht="19.8" customHeight="1" x14ac:dyDescent="0.3">
      <c r="A1313" s="175">
        <v>46011</v>
      </c>
      <c r="B1313" s="92" t="s">
        <v>79</v>
      </c>
      <c r="C1313" s="93" t="s">
        <v>80</v>
      </c>
      <c r="D1313" s="92" t="s">
        <v>1</v>
      </c>
      <c r="E1313" s="176">
        <v>1.2152777777777779</v>
      </c>
      <c r="F1313" s="92" t="s">
        <v>33</v>
      </c>
      <c r="G1313" s="94">
        <v>9</v>
      </c>
      <c r="H1313" s="173">
        <v>479</v>
      </c>
      <c r="I1313" s="2"/>
    </row>
    <row r="1314" spans="1:9" ht="19.8" customHeight="1" x14ac:dyDescent="0.3">
      <c r="A1314" s="175">
        <v>46011</v>
      </c>
      <c r="B1314" s="92" t="s">
        <v>26</v>
      </c>
      <c r="C1314" s="93" t="s">
        <v>27</v>
      </c>
      <c r="D1314" s="92" t="s">
        <v>1</v>
      </c>
      <c r="E1314" s="176">
        <v>1.8888888888888891</v>
      </c>
      <c r="F1314" s="92" t="s">
        <v>28</v>
      </c>
      <c r="G1314" s="94">
        <v>14</v>
      </c>
      <c r="H1314" s="173">
        <v>499</v>
      </c>
      <c r="I1314" s="2"/>
    </row>
    <row r="1315" spans="1:9" ht="19.8" customHeight="1" x14ac:dyDescent="0.3">
      <c r="A1315" s="175">
        <v>46011</v>
      </c>
      <c r="B1315" s="92" t="s">
        <v>45</v>
      </c>
      <c r="C1315" s="93" t="s">
        <v>58</v>
      </c>
      <c r="D1315" s="92" t="s">
        <v>1</v>
      </c>
      <c r="E1315" s="176">
        <v>1.46875</v>
      </c>
      <c r="F1315" s="92" t="s">
        <v>49</v>
      </c>
      <c r="G1315" s="94">
        <v>6</v>
      </c>
      <c r="H1315" s="173">
        <v>509</v>
      </c>
      <c r="I1315" s="2"/>
    </row>
    <row r="1316" spans="1:9" ht="19.8" customHeight="1" x14ac:dyDescent="0.3">
      <c r="A1316" s="175">
        <v>46011</v>
      </c>
      <c r="B1316" s="92" t="s">
        <v>45</v>
      </c>
      <c r="C1316" s="93" t="s">
        <v>62</v>
      </c>
      <c r="D1316" s="92" t="s">
        <v>1</v>
      </c>
      <c r="E1316" s="176">
        <v>1.5173611111111109</v>
      </c>
      <c r="F1316" s="92" t="s">
        <v>49</v>
      </c>
      <c r="G1316" s="94">
        <v>9</v>
      </c>
      <c r="H1316" s="173">
        <v>509</v>
      </c>
      <c r="I1316" s="2"/>
    </row>
    <row r="1317" spans="1:9" ht="19.8" customHeight="1" x14ac:dyDescent="0.3">
      <c r="A1317" s="175">
        <v>46011</v>
      </c>
      <c r="B1317" s="92" t="s">
        <v>45</v>
      </c>
      <c r="C1317" s="93" t="s">
        <v>66</v>
      </c>
      <c r="D1317" s="92" t="s">
        <v>1</v>
      </c>
      <c r="E1317" s="176">
        <v>1.645833333333333</v>
      </c>
      <c r="F1317" s="92" t="s">
        <v>49</v>
      </c>
      <c r="G1317" s="94">
        <v>8</v>
      </c>
      <c r="H1317" s="173">
        <v>509</v>
      </c>
      <c r="I1317" s="2"/>
    </row>
    <row r="1318" spans="1:9" ht="19.8" customHeight="1" x14ac:dyDescent="0.3">
      <c r="A1318" s="175">
        <v>46011</v>
      </c>
      <c r="B1318" s="92" t="s">
        <v>26</v>
      </c>
      <c r="C1318" s="93" t="s">
        <v>41</v>
      </c>
      <c r="D1318" s="92" t="s">
        <v>1</v>
      </c>
      <c r="E1318" s="176">
        <v>1.788194444444444</v>
      </c>
      <c r="F1318" s="92" t="s">
        <v>31</v>
      </c>
      <c r="G1318" s="94">
        <v>13</v>
      </c>
      <c r="H1318" s="173">
        <v>539</v>
      </c>
      <c r="I1318" s="2"/>
    </row>
    <row r="1319" spans="1:9" ht="19.8" customHeight="1" x14ac:dyDescent="0.3">
      <c r="A1319" s="175">
        <v>46011</v>
      </c>
      <c r="B1319" s="92" t="s">
        <v>45</v>
      </c>
      <c r="C1319" s="93" t="s">
        <v>60</v>
      </c>
      <c r="D1319" s="92" t="s">
        <v>1</v>
      </c>
      <c r="E1319" s="176">
        <v>1.7986111111111109</v>
      </c>
      <c r="F1319" s="92" t="s">
        <v>49</v>
      </c>
      <c r="G1319" s="94">
        <v>5</v>
      </c>
      <c r="H1319" s="173">
        <v>549</v>
      </c>
      <c r="I1319" s="2"/>
    </row>
    <row r="1320" spans="1:9" ht="19.8" customHeight="1" x14ac:dyDescent="0.3">
      <c r="A1320" s="175">
        <v>46011</v>
      </c>
      <c r="B1320" s="92" t="s">
        <v>45</v>
      </c>
      <c r="C1320" s="93" t="s">
        <v>53</v>
      </c>
      <c r="D1320" s="92" t="s">
        <v>1</v>
      </c>
      <c r="E1320" s="176">
        <v>1.854166666666667</v>
      </c>
      <c r="F1320" s="92" t="s">
        <v>51</v>
      </c>
      <c r="G1320" s="94">
        <v>9</v>
      </c>
      <c r="H1320" s="173">
        <v>559</v>
      </c>
      <c r="I1320" s="2"/>
    </row>
    <row r="1321" spans="1:9" ht="19.8" customHeight="1" x14ac:dyDescent="0.3">
      <c r="A1321" s="175">
        <v>46011</v>
      </c>
      <c r="B1321" s="92" t="s">
        <v>45</v>
      </c>
      <c r="C1321" s="93" t="s">
        <v>57</v>
      </c>
      <c r="D1321" s="92" t="s">
        <v>1</v>
      </c>
      <c r="E1321" s="176">
        <v>1.256944444444444</v>
      </c>
      <c r="F1321" s="92" t="s">
        <v>51</v>
      </c>
      <c r="G1321" s="94">
        <v>1</v>
      </c>
      <c r="H1321" s="173">
        <v>559</v>
      </c>
      <c r="I1321" s="2"/>
    </row>
    <row r="1322" spans="1:9" ht="19.8" customHeight="1" x14ac:dyDescent="0.3">
      <c r="A1322" s="175">
        <v>46011</v>
      </c>
      <c r="B1322" s="92" t="s">
        <v>45</v>
      </c>
      <c r="C1322" s="93" t="s">
        <v>59</v>
      </c>
      <c r="D1322" s="92" t="s">
        <v>1</v>
      </c>
      <c r="E1322" s="176">
        <v>1.9027777777777779</v>
      </c>
      <c r="F1322" s="92" t="s">
        <v>51</v>
      </c>
      <c r="G1322" s="94">
        <v>2</v>
      </c>
      <c r="H1322" s="173">
        <v>559</v>
      </c>
      <c r="I1322" s="2"/>
    </row>
    <row r="1323" spans="1:9" ht="19.8" customHeight="1" x14ac:dyDescent="0.3">
      <c r="A1323" s="175">
        <v>46011</v>
      </c>
      <c r="B1323" s="92" t="s">
        <v>45</v>
      </c>
      <c r="C1323" s="93" t="s">
        <v>46</v>
      </c>
      <c r="D1323" s="92" t="s">
        <v>1</v>
      </c>
      <c r="E1323" s="176">
        <v>1.395833333333333</v>
      </c>
      <c r="F1323" s="92" t="s">
        <v>51</v>
      </c>
      <c r="G1323" s="94">
        <v>2</v>
      </c>
      <c r="H1323" s="173">
        <v>559</v>
      </c>
      <c r="I1323" s="2"/>
    </row>
    <row r="1324" spans="1:9" ht="19.8" customHeight="1" x14ac:dyDescent="0.3">
      <c r="A1324" s="175">
        <v>46011</v>
      </c>
      <c r="B1324" s="92" t="s">
        <v>130</v>
      </c>
      <c r="C1324" s="93" t="s">
        <v>138</v>
      </c>
      <c r="D1324" s="92" t="s">
        <v>1</v>
      </c>
      <c r="E1324" s="176">
        <v>1.243055555555556</v>
      </c>
      <c r="F1324" s="92" t="s">
        <v>132</v>
      </c>
      <c r="G1324" s="94">
        <v>7</v>
      </c>
      <c r="H1324" s="173">
        <v>574</v>
      </c>
      <c r="I1324" s="2"/>
    </row>
    <row r="1325" spans="1:9" ht="19.8" customHeight="1" x14ac:dyDescent="0.3">
      <c r="A1325" s="175">
        <v>46011</v>
      </c>
      <c r="B1325" s="92" t="s">
        <v>45</v>
      </c>
      <c r="C1325" s="93" t="s">
        <v>58</v>
      </c>
      <c r="D1325" s="92" t="s">
        <v>1</v>
      </c>
      <c r="E1325" s="176">
        <v>1.46875</v>
      </c>
      <c r="F1325" s="92" t="s">
        <v>51</v>
      </c>
      <c r="G1325" s="94">
        <v>6</v>
      </c>
      <c r="H1325" s="173">
        <v>599</v>
      </c>
      <c r="I1325" s="2"/>
    </row>
    <row r="1326" spans="1:9" ht="19.8" customHeight="1" x14ac:dyDescent="0.3">
      <c r="A1326" s="175">
        <v>46011</v>
      </c>
      <c r="B1326" s="92" t="s">
        <v>45</v>
      </c>
      <c r="C1326" s="93" t="s">
        <v>62</v>
      </c>
      <c r="D1326" s="92" t="s">
        <v>1</v>
      </c>
      <c r="E1326" s="176">
        <v>1.5173611111111109</v>
      </c>
      <c r="F1326" s="92" t="s">
        <v>51</v>
      </c>
      <c r="G1326" s="94">
        <v>9</v>
      </c>
      <c r="H1326" s="173">
        <v>599</v>
      </c>
      <c r="I1326" s="2"/>
    </row>
    <row r="1327" spans="1:9" ht="19.8" customHeight="1" x14ac:dyDescent="0.3">
      <c r="A1327" s="175">
        <v>46011</v>
      </c>
      <c r="B1327" s="92" t="s">
        <v>45</v>
      </c>
      <c r="C1327" s="93" t="s">
        <v>66</v>
      </c>
      <c r="D1327" s="92" t="s">
        <v>1</v>
      </c>
      <c r="E1327" s="176">
        <v>1.645833333333333</v>
      </c>
      <c r="F1327" s="92" t="s">
        <v>51</v>
      </c>
      <c r="G1327" s="94">
        <v>8</v>
      </c>
      <c r="H1327" s="173">
        <v>599</v>
      </c>
      <c r="I1327" s="2"/>
    </row>
    <row r="1328" spans="1:9" ht="19.8" customHeight="1" x14ac:dyDescent="0.3">
      <c r="A1328" s="175">
        <v>46011</v>
      </c>
      <c r="B1328" s="92" t="s">
        <v>130</v>
      </c>
      <c r="C1328" s="93" t="s">
        <v>138</v>
      </c>
      <c r="D1328" s="92" t="s">
        <v>1</v>
      </c>
      <c r="E1328" s="176">
        <v>1.243055555555556</v>
      </c>
      <c r="F1328" s="92" t="s">
        <v>134</v>
      </c>
      <c r="G1328" s="94">
        <v>7</v>
      </c>
      <c r="H1328" s="173">
        <v>619</v>
      </c>
      <c r="I1328" s="2"/>
    </row>
    <row r="1329" spans="1:9" ht="19.8" customHeight="1" x14ac:dyDescent="0.3">
      <c r="A1329" s="175">
        <v>46011</v>
      </c>
      <c r="B1329" s="92" t="s">
        <v>45</v>
      </c>
      <c r="C1329" s="93" t="s">
        <v>60</v>
      </c>
      <c r="D1329" s="92" t="s">
        <v>1</v>
      </c>
      <c r="E1329" s="176">
        <v>1.7986111111111109</v>
      </c>
      <c r="F1329" s="92" t="s">
        <v>51</v>
      </c>
      <c r="G1329" s="94">
        <v>5</v>
      </c>
      <c r="H1329" s="173">
        <v>639</v>
      </c>
      <c r="I1329" s="2"/>
    </row>
    <row r="1330" spans="1:9" ht="19.8" customHeight="1" x14ac:dyDescent="0.3">
      <c r="A1330" s="175">
        <v>46011</v>
      </c>
      <c r="B1330" s="92" t="s">
        <v>70</v>
      </c>
      <c r="C1330" s="93" t="s">
        <v>155</v>
      </c>
      <c r="D1330" s="92" t="s">
        <v>1</v>
      </c>
      <c r="E1330" s="176">
        <v>1.270833333333333</v>
      </c>
      <c r="F1330" s="92" t="s">
        <v>72</v>
      </c>
      <c r="G1330" s="94">
        <v>9</v>
      </c>
      <c r="H1330" s="173">
        <v>645</v>
      </c>
      <c r="I1330" s="2"/>
    </row>
    <row r="1331" spans="1:9" ht="19.8" customHeight="1" x14ac:dyDescent="0.3">
      <c r="A1331" s="175">
        <v>46011</v>
      </c>
      <c r="B1331" s="92" t="s">
        <v>26</v>
      </c>
      <c r="C1331" s="93" t="s">
        <v>27</v>
      </c>
      <c r="D1331" s="92" t="s">
        <v>1</v>
      </c>
      <c r="E1331" s="176">
        <v>1.8888888888888891</v>
      </c>
      <c r="F1331" s="92" t="s">
        <v>31</v>
      </c>
      <c r="G1331" s="94">
        <v>14</v>
      </c>
      <c r="H1331" s="173">
        <v>649</v>
      </c>
      <c r="I1331" s="2"/>
    </row>
    <row r="1332" spans="1:9" ht="19.8" customHeight="1" x14ac:dyDescent="0.3">
      <c r="A1332" s="175">
        <v>46011</v>
      </c>
      <c r="B1332" s="92" t="s">
        <v>130</v>
      </c>
      <c r="C1332" s="93" t="s">
        <v>143</v>
      </c>
      <c r="D1332" s="92" t="s">
        <v>1</v>
      </c>
      <c r="E1332" s="176">
        <v>1.006944444444444</v>
      </c>
      <c r="F1332" s="92" t="s">
        <v>132</v>
      </c>
      <c r="G1332" s="94">
        <v>9</v>
      </c>
      <c r="H1332" s="173">
        <v>678</v>
      </c>
      <c r="I1332" s="2"/>
    </row>
    <row r="1333" spans="1:9" ht="19.8" customHeight="1" x14ac:dyDescent="0.3">
      <c r="A1333" s="175">
        <v>46011</v>
      </c>
      <c r="B1333" s="92" t="s">
        <v>130</v>
      </c>
      <c r="C1333" s="93" t="s">
        <v>131</v>
      </c>
      <c r="D1333" s="92" t="s">
        <v>1</v>
      </c>
      <c r="E1333" s="176">
        <v>1.930555555555556</v>
      </c>
      <c r="F1333" s="92" t="s">
        <v>132</v>
      </c>
      <c r="G1333" s="94">
        <v>9</v>
      </c>
      <c r="H1333" s="173">
        <v>678</v>
      </c>
      <c r="I1333" s="2"/>
    </row>
    <row r="1334" spans="1:9" ht="19.8" customHeight="1" x14ac:dyDescent="0.3">
      <c r="A1334" s="175">
        <v>46011</v>
      </c>
      <c r="B1334" s="92" t="s">
        <v>130</v>
      </c>
      <c r="C1334" s="93" t="s">
        <v>147</v>
      </c>
      <c r="D1334" s="92" t="s">
        <v>1</v>
      </c>
      <c r="E1334" s="176">
        <v>1.71875</v>
      </c>
      <c r="F1334" s="92" t="s">
        <v>132</v>
      </c>
      <c r="G1334" s="94">
        <v>9</v>
      </c>
      <c r="H1334" s="173">
        <v>678</v>
      </c>
      <c r="I1334" s="2"/>
    </row>
    <row r="1335" spans="1:9" ht="19.8" customHeight="1" x14ac:dyDescent="0.3">
      <c r="A1335" s="175">
        <v>46011</v>
      </c>
      <c r="B1335" s="92" t="s">
        <v>130</v>
      </c>
      <c r="C1335" s="93" t="s">
        <v>136</v>
      </c>
      <c r="D1335" s="92" t="s">
        <v>1</v>
      </c>
      <c r="E1335" s="176">
        <v>1.3784722222222221</v>
      </c>
      <c r="F1335" s="92" t="s">
        <v>132</v>
      </c>
      <c r="G1335" s="94">
        <v>9</v>
      </c>
      <c r="H1335" s="173">
        <v>678</v>
      </c>
      <c r="I1335" s="2"/>
    </row>
    <row r="1336" spans="1:9" ht="19.8" customHeight="1" x14ac:dyDescent="0.3">
      <c r="A1336" s="175">
        <v>46011</v>
      </c>
      <c r="B1336" s="92" t="s">
        <v>115</v>
      </c>
      <c r="C1336" s="93" t="s">
        <v>120</v>
      </c>
      <c r="D1336" s="92" t="s">
        <v>1</v>
      </c>
      <c r="E1336" s="176">
        <v>1.2777777777777779</v>
      </c>
      <c r="F1336" s="92" t="s">
        <v>124</v>
      </c>
      <c r="G1336" s="94">
        <v>9</v>
      </c>
      <c r="H1336" s="173">
        <v>712</v>
      </c>
      <c r="I1336" s="2"/>
    </row>
    <row r="1337" spans="1:9" ht="19.8" customHeight="1" x14ac:dyDescent="0.3">
      <c r="A1337" s="175">
        <v>46011</v>
      </c>
      <c r="B1337" s="92" t="s">
        <v>130</v>
      </c>
      <c r="C1337" s="93" t="s">
        <v>143</v>
      </c>
      <c r="D1337" s="92" t="s">
        <v>1</v>
      </c>
      <c r="E1337" s="176">
        <v>1.006944444444444</v>
      </c>
      <c r="F1337" s="92" t="s">
        <v>134</v>
      </c>
      <c r="G1337" s="94">
        <v>9</v>
      </c>
      <c r="H1337" s="173">
        <v>723</v>
      </c>
      <c r="I1337" s="2"/>
    </row>
    <row r="1338" spans="1:9" ht="19.8" customHeight="1" x14ac:dyDescent="0.3">
      <c r="A1338" s="175">
        <v>46011</v>
      </c>
      <c r="B1338" s="92" t="s">
        <v>130</v>
      </c>
      <c r="C1338" s="93" t="s">
        <v>131</v>
      </c>
      <c r="D1338" s="92" t="s">
        <v>1</v>
      </c>
      <c r="E1338" s="176">
        <v>1.930555555555556</v>
      </c>
      <c r="F1338" s="92" t="s">
        <v>134</v>
      </c>
      <c r="G1338" s="94">
        <v>9</v>
      </c>
      <c r="H1338" s="173">
        <v>723</v>
      </c>
      <c r="I1338" s="2"/>
    </row>
    <row r="1339" spans="1:9" ht="19.8" customHeight="1" x14ac:dyDescent="0.3">
      <c r="A1339" s="175">
        <v>46011</v>
      </c>
      <c r="B1339" s="92" t="s">
        <v>130</v>
      </c>
      <c r="C1339" s="93" t="s">
        <v>147</v>
      </c>
      <c r="D1339" s="92" t="s">
        <v>1</v>
      </c>
      <c r="E1339" s="176">
        <v>1.71875</v>
      </c>
      <c r="F1339" s="92" t="s">
        <v>134</v>
      </c>
      <c r="G1339" s="94">
        <v>9</v>
      </c>
      <c r="H1339" s="173">
        <v>723</v>
      </c>
      <c r="I1339" s="2"/>
    </row>
    <row r="1340" spans="1:9" ht="19.8" customHeight="1" x14ac:dyDescent="0.3">
      <c r="A1340" s="175">
        <v>46011</v>
      </c>
      <c r="B1340" s="92" t="s">
        <v>130</v>
      </c>
      <c r="C1340" s="93" t="s">
        <v>136</v>
      </c>
      <c r="D1340" s="92" t="s">
        <v>1</v>
      </c>
      <c r="E1340" s="176">
        <v>1.3784722222222221</v>
      </c>
      <c r="F1340" s="92" t="s">
        <v>134</v>
      </c>
      <c r="G1340" s="94">
        <v>9</v>
      </c>
      <c r="H1340" s="173">
        <v>723</v>
      </c>
      <c r="I1340" s="2"/>
    </row>
    <row r="1341" spans="1:9" ht="19.8" customHeight="1" x14ac:dyDescent="0.3">
      <c r="A1341" s="175">
        <v>46011</v>
      </c>
      <c r="B1341" s="92" t="s">
        <v>115</v>
      </c>
      <c r="C1341" s="93" t="s">
        <v>116</v>
      </c>
      <c r="D1341" s="92" t="s">
        <v>1</v>
      </c>
      <c r="E1341" s="176">
        <v>1.229166666666667</v>
      </c>
      <c r="F1341" s="92" t="s">
        <v>124</v>
      </c>
      <c r="G1341" s="94">
        <v>9</v>
      </c>
      <c r="H1341" s="173">
        <v>795</v>
      </c>
      <c r="I1341" s="2"/>
    </row>
    <row r="1342" spans="1:9" ht="19.8" customHeight="1" x14ac:dyDescent="0.3">
      <c r="A1342" s="175">
        <v>46011</v>
      </c>
      <c r="B1342" s="92" t="s">
        <v>115</v>
      </c>
      <c r="C1342" s="93" t="s">
        <v>119</v>
      </c>
      <c r="D1342" s="92" t="s">
        <v>1</v>
      </c>
      <c r="E1342" s="176">
        <v>1.145833333333333</v>
      </c>
      <c r="F1342" s="92" t="s">
        <v>124</v>
      </c>
      <c r="G1342" s="94">
        <v>9</v>
      </c>
      <c r="H1342" s="173">
        <v>795</v>
      </c>
      <c r="I1342" s="2"/>
    </row>
    <row r="1343" spans="1:9" ht="19.8" customHeight="1" x14ac:dyDescent="0.3">
      <c r="A1343" s="175">
        <v>46011</v>
      </c>
      <c r="B1343" s="92" t="s">
        <v>115</v>
      </c>
      <c r="C1343" s="93" t="s">
        <v>121</v>
      </c>
      <c r="D1343" s="92" t="s">
        <v>1</v>
      </c>
      <c r="E1343" s="176">
        <v>1.4861111111111109</v>
      </c>
      <c r="F1343" s="92" t="s">
        <v>124</v>
      </c>
      <c r="G1343" s="94">
        <v>9</v>
      </c>
      <c r="H1343" s="173">
        <v>795</v>
      </c>
      <c r="I1343" s="2"/>
    </row>
    <row r="1344" spans="1:9" ht="19.8" customHeight="1" x14ac:dyDescent="0.3">
      <c r="A1344" s="175">
        <v>46011</v>
      </c>
      <c r="B1344" s="92" t="s">
        <v>130</v>
      </c>
      <c r="C1344" s="93" t="s">
        <v>146</v>
      </c>
      <c r="D1344" s="92" t="s">
        <v>1</v>
      </c>
      <c r="E1344" s="176">
        <v>1.1423611111111109</v>
      </c>
      <c r="F1344" s="92" t="s">
        <v>132</v>
      </c>
      <c r="G1344" s="94">
        <v>9</v>
      </c>
      <c r="H1344" s="173">
        <v>935</v>
      </c>
      <c r="I1344" s="2"/>
    </row>
    <row r="1345" spans="1:9" ht="19.8" customHeight="1" x14ac:dyDescent="0.3">
      <c r="A1345" s="175">
        <v>46011</v>
      </c>
      <c r="B1345" s="92" t="s">
        <v>130</v>
      </c>
      <c r="C1345" s="93" t="s">
        <v>137</v>
      </c>
      <c r="D1345" s="92" t="s">
        <v>1</v>
      </c>
      <c r="E1345" s="176">
        <v>1.6111111111111109</v>
      </c>
      <c r="F1345" s="92" t="s">
        <v>132</v>
      </c>
      <c r="G1345" s="94">
        <v>9</v>
      </c>
      <c r="H1345" s="173">
        <v>935</v>
      </c>
      <c r="I1345" s="2"/>
    </row>
    <row r="1346" spans="1:9" ht="19.8" customHeight="1" x14ac:dyDescent="0.3">
      <c r="A1346" s="175">
        <v>46011</v>
      </c>
      <c r="B1346" s="92" t="s">
        <v>130</v>
      </c>
      <c r="C1346" s="93" t="s">
        <v>146</v>
      </c>
      <c r="D1346" s="92" t="s">
        <v>1</v>
      </c>
      <c r="E1346" s="176">
        <v>1.1423611111111109</v>
      </c>
      <c r="F1346" s="92" t="s">
        <v>134</v>
      </c>
      <c r="G1346" s="94">
        <v>9</v>
      </c>
      <c r="H1346" s="173">
        <v>980</v>
      </c>
      <c r="I1346" s="2"/>
    </row>
    <row r="1347" spans="1:9" ht="19.8" customHeight="1" x14ac:dyDescent="0.3">
      <c r="A1347" s="175">
        <v>46011</v>
      </c>
      <c r="B1347" s="92" t="s">
        <v>130</v>
      </c>
      <c r="C1347" s="93" t="s">
        <v>137</v>
      </c>
      <c r="D1347" s="92" t="s">
        <v>1</v>
      </c>
      <c r="E1347" s="176">
        <v>1.6111111111111109</v>
      </c>
      <c r="F1347" s="92" t="s">
        <v>134</v>
      </c>
      <c r="G1347" s="94">
        <v>9</v>
      </c>
      <c r="H1347" s="173">
        <v>980</v>
      </c>
      <c r="I1347" s="2"/>
    </row>
    <row r="1348" spans="1:9" ht="19.8" customHeight="1" x14ac:dyDescent="0.3">
      <c r="A1348" s="175">
        <v>46011</v>
      </c>
      <c r="B1348" s="92" t="s">
        <v>115</v>
      </c>
      <c r="C1348" s="93" t="s">
        <v>123</v>
      </c>
      <c r="D1348" s="92" t="s">
        <v>1</v>
      </c>
      <c r="E1348" s="176">
        <v>1.958333333333333</v>
      </c>
      <c r="F1348" s="92" t="s">
        <v>124</v>
      </c>
      <c r="G1348" s="94">
        <v>9</v>
      </c>
      <c r="H1348" s="173">
        <v>993</v>
      </c>
      <c r="I1348" s="2"/>
    </row>
    <row r="1349" spans="1:9" ht="19.8" customHeight="1" x14ac:dyDescent="0.3">
      <c r="A1349" s="175">
        <v>46011</v>
      </c>
      <c r="B1349" s="92" t="s">
        <v>115</v>
      </c>
      <c r="C1349" s="93" t="s">
        <v>122</v>
      </c>
      <c r="D1349" s="92" t="s">
        <v>1</v>
      </c>
      <c r="E1349" s="176">
        <v>1.5138888888888891</v>
      </c>
      <c r="F1349" s="92" t="s">
        <v>124</v>
      </c>
      <c r="G1349" s="94">
        <v>9</v>
      </c>
      <c r="H1349" s="173">
        <v>993</v>
      </c>
      <c r="I1349" s="2"/>
    </row>
    <row r="1350" spans="1:9" ht="19.8" customHeight="1" x14ac:dyDescent="0.3">
      <c r="A1350" s="175">
        <v>46011</v>
      </c>
      <c r="B1350" s="92" t="s">
        <v>26</v>
      </c>
      <c r="C1350" s="93" t="s">
        <v>35</v>
      </c>
      <c r="D1350" s="92" t="s">
        <v>1</v>
      </c>
      <c r="E1350" s="176">
        <v>1.1284722222222221</v>
      </c>
      <c r="F1350" s="92" t="s">
        <v>33</v>
      </c>
      <c r="G1350" s="94">
        <v>2</v>
      </c>
      <c r="H1350" s="99" t="s">
        <v>34</v>
      </c>
      <c r="I1350" s="2"/>
    </row>
    <row r="1351" spans="1:9" ht="19.8" customHeight="1" x14ac:dyDescent="0.3">
      <c r="A1351" s="175">
        <v>46011</v>
      </c>
      <c r="B1351" s="92" t="s">
        <v>26</v>
      </c>
      <c r="C1351" s="93" t="s">
        <v>39</v>
      </c>
      <c r="D1351" s="92" t="s">
        <v>1</v>
      </c>
      <c r="E1351" s="176">
        <v>1.302083333333333</v>
      </c>
      <c r="F1351" s="92" t="s">
        <v>33</v>
      </c>
      <c r="G1351" s="94">
        <v>10</v>
      </c>
      <c r="H1351" s="99" t="s">
        <v>34</v>
      </c>
      <c r="I1351" s="2"/>
    </row>
    <row r="1352" spans="1:9" ht="19.8" customHeight="1" x14ac:dyDescent="0.3">
      <c r="A1352" s="175">
        <v>46011</v>
      </c>
      <c r="B1352" s="92" t="s">
        <v>26</v>
      </c>
      <c r="C1352" s="93" t="s">
        <v>27</v>
      </c>
      <c r="D1352" s="92" t="s">
        <v>1</v>
      </c>
      <c r="E1352" s="176">
        <v>1.8888888888888891</v>
      </c>
      <c r="F1352" s="92" t="s">
        <v>33</v>
      </c>
      <c r="G1352" s="94">
        <v>14</v>
      </c>
      <c r="H1352" s="99" t="s">
        <v>34</v>
      </c>
      <c r="I1352" s="2"/>
    </row>
    <row r="1353" spans="1:9" ht="19.8" customHeight="1" x14ac:dyDescent="0.3">
      <c r="A1353" s="175">
        <v>46011</v>
      </c>
      <c r="B1353" s="92" t="s">
        <v>26</v>
      </c>
      <c r="C1353" s="93" t="s">
        <v>41</v>
      </c>
      <c r="D1353" s="92" t="s">
        <v>1</v>
      </c>
      <c r="E1353" s="176">
        <v>1.788194444444444</v>
      </c>
      <c r="F1353" s="92" t="s">
        <v>33</v>
      </c>
      <c r="G1353" s="94">
        <v>13</v>
      </c>
      <c r="H1353" s="99" t="s">
        <v>34</v>
      </c>
      <c r="I1353" s="2"/>
    </row>
    <row r="1354" spans="1:9" ht="19.8" customHeight="1" x14ac:dyDescent="0.3">
      <c r="A1354" s="175">
        <v>46011</v>
      </c>
      <c r="B1354" s="92" t="s">
        <v>130</v>
      </c>
      <c r="C1354" s="93" t="s">
        <v>141</v>
      </c>
      <c r="D1354" s="92" t="s">
        <v>1</v>
      </c>
      <c r="E1354" s="176">
        <v>1.302083333333333</v>
      </c>
      <c r="F1354" s="92" t="s">
        <v>134</v>
      </c>
      <c r="G1354" s="94">
        <v>4</v>
      </c>
      <c r="H1354" s="99" t="s">
        <v>218</v>
      </c>
      <c r="I1354" s="2"/>
    </row>
    <row r="1355" spans="1:9" ht="19.8" customHeight="1" x14ac:dyDescent="0.3">
      <c r="A1355" s="175">
        <v>46011</v>
      </c>
      <c r="B1355" s="92" t="s">
        <v>130</v>
      </c>
      <c r="C1355" s="93" t="s">
        <v>142</v>
      </c>
      <c r="D1355" s="92" t="s">
        <v>1</v>
      </c>
      <c r="E1355" s="176">
        <v>1.1284722222222221</v>
      </c>
      <c r="F1355" s="92" t="s">
        <v>134</v>
      </c>
      <c r="G1355" s="94">
        <v>4</v>
      </c>
      <c r="H1355" s="99" t="s">
        <v>218</v>
      </c>
      <c r="I1355" s="2"/>
    </row>
    <row r="1356" spans="1:9" ht="19.8" customHeight="1" x14ac:dyDescent="0.3">
      <c r="A1356" s="175">
        <v>46011</v>
      </c>
      <c r="B1356" s="92" t="s">
        <v>130</v>
      </c>
      <c r="C1356" s="93" t="s">
        <v>149</v>
      </c>
      <c r="D1356" s="92" t="s">
        <v>1</v>
      </c>
      <c r="E1356" s="176">
        <v>1.788194444444444</v>
      </c>
      <c r="F1356" s="92" t="s">
        <v>134</v>
      </c>
      <c r="G1356" s="94">
        <v>4</v>
      </c>
      <c r="H1356" s="99" t="s">
        <v>140</v>
      </c>
      <c r="I1356" s="2"/>
    </row>
    <row r="1357" spans="1:9" ht="19.8" customHeight="1" x14ac:dyDescent="0.3">
      <c r="A1357" s="175">
        <v>46011</v>
      </c>
      <c r="B1357" s="92" t="s">
        <v>115</v>
      </c>
      <c r="C1357" s="93" t="s">
        <v>128</v>
      </c>
      <c r="D1357" s="92" t="s">
        <v>1</v>
      </c>
      <c r="E1357" s="176">
        <v>1.0138888888888891</v>
      </c>
      <c r="F1357" s="92" t="s">
        <v>124</v>
      </c>
      <c r="G1357" s="94">
        <v>9</v>
      </c>
      <c r="H1357" s="99" t="s">
        <v>389</v>
      </c>
      <c r="I1357" s="2"/>
    </row>
    <row r="1358" spans="1:9" ht="19.8" customHeight="1" x14ac:dyDescent="0.3">
      <c r="A1358" s="175">
        <v>46011</v>
      </c>
      <c r="B1358" s="92" t="s">
        <v>130</v>
      </c>
      <c r="C1358" s="93" t="s">
        <v>148</v>
      </c>
      <c r="D1358" s="92" t="s">
        <v>1</v>
      </c>
      <c r="E1358" s="176">
        <v>1.8298611111111109</v>
      </c>
      <c r="F1358" s="92" t="s">
        <v>132</v>
      </c>
      <c r="G1358" s="94">
        <v>9</v>
      </c>
      <c r="H1358" s="99" t="s">
        <v>144</v>
      </c>
      <c r="I1358" s="2"/>
    </row>
    <row r="1359" spans="1:9" ht="19.8" customHeight="1" x14ac:dyDescent="0.3">
      <c r="A1359" s="175">
        <v>46011</v>
      </c>
      <c r="B1359" s="92" t="s">
        <v>130</v>
      </c>
      <c r="C1359" s="93" t="s">
        <v>148</v>
      </c>
      <c r="D1359" s="92" t="s">
        <v>1</v>
      </c>
      <c r="E1359" s="176">
        <v>1.8298611111111109</v>
      </c>
      <c r="F1359" s="92" t="s">
        <v>134</v>
      </c>
      <c r="G1359" s="94">
        <v>9</v>
      </c>
      <c r="H1359" s="99" t="s">
        <v>145</v>
      </c>
      <c r="I1359" s="2"/>
    </row>
    <row r="1360" spans="1:9" ht="19.8" customHeight="1" x14ac:dyDescent="0.3">
      <c r="A1360" s="175">
        <v>46011</v>
      </c>
      <c r="B1360" s="92" t="s">
        <v>130</v>
      </c>
      <c r="C1360" s="93" t="s">
        <v>139</v>
      </c>
      <c r="D1360" s="92" t="s">
        <v>1</v>
      </c>
      <c r="E1360" s="176">
        <v>1.8888888888888891</v>
      </c>
      <c r="F1360" s="92" t="s">
        <v>134</v>
      </c>
      <c r="G1360" s="94">
        <v>4</v>
      </c>
      <c r="H1360" s="99" t="s">
        <v>150</v>
      </c>
      <c r="I1360" s="2"/>
    </row>
    <row r="1361" spans="1:9" ht="19.8" customHeight="1" x14ac:dyDescent="0.3">
      <c r="A1361" s="175">
        <v>46011</v>
      </c>
      <c r="B1361" s="92" t="s">
        <v>115</v>
      </c>
      <c r="C1361" s="93" t="s">
        <v>126</v>
      </c>
      <c r="D1361" s="92" t="s">
        <v>1</v>
      </c>
      <c r="E1361" s="176">
        <v>1.774305555555556</v>
      </c>
      <c r="F1361" s="92" t="s">
        <v>124</v>
      </c>
      <c r="G1361" s="94">
        <v>9</v>
      </c>
      <c r="H1361" s="99" t="s">
        <v>291</v>
      </c>
      <c r="I1361" s="2"/>
    </row>
    <row r="1362" spans="1:9" ht="19.8" customHeight="1" x14ac:dyDescent="0.3">
      <c r="A1362" s="181">
        <v>46011</v>
      </c>
      <c r="B1362" s="105" t="s">
        <v>87</v>
      </c>
      <c r="C1362" s="106" t="s">
        <v>95</v>
      </c>
      <c r="D1362" s="105" t="s">
        <v>1</v>
      </c>
      <c r="E1362" s="182">
        <v>1.680555555555556</v>
      </c>
      <c r="F1362" s="105" t="s">
        <v>226</v>
      </c>
      <c r="G1362" s="105"/>
      <c r="H1362" s="107" t="s">
        <v>227</v>
      </c>
      <c r="I1362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69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108" t="s">
        <v>567</v>
      </c>
      <c r="B1" s="108" t="s">
        <v>8</v>
      </c>
      <c r="C1" s="108" t="s">
        <v>9</v>
      </c>
      <c r="D1" s="108" t="s">
        <v>568</v>
      </c>
      <c r="E1" s="108" t="s">
        <v>10</v>
      </c>
      <c r="F1" s="108" t="s">
        <v>11</v>
      </c>
      <c r="G1" s="108" t="s">
        <v>12</v>
      </c>
      <c r="H1" s="108" t="s">
        <v>13</v>
      </c>
      <c r="I1" s="108" t="s">
        <v>588</v>
      </c>
    </row>
    <row r="2" spans="1:9" ht="15.6" x14ac:dyDescent="0.3">
      <c r="A2" s="109" t="s">
        <v>569</v>
      </c>
      <c r="B2" s="109" t="s">
        <v>87</v>
      </c>
      <c r="C2" s="109" t="s">
        <v>88</v>
      </c>
      <c r="D2" s="109" t="s">
        <v>1</v>
      </c>
      <c r="E2" s="109" t="s">
        <v>440</v>
      </c>
      <c r="F2" s="109" t="s">
        <v>89</v>
      </c>
      <c r="G2" s="109" t="s">
        <v>61</v>
      </c>
      <c r="H2" s="109" t="s">
        <v>90</v>
      </c>
      <c r="I2" s="110" t="s">
        <v>589</v>
      </c>
    </row>
    <row r="3" spans="1:9" ht="15.6" x14ac:dyDescent="0.3">
      <c r="A3" s="109" t="s">
        <v>569</v>
      </c>
      <c r="B3" s="109" t="s">
        <v>87</v>
      </c>
      <c r="C3" s="109" t="s">
        <v>95</v>
      </c>
      <c r="D3" s="109" t="s">
        <v>1</v>
      </c>
      <c r="E3" s="109" t="s">
        <v>432</v>
      </c>
      <c r="F3" s="109" t="s">
        <v>89</v>
      </c>
      <c r="G3" s="109" t="s">
        <v>96</v>
      </c>
      <c r="H3" s="109" t="s">
        <v>97</v>
      </c>
      <c r="I3" s="110" t="s">
        <v>589</v>
      </c>
    </row>
    <row r="4" spans="1:9" ht="15.6" x14ac:dyDescent="0.3">
      <c r="A4" s="109" t="s">
        <v>569</v>
      </c>
      <c r="B4" s="109" t="s">
        <v>87</v>
      </c>
      <c r="C4" s="109" t="s">
        <v>102</v>
      </c>
      <c r="D4" s="109" t="s">
        <v>1</v>
      </c>
      <c r="E4" s="109" t="s">
        <v>420</v>
      </c>
      <c r="F4" s="109" t="s">
        <v>89</v>
      </c>
      <c r="G4" s="109" t="s">
        <v>103</v>
      </c>
      <c r="H4" s="109" t="s">
        <v>104</v>
      </c>
      <c r="I4" s="110" t="s">
        <v>589</v>
      </c>
    </row>
    <row r="5" spans="1:9" ht="15.6" x14ac:dyDescent="0.3">
      <c r="A5" s="109" t="s">
        <v>569</v>
      </c>
      <c r="B5" s="109" t="s">
        <v>87</v>
      </c>
      <c r="C5" s="109" t="s">
        <v>109</v>
      </c>
      <c r="D5" s="109" t="s">
        <v>1</v>
      </c>
      <c r="E5" s="109" t="s">
        <v>427</v>
      </c>
      <c r="F5" s="109" t="s">
        <v>89</v>
      </c>
      <c r="G5" s="109" t="s">
        <v>110</v>
      </c>
      <c r="H5" s="109" t="s">
        <v>104</v>
      </c>
      <c r="I5" s="110" t="s">
        <v>589</v>
      </c>
    </row>
    <row r="6" spans="1:9" ht="15.6" x14ac:dyDescent="0.3">
      <c r="A6" s="111" t="s">
        <v>569</v>
      </c>
      <c r="B6" s="111" t="s">
        <v>45</v>
      </c>
      <c r="C6" s="111" t="s">
        <v>46</v>
      </c>
      <c r="D6" s="111" t="s">
        <v>1</v>
      </c>
      <c r="E6" s="111" t="s">
        <v>571</v>
      </c>
      <c r="F6" s="111" t="s">
        <v>47</v>
      </c>
      <c r="G6" s="111" t="s">
        <v>42</v>
      </c>
      <c r="H6" s="111" t="s">
        <v>48</v>
      </c>
      <c r="I6" s="112" t="s">
        <v>590</v>
      </c>
    </row>
    <row r="7" spans="1:9" ht="15.6" x14ac:dyDescent="0.3">
      <c r="A7" s="111" t="s">
        <v>569</v>
      </c>
      <c r="B7" s="111" t="s">
        <v>70</v>
      </c>
      <c r="C7" s="111" t="s">
        <v>71</v>
      </c>
      <c r="D7" s="111" t="s">
        <v>1</v>
      </c>
      <c r="E7" s="111" t="s">
        <v>574</v>
      </c>
      <c r="F7" s="111" t="s">
        <v>72</v>
      </c>
      <c r="G7" s="111" t="s">
        <v>29</v>
      </c>
      <c r="H7" s="111" t="s">
        <v>73</v>
      </c>
      <c r="I7" s="113" t="s">
        <v>591</v>
      </c>
    </row>
    <row r="8" spans="1:9" ht="15.6" x14ac:dyDescent="0.3">
      <c r="A8" s="111" t="s">
        <v>569</v>
      </c>
      <c r="B8" s="111" t="s">
        <v>74</v>
      </c>
      <c r="C8" s="111" t="s">
        <v>75</v>
      </c>
      <c r="D8" s="111" t="s">
        <v>1</v>
      </c>
      <c r="E8" s="111" t="s">
        <v>575</v>
      </c>
      <c r="F8" s="111" t="s">
        <v>72</v>
      </c>
      <c r="G8" s="111" t="s">
        <v>76</v>
      </c>
      <c r="H8" s="111" t="s">
        <v>77</v>
      </c>
      <c r="I8" s="113" t="s">
        <v>591</v>
      </c>
    </row>
    <row r="9" spans="1:9" ht="15.6" x14ac:dyDescent="0.3">
      <c r="A9" s="111" t="s">
        <v>569</v>
      </c>
      <c r="B9" s="111" t="s">
        <v>74</v>
      </c>
      <c r="C9" s="111" t="s">
        <v>78</v>
      </c>
      <c r="D9" s="111" t="s">
        <v>1</v>
      </c>
      <c r="E9" s="111" t="s">
        <v>576</v>
      </c>
      <c r="F9" s="111" t="s">
        <v>72</v>
      </c>
      <c r="G9" s="111" t="s">
        <v>76</v>
      </c>
      <c r="H9" s="111" t="s">
        <v>77</v>
      </c>
      <c r="I9" s="113" t="s">
        <v>592</v>
      </c>
    </row>
    <row r="10" spans="1:9" ht="15.6" x14ac:dyDescent="0.3">
      <c r="A10" s="111" t="s">
        <v>569</v>
      </c>
      <c r="B10" s="111" t="s">
        <v>45</v>
      </c>
      <c r="C10" s="111" t="s">
        <v>57</v>
      </c>
      <c r="D10" s="111" t="s">
        <v>1</v>
      </c>
      <c r="E10" s="111" t="s">
        <v>578</v>
      </c>
      <c r="F10" s="111" t="s">
        <v>47</v>
      </c>
      <c r="G10" s="111" t="s">
        <v>54</v>
      </c>
      <c r="H10" s="111" t="s">
        <v>55</v>
      </c>
      <c r="I10" s="112" t="s">
        <v>593</v>
      </c>
    </row>
    <row r="11" spans="1:9" ht="15.6" x14ac:dyDescent="0.3">
      <c r="A11" s="111" t="s">
        <v>569</v>
      </c>
      <c r="B11" s="111" t="s">
        <v>45</v>
      </c>
      <c r="C11" s="111" t="s">
        <v>58</v>
      </c>
      <c r="D11" s="111" t="s">
        <v>1</v>
      </c>
      <c r="E11" s="111" t="s">
        <v>579</v>
      </c>
      <c r="F11" s="111" t="s">
        <v>47</v>
      </c>
      <c r="G11" s="111" t="s">
        <v>54</v>
      </c>
      <c r="H11" s="111" t="s">
        <v>55</v>
      </c>
      <c r="I11" s="112" t="s">
        <v>593</v>
      </c>
    </row>
    <row r="12" spans="1:9" ht="15.6" x14ac:dyDescent="0.3">
      <c r="A12" s="111" t="s">
        <v>569</v>
      </c>
      <c r="B12" s="111" t="s">
        <v>79</v>
      </c>
      <c r="C12" s="111" t="s">
        <v>80</v>
      </c>
      <c r="D12" s="111" t="s">
        <v>1</v>
      </c>
      <c r="E12" s="111" t="s">
        <v>582</v>
      </c>
      <c r="F12" s="111" t="s">
        <v>81</v>
      </c>
      <c r="G12" s="111" t="s">
        <v>54</v>
      </c>
      <c r="H12" s="111" t="s">
        <v>82</v>
      </c>
      <c r="I12" s="113" t="s">
        <v>594</v>
      </c>
    </row>
    <row r="13" spans="1:9" ht="15.6" x14ac:dyDescent="0.3">
      <c r="A13" s="111" t="s">
        <v>569</v>
      </c>
      <c r="B13" s="111" t="s">
        <v>45</v>
      </c>
      <c r="C13" s="111" t="s">
        <v>46</v>
      </c>
      <c r="D13" s="111" t="s">
        <v>1</v>
      </c>
      <c r="E13" s="111" t="s">
        <v>571</v>
      </c>
      <c r="F13" s="111" t="s">
        <v>49</v>
      </c>
      <c r="G13" s="111" t="s">
        <v>42</v>
      </c>
      <c r="H13" s="111" t="s">
        <v>50</v>
      </c>
      <c r="I13" s="113" t="s">
        <v>595</v>
      </c>
    </row>
    <row r="14" spans="1:9" ht="15.6" x14ac:dyDescent="0.3">
      <c r="A14" s="111" t="s">
        <v>569</v>
      </c>
      <c r="B14" s="111" t="s">
        <v>79</v>
      </c>
      <c r="C14" s="111" t="s">
        <v>84</v>
      </c>
      <c r="D14" s="111" t="s">
        <v>1</v>
      </c>
      <c r="E14" s="111" t="s">
        <v>584</v>
      </c>
      <c r="F14" s="111" t="s">
        <v>81</v>
      </c>
      <c r="G14" s="111" t="s">
        <v>54</v>
      </c>
      <c r="H14" s="111" t="s">
        <v>85</v>
      </c>
      <c r="I14" s="113" t="s">
        <v>596</v>
      </c>
    </row>
    <row r="15" spans="1:9" ht="15.6" x14ac:dyDescent="0.3">
      <c r="A15" s="111" t="s">
        <v>569</v>
      </c>
      <c r="B15" s="111" t="s">
        <v>45</v>
      </c>
      <c r="C15" s="111" t="s">
        <v>57</v>
      </c>
      <c r="D15" s="111" t="s">
        <v>1</v>
      </c>
      <c r="E15" s="111" t="s">
        <v>578</v>
      </c>
      <c r="F15" s="111" t="s">
        <v>49</v>
      </c>
      <c r="G15" s="111" t="s">
        <v>54</v>
      </c>
      <c r="H15" s="111" t="s">
        <v>32</v>
      </c>
      <c r="I15" s="112" t="s">
        <v>597</v>
      </c>
    </row>
    <row r="16" spans="1:9" ht="15.6" x14ac:dyDescent="0.3">
      <c r="A16" s="111" t="s">
        <v>569</v>
      </c>
      <c r="B16" s="111" t="s">
        <v>45</v>
      </c>
      <c r="C16" s="111" t="s">
        <v>58</v>
      </c>
      <c r="D16" s="111" t="s">
        <v>1</v>
      </c>
      <c r="E16" s="111" t="s">
        <v>579</v>
      </c>
      <c r="F16" s="111" t="s">
        <v>49</v>
      </c>
      <c r="G16" s="111" t="s">
        <v>54</v>
      </c>
      <c r="H16" s="111" t="s">
        <v>32</v>
      </c>
      <c r="I16" s="112" t="s">
        <v>597</v>
      </c>
    </row>
    <row r="17" spans="1:9" ht="15.6" x14ac:dyDescent="0.3">
      <c r="A17" s="111" t="s">
        <v>569</v>
      </c>
      <c r="B17" s="111" t="s">
        <v>79</v>
      </c>
      <c r="C17" s="111" t="s">
        <v>80</v>
      </c>
      <c r="D17" s="111" t="s">
        <v>1</v>
      </c>
      <c r="E17" s="111" t="s">
        <v>582</v>
      </c>
      <c r="F17" s="111" t="s">
        <v>33</v>
      </c>
      <c r="G17" s="111" t="s">
        <v>54</v>
      </c>
      <c r="H17" s="111" t="s">
        <v>83</v>
      </c>
      <c r="I17" s="114" t="s">
        <v>598</v>
      </c>
    </row>
    <row r="18" spans="1:9" ht="15.6" x14ac:dyDescent="0.3">
      <c r="A18" s="111" t="s">
        <v>569</v>
      </c>
      <c r="B18" s="111" t="s">
        <v>45</v>
      </c>
      <c r="C18" s="111" t="s">
        <v>62</v>
      </c>
      <c r="D18" s="111" t="s">
        <v>1</v>
      </c>
      <c r="E18" s="111" t="s">
        <v>469</v>
      </c>
      <c r="F18" s="111" t="s">
        <v>49</v>
      </c>
      <c r="G18" s="111" t="s">
        <v>61</v>
      </c>
      <c r="H18" s="111" t="s">
        <v>64</v>
      </c>
      <c r="I18" s="112" t="s">
        <v>599</v>
      </c>
    </row>
    <row r="19" spans="1:9" ht="15.6" x14ac:dyDescent="0.3">
      <c r="A19" s="111" t="s">
        <v>569</v>
      </c>
      <c r="B19" s="111" t="s">
        <v>45</v>
      </c>
      <c r="C19" s="111" t="s">
        <v>46</v>
      </c>
      <c r="D19" s="111" t="s">
        <v>1</v>
      </c>
      <c r="E19" s="111" t="s">
        <v>571</v>
      </c>
      <c r="F19" s="111" t="s">
        <v>51</v>
      </c>
      <c r="G19" s="111" t="s">
        <v>42</v>
      </c>
      <c r="H19" s="111" t="s">
        <v>52</v>
      </c>
      <c r="I19" s="114" t="s">
        <v>600</v>
      </c>
    </row>
    <row r="20" spans="1:9" ht="15.6" x14ac:dyDescent="0.3">
      <c r="A20" s="111" t="s">
        <v>569</v>
      </c>
      <c r="B20" s="111" t="s">
        <v>79</v>
      </c>
      <c r="C20" s="111" t="s">
        <v>84</v>
      </c>
      <c r="D20" s="111" t="s">
        <v>1</v>
      </c>
      <c r="E20" s="111" t="s">
        <v>584</v>
      </c>
      <c r="F20" s="111" t="s">
        <v>33</v>
      </c>
      <c r="G20" s="111" t="s">
        <v>54</v>
      </c>
      <c r="H20" s="111" t="s">
        <v>86</v>
      </c>
      <c r="I20" s="114" t="s">
        <v>601</v>
      </c>
    </row>
    <row r="21" spans="1:9" ht="15.6" x14ac:dyDescent="0.3">
      <c r="A21" s="111" t="s">
        <v>569</v>
      </c>
      <c r="B21" s="111" t="s">
        <v>45</v>
      </c>
      <c r="C21" s="111" t="s">
        <v>53</v>
      </c>
      <c r="D21" s="111" t="s">
        <v>1</v>
      </c>
      <c r="E21" s="111" t="s">
        <v>577</v>
      </c>
      <c r="F21" s="111" t="s">
        <v>51</v>
      </c>
      <c r="G21" s="111" t="s">
        <v>54</v>
      </c>
      <c r="H21" s="111" t="s">
        <v>56</v>
      </c>
      <c r="I21" s="114" t="s">
        <v>602</v>
      </c>
    </row>
    <row r="22" spans="1:9" ht="15.6" x14ac:dyDescent="0.3">
      <c r="A22" s="111" t="s">
        <v>569</v>
      </c>
      <c r="B22" s="111" t="s">
        <v>45</v>
      </c>
      <c r="C22" s="111" t="s">
        <v>57</v>
      </c>
      <c r="D22" s="111" t="s">
        <v>1</v>
      </c>
      <c r="E22" s="111" t="s">
        <v>578</v>
      </c>
      <c r="F22" s="111" t="s">
        <v>51</v>
      </c>
      <c r="G22" s="111" t="s">
        <v>54</v>
      </c>
      <c r="H22" s="111" t="s">
        <v>56</v>
      </c>
      <c r="I22" s="114" t="s">
        <v>601</v>
      </c>
    </row>
    <row r="23" spans="1:9" ht="15.6" x14ac:dyDescent="0.3">
      <c r="A23" s="111" t="s">
        <v>569</v>
      </c>
      <c r="B23" s="111" t="s">
        <v>45</v>
      </c>
      <c r="C23" s="111" t="s">
        <v>58</v>
      </c>
      <c r="D23" s="111" t="s">
        <v>1</v>
      </c>
      <c r="E23" s="111" t="s">
        <v>579</v>
      </c>
      <c r="F23" s="111" t="s">
        <v>51</v>
      </c>
      <c r="G23" s="111" t="s">
        <v>54</v>
      </c>
      <c r="H23" s="111" t="s">
        <v>56</v>
      </c>
      <c r="I23" s="114" t="s">
        <v>601</v>
      </c>
    </row>
    <row r="24" spans="1:9" ht="15.6" x14ac:dyDescent="0.3">
      <c r="A24" s="111" t="s">
        <v>569</v>
      </c>
      <c r="B24" s="111" t="s">
        <v>45</v>
      </c>
      <c r="C24" s="111" t="s">
        <v>59</v>
      </c>
      <c r="D24" s="111" t="s">
        <v>1</v>
      </c>
      <c r="E24" s="111" t="s">
        <v>580</v>
      </c>
      <c r="F24" s="111" t="s">
        <v>51</v>
      </c>
      <c r="G24" s="111" t="s">
        <v>54</v>
      </c>
      <c r="H24" s="111" t="s">
        <v>56</v>
      </c>
      <c r="I24" s="114" t="s">
        <v>602</v>
      </c>
    </row>
    <row r="25" spans="1:9" ht="15.6" x14ac:dyDescent="0.3">
      <c r="A25" s="111" t="s">
        <v>569</v>
      </c>
      <c r="B25" s="111" t="s">
        <v>45</v>
      </c>
      <c r="C25" s="111" t="s">
        <v>60</v>
      </c>
      <c r="D25" s="111" t="s">
        <v>1</v>
      </c>
      <c r="E25" s="111" t="s">
        <v>581</v>
      </c>
      <c r="F25" s="111" t="s">
        <v>51</v>
      </c>
      <c r="G25" s="111" t="s">
        <v>61</v>
      </c>
      <c r="H25" s="111" t="s">
        <v>56</v>
      </c>
      <c r="I25" s="114" t="s">
        <v>602</v>
      </c>
    </row>
    <row r="26" spans="1:9" ht="15.6" x14ac:dyDescent="0.3">
      <c r="A26" s="111" t="s">
        <v>569</v>
      </c>
      <c r="B26" s="111" t="s">
        <v>115</v>
      </c>
      <c r="C26" s="111" t="s">
        <v>123</v>
      </c>
      <c r="D26" s="111" t="s">
        <v>1</v>
      </c>
      <c r="E26" s="111" t="s">
        <v>603</v>
      </c>
      <c r="F26" s="111" t="s">
        <v>124</v>
      </c>
      <c r="G26" s="111" t="s">
        <v>29</v>
      </c>
      <c r="H26" s="111" t="s">
        <v>125</v>
      </c>
      <c r="I26" s="112" t="s">
        <v>590</v>
      </c>
    </row>
    <row r="27" spans="1:9" ht="15.6" x14ac:dyDescent="0.3">
      <c r="A27" s="111" t="s">
        <v>569</v>
      </c>
      <c r="B27" s="111" t="s">
        <v>45</v>
      </c>
      <c r="C27" s="111" t="s">
        <v>62</v>
      </c>
      <c r="D27" s="111" t="s">
        <v>1</v>
      </c>
      <c r="E27" s="111" t="s">
        <v>469</v>
      </c>
      <c r="F27" s="111" t="s">
        <v>51</v>
      </c>
      <c r="G27" s="111" t="s">
        <v>61</v>
      </c>
      <c r="H27" s="111" t="s">
        <v>65</v>
      </c>
      <c r="I27" s="114" t="s">
        <v>604</v>
      </c>
    </row>
    <row r="28" spans="1:9" ht="15.6" x14ac:dyDescent="0.3">
      <c r="A28" s="111" t="s">
        <v>569</v>
      </c>
      <c r="B28" s="111" t="s">
        <v>45</v>
      </c>
      <c r="C28" s="111" t="s">
        <v>66</v>
      </c>
      <c r="D28" s="111" t="s">
        <v>1</v>
      </c>
      <c r="E28" s="111" t="s">
        <v>605</v>
      </c>
      <c r="F28" s="111" t="s">
        <v>51</v>
      </c>
      <c r="G28" s="111" t="s">
        <v>54</v>
      </c>
      <c r="H28" s="111" t="s">
        <v>69</v>
      </c>
      <c r="I28" s="114" t="s">
        <v>606</v>
      </c>
    </row>
    <row r="29" spans="1:9" ht="15.6" x14ac:dyDescent="0.3">
      <c r="A29" s="111" t="s">
        <v>569</v>
      </c>
      <c r="B29" s="111" t="s">
        <v>130</v>
      </c>
      <c r="C29" s="111" t="s">
        <v>131</v>
      </c>
      <c r="D29" s="111" t="s">
        <v>1</v>
      </c>
      <c r="E29" s="111" t="s">
        <v>607</v>
      </c>
      <c r="F29" s="111" t="s">
        <v>134</v>
      </c>
      <c r="G29" s="111" t="s">
        <v>76</v>
      </c>
      <c r="H29" s="111" t="s">
        <v>135</v>
      </c>
      <c r="I29" s="114" t="s">
        <v>608</v>
      </c>
    </row>
    <row r="30" spans="1:9" ht="15.6" x14ac:dyDescent="0.3">
      <c r="A30" s="111" t="s">
        <v>569</v>
      </c>
      <c r="B30" s="111" t="s">
        <v>130</v>
      </c>
      <c r="C30" s="111" t="s">
        <v>136</v>
      </c>
      <c r="D30" s="111" t="s">
        <v>1</v>
      </c>
      <c r="E30" s="111" t="s">
        <v>609</v>
      </c>
      <c r="F30" s="111" t="s">
        <v>134</v>
      </c>
      <c r="G30" s="111" t="s">
        <v>76</v>
      </c>
      <c r="H30" s="111" t="s">
        <v>135</v>
      </c>
      <c r="I30" s="114" t="s">
        <v>610</v>
      </c>
    </row>
    <row r="31" spans="1:9" ht="15.6" x14ac:dyDescent="0.3">
      <c r="A31" s="111" t="s">
        <v>569</v>
      </c>
      <c r="B31" s="111" t="s">
        <v>130</v>
      </c>
      <c r="C31" s="111" t="s">
        <v>137</v>
      </c>
      <c r="D31" s="111" t="s">
        <v>1</v>
      </c>
      <c r="E31" s="111" t="s">
        <v>611</v>
      </c>
      <c r="F31" s="111" t="s">
        <v>134</v>
      </c>
      <c r="G31" s="111" t="s">
        <v>76</v>
      </c>
      <c r="H31" s="111" t="s">
        <v>135</v>
      </c>
      <c r="I31" s="114" t="s">
        <v>612</v>
      </c>
    </row>
    <row r="32" spans="1:9" ht="15.6" x14ac:dyDescent="0.3">
      <c r="A32" s="111" t="s">
        <v>569</v>
      </c>
      <c r="B32" s="111" t="s">
        <v>130</v>
      </c>
      <c r="C32" s="111" t="s">
        <v>138</v>
      </c>
      <c r="D32" s="111" t="s">
        <v>1</v>
      </c>
      <c r="E32" s="111" t="s">
        <v>613</v>
      </c>
      <c r="F32" s="111" t="s">
        <v>134</v>
      </c>
      <c r="G32" s="111" t="s">
        <v>76</v>
      </c>
      <c r="H32" s="111" t="s">
        <v>135</v>
      </c>
      <c r="I32" s="114" t="s">
        <v>610</v>
      </c>
    </row>
    <row r="33" spans="1:9" ht="15.6" x14ac:dyDescent="0.3">
      <c r="A33" s="111" t="s">
        <v>569</v>
      </c>
      <c r="B33" s="111" t="s">
        <v>26</v>
      </c>
      <c r="C33" s="111" t="s">
        <v>35</v>
      </c>
      <c r="D33" s="111" t="s">
        <v>1</v>
      </c>
      <c r="E33" s="111" t="s">
        <v>572</v>
      </c>
      <c r="F33" s="111" t="s">
        <v>33</v>
      </c>
      <c r="G33" s="111" t="s">
        <v>36</v>
      </c>
      <c r="H33" s="111" t="s">
        <v>34</v>
      </c>
      <c r="I33" s="114" t="s">
        <v>614</v>
      </c>
    </row>
    <row r="34" spans="1:9" ht="15.6" x14ac:dyDescent="0.3">
      <c r="A34" s="111" t="s">
        <v>569</v>
      </c>
      <c r="B34" s="111" t="s">
        <v>26</v>
      </c>
      <c r="C34" s="111" t="s">
        <v>39</v>
      </c>
      <c r="D34" s="111" t="s">
        <v>1</v>
      </c>
      <c r="E34" s="111" t="s">
        <v>573</v>
      </c>
      <c r="F34" s="111" t="s">
        <v>33</v>
      </c>
      <c r="G34" s="111" t="s">
        <v>40</v>
      </c>
      <c r="H34" s="111" t="s">
        <v>34</v>
      </c>
      <c r="I34" s="114" t="s">
        <v>614</v>
      </c>
    </row>
    <row r="35" spans="1:9" ht="15.6" x14ac:dyDescent="0.3">
      <c r="A35" s="111" t="s">
        <v>569</v>
      </c>
      <c r="B35" s="111" t="s">
        <v>26</v>
      </c>
      <c r="C35" s="111" t="s">
        <v>27</v>
      </c>
      <c r="D35" s="111" t="s">
        <v>1</v>
      </c>
      <c r="E35" s="111" t="s">
        <v>570</v>
      </c>
      <c r="F35" s="111" t="s">
        <v>33</v>
      </c>
      <c r="G35" s="111" t="s">
        <v>29</v>
      </c>
      <c r="H35" s="111" t="s">
        <v>34</v>
      </c>
      <c r="I35" s="113" t="s">
        <v>595</v>
      </c>
    </row>
    <row r="36" spans="1:9" ht="15.6" x14ac:dyDescent="0.3">
      <c r="A36" s="111" t="s">
        <v>569</v>
      </c>
      <c r="B36" s="111" t="s">
        <v>26</v>
      </c>
      <c r="C36" s="111" t="s">
        <v>41</v>
      </c>
      <c r="D36" s="111" t="s">
        <v>1</v>
      </c>
      <c r="E36" s="111" t="s">
        <v>583</v>
      </c>
      <c r="F36" s="111" t="s">
        <v>33</v>
      </c>
      <c r="G36" s="111" t="s">
        <v>42</v>
      </c>
      <c r="H36" s="111" t="s">
        <v>34</v>
      </c>
      <c r="I36" s="113" t="s">
        <v>615</v>
      </c>
    </row>
    <row r="37" spans="1:9" ht="15.6" x14ac:dyDescent="0.3">
      <c r="A37" s="111" t="s">
        <v>569</v>
      </c>
      <c r="B37" s="111" t="s">
        <v>130</v>
      </c>
      <c r="C37" s="111" t="s">
        <v>139</v>
      </c>
      <c r="D37" s="111" t="s">
        <v>1</v>
      </c>
      <c r="E37" s="111" t="s">
        <v>570</v>
      </c>
      <c r="F37" s="111" t="s">
        <v>134</v>
      </c>
      <c r="G37" s="111" t="s">
        <v>110</v>
      </c>
      <c r="H37" s="111" t="s">
        <v>140</v>
      </c>
      <c r="I37" s="113" t="s">
        <v>594</v>
      </c>
    </row>
    <row r="38" spans="1:9" ht="15.6" x14ac:dyDescent="0.3">
      <c r="A38" s="111" t="s">
        <v>569</v>
      </c>
      <c r="B38" s="111" t="s">
        <v>130</v>
      </c>
      <c r="C38" s="111" t="s">
        <v>141</v>
      </c>
      <c r="D38" s="111" t="s">
        <v>1</v>
      </c>
      <c r="E38" s="111" t="s">
        <v>573</v>
      </c>
      <c r="F38" s="111" t="s">
        <v>134</v>
      </c>
      <c r="G38" s="111" t="s">
        <v>110</v>
      </c>
      <c r="H38" s="111" t="s">
        <v>140</v>
      </c>
      <c r="I38" s="114" t="s">
        <v>616</v>
      </c>
    </row>
    <row r="39" spans="1:9" ht="15.6" x14ac:dyDescent="0.3">
      <c r="A39" s="111" t="s">
        <v>569</v>
      </c>
      <c r="B39" s="111" t="s">
        <v>130</v>
      </c>
      <c r="C39" s="111" t="s">
        <v>142</v>
      </c>
      <c r="D39" s="111" t="s">
        <v>1</v>
      </c>
      <c r="E39" s="111" t="s">
        <v>572</v>
      </c>
      <c r="F39" s="111" t="s">
        <v>134</v>
      </c>
      <c r="G39" s="111" t="s">
        <v>110</v>
      </c>
      <c r="H39" s="111" t="s">
        <v>140</v>
      </c>
      <c r="I39" s="114" t="s">
        <v>616</v>
      </c>
    </row>
    <row r="40" spans="1:9" ht="15.6" x14ac:dyDescent="0.3">
      <c r="A40" s="111" t="s">
        <v>569</v>
      </c>
      <c r="B40" s="111" t="s">
        <v>130</v>
      </c>
      <c r="C40" s="111" t="s">
        <v>143</v>
      </c>
      <c r="D40" s="111" t="s">
        <v>1</v>
      </c>
      <c r="E40" s="111" t="s">
        <v>420</v>
      </c>
      <c r="F40" s="111" t="s">
        <v>134</v>
      </c>
      <c r="G40" s="111" t="s">
        <v>36</v>
      </c>
      <c r="H40" s="111" t="s">
        <v>145</v>
      </c>
      <c r="I40" s="114" t="s">
        <v>617</v>
      </c>
    </row>
    <row r="41" spans="1:9" ht="15.6" x14ac:dyDescent="0.3">
      <c r="A41" s="111" t="s">
        <v>569</v>
      </c>
      <c r="B41" s="111" t="s">
        <v>130</v>
      </c>
      <c r="C41" s="111" t="s">
        <v>146</v>
      </c>
      <c r="D41" s="111" t="s">
        <v>1</v>
      </c>
      <c r="E41" s="111" t="s">
        <v>618</v>
      </c>
      <c r="F41" s="111" t="s">
        <v>134</v>
      </c>
      <c r="G41" s="111" t="s">
        <v>76</v>
      </c>
      <c r="H41" s="111" t="s">
        <v>145</v>
      </c>
      <c r="I41" s="114" t="s">
        <v>617</v>
      </c>
    </row>
    <row r="42" spans="1:9" ht="15.6" x14ac:dyDescent="0.3">
      <c r="A42" s="111" t="s">
        <v>569</v>
      </c>
      <c r="B42" s="111" t="s">
        <v>130</v>
      </c>
      <c r="C42" s="111" t="s">
        <v>147</v>
      </c>
      <c r="D42" s="111" t="s">
        <v>1</v>
      </c>
      <c r="E42" s="111" t="s">
        <v>619</v>
      </c>
      <c r="F42" s="111" t="s">
        <v>134</v>
      </c>
      <c r="G42" s="111" t="s">
        <v>76</v>
      </c>
      <c r="H42" s="111" t="s">
        <v>145</v>
      </c>
      <c r="I42" s="113" t="s">
        <v>592</v>
      </c>
    </row>
    <row r="43" spans="1:9" ht="15.6" x14ac:dyDescent="0.3">
      <c r="A43" s="111" t="s">
        <v>569</v>
      </c>
      <c r="B43" s="111" t="s">
        <v>130</v>
      </c>
      <c r="C43" s="111" t="s">
        <v>148</v>
      </c>
      <c r="D43" s="111" t="s">
        <v>1</v>
      </c>
      <c r="E43" s="111" t="s">
        <v>620</v>
      </c>
      <c r="F43" s="111" t="s">
        <v>134</v>
      </c>
      <c r="G43" s="111" t="s">
        <v>76</v>
      </c>
      <c r="H43" s="111" t="s">
        <v>145</v>
      </c>
      <c r="I43" s="112" t="s">
        <v>590</v>
      </c>
    </row>
    <row r="44" spans="1:9" ht="15.6" x14ac:dyDescent="0.3">
      <c r="A44" s="109" t="s">
        <v>621</v>
      </c>
      <c r="B44" s="109" t="s">
        <v>87</v>
      </c>
      <c r="C44" s="109" t="s">
        <v>102</v>
      </c>
      <c r="D44" s="109" t="s">
        <v>1</v>
      </c>
      <c r="E44" s="109" t="s">
        <v>452</v>
      </c>
      <c r="F44" s="109" t="s">
        <v>89</v>
      </c>
      <c r="G44" s="109" t="s">
        <v>36</v>
      </c>
      <c r="H44" s="109" t="s">
        <v>159</v>
      </c>
      <c r="I44" s="110" t="s">
        <v>589</v>
      </c>
    </row>
    <row r="45" spans="1:9" ht="15.6" x14ac:dyDescent="0.3">
      <c r="A45" s="109" t="s">
        <v>621</v>
      </c>
      <c r="B45" s="109" t="s">
        <v>87</v>
      </c>
      <c r="C45" s="109" t="s">
        <v>109</v>
      </c>
      <c r="D45" s="109" t="s">
        <v>1</v>
      </c>
      <c r="E45" s="109" t="s">
        <v>465</v>
      </c>
      <c r="F45" s="109" t="s">
        <v>89</v>
      </c>
      <c r="G45" s="109" t="s">
        <v>110</v>
      </c>
      <c r="H45" s="109" t="s">
        <v>159</v>
      </c>
      <c r="I45" s="110" t="s">
        <v>589</v>
      </c>
    </row>
    <row r="46" spans="1:9" ht="15.6" x14ac:dyDescent="0.3">
      <c r="A46" s="109" t="s">
        <v>621</v>
      </c>
      <c r="B46" s="109" t="s">
        <v>87</v>
      </c>
      <c r="C46" s="109" t="s">
        <v>165</v>
      </c>
      <c r="D46" s="109" t="s">
        <v>1</v>
      </c>
      <c r="E46" s="109" t="s">
        <v>450</v>
      </c>
      <c r="F46" s="109" t="s">
        <v>89</v>
      </c>
      <c r="G46" s="109" t="s">
        <v>76</v>
      </c>
      <c r="H46" s="109" t="s">
        <v>159</v>
      </c>
      <c r="I46" s="110" t="s">
        <v>589</v>
      </c>
    </row>
    <row r="47" spans="1:9" ht="15.6" x14ac:dyDescent="0.3">
      <c r="A47" s="109" t="s">
        <v>621</v>
      </c>
      <c r="B47" s="109" t="s">
        <v>87</v>
      </c>
      <c r="C47" s="109" t="s">
        <v>169</v>
      </c>
      <c r="D47" s="109" t="s">
        <v>1</v>
      </c>
      <c r="E47" s="109" t="s">
        <v>462</v>
      </c>
      <c r="F47" s="109" t="s">
        <v>89</v>
      </c>
      <c r="G47" s="109" t="s">
        <v>76</v>
      </c>
      <c r="H47" s="109" t="s">
        <v>159</v>
      </c>
      <c r="I47" s="110" t="s">
        <v>589</v>
      </c>
    </row>
    <row r="48" spans="1:9" ht="15.6" x14ac:dyDescent="0.3">
      <c r="A48" s="109" t="s">
        <v>621</v>
      </c>
      <c r="B48" s="109" t="s">
        <v>87</v>
      </c>
      <c r="C48" s="109" t="s">
        <v>88</v>
      </c>
      <c r="D48" s="109" t="s">
        <v>1</v>
      </c>
      <c r="E48" s="109" t="s">
        <v>459</v>
      </c>
      <c r="F48" s="109" t="s">
        <v>89</v>
      </c>
      <c r="G48" s="109" t="s">
        <v>103</v>
      </c>
      <c r="H48" s="109" t="s">
        <v>159</v>
      </c>
      <c r="I48" s="110" t="s">
        <v>589</v>
      </c>
    </row>
    <row r="49" spans="1:9" ht="15.6" x14ac:dyDescent="0.3">
      <c r="A49" s="109" t="s">
        <v>621</v>
      </c>
      <c r="B49" s="109" t="s">
        <v>87</v>
      </c>
      <c r="C49" s="109" t="s">
        <v>95</v>
      </c>
      <c r="D49" s="109" t="s">
        <v>1</v>
      </c>
      <c r="E49" s="109" t="s">
        <v>432</v>
      </c>
      <c r="F49" s="109" t="s">
        <v>89</v>
      </c>
      <c r="G49" s="109" t="s">
        <v>103</v>
      </c>
      <c r="H49" s="109" t="s">
        <v>90</v>
      </c>
      <c r="I49" s="110" t="s">
        <v>589</v>
      </c>
    </row>
    <row r="50" spans="1:9" ht="15.6" x14ac:dyDescent="0.3">
      <c r="A50" s="111" t="s">
        <v>621</v>
      </c>
      <c r="B50" s="111" t="s">
        <v>74</v>
      </c>
      <c r="C50" s="111" t="s">
        <v>151</v>
      </c>
      <c r="D50" s="111" t="s">
        <v>1</v>
      </c>
      <c r="E50" s="111" t="s">
        <v>622</v>
      </c>
      <c r="F50" s="111" t="s">
        <v>72</v>
      </c>
      <c r="G50" s="111" t="s">
        <v>29</v>
      </c>
      <c r="H50" s="111" t="s">
        <v>152</v>
      </c>
      <c r="I50" s="113" t="s">
        <v>623</v>
      </c>
    </row>
    <row r="51" spans="1:9" ht="15.6" x14ac:dyDescent="0.3">
      <c r="A51" s="111" t="s">
        <v>621</v>
      </c>
      <c r="B51" s="111" t="s">
        <v>70</v>
      </c>
      <c r="C51" s="111" t="s">
        <v>71</v>
      </c>
      <c r="D51" s="111" t="s">
        <v>1</v>
      </c>
      <c r="E51" s="111" t="s">
        <v>491</v>
      </c>
      <c r="F51" s="111" t="s">
        <v>72</v>
      </c>
      <c r="G51" s="111" t="s">
        <v>110</v>
      </c>
      <c r="H51" s="111" t="s">
        <v>73</v>
      </c>
      <c r="I51" s="112" t="s">
        <v>624</v>
      </c>
    </row>
    <row r="52" spans="1:9" ht="15.6" x14ac:dyDescent="0.3">
      <c r="A52" s="111" t="s">
        <v>621</v>
      </c>
      <c r="B52" s="111" t="s">
        <v>70</v>
      </c>
      <c r="C52" s="111" t="s">
        <v>155</v>
      </c>
      <c r="D52" s="111" t="s">
        <v>1</v>
      </c>
      <c r="E52" s="111" t="s">
        <v>625</v>
      </c>
      <c r="F52" s="111" t="s">
        <v>72</v>
      </c>
      <c r="G52" s="111" t="s">
        <v>76</v>
      </c>
      <c r="H52" s="111" t="s">
        <v>73</v>
      </c>
      <c r="I52" s="112" t="s">
        <v>624</v>
      </c>
    </row>
    <row r="53" spans="1:9" ht="15.6" x14ac:dyDescent="0.3">
      <c r="A53" s="111" t="s">
        <v>621</v>
      </c>
      <c r="B53" s="111" t="s">
        <v>74</v>
      </c>
      <c r="C53" s="111" t="s">
        <v>78</v>
      </c>
      <c r="D53" s="111" t="s">
        <v>1</v>
      </c>
      <c r="E53" s="111" t="s">
        <v>576</v>
      </c>
      <c r="F53" s="111" t="s">
        <v>72</v>
      </c>
      <c r="G53" s="111" t="s">
        <v>76</v>
      </c>
      <c r="H53" s="111" t="s">
        <v>77</v>
      </c>
      <c r="I53" s="112" t="s">
        <v>590</v>
      </c>
    </row>
    <row r="54" spans="1:9" ht="15.6" x14ac:dyDescent="0.3">
      <c r="A54" s="111" t="s">
        <v>621</v>
      </c>
      <c r="B54" s="111" t="s">
        <v>79</v>
      </c>
      <c r="C54" s="111" t="s">
        <v>80</v>
      </c>
      <c r="D54" s="111" t="s">
        <v>1</v>
      </c>
      <c r="E54" s="111" t="s">
        <v>626</v>
      </c>
      <c r="F54" s="111" t="s">
        <v>156</v>
      </c>
      <c r="G54" s="111" t="s">
        <v>54</v>
      </c>
      <c r="H54" s="111" t="s">
        <v>157</v>
      </c>
      <c r="I54" s="112" t="s">
        <v>627</v>
      </c>
    </row>
    <row r="55" spans="1:9" ht="15.6" x14ac:dyDescent="0.3">
      <c r="A55" s="111" t="s">
        <v>621</v>
      </c>
      <c r="B55" s="111" t="s">
        <v>79</v>
      </c>
      <c r="C55" s="111" t="s">
        <v>80</v>
      </c>
      <c r="D55" s="111" t="s">
        <v>1</v>
      </c>
      <c r="E55" s="111" t="s">
        <v>626</v>
      </c>
      <c r="F55" s="111" t="s">
        <v>33</v>
      </c>
      <c r="G55" s="111" t="s">
        <v>54</v>
      </c>
      <c r="H55" s="111" t="s">
        <v>158</v>
      </c>
      <c r="I55" s="114" t="s">
        <v>602</v>
      </c>
    </row>
    <row r="56" spans="1:9" ht="15.6" x14ac:dyDescent="0.3">
      <c r="A56" s="111" t="s">
        <v>621</v>
      </c>
      <c r="B56" s="111" t="s">
        <v>45</v>
      </c>
      <c r="C56" s="111" t="s">
        <v>53</v>
      </c>
      <c r="D56" s="111" t="s">
        <v>1</v>
      </c>
      <c r="E56" s="111" t="s">
        <v>577</v>
      </c>
      <c r="F56" s="111" t="s">
        <v>51</v>
      </c>
      <c r="G56" s="111" t="s">
        <v>110</v>
      </c>
      <c r="H56" s="111" t="s">
        <v>52</v>
      </c>
      <c r="I56" s="114" t="s">
        <v>628</v>
      </c>
    </row>
    <row r="57" spans="1:9" ht="15.6" x14ac:dyDescent="0.3">
      <c r="A57" s="111" t="s">
        <v>621</v>
      </c>
      <c r="B57" s="111" t="s">
        <v>45</v>
      </c>
      <c r="C57" s="111" t="s">
        <v>57</v>
      </c>
      <c r="D57" s="111" t="s">
        <v>1</v>
      </c>
      <c r="E57" s="111" t="s">
        <v>578</v>
      </c>
      <c r="F57" s="111" t="s">
        <v>51</v>
      </c>
      <c r="G57" s="111" t="s">
        <v>42</v>
      </c>
      <c r="H57" s="111" t="s">
        <v>52</v>
      </c>
      <c r="I57" s="114" t="s">
        <v>628</v>
      </c>
    </row>
    <row r="58" spans="1:9" ht="15.6" x14ac:dyDescent="0.3">
      <c r="A58" s="111" t="s">
        <v>621</v>
      </c>
      <c r="B58" s="111" t="s">
        <v>45</v>
      </c>
      <c r="C58" s="111" t="s">
        <v>59</v>
      </c>
      <c r="D58" s="111" t="s">
        <v>1</v>
      </c>
      <c r="E58" s="111" t="s">
        <v>580</v>
      </c>
      <c r="F58" s="111" t="s">
        <v>51</v>
      </c>
      <c r="G58" s="111" t="s">
        <v>29</v>
      </c>
      <c r="H58" s="111" t="s">
        <v>52</v>
      </c>
      <c r="I58" s="114" t="s">
        <v>628</v>
      </c>
    </row>
    <row r="59" spans="1:9" ht="15.6" x14ac:dyDescent="0.3">
      <c r="A59" s="111" t="s">
        <v>621</v>
      </c>
      <c r="B59" s="111" t="s">
        <v>45</v>
      </c>
      <c r="C59" s="111" t="s">
        <v>60</v>
      </c>
      <c r="D59" s="111" t="s">
        <v>1</v>
      </c>
      <c r="E59" s="111" t="s">
        <v>581</v>
      </c>
      <c r="F59" s="111" t="s">
        <v>51</v>
      </c>
      <c r="G59" s="111" t="s">
        <v>36</v>
      </c>
      <c r="H59" s="111" t="s">
        <v>52</v>
      </c>
      <c r="I59" s="114" t="s">
        <v>628</v>
      </c>
    </row>
    <row r="60" spans="1:9" ht="15.6" x14ac:dyDescent="0.3">
      <c r="A60" s="111" t="s">
        <v>621</v>
      </c>
      <c r="B60" s="111" t="s">
        <v>45</v>
      </c>
      <c r="C60" s="111" t="s">
        <v>46</v>
      </c>
      <c r="D60" s="111" t="s">
        <v>1</v>
      </c>
      <c r="E60" s="111" t="s">
        <v>571</v>
      </c>
      <c r="F60" s="111" t="s">
        <v>51</v>
      </c>
      <c r="G60" s="111" t="s">
        <v>54</v>
      </c>
      <c r="H60" s="111" t="s">
        <v>52</v>
      </c>
      <c r="I60" s="114" t="s">
        <v>628</v>
      </c>
    </row>
    <row r="61" spans="1:9" ht="15.6" x14ac:dyDescent="0.3">
      <c r="A61" s="111" t="s">
        <v>621</v>
      </c>
      <c r="B61" s="111" t="s">
        <v>45</v>
      </c>
      <c r="C61" s="111" t="s">
        <v>58</v>
      </c>
      <c r="D61" s="111" t="s">
        <v>1</v>
      </c>
      <c r="E61" s="111" t="s">
        <v>573</v>
      </c>
      <c r="F61" s="111" t="s">
        <v>51</v>
      </c>
      <c r="G61" s="111" t="s">
        <v>110</v>
      </c>
      <c r="H61" s="111" t="s">
        <v>56</v>
      </c>
      <c r="I61" s="114" t="s">
        <v>629</v>
      </c>
    </row>
    <row r="62" spans="1:9" ht="15.6" x14ac:dyDescent="0.3">
      <c r="A62" s="111" t="s">
        <v>621</v>
      </c>
      <c r="B62" s="111" t="s">
        <v>45</v>
      </c>
      <c r="C62" s="111" t="s">
        <v>62</v>
      </c>
      <c r="D62" s="111" t="s">
        <v>1</v>
      </c>
      <c r="E62" s="111" t="s">
        <v>469</v>
      </c>
      <c r="F62" s="111" t="s">
        <v>51</v>
      </c>
      <c r="G62" s="111" t="s">
        <v>54</v>
      </c>
      <c r="H62" s="111" t="s">
        <v>56</v>
      </c>
      <c r="I62" s="114" t="s">
        <v>629</v>
      </c>
    </row>
    <row r="63" spans="1:9" ht="15.6" x14ac:dyDescent="0.3">
      <c r="A63" s="111" t="s">
        <v>621</v>
      </c>
      <c r="B63" s="111" t="s">
        <v>45</v>
      </c>
      <c r="C63" s="111" t="s">
        <v>66</v>
      </c>
      <c r="D63" s="111" t="s">
        <v>1</v>
      </c>
      <c r="E63" s="111" t="s">
        <v>605</v>
      </c>
      <c r="F63" s="111" t="s">
        <v>51</v>
      </c>
      <c r="G63" s="111" t="s">
        <v>54</v>
      </c>
      <c r="H63" s="111" t="s">
        <v>56</v>
      </c>
      <c r="I63" s="114" t="s">
        <v>602</v>
      </c>
    </row>
    <row r="64" spans="1:9" ht="15.6" x14ac:dyDescent="0.3">
      <c r="A64" s="111" t="s">
        <v>621</v>
      </c>
      <c r="B64" s="111" t="s">
        <v>130</v>
      </c>
      <c r="C64" s="111" t="s">
        <v>138</v>
      </c>
      <c r="D64" s="111" t="s">
        <v>1</v>
      </c>
      <c r="E64" s="111" t="s">
        <v>613</v>
      </c>
      <c r="F64" s="111" t="s">
        <v>134</v>
      </c>
      <c r="G64" s="111" t="s">
        <v>76</v>
      </c>
      <c r="H64" s="111" t="s">
        <v>177</v>
      </c>
      <c r="I64" s="114" t="s">
        <v>602</v>
      </c>
    </row>
    <row r="65" spans="1:9" ht="15.6" x14ac:dyDescent="0.3">
      <c r="A65" s="111" t="s">
        <v>621</v>
      </c>
      <c r="B65" s="111" t="s">
        <v>130</v>
      </c>
      <c r="C65" s="111" t="s">
        <v>143</v>
      </c>
      <c r="D65" s="111" t="s">
        <v>1</v>
      </c>
      <c r="E65" s="111" t="s">
        <v>420</v>
      </c>
      <c r="F65" s="111" t="s">
        <v>134</v>
      </c>
      <c r="G65" s="111" t="s">
        <v>76</v>
      </c>
      <c r="H65" s="111" t="s">
        <v>135</v>
      </c>
      <c r="I65" s="114" t="s">
        <v>608</v>
      </c>
    </row>
    <row r="66" spans="1:9" ht="15.6" x14ac:dyDescent="0.3">
      <c r="A66" s="111" t="s">
        <v>621</v>
      </c>
      <c r="B66" s="111" t="s">
        <v>130</v>
      </c>
      <c r="C66" s="111" t="s">
        <v>146</v>
      </c>
      <c r="D66" s="111" t="s">
        <v>1</v>
      </c>
      <c r="E66" s="111" t="s">
        <v>618</v>
      </c>
      <c r="F66" s="111" t="s">
        <v>134</v>
      </c>
      <c r="G66" s="111" t="s">
        <v>76</v>
      </c>
      <c r="H66" s="111" t="s">
        <v>135</v>
      </c>
      <c r="I66" s="114" t="s">
        <v>630</v>
      </c>
    </row>
    <row r="67" spans="1:9" ht="15.6" x14ac:dyDescent="0.3">
      <c r="A67" s="111" t="s">
        <v>621</v>
      </c>
      <c r="B67" s="111" t="s">
        <v>130</v>
      </c>
      <c r="C67" s="111" t="s">
        <v>131</v>
      </c>
      <c r="D67" s="111" t="s">
        <v>1</v>
      </c>
      <c r="E67" s="111" t="s">
        <v>607</v>
      </c>
      <c r="F67" s="111" t="s">
        <v>134</v>
      </c>
      <c r="G67" s="111" t="s">
        <v>76</v>
      </c>
      <c r="H67" s="111" t="s">
        <v>135</v>
      </c>
      <c r="I67" s="114" t="s">
        <v>630</v>
      </c>
    </row>
    <row r="68" spans="1:9" ht="15.6" x14ac:dyDescent="0.3">
      <c r="A68" s="111" t="s">
        <v>621</v>
      </c>
      <c r="B68" s="111" t="s">
        <v>130</v>
      </c>
      <c r="C68" s="111" t="s">
        <v>147</v>
      </c>
      <c r="D68" s="111" t="s">
        <v>1</v>
      </c>
      <c r="E68" s="111" t="s">
        <v>619</v>
      </c>
      <c r="F68" s="111" t="s">
        <v>134</v>
      </c>
      <c r="G68" s="111" t="s">
        <v>76</v>
      </c>
      <c r="H68" s="111" t="s">
        <v>135</v>
      </c>
      <c r="I68" s="114" t="s">
        <v>630</v>
      </c>
    </row>
    <row r="69" spans="1:9" ht="15.6" x14ac:dyDescent="0.3">
      <c r="A69" s="111" t="s">
        <v>621</v>
      </c>
      <c r="B69" s="111" t="s">
        <v>130</v>
      </c>
      <c r="C69" s="111" t="s">
        <v>148</v>
      </c>
      <c r="D69" s="111" t="s">
        <v>1</v>
      </c>
      <c r="E69" s="111" t="s">
        <v>620</v>
      </c>
      <c r="F69" s="111" t="s">
        <v>134</v>
      </c>
      <c r="G69" s="111" t="s">
        <v>76</v>
      </c>
      <c r="H69" s="111" t="s">
        <v>135</v>
      </c>
      <c r="I69" s="114" t="s">
        <v>630</v>
      </c>
    </row>
    <row r="70" spans="1:9" ht="15.6" x14ac:dyDescent="0.3">
      <c r="A70" s="111" t="s">
        <v>621</v>
      </c>
      <c r="B70" s="111" t="s">
        <v>130</v>
      </c>
      <c r="C70" s="111" t="s">
        <v>136</v>
      </c>
      <c r="D70" s="111" t="s">
        <v>1</v>
      </c>
      <c r="E70" s="111" t="s">
        <v>609</v>
      </c>
      <c r="F70" s="111" t="s">
        <v>134</v>
      </c>
      <c r="G70" s="111" t="s">
        <v>76</v>
      </c>
      <c r="H70" s="111" t="s">
        <v>135</v>
      </c>
      <c r="I70" s="114" t="s">
        <v>630</v>
      </c>
    </row>
    <row r="71" spans="1:9" ht="15.6" x14ac:dyDescent="0.3">
      <c r="A71" s="111" t="s">
        <v>621</v>
      </c>
      <c r="B71" s="111" t="s">
        <v>130</v>
      </c>
      <c r="C71" s="111" t="s">
        <v>137</v>
      </c>
      <c r="D71" s="111" t="s">
        <v>1</v>
      </c>
      <c r="E71" s="111" t="s">
        <v>611</v>
      </c>
      <c r="F71" s="111" t="s">
        <v>134</v>
      </c>
      <c r="G71" s="111" t="s">
        <v>76</v>
      </c>
      <c r="H71" s="111" t="s">
        <v>135</v>
      </c>
      <c r="I71" s="114" t="s">
        <v>608</v>
      </c>
    </row>
    <row r="72" spans="1:9" ht="15.6" x14ac:dyDescent="0.3">
      <c r="A72" s="111" t="s">
        <v>621</v>
      </c>
      <c r="B72" s="111" t="s">
        <v>26</v>
      </c>
      <c r="C72" s="111" t="s">
        <v>35</v>
      </c>
      <c r="D72" s="111" t="s">
        <v>1</v>
      </c>
      <c r="E72" s="111" t="s">
        <v>572</v>
      </c>
      <c r="F72" s="111" t="s">
        <v>33</v>
      </c>
      <c r="G72" s="111" t="s">
        <v>36</v>
      </c>
      <c r="H72" s="111" t="s">
        <v>34</v>
      </c>
      <c r="I72" s="112" t="s">
        <v>631</v>
      </c>
    </row>
    <row r="73" spans="1:9" ht="15.6" x14ac:dyDescent="0.3">
      <c r="A73" s="111" t="s">
        <v>621</v>
      </c>
      <c r="B73" s="111" t="s">
        <v>26</v>
      </c>
      <c r="C73" s="111" t="s">
        <v>39</v>
      </c>
      <c r="D73" s="111" t="s">
        <v>1</v>
      </c>
      <c r="E73" s="111" t="s">
        <v>573</v>
      </c>
      <c r="F73" s="111" t="s">
        <v>33</v>
      </c>
      <c r="G73" s="111" t="s">
        <v>29</v>
      </c>
      <c r="H73" s="111" t="s">
        <v>34</v>
      </c>
      <c r="I73" s="112" t="s">
        <v>631</v>
      </c>
    </row>
    <row r="74" spans="1:9" ht="15.6" x14ac:dyDescent="0.3">
      <c r="A74" s="111" t="s">
        <v>621</v>
      </c>
      <c r="B74" s="111" t="s">
        <v>26</v>
      </c>
      <c r="C74" s="111" t="s">
        <v>27</v>
      </c>
      <c r="D74" s="111" t="s">
        <v>1</v>
      </c>
      <c r="E74" s="111" t="s">
        <v>570</v>
      </c>
      <c r="F74" s="111" t="s">
        <v>33</v>
      </c>
      <c r="G74" s="111" t="s">
        <v>42</v>
      </c>
      <c r="H74" s="111" t="s">
        <v>34</v>
      </c>
      <c r="I74" s="112" t="s">
        <v>631</v>
      </c>
    </row>
    <row r="75" spans="1:9" ht="15.6" x14ac:dyDescent="0.3">
      <c r="A75" s="111" t="s">
        <v>621</v>
      </c>
      <c r="B75" s="111" t="s">
        <v>26</v>
      </c>
      <c r="C75" s="111" t="s">
        <v>41</v>
      </c>
      <c r="D75" s="111" t="s">
        <v>1</v>
      </c>
      <c r="E75" s="111" t="s">
        <v>583</v>
      </c>
      <c r="F75" s="111" t="s">
        <v>33</v>
      </c>
      <c r="G75" s="111" t="s">
        <v>29</v>
      </c>
      <c r="H75" s="111" t="s">
        <v>34</v>
      </c>
      <c r="I75" s="112" t="s">
        <v>631</v>
      </c>
    </row>
    <row r="76" spans="1:9" ht="15.6" x14ac:dyDescent="0.3">
      <c r="A76" s="111" t="s">
        <v>621</v>
      </c>
      <c r="B76" s="111" t="s">
        <v>130</v>
      </c>
      <c r="C76" s="111" t="s">
        <v>142</v>
      </c>
      <c r="D76" s="111" t="s">
        <v>1</v>
      </c>
      <c r="E76" s="111" t="s">
        <v>572</v>
      </c>
      <c r="F76" s="111" t="s">
        <v>134</v>
      </c>
      <c r="G76" s="111" t="s">
        <v>110</v>
      </c>
      <c r="H76" s="111" t="s">
        <v>178</v>
      </c>
      <c r="I76" s="113" t="s">
        <v>623</v>
      </c>
    </row>
    <row r="77" spans="1:9" ht="15.6" x14ac:dyDescent="0.3">
      <c r="A77" s="111" t="s">
        <v>621</v>
      </c>
      <c r="B77" s="111" t="s">
        <v>130</v>
      </c>
      <c r="C77" s="111" t="s">
        <v>139</v>
      </c>
      <c r="D77" s="111" t="s">
        <v>1</v>
      </c>
      <c r="E77" s="111" t="s">
        <v>570</v>
      </c>
      <c r="F77" s="111" t="s">
        <v>134</v>
      </c>
      <c r="G77" s="111" t="s">
        <v>110</v>
      </c>
      <c r="H77" s="111" t="s">
        <v>140</v>
      </c>
      <c r="I77" s="113" t="s">
        <v>596</v>
      </c>
    </row>
    <row r="78" spans="1:9" ht="15.6" x14ac:dyDescent="0.3">
      <c r="A78" s="111" t="s">
        <v>621</v>
      </c>
      <c r="B78" s="111" t="s">
        <v>130</v>
      </c>
      <c r="C78" s="111" t="s">
        <v>141</v>
      </c>
      <c r="D78" s="111" t="s">
        <v>1</v>
      </c>
      <c r="E78" s="111" t="s">
        <v>573</v>
      </c>
      <c r="F78" s="111" t="s">
        <v>134</v>
      </c>
      <c r="G78" s="111" t="s">
        <v>110</v>
      </c>
      <c r="H78" s="111" t="s">
        <v>179</v>
      </c>
      <c r="I78" s="112" t="s">
        <v>627</v>
      </c>
    </row>
    <row r="79" spans="1:9" ht="15.6" x14ac:dyDescent="0.3">
      <c r="A79" s="111" t="s">
        <v>621</v>
      </c>
      <c r="B79" s="111" t="s">
        <v>130</v>
      </c>
      <c r="C79" s="111" t="s">
        <v>149</v>
      </c>
      <c r="D79" s="111" t="s">
        <v>1</v>
      </c>
      <c r="E79" s="111" t="s">
        <v>583</v>
      </c>
      <c r="F79" s="111" t="s">
        <v>134</v>
      </c>
      <c r="G79" s="111" t="s">
        <v>110</v>
      </c>
      <c r="H79" s="111" t="s">
        <v>179</v>
      </c>
      <c r="I79" s="112" t="s">
        <v>627</v>
      </c>
    </row>
    <row r="80" spans="1:9" ht="15.6" x14ac:dyDescent="0.3">
      <c r="A80" s="109" t="s">
        <v>632</v>
      </c>
      <c r="B80" s="109" t="s">
        <v>87</v>
      </c>
      <c r="C80" s="109" t="s">
        <v>95</v>
      </c>
      <c r="D80" s="109" t="s">
        <v>1</v>
      </c>
      <c r="E80" s="109" t="s">
        <v>432</v>
      </c>
      <c r="F80" s="109" t="s">
        <v>89</v>
      </c>
      <c r="G80" s="109" t="s">
        <v>76</v>
      </c>
      <c r="H80" s="109" t="s">
        <v>90</v>
      </c>
      <c r="I80" s="110" t="s">
        <v>589</v>
      </c>
    </row>
    <row r="81" spans="1:9" ht="15.6" x14ac:dyDescent="0.3">
      <c r="A81" s="109" t="s">
        <v>632</v>
      </c>
      <c r="B81" s="109" t="s">
        <v>87</v>
      </c>
      <c r="C81" s="109" t="s">
        <v>109</v>
      </c>
      <c r="D81" s="109" t="s">
        <v>1</v>
      </c>
      <c r="E81" s="109" t="s">
        <v>469</v>
      </c>
      <c r="F81" s="109" t="s">
        <v>89</v>
      </c>
      <c r="G81" s="109" t="s">
        <v>76</v>
      </c>
      <c r="H81" s="109" t="s">
        <v>90</v>
      </c>
      <c r="I81" s="110" t="s">
        <v>589</v>
      </c>
    </row>
    <row r="82" spans="1:9" ht="15.6" x14ac:dyDescent="0.3">
      <c r="A82" s="109" t="s">
        <v>632</v>
      </c>
      <c r="B82" s="109" t="s">
        <v>87</v>
      </c>
      <c r="C82" s="109" t="s">
        <v>88</v>
      </c>
      <c r="D82" s="109" t="s">
        <v>1</v>
      </c>
      <c r="E82" s="109" t="s">
        <v>473</v>
      </c>
      <c r="F82" s="109" t="s">
        <v>89</v>
      </c>
      <c r="G82" s="109" t="s">
        <v>76</v>
      </c>
      <c r="H82" s="109" t="s">
        <v>192</v>
      </c>
      <c r="I82" s="110" t="s">
        <v>589</v>
      </c>
    </row>
    <row r="83" spans="1:9" ht="15.6" x14ac:dyDescent="0.3">
      <c r="A83" s="111" t="s">
        <v>632</v>
      </c>
      <c r="B83" s="111" t="s">
        <v>70</v>
      </c>
      <c r="C83" s="111" t="s">
        <v>155</v>
      </c>
      <c r="D83" s="111" t="s">
        <v>1</v>
      </c>
      <c r="E83" s="111" t="s">
        <v>633</v>
      </c>
      <c r="F83" s="111" t="s">
        <v>72</v>
      </c>
      <c r="G83" s="111" t="s">
        <v>103</v>
      </c>
      <c r="H83" s="111" t="s">
        <v>73</v>
      </c>
      <c r="I83" s="114" t="s">
        <v>601</v>
      </c>
    </row>
    <row r="84" spans="1:9" ht="15.6" x14ac:dyDescent="0.3">
      <c r="A84" s="111" t="s">
        <v>632</v>
      </c>
      <c r="B84" s="111" t="s">
        <v>74</v>
      </c>
      <c r="C84" s="111" t="s">
        <v>78</v>
      </c>
      <c r="D84" s="111" t="s">
        <v>1</v>
      </c>
      <c r="E84" s="111" t="s">
        <v>576</v>
      </c>
      <c r="F84" s="111" t="s">
        <v>72</v>
      </c>
      <c r="G84" s="111" t="s">
        <v>76</v>
      </c>
      <c r="H84" s="111" t="s">
        <v>77</v>
      </c>
      <c r="I84" s="112" t="s">
        <v>590</v>
      </c>
    </row>
    <row r="85" spans="1:9" ht="15.6" x14ac:dyDescent="0.3">
      <c r="A85" s="111" t="s">
        <v>632</v>
      </c>
      <c r="B85" s="111" t="s">
        <v>79</v>
      </c>
      <c r="C85" s="111" t="s">
        <v>84</v>
      </c>
      <c r="D85" s="111" t="s">
        <v>1</v>
      </c>
      <c r="E85" s="111" t="s">
        <v>584</v>
      </c>
      <c r="F85" s="111" t="s">
        <v>81</v>
      </c>
      <c r="G85" s="111" t="s">
        <v>54</v>
      </c>
      <c r="H85" s="111" t="s">
        <v>55</v>
      </c>
      <c r="I85" s="112" t="s">
        <v>631</v>
      </c>
    </row>
    <row r="86" spans="1:9" ht="15.6" x14ac:dyDescent="0.3">
      <c r="A86" s="111" t="s">
        <v>632</v>
      </c>
      <c r="B86" s="111" t="s">
        <v>45</v>
      </c>
      <c r="C86" s="111" t="s">
        <v>53</v>
      </c>
      <c r="D86" s="111" t="s">
        <v>1</v>
      </c>
      <c r="E86" s="111" t="s">
        <v>577</v>
      </c>
      <c r="F86" s="111" t="s">
        <v>49</v>
      </c>
      <c r="G86" s="111" t="s">
        <v>29</v>
      </c>
      <c r="H86" s="111" t="s">
        <v>50</v>
      </c>
      <c r="I86" s="112" t="s">
        <v>634</v>
      </c>
    </row>
    <row r="87" spans="1:9" ht="15.6" x14ac:dyDescent="0.3">
      <c r="A87" s="111" t="s">
        <v>632</v>
      </c>
      <c r="B87" s="111" t="s">
        <v>45</v>
      </c>
      <c r="C87" s="111" t="s">
        <v>57</v>
      </c>
      <c r="D87" s="111" t="s">
        <v>1</v>
      </c>
      <c r="E87" s="111" t="s">
        <v>578</v>
      </c>
      <c r="F87" s="111" t="s">
        <v>49</v>
      </c>
      <c r="G87" s="111" t="s">
        <v>54</v>
      </c>
      <c r="H87" s="111" t="s">
        <v>50</v>
      </c>
      <c r="I87" s="112" t="s">
        <v>634</v>
      </c>
    </row>
    <row r="88" spans="1:9" ht="15.6" x14ac:dyDescent="0.3">
      <c r="A88" s="111" t="s">
        <v>632</v>
      </c>
      <c r="B88" s="111" t="s">
        <v>45</v>
      </c>
      <c r="C88" s="111" t="s">
        <v>58</v>
      </c>
      <c r="D88" s="111" t="s">
        <v>1</v>
      </c>
      <c r="E88" s="111" t="s">
        <v>573</v>
      </c>
      <c r="F88" s="111" t="s">
        <v>49</v>
      </c>
      <c r="G88" s="111" t="s">
        <v>54</v>
      </c>
      <c r="H88" s="111" t="s">
        <v>50</v>
      </c>
      <c r="I88" s="112" t="s">
        <v>634</v>
      </c>
    </row>
    <row r="89" spans="1:9" ht="15.6" x14ac:dyDescent="0.3">
      <c r="A89" s="111" t="s">
        <v>632</v>
      </c>
      <c r="B89" s="111" t="s">
        <v>79</v>
      </c>
      <c r="C89" s="111" t="s">
        <v>84</v>
      </c>
      <c r="D89" s="111" t="s">
        <v>1</v>
      </c>
      <c r="E89" s="111" t="s">
        <v>584</v>
      </c>
      <c r="F89" s="111" t="s">
        <v>33</v>
      </c>
      <c r="G89" s="111" t="s">
        <v>54</v>
      </c>
      <c r="H89" s="111" t="s">
        <v>187</v>
      </c>
      <c r="I89" s="114" t="s">
        <v>635</v>
      </c>
    </row>
    <row r="90" spans="1:9" ht="15.6" x14ac:dyDescent="0.3">
      <c r="A90" s="111" t="s">
        <v>632</v>
      </c>
      <c r="B90" s="111" t="s">
        <v>45</v>
      </c>
      <c r="C90" s="111" t="s">
        <v>53</v>
      </c>
      <c r="D90" s="111" t="s">
        <v>1</v>
      </c>
      <c r="E90" s="111" t="s">
        <v>577</v>
      </c>
      <c r="F90" s="111" t="s">
        <v>51</v>
      </c>
      <c r="G90" s="111" t="s">
        <v>29</v>
      </c>
      <c r="H90" s="111" t="s">
        <v>52</v>
      </c>
      <c r="I90" s="114" t="s">
        <v>636</v>
      </c>
    </row>
    <row r="91" spans="1:9" ht="15.6" x14ac:dyDescent="0.3">
      <c r="A91" s="111" t="s">
        <v>632</v>
      </c>
      <c r="B91" s="111" t="s">
        <v>45</v>
      </c>
      <c r="C91" s="111" t="s">
        <v>57</v>
      </c>
      <c r="D91" s="111" t="s">
        <v>1</v>
      </c>
      <c r="E91" s="111" t="s">
        <v>578</v>
      </c>
      <c r="F91" s="111" t="s">
        <v>51</v>
      </c>
      <c r="G91" s="111" t="s">
        <v>54</v>
      </c>
      <c r="H91" s="111" t="s">
        <v>52</v>
      </c>
      <c r="I91" s="114" t="s">
        <v>636</v>
      </c>
    </row>
    <row r="92" spans="1:9" ht="15.6" x14ac:dyDescent="0.3">
      <c r="A92" s="111" t="s">
        <v>632</v>
      </c>
      <c r="B92" s="111" t="s">
        <v>45</v>
      </c>
      <c r="C92" s="111" t="s">
        <v>58</v>
      </c>
      <c r="D92" s="111" t="s">
        <v>1</v>
      </c>
      <c r="E92" s="111" t="s">
        <v>573</v>
      </c>
      <c r="F92" s="111" t="s">
        <v>51</v>
      </c>
      <c r="G92" s="111" t="s">
        <v>54</v>
      </c>
      <c r="H92" s="111" t="s">
        <v>52</v>
      </c>
      <c r="I92" s="114" t="s">
        <v>636</v>
      </c>
    </row>
    <row r="93" spans="1:9" ht="15.6" x14ac:dyDescent="0.3">
      <c r="A93" s="111" t="s">
        <v>632</v>
      </c>
      <c r="B93" s="111" t="s">
        <v>45</v>
      </c>
      <c r="C93" s="111" t="s">
        <v>62</v>
      </c>
      <c r="D93" s="111" t="s">
        <v>1</v>
      </c>
      <c r="E93" s="111" t="s">
        <v>469</v>
      </c>
      <c r="F93" s="111" t="s">
        <v>51</v>
      </c>
      <c r="G93" s="111" t="s">
        <v>54</v>
      </c>
      <c r="H93" s="111" t="s">
        <v>56</v>
      </c>
      <c r="I93" s="114" t="s">
        <v>602</v>
      </c>
    </row>
    <row r="94" spans="1:9" ht="15.6" x14ac:dyDescent="0.3">
      <c r="A94" s="111" t="s">
        <v>632</v>
      </c>
      <c r="B94" s="111" t="s">
        <v>45</v>
      </c>
      <c r="C94" s="111" t="s">
        <v>59</v>
      </c>
      <c r="D94" s="111" t="s">
        <v>1</v>
      </c>
      <c r="E94" s="111" t="s">
        <v>580</v>
      </c>
      <c r="F94" s="111" t="s">
        <v>51</v>
      </c>
      <c r="G94" s="111" t="s">
        <v>29</v>
      </c>
      <c r="H94" s="111" t="s">
        <v>56</v>
      </c>
      <c r="I94" s="114" t="s">
        <v>602</v>
      </c>
    </row>
    <row r="95" spans="1:9" ht="15.6" x14ac:dyDescent="0.3">
      <c r="A95" s="111" t="s">
        <v>632</v>
      </c>
      <c r="B95" s="111" t="s">
        <v>45</v>
      </c>
      <c r="C95" s="111" t="s">
        <v>60</v>
      </c>
      <c r="D95" s="111" t="s">
        <v>1</v>
      </c>
      <c r="E95" s="111" t="s">
        <v>581</v>
      </c>
      <c r="F95" s="111" t="s">
        <v>51</v>
      </c>
      <c r="G95" s="111" t="s">
        <v>110</v>
      </c>
      <c r="H95" s="111" t="s">
        <v>56</v>
      </c>
      <c r="I95" s="114" t="s">
        <v>602</v>
      </c>
    </row>
    <row r="96" spans="1:9" ht="15.6" x14ac:dyDescent="0.3">
      <c r="A96" s="111" t="s">
        <v>632</v>
      </c>
      <c r="B96" s="111" t="s">
        <v>45</v>
      </c>
      <c r="C96" s="111" t="s">
        <v>46</v>
      </c>
      <c r="D96" s="111" t="s">
        <v>1</v>
      </c>
      <c r="E96" s="111" t="s">
        <v>571</v>
      </c>
      <c r="F96" s="111" t="s">
        <v>51</v>
      </c>
      <c r="G96" s="111" t="s">
        <v>54</v>
      </c>
      <c r="H96" s="111" t="s">
        <v>56</v>
      </c>
      <c r="I96" s="114" t="s">
        <v>602</v>
      </c>
    </row>
    <row r="97" spans="1:9" ht="15.6" x14ac:dyDescent="0.3">
      <c r="A97" s="111" t="s">
        <v>632</v>
      </c>
      <c r="B97" s="111" t="s">
        <v>45</v>
      </c>
      <c r="C97" s="111" t="s">
        <v>66</v>
      </c>
      <c r="D97" s="111" t="s">
        <v>1</v>
      </c>
      <c r="E97" s="111" t="s">
        <v>605</v>
      </c>
      <c r="F97" s="111" t="s">
        <v>51</v>
      </c>
      <c r="G97" s="111" t="s">
        <v>61</v>
      </c>
      <c r="H97" s="111" t="s">
        <v>56</v>
      </c>
      <c r="I97" s="114" t="s">
        <v>602</v>
      </c>
    </row>
    <row r="98" spans="1:9" ht="15.6" x14ac:dyDescent="0.3">
      <c r="A98" s="111" t="s">
        <v>632</v>
      </c>
      <c r="B98" s="111" t="s">
        <v>130</v>
      </c>
      <c r="C98" s="111" t="s">
        <v>143</v>
      </c>
      <c r="D98" s="111" t="s">
        <v>1</v>
      </c>
      <c r="E98" s="111" t="s">
        <v>420</v>
      </c>
      <c r="F98" s="111" t="s">
        <v>134</v>
      </c>
      <c r="G98" s="111" t="s">
        <v>76</v>
      </c>
      <c r="H98" s="111" t="s">
        <v>177</v>
      </c>
      <c r="I98" s="114" t="s">
        <v>602</v>
      </c>
    </row>
    <row r="99" spans="1:9" ht="15.6" x14ac:dyDescent="0.3">
      <c r="A99" s="111" t="s">
        <v>632</v>
      </c>
      <c r="B99" s="111" t="s">
        <v>130</v>
      </c>
      <c r="C99" s="111" t="s">
        <v>146</v>
      </c>
      <c r="D99" s="111" t="s">
        <v>1</v>
      </c>
      <c r="E99" s="111" t="s">
        <v>618</v>
      </c>
      <c r="F99" s="111" t="s">
        <v>134</v>
      </c>
      <c r="G99" s="111" t="s">
        <v>76</v>
      </c>
      <c r="H99" s="111" t="s">
        <v>177</v>
      </c>
      <c r="I99" s="114" t="s">
        <v>602</v>
      </c>
    </row>
    <row r="100" spans="1:9" ht="15.6" x14ac:dyDescent="0.3">
      <c r="A100" s="111" t="s">
        <v>632</v>
      </c>
      <c r="B100" s="111" t="s">
        <v>130</v>
      </c>
      <c r="C100" s="111" t="s">
        <v>136</v>
      </c>
      <c r="D100" s="111" t="s">
        <v>1</v>
      </c>
      <c r="E100" s="111" t="s">
        <v>609</v>
      </c>
      <c r="F100" s="111" t="s">
        <v>134</v>
      </c>
      <c r="G100" s="111" t="s">
        <v>76</v>
      </c>
      <c r="H100" s="111" t="s">
        <v>177</v>
      </c>
      <c r="I100" s="114" t="s">
        <v>637</v>
      </c>
    </row>
    <row r="101" spans="1:9" ht="15.6" x14ac:dyDescent="0.3">
      <c r="A101" s="111" t="s">
        <v>632</v>
      </c>
      <c r="B101" s="111" t="s">
        <v>130</v>
      </c>
      <c r="C101" s="111" t="s">
        <v>138</v>
      </c>
      <c r="D101" s="111" t="s">
        <v>1</v>
      </c>
      <c r="E101" s="111" t="s">
        <v>613</v>
      </c>
      <c r="F101" s="111" t="s">
        <v>134</v>
      </c>
      <c r="G101" s="111" t="s">
        <v>76</v>
      </c>
      <c r="H101" s="111" t="s">
        <v>177</v>
      </c>
      <c r="I101" s="114" t="s">
        <v>602</v>
      </c>
    </row>
    <row r="102" spans="1:9" ht="15.6" x14ac:dyDescent="0.3">
      <c r="A102" s="111" t="s">
        <v>632</v>
      </c>
      <c r="B102" s="111" t="s">
        <v>130</v>
      </c>
      <c r="C102" s="111" t="s">
        <v>148</v>
      </c>
      <c r="D102" s="111" t="s">
        <v>1</v>
      </c>
      <c r="E102" s="111" t="s">
        <v>620</v>
      </c>
      <c r="F102" s="111" t="s">
        <v>134</v>
      </c>
      <c r="G102" s="111" t="s">
        <v>76</v>
      </c>
      <c r="H102" s="111" t="s">
        <v>135</v>
      </c>
      <c r="I102" s="114" t="s">
        <v>608</v>
      </c>
    </row>
    <row r="103" spans="1:9" ht="15.6" x14ac:dyDescent="0.3">
      <c r="A103" s="111" t="s">
        <v>632</v>
      </c>
      <c r="B103" s="111" t="s">
        <v>130</v>
      </c>
      <c r="C103" s="111" t="s">
        <v>137</v>
      </c>
      <c r="D103" s="111" t="s">
        <v>1</v>
      </c>
      <c r="E103" s="111" t="s">
        <v>611</v>
      </c>
      <c r="F103" s="111" t="s">
        <v>134</v>
      </c>
      <c r="G103" s="111" t="s">
        <v>76</v>
      </c>
      <c r="H103" s="111" t="s">
        <v>135</v>
      </c>
      <c r="I103" s="114" t="s">
        <v>608</v>
      </c>
    </row>
    <row r="104" spans="1:9" ht="15.6" x14ac:dyDescent="0.3">
      <c r="A104" s="111" t="s">
        <v>632</v>
      </c>
      <c r="B104" s="111" t="s">
        <v>26</v>
      </c>
      <c r="C104" s="111" t="s">
        <v>35</v>
      </c>
      <c r="D104" s="111" t="s">
        <v>1</v>
      </c>
      <c r="E104" s="111" t="s">
        <v>572</v>
      </c>
      <c r="F104" s="111" t="s">
        <v>33</v>
      </c>
      <c r="G104" s="111" t="s">
        <v>29</v>
      </c>
      <c r="H104" s="111" t="s">
        <v>34</v>
      </c>
      <c r="I104" s="112" t="s">
        <v>631</v>
      </c>
    </row>
    <row r="105" spans="1:9" ht="15.6" x14ac:dyDescent="0.3">
      <c r="A105" s="111" t="s">
        <v>632</v>
      </c>
      <c r="B105" s="111" t="s">
        <v>26</v>
      </c>
      <c r="C105" s="111" t="s">
        <v>39</v>
      </c>
      <c r="D105" s="111" t="s">
        <v>1</v>
      </c>
      <c r="E105" s="111" t="s">
        <v>573</v>
      </c>
      <c r="F105" s="111" t="s">
        <v>33</v>
      </c>
      <c r="G105" s="111" t="s">
        <v>29</v>
      </c>
      <c r="H105" s="111" t="s">
        <v>34</v>
      </c>
      <c r="I105" s="113" t="s">
        <v>595</v>
      </c>
    </row>
    <row r="106" spans="1:9" ht="15.6" x14ac:dyDescent="0.3">
      <c r="A106" s="111" t="s">
        <v>632</v>
      </c>
      <c r="B106" s="111" t="s">
        <v>26</v>
      </c>
      <c r="C106" s="111" t="s">
        <v>27</v>
      </c>
      <c r="D106" s="111" t="s">
        <v>1</v>
      </c>
      <c r="E106" s="111" t="s">
        <v>570</v>
      </c>
      <c r="F106" s="111" t="s">
        <v>33</v>
      </c>
      <c r="G106" s="111" t="s">
        <v>29</v>
      </c>
      <c r="H106" s="111" t="s">
        <v>34</v>
      </c>
      <c r="I106" s="113" t="s">
        <v>595</v>
      </c>
    </row>
    <row r="107" spans="1:9" ht="15.6" x14ac:dyDescent="0.3">
      <c r="A107" s="111" t="s">
        <v>632</v>
      </c>
      <c r="B107" s="111" t="s">
        <v>26</v>
      </c>
      <c r="C107" s="111" t="s">
        <v>41</v>
      </c>
      <c r="D107" s="111" t="s">
        <v>1</v>
      </c>
      <c r="E107" s="111" t="s">
        <v>583</v>
      </c>
      <c r="F107" s="111" t="s">
        <v>33</v>
      </c>
      <c r="G107" s="111" t="s">
        <v>36</v>
      </c>
      <c r="H107" s="111" t="s">
        <v>34</v>
      </c>
      <c r="I107" s="113" t="s">
        <v>595</v>
      </c>
    </row>
    <row r="108" spans="1:9" ht="15.6" x14ac:dyDescent="0.3">
      <c r="A108" s="111" t="s">
        <v>632</v>
      </c>
      <c r="B108" s="111" t="s">
        <v>130</v>
      </c>
      <c r="C108" s="111" t="s">
        <v>142</v>
      </c>
      <c r="D108" s="111" t="s">
        <v>1</v>
      </c>
      <c r="E108" s="111" t="s">
        <v>572</v>
      </c>
      <c r="F108" s="111" t="s">
        <v>134</v>
      </c>
      <c r="G108" s="111" t="s">
        <v>110</v>
      </c>
      <c r="H108" s="111" t="s">
        <v>178</v>
      </c>
      <c r="I108" s="113" t="s">
        <v>623</v>
      </c>
    </row>
    <row r="109" spans="1:9" ht="15.6" x14ac:dyDescent="0.3">
      <c r="A109" s="111" t="s">
        <v>632</v>
      </c>
      <c r="B109" s="111" t="s">
        <v>130</v>
      </c>
      <c r="C109" s="111" t="s">
        <v>141</v>
      </c>
      <c r="D109" s="111" t="s">
        <v>1</v>
      </c>
      <c r="E109" s="111" t="s">
        <v>573</v>
      </c>
      <c r="F109" s="111" t="s">
        <v>134</v>
      </c>
      <c r="G109" s="111" t="s">
        <v>110</v>
      </c>
      <c r="H109" s="111" t="s">
        <v>140</v>
      </c>
      <c r="I109" s="113" t="s">
        <v>594</v>
      </c>
    </row>
    <row r="110" spans="1:9" ht="15.6" x14ac:dyDescent="0.3">
      <c r="A110" s="111" t="s">
        <v>632</v>
      </c>
      <c r="B110" s="111" t="s">
        <v>130</v>
      </c>
      <c r="C110" s="111" t="s">
        <v>131</v>
      </c>
      <c r="D110" s="111" t="s">
        <v>1</v>
      </c>
      <c r="E110" s="111" t="s">
        <v>607</v>
      </c>
      <c r="F110" s="111" t="s">
        <v>134</v>
      </c>
      <c r="G110" s="111" t="s">
        <v>76</v>
      </c>
      <c r="H110" s="111" t="s">
        <v>145</v>
      </c>
      <c r="I110" s="112" t="s">
        <v>590</v>
      </c>
    </row>
    <row r="111" spans="1:9" ht="15.6" x14ac:dyDescent="0.3">
      <c r="A111" s="111" t="s">
        <v>632</v>
      </c>
      <c r="B111" s="111" t="s">
        <v>130</v>
      </c>
      <c r="C111" s="111" t="s">
        <v>147</v>
      </c>
      <c r="D111" s="111" t="s">
        <v>1</v>
      </c>
      <c r="E111" s="111" t="s">
        <v>619</v>
      </c>
      <c r="F111" s="111" t="s">
        <v>134</v>
      </c>
      <c r="G111" s="111" t="s">
        <v>76</v>
      </c>
      <c r="H111" s="111" t="s">
        <v>145</v>
      </c>
      <c r="I111" s="112" t="s">
        <v>590</v>
      </c>
    </row>
    <row r="112" spans="1:9" ht="15.6" x14ac:dyDescent="0.3">
      <c r="A112" s="111" t="s">
        <v>632</v>
      </c>
      <c r="B112" s="111" t="s">
        <v>130</v>
      </c>
      <c r="C112" s="111" t="s">
        <v>139</v>
      </c>
      <c r="D112" s="111" t="s">
        <v>1</v>
      </c>
      <c r="E112" s="111" t="s">
        <v>570</v>
      </c>
      <c r="F112" s="111" t="s">
        <v>134</v>
      </c>
      <c r="G112" s="111" t="s">
        <v>110</v>
      </c>
      <c r="H112" s="111" t="s">
        <v>179</v>
      </c>
      <c r="I112" s="112" t="s">
        <v>638</v>
      </c>
    </row>
    <row r="113" spans="1:9" ht="15.6" x14ac:dyDescent="0.3">
      <c r="A113" s="111" t="s">
        <v>639</v>
      </c>
      <c r="B113" s="111" t="s">
        <v>26</v>
      </c>
      <c r="C113" s="111" t="s">
        <v>35</v>
      </c>
      <c r="D113" s="111" t="s">
        <v>1</v>
      </c>
      <c r="E113" s="111" t="s">
        <v>572</v>
      </c>
      <c r="F113" s="111" t="s">
        <v>33</v>
      </c>
      <c r="G113" s="111" t="s">
        <v>110</v>
      </c>
      <c r="H113" s="111" t="s">
        <v>34</v>
      </c>
      <c r="I113" s="113" t="s">
        <v>595</v>
      </c>
    </row>
    <row r="114" spans="1:9" ht="15.6" x14ac:dyDescent="0.3">
      <c r="A114" s="111" t="s">
        <v>639</v>
      </c>
      <c r="B114" s="111" t="s">
        <v>26</v>
      </c>
      <c r="C114" s="111" t="s">
        <v>39</v>
      </c>
      <c r="D114" s="111" t="s">
        <v>1</v>
      </c>
      <c r="E114" s="111" t="s">
        <v>573</v>
      </c>
      <c r="F114" s="111" t="s">
        <v>33</v>
      </c>
      <c r="G114" s="111" t="s">
        <v>110</v>
      </c>
      <c r="H114" s="111" t="s">
        <v>34</v>
      </c>
      <c r="I114" s="113" t="s">
        <v>595</v>
      </c>
    </row>
    <row r="115" spans="1:9" ht="15.6" x14ac:dyDescent="0.3">
      <c r="A115" s="109" t="s">
        <v>640</v>
      </c>
      <c r="B115" s="109" t="s">
        <v>87</v>
      </c>
      <c r="C115" s="109" t="s">
        <v>102</v>
      </c>
      <c r="D115" s="109" t="s">
        <v>1</v>
      </c>
      <c r="E115" s="109" t="s">
        <v>432</v>
      </c>
      <c r="F115" s="109" t="s">
        <v>89</v>
      </c>
      <c r="G115" s="109" t="s">
        <v>61</v>
      </c>
      <c r="H115" s="109" t="s">
        <v>77</v>
      </c>
      <c r="I115" s="110" t="s">
        <v>589</v>
      </c>
    </row>
    <row r="116" spans="1:9" ht="15.6" x14ac:dyDescent="0.3">
      <c r="A116" s="109" t="s">
        <v>640</v>
      </c>
      <c r="B116" s="109" t="s">
        <v>87</v>
      </c>
      <c r="C116" s="109" t="s">
        <v>169</v>
      </c>
      <c r="D116" s="109" t="s">
        <v>1</v>
      </c>
      <c r="E116" s="109" t="s">
        <v>480</v>
      </c>
      <c r="F116" s="109" t="s">
        <v>89</v>
      </c>
      <c r="G116" s="109" t="s">
        <v>76</v>
      </c>
      <c r="H116" s="109" t="s">
        <v>77</v>
      </c>
      <c r="I116" s="110" t="s">
        <v>589</v>
      </c>
    </row>
    <row r="117" spans="1:9" ht="15.6" x14ac:dyDescent="0.3">
      <c r="A117" s="109" t="s">
        <v>640</v>
      </c>
      <c r="B117" s="109" t="s">
        <v>87</v>
      </c>
      <c r="C117" s="109" t="s">
        <v>95</v>
      </c>
      <c r="D117" s="109" t="s">
        <v>1</v>
      </c>
      <c r="E117" s="109" t="s">
        <v>498</v>
      </c>
      <c r="F117" s="109" t="s">
        <v>89</v>
      </c>
      <c r="G117" s="109" t="s">
        <v>185</v>
      </c>
      <c r="H117" s="109" t="s">
        <v>207</v>
      </c>
      <c r="I117" s="110" t="s">
        <v>589</v>
      </c>
    </row>
    <row r="118" spans="1:9" ht="15.6" x14ac:dyDescent="0.3">
      <c r="A118" s="109" t="s">
        <v>640</v>
      </c>
      <c r="B118" s="109" t="s">
        <v>87</v>
      </c>
      <c r="C118" s="109" t="s">
        <v>109</v>
      </c>
      <c r="D118" s="109" t="s">
        <v>1</v>
      </c>
      <c r="E118" s="109" t="s">
        <v>496</v>
      </c>
      <c r="F118" s="109" t="s">
        <v>89</v>
      </c>
      <c r="G118" s="109" t="s">
        <v>76</v>
      </c>
      <c r="H118" s="109" t="s">
        <v>207</v>
      </c>
      <c r="I118" s="110" t="s">
        <v>589</v>
      </c>
    </row>
    <row r="119" spans="1:9" ht="15.6" x14ac:dyDescent="0.3">
      <c r="A119" s="109" t="s">
        <v>640</v>
      </c>
      <c r="B119" s="109" t="s">
        <v>87</v>
      </c>
      <c r="C119" s="109" t="s">
        <v>165</v>
      </c>
      <c r="D119" s="109" t="s">
        <v>1</v>
      </c>
      <c r="E119" s="109" t="s">
        <v>502</v>
      </c>
      <c r="F119" s="109" t="s">
        <v>89</v>
      </c>
      <c r="G119" s="109" t="s">
        <v>110</v>
      </c>
      <c r="H119" s="109" t="s">
        <v>159</v>
      </c>
      <c r="I119" s="110" t="s">
        <v>589</v>
      </c>
    </row>
    <row r="120" spans="1:9" ht="15.6" x14ac:dyDescent="0.3">
      <c r="A120" s="109" t="s">
        <v>640</v>
      </c>
      <c r="B120" s="109" t="s">
        <v>87</v>
      </c>
      <c r="C120" s="109" t="s">
        <v>88</v>
      </c>
      <c r="D120" s="109" t="s">
        <v>1</v>
      </c>
      <c r="E120" s="109" t="s">
        <v>506</v>
      </c>
      <c r="F120" s="109" t="s">
        <v>89</v>
      </c>
      <c r="G120" s="109" t="s">
        <v>76</v>
      </c>
      <c r="H120" s="109" t="s">
        <v>213</v>
      </c>
      <c r="I120" s="110" t="s">
        <v>589</v>
      </c>
    </row>
    <row r="121" spans="1:9" ht="15.6" x14ac:dyDescent="0.3">
      <c r="A121" s="111" t="s">
        <v>640</v>
      </c>
      <c r="B121" s="111" t="s">
        <v>26</v>
      </c>
      <c r="C121" s="111" t="s">
        <v>27</v>
      </c>
      <c r="D121" s="111" t="s">
        <v>1</v>
      </c>
      <c r="E121" s="111" t="s">
        <v>570</v>
      </c>
      <c r="F121" s="111" t="s">
        <v>28</v>
      </c>
      <c r="G121" s="111" t="s">
        <v>29</v>
      </c>
      <c r="H121" s="111" t="s">
        <v>180</v>
      </c>
      <c r="I121" s="113" t="s">
        <v>594</v>
      </c>
    </row>
    <row r="122" spans="1:9" ht="15.6" x14ac:dyDescent="0.3">
      <c r="A122" s="111" t="s">
        <v>640</v>
      </c>
      <c r="B122" s="111" t="s">
        <v>79</v>
      </c>
      <c r="C122" s="111" t="s">
        <v>84</v>
      </c>
      <c r="D122" s="111" t="s">
        <v>1</v>
      </c>
      <c r="E122" s="111" t="s">
        <v>584</v>
      </c>
      <c r="F122" s="111" t="s">
        <v>81</v>
      </c>
      <c r="G122" s="111" t="s">
        <v>54</v>
      </c>
      <c r="H122" s="111" t="s">
        <v>198</v>
      </c>
      <c r="I122" s="112" t="s">
        <v>641</v>
      </c>
    </row>
    <row r="123" spans="1:9" ht="15.6" x14ac:dyDescent="0.3">
      <c r="A123" s="111" t="s">
        <v>640</v>
      </c>
      <c r="B123" s="111" t="s">
        <v>79</v>
      </c>
      <c r="C123" s="111" t="s">
        <v>199</v>
      </c>
      <c r="D123" s="111" t="s">
        <v>1</v>
      </c>
      <c r="E123" s="111" t="s">
        <v>642</v>
      </c>
      <c r="F123" s="111" t="s">
        <v>81</v>
      </c>
      <c r="G123" s="111" t="s">
        <v>54</v>
      </c>
      <c r="H123" s="111" t="s">
        <v>198</v>
      </c>
      <c r="I123" s="114" t="s">
        <v>643</v>
      </c>
    </row>
    <row r="124" spans="1:9" ht="15.6" x14ac:dyDescent="0.3">
      <c r="A124" s="111" t="s">
        <v>640</v>
      </c>
      <c r="B124" s="111" t="s">
        <v>45</v>
      </c>
      <c r="C124" s="111" t="s">
        <v>53</v>
      </c>
      <c r="D124" s="111" t="s">
        <v>1</v>
      </c>
      <c r="E124" s="111" t="s">
        <v>577</v>
      </c>
      <c r="F124" s="111" t="s">
        <v>47</v>
      </c>
      <c r="G124" s="111" t="s">
        <v>42</v>
      </c>
      <c r="H124" s="111" t="s">
        <v>48</v>
      </c>
      <c r="I124" s="114" t="s">
        <v>644</v>
      </c>
    </row>
    <row r="125" spans="1:9" ht="15.6" x14ac:dyDescent="0.3">
      <c r="A125" s="111" t="s">
        <v>640</v>
      </c>
      <c r="B125" s="111" t="s">
        <v>79</v>
      </c>
      <c r="C125" s="111" t="s">
        <v>200</v>
      </c>
      <c r="D125" s="111" t="s">
        <v>1</v>
      </c>
      <c r="E125" s="111" t="s">
        <v>645</v>
      </c>
      <c r="F125" s="111" t="s">
        <v>81</v>
      </c>
      <c r="G125" s="111" t="s">
        <v>54</v>
      </c>
      <c r="H125" s="111" t="s">
        <v>201</v>
      </c>
      <c r="I125" s="112" t="s">
        <v>641</v>
      </c>
    </row>
    <row r="126" spans="1:9" ht="15.6" x14ac:dyDescent="0.3">
      <c r="A126" s="111" t="s">
        <v>640</v>
      </c>
      <c r="B126" s="111" t="s">
        <v>45</v>
      </c>
      <c r="C126" s="111" t="s">
        <v>59</v>
      </c>
      <c r="D126" s="111" t="s">
        <v>1</v>
      </c>
      <c r="E126" s="111" t="s">
        <v>580</v>
      </c>
      <c r="F126" s="111" t="s">
        <v>47</v>
      </c>
      <c r="G126" s="111" t="s">
        <v>54</v>
      </c>
      <c r="H126" s="111" t="s">
        <v>63</v>
      </c>
      <c r="I126" s="113" t="s">
        <v>595</v>
      </c>
    </row>
    <row r="127" spans="1:9" ht="15.6" x14ac:dyDescent="0.3">
      <c r="A127" s="111" t="s">
        <v>640</v>
      </c>
      <c r="B127" s="111" t="s">
        <v>45</v>
      </c>
      <c r="C127" s="111" t="s">
        <v>53</v>
      </c>
      <c r="D127" s="111" t="s">
        <v>1</v>
      </c>
      <c r="E127" s="111" t="s">
        <v>577</v>
      </c>
      <c r="F127" s="111" t="s">
        <v>49</v>
      </c>
      <c r="G127" s="111" t="s">
        <v>42</v>
      </c>
      <c r="H127" s="111" t="s">
        <v>50</v>
      </c>
      <c r="I127" s="114" t="s">
        <v>646</v>
      </c>
    </row>
    <row r="128" spans="1:9" ht="15.6" x14ac:dyDescent="0.3">
      <c r="A128" s="111" t="s">
        <v>640</v>
      </c>
      <c r="B128" s="111" t="s">
        <v>79</v>
      </c>
      <c r="C128" s="111" t="s">
        <v>84</v>
      </c>
      <c r="D128" s="111" t="s">
        <v>1</v>
      </c>
      <c r="E128" s="111" t="s">
        <v>584</v>
      </c>
      <c r="F128" s="111" t="s">
        <v>33</v>
      </c>
      <c r="G128" s="111" t="s">
        <v>54</v>
      </c>
      <c r="H128" s="111" t="s">
        <v>181</v>
      </c>
      <c r="I128" s="114" t="s">
        <v>647</v>
      </c>
    </row>
    <row r="129" spans="1:9" ht="15.6" x14ac:dyDescent="0.3">
      <c r="A129" s="111" t="s">
        <v>640</v>
      </c>
      <c r="B129" s="111" t="s">
        <v>79</v>
      </c>
      <c r="C129" s="111" t="s">
        <v>199</v>
      </c>
      <c r="D129" s="111" t="s">
        <v>1</v>
      </c>
      <c r="E129" s="111" t="s">
        <v>642</v>
      </c>
      <c r="F129" s="111" t="s">
        <v>33</v>
      </c>
      <c r="G129" s="111" t="s">
        <v>54</v>
      </c>
      <c r="H129" s="111" t="s">
        <v>181</v>
      </c>
      <c r="I129" s="114" t="s">
        <v>648</v>
      </c>
    </row>
    <row r="130" spans="1:9" ht="15.6" x14ac:dyDescent="0.3">
      <c r="A130" s="111" t="s">
        <v>640</v>
      </c>
      <c r="B130" s="111" t="s">
        <v>26</v>
      </c>
      <c r="C130" s="111" t="s">
        <v>27</v>
      </c>
      <c r="D130" s="111" t="s">
        <v>1</v>
      </c>
      <c r="E130" s="111" t="s">
        <v>570</v>
      </c>
      <c r="F130" s="111" t="s">
        <v>31</v>
      </c>
      <c r="G130" s="111" t="s">
        <v>29</v>
      </c>
      <c r="H130" s="111" t="s">
        <v>181</v>
      </c>
      <c r="I130" s="113" t="s">
        <v>594</v>
      </c>
    </row>
    <row r="131" spans="1:9" ht="15.6" x14ac:dyDescent="0.3">
      <c r="A131" s="111" t="s">
        <v>640</v>
      </c>
      <c r="B131" s="111" t="s">
        <v>79</v>
      </c>
      <c r="C131" s="111" t="s">
        <v>200</v>
      </c>
      <c r="D131" s="111" t="s">
        <v>1</v>
      </c>
      <c r="E131" s="111" t="s">
        <v>645</v>
      </c>
      <c r="F131" s="111" t="s">
        <v>33</v>
      </c>
      <c r="G131" s="111" t="s">
        <v>54</v>
      </c>
      <c r="H131" s="111" t="s">
        <v>202</v>
      </c>
      <c r="I131" s="114" t="s">
        <v>649</v>
      </c>
    </row>
    <row r="132" spans="1:9" ht="15.6" x14ac:dyDescent="0.3">
      <c r="A132" s="111" t="s">
        <v>640</v>
      </c>
      <c r="B132" s="111" t="s">
        <v>45</v>
      </c>
      <c r="C132" s="111" t="s">
        <v>58</v>
      </c>
      <c r="D132" s="111" t="s">
        <v>1</v>
      </c>
      <c r="E132" s="111" t="s">
        <v>579</v>
      </c>
      <c r="F132" s="111" t="s">
        <v>51</v>
      </c>
      <c r="G132" s="111" t="s">
        <v>29</v>
      </c>
      <c r="H132" s="111" t="s">
        <v>197</v>
      </c>
      <c r="I132" s="114" t="s">
        <v>650</v>
      </c>
    </row>
    <row r="133" spans="1:9" ht="15.6" x14ac:dyDescent="0.3">
      <c r="A133" s="111" t="s">
        <v>640</v>
      </c>
      <c r="B133" s="111" t="s">
        <v>45</v>
      </c>
      <c r="C133" s="111" t="s">
        <v>46</v>
      </c>
      <c r="D133" s="111" t="s">
        <v>1</v>
      </c>
      <c r="E133" s="111" t="s">
        <v>571</v>
      </c>
      <c r="F133" s="111" t="s">
        <v>51</v>
      </c>
      <c r="G133" s="111" t="s">
        <v>42</v>
      </c>
      <c r="H133" s="111" t="s">
        <v>197</v>
      </c>
      <c r="I133" s="114" t="s">
        <v>650</v>
      </c>
    </row>
    <row r="134" spans="1:9" ht="15.6" x14ac:dyDescent="0.3">
      <c r="A134" s="111" t="s">
        <v>640</v>
      </c>
      <c r="B134" s="111" t="s">
        <v>45</v>
      </c>
      <c r="C134" s="111" t="s">
        <v>59</v>
      </c>
      <c r="D134" s="111" t="s">
        <v>1</v>
      </c>
      <c r="E134" s="111" t="s">
        <v>580</v>
      </c>
      <c r="F134" s="111" t="s">
        <v>49</v>
      </c>
      <c r="G134" s="111" t="s">
        <v>54</v>
      </c>
      <c r="H134" s="111" t="s">
        <v>64</v>
      </c>
      <c r="I134" s="113" t="s">
        <v>594</v>
      </c>
    </row>
    <row r="135" spans="1:9" ht="15.6" x14ac:dyDescent="0.3">
      <c r="A135" s="111" t="s">
        <v>640</v>
      </c>
      <c r="B135" s="111" t="s">
        <v>45</v>
      </c>
      <c r="C135" s="111" t="s">
        <v>53</v>
      </c>
      <c r="D135" s="111" t="s">
        <v>1</v>
      </c>
      <c r="E135" s="111" t="s">
        <v>577</v>
      </c>
      <c r="F135" s="111" t="s">
        <v>51</v>
      </c>
      <c r="G135" s="111" t="s">
        <v>42</v>
      </c>
      <c r="H135" s="111" t="s">
        <v>52</v>
      </c>
      <c r="I135" s="114" t="s">
        <v>651</v>
      </c>
    </row>
    <row r="136" spans="1:9" ht="15.6" x14ac:dyDescent="0.3">
      <c r="A136" s="111" t="s">
        <v>640</v>
      </c>
      <c r="B136" s="111" t="s">
        <v>45</v>
      </c>
      <c r="C136" s="111" t="s">
        <v>57</v>
      </c>
      <c r="D136" s="111" t="s">
        <v>1</v>
      </c>
      <c r="E136" s="111" t="s">
        <v>578</v>
      </c>
      <c r="F136" s="111" t="s">
        <v>51</v>
      </c>
      <c r="G136" s="111" t="s">
        <v>54</v>
      </c>
      <c r="H136" s="111" t="s">
        <v>52</v>
      </c>
      <c r="I136" s="114" t="s">
        <v>652</v>
      </c>
    </row>
    <row r="137" spans="1:9" ht="15.6" x14ac:dyDescent="0.3">
      <c r="A137" s="111" t="s">
        <v>640</v>
      </c>
      <c r="B137" s="111" t="s">
        <v>45</v>
      </c>
      <c r="C137" s="111" t="s">
        <v>62</v>
      </c>
      <c r="D137" s="111" t="s">
        <v>1</v>
      </c>
      <c r="E137" s="111" t="s">
        <v>469</v>
      </c>
      <c r="F137" s="111" t="s">
        <v>51</v>
      </c>
      <c r="G137" s="111" t="s">
        <v>54</v>
      </c>
      <c r="H137" s="111" t="s">
        <v>52</v>
      </c>
      <c r="I137" s="114" t="s">
        <v>652</v>
      </c>
    </row>
    <row r="138" spans="1:9" ht="15.6" x14ac:dyDescent="0.3">
      <c r="A138" s="111" t="s">
        <v>640</v>
      </c>
      <c r="B138" s="111" t="s">
        <v>45</v>
      </c>
      <c r="C138" s="111" t="s">
        <v>60</v>
      </c>
      <c r="D138" s="111" t="s">
        <v>1</v>
      </c>
      <c r="E138" s="111" t="s">
        <v>581</v>
      </c>
      <c r="F138" s="111" t="s">
        <v>51</v>
      </c>
      <c r="G138" s="111" t="s">
        <v>42</v>
      </c>
      <c r="H138" s="111" t="s">
        <v>52</v>
      </c>
      <c r="I138" s="114" t="s">
        <v>628</v>
      </c>
    </row>
    <row r="139" spans="1:9" ht="15.6" x14ac:dyDescent="0.3">
      <c r="A139" s="111" t="s">
        <v>640</v>
      </c>
      <c r="B139" s="111" t="s">
        <v>45</v>
      </c>
      <c r="C139" s="111" t="s">
        <v>66</v>
      </c>
      <c r="D139" s="111" t="s">
        <v>1</v>
      </c>
      <c r="E139" s="111" t="s">
        <v>605</v>
      </c>
      <c r="F139" s="111" t="s">
        <v>51</v>
      </c>
      <c r="G139" s="111" t="s">
        <v>96</v>
      </c>
      <c r="H139" s="111" t="s">
        <v>52</v>
      </c>
      <c r="I139" s="114" t="s">
        <v>653</v>
      </c>
    </row>
    <row r="140" spans="1:9" ht="15.6" x14ac:dyDescent="0.3">
      <c r="A140" s="111" t="s">
        <v>640</v>
      </c>
      <c r="B140" s="111" t="s">
        <v>45</v>
      </c>
      <c r="C140" s="111" t="s">
        <v>59</v>
      </c>
      <c r="D140" s="111" t="s">
        <v>1</v>
      </c>
      <c r="E140" s="111" t="s">
        <v>580</v>
      </c>
      <c r="F140" s="111" t="s">
        <v>51</v>
      </c>
      <c r="G140" s="111" t="s">
        <v>54</v>
      </c>
      <c r="H140" s="111" t="s">
        <v>65</v>
      </c>
      <c r="I140" s="114" t="s">
        <v>654</v>
      </c>
    </row>
    <row r="141" spans="1:9" ht="15.6" x14ac:dyDescent="0.3">
      <c r="A141" s="111" t="s">
        <v>640</v>
      </c>
      <c r="B141" s="111" t="s">
        <v>130</v>
      </c>
      <c r="C141" s="111" t="s">
        <v>146</v>
      </c>
      <c r="D141" s="111" t="s">
        <v>1</v>
      </c>
      <c r="E141" s="111" t="s">
        <v>618</v>
      </c>
      <c r="F141" s="111" t="s">
        <v>134</v>
      </c>
      <c r="G141" s="111" t="s">
        <v>76</v>
      </c>
      <c r="H141" s="111" t="s">
        <v>177</v>
      </c>
      <c r="I141" s="114" t="s">
        <v>655</v>
      </c>
    </row>
    <row r="142" spans="1:9" ht="15.6" x14ac:dyDescent="0.3">
      <c r="A142" s="111" t="s">
        <v>640</v>
      </c>
      <c r="B142" s="111" t="s">
        <v>130</v>
      </c>
      <c r="C142" s="111" t="s">
        <v>147</v>
      </c>
      <c r="D142" s="111" t="s">
        <v>1</v>
      </c>
      <c r="E142" s="111" t="s">
        <v>619</v>
      </c>
      <c r="F142" s="111" t="s">
        <v>134</v>
      </c>
      <c r="G142" s="111" t="s">
        <v>110</v>
      </c>
      <c r="H142" s="111" t="s">
        <v>177</v>
      </c>
      <c r="I142" s="114" t="s">
        <v>602</v>
      </c>
    </row>
    <row r="143" spans="1:9" ht="15.6" x14ac:dyDescent="0.3">
      <c r="A143" s="111" t="s">
        <v>640</v>
      </c>
      <c r="B143" s="111" t="s">
        <v>130</v>
      </c>
      <c r="C143" s="111" t="s">
        <v>136</v>
      </c>
      <c r="D143" s="111" t="s">
        <v>1</v>
      </c>
      <c r="E143" s="111" t="s">
        <v>609</v>
      </c>
      <c r="F143" s="111" t="s">
        <v>134</v>
      </c>
      <c r="G143" s="111" t="s">
        <v>76</v>
      </c>
      <c r="H143" s="111" t="s">
        <v>177</v>
      </c>
      <c r="I143" s="114" t="s">
        <v>656</v>
      </c>
    </row>
    <row r="144" spans="1:9" ht="15.6" x14ac:dyDescent="0.3">
      <c r="A144" s="111" t="s">
        <v>640</v>
      </c>
      <c r="B144" s="111" t="s">
        <v>130</v>
      </c>
      <c r="C144" s="111" t="s">
        <v>137</v>
      </c>
      <c r="D144" s="111" t="s">
        <v>1</v>
      </c>
      <c r="E144" s="111" t="s">
        <v>611</v>
      </c>
      <c r="F144" s="111" t="s">
        <v>134</v>
      </c>
      <c r="G144" s="111" t="s">
        <v>76</v>
      </c>
      <c r="H144" s="111" t="s">
        <v>177</v>
      </c>
      <c r="I144" s="114" t="s">
        <v>655</v>
      </c>
    </row>
    <row r="145" spans="1:9" ht="15.6" x14ac:dyDescent="0.3">
      <c r="A145" s="111" t="s">
        <v>640</v>
      </c>
      <c r="B145" s="111" t="s">
        <v>130</v>
      </c>
      <c r="C145" s="111" t="s">
        <v>138</v>
      </c>
      <c r="D145" s="111" t="s">
        <v>1</v>
      </c>
      <c r="E145" s="111" t="s">
        <v>613</v>
      </c>
      <c r="F145" s="111" t="s">
        <v>134</v>
      </c>
      <c r="G145" s="111" t="s">
        <v>76</v>
      </c>
      <c r="H145" s="111" t="s">
        <v>177</v>
      </c>
      <c r="I145" s="114" t="s">
        <v>656</v>
      </c>
    </row>
    <row r="146" spans="1:9" ht="15.6" x14ac:dyDescent="0.3">
      <c r="A146" s="111" t="s">
        <v>640</v>
      </c>
      <c r="B146" s="111" t="s">
        <v>130</v>
      </c>
      <c r="C146" s="111" t="s">
        <v>143</v>
      </c>
      <c r="D146" s="111" t="s">
        <v>1</v>
      </c>
      <c r="E146" s="111" t="s">
        <v>420</v>
      </c>
      <c r="F146" s="111" t="s">
        <v>134</v>
      </c>
      <c r="G146" s="111" t="s">
        <v>76</v>
      </c>
      <c r="H146" s="111" t="s">
        <v>135</v>
      </c>
      <c r="I146" s="114" t="s">
        <v>616</v>
      </c>
    </row>
    <row r="147" spans="1:9" ht="15.6" x14ac:dyDescent="0.3">
      <c r="A147" s="111" t="s">
        <v>640</v>
      </c>
      <c r="B147" s="111" t="s">
        <v>130</v>
      </c>
      <c r="C147" s="111" t="s">
        <v>131</v>
      </c>
      <c r="D147" s="111" t="s">
        <v>1</v>
      </c>
      <c r="E147" s="111" t="s">
        <v>607</v>
      </c>
      <c r="F147" s="111" t="s">
        <v>134</v>
      </c>
      <c r="G147" s="111" t="s">
        <v>76</v>
      </c>
      <c r="H147" s="111" t="s">
        <v>135</v>
      </c>
      <c r="I147" s="114" t="s">
        <v>637</v>
      </c>
    </row>
    <row r="148" spans="1:9" ht="15.6" x14ac:dyDescent="0.3">
      <c r="A148" s="111" t="s">
        <v>640</v>
      </c>
      <c r="B148" s="111" t="s">
        <v>26</v>
      </c>
      <c r="C148" s="111" t="s">
        <v>35</v>
      </c>
      <c r="D148" s="111" t="s">
        <v>1</v>
      </c>
      <c r="E148" s="111" t="s">
        <v>572</v>
      </c>
      <c r="F148" s="111" t="s">
        <v>33</v>
      </c>
      <c r="G148" s="111" t="s">
        <v>29</v>
      </c>
      <c r="H148" s="111" t="s">
        <v>34</v>
      </c>
      <c r="I148" s="112" t="s">
        <v>627</v>
      </c>
    </row>
    <row r="149" spans="1:9" ht="15.6" x14ac:dyDescent="0.3">
      <c r="A149" s="111" t="s">
        <v>640</v>
      </c>
      <c r="B149" s="111" t="s">
        <v>26</v>
      </c>
      <c r="C149" s="111" t="s">
        <v>39</v>
      </c>
      <c r="D149" s="111" t="s">
        <v>1</v>
      </c>
      <c r="E149" s="111" t="s">
        <v>573</v>
      </c>
      <c r="F149" s="111" t="s">
        <v>33</v>
      </c>
      <c r="G149" s="111" t="s">
        <v>42</v>
      </c>
      <c r="H149" s="111" t="s">
        <v>34</v>
      </c>
      <c r="I149" s="112" t="s">
        <v>593</v>
      </c>
    </row>
    <row r="150" spans="1:9" ht="15.6" x14ac:dyDescent="0.3">
      <c r="A150" s="111" t="s">
        <v>640</v>
      </c>
      <c r="B150" s="111" t="s">
        <v>26</v>
      </c>
      <c r="C150" s="111" t="s">
        <v>27</v>
      </c>
      <c r="D150" s="111" t="s">
        <v>1</v>
      </c>
      <c r="E150" s="111" t="s">
        <v>570</v>
      </c>
      <c r="F150" s="111" t="s">
        <v>33</v>
      </c>
      <c r="G150" s="111" t="s">
        <v>29</v>
      </c>
      <c r="H150" s="111" t="s">
        <v>34</v>
      </c>
      <c r="I150" s="114" t="s">
        <v>643</v>
      </c>
    </row>
    <row r="151" spans="1:9" ht="15.6" x14ac:dyDescent="0.3">
      <c r="A151" s="111" t="s">
        <v>640</v>
      </c>
      <c r="B151" s="111" t="s">
        <v>26</v>
      </c>
      <c r="C151" s="111" t="s">
        <v>41</v>
      </c>
      <c r="D151" s="111" t="s">
        <v>1</v>
      </c>
      <c r="E151" s="111" t="s">
        <v>583</v>
      </c>
      <c r="F151" s="111" t="s">
        <v>33</v>
      </c>
      <c r="G151" s="111" t="s">
        <v>185</v>
      </c>
      <c r="H151" s="111" t="s">
        <v>34</v>
      </c>
      <c r="I151" s="112" t="s">
        <v>631</v>
      </c>
    </row>
    <row r="152" spans="1:9" ht="15.6" x14ac:dyDescent="0.3">
      <c r="A152" s="111" t="s">
        <v>640</v>
      </c>
      <c r="B152" s="111" t="s">
        <v>130</v>
      </c>
      <c r="C152" s="111" t="s">
        <v>141</v>
      </c>
      <c r="D152" s="111" t="s">
        <v>1</v>
      </c>
      <c r="E152" s="111" t="s">
        <v>573</v>
      </c>
      <c r="F152" s="111" t="s">
        <v>134</v>
      </c>
      <c r="G152" s="111" t="s">
        <v>110</v>
      </c>
      <c r="H152" s="111" t="s">
        <v>218</v>
      </c>
      <c r="I152" s="113" t="s">
        <v>594</v>
      </c>
    </row>
    <row r="153" spans="1:9" ht="15.6" x14ac:dyDescent="0.3">
      <c r="A153" s="111" t="s">
        <v>640</v>
      </c>
      <c r="B153" s="111" t="s">
        <v>130</v>
      </c>
      <c r="C153" s="111" t="s">
        <v>139</v>
      </c>
      <c r="D153" s="111" t="s">
        <v>1</v>
      </c>
      <c r="E153" s="111" t="s">
        <v>570</v>
      </c>
      <c r="F153" s="111" t="s">
        <v>134</v>
      </c>
      <c r="G153" s="111" t="s">
        <v>110</v>
      </c>
      <c r="H153" s="111" t="s">
        <v>178</v>
      </c>
      <c r="I153" s="114" t="s">
        <v>657</v>
      </c>
    </row>
    <row r="154" spans="1:9" ht="15.6" x14ac:dyDescent="0.3">
      <c r="A154" s="111" t="s">
        <v>640</v>
      </c>
      <c r="B154" s="111" t="s">
        <v>130</v>
      </c>
      <c r="C154" s="111" t="s">
        <v>142</v>
      </c>
      <c r="D154" s="111" t="s">
        <v>1</v>
      </c>
      <c r="E154" s="111" t="s">
        <v>572</v>
      </c>
      <c r="F154" s="111" t="s">
        <v>134</v>
      </c>
      <c r="G154" s="111" t="s">
        <v>110</v>
      </c>
      <c r="H154" s="111" t="s">
        <v>178</v>
      </c>
      <c r="I154" s="113" t="s">
        <v>658</v>
      </c>
    </row>
    <row r="155" spans="1:9" ht="15.6" x14ac:dyDescent="0.3">
      <c r="A155" s="111" t="s">
        <v>640</v>
      </c>
      <c r="B155" s="111" t="s">
        <v>130</v>
      </c>
      <c r="C155" s="111" t="s">
        <v>149</v>
      </c>
      <c r="D155" s="111" t="s">
        <v>1</v>
      </c>
      <c r="E155" s="111" t="s">
        <v>583</v>
      </c>
      <c r="F155" s="111" t="s">
        <v>134</v>
      </c>
      <c r="G155" s="111" t="s">
        <v>110</v>
      </c>
      <c r="H155" s="111" t="s">
        <v>178</v>
      </c>
      <c r="I155" s="113" t="s">
        <v>623</v>
      </c>
    </row>
    <row r="156" spans="1:9" ht="15.6" x14ac:dyDescent="0.3">
      <c r="A156" s="111" t="s">
        <v>640</v>
      </c>
      <c r="B156" s="111" t="s">
        <v>130</v>
      </c>
      <c r="C156" s="111" t="s">
        <v>148</v>
      </c>
      <c r="D156" s="111" t="s">
        <v>1</v>
      </c>
      <c r="E156" s="111" t="s">
        <v>620</v>
      </c>
      <c r="F156" s="111" t="s">
        <v>134</v>
      </c>
      <c r="G156" s="111" t="s">
        <v>76</v>
      </c>
      <c r="H156" s="111" t="s">
        <v>145</v>
      </c>
      <c r="I156" s="112" t="s">
        <v>641</v>
      </c>
    </row>
    <row r="157" spans="1:9" ht="15.6" x14ac:dyDescent="0.3">
      <c r="A157" s="109" t="s">
        <v>659</v>
      </c>
      <c r="B157" s="109" t="s">
        <v>87</v>
      </c>
      <c r="C157" s="109" t="s">
        <v>220</v>
      </c>
      <c r="D157" s="109" t="s">
        <v>1</v>
      </c>
      <c r="E157" s="109" t="s">
        <v>509</v>
      </c>
      <c r="F157" s="109" t="s">
        <v>89</v>
      </c>
      <c r="G157" s="109" t="s">
        <v>42</v>
      </c>
      <c r="H157" s="109" t="s">
        <v>207</v>
      </c>
      <c r="I157" s="110" t="s">
        <v>589</v>
      </c>
    </row>
    <row r="158" spans="1:9" ht="15.6" x14ac:dyDescent="0.3">
      <c r="A158" s="109" t="s">
        <v>659</v>
      </c>
      <c r="B158" s="109" t="s">
        <v>87</v>
      </c>
      <c r="C158" s="109" t="s">
        <v>109</v>
      </c>
      <c r="D158" s="109" t="s">
        <v>1</v>
      </c>
      <c r="E158" s="109" t="s">
        <v>483</v>
      </c>
      <c r="F158" s="109" t="s">
        <v>89</v>
      </c>
      <c r="G158" s="109" t="s">
        <v>76</v>
      </c>
      <c r="H158" s="109" t="s">
        <v>104</v>
      </c>
      <c r="I158" s="110" t="s">
        <v>589</v>
      </c>
    </row>
    <row r="159" spans="1:9" ht="15.6" x14ac:dyDescent="0.3">
      <c r="A159" s="111" t="s">
        <v>659</v>
      </c>
      <c r="B159" s="111" t="s">
        <v>79</v>
      </c>
      <c r="C159" s="111" t="s">
        <v>84</v>
      </c>
      <c r="D159" s="111" t="s">
        <v>1</v>
      </c>
      <c r="E159" s="111" t="s">
        <v>660</v>
      </c>
      <c r="F159" s="111" t="s">
        <v>81</v>
      </c>
      <c r="G159" s="111" t="s">
        <v>54</v>
      </c>
      <c r="H159" s="111" t="s">
        <v>198</v>
      </c>
      <c r="I159" s="114" t="s">
        <v>661</v>
      </c>
    </row>
    <row r="160" spans="1:9" ht="15.6" x14ac:dyDescent="0.3">
      <c r="A160" s="111" t="s">
        <v>659</v>
      </c>
      <c r="B160" s="111" t="s">
        <v>79</v>
      </c>
      <c r="C160" s="111" t="s">
        <v>80</v>
      </c>
      <c r="D160" s="111" t="s">
        <v>1</v>
      </c>
      <c r="E160" s="111" t="s">
        <v>662</v>
      </c>
      <c r="F160" s="111" t="s">
        <v>81</v>
      </c>
      <c r="G160" s="111" t="s">
        <v>54</v>
      </c>
      <c r="H160" s="111" t="s">
        <v>198</v>
      </c>
      <c r="I160" s="112" t="s">
        <v>641</v>
      </c>
    </row>
    <row r="161" spans="1:9" ht="15.6" x14ac:dyDescent="0.3">
      <c r="A161" s="111" t="s">
        <v>659</v>
      </c>
      <c r="B161" s="111" t="s">
        <v>26</v>
      </c>
      <c r="C161" s="111" t="s">
        <v>39</v>
      </c>
      <c r="D161" s="111" t="s">
        <v>1</v>
      </c>
      <c r="E161" s="111" t="s">
        <v>573</v>
      </c>
      <c r="F161" s="111" t="s">
        <v>28</v>
      </c>
      <c r="G161" s="111" t="s">
        <v>185</v>
      </c>
      <c r="H161" s="111" t="s">
        <v>30</v>
      </c>
      <c r="I161" s="112" t="s">
        <v>634</v>
      </c>
    </row>
    <row r="162" spans="1:9" ht="15.6" x14ac:dyDescent="0.3">
      <c r="A162" s="111" t="s">
        <v>659</v>
      </c>
      <c r="B162" s="111" t="s">
        <v>26</v>
      </c>
      <c r="C162" s="111" t="s">
        <v>27</v>
      </c>
      <c r="D162" s="111" t="s">
        <v>1</v>
      </c>
      <c r="E162" s="111" t="s">
        <v>570</v>
      </c>
      <c r="F162" s="111" t="s">
        <v>28</v>
      </c>
      <c r="G162" s="111" t="s">
        <v>219</v>
      </c>
      <c r="H162" s="111" t="s">
        <v>30</v>
      </c>
      <c r="I162" s="112" t="s">
        <v>634</v>
      </c>
    </row>
    <row r="163" spans="1:9" ht="15.6" x14ac:dyDescent="0.3">
      <c r="A163" s="111" t="s">
        <v>659</v>
      </c>
      <c r="B163" s="111" t="s">
        <v>26</v>
      </c>
      <c r="C163" s="111" t="s">
        <v>41</v>
      </c>
      <c r="D163" s="111" t="s">
        <v>1</v>
      </c>
      <c r="E163" s="111" t="s">
        <v>583</v>
      </c>
      <c r="F163" s="111" t="s">
        <v>28</v>
      </c>
      <c r="G163" s="111" t="s">
        <v>103</v>
      </c>
      <c r="H163" s="111" t="s">
        <v>30</v>
      </c>
      <c r="I163" s="112" t="s">
        <v>634</v>
      </c>
    </row>
    <row r="164" spans="1:9" ht="15.6" x14ac:dyDescent="0.3">
      <c r="A164" s="111" t="s">
        <v>659</v>
      </c>
      <c r="B164" s="111" t="s">
        <v>45</v>
      </c>
      <c r="C164" s="111" t="s">
        <v>58</v>
      </c>
      <c r="D164" s="111" t="s">
        <v>1</v>
      </c>
      <c r="E164" s="111" t="s">
        <v>579</v>
      </c>
      <c r="F164" s="111" t="s">
        <v>47</v>
      </c>
      <c r="G164" s="111" t="s">
        <v>185</v>
      </c>
      <c r="H164" s="111" t="s">
        <v>48</v>
      </c>
      <c r="I164" s="112" t="s">
        <v>590</v>
      </c>
    </row>
    <row r="165" spans="1:9" ht="15.6" x14ac:dyDescent="0.3">
      <c r="A165" s="111" t="s">
        <v>659</v>
      </c>
      <c r="B165" s="111" t="s">
        <v>74</v>
      </c>
      <c r="C165" s="111" t="s">
        <v>78</v>
      </c>
      <c r="D165" s="111" t="s">
        <v>1</v>
      </c>
      <c r="E165" s="111" t="s">
        <v>576</v>
      </c>
      <c r="F165" s="111" t="s">
        <v>72</v>
      </c>
      <c r="G165" s="111" t="s">
        <v>76</v>
      </c>
      <c r="H165" s="111" t="s">
        <v>77</v>
      </c>
      <c r="I165" s="113" t="s">
        <v>591</v>
      </c>
    </row>
    <row r="166" spans="1:9" ht="15.6" x14ac:dyDescent="0.3">
      <c r="A166" s="111" t="s">
        <v>659</v>
      </c>
      <c r="B166" s="111" t="s">
        <v>45</v>
      </c>
      <c r="C166" s="111" t="s">
        <v>62</v>
      </c>
      <c r="D166" s="111" t="s">
        <v>1</v>
      </c>
      <c r="E166" s="111" t="s">
        <v>469</v>
      </c>
      <c r="F166" s="111" t="s">
        <v>47</v>
      </c>
      <c r="G166" s="111" t="s">
        <v>110</v>
      </c>
      <c r="H166" s="111" t="s">
        <v>55</v>
      </c>
      <c r="I166" s="112" t="s">
        <v>593</v>
      </c>
    </row>
    <row r="167" spans="1:9" ht="15.6" x14ac:dyDescent="0.3">
      <c r="A167" s="111" t="s">
        <v>659</v>
      </c>
      <c r="B167" s="111" t="s">
        <v>45</v>
      </c>
      <c r="C167" s="111" t="s">
        <v>60</v>
      </c>
      <c r="D167" s="111" t="s">
        <v>1</v>
      </c>
      <c r="E167" s="111" t="s">
        <v>581</v>
      </c>
      <c r="F167" s="111" t="s">
        <v>47</v>
      </c>
      <c r="G167" s="111" t="s">
        <v>29</v>
      </c>
      <c r="H167" s="111" t="s">
        <v>55</v>
      </c>
      <c r="I167" s="112" t="s">
        <v>593</v>
      </c>
    </row>
    <row r="168" spans="1:9" ht="15.6" x14ac:dyDescent="0.3">
      <c r="A168" s="111" t="s">
        <v>659</v>
      </c>
      <c r="B168" s="111" t="s">
        <v>45</v>
      </c>
      <c r="C168" s="111" t="s">
        <v>46</v>
      </c>
      <c r="D168" s="111" t="s">
        <v>1</v>
      </c>
      <c r="E168" s="111" t="s">
        <v>571</v>
      </c>
      <c r="F168" s="111" t="s">
        <v>47</v>
      </c>
      <c r="G168" s="111" t="s">
        <v>110</v>
      </c>
      <c r="H168" s="111" t="s">
        <v>55</v>
      </c>
      <c r="I168" s="112" t="s">
        <v>593</v>
      </c>
    </row>
    <row r="169" spans="1:9" ht="15.6" x14ac:dyDescent="0.3">
      <c r="A169" s="111" t="s">
        <v>659</v>
      </c>
      <c r="B169" s="111" t="s">
        <v>45</v>
      </c>
      <c r="C169" s="111" t="s">
        <v>58</v>
      </c>
      <c r="D169" s="111" t="s">
        <v>1</v>
      </c>
      <c r="E169" s="111" t="s">
        <v>579</v>
      </c>
      <c r="F169" s="111" t="s">
        <v>49</v>
      </c>
      <c r="G169" s="111" t="s">
        <v>185</v>
      </c>
      <c r="H169" s="111" t="s">
        <v>50</v>
      </c>
      <c r="I169" s="113" t="s">
        <v>595</v>
      </c>
    </row>
    <row r="170" spans="1:9" ht="15.6" x14ac:dyDescent="0.3">
      <c r="A170" s="111" t="s">
        <v>659</v>
      </c>
      <c r="B170" s="111" t="s">
        <v>79</v>
      </c>
      <c r="C170" s="111" t="s">
        <v>84</v>
      </c>
      <c r="D170" s="111" t="s">
        <v>1</v>
      </c>
      <c r="E170" s="111" t="s">
        <v>660</v>
      </c>
      <c r="F170" s="111" t="s">
        <v>33</v>
      </c>
      <c r="G170" s="111" t="s">
        <v>54</v>
      </c>
      <c r="H170" s="111" t="s">
        <v>181</v>
      </c>
      <c r="I170" s="114" t="s">
        <v>663</v>
      </c>
    </row>
    <row r="171" spans="1:9" ht="15.6" x14ac:dyDescent="0.3">
      <c r="A171" s="111" t="s">
        <v>659</v>
      </c>
      <c r="B171" s="111" t="s">
        <v>79</v>
      </c>
      <c r="C171" s="111" t="s">
        <v>80</v>
      </c>
      <c r="D171" s="111" t="s">
        <v>1</v>
      </c>
      <c r="E171" s="111" t="s">
        <v>662</v>
      </c>
      <c r="F171" s="111" t="s">
        <v>33</v>
      </c>
      <c r="G171" s="111" t="s">
        <v>54</v>
      </c>
      <c r="H171" s="111" t="s">
        <v>181</v>
      </c>
      <c r="I171" s="114" t="s">
        <v>647</v>
      </c>
    </row>
    <row r="172" spans="1:9" ht="15.6" x14ac:dyDescent="0.3">
      <c r="A172" s="111" t="s">
        <v>659</v>
      </c>
      <c r="B172" s="111" t="s">
        <v>26</v>
      </c>
      <c r="C172" s="111" t="s">
        <v>39</v>
      </c>
      <c r="D172" s="111" t="s">
        <v>1</v>
      </c>
      <c r="E172" s="111" t="s">
        <v>573</v>
      </c>
      <c r="F172" s="111" t="s">
        <v>31</v>
      </c>
      <c r="G172" s="111" t="s">
        <v>185</v>
      </c>
      <c r="H172" s="111" t="s">
        <v>32</v>
      </c>
      <c r="I172" s="112" t="s">
        <v>634</v>
      </c>
    </row>
    <row r="173" spans="1:9" ht="15.6" x14ac:dyDescent="0.3">
      <c r="A173" s="111" t="s">
        <v>659</v>
      </c>
      <c r="B173" s="111" t="s">
        <v>26</v>
      </c>
      <c r="C173" s="111" t="s">
        <v>27</v>
      </c>
      <c r="D173" s="111" t="s">
        <v>1</v>
      </c>
      <c r="E173" s="111" t="s">
        <v>570</v>
      </c>
      <c r="F173" s="111" t="s">
        <v>31</v>
      </c>
      <c r="G173" s="111" t="s">
        <v>219</v>
      </c>
      <c r="H173" s="111" t="s">
        <v>32</v>
      </c>
      <c r="I173" s="112" t="s">
        <v>634</v>
      </c>
    </row>
    <row r="174" spans="1:9" ht="15.6" x14ac:dyDescent="0.3">
      <c r="A174" s="111" t="s">
        <v>659</v>
      </c>
      <c r="B174" s="111" t="s">
        <v>26</v>
      </c>
      <c r="C174" s="111" t="s">
        <v>41</v>
      </c>
      <c r="D174" s="111" t="s">
        <v>1</v>
      </c>
      <c r="E174" s="111" t="s">
        <v>583</v>
      </c>
      <c r="F174" s="111" t="s">
        <v>31</v>
      </c>
      <c r="G174" s="111" t="s">
        <v>103</v>
      </c>
      <c r="H174" s="111" t="s">
        <v>32</v>
      </c>
      <c r="I174" s="112" t="s">
        <v>634</v>
      </c>
    </row>
    <row r="175" spans="1:9" ht="15.6" x14ac:dyDescent="0.3">
      <c r="A175" s="111" t="s">
        <v>659</v>
      </c>
      <c r="B175" s="111" t="s">
        <v>45</v>
      </c>
      <c r="C175" s="111" t="s">
        <v>62</v>
      </c>
      <c r="D175" s="111" t="s">
        <v>1</v>
      </c>
      <c r="E175" s="111" t="s">
        <v>469</v>
      </c>
      <c r="F175" s="111" t="s">
        <v>49</v>
      </c>
      <c r="G175" s="111" t="s">
        <v>110</v>
      </c>
      <c r="H175" s="111" t="s">
        <v>32</v>
      </c>
      <c r="I175" s="112" t="s">
        <v>597</v>
      </c>
    </row>
    <row r="176" spans="1:9" ht="15.6" x14ac:dyDescent="0.3">
      <c r="A176" s="111" t="s">
        <v>659</v>
      </c>
      <c r="B176" s="111" t="s">
        <v>45</v>
      </c>
      <c r="C176" s="111" t="s">
        <v>60</v>
      </c>
      <c r="D176" s="111" t="s">
        <v>1</v>
      </c>
      <c r="E176" s="111" t="s">
        <v>581</v>
      </c>
      <c r="F176" s="111" t="s">
        <v>49</v>
      </c>
      <c r="G176" s="111" t="s">
        <v>29</v>
      </c>
      <c r="H176" s="111" t="s">
        <v>32</v>
      </c>
      <c r="I176" s="112" t="s">
        <v>597</v>
      </c>
    </row>
    <row r="177" spans="1:9" ht="15.6" x14ac:dyDescent="0.3">
      <c r="A177" s="111" t="s">
        <v>659</v>
      </c>
      <c r="B177" s="111" t="s">
        <v>45</v>
      </c>
      <c r="C177" s="111" t="s">
        <v>46</v>
      </c>
      <c r="D177" s="111" t="s">
        <v>1</v>
      </c>
      <c r="E177" s="111" t="s">
        <v>571</v>
      </c>
      <c r="F177" s="111" t="s">
        <v>49</v>
      </c>
      <c r="G177" s="111" t="s">
        <v>110</v>
      </c>
      <c r="H177" s="111" t="s">
        <v>32</v>
      </c>
      <c r="I177" s="112" t="s">
        <v>597</v>
      </c>
    </row>
    <row r="178" spans="1:9" ht="15.6" x14ac:dyDescent="0.3">
      <c r="A178" s="111" t="s">
        <v>659</v>
      </c>
      <c r="B178" s="111" t="s">
        <v>45</v>
      </c>
      <c r="C178" s="111" t="s">
        <v>53</v>
      </c>
      <c r="D178" s="111" t="s">
        <v>1</v>
      </c>
      <c r="E178" s="111" t="s">
        <v>577</v>
      </c>
      <c r="F178" s="111" t="s">
        <v>49</v>
      </c>
      <c r="G178" s="111" t="s">
        <v>54</v>
      </c>
      <c r="H178" s="111" t="s">
        <v>64</v>
      </c>
      <c r="I178" s="112" t="s">
        <v>599</v>
      </c>
    </row>
    <row r="179" spans="1:9" ht="15.6" x14ac:dyDescent="0.3">
      <c r="A179" s="111" t="s">
        <v>659</v>
      </c>
      <c r="B179" s="111" t="s">
        <v>45</v>
      </c>
      <c r="C179" s="111" t="s">
        <v>59</v>
      </c>
      <c r="D179" s="111" t="s">
        <v>1</v>
      </c>
      <c r="E179" s="111" t="s">
        <v>580</v>
      </c>
      <c r="F179" s="111" t="s">
        <v>49</v>
      </c>
      <c r="G179" s="111" t="s">
        <v>29</v>
      </c>
      <c r="H179" s="111" t="s">
        <v>64</v>
      </c>
      <c r="I179" s="112" t="s">
        <v>599</v>
      </c>
    </row>
    <row r="180" spans="1:9" ht="15.6" x14ac:dyDescent="0.3">
      <c r="A180" s="111" t="s">
        <v>659</v>
      </c>
      <c r="B180" s="111" t="s">
        <v>45</v>
      </c>
      <c r="C180" s="111" t="s">
        <v>66</v>
      </c>
      <c r="D180" s="111" t="s">
        <v>1</v>
      </c>
      <c r="E180" s="111" t="s">
        <v>605</v>
      </c>
      <c r="F180" s="111" t="s">
        <v>49</v>
      </c>
      <c r="G180" s="111" t="s">
        <v>61</v>
      </c>
      <c r="H180" s="111" t="s">
        <v>64</v>
      </c>
      <c r="I180" s="112" t="s">
        <v>599</v>
      </c>
    </row>
    <row r="181" spans="1:9" ht="15.6" x14ac:dyDescent="0.3">
      <c r="A181" s="111" t="s">
        <v>659</v>
      </c>
      <c r="B181" s="111" t="s">
        <v>45</v>
      </c>
      <c r="C181" s="111" t="s">
        <v>58</v>
      </c>
      <c r="D181" s="111" t="s">
        <v>1</v>
      </c>
      <c r="E181" s="111" t="s">
        <v>579</v>
      </c>
      <c r="F181" s="111" t="s">
        <v>51</v>
      </c>
      <c r="G181" s="111" t="s">
        <v>185</v>
      </c>
      <c r="H181" s="111" t="s">
        <v>52</v>
      </c>
      <c r="I181" s="114" t="s">
        <v>600</v>
      </c>
    </row>
    <row r="182" spans="1:9" ht="15.6" x14ac:dyDescent="0.3">
      <c r="A182" s="111" t="s">
        <v>659</v>
      </c>
      <c r="B182" s="111" t="s">
        <v>45</v>
      </c>
      <c r="C182" s="111" t="s">
        <v>57</v>
      </c>
      <c r="D182" s="111" t="s">
        <v>1</v>
      </c>
      <c r="E182" s="111" t="s">
        <v>578</v>
      </c>
      <c r="F182" s="111" t="s">
        <v>51</v>
      </c>
      <c r="G182" s="111" t="s">
        <v>96</v>
      </c>
      <c r="H182" s="111" t="s">
        <v>56</v>
      </c>
      <c r="I182" s="114" t="s">
        <v>653</v>
      </c>
    </row>
    <row r="183" spans="1:9" ht="15.6" x14ac:dyDescent="0.3">
      <c r="A183" s="111" t="s">
        <v>659</v>
      </c>
      <c r="B183" s="111" t="s">
        <v>45</v>
      </c>
      <c r="C183" s="111" t="s">
        <v>62</v>
      </c>
      <c r="D183" s="111" t="s">
        <v>1</v>
      </c>
      <c r="E183" s="111" t="s">
        <v>469</v>
      </c>
      <c r="F183" s="111" t="s">
        <v>51</v>
      </c>
      <c r="G183" s="111" t="s">
        <v>110</v>
      </c>
      <c r="H183" s="111" t="s">
        <v>56</v>
      </c>
      <c r="I183" s="114" t="s">
        <v>601</v>
      </c>
    </row>
    <row r="184" spans="1:9" ht="15.6" x14ac:dyDescent="0.3">
      <c r="A184" s="111" t="s">
        <v>659</v>
      </c>
      <c r="B184" s="111" t="s">
        <v>45</v>
      </c>
      <c r="C184" s="111" t="s">
        <v>60</v>
      </c>
      <c r="D184" s="111" t="s">
        <v>1</v>
      </c>
      <c r="E184" s="111" t="s">
        <v>581</v>
      </c>
      <c r="F184" s="111" t="s">
        <v>51</v>
      </c>
      <c r="G184" s="111" t="s">
        <v>29</v>
      </c>
      <c r="H184" s="111" t="s">
        <v>56</v>
      </c>
      <c r="I184" s="114" t="s">
        <v>601</v>
      </c>
    </row>
    <row r="185" spans="1:9" ht="15.6" x14ac:dyDescent="0.3">
      <c r="A185" s="111" t="s">
        <v>659</v>
      </c>
      <c r="B185" s="111" t="s">
        <v>45</v>
      </c>
      <c r="C185" s="111" t="s">
        <v>46</v>
      </c>
      <c r="D185" s="111" t="s">
        <v>1</v>
      </c>
      <c r="E185" s="111" t="s">
        <v>571</v>
      </c>
      <c r="F185" s="111" t="s">
        <v>51</v>
      </c>
      <c r="G185" s="111" t="s">
        <v>110</v>
      </c>
      <c r="H185" s="111" t="s">
        <v>56</v>
      </c>
      <c r="I185" s="114" t="s">
        <v>601</v>
      </c>
    </row>
    <row r="186" spans="1:9" ht="15.6" x14ac:dyDescent="0.3">
      <c r="A186" s="111" t="s">
        <v>659</v>
      </c>
      <c r="B186" s="111" t="s">
        <v>115</v>
      </c>
      <c r="C186" s="111" t="s">
        <v>122</v>
      </c>
      <c r="D186" s="111" t="s">
        <v>1</v>
      </c>
      <c r="E186" s="111" t="s">
        <v>664</v>
      </c>
      <c r="F186" s="111" t="s">
        <v>124</v>
      </c>
      <c r="G186" s="111" t="s">
        <v>29</v>
      </c>
      <c r="H186" s="111" t="s">
        <v>125</v>
      </c>
      <c r="I186" s="113" t="s">
        <v>591</v>
      </c>
    </row>
    <row r="187" spans="1:9" ht="15.6" x14ac:dyDescent="0.3">
      <c r="A187" s="111" t="s">
        <v>659</v>
      </c>
      <c r="B187" s="111" t="s">
        <v>45</v>
      </c>
      <c r="C187" s="111" t="s">
        <v>53</v>
      </c>
      <c r="D187" s="111" t="s">
        <v>1</v>
      </c>
      <c r="E187" s="111" t="s">
        <v>577</v>
      </c>
      <c r="F187" s="111" t="s">
        <v>51</v>
      </c>
      <c r="G187" s="111" t="s">
        <v>54</v>
      </c>
      <c r="H187" s="111" t="s">
        <v>65</v>
      </c>
      <c r="I187" s="114" t="s">
        <v>604</v>
      </c>
    </row>
    <row r="188" spans="1:9" ht="15.6" x14ac:dyDescent="0.3">
      <c r="A188" s="111" t="s">
        <v>659</v>
      </c>
      <c r="B188" s="111" t="s">
        <v>45</v>
      </c>
      <c r="C188" s="111" t="s">
        <v>59</v>
      </c>
      <c r="D188" s="111" t="s">
        <v>1</v>
      </c>
      <c r="E188" s="111" t="s">
        <v>580</v>
      </c>
      <c r="F188" s="111" t="s">
        <v>51</v>
      </c>
      <c r="G188" s="111" t="s">
        <v>29</v>
      </c>
      <c r="H188" s="111" t="s">
        <v>65</v>
      </c>
      <c r="I188" s="114" t="s">
        <v>604</v>
      </c>
    </row>
    <row r="189" spans="1:9" ht="15.6" x14ac:dyDescent="0.3">
      <c r="A189" s="111" t="s">
        <v>659</v>
      </c>
      <c r="B189" s="111" t="s">
        <v>45</v>
      </c>
      <c r="C189" s="111" t="s">
        <v>66</v>
      </c>
      <c r="D189" s="111" t="s">
        <v>1</v>
      </c>
      <c r="E189" s="111" t="s">
        <v>605</v>
      </c>
      <c r="F189" s="111" t="s">
        <v>51</v>
      </c>
      <c r="G189" s="111" t="s">
        <v>61</v>
      </c>
      <c r="H189" s="111" t="s">
        <v>65</v>
      </c>
      <c r="I189" s="114" t="s">
        <v>604</v>
      </c>
    </row>
    <row r="190" spans="1:9" ht="15.6" x14ac:dyDescent="0.3">
      <c r="A190" s="111" t="s">
        <v>659</v>
      </c>
      <c r="B190" s="111" t="s">
        <v>130</v>
      </c>
      <c r="C190" s="111" t="s">
        <v>138</v>
      </c>
      <c r="D190" s="111" t="s">
        <v>1</v>
      </c>
      <c r="E190" s="111" t="s">
        <v>665</v>
      </c>
      <c r="F190" s="111" t="s">
        <v>134</v>
      </c>
      <c r="G190" s="111" t="s">
        <v>76</v>
      </c>
      <c r="H190" s="111" t="s">
        <v>233</v>
      </c>
      <c r="I190" s="114" t="s">
        <v>666</v>
      </c>
    </row>
    <row r="191" spans="1:9" ht="15.6" x14ac:dyDescent="0.3">
      <c r="A191" s="111" t="s">
        <v>659</v>
      </c>
      <c r="B191" s="111" t="s">
        <v>130</v>
      </c>
      <c r="C191" s="111" t="s">
        <v>131</v>
      </c>
      <c r="D191" s="111" t="s">
        <v>1</v>
      </c>
      <c r="E191" s="111" t="s">
        <v>607</v>
      </c>
      <c r="F191" s="111" t="s">
        <v>134</v>
      </c>
      <c r="G191" s="111" t="s">
        <v>76</v>
      </c>
      <c r="H191" s="111" t="s">
        <v>135</v>
      </c>
      <c r="I191" s="114" t="s">
        <v>610</v>
      </c>
    </row>
    <row r="192" spans="1:9" ht="15.6" x14ac:dyDescent="0.3">
      <c r="A192" s="111" t="s">
        <v>659</v>
      </c>
      <c r="B192" s="111" t="s">
        <v>130</v>
      </c>
      <c r="C192" s="111" t="s">
        <v>136</v>
      </c>
      <c r="D192" s="111" t="s">
        <v>1</v>
      </c>
      <c r="E192" s="111" t="s">
        <v>609</v>
      </c>
      <c r="F192" s="111" t="s">
        <v>134</v>
      </c>
      <c r="G192" s="111" t="s">
        <v>76</v>
      </c>
      <c r="H192" s="111" t="s">
        <v>135</v>
      </c>
      <c r="I192" s="114" t="s">
        <v>610</v>
      </c>
    </row>
    <row r="193" spans="1:9" ht="15.6" x14ac:dyDescent="0.3">
      <c r="A193" s="111" t="s">
        <v>659</v>
      </c>
      <c r="B193" s="111" t="s">
        <v>26</v>
      </c>
      <c r="C193" s="111" t="s">
        <v>35</v>
      </c>
      <c r="D193" s="111" t="s">
        <v>1</v>
      </c>
      <c r="E193" s="111" t="s">
        <v>572</v>
      </c>
      <c r="F193" s="111" t="s">
        <v>33</v>
      </c>
      <c r="G193" s="111" t="s">
        <v>29</v>
      </c>
      <c r="H193" s="111" t="s">
        <v>34</v>
      </c>
      <c r="I193" s="112" t="s">
        <v>593</v>
      </c>
    </row>
    <row r="194" spans="1:9" ht="15.6" x14ac:dyDescent="0.3">
      <c r="A194" s="111" t="s">
        <v>659</v>
      </c>
      <c r="B194" s="111" t="s">
        <v>26</v>
      </c>
      <c r="C194" s="111" t="s">
        <v>39</v>
      </c>
      <c r="D194" s="111" t="s">
        <v>1</v>
      </c>
      <c r="E194" s="111" t="s">
        <v>573</v>
      </c>
      <c r="F194" s="111" t="s">
        <v>33</v>
      </c>
      <c r="G194" s="111" t="s">
        <v>185</v>
      </c>
      <c r="H194" s="111" t="s">
        <v>34</v>
      </c>
      <c r="I194" s="114" t="s">
        <v>614</v>
      </c>
    </row>
    <row r="195" spans="1:9" ht="15.6" x14ac:dyDescent="0.3">
      <c r="A195" s="111" t="s">
        <v>659</v>
      </c>
      <c r="B195" s="111" t="s">
        <v>26</v>
      </c>
      <c r="C195" s="111" t="s">
        <v>27</v>
      </c>
      <c r="D195" s="111" t="s">
        <v>1</v>
      </c>
      <c r="E195" s="111" t="s">
        <v>570</v>
      </c>
      <c r="F195" s="111" t="s">
        <v>33</v>
      </c>
      <c r="G195" s="111" t="s">
        <v>219</v>
      </c>
      <c r="H195" s="111" t="s">
        <v>34</v>
      </c>
      <c r="I195" s="114" t="s">
        <v>614</v>
      </c>
    </row>
    <row r="196" spans="1:9" ht="15.6" x14ac:dyDescent="0.3">
      <c r="A196" s="111" t="s">
        <v>659</v>
      </c>
      <c r="B196" s="111" t="s">
        <v>26</v>
      </c>
      <c r="C196" s="111" t="s">
        <v>41</v>
      </c>
      <c r="D196" s="111" t="s">
        <v>1</v>
      </c>
      <c r="E196" s="111" t="s">
        <v>583</v>
      </c>
      <c r="F196" s="111" t="s">
        <v>33</v>
      </c>
      <c r="G196" s="111" t="s">
        <v>103</v>
      </c>
      <c r="H196" s="111" t="s">
        <v>34</v>
      </c>
      <c r="I196" s="114" t="s">
        <v>614</v>
      </c>
    </row>
    <row r="197" spans="1:9" ht="15.6" x14ac:dyDescent="0.3">
      <c r="A197" s="111" t="s">
        <v>659</v>
      </c>
      <c r="B197" s="111" t="s">
        <v>130</v>
      </c>
      <c r="C197" s="111" t="s">
        <v>139</v>
      </c>
      <c r="D197" s="111" t="s">
        <v>1</v>
      </c>
      <c r="E197" s="111" t="s">
        <v>570</v>
      </c>
      <c r="F197" s="111" t="s">
        <v>134</v>
      </c>
      <c r="G197" s="111" t="s">
        <v>110</v>
      </c>
      <c r="H197" s="111" t="s">
        <v>178</v>
      </c>
      <c r="I197" s="114" t="s">
        <v>667</v>
      </c>
    </row>
    <row r="198" spans="1:9" ht="15.6" x14ac:dyDescent="0.3">
      <c r="A198" s="111" t="s">
        <v>659</v>
      </c>
      <c r="B198" s="111" t="s">
        <v>130</v>
      </c>
      <c r="C198" s="111" t="s">
        <v>141</v>
      </c>
      <c r="D198" s="111" t="s">
        <v>1</v>
      </c>
      <c r="E198" s="111" t="s">
        <v>573</v>
      </c>
      <c r="F198" s="111" t="s">
        <v>134</v>
      </c>
      <c r="G198" s="111" t="s">
        <v>110</v>
      </c>
      <c r="H198" s="111" t="s">
        <v>178</v>
      </c>
      <c r="I198" s="114" t="s">
        <v>667</v>
      </c>
    </row>
    <row r="199" spans="1:9" ht="15.6" x14ac:dyDescent="0.3">
      <c r="A199" s="111" t="s">
        <v>659</v>
      </c>
      <c r="B199" s="111" t="s">
        <v>130</v>
      </c>
      <c r="C199" s="111" t="s">
        <v>142</v>
      </c>
      <c r="D199" s="111" t="s">
        <v>1</v>
      </c>
      <c r="E199" s="111" t="s">
        <v>572</v>
      </c>
      <c r="F199" s="111" t="s">
        <v>134</v>
      </c>
      <c r="G199" s="111" t="s">
        <v>110</v>
      </c>
      <c r="H199" s="111" t="s">
        <v>178</v>
      </c>
      <c r="I199" s="113" t="s">
        <v>592</v>
      </c>
    </row>
    <row r="200" spans="1:9" ht="15.6" x14ac:dyDescent="0.3">
      <c r="A200" s="111" t="s">
        <v>659</v>
      </c>
      <c r="B200" s="111" t="s">
        <v>130</v>
      </c>
      <c r="C200" s="111" t="s">
        <v>149</v>
      </c>
      <c r="D200" s="111" t="s">
        <v>1</v>
      </c>
      <c r="E200" s="111" t="s">
        <v>583</v>
      </c>
      <c r="F200" s="111" t="s">
        <v>134</v>
      </c>
      <c r="G200" s="111" t="s">
        <v>110</v>
      </c>
      <c r="H200" s="111" t="s">
        <v>178</v>
      </c>
      <c r="I200" s="114" t="s">
        <v>667</v>
      </c>
    </row>
    <row r="201" spans="1:9" ht="15.6" x14ac:dyDescent="0.3">
      <c r="A201" s="111" t="s">
        <v>659</v>
      </c>
      <c r="B201" s="111" t="s">
        <v>130</v>
      </c>
      <c r="C201" s="111" t="s">
        <v>143</v>
      </c>
      <c r="D201" s="111" t="s">
        <v>1</v>
      </c>
      <c r="E201" s="111" t="s">
        <v>420</v>
      </c>
      <c r="F201" s="111" t="s">
        <v>134</v>
      </c>
      <c r="G201" s="111" t="s">
        <v>76</v>
      </c>
      <c r="H201" s="111" t="s">
        <v>145</v>
      </c>
      <c r="I201" s="114" t="s">
        <v>668</v>
      </c>
    </row>
    <row r="202" spans="1:9" ht="15.6" x14ac:dyDescent="0.3">
      <c r="A202" s="111" t="s">
        <v>659</v>
      </c>
      <c r="B202" s="111" t="s">
        <v>130</v>
      </c>
      <c r="C202" s="111" t="s">
        <v>147</v>
      </c>
      <c r="D202" s="111" t="s">
        <v>1</v>
      </c>
      <c r="E202" s="111" t="s">
        <v>619</v>
      </c>
      <c r="F202" s="111" t="s">
        <v>134</v>
      </c>
      <c r="G202" s="111" t="s">
        <v>76</v>
      </c>
      <c r="H202" s="111" t="s">
        <v>145</v>
      </c>
      <c r="I202" s="114" t="s">
        <v>617</v>
      </c>
    </row>
    <row r="203" spans="1:9" ht="15.6" x14ac:dyDescent="0.3">
      <c r="A203" s="111" t="s">
        <v>659</v>
      </c>
      <c r="B203" s="111" t="s">
        <v>130</v>
      </c>
      <c r="C203" s="111" t="s">
        <v>148</v>
      </c>
      <c r="D203" s="111" t="s">
        <v>1</v>
      </c>
      <c r="E203" s="111" t="s">
        <v>620</v>
      </c>
      <c r="F203" s="111" t="s">
        <v>134</v>
      </c>
      <c r="G203" s="111" t="s">
        <v>76</v>
      </c>
      <c r="H203" s="111" t="s">
        <v>145</v>
      </c>
      <c r="I203" s="114" t="s">
        <v>617</v>
      </c>
    </row>
    <row r="204" spans="1:9" ht="15.6" x14ac:dyDescent="0.3">
      <c r="A204" s="111" t="s">
        <v>659</v>
      </c>
      <c r="B204" s="111" t="s">
        <v>130</v>
      </c>
      <c r="C204" s="111" t="s">
        <v>137</v>
      </c>
      <c r="D204" s="111" t="s">
        <v>1</v>
      </c>
      <c r="E204" s="111" t="s">
        <v>611</v>
      </c>
      <c r="F204" s="111" t="s">
        <v>134</v>
      </c>
      <c r="G204" s="111" t="s">
        <v>36</v>
      </c>
      <c r="H204" s="111" t="s">
        <v>145</v>
      </c>
      <c r="I204" s="114" t="s">
        <v>617</v>
      </c>
    </row>
    <row r="205" spans="1:9" ht="15.6" x14ac:dyDescent="0.3">
      <c r="A205" s="109" t="s">
        <v>669</v>
      </c>
      <c r="B205" s="109" t="s">
        <v>87</v>
      </c>
      <c r="C205" s="109" t="s">
        <v>109</v>
      </c>
      <c r="D205" s="109" t="s">
        <v>1</v>
      </c>
      <c r="E205" s="109" t="s">
        <v>496</v>
      </c>
      <c r="F205" s="109" t="s">
        <v>89</v>
      </c>
      <c r="G205" s="109" t="s">
        <v>96</v>
      </c>
      <c r="H205" s="109" t="s">
        <v>207</v>
      </c>
      <c r="I205" s="110" t="s">
        <v>589</v>
      </c>
    </row>
    <row r="206" spans="1:9" ht="15.6" x14ac:dyDescent="0.3">
      <c r="A206" s="109" t="s">
        <v>669</v>
      </c>
      <c r="B206" s="109" t="s">
        <v>87</v>
      </c>
      <c r="C206" s="109" t="s">
        <v>169</v>
      </c>
      <c r="D206" s="109" t="s">
        <v>1</v>
      </c>
      <c r="E206" s="109" t="s">
        <v>518</v>
      </c>
      <c r="F206" s="109" t="s">
        <v>89</v>
      </c>
      <c r="G206" s="109" t="s">
        <v>76</v>
      </c>
      <c r="H206" s="109" t="s">
        <v>207</v>
      </c>
      <c r="I206" s="110" t="s">
        <v>589</v>
      </c>
    </row>
    <row r="207" spans="1:9" ht="15.6" x14ac:dyDescent="0.3">
      <c r="A207" s="109" t="s">
        <v>669</v>
      </c>
      <c r="B207" s="109" t="s">
        <v>87</v>
      </c>
      <c r="C207" s="109" t="s">
        <v>241</v>
      </c>
      <c r="D207" s="109" t="s">
        <v>1</v>
      </c>
      <c r="E207" s="109" t="s">
        <v>483</v>
      </c>
      <c r="F207" s="109" t="s">
        <v>89</v>
      </c>
      <c r="G207" s="109" t="s">
        <v>110</v>
      </c>
      <c r="H207" s="109" t="s">
        <v>159</v>
      </c>
      <c r="I207" s="110" t="s">
        <v>589</v>
      </c>
    </row>
    <row r="208" spans="1:9" ht="15.6" x14ac:dyDescent="0.3">
      <c r="A208" s="109" t="s">
        <v>669</v>
      </c>
      <c r="B208" s="109" t="s">
        <v>87</v>
      </c>
      <c r="C208" s="109" t="s">
        <v>88</v>
      </c>
      <c r="D208" s="109" t="s">
        <v>1</v>
      </c>
      <c r="E208" s="109" t="s">
        <v>521</v>
      </c>
      <c r="F208" s="109" t="s">
        <v>89</v>
      </c>
      <c r="G208" s="109" t="s">
        <v>76</v>
      </c>
      <c r="H208" s="109" t="s">
        <v>244</v>
      </c>
      <c r="I208" s="110" t="s">
        <v>589</v>
      </c>
    </row>
    <row r="209" spans="1:9" ht="15.6" x14ac:dyDescent="0.3">
      <c r="A209" s="109" t="s">
        <v>669</v>
      </c>
      <c r="B209" s="109" t="s">
        <v>87</v>
      </c>
      <c r="C209" s="109" t="s">
        <v>95</v>
      </c>
      <c r="D209" s="109" t="s">
        <v>1</v>
      </c>
      <c r="E209" s="109" t="s">
        <v>524</v>
      </c>
      <c r="F209" s="109" t="s">
        <v>89</v>
      </c>
      <c r="G209" s="109" t="s">
        <v>185</v>
      </c>
      <c r="H209" s="109" t="s">
        <v>247</v>
      </c>
      <c r="I209" s="110" t="s">
        <v>589</v>
      </c>
    </row>
    <row r="210" spans="1:9" ht="15.6" x14ac:dyDescent="0.3">
      <c r="A210" s="111" t="s">
        <v>669</v>
      </c>
      <c r="B210" s="111" t="s">
        <v>70</v>
      </c>
      <c r="C210" s="111" t="s">
        <v>235</v>
      </c>
      <c r="D210" s="111" t="s">
        <v>1</v>
      </c>
      <c r="E210" s="111" t="s">
        <v>670</v>
      </c>
      <c r="F210" s="111" t="s">
        <v>72</v>
      </c>
      <c r="G210" s="111" t="s">
        <v>76</v>
      </c>
      <c r="H210" s="111" t="s">
        <v>236</v>
      </c>
      <c r="I210" s="113" t="s">
        <v>596</v>
      </c>
    </row>
    <row r="211" spans="1:9" ht="15.6" x14ac:dyDescent="0.3">
      <c r="A211" s="111" t="s">
        <v>669</v>
      </c>
      <c r="B211" s="111" t="s">
        <v>26</v>
      </c>
      <c r="C211" s="111" t="s">
        <v>41</v>
      </c>
      <c r="D211" s="111" t="s">
        <v>1</v>
      </c>
      <c r="E211" s="111" t="s">
        <v>583</v>
      </c>
      <c r="F211" s="111" t="s">
        <v>28</v>
      </c>
      <c r="G211" s="111" t="s">
        <v>61</v>
      </c>
      <c r="H211" s="111" t="s">
        <v>30</v>
      </c>
      <c r="I211" s="114" t="s">
        <v>671</v>
      </c>
    </row>
    <row r="212" spans="1:9" ht="15.6" x14ac:dyDescent="0.3">
      <c r="A212" s="111" t="s">
        <v>669</v>
      </c>
      <c r="B212" s="111" t="s">
        <v>26</v>
      </c>
      <c r="C212" s="111" t="s">
        <v>27</v>
      </c>
      <c r="D212" s="111" t="s">
        <v>1</v>
      </c>
      <c r="E212" s="111" t="s">
        <v>570</v>
      </c>
      <c r="F212" s="111" t="s">
        <v>28</v>
      </c>
      <c r="G212" s="111" t="s">
        <v>36</v>
      </c>
      <c r="H212" s="111" t="s">
        <v>37</v>
      </c>
      <c r="I212" s="114" t="s">
        <v>672</v>
      </c>
    </row>
    <row r="213" spans="1:9" ht="15.6" x14ac:dyDescent="0.3">
      <c r="A213" s="111" t="s">
        <v>669</v>
      </c>
      <c r="B213" s="111" t="s">
        <v>79</v>
      </c>
      <c r="C213" s="111" t="s">
        <v>84</v>
      </c>
      <c r="D213" s="111" t="s">
        <v>1</v>
      </c>
      <c r="E213" s="111" t="s">
        <v>673</v>
      </c>
      <c r="F213" s="111" t="s">
        <v>81</v>
      </c>
      <c r="G213" s="111" t="s">
        <v>54</v>
      </c>
      <c r="H213" s="111" t="s">
        <v>201</v>
      </c>
      <c r="I213" s="112" t="s">
        <v>641</v>
      </c>
    </row>
    <row r="214" spans="1:9" ht="15.6" x14ac:dyDescent="0.3">
      <c r="A214" s="111" t="s">
        <v>669</v>
      </c>
      <c r="B214" s="111" t="s">
        <v>74</v>
      </c>
      <c r="C214" s="111" t="s">
        <v>78</v>
      </c>
      <c r="D214" s="111" t="s">
        <v>1</v>
      </c>
      <c r="E214" s="111" t="s">
        <v>576</v>
      </c>
      <c r="F214" s="111" t="s">
        <v>72</v>
      </c>
      <c r="G214" s="111" t="s">
        <v>76</v>
      </c>
      <c r="H214" s="111" t="s">
        <v>77</v>
      </c>
      <c r="I214" s="114" t="s">
        <v>651</v>
      </c>
    </row>
    <row r="215" spans="1:9" ht="15.6" x14ac:dyDescent="0.3">
      <c r="A215" s="111" t="s">
        <v>669</v>
      </c>
      <c r="B215" s="111" t="s">
        <v>45</v>
      </c>
      <c r="C215" s="111" t="s">
        <v>53</v>
      </c>
      <c r="D215" s="111" t="s">
        <v>1</v>
      </c>
      <c r="E215" s="111" t="s">
        <v>577</v>
      </c>
      <c r="F215" s="111" t="s">
        <v>47</v>
      </c>
      <c r="G215" s="111" t="s">
        <v>54</v>
      </c>
      <c r="H215" s="111" t="s">
        <v>55</v>
      </c>
      <c r="I215" s="114" t="s">
        <v>674</v>
      </c>
    </row>
    <row r="216" spans="1:9" ht="15.6" x14ac:dyDescent="0.3">
      <c r="A216" s="111" t="s">
        <v>669</v>
      </c>
      <c r="B216" s="111" t="s">
        <v>45</v>
      </c>
      <c r="C216" s="111" t="s">
        <v>59</v>
      </c>
      <c r="D216" s="111" t="s">
        <v>1</v>
      </c>
      <c r="E216" s="111" t="s">
        <v>580</v>
      </c>
      <c r="F216" s="111" t="s">
        <v>47</v>
      </c>
      <c r="G216" s="111" t="s">
        <v>36</v>
      </c>
      <c r="H216" s="111" t="s">
        <v>55</v>
      </c>
      <c r="I216" s="114" t="s">
        <v>674</v>
      </c>
    </row>
    <row r="217" spans="1:9" ht="15.6" x14ac:dyDescent="0.3">
      <c r="A217" s="111" t="s">
        <v>669</v>
      </c>
      <c r="B217" s="111" t="s">
        <v>45</v>
      </c>
      <c r="C217" s="111" t="s">
        <v>60</v>
      </c>
      <c r="D217" s="111" t="s">
        <v>1</v>
      </c>
      <c r="E217" s="111" t="s">
        <v>581</v>
      </c>
      <c r="F217" s="111" t="s">
        <v>47</v>
      </c>
      <c r="G217" s="111" t="s">
        <v>96</v>
      </c>
      <c r="H217" s="111" t="s">
        <v>55</v>
      </c>
      <c r="I217" s="114" t="s">
        <v>674</v>
      </c>
    </row>
    <row r="218" spans="1:9" ht="15.6" x14ac:dyDescent="0.3">
      <c r="A218" s="111" t="s">
        <v>669</v>
      </c>
      <c r="B218" s="111" t="s">
        <v>45</v>
      </c>
      <c r="C218" s="111" t="s">
        <v>66</v>
      </c>
      <c r="D218" s="111" t="s">
        <v>1</v>
      </c>
      <c r="E218" s="111" t="s">
        <v>605</v>
      </c>
      <c r="F218" s="111" t="s">
        <v>47</v>
      </c>
      <c r="G218" s="111" t="s">
        <v>103</v>
      </c>
      <c r="H218" s="111" t="s">
        <v>55</v>
      </c>
      <c r="I218" s="114" t="s">
        <v>674</v>
      </c>
    </row>
    <row r="219" spans="1:9" ht="15.6" x14ac:dyDescent="0.3">
      <c r="A219" s="111" t="s">
        <v>669</v>
      </c>
      <c r="B219" s="111" t="s">
        <v>45</v>
      </c>
      <c r="C219" s="111" t="s">
        <v>62</v>
      </c>
      <c r="D219" s="111" t="s">
        <v>1</v>
      </c>
      <c r="E219" s="111" t="s">
        <v>469</v>
      </c>
      <c r="F219" s="111" t="s">
        <v>47</v>
      </c>
      <c r="G219" s="111" t="s">
        <v>103</v>
      </c>
      <c r="H219" s="111" t="s">
        <v>63</v>
      </c>
      <c r="I219" s="112" t="s">
        <v>638</v>
      </c>
    </row>
    <row r="220" spans="1:9" ht="15.6" x14ac:dyDescent="0.3">
      <c r="A220" s="111" t="s">
        <v>669</v>
      </c>
      <c r="B220" s="111" t="s">
        <v>45</v>
      </c>
      <c r="C220" s="111" t="s">
        <v>53</v>
      </c>
      <c r="D220" s="111" t="s">
        <v>1</v>
      </c>
      <c r="E220" s="111" t="s">
        <v>577</v>
      </c>
      <c r="F220" s="111" t="s">
        <v>49</v>
      </c>
      <c r="G220" s="111" t="s">
        <v>54</v>
      </c>
      <c r="H220" s="111" t="s">
        <v>32</v>
      </c>
      <c r="I220" s="114" t="s">
        <v>598</v>
      </c>
    </row>
    <row r="221" spans="1:9" ht="15.6" x14ac:dyDescent="0.3">
      <c r="A221" s="111" t="s">
        <v>669</v>
      </c>
      <c r="B221" s="111" t="s">
        <v>45</v>
      </c>
      <c r="C221" s="111" t="s">
        <v>59</v>
      </c>
      <c r="D221" s="111" t="s">
        <v>1</v>
      </c>
      <c r="E221" s="111" t="s">
        <v>580</v>
      </c>
      <c r="F221" s="111" t="s">
        <v>49</v>
      </c>
      <c r="G221" s="111" t="s">
        <v>36</v>
      </c>
      <c r="H221" s="111" t="s">
        <v>32</v>
      </c>
      <c r="I221" s="114" t="s">
        <v>598</v>
      </c>
    </row>
    <row r="222" spans="1:9" ht="15.6" x14ac:dyDescent="0.3">
      <c r="A222" s="111" t="s">
        <v>669</v>
      </c>
      <c r="B222" s="111" t="s">
        <v>45</v>
      </c>
      <c r="C222" s="111" t="s">
        <v>60</v>
      </c>
      <c r="D222" s="111" t="s">
        <v>1</v>
      </c>
      <c r="E222" s="111" t="s">
        <v>581</v>
      </c>
      <c r="F222" s="111" t="s">
        <v>49</v>
      </c>
      <c r="G222" s="111" t="s">
        <v>96</v>
      </c>
      <c r="H222" s="111" t="s">
        <v>32</v>
      </c>
      <c r="I222" s="114" t="s">
        <v>598</v>
      </c>
    </row>
    <row r="223" spans="1:9" ht="15.6" x14ac:dyDescent="0.3">
      <c r="A223" s="111" t="s">
        <v>669</v>
      </c>
      <c r="B223" s="111" t="s">
        <v>45</v>
      </c>
      <c r="C223" s="111" t="s">
        <v>66</v>
      </c>
      <c r="D223" s="111" t="s">
        <v>1</v>
      </c>
      <c r="E223" s="111" t="s">
        <v>605</v>
      </c>
      <c r="F223" s="111" t="s">
        <v>49</v>
      </c>
      <c r="G223" s="111" t="s">
        <v>103</v>
      </c>
      <c r="H223" s="111" t="s">
        <v>32</v>
      </c>
      <c r="I223" s="114" t="s">
        <v>598</v>
      </c>
    </row>
    <row r="224" spans="1:9" ht="15.6" x14ac:dyDescent="0.3">
      <c r="A224" s="111" t="s">
        <v>669</v>
      </c>
      <c r="B224" s="111" t="s">
        <v>26</v>
      </c>
      <c r="C224" s="111" t="s">
        <v>41</v>
      </c>
      <c r="D224" s="111" t="s">
        <v>1</v>
      </c>
      <c r="E224" s="111" t="s">
        <v>583</v>
      </c>
      <c r="F224" s="111" t="s">
        <v>31</v>
      </c>
      <c r="G224" s="111" t="s">
        <v>61</v>
      </c>
      <c r="H224" s="111" t="s">
        <v>32</v>
      </c>
      <c r="I224" s="114" t="s">
        <v>671</v>
      </c>
    </row>
    <row r="225" spans="1:9" ht="15.6" x14ac:dyDescent="0.3">
      <c r="A225" s="111" t="s">
        <v>669</v>
      </c>
      <c r="B225" s="111" t="s">
        <v>79</v>
      </c>
      <c r="C225" s="111" t="s">
        <v>84</v>
      </c>
      <c r="D225" s="111" t="s">
        <v>1</v>
      </c>
      <c r="E225" s="111" t="s">
        <v>673</v>
      </c>
      <c r="F225" s="111" t="s">
        <v>33</v>
      </c>
      <c r="G225" s="111" t="s">
        <v>54</v>
      </c>
      <c r="H225" s="111" t="s">
        <v>202</v>
      </c>
      <c r="I225" s="114" t="s">
        <v>649</v>
      </c>
    </row>
    <row r="226" spans="1:9" ht="15.6" x14ac:dyDescent="0.3">
      <c r="A226" s="111" t="s">
        <v>669</v>
      </c>
      <c r="B226" s="111" t="s">
        <v>26</v>
      </c>
      <c r="C226" s="111" t="s">
        <v>27</v>
      </c>
      <c r="D226" s="111" t="s">
        <v>1</v>
      </c>
      <c r="E226" s="111" t="s">
        <v>570</v>
      </c>
      <c r="F226" s="111" t="s">
        <v>31</v>
      </c>
      <c r="G226" s="111" t="s">
        <v>36</v>
      </c>
      <c r="H226" s="111" t="s">
        <v>38</v>
      </c>
      <c r="I226" s="114" t="s">
        <v>672</v>
      </c>
    </row>
    <row r="227" spans="1:9" ht="15.6" x14ac:dyDescent="0.3">
      <c r="A227" s="111" t="s">
        <v>669</v>
      </c>
      <c r="B227" s="111" t="s">
        <v>45</v>
      </c>
      <c r="C227" s="111" t="s">
        <v>62</v>
      </c>
      <c r="D227" s="111" t="s">
        <v>1</v>
      </c>
      <c r="E227" s="111" t="s">
        <v>469</v>
      </c>
      <c r="F227" s="111" t="s">
        <v>49</v>
      </c>
      <c r="G227" s="111" t="s">
        <v>103</v>
      </c>
      <c r="H227" s="111" t="s">
        <v>64</v>
      </c>
      <c r="I227" s="113" t="s">
        <v>675</v>
      </c>
    </row>
    <row r="228" spans="1:9" ht="15.6" x14ac:dyDescent="0.3">
      <c r="A228" s="111" t="s">
        <v>669</v>
      </c>
      <c r="B228" s="111" t="s">
        <v>45</v>
      </c>
      <c r="C228" s="111" t="s">
        <v>58</v>
      </c>
      <c r="D228" s="111" t="s">
        <v>1</v>
      </c>
      <c r="E228" s="111" t="s">
        <v>573</v>
      </c>
      <c r="F228" s="111" t="s">
        <v>51</v>
      </c>
      <c r="G228" s="111" t="s">
        <v>42</v>
      </c>
      <c r="H228" s="111" t="s">
        <v>52</v>
      </c>
      <c r="I228" s="114" t="s">
        <v>652</v>
      </c>
    </row>
    <row r="229" spans="1:9" ht="15.6" x14ac:dyDescent="0.3">
      <c r="A229" s="111" t="s">
        <v>669</v>
      </c>
      <c r="B229" s="111" t="s">
        <v>45</v>
      </c>
      <c r="C229" s="111" t="s">
        <v>53</v>
      </c>
      <c r="D229" s="111" t="s">
        <v>1</v>
      </c>
      <c r="E229" s="111" t="s">
        <v>577</v>
      </c>
      <c r="F229" s="111" t="s">
        <v>51</v>
      </c>
      <c r="G229" s="111" t="s">
        <v>54</v>
      </c>
      <c r="H229" s="111" t="s">
        <v>56</v>
      </c>
      <c r="I229" s="114" t="s">
        <v>676</v>
      </c>
    </row>
    <row r="230" spans="1:9" ht="15.6" x14ac:dyDescent="0.3">
      <c r="A230" s="111" t="s">
        <v>669</v>
      </c>
      <c r="B230" s="111" t="s">
        <v>45</v>
      </c>
      <c r="C230" s="111" t="s">
        <v>57</v>
      </c>
      <c r="D230" s="111" t="s">
        <v>1</v>
      </c>
      <c r="E230" s="111" t="s">
        <v>578</v>
      </c>
      <c r="F230" s="111" t="s">
        <v>51</v>
      </c>
      <c r="G230" s="111" t="s">
        <v>54</v>
      </c>
      <c r="H230" s="111" t="s">
        <v>56</v>
      </c>
      <c r="I230" s="114" t="s">
        <v>653</v>
      </c>
    </row>
    <row r="231" spans="1:9" ht="15.6" x14ac:dyDescent="0.3">
      <c r="A231" s="111" t="s">
        <v>669</v>
      </c>
      <c r="B231" s="111" t="s">
        <v>45</v>
      </c>
      <c r="C231" s="111" t="s">
        <v>59</v>
      </c>
      <c r="D231" s="111" t="s">
        <v>1</v>
      </c>
      <c r="E231" s="111" t="s">
        <v>580</v>
      </c>
      <c r="F231" s="111" t="s">
        <v>51</v>
      </c>
      <c r="G231" s="111" t="s">
        <v>36</v>
      </c>
      <c r="H231" s="111" t="s">
        <v>56</v>
      </c>
      <c r="I231" s="114" t="s">
        <v>676</v>
      </c>
    </row>
    <row r="232" spans="1:9" ht="15.6" x14ac:dyDescent="0.3">
      <c r="A232" s="111" t="s">
        <v>669</v>
      </c>
      <c r="B232" s="111" t="s">
        <v>45</v>
      </c>
      <c r="C232" s="111" t="s">
        <v>60</v>
      </c>
      <c r="D232" s="111" t="s">
        <v>1</v>
      </c>
      <c r="E232" s="111" t="s">
        <v>581</v>
      </c>
      <c r="F232" s="111" t="s">
        <v>51</v>
      </c>
      <c r="G232" s="111" t="s">
        <v>96</v>
      </c>
      <c r="H232" s="111" t="s">
        <v>56</v>
      </c>
      <c r="I232" s="114" t="s">
        <v>676</v>
      </c>
    </row>
    <row r="233" spans="1:9" ht="15.6" x14ac:dyDescent="0.3">
      <c r="A233" s="111" t="s">
        <v>669</v>
      </c>
      <c r="B233" s="111" t="s">
        <v>45</v>
      </c>
      <c r="C233" s="111" t="s">
        <v>46</v>
      </c>
      <c r="D233" s="111" t="s">
        <v>1</v>
      </c>
      <c r="E233" s="111" t="s">
        <v>571</v>
      </c>
      <c r="F233" s="111" t="s">
        <v>51</v>
      </c>
      <c r="G233" s="111" t="s">
        <v>54</v>
      </c>
      <c r="H233" s="111" t="s">
        <v>56</v>
      </c>
      <c r="I233" s="114" t="s">
        <v>629</v>
      </c>
    </row>
    <row r="234" spans="1:9" ht="15.6" x14ac:dyDescent="0.3">
      <c r="A234" s="111" t="s">
        <v>669</v>
      </c>
      <c r="B234" s="111" t="s">
        <v>45</v>
      </c>
      <c r="C234" s="111" t="s">
        <v>66</v>
      </c>
      <c r="D234" s="111" t="s">
        <v>1</v>
      </c>
      <c r="E234" s="111" t="s">
        <v>605</v>
      </c>
      <c r="F234" s="111" t="s">
        <v>51</v>
      </c>
      <c r="G234" s="111" t="s">
        <v>103</v>
      </c>
      <c r="H234" s="111" t="s">
        <v>56</v>
      </c>
      <c r="I234" s="114" t="s">
        <v>676</v>
      </c>
    </row>
    <row r="235" spans="1:9" ht="15.6" x14ac:dyDescent="0.3">
      <c r="A235" s="111" t="s">
        <v>669</v>
      </c>
      <c r="B235" s="111" t="s">
        <v>45</v>
      </c>
      <c r="C235" s="111" t="s">
        <v>62</v>
      </c>
      <c r="D235" s="111" t="s">
        <v>1</v>
      </c>
      <c r="E235" s="111" t="s">
        <v>469</v>
      </c>
      <c r="F235" s="111" t="s">
        <v>51</v>
      </c>
      <c r="G235" s="111" t="s">
        <v>103</v>
      </c>
      <c r="H235" s="111" t="s">
        <v>65</v>
      </c>
      <c r="I235" s="114" t="s">
        <v>677</v>
      </c>
    </row>
    <row r="236" spans="1:9" ht="15.6" x14ac:dyDescent="0.3">
      <c r="A236" s="111" t="s">
        <v>669</v>
      </c>
      <c r="B236" s="111" t="s">
        <v>115</v>
      </c>
      <c r="C236" s="111" t="s">
        <v>123</v>
      </c>
      <c r="D236" s="111" t="s">
        <v>1</v>
      </c>
      <c r="E236" s="111" t="s">
        <v>603</v>
      </c>
      <c r="F236" s="111" t="s">
        <v>124</v>
      </c>
      <c r="G236" s="111" t="s">
        <v>29</v>
      </c>
      <c r="H236" s="111" t="s">
        <v>253</v>
      </c>
      <c r="I236" s="114" t="s">
        <v>654</v>
      </c>
    </row>
    <row r="237" spans="1:9" ht="15.6" x14ac:dyDescent="0.3">
      <c r="A237" s="111" t="s">
        <v>669</v>
      </c>
      <c r="B237" s="111" t="s">
        <v>130</v>
      </c>
      <c r="C237" s="111" t="s">
        <v>136</v>
      </c>
      <c r="D237" s="111" t="s">
        <v>1</v>
      </c>
      <c r="E237" s="111" t="s">
        <v>609</v>
      </c>
      <c r="F237" s="111" t="s">
        <v>134</v>
      </c>
      <c r="G237" s="111" t="s">
        <v>76</v>
      </c>
      <c r="H237" s="111" t="s">
        <v>177</v>
      </c>
      <c r="I237" s="114" t="s">
        <v>602</v>
      </c>
    </row>
    <row r="238" spans="1:9" ht="15.6" x14ac:dyDescent="0.3">
      <c r="A238" s="111" t="s">
        <v>669</v>
      </c>
      <c r="B238" s="111" t="s">
        <v>130</v>
      </c>
      <c r="C238" s="111" t="s">
        <v>138</v>
      </c>
      <c r="D238" s="111" t="s">
        <v>1</v>
      </c>
      <c r="E238" s="111" t="s">
        <v>613</v>
      </c>
      <c r="F238" s="111" t="s">
        <v>134</v>
      </c>
      <c r="G238" s="111" t="s">
        <v>76</v>
      </c>
      <c r="H238" s="111" t="s">
        <v>177</v>
      </c>
      <c r="I238" s="114" t="s">
        <v>656</v>
      </c>
    </row>
    <row r="239" spans="1:9" ht="15.6" x14ac:dyDescent="0.3">
      <c r="A239" s="111" t="s">
        <v>669</v>
      </c>
      <c r="B239" s="111" t="s">
        <v>115</v>
      </c>
      <c r="C239" s="111" t="s">
        <v>126</v>
      </c>
      <c r="D239" s="111" t="s">
        <v>1</v>
      </c>
      <c r="E239" s="111" t="s">
        <v>678</v>
      </c>
      <c r="F239" s="111" t="s">
        <v>124</v>
      </c>
      <c r="G239" s="111" t="s">
        <v>36</v>
      </c>
      <c r="H239" s="111" t="s">
        <v>127</v>
      </c>
      <c r="I239" s="114" t="s">
        <v>674</v>
      </c>
    </row>
    <row r="240" spans="1:9" ht="15.6" x14ac:dyDescent="0.3">
      <c r="A240" s="111" t="s">
        <v>669</v>
      </c>
      <c r="B240" s="111" t="s">
        <v>130</v>
      </c>
      <c r="C240" s="111" t="s">
        <v>131</v>
      </c>
      <c r="D240" s="111" t="s">
        <v>1</v>
      </c>
      <c r="E240" s="111" t="s">
        <v>607</v>
      </c>
      <c r="F240" s="111" t="s">
        <v>132</v>
      </c>
      <c r="G240" s="111" t="s">
        <v>76</v>
      </c>
      <c r="H240" s="111" t="s">
        <v>133</v>
      </c>
      <c r="I240" s="114" t="s">
        <v>679</v>
      </c>
    </row>
    <row r="241" spans="1:9" ht="15.6" x14ac:dyDescent="0.3">
      <c r="A241" s="111" t="s">
        <v>669</v>
      </c>
      <c r="B241" s="111" t="s">
        <v>130</v>
      </c>
      <c r="C241" s="111" t="s">
        <v>146</v>
      </c>
      <c r="D241" s="111" t="s">
        <v>1</v>
      </c>
      <c r="E241" s="111" t="s">
        <v>618</v>
      </c>
      <c r="F241" s="111" t="s">
        <v>134</v>
      </c>
      <c r="G241" s="111" t="s">
        <v>76</v>
      </c>
      <c r="H241" s="111" t="s">
        <v>135</v>
      </c>
      <c r="I241" s="114" t="s">
        <v>668</v>
      </c>
    </row>
    <row r="242" spans="1:9" ht="15.6" x14ac:dyDescent="0.3">
      <c r="A242" s="111" t="s">
        <v>669</v>
      </c>
      <c r="B242" s="111" t="s">
        <v>130</v>
      </c>
      <c r="C242" s="111" t="s">
        <v>131</v>
      </c>
      <c r="D242" s="111" t="s">
        <v>1</v>
      </c>
      <c r="E242" s="111" t="s">
        <v>607</v>
      </c>
      <c r="F242" s="111" t="s">
        <v>134</v>
      </c>
      <c r="G242" s="111" t="s">
        <v>76</v>
      </c>
      <c r="H242" s="111" t="s">
        <v>135</v>
      </c>
      <c r="I242" s="114" t="s">
        <v>680</v>
      </c>
    </row>
    <row r="243" spans="1:9" ht="15.6" x14ac:dyDescent="0.3">
      <c r="A243" s="111" t="s">
        <v>669</v>
      </c>
      <c r="B243" s="111" t="s">
        <v>130</v>
      </c>
      <c r="C243" s="111" t="s">
        <v>142</v>
      </c>
      <c r="D243" s="111" t="s">
        <v>1</v>
      </c>
      <c r="E243" s="111" t="s">
        <v>572</v>
      </c>
      <c r="F243" s="111" t="s">
        <v>134</v>
      </c>
      <c r="G243" s="111" t="s">
        <v>110</v>
      </c>
      <c r="H243" s="111" t="s">
        <v>250</v>
      </c>
      <c r="I243" s="114" t="s">
        <v>681</v>
      </c>
    </row>
    <row r="244" spans="1:9" ht="15.6" x14ac:dyDescent="0.3">
      <c r="A244" s="111" t="s">
        <v>669</v>
      </c>
      <c r="B244" s="111" t="s">
        <v>26</v>
      </c>
      <c r="C244" s="111" t="s">
        <v>35</v>
      </c>
      <c r="D244" s="111" t="s">
        <v>1</v>
      </c>
      <c r="E244" s="111" t="s">
        <v>572</v>
      </c>
      <c r="F244" s="111" t="s">
        <v>33</v>
      </c>
      <c r="G244" s="111" t="s">
        <v>42</v>
      </c>
      <c r="H244" s="111" t="s">
        <v>34</v>
      </c>
      <c r="I244" s="112" t="s">
        <v>593</v>
      </c>
    </row>
    <row r="245" spans="1:9" ht="15.6" x14ac:dyDescent="0.3">
      <c r="A245" s="111" t="s">
        <v>669</v>
      </c>
      <c r="B245" s="111" t="s">
        <v>26</v>
      </c>
      <c r="C245" s="111" t="s">
        <v>39</v>
      </c>
      <c r="D245" s="111" t="s">
        <v>1</v>
      </c>
      <c r="E245" s="111" t="s">
        <v>573</v>
      </c>
      <c r="F245" s="111" t="s">
        <v>33</v>
      </c>
      <c r="G245" s="111" t="s">
        <v>40</v>
      </c>
      <c r="H245" s="111" t="s">
        <v>34</v>
      </c>
      <c r="I245" s="112" t="s">
        <v>593</v>
      </c>
    </row>
    <row r="246" spans="1:9" ht="15.6" x14ac:dyDescent="0.3">
      <c r="A246" s="111" t="s">
        <v>669</v>
      </c>
      <c r="B246" s="111" t="s">
        <v>26</v>
      </c>
      <c r="C246" s="111" t="s">
        <v>27</v>
      </c>
      <c r="D246" s="111" t="s">
        <v>1</v>
      </c>
      <c r="E246" s="111" t="s">
        <v>570</v>
      </c>
      <c r="F246" s="111" t="s">
        <v>33</v>
      </c>
      <c r="G246" s="111" t="s">
        <v>36</v>
      </c>
      <c r="H246" s="111" t="s">
        <v>34</v>
      </c>
      <c r="I246" s="114" t="s">
        <v>682</v>
      </c>
    </row>
    <row r="247" spans="1:9" ht="15.6" x14ac:dyDescent="0.3">
      <c r="A247" s="111" t="s">
        <v>669</v>
      </c>
      <c r="B247" s="111" t="s">
        <v>26</v>
      </c>
      <c r="C247" s="111" t="s">
        <v>41</v>
      </c>
      <c r="D247" s="111" t="s">
        <v>1</v>
      </c>
      <c r="E247" s="111" t="s">
        <v>583</v>
      </c>
      <c r="F247" s="111" t="s">
        <v>33</v>
      </c>
      <c r="G247" s="111" t="s">
        <v>61</v>
      </c>
      <c r="H247" s="111" t="s">
        <v>34</v>
      </c>
      <c r="I247" s="114" t="s">
        <v>682</v>
      </c>
    </row>
    <row r="248" spans="1:9" ht="15.6" x14ac:dyDescent="0.3">
      <c r="A248" s="111" t="s">
        <v>669</v>
      </c>
      <c r="B248" s="111" t="s">
        <v>130</v>
      </c>
      <c r="C248" s="111" t="s">
        <v>141</v>
      </c>
      <c r="D248" s="111" t="s">
        <v>1</v>
      </c>
      <c r="E248" s="111" t="s">
        <v>573</v>
      </c>
      <c r="F248" s="111" t="s">
        <v>134</v>
      </c>
      <c r="G248" s="111" t="s">
        <v>110</v>
      </c>
      <c r="H248" s="111" t="s">
        <v>178</v>
      </c>
      <c r="I248" s="113" t="s">
        <v>592</v>
      </c>
    </row>
    <row r="249" spans="1:9" ht="15.6" x14ac:dyDescent="0.3">
      <c r="A249" s="111" t="s">
        <v>669</v>
      </c>
      <c r="B249" s="111" t="s">
        <v>130</v>
      </c>
      <c r="C249" s="111" t="s">
        <v>149</v>
      </c>
      <c r="D249" s="111" t="s">
        <v>1</v>
      </c>
      <c r="E249" s="111" t="s">
        <v>583</v>
      </c>
      <c r="F249" s="111" t="s">
        <v>134</v>
      </c>
      <c r="G249" s="111" t="s">
        <v>110</v>
      </c>
      <c r="H249" s="111" t="s">
        <v>178</v>
      </c>
      <c r="I249" s="114" t="s">
        <v>683</v>
      </c>
    </row>
    <row r="250" spans="1:9" ht="15.6" x14ac:dyDescent="0.3">
      <c r="A250" s="111" t="s">
        <v>669</v>
      </c>
      <c r="B250" s="111" t="s">
        <v>130</v>
      </c>
      <c r="C250" s="111" t="s">
        <v>148</v>
      </c>
      <c r="D250" s="111" t="s">
        <v>1</v>
      </c>
      <c r="E250" s="111" t="s">
        <v>620</v>
      </c>
      <c r="F250" s="111" t="s">
        <v>134</v>
      </c>
      <c r="G250" s="111" t="s">
        <v>96</v>
      </c>
      <c r="H250" s="111" t="s">
        <v>145</v>
      </c>
      <c r="I250" s="114" t="s">
        <v>651</v>
      </c>
    </row>
    <row r="251" spans="1:9" ht="15.6" x14ac:dyDescent="0.3">
      <c r="A251" s="111" t="s">
        <v>669</v>
      </c>
      <c r="B251" s="111" t="s">
        <v>130</v>
      </c>
      <c r="C251" s="111" t="s">
        <v>137</v>
      </c>
      <c r="D251" s="111" t="s">
        <v>1</v>
      </c>
      <c r="E251" s="111" t="s">
        <v>611</v>
      </c>
      <c r="F251" s="111" t="s">
        <v>134</v>
      </c>
      <c r="G251" s="111" t="s">
        <v>76</v>
      </c>
      <c r="H251" s="111" t="s">
        <v>145</v>
      </c>
      <c r="I251" s="114" t="s">
        <v>651</v>
      </c>
    </row>
    <row r="252" spans="1:9" ht="15.6" x14ac:dyDescent="0.3">
      <c r="A252" s="111" t="s">
        <v>669</v>
      </c>
      <c r="B252" s="111" t="s">
        <v>130</v>
      </c>
      <c r="C252" s="111" t="s">
        <v>139</v>
      </c>
      <c r="D252" s="111" t="s">
        <v>1</v>
      </c>
      <c r="E252" s="111" t="s">
        <v>570</v>
      </c>
      <c r="F252" s="111" t="s">
        <v>134</v>
      </c>
      <c r="G252" s="111" t="s">
        <v>110</v>
      </c>
      <c r="H252" s="111" t="s">
        <v>179</v>
      </c>
      <c r="I252" s="114" t="s">
        <v>684</v>
      </c>
    </row>
    <row r="253" spans="1:9" ht="15.6" x14ac:dyDescent="0.3">
      <c r="A253" s="111" t="s">
        <v>669</v>
      </c>
      <c r="B253" s="111" t="s">
        <v>130</v>
      </c>
      <c r="C253" s="111" t="s">
        <v>147</v>
      </c>
      <c r="D253" s="111" t="s">
        <v>1</v>
      </c>
      <c r="E253" s="111" t="s">
        <v>619</v>
      </c>
      <c r="F253" s="111" t="s">
        <v>134</v>
      </c>
      <c r="G253" s="111" t="s">
        <v>103</v>
      </c>
      <c r="H253" s="111" t="s">
        <v>252</v>
      </c>
      <c r="I253" s="114" t="s">
        <v>666</v>
      </c>
    </row>
    <row r="254" spans="1:9" ht="15.6" x14ac:dyDescent="0.3">
      <c r="A254" s="109" t="s">
        <v>685</v>
      </c>
      <c r="B254" s="109" t="s">
        <v>87</v>
      </c>
      <c r="C254" s="109" t="s">
        <v>102</v>
      </c>
      <c r="D254" s="109" t="s">
        <v>1</v>
      </c>
      <c r="E254" s="109" t="s">
        <v>420</v>
      </c>
      <c r="F254" s="109" t="s">
        <v>89</v>
      </c>
      <c r="G254" s="109" t="s">
        <v>36</v>
      </c>
      <c r="H254" s="109" t="s">
        <v>159</v>
      </c>
      <c r="I254" s="110" t="s">
        <v>589</v>
      </c>
    </row>
    <row r="255" spans="1:9" ht="15.6" x14ac:dyDescent="0.3">
      <c r="A255" s="109" t="s">
        <v>685</v>
      </c>
      <c r="B255" s="109" t="s">
        <v>87</v>
      </c>
      <c r="C255" s="109" t="s">
        <v>95</v>
      </c>
      <c r="D255" s="109" t="s">
        <v>1</v>
      </c>
      <c r="E255" s="109" t="s">
        <v>432</v>
      </c>
      <c r="F255" s="109" t="s">
        <v>89</v>
      </c>
      <c r="G255" s="109" t="s">
        <v>103</v>
      </c>
      <c r="H255" s="109" t="s">
        <v>90</v>
      </c>
      <c r="I255" s="110" t="s">
        <v>589</v>
      </c>
    </row>
    <row r="256" spans="1:9" ht="15.6" x14ac:dyDescent="0.3">
      <c r="A256" s="109" t="s">
        <v>685</v>
      </c>
      <c r="B256" s="109" t="s">
        <v>87</v>
      </c>
      <c r="C256" s="109" t="s">
        <v>109</v>
      </c>
      <c r="D256" s="109" t="s">
        <v>1</v>
      </c>
      <c r="E256" s="109" t="s">
        <v>427</v>
      </c>
      <c r="F256" s="109" t="s">
        <v>89</v>
      </c>
      <c r="G256" s="109" t="s">
        <v>76</v>
      </c>
      <c r="H256" s="109" t="s">
        <v>104</v>
      </c>
      <c r="I256" s="110" t="s">
        <v>589</v>
      </c>
    </row>
    <row r="257" spans="1:9" ht="15.6" x14ac:dyDescent="0.3">
      <c r="A257" s="109" t="s">
        <v>685</v>
      </c>
      <c r="B257" s="109" t="s">
        <v>87</v>
      </c>
      <c r="C257" s="109" t="s">
        <v>88</v>
      </c>
      <c r="D257" s="109" t="s">
        <v>1</v>
      </c>
      <c r="E257" s="109" t="s">
        <v>440</v>
      </c>
      <c r="F257" s="109" t="s">
        <v>89</v>
      </c>
      <c r="G257" s="109" t="s">
        <v>76</v>
      </c>
      <c r="H257" s="109" t="s">
        <v>104</v>
      </c>
      <c r="I257" s="110" t="s">
        <v>589</v>
      </c>
    </row>
    <row r="258" spans="1:9" ht="15.6" x14ac:dyDescent="0.3">
      <c r="A258" s="111" t="s">
        <v>685</v>
      </c>
      <c r="B258" s="111" t="s">
        <v>70</v>
      </c>
      <c r="C258" s="111" t="s">
        <v>71</v>
      </c>
      <c r="D258" s="111" t="s">
        <v>1</v>
      </c>
      <c r="E258" s="111" t="s">
        <v>574</v>
      </c>
      <c r="F258" s="111" t="s">
        <v>72</v>
      </c>
      <c r="G258" s="111" t="s">
        <v>76</v>
      </c>
      <c r="H258" s="111" t="s">
        <v>236</v>
      </c>
      <c r="I258" s="113" t="s">
        <v>596</v>
      </c>
    </row>
    <row r="259" spans="1:9" ht="15.6" x14ac:dyDescent="0.3">
      <c r="A259" s="111" t="s">
        <v>685</v>
      </c>
      <c r="B259" s="111" t="s">
        <v>26</v>
      </c>
      <c r="C259" s="111" t="s">
        <v>39</v>
      </c>
      <c r="D259" s="111" t="s">
        <v>1</v>
      </c>
      <c r="E259" s="111" t="s">
        <v>573</v>
      </c>
      <c r="F259" s="111" t="s">
        <v>28</v>
      </c>
      <c r="G259" s="111" t="s">
        <v>40</v>
      </c>
      <c r="H259" s="111" t="s">
        <v>180</v>
      </c>
      <c r="I259" s="112" t="s">
        <v>593</v>
      </c>
    </row>
    <row r="260" spans="1:9" ht="15.6" x14ac:dyDescent="0.3">
      <c r="A260" s="111" t="s">
        <v>685</v>
      </c>
      <c r="B260" s="111" t="s">
        <v>45</v>
      </c>
      <c r="C260" s="111" t="s">
        <v>57</v>
      </c>
      <c r="D260" s="111" t="s">
        <v>1</v>
      </c>
      <c r="E260" s="111" t="s">
        <v>578</v>
      </c>
      <c r="F260" s="111" t="s">
        <v>47</v>
      </c>
      <c r="G260" s="111" t="s">
        <v>29</v>
      </c>
      <c r="H260" s="111" t="s">
        <v>180</v>
      </c>
      <c r="I260" s="113" t="s">
        <v>596</v>
      </c>
    </row>
    <row r="261" spans="1:9" ht="15.6" x14ac:dyDescent="0.3">
      <c r="A261" s="111" t="s">
        <v>685</v>
      </c>
      <c r="B261" s="111" t="s">
        <v>45</v>
      </c>
      <c r="C261" s="111" t="s">
        <v>46</v>
      </c>
      <c r="D261" s="111" t="s">
        <v>1</v>
      </c>
      <c r="E261" s="111" t="s">
        <v>571</v>
      </c>
      <c r="F261" s="111" t="s">
        <v>47</v>
      </c>
      <c r="G261" s="111" t="s">
        <v>29</v>
      </c>
      <c r="H261" s="111" t="s">
        <v>180</v>
      </c>
      <c r="I261" s="113" t="s">
        <v>596</v>
      </c>
    </row>
    <row r="262" spans="1:9" ht="15.6" x14ac:dyDescent="0.3">
      <c r="A262" s="111" t="s">
        <v>685</v>
      </c>
      <c r="B262" s="111" t="s">
        <v>79</v>
      </c>
      <c r="C262" s="111" t="s">
        <v>84</v>
      </c>
      <c r="D262" s="111" t="s">
        <v>1</v>
      </c>
      <c r="E262" s="111" t="s">
        <v>584</v>
      </c>
      <c r="F262" s="111" t="s">
        <v>81</v>
      </c>
      <c r="G262" s="111" t="s">
        <v>54</v>
      </c>
      <c r="H262" s="111" t="s">
        <v>257</v>
      </c>
      <c r="I262" s="114" t="s">
        <v>614</v>
      </c>
    </row>
    <row r="263" spans="1:9" ht="15.6" x14ac:dyDescent="0.3">
      <c r="A263" s="111" t="s">
        <v>685</v>
      </c>
      <c r="B263" s="111" t="s">
        <v>79</v>
      </c>
      <c r="C263" s="111" t="s">
        <v>80</v>
      </c>
      <c r="D263" s="111" t="s">
        <v>1</v>
      </c>
      <c r="E263" s="111" t="s">
        <v>582</v>
      </c>
      <c r="F263" s="111" t="s">
        <v>81</v>
      </c>
      <c r="G263" s="111" t="s">
        <v>54</v>
      </c>
      <c r="H263" s="111" t="s">
        <v>257</v>
      </c>
      <c r="I263" s="112" t="s">
        <v>631</v>
      </c>
    </row>
    <row r="264" spans="1:9" ht="15.6" x14ac:dyDescent="0.3">
      <c r="A264" s="111" t="s">
        <v>685</v>
      </c>
      <c r="B264" s="111" t="s">
        <v>45</v>
      </c>
      <c r="C264" s="111" t="s">
        <v>58</v>
      </c>
      <c r="D264" s="111" t="s">
        <v>1</v>
      </c>
      <c r="E264" s="111" t="s">
        <v>579</v>
      </c>
      <c r="F264" s="111" t="s">
        <v>47</v>
      </c>
      <c r="G264" s="111" t="s">
        <v>185</v>
      </c>
      <c r="H264" s="111" t="s">
        <v>48</v>
      </c>
      <c r="I264" s="112" t="s">
        <v>590</v>
      </c>
    </row>
    <row r="265" spans="1:9" ht="15.6" x14ac:dyDescent="0.3">
      <c r="A265" s="111" t="s">
        <v>685</v>
      </c>
      <c r="B265" s="111" t="s">
        <v>45</v>
      </c>
      <c r="C265" s="111" t="s">
        <v>62</v>
      </c>
      <c r="D265" s="111" t="s">
        <v>1</v>
      </c>
      <c r="E265" s="111" t="s">
        <v>469</v>
      </c>
      <c r="F265" s="111" t="s">
        <v>47</v>
      </c>
      <c r="G265" s="111" t="s">
        <v>42</v>
      </c>
      <c r="H265" s="111" t="s">
        <v>48</v>
      </c>
      <c r="I265" s="112" t="s">
        <v>590</v>
      </c>
    </row>
    <row r="266" spans="1:9" ht="15.6" x14ac:dyDescent="0.3">
      <c r="A266" s="111" t="s">
        <v>685</v>
      </c>
      <c r="B266" s="111" t="s">
        <v>45</v>
      </c>
      <c r="C266" s="111" t="s">
        <v>60</v>
      </c>
      <c r="D266" s="111" t="s">
        <v>1</v>
      </c>
      <c r="E266" s="111" t="s">
        <v>581</v>
      </c>
      <c r="F266" s="111" t="s">
        <v>47</v>
      </c>
      <c r="G266" s="111" t="s">
        <v>29</v>
      </c>
      <c r="H266" s="111" t="s">
        <v>48</v>
      </c>
      <c r="I266" s="112" t="s">
        <v>590</v>
      </c>
    </row>
    <row r="267" spans="1:9" ht="15.6" x14ac:dyDescent="0.3">
      <c r="A267" s="111" t="s">
        <v>685</v>
      </c>
      <c r="B267" s="111" t="s">
        <v>74</v>
      </c>
      <c r="C267" s="111" t="s">
        <v>78</v>
      </c>
      <c r="D267" s="111" t="s">
        <v>1</v>
      </c>
      <c r="E267" s="111" t="s">
        <v>576</v>
      </c>
      <c r="F267" s="111" t="s">
        <v>72</v>
      </c>
      <c r="G267" s="111" t="s">
        <v>76</v>
      </c>
      <c r="H267" s="111" t="s">
        <v>77</v>
      </c>
      <c r="I267" s="112" t="s">
        <v>590</v>
      </c>
    </row>
    <row r="268" spans="1:9" ht="15.6" x14ac:dyDescent="0.3">
      <c r="A268" s="111" t="s">
        <v>685</v>
      </c>
      <c r="B268" s="111" t="s">
        <v>45</v>
      </c>
      <c r="C268" s="111" t="s">
        <v>53</v>
      </c>
      <c r="D268" s="111" t="s">
        <v>1</v>
      </c>
      <c r="E268" s="111" t="s">
        <v>577</v>
      </c>
      <c r="F268" s="111" t="s">
        <v>47</v>
      </c>
      <c r="G268" s="111" t="s">
        <v>29</v>
      </c>
      <c r="H268" s="111" t="s">
        <v>55</v>
      </c>
      <c r="I268" s="112" t="s">
        <v>593</v>
      </c>
    </row>
    <row r="269" spans="1:9" ht="15.6" x14ac:dyDescent="0.3">
      <c r="A269" s="111" t="s">
        <v>685</v>
      </c>
      <c r="B269" s="111" t="s">
        <v>45</v>
      </c>
      <c r="C269" s="111" t="s">
        <v>57</v>
      </c>
      <c r="D269" s="111" t="s">
        <v>1</v>
      </c>
      <c r="E269" s="111" t="s">
        <v>578</v>
      </c>
      <c r="F269" s="111" t="s">
        <v>49</v>
      </c>
      <c r="G269" s="111" t="s">
        <v>29</v>
      </c>
      <c r="H269" s="111" t="s">
        <v>196</v>
      </c>
      <c r="I269" s="113" t="s">
        <v>623</v>
      </c>
    </row>
    <row r="270" spans="1:9" ht="15.6" x14ac:dyDescent="0.3">
      <c r="A270" s="111" t="s">
        <v>685</v>
      </c>
      <c r="B270" s="111" t="s">
        <v>45</v>
      </c>
      <c r="C270" s="111" t="s">
        <v>46</v>
      </c>
      <c r="D270" s="111" t="s">
        <v>1</v>
      </c>
      <c r="E270" s="111" t="s">
        <v>571</v>
      </c>
      <c r="F270" s="111" t="s">
        <v>49</v>
      </c>
      <c r="G270" s="111" t="s">
        <v>29</v>
      </c>
      <c r="H270" s="111" t="s">
        <v>196</v>
      </c>
      <c r="I270" s="113" t="s">
        <v>623</v>
      </c>
    </row>
    <row r="271" spans="1:9" ht="15.6" x14ac:dyDescent="0.3">
      <c r="A271" s="111" t="s">
        <v>685</v>
      </c>
      <c r="B271" s="111" t="s">
        <v>45</v>
      </c>
      <c r="C271" s="111" t="s">
        <v>58</v>
      </c>
      <c r="D271" s="111" t="s">
        <v>1</v>
      </c>
      <c r="E271" s="111" t="s">
        <v>579</v>
      </c>
      <c r="F271" s="111" t="s">
        <v>49</v>
      </c>
      <c r="G271" s="111" t="s">
        <v>185</v>
      </c>
      <c r="H271" s="111" t="s">
        <v>50</v>
      </c>
      <c r="I271" s="113" t="s">
        <v>595</v>
      </c>
    </row>
    <row r="272" spans="1:9" ht="15.6" x14ac:dyDescent="0.3">
      <c r="A272" s="111" t="s">
        <v>685</v>
      </c>
      <c r="B272" s="111" t="s">
        <v>45</v>
      </c>
      <c r="C272" s="111" t="s">
        <v>62</v>
      </c>
      <c r="D272" s="111" t="s">
        <v>1</v>
      </c>
      <c r="E272" s="111" t="s">
        <v>469</v>
      </c>
      <c r="F272" s="111" t="s">
        <v>49</v>
      </c>
      <c r="G272" s="111" t="s">
        <v>42</v>
      </c>
      <c r="H272" s="111" t="s">
        <v>50</v>
      </c>
      <c r="I272" s="113" t="s">
        <v>595</v>
      </c>
    </row>
    <row r="273" spans="1:9" ht="15.6" x14ac:dyDescent="0.3">
      <c r="A273" s="111" t="s">
        <v>685</v>
      </c>
      <c r="B273" s="111" t="s">
        <v>45</v>
      </c>
      <c r="C273" s="111" t="s">
        <v>60</v>
      </c>
      <c r="D273" s="111" t="s">
        <v>1</v>
      </c>
      <c r="E273" s="111" t="s">
        <v>581</v>
      </c>
      <c r="F273" s="111" t="s">
        <v>49</v>
      </c>
      <c r="G273" s="111" t="s">
        <v>29</v>
      </c>
      <c r="H273" s="111" t="s">
        <v>50</v>
      </c>
      <c r="I273" s="113" t="s">
        <v>595</v>
      </c>
    </row>
    <row r="274" spans="1:9" ht="15.6" x14ac:dyDescent="0.3">
      <c r="A274" s="111" t="s">
        <v>685</v>
      </c>
      <c r="B274" s="111" t="s">
        <v>45</v>
      </c>
      <c r="C274" s="111" t="s">
        <v>66</v>
      </c>
      <c r="D274" s="111" t="s">
        <v>1</v>
      </c>
      <c r="E274" s="111" t="s">
        <v>605</v>
      </c>
      <c r="F274" s="111" t="s">
        <v>49</v>
      </c>
      <c r="G274" s="111" t="s">
        <v>42</v>
      </c>
      <c r="H274" s="111" t="s">
        <v>50</v>
      </c>
      <c r="I274" s="112" t="s">
        <v>634</v>
      </c>
    </row>
    <row r="275" spans="1:9" ht="15.6" x14ac:dyDescent="0.3">
      <c r="A275" s="111" t="s">
        <v>685</v>
      </c>
      <c r="B275" s="111" t="s">
        <v>79</v>
      </c>
      <c r="C275" s="111" t="s">
        <v>84</v>
      </c>
      <c r="D275" s="111" t="s">
        <v>1</v>
      </c>
      <c r="E275" s="111" t="s">
        <v>584</v>
      </c>
      <c r="F275" s="111" t="s">
        <v>33</v>
      </c>
      <c r="G275" s="111" t="s">
        <v>54</v>
      </c>
      <c r="H275" s="111" t="s">
        <v>85</v>
      </c>
      <c r="I275" s="114" t="s">
        <v>663</v>
      </c>
    </row>
    <row r="276" spans="1:9" ht="15.6" x14ac:dyDescent="0.3">
      <c r="A276" s="111" t="s">
        <v>685</v>
      </c>
      <c r="B276" s="111" t="s">
        <v>79</v>
      </c>
      <c r="C276" s="111" t="s">
        <v>80</v>
      </c>
      <c r="D276" s="111" t="s">
        <v>1</v>
      </c>
      <c r="E276" s="111" t="s">
        <v>582</v>
      </c>
      <c r="F276" s="111" t="s">
        <v>33</v>
      </c>
      <c r="G276" s="111" t="s">
        <v>54</v>
      </c>
      <c r="H276" s="111" t="s">
        <v>85</v>
      </c>
      <c r="I276" s="114" t="s">
        <v>672</v>
      </c>
    </row>
    <row r="277" spans="1:9" ht="15.6" x14ac:dyDescent="0.3">
      <c r="A277" s="111" t="s">
        <v>685</v>
      </c>
      <c r="B277" s="111" t="s">
        <v>26</v>
      </c>
      <c r="C277" s="111" t="s">
        <v>39</v>
      </c>
      <c r="D277" s="111" t="s">
        <v>1</v>
      </c>
      <c r="E277" s="111" t="s">
        <v>573</v>
      </c>
      <c r="F277" s="111" t="s">
        <v>31</v>
      </c>
      <c r="G277" s="111" t="s">
        <v>40</v>
      </c>
      <c r="H277" s="111" t="s">
        <v>181</v>
      </c>
      <c r="I277" s="112" t="s">
        <v>593</v>
      </c>
    </row>
    <row r="278" spans="1:9" ht="15.6" x14ac:dyDescent="0.3">
      <c r="A278" s="111" t="s">
        <v>685</v>
      </c>
      <c r="B278" s="111" t="s">
        <v>45</v>
      </c>
      <c r="C278" s="111" t="s">
        <v>53</v>
      </c>
      <c r="D278" s="111" t="s">
        <v>1</v>
      </c>
      <c r="E278" s="111" t="s">
        <v>577</v>
      </c>
      <c r="F278" s="111" t="s">
        <v>49</v>
      </c>
      <c r="G278" s="111" t="s">
        <v>29</v>
      </c>
      <c r="H278" s="111" t="s">
        <v>32</v>
      </c>
      <c r="I278" s="112" t="s">
        <v>597</v>
      </c>
    </row>
    <row r="279" spans="1:9" ht="15.6" x14ac:dyDescent="0.3">
      <c r="A279" s="111" t="s">
        <v>685</v>
      </c>
      <c r="B279" s="111" t="s">
        <v>45</v>
      </c>
      <c r="C279" s="111" t="s">
        <v>57</v>
      </c>
      <c r="D279" s="111" t="s">
        <v>1</v>
      </c>
      <c r="E279" s="111" t="s">
        <v>578</v>
      </c>
      <c r="F279" s="111" t="s">
        <v>51</v>
      </c>
      <c r="G279" s="111" t="s">
        <v>29</v>
      </c>
      <c r="H279" s="111" t="s">
        <v>197</v>
      </c>
      <c r="I279" s="114" t="s">
        <v>686</v>
      </c>
    </row>
    <row r="280" spans="1:9" ht="15.6" x14ac:dyDescent="0.3">
      <c r="A280" s="111" t="s">
        <v>685</v>
      </c>
      <c r="B280" s="111" t="s">
        <v>45</v>
      </c>
      <c r="C280" s="111" t="s">
        <v>46</v>
      </c>
      <c r="D280" s="111" t="s">
        <v>1</v>
      </c>
      <c r="E280" s="111" t="s">
        <v>571</v>
      </c>
      <c r="F280" s="111" t="s">
        <v>51</v>
      </c>
      <c r="G280" s="111" t="s">
        <v>29</v>
      </c>
      <c r="H280" s="111" t="s">
        <v>197</v>
      </c>
      <c r="I280" s="114" t="s">
        <v>686</v>
      </c>
    </row>
    <row r="281" spans="1:9" ht="15.6" x14ac:dyDescent="0.3">
      <c r="A281" s="111" t="s">
        <v>685</v>
      </c>
      <c r="B281" s="111" t="s">
        <v>45</v>
      </c>
      <c r="C281" s="111" t="s">
        <v>59</v>
      </c>
      <c r="D281" s="111" t="s">
        <v>1</v>
      </c>
      <c r="E281" s="111" t="s">
        <v>580</v>
      </c>
      <c r="F281" s="111" t="s">
        <v>49</v>
      </c>
      <c r="G281" s="111" t="s">
        <v>185</v>
      </c>
      <c r="H281" s="111" t="s">
        <v>64</v>
      </c>
      <c r="I281" s="112" t="s">
        <v>599</v>
      </c>
    </row>
    <row r="282" spans="1:9" ht="15.6" x14ac:dyDescent="0.3">
      <c r="A282" s="111" t="s">
        <v>685</v>
      </c>
      <c r="B282" s="111" t="s">
        <v>45</v>
      </c>
      <c r="C282" s="111" t="s">
        <v>58</v>
      </c>
      <c r="D282" s="111" t="s">
        <v>1</v>
      </c>
      <c r="E282" s="111" t="s">
        <v>579</v>
      </c>
      <c r="F282" s="111" t="s">
        <v>51</v>
      </c>
      <c r="G282" s="111" t="s">
        <v>185</v>
      </c>
      <c r="H282" s="111" t="s">
        <v>52</v>
      </c>
      <c r="I282" s="114" t="s">
        <v>600</v>
      </c>
    </row>
    <row r="283" spans="1:9" ht="15.6" x14ac:dyDescent="0.3">
      <c r="A283" s="111" t="s">
        <v>685</v>
      </c>
      <c r="B283" s="111" t="s">
        <v>45</v>
      </c>
      <c r="C283" s="111" t="s">
        <v>62</v>
      </c>
      <c r="D283" s="111" t="s">
        <v>1</v>
      </c>
      <c r="E283" s="111" t="s">
        <v>469</v>
      </c>
      <c r="F283" s="111" t="s">
        <v>51</v>
      </c>
      <c r="G283" s="111" t="s">
        <v>42</v>
      </c>
      <c r="H283" s="111" t="s">
        <v>52</v>
      </c>
      <c r="I283" s="114" t="s">
        <v>600</v>
      </c>
    </row>
    <row r="284" spans="1:9" ht="15.6" x14ac:dyDescent="0.3">
      <c r="A284" s="111" t="s">
        <v>685</v>
      </c>
      <c r="B284" s="111" t="s">
        <v>45</v>
      </c>
      <c r="C284" s="111" t="s">
        <v>60</v>
      </c>
      <c r="D284" s="111" t="s">
        <v>1</v>
      </c>
      <c r="E284" s="111" t="s">
        <v>581</v>
      </c>
      <c r="F284" s="111" t="s">
        <v>51</v>
      </c>
      <c r="G284" s="111" t="s">
        <v>29</v>
      </c>
      <c r="H284" s="111" t="s">
        <v>52</v>
      </c>
      <c r="I284" s="114" t="s">
        <v>600</v>
      </c>
    </row>
    <row r="285" spans="1:9" ht="15.6" x14ac:dyDescent="0.3">
      <c r="A285" s="111" t="s">
        <v>685</v>
      </c>
      <c r="B285" s="111" t="s">
        <v>45</v>
      </c>
      <c r="C285" s="111" t="s">
        <v>66</v>
      </c>
      <c r="D285" s="111" t="s">
        <v>1</v>
      </c>
      <c r="E285" s="111" t="s">
        <v>605</v>
      </c>
      <c r="F285" s="111" t="s">
        <v>51</v>
      </c>
      <c r="G285" s="111" t="s">
        <v>42</v>
      </c>
      <c r="H285" s="111" t="s">
        <v>52</v>
      </c>
      <c r="I285" s="114" t="s">
        <v>636</v>
      </c>
    </row>
    <row r="286" spans="1:9" ht="15.6" x14ac:dyDescent="0.3">
      <c r="A286" s="111" t="s">
        <v>685</v>
      </c>
      <c r="B286" s="111" t="s">
        <v>45</v>
      </c>
      <c r="C286" s="111" t="s">
        <v>53</v>
      </c>
      <c r="D286" s="111" t="s">
        <v>1</v>
      </c>
      <c r="E286" s="111" t="s">
        <v>577</v>
      </c>
      <c r="F286" s="111" t="s">
        <v>51</v>
      </c>
      <c r="G286" s="111" t="s">
        <v>29</v>
      </c>
      <c r="H286" s="111" t="s">
        <v>56</v>
      </c>
      <c r="I286" s="114" t="s">
        <v>601</v>
      </c>
    </row>
    <row r="287" spans="1:9" ht="15.6" x14ac:dyDescent="0.3">
      <c r="A287" s="111" t="s">
        <v>685</v>
      </c>
      <c r="B287" s="111" t="s">
        <v>45</v>
      </c>
      <c r="C287" s="111" t="s">
        <v>59</v>
      </c>
      <c r="D287" s="111" t="s">
        <v>1</v>
      </c>
      <c r="E287" s="111" t="s">
        <v>580</v>
      </c>
      <c r="F287" s="111" t="s">
        <v>51</v>
      </c>
      <c r="G287" s="111" t="s">
        <v>185</v>
      </c>
      <c r="H287" s="111" t="s">
        <v>65</v>
      </c>
      <c r="I287" s="114" t="s">
        <v>604</v>
      </c>
    </row>
    <row r="288" spans="1:9" ht="15.6" x14ac:dyDescent="0.3">
      <c r="A288" s="111" t="s">
        <v>685</v>
      </c>
      <c r="B288" s="111" t="s">
        <v>130</v>
      </c>
      <c r="C288" s="111" t="s">
        <v>148</v>
      </c>
      <c r="D288" s="111" t="s">
        <v>1</v>
      </c>
      <c r="E288" s="111" t="s">
        <v>620</v>
      </c>
      <c r="F288" s="111" t="s">
        <v>134</v>
      </c>
      <c r="G288" s="111" t="s">
        <v>76</v>
      </c>
      <c r="H288" s="111" t="s">
        <v>177</v>
      </c>
      <c r="I288" s="114" t="s">
        <v>687</v>
      </c>
    </row>
    <row r="289" spans="1:9" ht="15.6" x14ac:dyDescent="0.3">
      <c r="A289" s="111" t="s">
        <v>685</v>
      </c>
      <c r="B289" s="111" t="s">
        <v>130</v>
      </c>
      <c r="C289" s="111" t="s">
        <v>143</v>
      </c>
      <c r="D289" s="111" t="s">
        <v>1</v>
      </c>
      <c r="E289" s="111" t="s">
        <v>420</v>
      </c>
      <c r="F289" s="111" t="s">
        <v>134</v>
      </c>
      <c r="G289" s="111" t="s">
        <v>76</v>
      </c>
      <c r="H289" s="111" t="s">
        <v>135</v>
      </c>
      <c r="I289" s="114" t="s">
        <v>630</v>
      </c>
    </row>
    <row r="290" spans="1:9" ht="15.6" x14ac:dyDescent="0.3">
      <c r="A290" s="111" t="s">
        <v>685</v>
      </c>
      <c r="B290" s="111" t="s">
        <v>130</v>
      </c>
      <c r="C290" s="111" t="s">
        <v>146</v>
      </c>
      <c r="D290" s="111" t="s">
        <v>1</v>
      </c>
      <c r="E290" s="111" t="s">
        <v>618</v>
      </c>
      <c r="F290" s="111" t="s">
        <v>134</v>
      </c>
      <c r="G290" s="111" t="s">
        <v>76</v>
      </c>
      <c r="H290" s="111" t="s">
        <v>135</v>
      </c>
      <c r="I290" s="114" t="s">
        <v>630</v>
      </c>
    </row>
    <row r="291" spans="1:9" ht="15.6" x14ac:dyDescent="0.3">
      <c r="A291" s="111" t="s">
        <v>685</v>
      </c>
      <c r="B291" s="111" t="s">
        <v>130</v>
      </c>
      <c r="C291" s="111" t="s">
        <v>147</v>
      </c>
      <c r="D291" s="111" t="s">
        <v>1</v>
      </c>
      <c r="E291" s="111" t="s">
        <v>619</v>
      </c>
      <c r="F291" s="111" t="s">
        <v>134</v>
      </c>
      <c r="G291" s="111" t="s">
        <v>76</v>
      </c>
      <c r="H291" s="111" t="s">
        <v>135</v>
      </c>
      <c r="I291" s="114" t="s">
        <v>608</v>
      </c>
    </row>
    <row r="292" spans="1:9" ht="15.6" x14ac:dyDescent="0.3">
      <c r="A292" s="111" t="s">
        <v>685</v>
      </c>
      <c r="B292" s="111" t="s">
        <v>130</v>
      </c>
      <c r="C292" s="111" t="s">
        <v>136</v>
      </c>
      <c r="D292" s="111" t="s">
        <v>1</v>
      </c>
      <c r="E292" s="111" t="s">
        <v>609</v>
      </c>
      <c r="F292" s="111" t="s">
        <v>134</v>
      </c>
      <c r="G292" s="111" t="s">
        <v>76</v>
      </c>
      <c r="H292" s="111" t="s">
        <v>135</v>
      </c>
      <c r="I292" s="114" t="s">
        <v>610</v>
      </c>
    </row>
    <row r="293" spans="1:9" ht="15.6" x14ac:dyDescent="0.3">
      <c r="A293" s="111" t="s">
        <v>685</v>
      </c>
      <c r="B293" s="111" t="s">
        <v>130</v>
      </c>
      <c r="C293" s="111" t="s">
        <v>137</v>
      </c>
      <c r="D293" s="111" t="s">
        <v>1</v>
      </c>
      <c r="E293" s="111" t="s">
        <v>611</v>
      </c>
      <c r="F293" s="111" t="s">
        <v>134</v>
      </c>
      <c r="G293" s="111" t="s">
        <v>76</v>
      </c>
      <c r="H293" s="111" t="s">
        <v>135</v>
      </c>
      <c r="I293" s="114" t="s">
        <v>608</v>
      </c>
    </row>
    <row r="294" spans="1:9" ht="15.6" x14ac:dyDescent="0.3">
      <c r="A294" s="111" t="s">
        <v>685</v>
      </c>
      <c r="B294" s="111" t="s">
        <v>130</v>
      </c>
      <c r="C294" s="111" t="s">
        <v>138</v>
      </c>
      <c r="D294" s="111" t="s">
        <v>1</v>
      </c>
      <c r="E294" s="111" t="s">
        <v>613</v>
      </c>
      <c r="F294" s="111" t="s">
        <v>134</v>
      </c>
      <c r="G294" s="111" t="s">
        <v>76</v>
      </c>
      <c r="H294" s="111" t="s">
        <v>135</v>
      </c>
      <c r="I294" s="114" t="s">
        <v>610</v>
      </c>
    </row>
    <row r="295" spans="1:9" ht="15.6" x14ac:dyDescent="0.3">
      <c r="A295" s="111" t="s">
        <v>685</v>
      </c>
      <c r="B295" s="111" t="s">
        <v>130</v>
      </c>
      <c r="C295" s="111" t="s">
        <v>142</v>
      </c>
      <c r="D295" s="111" t="s">
        <v>1</v>
      </c>
      <c r="E295" s="111" t="s">
        <v>572</v>
      </c>
      <c r="F295" s="111" t="s">
        <v>134</v>
      </c>
      <c r="G295" s="111" t="s">
        <v>110</v>
      </c>
      <c r="H295" s="111" t="s">
        <v>250</v>
      </c>
      <c r="I295" s="114" t="s">
        <v>688</v>
      </c>
    </row>
    <row r="296" spans="1:9" ht="15.6" x14ac:dyDescent="0.3">
      <c r="A296" s="111" t="s">
        <v>685</v>
      </c>
      <c r="B296" s="111" t="s">
        <v>26</v>
      </c>
      <c r="C296" s="111" t="s">
        <v>35</v>
      </c>
      <c r="D296" s="111" t="s">
        <v>1</v>
      </c>
      <c r="E296" s="111" t="s">
        <v>572</v>
      </c>
      <c r="F296" s="111" t="s">
        <v>33</v>
      </c>
      <c r="G296" s="111" t="s">
        <v>54</v>
      </c>
      <c r="H296" s="111" t="s">
        <v>34</v>
      </c>
      <c r="I296" s="112" t="s">
        <v>631</v>
      </c>
    </row>
    <row r="297" spans="1:9" ht="15.6" x14ac:dyDescent="0.3">
      <c r="A297" s="111" t="s">
        <v>685</v>
      </c>
      <c r="B297" s="111" t="s">
        <v>26</v>
      </c>
      <c r="C297" s="111" t="s">
        <v>39</v>
      </c>
      <c r="D297" s="111" t="s">
        <v>1</v>
      </c>
      <c r="E297" s="111" t="s">
        <v>573</v>
      </c>
      <c r="F297" s="111" t="s">
        <v>33</v>
      </c>
      <c r="G297" s="111" t="s">
        <v>40</v>
      </c>
      <c r="H297" s="111" t="s">
        <v>34</v>
      </c>
      <c r="I297" s="114" t="s">
        <v>614</v>
      </c>
    </row>
    <row r="298" spans="1:9" ht="15.6" x14ac:dyDescent="0.3">
      <c r="A298" s="111" t="s">
        <v>685</v>
      </c>
      <c r="B298" s="111" t="s">
        <v>26</v>
      </c>
      <c r="C298" s="111" t="s">
        <v>27</v>
      </c>
      <c r="D298" s="111" t="s">
        <v>1</v>
      </c>
      <c r="E298" s="111" t="s">
        <v>570</v>
      </c>
      <c r="F298" s="111" t="s">
        <v>33</v>
      </c>
      <c r="G298" s="111" t="s">
        <v>29</v>
      </c>
      <c r="H298" s="111" t="s">
        <v>34</v>
      </c>
      <c r="I298" s="114" t="s">
        <v>614</v>
      </c>
    </row>
    <row r="299" spans="1:9" ht="15.6" x14ac:dyDescent="0.3">
      <c r="A299" s="111" t="s">
        <v>685</v>
      </c>
      <c r="B299" s="111" t="s">
        <v>26</v>
      </c>
      <c r="C299" s="111" t="s">
        <v>41</v>
      </c>
      <c r="D299" s="111" t="s">
        <v>1</v>
      </c>
      <c r="E299" s="111" t="s">
        <v>583</v>
      </c>
      <c r="F299" s="111" t="s">
        <v>33</v>
      </c>
      <c r="G299" s="111" t="s">
        <v>256</v>
      </c>
      <c r="H299" s="111" t="s">
        <v>34</v>
      </c>
      <c r="I299" s="113" t="s">
        <v>595</v>
      </c>
    </row>
    <row r="300" spans="1:9" ht="15.6" x14ac:dyDescent="0.3">
      <c r="A300" s="111" t="s">
        <v>685</v>
      </c>
      <c r="B300" s="111" t="s">
        <v>130</v>
      </c>
      <c r="C300" s="111" t="s">
        <v>141</v>
      </c>
      <c r="D300" s="111" t="s">
        <v>1</v>
      </c>
      <c r="E300" s="111" t="s">
        <v>573</v>
      </c>
      <c r="F300" s="111" t="s">
        <v>134</v>
      </c>
      <c r="G300" s="111" t="s">
        <v>110</v>
      </c>
      <c r="H300" s="111" t="s">
        <v>218</v>
      </c>
      <c r="I300" s="114" t="s">
        <v>689</v>
      </c>
    </row>
    <row r="301" spans="1:9" ht="15.6" x14ac:dyDescent="0.3">
      <c r="A301" s="111" t="s">
        <v>685</v>
      </c>
      <c r="B301" s="111" t="s">
        <v>130</v>
      </c>
      <c r="C301" s="111" t="s">
        <v>149</v>
      </c>
      <c r="D301" s="111" t="s">
        <v>1</v>
      </c>
      <c r="E301" s="111" t="s">
        <v>583</v>
      </c>
      <c r="F301" s="111" t="s">
        <v>134</v>
      </c>
      <c r="G301" s="111" t="s">
        <v>110</v>
      </c>
      <c r="H301" s="111" t="s">
        <v>218</v>
      </c>
      <c r="I301" s="114" t="s">
        <v>688</v>
      </c>
    </row>
    <row r="302" spans="1:9" ht="15.6" x14ac:dyDescent="0.3">
      <c r="A302" s="111" t="s">
        <v>685</v>
      </c>
      <c r="B302" s="111" t="s">
        <v>130</v>
      </c>
      <c r="C302" s="111" t="s">
        <v>131</v>
      </c>
      <c r="D302" s="111" t="s">
        <v>1</v>
      </c>
      <c r="E302" s="111" t="s">
        <v>607</v>
      </c>
      <c r="F302" s="111" t="s">
        <v>134</v>
      </c>
      <c r="G302" s="111" t="s">
        <v>76</v>
      </c>
      <c r="H302" s="111" t="s">
        <v>145</v>
      </c>
      <c r="I302" s="114" t="s">
        <v>617</v>
      </c>
    </row>
    <row r="303" spans="1:9" ht="15.6" x14ac:dyDescent="0.3">
      <c r="A303" s="111" t="s">
        <v>685</v>
      </c>
      <c r="B303" s="111" t="s">
        <v>130</v>
      </c>
      <c r="C303" s="111" t="s">
        <v>139</v>
      </c>
      <c r="D303" s="111" t="s">
        <v>1</v>
      </c>
      <c r="E303" s="111" t="s">
        <v>570</v>
      </c>
      <c r="F303" s="111" t="s">
        <v>134</v>
      </c>
      <c r="G303" s="111" t="s">
        <v>110</v>
      </c>
      <c r="H303" s="111" t="s">
        <v>179</v>
      </c>
      <c r="I303" s="113" t="s">
        <v>594</v>
      </c>
    </row>
    <row r="304" spans="1:9" ht="15.6" x14ac:dyDescent="0.3">
      <c r="A304" s="109" t="s">
        <v>690</v>
      </c>
      <c r="B304" s="109" t="s">
        <v>87</v>
      </c>
      <c r="C304" s="109" t="s">
        <v>102</v>
      </c>
      <c r="D304" s="109" t="s">
        <v>1</v>
      </c>
      <c r="E304" s="109" t="s">
        <v>452</v>
      </c>
      <c r="F304" s="109" t="s">
        <v>89</v>
      </c>
      <c r="G304" s="109" t="s">
        <v>96</v>
      </c>
      <c r="H304" s="109" t="s">
        <v>207</v>
      </c>
      <c r="I304" s="110" t="s">
        <v>589</v>
      </c>
    </row>
    <row r="305" spans="1:9" ht="15.6" x14ac:dyDescent="0.3">
      <c r="A305" s="109" t="s">
        <v>690</v>
      </c>
      <c r="B305" s="109" t="s">
        <v>87</v>
      </c>
      <c r="C305" s="109" t="s">
        <v>109</v>
      </c>
      <c r="D305" s="109" t="s">
        <v>1</v>
      </c>
      <c r="E305" s="109" t="s">
        <v>465</v>
      </c>
      <c r="F305" s="109" t="s">
        <v>89</v>
      </c>
      <c r="G305" s="109" t="s">
        <v>76</v>
      </c>
      <c r="H305" s="109" t="s">
        <v>207</v>
      </c>
      <c r="I305" s="110" t="s">
        <v>589</v>
      </c>
    </row>
    <row r="306" spans="1:9" ht="15.6" x14ac:dyDescent="0.3">
      <c r="A306" s="109" t="s">
        <v>690</v>
      </c>
      <c r="B306" s="109" t="s">
        <v>87</v>
      </c>
      <c r="C306" s="109" t="s">
        <v>165</v>
      </c>
      <c r="D306" s="109" t="s">
        <v>1</v>
      </c>
      <c r="E306" s="109" t="s">
        <v>450</v>
      </c>
      <c r="F306" s="109" t="s">
        <v>89</v>
      </c>
      <c r="G306" s="109" t="s">
        <v>61</v>
      </c>
      <c r="H306" s="109" t="s">
        <v>207</v>
      </c>
      <c r="I306" s="110" t="s">
        <v>589</v>
      </c>
    </row>
    <row r="307" spans="1:9" ht="15.6" x14ac:dyDescent="0.3">
      <c r="A307" s="109" t="s">
        <v>690</v>
      </c>
      <c r="B307" s="109" t="s">
        <v>87</v>
      </c>
      <c r="C307" s="109" t="s">
        <v>95</v>
      </c>
      <c r="D307" s="109" t="s">
        <v>1</v>
      </c>
      <c r="E307" s="109" t="s">
        <v>432</v>
      </c>
      <c r="F307" s="109" t="s">
        <v>89</v>
      </c>
      <c r="G307" s="109" t="s">
        <v>96</v>
      </c>
      <c r="H307" s="109" t="s">
        <v>159</v>
      </c>
      <c r="I307" s="110" t="s">
        <v>589</v>
      </c>
    </row>
    <row r="308" spans="1:9" ht="15.6" x14ac:dyDescent="0.3">
      <c r="A308" s="109" t="s">
        <v>690</v>
      </c>
      <c r="B308" s="109" t="s">
        <v>87</v>
      </c>
      <c r="C308" s="109" t="s">
        <v>88</v>
      </c>
      <c r="D308" s="109" t="s">
        <v>1</v>
      </c>
      <c r="E308" s="109" t="s">
        <v>459</v>
      </c>
      <c r="F308" s="109" t="s">
        <v>89</v>
      </c>
      <c r="G308" s="109" t="s">
        <v>61</v>
      </c>
      <c r="H308" s="109" t="s">
        <v>159</v>
      </c>
      <c r="I308" s="110" t="s">
        <v>589</v>
      </c>
    </row>
    <row r="309" spans="1:9" ht="15.6" x14ac:dyDescent="0.3">
      <c r="A309" s="109" t="s">
        <v>690</v>
      </c>
      <c r="B309" s="109" t="s">
        <v>87</v>
      </c>
      <c r="C309" s="109" t="s">
        <v>169</v>
      </c>
      <c r="D309" s="109" t="s">
        <v>1</v>
      </c>
      <c r="E309" s="109" t="s">
        <v>462</v>
      </c>
      <c r="F309" s="109" t="s">
        <v>89</v>
      </c>
      <c r="G309" s="109" t="s">
        <v>110</v>
      </c>
      <c r="H309" s="109" t="s">
        <v>90</v>
      </c>
      <c r="I309" s="110" t="s">
        <v>589</v>
      </c>
    </row>
    <row r="310" spans="1:9" ht="15.6" x14ac:dyDescent="0.3">
      <c r="A310" s="111" t="s">
        <v>690</v>
      </c>
      <c r="B310" s="111" t="s">
        <v>70</v>
      </c>
      <c r="C310" s="111" t="s">
        <v>155</v>
      </c>
      <c r="D310" s="111" t="s">
        <v>1</v>
      </c>
      <c r="E310" s="111" t="s">
        <v>625</v>
      </c>
      <c r="F310" s="111" t="s">
        <v>72</v>
      </c>
      <c r="G310" s="111" t="s">
        <v>76</v>
      </c>
      <c r="H310" s="111" t="s">
        <v>236</v>
      </c>
      <c r="I310" s="112" t="s">
        <v>597</v>
      </c>
    </row>
    <row r="311" spans="1:9" ht="15.6" x14ac:dyDescent="0.3">
      <c r="A311" s="111" t="s">
        <v>690</v>
      </c>
      <c r="B311" s="111" t="s">
        <v>79</v>
      </c>
      <c r="C311" s="111" t="s">
        <v>80</v>
      </c>
      <c r="D311" s="111" t="s">
        <v>1</v>
      </c>
      <c r="E311" s="111" t="s">
        <v>626</v>
      </c>
      <c r="F311" s="111" t="s">
        <v>156</v>
      </c>
      <c r="G311" s="111" t="s">
        <v>54</v>
      </c>
      <c r="H311" s="111" t="s">
        <v>257</v>
      </c>
      <c r="I311" s="112" t="s">
        <v>593</v>
      </c>
    </row>
    <row r="312" spans="1:9" ht="15.6" x14ac:dyDescent="0.3">
      <c r="A312" s="111" t="s">
        <v>690</v>
      </c>
      <c r="B312" s="111" t="s">
        <v>70</v>
      </c>
      <c r="C312" s="111" t="s">
        <v>71</v>
      </c>
      <c r="D312" s="111" t="s">
        <v>1</v>
      </c>
      <c r="E312" s="111" t="s">
        <v>491</v>
      </c>
      <c r="F312" s="111" t="s">
        <v>72</v>
      </c>
      <c r="G312" s="111" t="s">
        <v>76</v>
      </c>
      <c r="H312" s="111" t="s">
        <v>73</v>
      </c>
      <c r="I312" s="112" t="s">
        <v>624</v>
      </c>
    </row>
    <row r="313" spans="1:9" ht="15.6" x14ac:dyDescent="0.3">
      <c r="A313" s="111" t="s">
        <v>690</v>
      </c>
      <c r="B313" s="111" t="s">
        <v>74</v>
      </c>
      <c r="C313" s="111" t="s">
        <v>78</v>
      </c>
      <c r="D313" s="111" t="s">
        <v>1</v>
      </c>
      <c r="E313" s="111" t="s">
        <v>576</v>
      </c>
      <c r="F313" s="111" t="s">
        <v>72</v>
      </c>
      <c r="G313" s="111" t="s">
        <v>76</v>
      </c>
      <c r="H313" s="111" t="s">
        <v>77</v>
      </c>
      <c r="I313" s="112" t="s">
        <v>624</v>
      </c>
    </row>
    <row r="314" spans="1:9" ht="15.6" x14ac:dyDescent="0.3">
      <c r="A314" s="111" t="s">
        <v>690</v>
      </c>
      <c r="B314" s="111" t="s">
        <v>115</v>
      </c>
      <c r="C314" s="111" t="s">
        <v>128</v>
      </c>
      <c r="D314" s="111" t="s">
        <v>1</v>
      </c>
      <c r="E314" s="111" t="s">
        <v>691</v>
      </c>
      <c r="F314" s="111" t="s">
        <v>124</v>
      </c>
      <c r="G314" s="111" t="s">
        <v>110</v>
      </c>
      <c r="H314" s="111" t="s">
        <v>253</v>
      </c>
      <c r="I314" s="113" t="s">
        <v>596</v>
      </c>
    </row>
    <row r="315" spans="1:9" ht="15.6" x14ac:dyDescent="0.3">
      <c r="A315" s="111" t="s">
        <v>690</v>
      </c>
      <c r="B315" s="111" t="s">
        <v>130</v>
      </c>
      <c r="C315" s="111" t="s">
        <v>136</v>
      </c>
      <c r="D315" s="111" t="s">
        <v>1</v>
      </c>
      <c r="E315" s="111" t="s">
        <v>609</v>
      </c>
      <c r="F315" s="111" t="s">
        <v>134</v>
      </c>
      <c r="G315" s="111" t="s">
        <v>76</v>
      </c>
      <c r="H315" s="111" t="s">
        <v>177</v>
      </c>
      <c r="I315" s="114" t="s">
        <v>656</v>
      </c>
    </row>
    <row r="316" spans="1:9" ht="15.6" x14ac:dyDescent="0.3">
      <c r="A316" s="111" t="s">
        <v>690</v>
      </c>
      <c r="B316" s="111" t="s">
        <v>130</v>
      </c>
      <c r="C316" s="111" t="s">
        <v>138</v>
      </c>
      <c r="D316" s="111" t="s">
        <v>1</v>
      </c>
      <c r="E316" s="111" t="s">
        <v>613</v>
      </c>
      <c r="F316" s="111" t="s">
        <v>134</v>
      </c>
      <c r="G316" s="111" t="s">
        <v>76</v>
      </c>
      <c r="H316" s="111" t="s">
        <v>177</v>
      </c>
      <c r="I316" s="114" t="s">
        <v>656</v>
      </c>
    </row>
    <row r="317" spans="1:9" ht="15.6" x14ac:dyDescent="0.3">
      <c r="A317" s="111" t="s">
        <v>690</v>
      </c>
      <c r="B317" s="111" t="s">
        <v>130</v>
      </c>
      <c r="C317" s="111" t="s">
        <v>137</v>
      </c>
      <c r="D317" s="111" t="s">
        <v>1</v>
      </c>
      <c r="E317" s="111" t="s">
        <v>611</v>
      </c>
      <c r="F317" s="111" t="s">
        <v>134</v>
      </c>
      <c r="G317" s="111" t="s">
        <v>29</v>
      </c>
      <c r="H317" s="111" t="s">
        <v>233</v>
      </c>
      <c r="I317" s="114" t="s">
        <v>692</v>
      </c>
    </row>
    <row r="318" spans="1:9" ht="15.6" x14ac:dyDescent="0.3">
      <c r="A318" s="111" t="s">
        <v>690</v>
      </c>
      <c r="B318" s="111" t="s">
        <v>130</v>
      </c>
      <c r="C318" s="111" t="s">
        <v>143</v>
      </c>
      <c r="D318" s="111" t="s">
        <v>1</v>
      </c>
      <c r="E318" s="111" t="s">
        <v>420</v>
      </c>
      <c r="F318" s="111" t="s">
        <v>134</v>
      </c>
      <c r="G318" s="111" t="s">
        <v>76</v>
      </c>
      <c r="H318" s="111" t="s">
        <v>135</v>
      </c>
      <c r="I318" s="114" t="s">
        <v>610</v>
      </c>
    </row>
    <row r="319" spans="1:9" ht="15.6" x14ac:dyDescent="0.3">
      <c r="A319" s="111" t="s">
        <v>690</v>
      </c>
      <c r="B319" s="111" t="s">
        <v>130</v>
      </c>
      <c r="C319" s="111" t="s">
        <v>146</v>
      </c>
      <c r="D319" s="111" t="s">
        <v>1</v>
      </c>
      <c r="E319" s="111" t="s">
        <v>618</v>
      </c>
      <c r="F319" s="111" t="s">
        <v>134</v>
      </c>
      <c r="G319" s="111" t="s">
        <v>76</v>
      </c>
      <c r="H319" s="111" t="s">
        <v>135</v>
      </c>
      <c r="I319" s="114" t="s">
        <v>668</v>
      </c>
    </row>
    <row r="320" spans="1:9" ht="15.6" x14ac:dyDescent="0.3">
      <c r="A320" s="111" t="s">
        <v>690</v>
      </c>
      <c r="B320" s="111" t="s">
        <v>130</v>
      </c>
      <c r="C320" s="111" t="s">
        <v>147</v>
      </c>
      <c r="D320" s="111" t="s">
        <v>1</v>
      </c>
      <c r="E320" s="111" t="s">
        <v>619</v>
      </c>
      <c r="F320" s="111" t="s">
        <v>134</v>
      </c>
      <c r="G320" s="111" t="s">
        <v>76</v>
      </c>
      <c r="H320" s="111" t="s">
        <v>135</v>
      </c>
      <c r="I320" s="114" t="s">
        <v>630</v>
      </c>
    </row>
    <row r="321" spans="1:9" ht="15.6" x14ac:dyDescent="0.3">
      <c r="A321" s="111" t="s">
        <v>690</v>
      </c>
      <c r="B321" s="111" t="s">
        <v>130</v>
      </c>
      <c r="C321" s="111" t="s">
        <v>148</v>
      </c>
      <c r="D321" s="111" t="s">
        <v>1</v>
      </c>
      <c r="E321" s="111" t="s">
        <v>620</v>
      </c>
      <c r="F321" s="111" t="s">
        <v>134</v>
      </c>
      <c r="G321" s="111" t="s">
        <v>76</v>
      </c>
      <c r="H321" s="111" t="s">
        <v>135</v>
      </c>
      <c r="I321" s="114" t="s">
        <v>630</v>
      </c>
    </row>
    <row r="322" spans="1:9" ht="15.6" x14ac:dyDescent="0.3">
      <c r="A322" s="111" t="s">
        <v>690</v>
      </c>
      <c r="B322" s="111" t="s">
        <v>130</v>
      </c>
      <c r="C322" s="111" t="s">
        <v>142</v>
      </c>
      <c r="D322" s="111" t="s">
        <v>1</v>
      </c>
      <c r="E322" s="111" t="s">
        <v>572</v>
      </c>
      <c r="F322" s="111" t="s">
        <v>134</v>
      </c>
      <c r="G322" s="111" t="s">
        <v>110</v>
      </c>
      <c r="H322" s="111" t="s">
        <v>218</v>
      </c>
      <c r="I322" s="113" t="s">
        <v>594</v>
      </c>
    </row>
    <row r="323" spans="1:9" ht="15.6" x14ac:dyDescent="0.3">
      <c r="A323" s="111" t="s">
        <v>690</v>
      </c>
      <c r="B323" s="111" t="s">
        <v>130</v>
      </c>
      <c r="C323" s="111" t="s">
        <v>139</v>
      </c>
      <c r="D323" s="111" t="s">
        <v>1</v>
      </c>
      <c r="E323" s="111" t="s">
        <v>570</v>
      </c>
      <c r="F323" s="111" t="s">
        <v>134</v>
      </c>
      <c r="G323" s="111" t="s">
        <v>110</v>
      </c>
      <c r="H323" s="111" t="s">
        <v>140</v>
      </c>
      <c r="I323" s="113" t="s">
        <v>594</v>
      </c>
    </row>
    <row r="324" spans="1:9" ht="15.6" x14ac:dyDescent="0.3">
      <c r="A324" s="111" t="s">
        <v>690</v>
      </c>
      <c r="B324" s="111" t="s">
        <v>130</v>
      </c>
      <c r="C324" s="111" t="s">
        <v>131</v>
      </c>
      <c r="D324" s="111" t="s">
        <v>1</v>
      </c>
      <c r="E324" s="111" t="s">
        <v>607</v>
      </c>
      <c r="F324" s="111" t="s">
        <v>134</v>
      </c>
      <c r="G324" s="111" t="s">
        <v>76</v>
      </c>
      <c r="H324" s="111" t="s">
        <v>145</v>
      </c>
      <c r="I324" s="112" t="s">
        <v>590</v>
      </c>
    </row>
    <row r="325" spans="1:9" ht="15.6" x14ac:dyDescent="0.3">
      <c r="A325" s="109" t="s">
        <v>693</v>
      </c>
      <c r="B325" s="109" t="s">
        <v>87</v>
      </c>
      <c r="C325" s="109" t="s">
        <v>95</v>
      </c>
      <c r="D325" s="109" t="s">
        <v>1</v>
      </c>
      <c r="E325" s="109" t="s">
        <v>432</v>
      </c>
      <c r="F325" s="109" t="s">
        <v>89</v>
      </c>
      <c r="G325" s="109" t="s">
        <v>96</v>
      </c>
      <c r="H325" s="109" t="s">
        <v>207</v>
      </c>
      <c r="I325" s="110" t="s">
        <v>589</v>
      </c>
    </row>
    <row r="326" spans="1:9" ht="15.6" x14ac:dyDescent="0.3">
      <c r="A326" s="109" t="s">
        <v>693</v>
      </c>
      <c r="B326" s="109" t="s">
        <v>87</v>
      </c>
      <c r="C326" s="109" t="s">
        <v>88</v>
      </c>
      <c r="D326" s="109" t="s">
        <v>1</v>
      </c>
      <c r="E326" s="109" t="s">
        <v>473</v>
      </c>
      <c r="F326" s="109" t="s">
        <v>89</v>
      </c>
      <c r="G326" s="109" t="s">
        <v>185</v>
      </c>
      <c r="H326" s="109" t="s">
        <v>207</v>
      </c>
      <c r="I326" s="110" t="s">
        <v>589</v>
      </c>
    </row>
    <row r="327" spans="1:9" ht="15.6" x14ac:dyDescent="0.3">
      <c r="A327" s="109" t="s">
        <v>693</v>
      </c>
      <c r="B327" s="109" t="s">
        <v>87</v>
      </c>
      <c r="C327" s="109" t="s">
        <v>109</v>
      </c>
      <c r="D327" s="109" t="s">
        <v>1</v>
      </c>
      <c r="E327" s="109" t="s">
        <v>469</v>
      </c>
      <c r="F327" s="109" t="s">
        <v>89</v>
      </c>
      <c r="G327" s="109" t="s">
        <v>185</v>
      </c>
      <c r="H327" s="109" t="s">
        <v>159</v>
      </c>
      <c r="I327" s="110" t="s">
        <v>589</v>
      </c>
    </row>
    <row r="328" spans="1:9" ht="15.6" x14ac:dyDescent="0.3">
      <c r="A328" s="111" t="s">
        <v>693</v>
      </c>
      <c r="B328" s="111" t="s">
        <v>79</v>
      </c>
      <c r="C328" s="111" t="s">
        <v>84</v>
      </c>
      <c r="D328" s="111" t="s">
        <v>1</v>
      </c>
      <c r="E328" s="111" t="s">
        <v>584</v>
      </c>
      <c r="F328" s="111" t="s">
        <v>81</v>
      </c>
      <c r="G328" s="111" t="s">
        <v>54</v>
      </c>
      <c r="H328" s="111" t="s">
        <v>277</v>
      </c>
      <c r="I328" s="112" t="s">
        <v>599</v>
      </c>
    </row>
    <row r="329" spans="1:9" ht="15.6" x14ac:dyDescent="0.3">
      <c r="A329" s="111" t="s">
        <v>693</v>
      </c>
      <c r="B329" s="111" t="s">
        <v>79</v>
      </c>
      <c r="C329" s="111" t="s">
        <v>84</v>
      </c>
      <c r="D329" s="111" t="s">
        <v>1</v>
      </c>
      <c r="E329" s="111" t="s">
        <v>584</v>
      </c>
      <c r="F329" s="111" t="s">
        <v>33</v>
      </c>
      <c r="G329" s="111" t="s">
        <v>54</v>
      </c>
      <c r="H329" s="111" t="s">
        <v>278</v>
      </c>
      <c r="I329" s="114" t="s">
        <v>637</v>
      </c>
    </row>
    <row r="330" spans="1:9" ht="15.6" x14ac:dyDescent="0.3">
      <c r="A330" s="111" t="s">
        <v>693</v>
      </c>
      <c r="B330" s="111" t="s">
        <v>45</v>
      </c>
      <c r="C330" s="111" t="s">
        <v>57</v>
      </c>
      <c r="D330" s="111" t="s">
        <v>1</v>
      </c>
      <c r="E330" s="111" t="s">
        <v>578</v>
      </c>
      <c r="F330" s="111" t="s">
        <v>51</v>
      </c>
      <c r="G330" s="111" t="s">
        <v>29</v>
      </c>
      <c r="H330" s="111" t="s">
        <v>280</v>
      </c>
      <c r="I330" s="114" t="s">
        <v>610</v>
      </c>
    </row>
    <row r="331" spans="1:9" ht="15.6" x14ac:dyDescent="0.3">
      <c r="A331" s="111" t="s">
        <v>693</v>
      </c>
      <c r="B331" s="111" t="s">
        <v>45</v>
      </c>
      <c r="C331" s="111" t="s">
        <v>58</v>
      </c>
      <c r="D331" s="111" t="s">
        <v>1</v>
      </c>
      <c r="E331" s="111" t="s">
        <v>573</v>
      </c>
      <c r="F331" s="111" t="s">
        <v>51</v>
      </c>
      <c r="G331" s="111" t="s">
        <v>54</v>
      </c>
      <c r="H331" s="111" t="s">
        <v>281</v>
      </c>
      <c r="I331" s="114" t="s">
        <v>692</v>
      </c>
    </row>
    <row r="332" spans="1:9" ht="15.6" x14ac:dyDescent="0.3">
      <c r="A332" s="111" t="s">
        <v>693</v>
      </c>
      <c r="B332" s="111" t="s">
        <v>45</v>
      </c>
      <c r="C332" s="111" t="s">
        <v>60</v>
      </c>
      <c r="D332" s="111" t="s">
        <v>1</v>
      </c>
      <c r="E332" s="111" t="s">
        <v>581</v>
      </c>
      <c r="F332" s="111" t="s">
        <v>51</v>
      </c>
      <c r="G332" s="111" t="s">
        <v>54</v>
      </c>
      <c r="H332" s="111" t="s">
        <v>281</v>
      </c>
      <c r="I332" s="114" t="s">
        <v>657</v>
      </c>
    </row>
    <row r="333" spans="1:9" ht="15.6" x14ac:dyDescent="0.3">
      <c r="A333" s="111" t="s">
        <v>693</v>
      </c>
      <c r="B333" s="111" t="s">
        <v>45</v>
      </c>
      <c r="C333" s="111" t="s">
        <v>46</v>
      </c>
      <c r="D333" s="111" t="s">
        <v>1</v>
      </c>
      <c r="E333" s="111" t="s">
        <v>571</v>
      </c>
      <c r="F333" s="111" t="s">
        <v>51</v>
      </c>
      <c r="G333" s="111" t="s">
        <v>110</v>
      </c>
      <c r="H333" s="111" t="s">
        <v>281</v>
      </c>
      <c r="I333" s="114" t="s">
        <v>692</v>
      </c>
    </row>
    <row r="334" spans="1:9" ht="15.6" x14ac:dyDescent="0.3">
      <c r="A334" s="111" t="s">
        <v>693</v>
      </c>
      <c r="B334" s="111" t="s">
        <v>45</v>
      </c>
      <c r="C334" s="111" t="s">
        <v>62</v>
      </c>
      <c r="D334" s="111" t="s">
        <v>1</v>
      </c>
      <c r="E334" s="111" t="s">
        <v>469</v>
      </c>
      <c r="F334" s="111" t="s">
        <v>51</v>
      </c>
      <c r="G334" s="111" t="s">
        <v>110</v>
      </c>
      <c r="H334" s="111" t="s">
        <v>282</v>
      </c>
      <c r="I334" s="114" t="s">
        <v>666</v>
      </c>
    </row>
    <row r="335" spans="1:9" ht="15.6" x14ac:dyDescent="0.3">
      <c r="A335" s="111" t="s">
        <v>693</v>
      </c>
      <c r="B335" s="111" t="s">
        <v>45</v>
      </c>
      <c r="C335" s="111" t="s">
        <v>53</v>
      </c>
      <c r="D335" s="111" t="s">
        <v>1</v>
      </c>
      <c r="E335" s="111" t="s">
        <v>577</v>
      </c>
      <c r="F335" s="111" t="s">
        <v>51</v>
      </c>
      <c r="G335" s="111" t="s">
        <v>54</v>
      </c>
      <c r="H335" s="111" t="s">
        <v>283</v>
      </c>
      <c r="I335" s="114" t="s">
        <v>694</v>
      </c>
    </row>
    <row r="336" spans="1:9" ht="15.6" x14ac:dyDescent="0.3">
      <c r="A336" s="111" t="s">
        <v>693</v>
      </c>
      <c r="B336" s="111" t="s">
        <v>45</v>
      </c>
      <c r="C336" s="111" t="s">
        <v>66</v>
      </c>
      <c r="D336" s="111" t="s">
        <v>1</v>
      </c>
      <c r="E336" s="111" t="s">
        <v>605</v>
      </c>
      <c r="F336" s="111" t="s">
        <v>51</v>
      </c>
      <c r="G336" s="111" t="s">
        <v>103</v>
      </c>
      <c r="H336" s="111" t="s">
        <v>283</v>
      </c>
      <c r="I336" s="114" t="s">
        <v>694</v>
      </c>
    </row>
    <row r="337" spans="1:9" ht="15.6" x14ac:dyDescent="0.3">
      <c r="A337" s="111" t="s">
        <v>693</v>
      </c>
      <c r="B337" s="111" t="s">
        <v>45</v>
      </c>
      <c r="C337" s="111" t="s">
        <v>59</v>
      </c>
      <c r="D337" s="111" t="s">
        <v>1</v>
      </c>
      <c r="E337" s="111" t="s">
        <v>580</v>
      </c>
      <c r="F337" s="111" t="s">
        <v>51</v>
      </c>
      <c r="G337" s="111" t="s">
        <v>54</v>
      </c>
      <c r="H337" s="111" t="s">
        <v>285</v>
      </c>
      <c r="I337" s="114" t="s">
        <v>679</v>
      </c>
    </row>
    <row r="338" spans="1:9" ht="15.6" x14ac:dyDescent="0.3">
      <c r="A338" s="111" t="s">
        <v>693</v>
      </c>
      <c r="B338" s="111" t="s">
        <v>130</v>
      </c>
      <c r="C338" s="111" t="s">
        <v>143</v>
      </c>
      <c r="D338" s="111" t="s">
        <v>1</v>
      </c>
      <c r="E338" s="111" t="s">
        <v>420</v>
      </c>
      <c r="F338" s="111" t="s">
        <v>134</v>
      </c>
      <c r="G338" s="111" t="s">
        <v>76</v>
      </c>
      <c r="H338" s="111" t="s">
        <v>293</v>
      </c>
      <c r="I338" s="114" t="s">
        <v>695</v>
      </c>
    </row>
    <row r="339" spans="1:9" ht="15.6" x14ac:dyDescent="0.3">
      <c r="A339" s="111" t="s">
        <v>693</v>
      </c>
      <c r="B339" s="111" t="s">
        <v>130</v>
      </c>
      <c r="C339" s="111" t="s">
        <v>146</v>
      </c>
      <c r="D339" s="111" t="s">
        <v>1</v>
      </c>
      <c r="E339" s="111" t="s">
        <v>618</v>
      </c>
      <c r="F339" s="111" t="s">
        <v>134</v>
      </c>
      <c r="G339" s="111" t="s">
        <v>76</v>
      </c>
      <c r="H339" s="111" t="s">
        <v>293</v>
      </c>
      <c r="I339" s="114" t="s">
        <v>695</v>
      </c>
    </row>
    <row r="340" spans="1:9" ht="15.6" x14ac:dyDescent="0.3">
      <c r="A340" s="111" t="s">
        <v>693</v>
      </c>
      <c r="B340" s="111" t="s">
        <v>130</v>
      </c>
      <c r="C340" s="111" t="s">
        <v>131</v>
      </c>
      <c r="D340" s="111" t="s">
        <v>1</v>
      </c>
      <c r="E340" s="111" t="s">
        <v>607</v>
      </c>
      <c r="F340" s="111" t="s">
        <v>134</v>
      </c>
      <c r="G340" s="111" t="s">
        <v>76</v>
      </c>
      <c r="H340" s="111" t="s">
        <v>293</v>
      </c>
      <c r="I340" s="114" t="s">
        <v>695</v>
      </c>
    </row>
    <row r="341" spans="1:9" ht="15.6" x14ac:dyDescent="0.3">
      <c r="A341" s="111" t="s">
        <v>693</v>
      </c>
      <c r="B341" s="111" t="s">
        <v>130</v>
      </c>
      <c r="C341" s="111" t="s">
        <v>148</v>
      </c>
      <c r="D341" s="111" t="s">
        <v>1</v>
      </c>
      <c r="E341" s="111" t="s">
        <v>620</v>
      </c>
      <c r="F341" s="111" t="s">
        <v>134</v>
      </c>
      <c r="G341" s="111" t="s">
        <v>76</v>
      </c>
      <c r="H341" s="111" t="s">
        <v>293</v>
      </c>
      <c r="I341" s="114" t="s">
        <v>695</v>
      </c>
    </row>
    <row r="342" spans="1:9" ht="15.6" x14ac:dyDescent="0.3">
      <c r="A342" s="111" t="s">
        <v>693</v>
      </c>
      <c r="B342" s="111" t="s">
        <v>130</v>
      </c>
      <c r="C342" s="111" t="s">
        <v>136</v>
      </c>
      <c r="D342" s="111" t="s">
        <v>1</v>
      </c>
      <c r="E342" s="111" t="s">
        <v>609</v>
      </c>
      <c r="F342" s="111" t="s">
        <v>134</v>
      </c>
      <c r="G342" s="111" t="s">
        <v>76</v>
      </c>
      <c r="H342" s="111" t="s">
        <v>293</v>
      </c>
      <c r="I342" s="114" t="s">
        <v>696</v>
      </c>
    </row>
    <row r="343" spans="1:9" ht="15.6" x14ac:dyDescent="0.3">
      <c r="A343" s="111" t="s">
        <v>693</v>
      </c>
      <c r="B343" s="111" t="s">
        <v>130</v>
      </c>
      <c r="C343" s="111" t="s">
        <v>137</v>
      </c>
      <c r="D343" s="111" t="s">
        <v>1</v>
      </c>
      <c r="E343" s="111" t="s">
        <v>611</v>
      </c>
      <c r="F343" s="111" t="s">
        <v>134</v>
      </c>
      <c r="G343" s="111" t="s">
        <v>29</v>
      </c>
      <c r="H343" s="111" t="s">
        <v>293</v>
      </c>
      <c r="I343" s="114" t="s">
        <v>695</v>
      </c>
    </row>
    <row r="344" spans="1:9" ht="15.6" x14ac:dyDescent="0.3">
      <c r="A344" s="111" t="s">
        <v>693</v>
      </c>
      <c r="B344" s="111" t="s">
        <v>130</v>
      </c>
      <c r="C344" s="111" t="s">
        <v>138</v>
      </c>
      <c r="D344" s="111" t="s">
        <v>1</v>
      </c>
      <c r="E344" s="111" t="s">
        <v>613</v>
      </c>
      <c r="F344" s="111" t="s">
        <v>134</v>
      </c>
      <c r="G344" s="111" t="s">
        <v>76</v>
      </c>
      <c r="H344" s="111" t="s">
        <v>293</v>
      </c>
      <c r="I344" s="114" t="s">
        <v>695</v>
      </c>
    </row>
    <row r="345" spans="1:9" ht="15.6" x14ac:dyDescent="0.3">
      <c r="A345" s="111" t="s">
        <v>693</v>
      </c>
      <c r="B345" s="111" t="s">
        <v>26</v>
      </c>
      <c r="C345" s="111" t="s">
        <v>35</v>
      </c>
      <c r="D345" s="111" t="s">
        <v>1</v>
      </c>
      <c r="E345" s="111" t="s">
        <v>572</v>
      </c>
      <c r="F345" s="111" t="s">
        <v>33</v>
      </c>
      <c r="G345" s="111" t="s">
        <v>96</v>
      </c>
      <c r="H345" s="111" t="s">
        <v>34</v>
      </c>
      <c r="I345" s="112" t="s">
        <v>593</v>
      </c>
    </row>
    <row r="346" spans="1:9" ht="15.6" x14ac:dyDescent="0.3">
      <c r="A346" s="111" t="s">
        <v>693</v>
      </c>
      <c r="B346" s="111" t="s">
        <v>26</v>
      </c>
      <c r="C346" s="111" t="s">
        <v>39</v>
      </c>
      <c r="D346" s="111" t="s">
        <v>1</v>
      </c>
      <c r="E346" s="111" t="s">
        <v>573</v>
      </c>
      <c r="F346" s="111" t="s">
        <v>33</v>
      </c>
      <c r="G346" s="111" t="s">
        <v>36</v>
      </c>
      <c r="H346" s="111" t="s">
        <v>34</v>
      </c>
      <c r="I346" s="112" t="s">
        <v>631</v>
      </c>
    </row>
    <row r="347" spans="1:9" ht="15.6" x14ac:dyDescent="0.3">
      <c r="A347" s="111" t="s">
        <v>693</v>
      </c>
      <c r="B347" s="111" t="s">
        <v>26</v>
      </c>
      <c r="C347" s="111" t="s">
        <v>27</v>
      </c>
      <c r="D347" s="111" t="s">
        <v>1</v>
      </c>
      <c r="E347" s="111" t="s">
        <v>570</v>
      </c>
      <c r="F347" s="111" t="s">
        <v>33</v>
      </c>
      <c r="G347" s="111" t="s">
        <v>40</v>
      </c>
      <c r="H347" s="111" t="s">
        <v>34</v>
      </c>
      <c r="I347" s="112" t="s">
        <v>593</v>
      </c>
    </row>
    <row r="348" spans="1:9" ht="15.6" x14ac:dyDescent="0.3">
      <c r="A348" s="111" t="s">
        <v>693</v>
      </c>
      <c r="B348" s="111" t="s">
        <v>26</v>
      </c>
      <c r="C348" s="111" t="s">
        <v>41</v>
      </c>
      <c r="D348" s="111" t="s">
        <v>1</v>
      </c>
      <c r="E348" s="111" t="s">
        <v>583</v>
      </c>
      <c r="F348" s="111" t="s">
        <v>33</v>
      </c>
      <c r="G348" s="111" t="s">
        <v>96</v>
      </c>
      <c r="H348" s="111" t="s">
        <v>34</v>
      </c>
      <c r="I348" s="112" t="s">
        <v>593</v>
      </c>
    </row>
    <row r="349" spans="1:9" ht="15.6" x14ac:dyDescent="0.3">
      <c r="A349" s="111" t="s">
        <v>693</v>
      </c>
      <c r="B349" s="111" t="s">
        <v>130</v>
      </c>
      <c r="C349" s="111" t="s">
        <v>142</v>
      </c>
      <c r="D349" s="111" t="s">
        <v>1</v>
      </c>
      <c r="E349" s="111" t="s">
        <v>572</v>
      </c>
      <c r="F349" s="111" t="s">
        <v>134</v>
      </c>
      <c r="G349" s="111" t="s">
        <v>110</v>
      </c>
      <c r="H349" s="111" t="s">
        <v>178</v>
      </c>
      <c r="I349" s="113" t="s">
        <v>592</v>
      </c>
    </row>
    <row r="350" spans="1:9" ht="15.6" x14ac:dyDescent="0.3">
      <c r="A350" s="111" t="s">
        <v>693</v>
      </c>
      <c r="B350" s="111" t="s">
        <v>130</v>
      </c>
      <c r="C350" s="111" t="s">
        <v>141</v>
      </c>
      <c r="D350" s="111" t="s">
        <v>1</v>
      </c>
      <c r="E350" s="111" t="s">
        <v>573</v>
      </c>
      <c r="F350" s="111" t="s">
        <v>134</v>
      </c>
      <c r="G350" s="111" t="s">
        <v>110</v>
      </c>
      <c r="H350" s="111" t="s">
        <v>179</v>
      </c>
      <c r="I350" s="112" t="s">
        <v>627</v>
      </c>
    </row>
    <row r="351" spans="1:9" ht="15.6" x14ac:dyDescent="0.3">
      <c r="A351" s="109" t="s">
        <v>697</v>
      </c>
      <c r="B351" s="109" t="s">
        <v>87</v>
      </c>
      <c r="C351" s="109" t="s">
        <v>220</v>
      </c>
      <c r="D351" s="109" t="s">
        <v>1</v>
      </c>
      <c r="E351" s="109" t="s">
        <v>481</v>
      </c>
      <c r="F351" s="109" t="s">
        <v>89</v>
      </c>
      <c r="G351" s="109" t="s">
        <v>96</v>
      </c>
      <c r="H351" s="109" t="s">
        <v>77</v>
      </c>
      <c r="I351" s="110" t="s">
        <v>589</v>
      </c>
    </row>
    <row r="352" spans="1:9" ht="15.6" x14ac:dyDescent="0.3">
      <c r="A352" s="109" t="s">
        <v>697</v>
      </c>
      <c r="B352" s="109" t="s">
        <v>87</v>
      </c>
      <c r="C352" s="109" t="s">
        <v>241</v>
      </c>
      <c r="D352" s="109" t="s">
        <v>1</v>
      </c>
      <c r="E352" s="109" t="s">
        <v>486</v>
      </c>
      <c r="F352" s="109" t="s">
        <v>89</v>
      </c>
      <c r="G352" s="109" t="s">
        <v>42</v>
      </c>
      <c r="H352" s="109" t="s">
        <v>77</v>
      </c>
      <c r="I352" s="110" t="s">
        <v>589</v>
      </c>
    </row>
    <row r="353" spans="1:9" ht="15.6" x14ac:dyDescent="0.3">
      <c r="A353" s="109" t="s">
        <v>697</v>
      </c>
      <c r="B353" s="109" t="s">
        <v>87</v>
      </c>
      <c r="C353" s="109" t="s">
        <v>165</v>
      </c>
      <c r="D353" s="109" t="s">
        <v>1</v>
      </c>
      <c r="E353" s="109" t="s">
        <v>480</v>
      </c>
      <c r="F353" s="109" t="s">
        <v>89</v>
      </c>
      <c r="G353" s="109" t="s">
        <v>96</v>
      </c>
      <c r="H353" s="109" t="s">
        <v>77</v>
      </c>
      <c r="I353" s="110" t="s">
        <v>589</v>
      </c>
    </row>
    <row r="354" spans="1:9" ht="15.6" x14ac:dyDescent="0.3">
      <c r="A354" s="109" t="s">
        <v>697</v>
      </c>
      <c r="B354" s="109" t="s">
        <v>87</v>
      </c>
      <c r="C354" s="109" t="s">
        <v>169</v>
      </c>
      <c r="D354" s="109" t="s">
        <v>1</v>
      </c>
      <c r="E354" s="109" t="s">
        <v>477</v>
      </c>
      <c r="F354" s="109" t="s">
        <v>89</v>
      </c>
      <c r="G354" s="109" t="s">
        <v>61</v>
      </c>
      <c r="H354" s="109" t="s">
        <v>77</v>
      </c>
      <c r="I354" s="110" t="s">
        <v>589</v>
      </c>
    </row>
    <row r="355" spans="1:9" ht="15.6" x14ac:dyDescent="0.3">
      <c r="A355" s="109" t="s">
        <v>697</v>
      </c>
      <c r="B355" s="109" t="s">
        <v>87</v>
      </c>
      <c r="C355" s="109" t="s">
        <v>102</v>
      </c>
      <c r="D355" s="109" t="s">
        <v>1</v>
      </c>
      <c r="E355" s="109" t="s">
        <v>491</v>
      </c>
      <c r="F355" s="109" t="s">
        <v>89</v>
      </c>
      <c r="G355" s="109" t="s">
        <v>110</v>
      </c>
      <c r="H355" s="109" t="s">
        <v>159</v>
      </c>
      <c r="I355" s="110" t="s">
        <v>589</v>
      </c>
    </row>
    <row r="356" spans="1:9" ht="15.6" x14ac:dyDescent="0.3">
      <c r="A356" s="109" t="s">
        <v>697</v>
      </c>
      <c r="B356" s="109" t="s">
        <v>87</v>
      </c>
      <c r="C356" s="109" t="s">
        <v>95</v>
      </c>
      <c r="D356" s="109" t="s">
        <v>1</v>
      </c>
      <c r="E356" s="109" t="s">
        <v>487</v>
      </c>
      <c r="F356" s="109" t="s">
        <v>89</v>
      </c>
      <c r="G356" s="109" t="s">
        <v>96</v>
      </c>
      <c r="H356" s="109" t="s">
        <v>159</v>
      </c>
      <c r="I356" s="110" t="s">
        <v>589</v>
      </c>
    </row>
    <row r="357" spans="1:9" ht="15.6" x14ac:dyDescent="0.3">
      <c r="A357" s="109" t="s">
        <v>697</v>
      </c>
      <c r="B357" s="109" t="s">
        <v>87</v>
      </c>
      <c r="C357" s="109" t="s">
        <v>109</v>
      </c>
      <c r="D357" s="109" t="s">
        <v>1</v>
      </c>
      <c r="E357" s="109" t="s">
        <v>483</v>
      </c>
      <c r="F357" s="109" t="s">
        <v>89</v>
      </c>
      <c r="G357" s="109" t="s">
        <v>76</v>
      </c>
      <c r="H357" s="109" t="s">
        <v>104</v>
      </c>
      <c r="I357" s="110" t="s">
        <v>589</v>
      </c>
    </row>
    <row r="358" spans="1:9" ht="15.6" x14ac:dyDescent="0.3">
      <c r="A358" s="111" t="s">
        <v>697</v>
      </c>
      <c r="B358" s="111" t="s">
        <v>79</v>
      </c>
      <c r="C358" s="111" t="s">
        <v>84</v>
      </c>
      <c r="D358" s="111" t="s">
        <v>1</v>
      </c>
      <c r="E358" s="111" t="s">
        <v>660</v>
      </c>
      <c r="F358" s="111" t="s">
        <v>81</v>
      </c>
      <c r="G358" s="111" t="s">
        <v>54</v>
      </c>
      <c r="H358" s="111" t="s">
        <v>298</v>
      </c>
      <c r="I358" s="114" t="s">
        <v>617</v>
      </c>
    </row>
    <row r="359" spans="1:9" ht="15.6" x14ac:dyDescent="0.3">
      <c r="A359" s="111" t="s">
        <v>697</v>
      </c>
      <c r="B359" s="111" t="s">
        <v>74</v>
      </c>
      <c r="C359" s="111" t="s">
        <v>78</v>
      </c>
      <c r="D359" s="111" t="s">
        <v>1</v>
      </c>
      <c r="E359" s="111" t="s">
        <v>576</v>
      </c>
      <c r="F359" s="111" t="s">
        <v>72</v>
      </c>
      <c r="G359" s="111" t="s">
        <v>96</v>
      </c>
      <c r="H359" s="111" t="s">
        <v>77</v>
      </c>
      <c r="I359" s="112" t="s">
        <v>624</v>
      </c>
    </row>
    <row r="360" spans="1:9" ht="15.6" x14ac:dyDescent="0.3">
      <c r="A360" s="111" t="s">
        <v>697</v>
      </c>
      <c r="B360" s="111" t="s">
        <v>79</v>
      </c>
      <c r="C360" s="111" t="s">
        <v>84</v>
      </c>
      <c r="D360" s="111" t="s">
        <v>1</v>
      </c>
      <c r="E360" s="111" t="s">
        <v>660</v>
      </c>
      <c r="F360" s="111" t="s">
        <v>33</v>
      </c>
      <c r="G360" s="111" t="s">
        <v>54</v>
      </c>
      <c r="H360" s="111" t="s">
        <v>299</v>
      </c>
      <c r="I360" s="114" t="s">
        <v>686</v>
      </c>
    </row>
    <row r="361" spans="1:9" ht="15.6" x14ac:dyDescent="0.3">
      <c r="A361" s="111" t="s">
        <v>697</v>
      </c>
      <c r="B361" s="111" t="s">
        <v>45</v>
      </c>
      <c r="C361" s="111" t="s">
        <v>57</v>
      </c>
      <c r="D361" s="111" t="s">
        <v>1</v>
      </c>
      <c r="E361" s="111" t="s">
        <v>578</v>
      </c>
      <c r="F361" s="111" t="s">
        <v>51</v>
      </c>
      <c r="G361" s="111" t="s">
        <v>185</v>
      </c>
      <c r="H361" s="111" t="s">
        <v>280</v>
      </c>
      <c r="I361" s="114" t="s">
        <v>657</v>
      </c>
    </row>
    <row r="362" spans="1:9" ht="15.6" x14ac:dyDescent="0.3">
      <c r="A362" s="111" t="s">
        <v>697</v>
      </c>
      <c r="B362" s="111" t="s">
        <v>45</v>
      </c>
      <c r="C362" s="111" t="s">
        <v>62</v>
      </c>
      <c r="D362" s="111" t="s">
        <v>1</v>
      </c>
      <c r="E362" s="111" t="s">
        <v>469</v>
      </c>
      <c r="F362" s="111" t="s">
        <v>51</v>
      </c>
      <c r="G362" s="111" t="s">
        <v>42</v>
      </c>
      <c r="H362" s="111" t="s">
        <v>282</v>
      </c>
      <c r="I362" s="114" t="s">
        <v>666</v>
      </c>
    </row>
    <row r="363" spans="1:9" ht="15.6" x14ac:dyDescent="0.3">
      <c r="A363" s="111" t="s">
        <v>697</v>
      </c>
      <c r="B363" s="111" t="s">
        <v>45</v>
      </c>
      <c r="C363" s="111" t="s">
        <v>59</v>
      </c>
      <c r="D363" s="111" t="s">
        <v>1</v>
      </c>
      <c r="E363" s="111" t="s">
        <v>580</v>
      </c>
      <c r="F363" s="111" t="s">
        <v>51</v>
      </c>
      <c r="G363" s="111" t="s">
        <v>185</v>
      </c>
      <c r="H363" s="111" t="s">
        <v>282</v>
      </c>
      <c r="I363" s="114" t="s">
        <v>666</v>
      </c>
    </row>
    <row r="364" spans="1:9" ht="15.6" x14ac:dyDescent="0.3">
      <c r="A364" s="111" t="s">
        <v>697</v>
      </c>
      <c r="B364" s="111" t="s">
        <v>45</v>
      </c>
      <c r="C364" s="111" t="s">
        <v>46</v>
      </c>
      <c r="D364" s="111" t="s">
        <v>1</v>
      </c>
      <c r="E364" s="111" t="s">
        <v>571</v>
      </c>
      <c r="F364" s="111" t="s">
        <v>51</v>
      </c>
      <c r="G364" s="111" t="s">
        <v>110</v>
      </c>
      <c r="H364" s="111" t="s">
        <v>282</v>
      </c>
      <c r="I364" s="114" t="s">
        <v>694</v>
      </c>
    </row>
    <row r="365" spans="1:9" ht="15.6" x14ac:dyDescent="0.3">
      <c r="A365" s="111" t="s">
        <v>697</v>
      </c>
      <c r="B365" s="111" t="s">
        <v>45</v>
      </c>
      <c r="C365" s="111" t="s">
        <v>53</v>
      </c>
      <c r="D365" s="111" t="s">
        <v>1</v>
      </c>
      <c r="E365" s="111" t="s">
        <v>577</v>
      </c>
      <c r="F365" s="111" t="s">
        <v>51</v>
      </c>
      <c r="G365" s="111" t="s">
        <v>110</v>
      </c>
      <c r="H365" s="111" t="s">
        <v>283</v>
      </c>
      <c r="I365" s="114" t="s">
        <v>608</v>
      </c>
    </row>
    <row r="366" spans="1:9" ht="15.6" x14ac:dyDescent="0.3">
      <c r="A366" s="111" t="s">
        <v>697</v>
      </c>
      <c r="B366" s="111" t="s">
        <v>45</v>
      </c>
      <c r="C366" s="111" t="s">
        <v>60</v>
      </c>
      <c r="D366" s="111" t="s">
        <v>1</v>
      </c>
      <c r="E366" s="111" t="s">
        <v>581</v>
      </c>
      <c r="F366" s="111" t="s">
        <v>51</v>
      </c>
      <c r="G366" s="111" t="s">
        <v>103</v>
      </c>
      <c r="H366" s="111" t="s">
        <v>283</v>
      </c>
      <c r="I366" s="114" t="s">
        <v>608</v>
      </c>
    </row>
    <row r="367" spans="1:9" ht="15.6" x14ac:dyDescent="0.3">
      <c r="A367" s="111" t="s">
        <v>697</v>
      </c>
      <c r="B367" s="111" t="s">
        <v>45</v>
      </c>
      <c r="C367" s="111" t="s">
        <v>66</v>
      </c>
      <c r="D367" s="111" t="s">
        <v>1</v>
      </c>
      <c r="E367" s="111" t="s">
        <v>605</v>
      </c>
      <c r="F367" s="111" t="s">
        <v>51</v>
      </c>
      <c r="G367" s="111" t="s">
        <v>42</v>
      </c>
      <c r="H367" s="111" t="s">
        <v>283</v>
      </c>
      <c r="I367" s="114" t="s">
        <v>608</v>
      </c>
    </row>
    <row r="368" spans="1:9" ht="15.6" x14ac:dyDescent="0.3">
      <c r="A368" s="111" t="s">
        <v>697</v>
      </c>
      <c r="B368" s="111" t="s">
        <v>130</v>
      </c>
      <c r="C368" s="111" t="s">
        <v>143</v>
      </c>
      <c r="D368" s="111" t="s">
        <v>1</v>
      </c>
      <c r="E368" s="111" t="s">
        <v>420</v>
      </c>
      <c r="F368" s="111" t="s">
        <v>134</v>
      </c>
      <c r="G368" s="111" t="s">
        <v>76</v>
      </c>
      <c r="H368" s="111" t="s">
        <v>293</v>
      </c>
      <c r="I368" s="114" t="s">
        <v>614</v>
      </c>
    </row>
    <row r="369" spans="1:9" ht="15.6" x14ac:dyDescent="0.3">
      <c r="A369" s="111" t="s">
        <v>697</v>
      </c>
      <c r="B369" s="111" t="s">
        <v>130</v>
      </c>
      <c r="C369" s="111" t="s">
        <v>146</v>
      </c>
      <c r="D369" s="111" t="s">
        <v>1</v>
      </c>
      <c r="E369" s="111" t="s">
        <v>618</v>
      </c>
      <c r="F369" s="111" t="s">
        <v>134</v>
      </c>
      <c r="G369" s="111" t="s">
        <v>76</v>
      </c>
      <c r="H369" s="111" t="s">
        <v>293</v>
      </c>
      <c r="I369" s="114" t="s">
        <v>614</v>
      </c>
    </row>
    <row r="370" spans="1:9" ht="15.6" x14ac:dyDescent="0.3">
      <c r="A370" s="111" t="s">
        <v>697</v>
      </c>
      <c r="B370" s="111" t="s">
        <v>130</v>
      </c>
      <c r="C370" s="111" t="s">
        <v>131</v>
      </c>
      <c r="D370" s="111" t="s">
        <v>1</v>
      </c>
      <c r="E370" s="111" t="s">
        <v>607</v>
      </c>
      <c r="F370" s="111" t="s">
        <v>134</v>
      </c>
      <c r="G370" s="111" t="s">
        <v>76</v>
      </c>
      <c r="H370" s="111" t="s">
        <v>293</v>
      </c>
      <c r="I370" s="114" t="s">
        <v>696</v>
      </c>
    </row>
    <row r="371" spans="1:9" ht="15.6" x14ac:dyDescent="0.3">
      <c r="A371" s="111" t="s">
        <v>697</v>
      </c>
      <c r="B371" s="111" t="s">
        <v>130</v>
      </c>
      <c r="C371" s="111" t="s">
        <v>136</v>
      </c>
      <c r="D371" s="111" t="s">
        <v>1</v>
      </c>
      <c r="E371" s="111" t="s">
        <v>609</v>
      </c>
      <c r="F371" s="111" t="s">
        <v>134</v>
      </c>
      <c r="G371" s="111" t="s">
        <v>76</v>
      </c>
      <c r="H371" s="111" t="s">
        <v>293</v>
      </c>
      <c r="I371" s="114" t="s">
        <v>614</v>
      </c>
    </row>
    <row r="372" spans="1:9" ht="15.6" x14ac:dyDescent="0.3">
      <c r="A372" s="111" t="s">
        <v>697</v>
      </c>
      <c r="B372" s="111" t="s">
        <v>130</v>
      </c>
      <c r="C372" s="111" t="s">
        <v>137</v>
      </c>
      <c r="D372" s="111" t="s">
        <v>1</v>
      </c>
      <c r="E372" s="111" t="s">
        <v>611</v>
      </c>
      <c r="F372" s="111" t="s">
        <v>134</v>
      </c>
      <c r="G372" s="111" t="s">
        <v>76</v>
      </c>
      <c r="H372" s="111" t="s">
        <v>293</v>
      </c>
      <c r="I372" s="114" t="s">
        <v>696</v>
      </c>
    </row>
    <row r="373" spans="1:9" ht="15.6" x14ac:dyDescent="0.3">
      <c r="A373" s="111" t="s">
        <v>697</v>
      </c>
      <c r="B373" s="111" t="s">
        <v>130</v>
      </c>
      <c r="C373" s="111" t="s">
        <v>138</v>
      </c>
      <c r="D373" s="111" t="s">
        <v>1</v>
      </c>
      <c r="E373" s="111" t="s">
        <v>665</v>
      </c>
      <c r="F373" s="111" t="s">
        <v>134</v>
      </c>
      <c r="G373" s="111" t="s">
        <v>76</v>
      </c>
      <c r="H373" s="111" t="s">
        <v>293</v>
      </c>
      <c r="I373" s="114" t="s">
        <v>614</v>
      </c>
    </row>
    <row r="374" spans="1:9" ht="15.6" x14ac:dyDescent="0.3">
      <c r="A374" s="111" t="s">
        <v>697</v>
      </c>
      <c r="B374" s="111" t="s">
        <v>26</v>
      </c>
      <c r="C374" s="111" t="s">
        <v>35</v>
      </c>
      <c r="D374" s="111" t="s">
        <v>1</v>
      </c>
      <c r="E374" s="111" t="s">
        <v>572</v>
      </c>
      <c r="F374" s="111" t="s">
        <v>33</v>
      </c>
      <c r="G374" s="111" t="s">
        <v>29</v>
      </c>
      <c r="H374" s="111" t="s">
        <v>34</v>
      </c>
      <c r="I374" s="112" t="s">
        <v>627</v>
      </c>
    </row>
    <row r="375" spans="1:9" ht="15.6" x14ac:dyDescent="0.3">
      <c r="A375" s="111" t="s">
        <v>697</v>
      </c>
      <c r="B375" s="111" t="s">
        <v>26</v>
      </c>
      <c r="C375" s="111" t="s">
        <v>39</v>
      </c>
      <c r="D375" s="111" t="s">
        <v>1</v>
      </c>
      <c r="E375" s="111" t="s">
        <v>573</v>
      </c>
      <c r="F375" s="111" t="s">
        <v>33</v>
      </c>
      <c r="G375" s="111" t="s">
        <v>96</v>
      </c>
      <c r="H375" s="111" t="s">
        <v>34</v>
      </c>
      <c r="I375" s="114" t="s">
        <v>614</v>
      </c>
    </row>
    <row r="376" spans="1:9" ht="15.6" x14ac:dyDescent="0.3">
      <c r="A376" s="111" t="s">
        <v>697</v>
      </c>
      <c r="B376" s="111" t="s">
        <v>26</v>
      </c>
      <c r="C376" s="111" t="s">
        <v>27</v>
      </c>
      <c r="D376" s="111" t="s">
        <v>1</v>
      </c>
      <c r="E376" s="111" t="s">
        <v>570</v>
      </c>
      <c r="F376" s="111" t="s">
        <v>33</v>
      </c>
      <c r="G376" s="111" t="s">
        <v>296</v>
      </c>
      <c r="H376" s="111" t="s">
        <v>34</v>
      </c>
      <c r="I376" s="112" t="s">
        <v>631</v>
      </c>
    </row>
    <row r="377" spans="1:9" ht="15.6" x14ac:dyDescent="0.3">
      <c r="A377" s="111" t="s">
        <v>697</v>
      </c>
      <c r="B377" s="111" t="s">
        <v>26</v>
      </c>
      <c r="C377" s="111" t="s">
        <v>41</v>
      </c>
      <c r="D377" s="111" t="s">
        <v>1</v>
      </c>
      <c r="E377" s="111" t="s">
        <v>583</v>
      </c>
      <c r="F377" s="111" t="s">
        <v>33</v>
      </c>
      <c r="G377" s="111" t="s">
        <v>297</v>
      </c>
      <c r="H377" s="111" t="s">
        <v>34</v>
      </c>
      <c r="I377" s="112" t="s">
        <v>631</v>
      </c>
    </row>
    <row r="378" spans="1:9" ht="15.6" x14ac:dyDescent="0.3">
      <c r="A378" s="111" t="s">
        <v>697</v>
      </c>
      <c r="B378" s="111" t="s">
        <v>130</v>
      </c>
      <c r="C378" s="111" t="s">
        <v>147</v>
      </c>
      <c r="D378" s="111" t="s">
        <v>1</v>
      </c>
      <c r="E378" s="111" t="s">
        <v>619</v>
      </c>
      <c r="F378" s="111" t="s">
        <v>134</v>
      </c>
      <c r="G378" s="111" t="s">
        <v>76</v>
      </c>
      <c r="H378" s="111" t="s">
        <v>312</v>
      </c>
      <c r="I378" s="113" t="s">
        <v>615</v>
      </c>
    </row>
    <row r="379" spans="1:9" ht="15.6" x14ac:dyDescent="0.3">
      <c r="A379" s="111" t="s">
        <v>697</v>
      </c>
      <c r="B379" s="111" t="s">
        <v>130</v>
      </c>
      <c r="C379" s="111" t="s">
        <v>142</v>
      </c>
      <c r="D379" s="111" t="s">
        <v>1</v>
      </c>
      <c r="E379" s="111" t="s">
        <v>572</v>
      </c>
      <c r="F379" s="111" t="s">
        <v>134</v>
      </c>
      <c r="G379" s="111" t="s">
        <v>110</v>
      </c>
      <c r="H379" s="111" t="s">
        <v>178</v>
      </c>
      <c r="I379" s="113" t="s">
        <v>658</v>
      </c>
    </row>
    <row r="380" spans="1:9" ht="15.6" x14ac:dyDescent="0.3">
      <c r="A380" s="111" t="s">
        <v>697</v>
      </c>
      <c r="B380" s="111" t="s">
        <v>130</v>
      </c>
      <c r="C380" s="111" t="s">
        <v>148</v>
      </c>
      <c r="D380" s="111" t="s">
        <v>1</v>
      </c>
      <c r="E380" s="111" t="s">
        <v>620</v>
      </c>
      <c r="F380" s="111" t="s">
        <v>134</v>
      </c>
      <c r="G380" s="111" t="s">
        <v>76</v>
      </c>
      <c r="H380" s="111" t="s">
        <v>314</v>
      </c>
      <c r="I380" s="112" t="s">
        <v>599</v>
      </c>
    </row>
    <row r="381" spans="1:9" ht="15.6" x14ac:dyDescent="0.3">
      <c r="A381" s="111" t="s">
        <v>697</v>
      </c>
      <c r="B381" s="111" t="s">
        <v>130</v>
      </c>
      <c r="C381" s="111" t="s">
        <v>141</v>
      </c>
      <c r="D381" s="111" t="s">
        <v>1</v>
      </c>
      <c r="E381" s="111" t="s">
        <v>573</v>
      </c>
      <c r="F381" s="111" t="s">
        <v>134</v>
      </c>
      <c r="G381" s="111" t="s">
        <v>110</v>
      </c>
      <c r="H381" s="111" t="s">
        <v>179</v>
      </c>
      <c r="I381" s="113" t="s">
        <v>594</v>
      </c>
    </row>
    <row r="382" spans="1:9" ht="15.6" x14ac:dyDescent="0.3">
      <c r="A382" s="109" t="s">
        <v>698</v>
      </c>
      <c r="B382" s="109" t="s">
        <v>87</v>
      </c>
      <c r="C382" s="109" t="s">
        <v>102</v>
      </c>
      <c r="D382" s="109" t="s">
        <v>1</v>
      </c>
      <c r="E382" s="109" t="s">
        <v>432</v>
      </c>
      <c r="F382" s="109" t="s">
        <v>89</v>
      </c>
      <c r="G382" s="109" t="s">
        <v>76</v>
      </c>
      <c r="H382" s="109" t="s">
        <v>207</v>
      </c>
      <c r="I382" s="110" t="s">
        <v>589</v>
      </c>
    </row>
    <row r="383" spans="1:9" ht="15.6" x14ac:dyDescent="0.3">
      <c r="A383" s="109" t="s">
        <v>698</v>
      </c>
      <c r="B383" s="109" t="s">
        <v>87</v>
      </c>
      <c r="C383" s="109" t="s">
        <v>95</v>
      </c>
      <c r="D383" s="109" t="s">
        <v>1</v>
      </c>
      <c r="E383" s="109" t="s">
        <v>498</v>
      </c>
      <c r="F383" s="109" t="s">
        <v>89</v>
      </c>
      <c r="G383" s="109" t="s">
        <v>185</v>
      </c>
      <c r="H383" s="109" t="s">
        <v>207</v>
      </c>
      <c r="I383" s="110" t="s">
        <v>589</v>
      </c>
    </row>
    <row r="384" spans="1:9" ht="15.6" x14ac:dyDescent="0.3">
      <c r="A384" s="109" t="s">
        <v>698</v>
      </c>
      <c r="B384" s="109" t="s">
        <v>87</v>
      </c>
      <c r="C384" s="109" t="s">
        <v>109</v>
      </c>
      <c r="D384" s="109" t="s">
        <v>1</v>
      </c>
      <c r="E384" s="109" t="s">
        <v>496</v>
      </c>
      <c r="F384" s="109" t="s">
        <v>89</v>
      </c>
      <c r="G384" s="109" t="s">
        <v>185</v>
      </c>
      <c r="H384" s="109" t="s">
        <v>207</v>
      </c>
      <c r="I384" s="110" t="s">
        <v>589</v>
      </c>
    </row>
    <row r="385" spans="1:9" ht="15.6" x14ac:dyDescent="0.3">
      <c r="A385" s="109" t="s">
        <v>698</v>
      </c>
      <c r="B385" s="109" t="s">
        <v>87</v>
      </c>
      <c r="C385" s="109" t="s">
        <v>165</v>
      </c>
      <c r="D385" s="109" t="s">
        <v>1</v>
      </c>
      <c r="E385" s="109" t="s">
        <v>502</v>
      </c>
      <c r="F385" s="109" t="s">
        <v>89</v>
      </c>
      <c r="G385" s="109" t="s">
        <v>29</v>
      </c>
      <c r="H385" s="109" t="s">
        <v>207</v>
      </c>
      <c r="I385" s="110" t="s">
        <v>589</v>
      </c>
    </row>
    <row r="386" spans="1:9" ht="15.6" x14ac:dyDescent="0.3">
      <c r="A386" s="109" t="s">
        <v>698</v>
      </c>
      <c r="B386" s="109" t="s">
        <v>87</v>
      </c>
      <c r="C386" s="109" t="s">
        <v>169</v>
      </c>
      <c r="D386" s="109" t="s">
        <v>1</v>
      </c>
      <c r="E386" s="109" t="s">
        <v>480</v>
      </c>
      <c r="F386" s="109" t="s">
        <v>89</v>
      </c>
      <c r="G386" s="109" t="s">
        <v>42</v>
      </c>
      <c r="H386" s="109" t="s">
        <v>207</v>
      </c>
      <c r="I386" s="110" t="s">
        <v>589</v>
      </c>
    </row>
    <row r="387" spans="1:9" ht="15.6" x14ac:dyDescent="0.3">
      <c r="A387" s="109" t="s">
        <v>698</v>
      </c>
      <c r="B387" s="109" t="s">
        <v>87</v>
      </c>
      <c r="C387" s="109" t="s">
        <v>88</v>
      </c>
      <c r="D387" s="109" t="s">
        <v>1</v>
      </c>
      <c r="E387" s="109" t="s">
        <v>506</v>
      </c>
      <c r="F387" s="109" t="s">
        <v>89</v>
      </c>
      <c r="G387" s="109" t="s">
        <v>103</v>
      </c>
      <c r="H387" s="109" t="s">
        <v>159</v>
      </c>
      <c r="I387" s="110" t="s">
        <v>589</v>
      </c>
    </row>
    <row r="388" spans="1:9" ht="15.6" x14ac:dyDescent="0.3">
      <c r="A388" s="111" t="s">
        <v>698</v>
      </c>
      <c r="B388" s="111" t="s">
        <v>79</v>
      </c>
      <c r="C388" s="111" t="s">
        <v>84</v>
      </c>
      <c r="D388" s="111" t="s">
        <v>1</v>
      </c>
      <c r="E388" s="111" t="s">
        <v>584</v>
      </c>
      <c r="F388" s="111" t="s">
        <v>81</v>
      </c>
      <c r="G388" s="111" t="s">
        <v>54</v>
      </c>
      <c r="H388" s="111" t="s">
        <v>198</v>
      </c>
      <c r="I388" s="112" t="s">
        <v>641</v>
      </c>
    </row>
    <row r="389" spans="1:9" ht="15.6" x14ac:dyDescent="0.3">
      <c r="A389" s="111" t="s">
        <v>698</v>
      </c>
      <c r="B389" s="111" t="s">
        <v>79</v>
      </c>
      <c r="C389" s="111" t="s">
        <v>199</v>
      </c>
      <c r="D389" s="111" t="s">
        <v>1</v>
      </c>
      <c r="E389" s="111" t="s">
        <v>642</v>
      </c>
      <c r="F389" s="111" t="s">
        <v>81</v>
      </c>
      <c r="G389" s="111" t="s">
        <v>54</v>
      </c>
      <c r="H389" s="111" t="s">
        <v>198</v>
      </c>
      <c r="I389" s="112" t="s">
        <v>631</v>
      </c>
    </row>
    <row r="390" spans="1:9" ht="15.6" x14ac:dyDescent="0.3">
      <c r="A390" s="111" t="s">
        <v>698</v>
      </c>
      <c r="B390" s="111" t="s">
        <v>79</v>
      </c>
      <c r="C390" s="111" t="s">
        <v>84</v>
      </c>
      <c r="D390" s="111" t="s">
        <v>1</v>
      </c>
      <c r="E390" s="111" t="s">
        <v>584</v>
      </c>
      <c r="F390" s="111" t="s">
        <v>33</v>
      </c>
      <c r="G390" s="111" t="s">
        <v>54</v>
      </c>
      <c r="H390" s="111" t="s">
        <v>181</v>
      </c>
      <c r="I390" s="114" t="s">
        <v>647</v>
      </c>
    </row>
    <row r="391" spans="1:9" ht="15.6" x14ac:dyDescent="0.3">
      <c r="A391" s="111" t="s">
        <v>698</v>
      </c>
      <c r="B391" s="111" t="s">
        <v>79</v>
      </c>
      <c r="C391" s="111" t="s">
        <v>199</v>
      </c>
      <c r="D391" s="111" t="s">
        <v>1</v>
      </c>
      <c r="E391" s="111" t="s">
        <v>642</v>
      </c>
      <c r="F391" s="111" t="s">
        <v>33</v>
      </c>
      <c r="G391" s="111" t="s">
        <v>54</v>
      </c>
      <c r="H391" s="111" t="s">
        <v>181</v>
      </c>
      <c r="I391" s="114" t="s">
        <v>635</v>
      </c>
    </row>
    <row r="392" spans="1:9" ht="15.6" x14ac:dyDescent="0.3">
      <c r="A392" s="111" t="s">
        <v>698</v>
      </c>
      <c r="B392" s="111" t="s">
        <v>79</v>
      </c>
      <c r="C392" s="111" t="s">
        <v>200</v>
      </c>
      <c r="D392" s="111" t="s">
        <v>1</v>
      </c>
      <c r="E392" s="111" t="s">
        <v>645</v>
      </c>
      <c r="F392" s="111" t="s">
        <v>33</v>
      </c>
      <c r="G392" s="111" t="s">
        <v>54</v>
      </c>
      <c r="H392" s="111" t="s">
        <v>202</v>
      </c>
      <c r="I392" s="114" t="s">
        <v>650</v>
      </c>
    </row>
    <row r="393" spans="1:9" ht="15.6" x14ac:dyDescent="0.3">
      <c r="A393" s="111" t="s">
        <v>698</v>
      </c>
      <c r="B393" s="111" t="s">
        <v>45</v>
      </c>
      <c r="C393" s="111" t="s">
        <v>58</v>
      </c>
      <c r="D393" s="111" t="s">
        <v>1</v>
      </c>
      <c r="E393" s="111" t="s">
        <v>579</v>
      </c>
      <c r="F393" s="111" t="s">
        <v>51</v>
      </c>
      <c r="G393" s="111" t="s">
        <v>29</v>
      </c>
      <c r="H393" s="111" t="s">
        <v>38</v>
      </c>
      <c r="I393" s="114" t="s">
        <v>699</v>
      </c>
    </row>
    <row r="394" spans="1:9" ht="15.6" x14ac:dyDescent="0.3">
      <c r="A394" s="111" t="s">
        <v>698</v>
      </c>
      <c r="B394" s="111" t="s">
        <v>45</v>
      </c>
      <c r="C394" s="111" t="s">
        <v>57</v>
      </c>
      <c r="D394" s="111" t="s">
        <v>1</v>
      </c>
      <c r="E394" s="111" t="s">
        <v>578</v>
      </c>
      <c r="F394" s="111" t="s">
        <v>51</v>
      </c>
      <c r="G394" s="111" t="s">
        <v>54</v>
      </c>
      <c r="H394" s="111" t="s">
        <v>118</v>
      </c>
      <c r="I394" s="114" t="s">
        <v>655</v>
      </c>
    </row>
    <row r="395" spans="1:9" ht="15.6" x14ac:dyDescent="0.3">
      <c r="A395" s="111" t="s">
        <v>698</v>
      </c>
      <c r="B395" s="111" t="s">
        <v>45</v>
      </c>
      <c r="C395" s="111" t="s">
        <v>46</v>
      </c>
      <c r="D395" s="111" t="s">
        <v>1</v>
      </c>
      <c r="E395" s="111" t="s">
        <v>571</v>
      </c>
      <c r="F395" s="111" t="s">
        <v>51</v>
      </c>
      <c r="G395" s="111" t="s">
        <v>54</v>
      </c>
      <c r="H395" s="111" t="s">
        <v>118</v>
      </c>
      <c r="I395" s="114" t="s">
        <v>655</v>
      </c>
    </row>
    <row r="396" spans="1:9" ht="15.6" x14ac:dyDescent="0.3">
      <c r="A396" s="111" t="s">
        <v>698</v>
      </c>
      <c r="B396" s="111" t="s">
        <v>45</v>
      </c>
      <c r="C396" s="111" t="s">
        <v>53</v>
      </c>
      <c r="D396" s="111" t="s">
        <v>1</v>
      </c>
      <c r="E396" s="111" t="s">
        <v>577</v>
      </c>
      <c r="F396" s="111" t="s">
        <v>51</v>
      </c>
      <c r="G396" s="111" t="s">
        <v>54</v>
      </c>
      <c r="H396" s="111" t="s">
        <v>280</v>
      </c>
      <c r="I396" s="114" t="s">
        <v>610</v>
      </c>
    </row>
    <row r="397" spans="1:9" ht="15.6" x14ac:dyDescent="0.3">
      <c r="A397" s="111" t="s">
        <v>698</v>
      </c>
      <c r="B397" s="111" t="s">
        <v>45</v>
      </c>
      <c r="C397" s="111" t="s">
        <v>62</v>
      </c>
      <c r="D397" s="111" t="s">
        <v>1</v>
      </c>
      <c r="E397" s="111" t="s">
        <v>469</v>
      </c>
      <c r="F397" s="111" t="s">
        <v>51</v>
      </c>
      <c r="G397" s="111" t="s">
        <v>29</v>
      </c>
      <c r="H397" s="111" t="s">
        <v>280</v>
      </c>
      <c r="I397" s="114" t="s">
        <v>700</v>
      </c>
    </row>
    <row r="398" spans="1:9" ht="15.6" x14ac:dyDescent="0.3">
      <c r="A398" s="111" t="s">
        <v>698</v>
      </c>
      <c r="B398" s="111" t="s">
        <v>45</v>
      </c>
      <c r="C398" s="111" t="s">
        <v>59</v>
      </c>
      <c r="D398" s="111" t="s">
        <v>1</v>
      </c>
      <c r="E398" s="111" t="s">
        <v>580</v>
      </c>
      <c r="F398" s="111" t="s">
        <v>51</v>
      </c>
      <c r="G398" s="111" t="s">
        <v>54</v>
      </c>
      <c r="H398" s="111" t="s">
        <v>280</v>
      </c>
      <c r="I398" s="114" t="s">
        <v>610</v>
      </c>
    </row>
    <row r="399" spans="1:9" ht="15.6" x14ac:dyDescent="0.3">
      <c r="A399" s="111" t="s">
        <v>698</v>
      </c>
      <c r="B399" s="111" t="s">
        <v>45</v>
      </c>
      <c r="C399" s="111" t="s">
        <v>60</v>
      </c>
      <c r="D399" s="111" t="s">
        <v>1</v>
      </c>
      <c r="E399" s="111" t="s">
        <v>581</v>
      </c>
      <c r="F399" s="111" t="s">
        <v>51</v>
      </c>
      <c r="G399" s="111" t="s">
        <v>29</v>
      </c>
      <c r="H399" s="111" t="s">
        <v>280</v>
      </c>
      <c r="I399" s="114" t="s">
        <v>700</v>
      </c>
    </row>
    <row r="400" spans="1:9" ht="15.6" x14ac:dyDescent="0.3">
      <c r="A400" s="111" t="s">
        <v>698</v>
      </c>
      <c r="B400" s="111" t="s">
        <v>45</v>
      </c>
      <c r="C400" s="111" t="s">
        <v>66</v>
      </c>
      <c r="D400" s="111" t="s">
        <v>1</v>
      </c>
      <c r="E400" s="111" t="s">
        <v>605</v>
      </c>
      <c r="F400" s="111" t="s">
        <v>51</v>
      </c>
      <c r="G400" s="111" t="s">
        <v>185</v>
      </c>
      <c r="H400" s="111" t="s">
        <v>280</v>
      </c>
      <c r="I400" s="114" t="s">
        <v>700</v>
      </c>
    </row>
    <row r="401" spans="1:9" ht="15.6" x14ac:dyDescent="0.3">
      <c r="A401" s="111" t="s">
        <v>698</v>
      </c>
      <c r="B401" s="111" t="s">
        <v>130</v>
      </c>
      <c r="C401" s="111" t="s">
        <v>147</v>
      </c>
      <c r="D401" s="111" t="s">
        <v>1</v>
      </c>
      <c r="E401" s="111" t="s">
        <v>619</v>
      </c>
      <c r="F401" s="111" t="s">
        <v>134</v>
      </c>
      <c r="G401" s="111" t="s">
        <v>61</v>
      </c>
      <c r="H401" s="111" t="s">
        <v>177</v>
      </c>
      <c r="I401" s="114" t="s">
        <v>656</v>
      </c>
    </row>
    <row r="402" spans="1:9" ht="15.6" x14ac:dyDescent="0.3">
      <c r="A402" s="111" t="s">
        <v>698</v>
      </c>
      <c r="B402" s="111" t="s">
        <v>130</v>
      </c>
      <c r="C402" s="111" t="s">
        <v>136</v>
      </c>
      <c r="D402" s="111" t="s">
        <v>1</v>
      </c>
      <c r="E402" s="111" t="s">
        <v>609</v>
      </c>
      <c r="F402" s="111" t="s">
        <v>134</v>
      </c>
      <c r="G402" s="111" t="s">
        <v>76</v>
      </c>
      <c r="H402" s="111" t="s">
        <v>177</v>
      </c>
      <c r="I402" s="114" t="s">
        <v>656</v>
      </c>
    </row>
    <row r="403" spans="1:9" ht="15.6" x14ac:dyDescent="0.3">
      <c r="A403" s="111" t="s">
        <v>698</v>
      </c>
      <c r="B403" s="111" t="s">
        <v>130</v>
      </c>
      <c r="C403" s="111" t="s">
        <v>137</v>
      </c>
      <c r="D403" s="111" t="s">
        <v>1</v>
      </c>
      <c r="E403" s="111" t="s">
        <v>611</v>
      </c>
      <c r="F403" s="111" t="s">
        <v>134</v>
      </c>
      <c r="G403" s="111" t="s">
        <v>76</v>
      </c>
      <c r="H403" s="111" t="s">
        <v>177</v>
      </c>
      <c r="I403" s="114" t="s">
        <v>656</v>
      </c>
    </row>
    <row r="404" spans="1:9" ht="15.6" x14ac:dyDescent="0.3">
      <c r="A404" s="111" t="s">
        <v>698</v>
      </c>
      <c r="B404" s="111" t="s">
        <v>130</v>
      </c>
      <c r="C404" s="111" t="s">
        <v>138</v>
      </c>
      <c r="D404" s="111" t="s">
        <v>1</v>
      </c>
      <c r="E404" s="111" t="s">
        <v>613</v>
      </c>
      <c r="F404" s="111" t="s">
        <v>134</v>
      </c>
      <c r="G404" s="111" t="s">
        <v>76</v>
      </c>
      <c r="H404" s="111" t="s">
        <v>177</v>
      </c>
      <c r="I404" s="114" t="s">
        <v>656</v>
      </c>
    </row>
    <row r="405" spans="1:9" ht="15.6" x14ac:dyDescent="0.3">
      <c r="A405" s="111" t="s">
        <v>698</v>
      </c>
      <c r="B405" s="111" t="s">
        <v>130</v>
      </c>
      <c r="C405" s="111" t="s">
        <v>143</v>
      </c>
      <c r="D405" s="111" t="s">
        <v>1</v>
      </c>
      <c r="E405" s="111" t="s">
        <v>420</v>
      </c>
      <c r="F405" s="111" t="s">
        <v>134</v>
      </c>
      <c r="G405" s="111" t="s">
        <v>76</v>
      </c>
      <c r="H405" s="111" t="s">
        <v>135</v>
      </c>
      <c r="I405" s="114" t="s">
        <v>668</v>
      </c>
    </row>
    <row r="406" spans="1:9" ht="15.6" x14ac:dyDescent="0.3">
      <c r="A406" s="111" t="s">
        <v>698</v>
      </c>
      <c r="B406" s="111" t="s">
        <v>130</v>
      </c>
      <c r="C406" s="111" t="s">
        <v>131</v>
      </c>
      <c r="D406" s="111" t="s">
        <v>1</v>
      </c>
      <c r="E406" s="111" t="s">
        <v>607</v>
      </c>
      <c r="F406" s="111" t="s">
        <v>134</v>
      </c>
      <c r="G406" s="111" t="s">
        <v>76</v>
      </c>
      <c r="H406" s="111" t="s">
        <v>135</v>
      </c>
      <c r="I406" s="114" t="s">
        <v>630</v>
      </c>
    </row>
    <row r="407" spans="1:9" ht="15.6" x14ac:dyDescent="0.3">
      <c r="A407" s="111" t="s">
        <v>698</v>
      </c>
      <c r="B407" s="111" t="s">
        <v>130</v>
      </c>
      <c r="C407" s="111" t="s">
        <v>148</v>
      </c>
      <c r="D407" s="111" t="s">
        <v>1</v>
      </c>
      <c r="E407" s="111" t="s">
        <v>620</v>
      </c>
      <c r="F407" s="111" t="s">
        <v>134</v>
      </c>
      <c r="G407" s="111" t="s">
        <v>76</v>
      </c>
      <c r="H407" s="111" t="s">
        <v>135</v>
      </c>
      <c r="I407" s="114" t="s">
        <v>668</v>
      </c>
    </row>
    <row r="408" spans="1:9" ht="15.6" x14ac:dyDescent="0.3">
      <c r="A408" s="111" t="s">
        <v>698</v>
      </c>
      <c r="B408" s="111" t="s">
        <v>26</v>
      </c>
      <c r="C408" s="111" t="s">
        <v>35</v>
      </c>
      <c r="D408" s="111" t="s">
        <v>1</v>
      </c>
      <c r="E408" s="111" t="s">
        <v>572</v>
      </c>
      <c r="F408" s="111" t="s">
        <v>33</v>
      </c>
      <c r="G408" s="111" t="s">
        <v>61</v>
      </c>
      <c r="H408" s="111" t="s">
        <v>34</v>
      </c>
      <c r="I408" s="112" t="s">
        <v>593</v>
      </c>
    </row>
    <row r="409" spans="1:9" ht="15.6" x14ac:dyDescent="0.3">
      <c r="A409" s="111" t="s">
        <v>698</v>
      </c>
      <c r="B409" s="111" t="s">
        <v>26</v>
      </c>
      <c r="C409" s="111" t="s">
        <v>39</v>
      </c>
      <c r="D409" s="111" t="s">
        <v>1</v>
      </c>
      <c r="E409" s="111" t="s">
        <v>573</v>
      </c>
      <c r="F409" s="111" t="s">
        <v>33</v>
      </c>
      <c r="G409" s="111" t="s">
        <v>297</v>
      </c>
      <c r="H409" s="111" t="s">
        <v>34</v>
      </c>
      <c r="I409" s="112" t="s">
        <v>593</v>
      </c>
    </row>
    <row r="410" spans="1:9" ht="15.6" x14ac:dyDescent="0.3">
      <c r="A410" s="111" t="s">
        <v>698</v>
      </c>
      <c r="B410" s="111" t="s">
        <v>26</v>
      </c>
      <c r="C410" s="111" t="s">
        <v>27</v>
      </c>
      <c r="D410" s="111" t="s">
        <v>1</v>
      </c>
      <c r="E410" s="111" t="s">
        <v>570</v>
      </c>
      <c r="F410" s="111" t="s">
        <v>33</v>
      </c>
      <c r="G410" s="111" t="s">
        <v>40</v>
      </c>
      <c r="H410" s="111" t="s">
        <v>34</v>
      </c>
      <c r="I410" s="112" t="s">
        <v>631</v>
      </c>
    </row>
    <row r="411" spans="1:9" ht="15.6" x14ac:dyDescent="0.3">
      <c r="A411" s="111" t="s">
        <v>698</v>
      </c>
      <c r="B411" s="111" t="s">
        <v>26</v>
      </c>
      <c r="C411" s="111" t="s">
        <v>41</v>
      </c>
      <c r="D411" s="111" t="s">
        <v>1</v>
      </c>
      <c r="E411" s="111" t="s">
        <v>583</v>
      </c>
      <c r="F411" s="111" t="s">
        <v>33</v>
      </c>
      <c r="G411" s="111" t="s">
        <v>36</v>
      </c>
      <c r="H411" s="111" t="s">
        <v>34</v>
      </c>
      <c r="I411" s="112" t="s">
        <v>593</v>
      </c>
    </row>
    <row r="412" spans="1:9" ht="15.6" x14ac:dyDescent="0.3">
      <c r="A412" s="111" t="s">
        <v>698</v>
      </c>
      <c r="B412" s="111" t="s">
        <v>130</v>
      </c>
      <c r="C412" s="111" t="s">
        <v>142</v>
      </c>
      <c r="D412" s="111" t="s">
        <v>1</v>
      </c>
      <c r="E412" s="111" t="s">
        <v>572</v>
      </c>
      <c r="F412" s="111" t="s">
        <v>134</v>
      </c>
      <c r="G412" s="111" t="s">
        <v>110</v>
      </c>
      <c r="H412" s="111" t="s">
        <v>218</v>
      </c>
      <c r="I412" s="113" t="s">
        <v>594</v>
      </c>
    </row>
    <row r="413" spans="1:9" ht="15.6" x14ac:dyDescent="0.3">
      <c r="A413" s="111" t="s">
        <v>698</v>
      </c>
      <c r="B413" s="111" t="s">
        <v>130</v>
      </c>
      <c r="C413" s="111" t="s">
        <v>139</v>
      </c>
      <c r="D413" s="111" t="s">
        <v>1</v>
      </c>
      <c r="E413" s="111" t="s">
        <v>570</v>
      </c>
      <c r="F413" s="111" t="s">
        <v>134</v>
      </c>
      <c r="G413" s="111" t="s">
        <v>110</v>
      </c>
      <c r="H413" s="111" t="s">
        <v>178</v>
      </c>
      <c r="I413" s="113" t="s">
        <v>623</v>
      </c>
    </row>
    <row r="414" spans="1:9" ht="15.6" x14ac:dyDescent="0.3">
      <c r="A414" s="111" t="s">
        <v>698</v>
      </c>
      <c r="B414" s="111" t="s">
        <v>130</v>
      </c>
      <c r="C414" s="111" t="s">
        <v>141</v>
      </c>
      <c r="D414" s="111" t="s">
        <v>1</v>
      </c>
      <c r="E414" s="111" t="s">
        <v>573</v>
      </c>
      <c r="F414" s="111" t="s">
        <v>134</v>
      </c>
      <c r="G414" s="111" t="s">
        <v>110</v>
      </c>
      <c r="H414" s="111" t="s">
        <v>178</v>
      </c>
      <c r="I414" s="113" t="s">
        <v>592</v>
      </c>
    </row>
    <row r="415" spans="1:9" ht="15.6" x14ac:dyDescent="0.3">
      <c r="A415" s="111" t="s">
        <v>698</v>
      </c>
      <c r="B415" s="111" t="s">
        <v>130</v>
      </c>
      <c r="C415" s="111" t="s">
        <v>149</v>
      </c>
      <c r="D415" s="111" t="s">
        <v>1</v>
      </c>
      <c r="E415" s="111" t="s">
        <v>583</v>
      </c>
      <c r="F415" s="111" t="s">
        <v>134</v>
      </c>
      <c r="G415" s="111" t="s">
        <v>110</v>
      </c>
      <c r="H415" s="111" t="s">
        <v>140</v>
      </c>
      <c r="I415" s="112" t="s">
        <v>597</v>
      </c>
    </row>
    <row r="416" spans="1:9" ht="15.6" x14ac:dyDescent="0.3">
      <c r="A416" s="109" t="s">
        <v>701</v>
      </c>
      <c r="B416" s="109" t="s">
        <v>87</v>
      </c>
      <c r="C416" s="109" t="s">
        <v>220</v>
      </c>
      <c r="D416" s="109" t="s">
        <v>1</v>
      </c>
      <c r="E416" s="109" t="s">
        <v>509</v>
      </c>
      <c r="F416" s="109" t="s">
        <v>89</v>
      </c>
      <c r="G416" s="109" t="s">
        <v>103</v>
      </c>
      <c r="H416" s="109" t="s">
        <v>159</v>
      </c>
      <c r="I416" s="110" t="s">
        <v>589</v>
      </c>
    </row>
    <row r="417" spans="1:9" ht="15.6" x14ac:dyDescent="0.3">
      <c r="A417" s="109" t="s">
        <v>701</v>
      </c>
      <c r="B417" s="109" t="s">
        <v>87</v>
      </c>
      <c r="C417" s="109" t="s">
        <v>95</v>
      </c>
      <c r="D417" s="109" t="s">
        <v>1</v>
      </c>
      <c r="E417" s="109" t="s">
        <v>514</v>
      </c>
      <c r="F417" s="109" t="s">
        <v>89</v>
      </c>
      <c r="G417" s="109" t="s">
        <v>76</v>
      </c>
      <c r="H417" s="109" t="s">
        <v>330</v>
      </c>
      <c r="I417" s="110" t="s">
        <v>589</v>
      </c>
    </row>
    <row r="418" spans="1:9" ht="15.6" x14ac:dyDescent="0.3">
      <c r="A418" s="111" t="s">
        <v>701</v>
      </c>
      <c r="B418" s="111" t="s">
        <v>79</v>
      </c>
      <c r="C418" s="111" t="s">
        <v>84</v>
      </c>
      <c r="D418" s="111" t="s">
        <v>1</v>
      </c>
      <c r="E418" s="111" t="s">
        <v>660</v>
      </c>
      <c r="F418" s="111" t="s">
        <v>81</v>
      </c>
      <c r="G418" s="111" t="s">
        <v>54</v>
      </c>
      <c r="H418" s="111" t="s">
        <v>198</v>
      </c>
      <c r="I418" s="112" t="s">
        <v>631</v>
      </c>
    </row>
    <row r="419" spans="1:9" ht="15.6" x14ac:dyDescent="0.3">
      <c r="A419" s="111" t="s">
        <v>701</v>
      </c>
      <c r="B419" s="111" t="s">
        <v>79</v>
      </c>
      <c r="C419" s="111" t="s">
        <v>80</v>
      </c>
      <c r="D419" s="111" t="s">
        <v>1</v>
      </c>
      <c r="E419" s="111" t="s">
        <v>662</v>
      </c>
      <c r="F419" s="111" t="s">
        <v>81</v>
      </c>
      <c r="G419" s="111" t="s">
        <v>54</v>
      </c>
      <c r="H419" s="111" t="s">
        <v>198</v>
      </c>
      <c r="I419" s="112" t="s">
        <v>631</v>
      </c>
    </row>
    <row r="420" spans="1:9" ht="15.6" x14ac:dyDescent="0.3">
      <c r="A420" s="111" t="s">
        <v>701</v>
      </c>
      <c r="B420" s="111" t="s">
        <v>26</v>
      </c>
      <c r="C420" s="111" t="s">
        <v>27</v>
      </c>
      <c r="D420" s="111" t="s">
        <v>1</v>
      </c>
      <c r="E420" s="111" t="s">
        <v>570</v>
      </c>
      <c r="F420" s="111" t="s">
        <v>28</v>
      </c>
      <c r="G420" s="111" t="s">
        <v>42</v>
      </c>
      <c r="H420" s="111" t="s">
        <v>30</v>
      </c>
      <c r="I420" s="114" t="s">
        <v>702</v>
      </c>
    </row>
    <row r="421" spans="1:9" ht="15.6" x14ac:dyDescent="0.3">
      <c r="A421" s="111" t="s">
        <v>701</v>
      </c>
      <c r="B421" s="111" t="s">
        <v>26</v>
      </c>
      <c r="C421" s="111" t="s">
        <v>41</v>
      </c>
      <c r="D421" s="111" t="s">
        <v>1</v>
      </c>
      <c r="E421" s="111" t="s">
        <v>583</v>
      </c>
      <c r="F421" s="111" t="s">
        <v>28</v>
      </c>
      <c r="G421" s="111" t="s">
        <v>185</v>
      </c>
      <c r="H421" s="111" t="s">
        <v>37</v>
      </c>
      <c r="I421" s="113" t="s">
        <v>615</v>
      </c>
    </row>
    <row r="422" spans="1:9" ht="15.6" x14ac:dyDescent="0.3">
      <c r="A422" s="111" t="s">
        <v>701</v>
      </c>
      <c r="B422" s="111" t="s">
        <v>70</v>
      </c>
      <c r="C422" s="111" t="s">
        <v>155</v>
      </c>
      <c r="D422" s="111" t="s">
        <v>1</v>
      </c>
      <c r="E422" s="111" t="s">
        <v>703</v>
      </c>
      <c r="F422" s="111" t="s">
        <v>72</v>
      </c>
      <c r="G422" s="111" t="s">
        <v>76</v>
      </c>
      <c r="H422" s="111" t="s">
        <v>73</v>
      </c>
      <c r="I422" s="112" t="s">
        <v>624</v>
      </c>
    </row>
    <row r="423" spans="1:9" ht="15.6" x14ac:dyDescent="0.3">
      <c r="A423" s="111" t="s">
        <v>701</v>
      </c>
      <c r="B423" s="111" t="s">
        <v>74</v>
      </c>
      <c r="C423" s="111" t="s">
        <v>78</v>
      </c>
      <c r="D423" s="111" t="s">
        <v>1</v>
      </c>
      <c r="E423" s="111" t="s">
        <v>576</v>
      </c>
      <c r="F423" s="111" t="s">
        <v>72</v>
      </c>
      <c r="G423" s="111" t="s">
        <v>76</v>
      </c>
      <c r="H423" s="111" t="s">
        <v>77</v>
      </c>
      <c r="I423" s="114" t="s">
        <v>704</v>
      </c>
    </row>
    <row r="424" spans="1:9" ht="15.6" x14ac:dyDescent="0.3">
      <c r="A424" s="111" t="s">
        <v>701</v>
      </c>
      <c r="B424" s="111" t="s">
        <v>45</v>
      </c>
      <c r="C424" s="111" t="s">
        <v>58</v>
      </c>
      <c r="D424" s="111" t="s">
        <v>1</v>
      </c>
      <c r="E424" s="111" t="s">
        <v>579</v>
      </c>
      <c r="F424" s="111" t="s">
        <v>47</v>
      </c>
      <c r="G424" s="111" t="s">
        <v>54</v>
      </c>
      <c r="H424" s="111" t="s">
        <v>55</v>
      </c>
      <c r="I424" s="114" t="s">
        <v>614</v>
      </c>
    </row>
    <row r="425" spans="1:9" ht="15.6" x14ac:dyDescent="0.3">
      <c r="A425" s="111" t="s">
        <v>701</v>
      </c>
      <c r="B425" s="111" t="s">
        <v>45</v>
      </c>
      <c r="C425" s="111" t="s">
        <v>62</v>
      </c>
      <c r="D425" s="111" t="s">
        <v>1</v>
      </c>
      <c r="E425" s="111" t="s">
        <v>469</v>
      </c>
      <c r="F425" s="111" t="s">
        <v>47</v>
      </c>
      <c r="G425" s="111" t="s">
        <v>54</v>
      </c>
      <c r="H425" s="111" t="s">
        <v>55</v>
      </c>
      <c r="I425" s="114" t="s">
        <v>614</v>
      </c>
    </row>
    <row r="426" spans="1:9" ht="15.6" x14ac:dyDescent="0.3">
      <c r="A426" s="111" t="s">
        <v>701</v>
      </c>
      <c r="B426" s="111" t="s">
        <v>45</v>
      </c>
      <c r="C426" s="111" t="s">
        <v>66</v>
      </c>
      <c r="D426" s="111" t="s">
        <v>1</v>
      </c>
      <c r="E426" s="111" t="s">
        <v>605</v>
      </c>
      <c r="F426" s="111" t="s">
        <v>47</v>
      </c>
      <c r="G426" s="111" t="s">
        <v>36</v>
      </c>
      <c r="H426" s="111" t="s">
        <v>55</v>
      </c>
      <c r="I426" s="114" t="s">
        <v>614</v>
      </c>
    </row>
    <row r="427" spans="1:9" ht="15.6" x14ac:dyDescent="0.3">
      <c r="A427" s="111" t="s">
        <v>701</v>
      </c>
      <c r="B427" s="111" t="s">
        <v>45</v>
      </c>
      <c r="C427" s="111" t="s">
        <v>60</v>
      </c>
      <c r="D427" s="111" t="s">
        <v>1</v>
      </c>
      <c r="E427" s="111" t="s">
        <v>581</v>
      </c>
      <c r="F427" s="111" t="s">
        <v>47</v>
      </c>
      <c r="G427" s="111" t="s">
        <v>96</v>
      </c>
      <c r="H427" s="111" t="s">
        <v>63</v>
      </c>
      <c r="I427" s="114" t="s">
        <v>644</v>
      </c>
    </row>
    <row r="428" spans="1:9" ht="15.6" x14ac:dyDescent="0.3">
      <c r="A428" s="111" t="s">
        <v>701</v>
      </c>
      <c r="B428" s="111" t="s">
        <v>79</v>
      </c>
      <c r="C428" s="111" t="s">
        <v>84</v>
      </c>
      <c r="D428" s="111" t="s">
        <v>1</v>
      </c>
      <c r="E428" s="111" t="s">
        <v>660</v>
      </c>
      <c r="F428" s="111" t="s">
        <v>33</v>
      </c>
      <c r="G428" s="111" t="s">
        <v>54</v>
      </c>
      <c r="H428" s="111" t="s">
        <v>181</v>
      </c>
      <c r="I428" s="114" t="s">
        <v>635</v>
      </c>
    </row>
    <row r="429" spans="1:9" ht="15.6" x14ac:dyDescent="0.3">
      <c r="A429" s="111" t="s">
        <v>701</v>
      </c>
      <c r="B429" s="111" t="s">
        <v>79</v>
      </c>
      <c r="C429" s="111" t="s">
        <v>80</v>
      </c>
      <c r="D429" s="111" t="s">
        <v>1</v>
      </c>
      <c r="E429" s="111" t="s">
        <v>662</v>
      </c>
      <c r="F429" s="111" t="s">
        <v>33</v>
      </c>
      <c r="G429" s="111" t="s">
        <v>54</v>
      </c>
      <c r="H429" s="111" t="s">
        <v>181</v>
      </c>
      <c r="I429" s="114" t="s">
        <v>635</v>
      </c>
    </row>
    <row r="430" spans="1:9" ht="15.6" x14ac:dyDescent="0.3">
      <c r="A430" s="111" t="s">
        <v>701</v>
      </c>
      <c r="B430" s="111" t="s">
        <v>45</v>
      </c>
      <c r="C430" s="111" t="s">
        <v>53</v>
      </c>
      <c r="D430" s="111" t="s">
        <v>1</v>
      </c>
      <c r="E430" s="111" t="s">
        <v>577</v>
      </c>
      <c r="F430" s="111" t="s">
        <v>47</v>
      </c>
      <c r="G430" s="111" t="s">
        <v>110</v>
      </c>
      <c r="H430" s="111" t="s">
        <v>266</v>
      </c>
      <c r="I430" s="113" t="s">
        <v>623</v>
      </c>
    </row>
    <row r="431" spans="1:9" ht="15.6" x14ac:dyDescent="0.3">
      <c r="A431" s="111" t="s">
        <v>701</v>
      </c>
      <c r="B431" s="111" t="s">
        <v>26</v>
      </c>
      <c r="C431" s="111" t="s">
        <v>27</v>
      </c>
      <c r="D431" s="111" t="s">
        <v>1</v>
      </c>
      <c r="E431" s="111" t="s">
        <v>570</v>
      </c>
      <c r="F431" s="111" t="s">
        <v>31</v>
      </c>
      <c r="G431" s="111" t="s">
        <v>42</v>
      </c>
      <c r="H431" s="111" t="s">
        <v>32</v>
      </c>
      <c r="I431" s="114" t="s">
        <v>702</v>
      </c>
    </row>
    <row r="432" spans="1:9" ht="15.6" x14ac:dyDescent="0.3">
      <c r="A432" s="111" t="s">
        <v>701</v>
      </c>
      <c r="B432" s="111" t="s">
        <v>45</v>
      </c>
      <c r="C432" s="111" t="s">
        <v>58</v>
      </c>
      <c r="D432" s="111" t="s">
        <v>1</v>
      </c>
      <c r="E432" s="111" t="s">
        <v>579</v>
      </c>
      <c r="F432" s="111" t="s">
        <v>49</v>
      </c>
      <c r="G432" s="111" t="s">
        <v>54</v>
      </c>
      <c r="H432" s="111" t="s">
        <v>32</v>
      </c>
      <c r="I432" s="114" t="s">
        <v>616</v>
      </c>
    </row>
    <row r="433" spans="1:9" ht="15.6" x14ac:dyDescent="0.3">
      <c r="A433" s="111" t="s">
        <v>701</v>
      </c>
      <c r="B433" s="111" t="s">
        <v>45</v>
      </c>
      <c r="C433" s="111" t="s">
        <v>62</v>
      </c>
      <c r="D433" s="111" t="s">
        <v>1</v>
      </c>
      <c r="E433" s="111" t="s">
        <v>469</v>
      </c>
      <c r="F433" s="111" t="s">
        <v>49</v>
      </c>
      <c r="G433" s="111" t="s">
        <v>54</v>
      </c>
      <c r="H433" s="111" t="s">
        <v>32</v>
      </c>
      <c r="I433" s="114" t="s">
        <v>616</v>
      </c>
    </row>
    <row r="434" spans="1:9" ht="15.6" x14ac:dyDescent="0.3">
      <c r="A434" s="111" t="s">
        <v>701</v>
      </c>
      <c r="B434" s="111" t="s">
        <v>45</v>
      </c>
      <c r="C434" s="111" t="s">
        <v>66</v>
      </c>
      <c r="D434" s="111" t="s">
        <v>1</v>
      </c>
      <c r="E434" s="111" t="s">
        <v>605</v>
      </c>
      <c r="F434" s="111" t="s">
        <v>49</v>
      </c>
      <c r="G434" s="111" t="s">
        <v>36</v>
      </c>
      <c r="H434" s="111" t="s">
        <v>32</v>
      </c>
      <c r="I434" s="114" t="s">
        <v>616</v>
      </c>
    </row>
    <row r="435" spans="1:9" ht="15.6" x14ac:dyDescent="0.3">
      <c r="A435" s="111" t="s">
        <v>701</v>
      </c>
      <c r="B435" s="111" t="s">
        <v>45</v>
      </c>
      <c r="C435" s="111" t="s">
        <v>59</v>
      </c>
      <c r="D435" s="111" t="s">
        <v>1</v>
      </c>
      <c r="E435" s="111" t="s">
        <v>580</v>
      </c>
      <c r="F435" s="111" t="s">
        <v>47</v>
      </c>
      <c r="G435" s="111" t="s">
        <v>54</v>
      </c>
      <c r="H435" s="111" t="s">
        <v>279</v>
      </c>
      <c r="I435" s="113" t="s">
        <v>595</v>
      </c>
    </row>
    <row r="436" spans="1:9" ht="15.6" x14ac:dyDescent="0.3">
      <c r="A436" s="111" t="s">
        <v>701</v>
      </c>
      <c r="B436" s="111" t="s">
        <v>26</v>
      </c>
      <c r="C436" s="111" t="s">
        <v>41</v>
      </c>
      <c r="D436" s="111" t="s">
        <v>1</v>
      </c>
      <c r="E436" s="111" t="s">
        <v>583</v>
      </c>
      <c r="F436" s="111" t="s">
        <v>31</v>
      </c>
      <c r="G436" s="111" t="s">
        <v>185</v>
      </c>
      <c r="H436" s="111" t="s">
        <v>38</v>
      </c>
      <c r="I436" s="113" t="s">
        <v>615</v>
      </c>
    </row>
    <row r="437" spans="1:9" ht="15.6" x14ac:dyDescent="0.3">
      <c r="A437" s="111" t="s">
        <v>701</v>
      </c>
      <c r="B437" s="111" t="s">
        <v>45</v>
      </c>
      <c r="C437" s="111" t="s">
        <v>60</v>
      </c>
      <c r="D437" s="111" t="s">
        <v>1</v>
      </c>
      <c r="E437" s="111" t="s">
        <v>581</v>
      </c>
      <c r="F437" s="111" t="s">
        <v>49</v>
      </c>
      <c r="G437" s="111" t="s">
        <v>96</v>
      </c>
      <c r="H437" s="111" t="s">
        <v>64</v>
      </c>
      <c r="I437" s="114" t="s">
        <v>646</v>
      </c>
    </row>
    <row r="438" spans="1:9" ht="15.6" x14ac:dyDescent="0.3">
      <c r="A438" s="111" t="s">
        <v>701</v>
      </c>
      <c r="B438" s="111" t="s">
        <v>45</v>
      </c>
      <c r="C438" s="111" t="s">
        <v>53</v>
      </c>
      <c r="D438" s="111" t="s">
        <v>1</v>
      </c>
      <c r="E438" s="111" t="s">
        <v>577</v>
      </c>
      <c r="F438" s="111" t="s">
        <v>49</v>
      </c>
      <c r="G438" s="111" t="s">
        <v>110</v>
      </c>
      <c r="H438" s="111" t="s">
        <v>325</v>
      </c>
      <c r="I438" s="114" t="s">
        <v>702</v>
      </c>
    </row>
    <row r="439" spans="1:9" ht="15.6" x14ac:dyDescent="0.3">
      <c r="A439" s="111" t="s">
        <v>701</v>
      </c>
      <c r="B439" s="111" t="s">
        <v>45</v>
      </c>
      <c r="C439" s="111" t="s">
        <v>58</v>
      </c>
      <c r="D439" s="111" t="s">
        <v>1</v>
      </c>
      <c r="E439" s="111" t="s">
        <v>579</v>
      </c>
      <c r="F439" s="111" t="s">
        <v>51</v>
      </c>
      <c r="G439" s="111" t="s">
        <v>54</v>
      </c>
      <c r="H439" s="111" t="s">
        <v>56</v>
      </c>
      <c r="I439" s="114" t="s">
        <v>705</v>
      </c>
    </row>
    <row r="440" spans="1:9" ht="15.6" x14ac:dyDescent="0.3">
      <c r="A440" s="111" t="s">
        <v>701</v>
      </c>
      <c r="B440" s="111" t="s">
        <v>45</v>
      </c>
      <c r="C440" s="111" t="s">
        <v>62</v>
      </c>
      <c r="D440" s="111" t="s">
        <v>1</v>
      </c>
      <c r="E440" s="111" t="s">
        <v>469</v>
      </c>
      <c r="F440" s="111" t="s">
        <v>51</v>
      </c>
      <c r="G440" s="111" t="s">
        <v>54</v>
      </c>
      <c r="H440" s="111" t="s">
        <v>56</v>
      </c>
      <c r="I440" s="114" t="s">
        <v>705</v>
      </c>
    </row>
    <row r="441" spans="1:9" ht="15.6" x14ac:dyDescent="0.3">
      <c r="A441" s="111" t="s">
        <v>701</v>
      </c>
      <c r="B441" s="111" t="s">
        <v>45</v>
      </c>
      <c r="C441" s="111" t="s">
        <v>66</v>
      </c>
      <c r="D441" s="111" t="s">
        <v>1</v>
      </c>
      <c r="E441" s="111" t="s">
        <v>605</v>
      </c>
      <c r="F441" s="111" t="s">
        <v>51</v>
      </c>
      <c r="G441" s="111" t="s">
        <v>36</v>
      </c>
      <c r="H441" s="111" t="s">
        <v>56</v>
      </c>
      <c r="I441" s="114" t="s">
        <v>705</v>
      </c>
    </row>
    <row r="442" spans="1:9" ht="15.6" x14ac:dyDescent="0.3">
      <c r="A442" s="111" t="s">
        <v>701</v>
      </c>
      <c r="B442" s="111" t="s">
        <v>130</v>
      </c>
      <c r="C442" s="111" t="s">
        <v>138</v>
      </c>
      <c r="D442" s="111" t="s">
        <v>1</v>
      </c>
      <c r="E442" s="111" t="s">
        <v>665</v>
      </c>
      <c r="F442" s="111" t="s">
        <v>134</v>
      </c>
      <c r="G442" s="111" t="s">
        <v>76</v>
      </c>
      <c r="H442" s="111" t="s">
        <v>280</v>
      </c>
      <c r="I442" s="114" t="s">
        <v>671</v>
      </c>
    </row>
    <row r="443" spans="1:9" ht="15.6" x14ac:dyDescent="0.3">
      <c r="A443" s="111" t="s">
        <v>701</v>
      </c>
      <c r="B443" s="111" t="s">
        <v>45</v>
      </c>
      <c r="C443" s="111" t="s">
        <v>59</v>
      </c>
      <c r="D443" s="111" t="s">
        <v>1</v>
      </c>
      <c r="E443" s="111" t="s">
        <v>580</v>
      </c>
      <c r="F443" s="111" t="s">
        <v>49</v>
      </c>
      <c r="G443" s="111" t="s">
        <v>54</v>
      </c>
      <c r="H443" s="111" t="s">
        <v>327</v>
      </c>
      <c r="I443" s="113" t="s">
        <v>594</v>
      </c>
    </row>
    <row r="444" spans="1:9" ht="15.6" x14ac:dyDescent="0.3">
      <c r="A444" s="111" t="s">
        <v>701</v>
      </c>
      <c r="B444" s="111" t="s">
        <v>45</v>
      </c>
      <c r="C444" s="111" t="s">
        <v>57</v>
      </c>
      <c r="D444" s="111" t="s">
        <v>1</v>
      </c>
      <c r="E444" s="111" t="s">
        <v>578</v>
      </c>
      <c r="F444" s="111" t="s">
        <v>51</v>
      </c>
      <c r="G444" s="111" t="s">
        <v>185</v>
      </c>
      <c r="H444" s="111" t="s">
        <v>65</v>
      </c>
      <c r="I444" s="114" t="s">
        <v>606</v>
      </c>
    </row>
    <row r="445" spans="1:9" ht="15.6" x14ac:dyDescent="0.3">
      <c r="A445" s="111" t="s">
        <v>701</v>
      </c>
      <c r="B445" s="111" t="s">
        <v>45</v>
      </c>
      <c r="C445" s="111" t="s">
        <v>60</v>
      </c>
      <c r="D445" s="111" t="s">
        <v>1</v>
      </c>
      <c r="E445" s="111" t="s">
        <v>581</v>
      </c>
      <c r="F445" s="111" t="s">
        <v>51</v>
      </c>
      <c r="G445" s="111" t="s">
        <v>96</v>
      </c>
      <c r="H445" s="111" t="s">
        <v>65</v>
      </c>
      <c r="I445" s="114" t="s">
        <v>651</v>
      </c>
    </row>
    <row r="446" spans="1:9" ht="15.6" x14ac:dyDescent="0.3">
      <c r="A446" s="111" t="s">
        <v>701</v>
      </c>
      <c r="B446" s="111" t="s">
        <v>45</v>
      </c>
      <c r="C446" s="111" t="s">
        <v>46</v>
      </c>
      <c r="D446" s="111" t="s">
        <v>1</v>
      </c>
      <c r="E446" s="111" t="s">
        <v>571</v>
      </c>
      <c r="F446" s="111" t="s">
        <v>51</v>
      </c>
      <c r="G446" s="111" t="s">
        <v>185</v>
      </c>
      <c r="H446" s="111" t="s">
        <v>65</v>
      </c>
      <c r="I446" s="114" t="s">
        <v>606</v>
      </c>
    </row>
    <row r="447" spans="1:9" ht="15.6" x14ac:dyDescent="0.3">
      <c r="A447" s="111" t="s">
        <v>701</v>
      </c>
      <c r="B447" s="111" t="s">
        <v>45</v>
      </c>
      <c r="C447" s="111" t="s">
        <v>53</v>
      </c>
      <c r="D447" s="111" t="s">
        <v>1</v>
      </c>
      <c r="E447" s="111" t="s">
        <v>577</v>
      </c>
      <c r="F447" s="111" t="s">
        <v>51</v>
      </c>
      <c r="G447" s="111" t="s">
        <v>110</v>
      </c>
      <c r="H447" s="111" t="s">
        <v>326</v>
      </c>
      <c r="I447" s="114" t="s">
        <v>706</v>
      </c>
    </row>
    <row r="448" spans="1:9" ht="15.6" x14ac:dyDescent="0.3">
      <c r="A448" s="111" t="s">
        <v>701</v>
      </c>
      <c r="B448" s="111" t="s">
        <v>45</v>
      </c>
      <c r="C448" s="111" t="s">
        <v>59</v>
      </c>
      <c r="D448" s="111" t="s">
        <v>1</v>
      </c>
      <c r="E448" s="111" t="s">
        <v>580</v>
      </c>
      <c r="F448" s="111" t="s">
        <v>51</v>
      </c>
      <c r="G448" s="111" t="s">
        <v>54</v>
      </c>
      <c r="H448" s="111" t="s">
        <v>328</v>
      </c>
      <c r="I448" s="114" t="s">
        <v>654</v>
      </c>
    </row>
    <row r="449" spans="1:9" ht="15.6" x14ac:dyDescent="0.3">
      <c r="A449" s="111" t="s">
        <v>701</v>
      </c>
      <c r="B449" s="111" t="s">
        <v>130</v>
      </c>
      <c r="C449" s="111" t="s">
        <v>143</v>
      </c>
      <c r="D449" s="111" t="s">
        <v>1</v>
      </c>
      <c r="E449" s="111" t="s">
        <v>420</v>
      </c>
      <c r="F449" s="111" t="s">
        <v>134</v>
      </c>
      <c r="G449" s="111" t="s">
        <v>76</v>
      </c>
      <c r="H449" s="111" t="s">
        <v>177</v>
      </c>
      <c r="I449" s="114" t="s">
        <v>602</v>
      </c>
    </row>
    <row r="450" spans="1:9" ht="15.6" x14ac:dyDescent="0.3">
      <c r="A450" s="111" t="s">
        <v>701</v>
      </c>
      <c r="B450" s="111" t="s">
        <v>130</v>
      </c>
      <c r="C450" s="111" t="s">
        <v>146</v>
      </c>
      <c r="D450" s="111" t="s">
        <v>1</v>
      </c>
      <c r="E450" s="111" t="s">
        <v>618</v>
      </c>
      <c r="F450" s="111" t="s">
        <v>134</v>
      </c>
      <c r="G450" s="111" t="s">
        <v>76</v>
      </c>
      <c r="H450" s="111" t="s">
        <v>177</v>
      </c>
      <c r="I450" s="114" t="s">
        <v>602</v>
      </c>
    </row>
    <row r="451" spans="1:9" ht="15.6" x14ac:dyDescent="0.3">
      <c r="A451" s="111" t="s">
        <v>701</v>
      </c>
      <c r="B451" s="111" t="s">
        <v>130</v>
      </c>
      <c r="C451" s="111" t="s">
        <v>136</v>
      </c>
      <c r="D451" s="111" t="s">
        <v>1</v>
      </c>
      <c r="E451" s="111" t="s">
        <v>609</v>
      </c>
      <c r="F451" s="111" t="s">
        <v>134</v>
      </c>
      <c r="G451" s="111" t="s">
        <v>76</v>
      </c>
      <c r="H451" s="111" t="s">
        <v>177</v>
      </c>
      <c r="I451" s="114" t="s">
        <v>602</v>
      </c>
    </row>
    <row r="452" spans="1:9" ht="15.6" x14ac:dyDescent="0.3">
      <c r="A452" s="111" t="s">
        <v>701</v>
      </c>
      <c r="B452" s="111" t="s">
        <v>130</v>
      </c>
      <c r="C452" s="111" t="s">
        <v>148</v>
      </c>
      <c r="D452" s="111" t="s">
        <v>1</v>
      </c>
      <c r="E452" s="111" t="s">
        <v>620</v>
      </c>
      <c r="F452" s="111" t="s">
        <v>134</v>
      </c>
      <c r="G452" s="111" t="s">
        <v>76</v>
      </c>
      <c r="H452" s="111" t="s">
        <v>135</v>
      </c>
      <c r="I452" s="114" t="s">
        <v>674</v>
      </c>
    </row>
    <row r="453" spans="1:9" ht="15.6" x14ac:dyDescent="0.3">
      <c r="A453" s="111" t="s">
        <v>701</v>
      </c>
      <c r="B453" s="111" t="s">
        <v>26</v>
      </c>
      <c r="C453" s="111" t="s">
        <v>35</v>
      </c>
      <c r="D453" s="111" t="s">
        <v>1</v>
      </c>
      <c r="E453" s="111" t="s">
        <v>572</v>
      </c>
      <c r="F453" s="111" t="s">
        <v>33</v>
      </c>
      <c r="G453" s="111" t="s">
        <v>42</v>
      </c>
      <c r="H453" s="111" t="s">
        <v>34</v>
      </c>
      <c r="I453" s="112" t="s">
        <v>631</v>
      </c>
    </row>
    <row r="454" spans="1:9" ht="15.6" x14ac:dyDescent="0.3">
      <c r="A454" s="111" t="s">
        <v>701</v>
      </c>
      <c r="B454" s="111" t="s">
        <v>26</v>
      </c>
      <c r="C454" s="111" t="s">
        <v>39</v>
      </c>
      <c r="D454" s="111" t="s">
        <v>1</v>
      </c>
      <c r="E454" s="111" t="s">
        <v>573</v>
      </c>
      <c r="F454" s="111" t="s">
        <v>33</v>
      </c>
      <c r="G454" s="111" t="s">
        <v>54</v>
      </c>
      <c r="H454" s="111" t="s">
        <v>34</v>
      </c>
      <c r="I454" s="112" t="s">
        <v>631</v>
      </c>
    </row>
    <row r="455" spans="1:9" ht="15.6" x14ac:dyDescent="0.3">
      <c r="A455" s="111" t="s">
        <v>701</v>
      </c>
      <c r="B455" s="111" t="s">
        <v>26</v>
      </c>
      <c r="C455" s="111" t="s">
        <v>27</v>
      </c>
      <c r="D455" s="111" t="s">
        <v>1</v>
      </c>
      <c r="E455" s="111" t="s">
        <v>570</v>
      </c>
      <c r="F455" s="111" t="s">
        <v>33</v>
      </c>
      <c r="G455" s="111" t="s">
        <v>42</v>
      </c>
      <c r="H455" s="111" t="s">
        <v>34</v>
      </c>
      <c r="I455" s="114" t="s">
        <v>707</v>
      </c>
    </row>
    <row r="456" spans="1:9" ht="15.6" x14ac:dyDescent="0.3">
      <c r="A456" s="111" t="s">
        <v>701</v>
      </c>
      <c r="B456" s="111" t="s">
        <v>26</v>
      </c>
      <c r="C456" s="111" t="s">
        <v>41</v>
      </c>
      <c r="D456" s="111" t="s">
        <v>1</v>
      </c>
      <c r="E456" s="111" t="s">
        <v>583</v>
      </c>
      <c r="F456" s="111" t="s">
        <v>33</v>
      </c>
      <c r="G456" s="111" t="s">
        <v>185</v>
      </c>
      <c r="H456" s="111" t="s">
        <v>34</v>
      </c>
      <c r="I456" s="114" t="s">
        <v>707</v>
      </c>
    </row>
    <row r="457" spans="1:9" ht="15.6" x14ac:dyDescent="0.3">
      <c r="A457" s="111" t="s">
        <v>701</v>
      </c>
      <c r="B457" s="111" t="s">
        <v>130</v>
      </c>
      <c r="C457" s="111" t="s">
        <v>141</v>
      </c>
      <c r="D457" s="111" t="s">
        <v>1</v>
      </c>
      <c r="E457" s="111" t="s">
        <v>573</v>
      </c>
      <c r="F457" s="111" t="s">
        <v>134</v>
      </c>
      <c r="G457" s="111" t="s">
        <v>110</v>
      </c>
      <c r="H457" s="111" t="s">
        <v>218</v>
      </c>
      <c r="I457" s="114" t="s">
        <v>702</v>
      </c>
    </row>
    <row r="458" spans="1:9" ht="15.6" x14ac:dyDescent="0.3">
      <c r="A458" s="111" t="s">
        <v>701</v>
      </c>
      <c r="B458" s="111" t="s">
        <v>130</v>
      </c>
      <c r="C458" s="111" t="s">
        <v>142</v>
      </c>
      <c r="D458" s="111" t="s">
        <v>1</v>
      </c>
      <c r="E458" s="111" t="s">
        <v>572</v>
      </c>
      <c r="F458" s="111" t="s">
        <v>134</v>
      </c>
      <c r="G458" s="111" t="s">
        <v>110</v>
      </c>
      <c r="H458" s="111" t="s">
        <v>178</v>
      </c>
      <c r="I458" s="113" t="s">
        <v>623</v>
      </c>
    </row>
    <row r="459" spans="1:9" ht="15.6" x14ac:dyDescent="0.3">
      <c r="A459" s="111" t="s">
        <v>701</v>
      </c>
      <c r="B459" s="111" t="s">
        <v>130</v>
      </c>
      <c r="C459" s="111" t="s">
        <v>139</v>
      </c>
      <c r="D459" s="111" t="s">
        <v>1</v>
      </c>
      <c r="E459" s="111" t="s">
        <v>570</v>
      </c>
      <c r="F459" s="111" t="s">
        <v>134</v>
      </c>
      <c r="G459" s="111" t="s">
        <v>110</v>
      </c>
      <c r="H459" s="111" t="s">
        <v>140</v>
      </c>
      <c r="I459" s="114" t="s">
        <v>692</v>
      </c>
    </row>
    <row r="460" spans="1:9" ht="15.6" x14ac:dyDescent="0.3">
      <c r="A460" s="111" t="s">
        <v>701</v>
      </c>
      <c r="B460" s="111" t="s">
        <v>130</v>
      </c>
      <c r="C460" s="111" t="s">
        <v>149</v>
      </c>
      <c r="D460" s="111" t="s">
        <v>1</v>
      </c>
      <c r="E460" s="111" t="s">
        <v>583</v>
      </c>
      <c r="F460" s="111" t="s">
        <v>134</v>
      </c>
      <c r="G460" s="111" t="s">
        <v>110</v>
      </c>
      <c r="H460" s="111" t="s">
        <v>140</v>
      </c>
      <c r="I460" s="114" t="s">
        <v>692</v>
      </c>
    </row>
    <row r="461" spans="1:9" ht="15.6" x14ac:dyDescent="0.3">
      <c r="A461" s="111" t="s">
        <v>701</v>
      </c>
      <c r="B461" s="111" t="s">
        <v>130</v>
      </c>
      <c r="C461" s="111" t="s">
        <v>147</v>
      </c>
      <c r="D461" s="111" t="s">
        <v>1</v>
      </c>
      <c r="E461" s="111" t="s">
        <v>619</v>
      </c>
      <c r="F461" s="111" t="s">
        <v>134</v>
      </c>
      <c r="G461" s="111" t="s">
        <v>76</v>
      </c>
      <c r="H461" s="111" t="s">
        <v>145</v>
      </c>
      <c r="I461" s="114" t="s">
        <v>704</v>
      </c>
    </row>
    <row r="462" spans="1:9" ht="15.6" x14ac:dyDescent="0.3">
      <c r="A462" s="111" t="s">
        <v>701</v>
      </c>
      <c r="B462" s="111" t="s">
        <v>130</v>
      </c>
      <c r="C462" s="111" t="s">
        <v>137</v>
      </c>
      <c r="D462" s="111" t="s">
        <v>1</v>
      </c>
      <c r="E462" s="111" t="s">
        <v>611</v>
      </c>
      <c r="F462" s="111" t="s">
        <v>134</v>
      </c>
      <c r="G462" s="111" t="s">
        <v>76</v>
      </c>
      <c r="H462" s="111" t="s">
        <v>145</v>
      </c>
      <c r="I462" s="114" t="s">
        <v>704</v>
      </c>
    </row>
    <row r="463" spans="1:9" ht="15.6" x14ac:dyDescent="0.3">
      <c r="A463" s="109" t="s">
        <v>708</v>
      </c>
      <c r="B463" s="109" t="s">
        <v>87</v>
      </c>
      <c r="C463" s="109" t="s">
        <v>241</v>
      </c>
      <c r="D463" s="109" t="s">
        <v>1</v>
      </c>
      <c r="E463" s="109" t="s">
        <v>483</v>
      </c>
      <c r="F463" s="109" t="s">
        <v>89</v>
      </c>
      <c r="G463" s="109" t="s">
        <v>103</v>
      </c>
      <c r="H463" s="109" t="s">
        <v>207</v>
      </c>
      <c r="I463" s="110" t="s">
        <v>589</v>
      </c>
    </row>
    <row r="464" spans="1:9" ht="15.6" x14ac:dyDescent="0.3">
      <c r="A464" s="109" t="s">
        <v>708</v>
      </c>
      <c r="B464" s="109" t="s">
        <v>87</v>
      </c>
      <c r="C464" s="109" t="s">
        <v>109</v>
      </c>
      <c r="D464" s="109" t="s">
        <v>1</v>
      </c>
      <c r="E464" s="109" t="s">
        <v>496</v>
      </c>
      <c r="F464" s="109" t="s">
        <v>89</v>
      </c>
      <c r="G464" s="109" t="s">
        <v>36</v>
      </c>
      <c r="H464" s="109" t="s">
        <v>207</v>
      </c>
      <c r="I464" s="110" t="s">
        <v>589</v>
      </c>
    </row>
    <row r="465" spans="1:9" ht="15.6" x14ac:dyDescent="0.3">
      <c r="A465" s="109" t="s">
        <v>708</v>
      </c>
      <c r="B465" s="109" t="s">
        <v>87</v>
      </c>
      <c r="C465" s="109" t="s">
        <v>95</v>
      </c>
      <c r="D465" s="109" t="s">
        <v>1</v>
      </c>
      <c r="E465" s="109" t="s">
        <v>524</v>
      </c>
      <c r="F465" s="109" t="s">
        <v>89</v>
      </c>
      <c r="G465" s="109" t="s">
        <v>76</v>
      </c>
      <c r="H465" s="109" t="s">
        <v>159</v>
      </c>
      <c r="I465" s="110" t="s">
        <v>589</v>
      </c>
    </row>
    <row r="466" spans="1:9" ht="15.6" x14ac:dyDescent="0.3">
      <c r="A466" s="109" t="s">
        <v>708</v>
      </c>
      <c r="B466" s="109" t="s">
        <v>87</v>
      </c>
      <c r="C466" s="109" t="s">
        <v>88</v>
      </c>
      <c r="D466" s="109" t="s">
        <v>1</v>
      </c>
      <c r="E466" s="109" t="s">
        <v>521</v>
      </c>
      <c r="F466" s="109" t="s">
        <v>89</v>
      </c>
      <c r="G466" s="109" t="s">
        <v>185</v>
      </c>
      <c r="H466" s="109" t="s">
        <v>159</v>
      </c>
      <c r="I466" s="110" t="s">
        <v>589</v>
      </c>
    </row>
    <row r="467" spans="1:9" ht="15.6" x14ac:dyDescent="0.3">
      <c r="A467" s="111" t="s">
        <v>708</v>
      </c>
      <c r="B467" s="111" t="s">
        <v>79</v>
      </c>
      <c r="C467" s="111" t="s">
        <v>84</v>
      </c>
      <c r="D467" s="111" t="s">
        <v>1</v>
      </c>
      <c r="E467" s="111" t="s">
        <v>673</v>
      </c>
      <c r="F467" s="111" t="s">
        <v>81</v>
      </c>
      <c r="G467" s="111" t="s">
        <v>54</v>
      </c>
      <c r="H467" s="111" t="s">
        <v>198</v>
      </c>
      <c r="I467" s="112" t="s">
        <v>641</v>
      </c>
    </row>
    <row r="468" spans="1:9" ht="15.6" x14ac:dyDescent="0.3">
      <c r="A468" s="111" t="s">
        <v>708</v>
      </c>
      <c r="B468" s="111" t="s">
        <v>74</v>
      </c>
      <c r="C468" s="111" t="s">
        <v>78</v>
      </c>
      <c r="D468" s="111" t="s">
        <v>1</v>
      </c>
      <c r="E468" s="111" t="s">
        <v>576</v>
      </c>
      <c r="F468" s="111" t="s">
        <v>72</v>
      </c>
      <c r="G468" s="111" t="s">
        <v>76</v>
      </c>
      <c r="H468" s="111" t="s">
        <v>77</v>
      </c>
      <c r="I468" s="112" t="s">
        <v>624</v>
      </c>
    </row>
    <row r="469" spans="1:9" ht="15.6" x14ac:dyDescent="0.3">
      <c r="A469" s="111" t="s">
        <v>708</v>
      </c>
      <c r="B469" s="111" t="s">
        <v>79</v>
      </c>
      <c r="C469" s="111" t="s">
        <v>84</v>
      </c>
      <c r="D469" s="111" t="s">
        <v>1</v>
      </c>
      <c r="E469" s="111" t="s">
        <v>673</v>
      </c>
      <c r="F469" s="111" t="s">
        <v>33</v>
      </c>
      <c r="G469" s="111" t="s">
        <v>54</v>
      </c>
      <c r="H469" s="111" t="s">
        <v>181</v>
      </c>
      <c r="I469" s="114" t="s">
        <v>647</v>
      </c>
    </row>
    <row r="470" spans="1:9" ht="15.6" x14ac:dyDescent="0.3">
      <c r="A470" s="111" t="s">
        <v>708</v>
      </c>
      <c r="B470" s="111" t="s">
        <v>45</v>
      </c>
      <c r="C470" s="111" t="s">
        <v>57</v>
      </c>
      <c r="D470" s="111" t="s">
        <v>1</v>
      </c>
      <c r="E470" s="111" t="s">
        <v>578</v>
      </c>
      <c r="F470" s="111" t="s">
        <v>51</v>
      </c>
      <c r="G470" s="111" t="s">
        <v>54</v>
      </c>
      <c r="H470" s="111" t="s">
        <v>52</v>
      </c>
      <c r="I470" s="114" t="s">
        <v>652</v>
      </c>
    </row>
    <row r="471" spans="1:9" ht="15.6" x14ac:dyDescent="0.3">
      <c r="A471" s="111" t="s">
        <v>708</v>
      </c>
      <c r="B471" s="111" t="s">
        <v>45</v>
      </c>
      <c r="C471" s="111" t="s">
        <v>58</v>
      </c>
      <c r="D471" s="111" t="s">
        <v>1</v>
      </c>
      <c r="E471" s="111" t="s">
        <v>573</v>
      </c>
      <c r="F471" s="111" t="s">
        <v>51</v>
      </c>
      <c r="G471" s="111" t="s">
        <v>185</v>
      </c>
      <c r="H471" s="111" t="s">
        <v>52</v>
      </c>
      <c r="I471" s="114" t="s">
        <v>652</v>
      </c>
    </row>
    <row r="472" spans="1:9" ht="15.6" x14ac:dyDescent="0.3">
      <c r="A472" s="111" t="s">
        <v>708</v>
      </c>
      <c r="B472" s="111" t="s">
        <v>45</v>
      </c>
      <c r="C472" s="111" t="s">
        <v>46</v>
      </c>
      <c r="D472" s="111" t="s">
        <v>1</v>
      </c>
      <c r="E472" s="111" t="s">
        <v>571</v>
      </c>
      <c r="F472" s="111" t="s">
        <v>51</v>
      </c>
      <c r="G472" s="111" t="s">
        <v>185</v>
      </c>
      <c r="H472" s="111" t="s">
        <v>52</v>
      </c>
      <c r="I472" s="114" t="s">
        <v>652</v>
      </c>
    </row>
    <row r="473" spans="1:9" ht="15.6" x14ac:dyDescent="0.3">
      <c r="A473" s="111" t="s">
        <v>708</v>
      </c>
      <c r="B473" s="111" t="s">
        <v>45</v>
      </c>
      <c r="C473" s="111" t="s">
        <v>62</v>
      </c>
      <c r="D473" s="111" t="s">
        <v>1</v>
      </c>
      <c r="E473" s="111" t="s">
        <v>469</v>
      </c>
      <c r="F473" s="111" t="s">
        <v>51</v>
      </c>
      <c r="G473" s="111" t="s">
        <v>29</v>
      </c>
      <c r="H473" s="111" t="s">
        <v>56</v>
      </c>
      <c r="I473" s="114" t="s">
        <v>629</v>
      </c>
    </row>
    <row r="474" spans="1:9" ht="15.6" x14ac:dyDescent="0.3">
      <c r="A474" s="111" t="s">
        <v>708</v>
      </c>
      <c r="B474" s="111" t="s">
        <v>45</v>
      </c>
      <c r="C474" s="111" t="s">
        <v>59</v>
      </c>
      <c r="D474" s="111" t="s">
        <v>1</v>
      </c>
      <c r="E474" s="111" t="s">
        <v>580</v>
      </c>
      <c r="F474" s="111" t="s">
        <v>51</v>
      </c>
      <c r="G474" s="111" t="s">
        <v>54</v>
      </c>
      <c r="H474" s="111" t="s">
        <v>56</v>
      </c>
      <c r="I474" s="114" t="s">
        <v>629</v>
      </c>
    </row>
    <row r="475" spans="1:9" ht="15.6" x14ac:dyDescent="0.3">
      <c r="A475" s="111" t="s">
        <v>708</v>
      </c>
      <c r="B475" s="111" t="s">
        <v>45</v>
      </c>
      <c r="C475" s="111" t="s">
        <v>66</v>
      </c>
      <c r="D475" s="111" t="s">
        <v>1</v>
      </c>
      <c r="E475" s="111" t="s">
        <v>605</v>
      </c>
      <c r="F475" s="111" t="s">
        <v>51</v>
      </c>
      <c r="G475" s="111" t="s">
        <v>29</v>
      </c>
      <c r="H475" s="111" t="s">
        <v>56</v>
      </c>
      <c r="I475" s="114" t="s">
        <v>629</v>
      </c>
    </row>
    <row r="476" spans="1:9" ht="15.6" x14ac:dyDescent="0.3">
      <c r="A476" s="111" t="s">
        <v>708</v>
      </c>
      <c r="B476" s="111" t="s">
        <v>130</v>
      </c>
      <c r="C476" s="111" t="s">
        <v>138</v>
      </c>
      <c r="D476" s="111" t="s">
        <v>1</v>
      </c>
      <c r="E476" s="111" t="s">
        <v>613</v>
      </c>
      <c r="F476" s="111" t="s">
        <v>134</v>
      </c>
      <c r="G476" s="111" t="s">
        <v>76</v>
      </c>
      <c r="H476" s="111" t="s">
        <v>280</v>
      </c>
      <c r="I476" s="114" t="s">
        <v>672</v>
      </c>
    </row>
    <row r="477" spans="1:9" ht="15.6" x14ac:dyDescent="0.3">
      <c r="A477" s="111" t="s">
        <v>708</v>
      </c>
      <c r="B477" s="111" t="s">
        <v>45</v>
      </c>
      <c r="C477" s="111" t="s">
        <v>53</v>
      </c>
      <c r="D477" s="111" t="s">
        <v>1</v>
      </c>
      <c r="E477" s="111" t="s">
        <v>577</v>
      </c>
      <c r="F477" s="111" t="s">
        <v>51</v>
      </c>
      <c r="G477" s="111" t="s">
        <v>61</v>
      </c>
      <c r="H477" s="111" t="s">
        <v>65</v>
      </c>
      <c r="I477" s="114" t="s">
        <v>606</v>
      </c>
    </row>
    <row r="478" spans="1:9" ht="15.6" x14ac:dyDescent="0.3">
      <c r="A478" s="111" t="s">
        <v>708</v>
      </c>
      <c r="B478" s="111" t="s">
        <v>45</v>
      </c>
      <c r="C478" s="111" t="s">
        <v>60</v>
      </c>
      <c r="D478" s="111" t="s">
        <v>1</v>
      </c>
      <c r="E478" s="111" t="s">
        <v>581</v>
      </c>
      <c r="F478" s="111" t="s">
        <v>51</v>
      </c>
      <c r="G478" s="111" t="s">
        <v>54</v>
      </c>
      <c r="H478" s="111" t="s">
        <v>65</v>
      </c>
      <c r="I478" s="114" t="s">
        <v>606</v>
      </c>
    </row>
    <row r="479" spans="1:9" ht="15.6" x14ac:dyDescent="0.3">
      <c r="A479" s="111" t="s">
        <v>708</v>
      </c>
      <c r="B479" s="111" t="s">
        <v>130</v>
      </c>
      <c r="C479" s="111" t="s">
        <v>136</v>
      </c>
      <c r="D479" s="111" t="s">
        <v>1</v>
      </c>
      <c r="E479" s="111" t="s">
        <v>609</v>
      </c>
      <c r="F479" s="111" t="s">
        <v>134</v>
      </c>
      <c r="G479" s="111" t="s">
        <v>76</v>
      </c>
      <c r="H479" s="111" t="s">
        <v>177</v>
      </c>
      <c r="I479" s="114" t="s">
        <v>656</v>
      </c>
    </row>
    <row r="480" spans="1:9" ht="15.6" x14ac:dyDescent="0.3">
      <c r="A480" s="111" t="s">
        <v>708</v>
      </c>
      <c r="B480" s="111" t="s">
        <v>130</v>
      </c>
      <c r="C480" s="111" t="s">
        <v>146</v>
      </c>
      <c r="D480" s="111" t="s">
        <v>1</v>
      </c>
      <c r="E480" s="111" t="s">
        <v>618</v>
      </c>
      <c r="F480" s="111" t="s">
        <v>134</v>
      </c>
      <c r="G480" s="111" t="s">
        <v>76</v>
      </c>
      <c r="H480" s="111" t="s">
        <v>135</v>
      </c>
      <c r="I480" s="114" t="s">
        <v>668</v>
      </c>
    </row>
    <row r="481" spans="1:9" ht="15.6" x14ac:dyDescent="0.3">
      <c r="A481" s="111" t="s">
        <v>708</v>
      </c>
      <c r="B481" s="111" t="s">
        <v>26</v>
      </c>
      <c r="C481" s="111" t="s">
        <v>35</v>
      </c>
      <c r="D481" s="111" t="s">
        <v>1</v>
      </c>
      <c r="E481" s="111" t="s">
        <v>572</v>
      </c>
      <c r="F481" s="111" t="s">
        <v>33</v>
      </c>
      <c r="G481" s="111" t="s">
        <v>185</v>
      </c>
      <c r="H481" s="111" t="s">
        <v>34</v>
      </c>
      <c r="I481" s="112" t="s">
        <v>593</v>
      </c>
    </row>
    <row r="482" spans="1:9" ht="15.6" x14ac:dyDescent="0.3">
      <c r="A482" s="111" t="s">
        <v>708</v>
      </c>
      <c r="B482" s="111" t="s">
        <v>26</v>
      </c>
      <c r="C482" s="111" t="s">
        <v>39</v>
      </c>
      <c r="D482" s="111" t="s">
        <v>1</v>
      </c>
      <c r="E482" s="111" t="s">
        <v>573</v>
      </c>
      <c r="F482" s="111" t="s">
        <v>33</v>
      </c>
      <c r="G482" s="111" t="s">
        <v>40</v>
      </c>
      <c r="H482" s="111" t="s">
        <v>34</v>
      </c>
      <c r="I482" s="112" t="s">
        <v>593</v>
      </c>
    </row>
    <row r="483" spans="1:9" ht="15.6" x14ac:dyDescent="0.3">
      <c r="A483" s="111" t="s">
        <v>708</v>
      </c>
      <c r="B483" s="111" t="s">
        <v>26</v>
      </c>
      <c r="C483" s="111" t="s">
        <v>27</v>
      </c>
      <c r="D483" s="111" t="s">
        <v>1</v>
      </c>
      <c r="E483" s="111" t="s">
        <v>570</v>
      </c>
      <c r="F483" s="111" t="s">
        <v>33</v>
      </c>
      <c r="G483" s="111" t="s">
        <v>265</v>
      </c>
      <c r="H483" s="111" t="s">
        <v>34</v>
      </c>
      <c r="I483" s="112" t="s">
        <v>631</v>
      </c>
    </row>
    <row r="484" spans="1:9" ht="15.6" x14ac:dyDescent="0.3">
      <c r="A484" s="111" t="s">
        <v>708</v>
      </c>
      <c r="B484" s="111" t="s">
        <v>26</v>
      </c>
      <c r="C484" s="111" t="s">
        <v>41</v>
      </c>
      <c r="D484" s="111" t="s">
        <v>1</v>
      </c>
      <c r="E484" s="111" t="s">
        <v>583</v>
      </c>
      <c r="F484" s="111" t="s">
        <v>33</v>
      </c>
      <c r="G484" s="111" t="s">
        <v>256</v>
      </c>
      <c r="H484" s="111" t="s">
        <v>34</v>
      </c>
      <c r="I484" s="112" t="s">
        <v>631</v>
      </c>
    </row>
    <row r="485" spans="1:9" ht="15.6" x14ac:dyDescent="0.3">
      <c r="A485" s="111" t="s">
        <v>708</v>
      </c>
      <c r="B485" s="111" t="s">
        <v>130</v>
      </c>
      <c r="C485" s="111" t="s">
        <v>142</v>
      </c>
      <c r="D485" s="111" t="s">
        <v>1</v>
      </c>
      <c r="E485" s="111" t="s">
        <v>572</v>
      </c>
      <c r="F485" s="111" t="s">
        <v>134</v>
      </c>
      <c r="G485" s="111" t="s">
        <v>110</v>
      </c>
      <c r="H485" s="111" t="s">
        <v>218</v>
      </c>
      <c r="I485" s="113" t="s">
        <v>594</v>
      </c>
    </row>
    <row r="486" spans="1:9" ht="15.6" x14ac:dyDescent="0.3">
      <c r="A486" s="111" t="s">
        <v>708</v>
      </c>
      <c r="B486" s="111" t="s">
        <v>130</v>
      </c>
      <c r="C486" s="111" t="s">
        <v>149</v>
      </c>
      <c r="D486" s="111" t="s">
        <v>1</v>
      </c>
      <c r="E486" s="111" t="s">
        <v>583</v>
      </c>
      <c r="F486" s="111" t="s">
        <v>134</v>
      </c>
      <c r="G486" s="111" t="s">
        <v>110</v>
      </c>
      <c r="H486" s="111" t="s">
        <v>218</v>
      </c>
      <c r="I486" s="114" t="s">
        <v>702</v>
      </c>
    </row>
    <row r="487" spans="1:9" ht="15.6" x14ac:dyDescent="0.3">
      <c r="A487" s="111" t="s">
        <v>708</v>
      </c>
      <c r="B487" s="111" t="s">
        <v>130</v>
      </c>
      <c r="C487" s="111" t="s">
        <v>141</v>
      </c>
      <c r="D487" s="111" t="s">
        <v>1</v>
      </c>
      <c r="E487" s="111" t="s">
        <v>573</v>
      </c>
      <c r="F487" s="111" t="s">
        <v>134</v>
      </c>
      <c r="G487" s="111" t="s">
        <v>110</v>
      </c>
      <c r="H487" s="111" t="s">
        <v>178</v>
      </c>
      <c r="I487" s="113" t="s">
        <v>592</v>
      </c>
    </row>
    <row r="488" spans="1:9" ht="15.6" x14ac:dyDescent="0.3">
      <c r="A488" s="111" t="s">
        <v>708</v>
      </c>
      <c r="B488" s="111" t="s">
        <v>130</v>
      </c>
      <c r="C488" s="111" t="s">
        <v>131</v>
      </c>
      <c r="D488" s="111" t="s">
        <v>1</v>
      </c>
      <c r="E488" s="111" t="s">
        <v>607</v>
      </c>
      <c r="F488" s="111" t="s">
        <v>134</v>
      </c>
      <c r="G488" s="111" t="s">
        <v>76</v>
      </c>
      <c r="H488" s="111" t="s">
        <v>145</v>
      </c>
      <c r="I488" s="112" t="s">
        <v>641</v>
      </c>
    </row>
    <row r="489" spans="1:9" ht="15.6" x14ac:dyDescent="0.3">
      <c r="A489" s="111" t="s">
        <v>708</v>
      </c>
      <c r="B489" s="111" t="s">
        <v>130</v>
      </c>
      <c r="C489" s="111" t="s">
        <v>147</v>
      </c>
      <c r="D489" s="111" t="s">
        <v>1</v>
      </c>
      <c r="E489" s="111" t="s">
        <v>619</v>
      </c>
      <c r="F489" s="111" t="s">
        <v>134</v>
      </c>
      <c r="G489" s="111" t="s">
        <v>76</v>
      </c>
      <c r="H489" s="111" t="s">
        <v>145</v>
      </c>
      <c r="I489" s="112" t="s">
        <v>641</v>
      </c>
    </row>
    <row r="490" spans="1:9" ht="15.6" x14ac:dyDescent="0.3">
      <c r="A490" s="111" t="s">
        <v>708</v>
      </c>
      <c r="B490" s="111" t="s">
        <v>130</v>
      </c>
      <c r="C490" s="111" t="s">
        <v>148</v>
      </c>
      <c r="D490" s="111" t="s">
        <v>1</v>
      </c>
      <c r="E490" s="111" t="s">
        <v>620</v>
      </c>
      <c r="F490" s="111" t="s">
        <v>134</v>
      </c>
      <c r="G490" s="111" t="s">
        <v>76</v>
      </c>
      <c r="H490" s="111" t="s">
        <v>145</v>
      </c>
      <c r="I490" s="112" t="s">
        <v>641</v>
      </c>
    </row>
    <row r="491" spans="1:9" ht="15.6" x14ac:dyDescent="0.3">
      <c r="A491" s="111" t="s">
        <v>708</v>
      </c>
      <c r="B491" s="111" t="s">
        <v>130</v>
      </c>
      <c r="C491" s="111" t="s">
        <v>137</v>
      </c>
      <c r="D491" s="111" t="s">
        <v>1</v>
      </c>
      <c r="E491" s="111" t="s">
        <v>611</v>
      </c>
      <c r="F491" s="111" t="s">
        <v>134</v>
      </c>
      <c r="G491" s="111" t="s">
        <v>76</v>
      </c>
      <c r="H491" s="111" t="s">
        <v>145</v>
      </c>
      <c r="I491" s="112" t="s">
        <v>641</v>
      </c>
    </row>
    <row r="492" spans="1:9" ht="15.6" x14ac:dyDescent="0.3">
      <c r="A492" s="109" t="s">
        <v>709</v>
      </c>
      <c r="B492" s="109" t="s">
        <v>87</v>
      </c>
      <c r="C492" s="109" t="s">
        <v>102</v>
      </c>
      <c r="D492" s="109" t="s">
        <v>1</v>
      </c>
      <c r="E492" s="109" t="s">
        <v>420</v>
      </c>
      <c r="F492" s="109" t="s">
        <v>89</v>
      </c>
      <c r="G492" s="109" t="s">
        <v>76</v>
      </c>
      <c r="H492" s="109" t="s">
        <v>207</v>
      </c>
      <c r="I492" s="110" t="s">
        <v>589</v>
      </c>
    </row>
    <row r="493" spans="1:9" ht="15.6" x14ac:dyDescent="0.3">
      <c r="A493" s="109" t="s">
        <v>709</v>
      </c>
      <c r="B493" s="109" t="s">
        <v>87</v>
      </c>
      <c r="C493" s="109" t="s">
        <v>109</v>
      </c>
      <c r="D493" s="109" t="s">
        <v>1</v>
      </c>
      <c r="E493" s="109" t="s">
        <v>427</v>
      </c>
      <c r="F493" s="109" t="s">
        <v>89</v>
      </c>
      <c r="G493" s="109" t="s">
        <v>61</v>
      </c>
      <c r="H493" s="109" t="s">
        <v>207</v>
      </c>
      <c r="I493" s="110" t="s">
        <v>589</v>
      </c>
    </row>
    <row r="494" spans="1:9" ht="15.6" x14ac:dyDescent="0.3">
      <c r="A494" s="109" t="s">
        <v>709</v>
      </c>
      <c r="B494" s="109" t="s">
        <v>87</v>
      </c>
      <c r="C494" s="109" t="s">
        <v>88</v>
      </c>
      <c r="D494" s="109" t="s">
        <v>1</v>
      </c>
      <c r="E494" s="109" t="s">
        <v>440</v>
      </c>
      <c r="F494" s="109" t="s">
        <v>89</v>
      </c>
      <c r="G494" s="109" t="s">
        <v>185</v>
      </c>
      <c r="H494" s="109" t="s">
        <v>207</v>
      </c>
      <c r="I494" s="110" t="s">
        <v>589</v>
      </c>
    </row>
    <row r="495" spans="1:9" ht="15.6" x14ac:dyDescent="0.3">
      <c r="A495" s="109" t="s">
        <v>709</v>
      </c>
      <c r="B495" s="109" t="s">
        <v>87</v>
      </c>
      <c r="C495" s="109" t="s">
        <v>95</v>
      </c>
      <c r="D495" s="109" t="s">
        <v>1</v>
      </c>
      <c r="E495" s="109" t="s">
        <v>432</v>
      </c>
      <c r="F495" s="109" t="s">
        <v>89</v>
      </c>
      <c r="G495" s="109" t="s">
        <v>76</v>
      </c>
      <c r="H495" s="109" t="s">
        <v>159</v>
      </c>
      <c r="I495" s="110" t="s">
        <v>589</v>
      </c>
    </row>
    <row r="496" spans="1:9" ht="15.6" x14ac:dyDescent="0.3">
      <c r="A496" s="111" t="s">
        <v>709</v>
      </c>
      <c r="B496" s="111" t="s">
        <v>79</v>
      </c>
      <c r="C496" s="111" t="s">
        <v>84</v>
      </c>
      <c r="D496" s="111" t="s">
        <v>1</v>
      </c>
      <c r="E496" s="111" t="s">
        <v>584</v>
      </c>
      <c r="F496" s="111" t="s">
        <v>81</v>
      </c>
      <c r="G496" s="111" t="s">
        <v>54</v>
      </c>
      <c r="H496" s="111" t="s">
        <v>257</v>
      </c>
      <c r="I496" s="112" t="s">
        <v>593</v>
      </c>
    </row>
    <row r="497" spans="1:9" ht="15.6" x14ac:dyDescent="0.3">
      <c r="A497" s="111" t="s">
        <v>709</v>
      </c>
      <c r="B497" s="111" t="s">
        <v>79</v>
      </c>
      <c r="C497" s="111" t="s">
        <v>80</v>
      </c>
      <c r="D497" s="111" t="s">
        <v>1</v>
      </c>
      <c r="E497" s="111" t="s">
        <v>582</v>
      </c>
      <c r="F497" s="111" t="s">
        <v>81</v>
      </c>
      <c r="G497" s="111" t="s">
        <v>54</v>
      </c>
      <c r="H497" s="111" t="s">
        <v>257</v>
      </c>
      <c r="I497" s="112" t="s">
        <v>593</v>
      </c>
    </row>
    <row r="498" spans="1:9" ht="15.6" x14ac:dyDescent="0.3">
      <c r="A498" s="111" t="s">
        <v>709</v>
      </c>
      <c r="B498" s="111" t="s">
        <v>74</v>
      </c>
      <c r="C498" s="111" t="s">
        <v>78</v>
      </c>
      <c r="D498" s="111" t="s">
        <v>1</v>
      </c>
      <c r="E498" s="111" t="s">
        <v>576</v>
      </c>
      <c r="F498" s="111" t="s">
        <v>72</v>
      </c>
      <c r="G498" s="111" t="s">
        <v>76</v>
      </c>
      <c r="H498" s="111" t="s">
        <v>77</v>
      </c>
      <c r="I498" s="112" t="s">
        <v>624</v>
      </c>
    </row>
    <row r="499" spans="1:9" ht="15.6" x14ac:dyDescent="0.3">
      <c r="A499" s="111" t="s">
        <v>709</v>
      </c>
      <c r="B499" s="111" t="s">
        <v>79</v>
      </c>
      <c r="C499" s="111" t="s">
        <v>84</v>
      </c>
      <c r="D499" s="111" t="s">
        <v>1</v>
      </c>
      <c r="E499" s="111" t="s">
        <v>584</v>
      </c>
      <c r="F499" s="111" t="s">
        <v>33</v>
      </c>
      <c r="G499" s="111" t="s">
        <v>54</v>
      </c>
      <c r="H499" s="111" t="s">
        <v>85</v>
      </c>
      <c r="I499" s="114" t="s">
        <v>647</v>
      </c>
    </row>
    <row r="500" spans="1:9" ht="15.6" x14ac:dyDescent="0.3">
      <c r="A500" s="111" t="s">
        <v>709</v>
      </c>
      <c r="B500" s="111" t="s">
        <v>79</v>
      </c>
      <c r="C500" s="111" t="s">
        <v>80</v>
      </c>
      <c r="D500" s="111" t="s">
        <v>1</v>
      </c>
      <c r="E500" s="111" t="s">
        <v>582</v>
      </c>
      <c r="F500" s="111" t="s">
        <v>33</v>
      </c>
      <c r="G500" s="111" t="s">
        <v>54</v>
      </c>
      <c r="H500" s="111" t="s">
        <v>85</v>
      </c>
      <c r="I500" s="114" t="s">
        <v>647</v>
      </c>
    </row>
    <row r="501" spans="1:9" ht="15.6" x14ac:dyDescent="0.3">
      <c r="A501" s="111" t="s">
        <v>709</v>
      </c>
      <c r="B501" s="111" t="s">
        <v>45</v>
      </c>
      <c r="C501" s="111" t="s">
        <v>53</v>
      </c>
      <c r="D501" s="111" t="s">
        <v>1</v>
      </c>
      <c r="E501" s="111" t="s">
        <v>577</v>
      </c>
      <c r="F501" s="111" t="s">
        <v>51</v>
      </c>
      <c r="G501" s="111" t="s">
        <v>36</v>
      </c>
      <c r="H501" s="111" t="s">
        <v>52</v>
      </c>
      <c r="I501" s="114" t="s">
        <v>652</v>
      </c>
    </row>
    <row r="502" spans="1:9" ht="15.6" x14ac:dyDescent="0.3">
      <c r="A502" s="111" t="s">
        <v>709</v>
      </c>
      <c r="B502" s="111" t="s">
        <v>45</v>
      </c>
      <c r="C502" s="111" t="s">
        <v>57</v>
      </c>
      <c r="D502" s="111" t="s">
        <v>1</v>
      </c>
      <c r="E502" s="111" t="s">
        <v>578</v>
      </c>
      <c r="F502" s="111" t="s">
        <v>51</v>
      </c>
      <c r="G502" s="111" t="s">
        <v>185</v>
      </c>
      <c r="H502" s="111" t="s">
        <v>52</v>
      </c>
      <c r="I502" s="114" t="s">
        <v>652</v>
      </c>
    </row>
    <row r="503" spans="1:9" ht="15.6" x14ac:dyDescent="0.3">
      <c r="A503" s="111" t="s">
        <v>709</v>
      </c>
      <c r="B503" s="111" t="s">
        <v>45</v>
      </c>
      <c r="C503" s="111" t="s">
        <v>59</v>
      </c>
      <c r="D503" s="111" t="s">
        <v>1</v>
      </c>
      <c r="E503" s="111" t="s">
        <v>580</v>
      </c>
      <c r="F503" s="111" t="s">
        <v>51</v>
      </c>
      <c r="G503" s="111" t="s">
        <v>61</v>
      </c>
      <c r="H503" s="111" t="s">
        <v>52</v>
      </c>
      <c r="I503" s="114" t="s">
        <v>652</v>
      </c>
    </row>
    <row r="504" spans="1:9" ht="15.6" x14ac:dyDescent="0.3">
      <c r="A504" s="111" t="s">
        <v>709</v>
      </c>
      <c r="B504" s="111" t="s">
        <v>45</v>
      </c>
      <c r="C504" s="111" t="s">
        <v>60</v>
      </c>
      <c r="D504" s="111" t="s">
        <v>1</v>
      </c>
      <c r="E504" s="111" t="s">
        <v>581</v>
      </c>
      <c r="F504" s="111" t="s">
        <v>51</v>
      </c>
      <c r="G504" s="111" t="s">
        <v>185</v>
      </c>
      <c r="H504" s="111" t="s">
        <v>52</v>
      </c>
      <c r="I504" s="114" t="s">
        <v>652</v>
      </c>
    </row>
    <row r="505" spans="1:9" ht="15.6" x14ac:dyDescent="0.3">
      <c r="A505" s="111" t="s">
        <v>709</v>
      </c>
      <c r="B505" s="111" t="s">
        <v>45</v>
      </c>
      <c r="C505" s="111" t="s">
        <v>46</v>
      </c>
      <c r="D505" s="111" t="s">
        <v>1</v>
      </c>
      <c r="E505" s="111" t="s">
        <v>571</v>
      </c>
      <c r="F505" s="111" t="s">
        <v>51</v>
      </c>
      <c r="G505" s="111" t="s">
        <v>36</v>
      </c>
      <c r="H505" s="111" t="s">
        <v>52</v>
      </c>
      <c r="I505" s="114" t="s">
        <v>652</v>
      </c>
    </row>
    <row r="506" spans="1:9" ht="15.6" x14ac:dyDescent="0.3">
      <c r="A506" s="111" t="s">
        <v>709</v>
      </c>
      <c r="B506" s="111" t="s">
        <v>45</v>
      </c>
      <c r="C506" s="111" t="s">
        <v>58</v>
      </c>
      <c r="D506" s="111" t="s">
        <v>1</v>
      </c>
      <c r="E506" s="111" t="s">
        <v>579</v>
      </c>
      <c r="F506" s="111" t="s">
        <v>51</v>
      </c>
      <c r="G506" s="111" t="s">
        <v>54</v>
      </c>
      <c r="H506" s="111" t="s">
        <v>56</v>
      </c>
      <c r="I506" s="114" t="s">
        <v>653</v>
      </c>
    </row>
    <row r="507" spans="1:9" ht="15.6" x14ac:dyDescent="0.3">
      <c r="A507" s="111" t="s">
        <v>709</v>
      </c>
      <c r="B507" s="111" t="s">
        <v>45</v>
      </c>
      <c r="C507" s="111" t="s">
        <v>62</v>
      </c>
      <c r="D507" s="111" t="s">
        <v>1</v>
      </c>
      <c r="E507" s="111" t="s">
        <v>469</v>
      </c>
      <c r="F507" s="111" t="s">
        <v>51</v>
      </c>
      <c r="G507" s="111" t="s">
        <v>42</v>
      </c>
      <c r="H507" s="111" t="s">
        <v>56</v>
      </c>
      <c r="I507" s="114" t="s">
        <v>653</v>
      </c>
    </row>
    <row r="508" spans="1:9" ht="15.6" x14ac:dyDescent="0.3">
      <c r="A508" s="111" t="s">
        <v>709</v>
      </c>
      <c r="B508" s="111" t="s">
        <v>45</v>
      </c>
      <c r="C508" s="111" t="s">
        <v>66</v>
      </c>
      <c r="D508" s="111" t="s">
        <v>1</v>
      </c>
      <c r="E508" s="111" t="s">
        <v>605</v>
      </c>
      <c r="F508" s="111" t="s">
        <v>51</v>
      </c>
      <c r="G508" s="111" t="s">
        <v>96</v>
      </c>
      <c r="H508" s="111" t="s">
        <v>56</v>
      </c>
      <c r="I508" s="114" t="s">
        <v>629</v>
      </c>
    </row>
    <row r="509" spans="1:9" ht="15.6" x14ac:dyDescent="0.3">
      <c r="A509" s="111" t="s">
        <v>709</v>
      </c>
      <c r="B509" s="111" t="s">
        <v>130</v>
      </c>
      <c r="C509" s="111" t="s">
        <v>136</v>
      </c>
      <c r="D509" s="111" t="s">
        <v>1</v>
      </c>
      <c r="E509" s="111" t="s">
        <v>609</v>
      </c>
      <c r="F509" s="111" t="s">
        <v>134</v>
      </c>
      <c r="G509" s="111" t="s">
        <v>76</v>
      </c>
      <c r="H509" s="111" t="s">
        <v>280</v>
      </c>
      <c r="I509" s="114" t="s">
        <v>672</v>
      </c>
    </row>
    <row r="510" spans="1:9" ht="15.6" x14ac:dyDescent="0.3">
      <c r="A510" s="111" t="s">
        <v>709</v>
      </c>
      <c r="B510" s="111" t="s">
        <v>130</v>
      </c>
      <c r="C510" s="111" t="s">
        <v>146</v>
      </c>
      <c r="D510" s="111" t="s">
        <v>1</v>
      </c>
      <c r="E510" s="111" t="s">
        <v>618</v>
      </c>
      <c r="F510" s="111" t="s">
        <v>134</v>
      </c>
      <c r="G510" s="111" t="s">
        <v>76</v>
      </c>
      <c r="H510" s="111" t="s">
        <v>177</v>
      </c>
      <c r="I510" s="114" t="s">
        <v>656</v>
      </c>
    </row>
    <row r="511" spans="1:9" ht="15.6" x14ac:dyDescent="0.3">
      <c r="A511" s="111" t="s">
        <v>709</v>
      </c>
      <c r="B511" s="111" t="s">
        <v>130</v>
      </c>
      <c r="C511" s="111" t="s">
        <v>137</v>
      </c>
      <c r="D511" s="111" t="s">
        <v>1</v>
      </c>
      <c r="E511" s="111" t="s">
        <v>611</v>
      </c>
      <c r="F511" s="111" t="s">
        <v>134</v>
      </c>
      <c r="G511" s="111" t="s">
        <v>76</v>
      </c>
      <c r="H511" s="111" t="s">
        <v>177</v>
      </c>
      <c r="I511" s="114" t="s">
        <v>602</v>
      </c>
    </row>
    <row r="512" spans="1:9" ht="15.6" x14ac:dyDescent="0.3">
      <c r="A512" s="111" t="s">
        <v>709</v>
      </c>
      <c r="B512" s="111" t="s">
        <v>130</v>
      </c>
      <c r="C512" s="111" t="s">
        <v>138</v>
      </c>
      <c r="D512" s="111" t="s">
        <v>1</v>
      </c>
      <c r="E512" s="111" t="s">
        <v>613</v>
      </c>
      <c r="F512" s="111" t="s">
        <v>134</v>
      </c>
      <c r="G512" s="111" t="s">
        <v>76</v>
      </c>
      <c r="H512" s="111" t="s">
        <v>177</v>
      </c>
      <c r="I512" s="114" t="s">
        <v>656</v>
      </c>
    </row>
    <row r="513" spans="1:9" ht="15.6" x14ac:dyDescent="0.3">
      <c r="A513" s="111" t="s">
        <v>709</v>
      </c>
      <c r="B513" s="111" t="s">
        <v>130</v>
      </c>
      <c r="C513" s="111" t="s">
        <v>143</v>
      </c>
      <c r="D513" s="111" t="s">
        <v>1</v>
      </c>
      <c r="E513" s="111" t="s">
        <v>420</v>
      </c>
      <c r="F513" s="111" t="s">
        <v>134</v>
      </c>
      <c r="G513" s="111" t="s">
        <v>76</v>
      </c>
      <c r="H513" s="111" t="s">
        <v>135</v>
      </c>
      <c r="I513" s="114" t="s">
        <v>668</v>
      </c>
    </row>
    <row r="514" spans="1:9" ht="15.6" x14ac:dyDescent="0.3">
      <c r="A514" s="111" t="s">
        <v>709</v>
      </c>
      <c r="B514" s="111" t="s">
        <v>130</v>
      </c>
      <c r="C514" s="111" t="s">
        <v>147</v>
      </c>
      <c r="D514" s="111" t="s">
        <v>1</v>
      </c>
      <c r="E514" s="111" t="s">
        <v>619</v>
      </c>
      <c r="F514" s="111" t="s">
        <v>134</v>
      </c>
      <c r="G514" s="111" t="s">
        <v>76</v>
      </c>
      <c r="H514" s="111" t="s">
        <v>135</v>
      </c>
      <c r="I514" s="114" t="s">
        <v>630</v>
      </c>
    </row>
    <row r="515" spans="1:9" ht="15.6" x14ac:dyDescent="0.3">
      <c r="A515" s="111" t="s">
        <v>709</v>
      </c>
      <c r="B515" s="111" t="s">
        <v>130</v>
      </c>
      <c r="C515" s="111" t="s">
        <v>142</v>
      </c>
      <c r="D515" s="111" t="s">
        <v>1</v>
      </c>
      <c r="E515" s="111" t="s">
        <v>572</v>
      </c>
      <c r="F515" s="111" t="s">
        <v>134</v>
      </c>
      <c r="G515" s="111" t="s">
        <v>110</v>
      </c>
      <c r="H515" s="111" t="s">
        <v>250</v>
      </c>
      <c r="I515" s="114" t="s">
        <v>681</v>
      </c>
    </row>
    <row r="516" spans="1:9" ht="15.6" x14ac:dyDescent="0.3">
      <c r="A516" s="111" t="s">
        <v>709</v>
      </c>
      <c r="B516" s="111" t="s">
        <v>26</v>
      </c>
      <c r="C516" s="111" t="s">
        <v>35</v>
      </c>
      <c r="D516" s="111" t="s">
        <v>1</v>
      </c>
      <c r="E516" s="111" t="s">
        <v>572</v>
      </c>
      <c r="F516" s="111" t="s">
        <v>33</v>
      </c>
      <c r="G516" s="111" t="s">
        <v>40</v>
      </c>
      <c r="H516" s="111" t="s">
        <v>34</v>
      </c>
      <c r="I516" s="112" t="s">
        <v>593</v>
      </c>
    </row>
    <row r="517" spans="1:9" ht="15.6" x14ac:dyDescent="0.3">
      <c r="A517" s="111" t="s">
        <v>709</v>
      </c>
      <c r="B517" s="111" t="s">
        <v>26</v>
      </c>
      <c r="C517" s="111" t="s">
        <v>39</v>
      </c>
      <c r="D517" s="111" t="s">
        <v>1</v>
      </c>
      <c r="E517" s="111" t="s">
        <v>573</v>
      </c>
      <c r="F517" s="111" t="s">
        <v>33</v>
      </c>
      <c r="G517" s="111" t="s">
        <v>185</v>
      </c>
      <c r="H517" s="111" t="s">
        <v>34</v>
      </c>
      <c r="I517" s="112" t="s">
        <v>593</v>
      </c>
    </row>
    <row r="518" spans="1:9" ht="15.6" x14ac:dyDescent="0.3">
      <c r="A518" s="111" t="s">
        <v>709</v>
      </c>
      <c r="B518" s="111" t="s">
        <v>26</v>
      </c>
      <c r="C518" s="111" t="s">
        <v>27</v>
      </c>
      <c r="D518" s="111" t="s">
        <v>1</v>
      </c>
      <c r="E518" s="111" t="s">
        <v>570</v>
      </c>
      <c r="F518" s="111" t="s">
        <v>33</v>
      </c>
      <c r="G518" s="111" t="s">
        <v>40</v>
      </c>
      <c r="H518" s="111" t="s">
        <v>34</v>
      </c>
      <c r="I518" s="112" t="s">
        <v>593</v>
      </c>
    </row>
    <row r="519" spans="1:9" ht="15.6" x14ac:dyDescent="0.3">
      <c r="A519" s="111" t="s">
        <v>709</v>
      </c>
      <c r="B519" s="111" t="s">
        <v>26</v>
      </c>
      <c r="C519" s="111" t="s">
        <v>41</v>
      </c>
      <c r="D519" s="111" t="s">
        <v>1</v>
      </c>
      <c r="E519" s="111" t="s">
        <v>583</v>
      </c>
      <c r="F519" s="111" t="s">
        <v>33</v>
      </c>
      <c r="G519" s="111" t="s">
        <v>40</v>
      </c>
      <c r="H519" s="111" t="s">
        <v>34</v>
      </c>
      <c r="I519" s="112" t="s">
        <v>631</v>
      </c>
    </row>
    <row r="520" spans="1:9" ht="15.6" x14ac:dyDescent="0.3">
      <c r="A520" s="111" t="s">
        <v>709</v>
      </c>
      <c r="B520" s="111" t="s">
        <v>130</v>
      </c>
      <c r="C520" s="111" t="s">
        <v>141</v>
      </c>
      <c r="D520" s="111" t="s">
        <v>1</v>
      </c>
      <c r="E520" s="111" t="s">
        <v>573</v>
      </c>
      <c r="F520" s="111" t="s">
        <v>134</v>
      </c>
      <c r="G520" s="111" t="s">
        <v>110</v>
      </c>
      <c r="H520" s="111" t="s">
        <v>218</v>
      </c>
      <c r="I520" s="113" t="s">
        <v>594</v>
      </c>
    </row>
    <row r="521" spans="1:9" ht="15.6" x14ac:dyDescent="0.3">
      <c r="A521" s="111" t="s">
        <v>709</v>
      </c>
      <c r="B521" s="111" t="s">
        <v>130</v>
      </c>
      <c r="C521" s="111" t="s">
        <v>149</v>
      </c>
      <c r="D521" s="111" t="s">
        <v>1</v>
      </c>
      <c r="E521" s="111" t="s">
        <v>583</v>
      </c>
      <c r="F521" s="111" t="s">
        <v>134</v>
      </c>
      <c r="G521" s="111" t="s">
        <v>110</v>
      </c>
      <c r="H521" s="111" t="s">
        <v>179</v>
      </c>
      <c r="I521" s="112" t="s">
        <v>627</v>
      </c>
    </row>
    <row r="522" spans="1:9" ht="15.6" x14ac:dyDescent="0.3">
      <c r="A522" s="109" t="s">
        <v>710</v>
      </c>
      <c r="B522" s="109" t="s">
        <v>87</v>
      </c>
      <c r="C522" s="109" t="s">
        <v>102</v>
      </c>
      <c r="D522" s="109" t="s">
        <v>1</v>
      </c>
      <c r="E522" s="109" t="s">
        <v>452</v>
      </c>
      <c r="F522" s="109" t="s">
        <v>89</v>
      </c>
      <c r="G522" s="109" t="s">
        <v>76</v>
      </c>
      <c r="H522" s="109" t="s">
        <v>77</v>
      </c>
      <c r="I522" s="110" t="s">
        <v>589</v>
      </c>
    </row>
    <row r="523" spans="1:9" ht="15.6" x14ac:dyDescent="0.3">
      <c r="A523" s="109" t="s">
        <v>710</v>
      </c>
      <c r="B523" s="109" t="s">
        <v>87</v>
      </c>
      <c r="C523" s="109" t="s">
        <v>95</v>
      </c>
      <c r="D523" s="109" t="s">
        <v>1</v>
      </c>
      <c r="E523" s="109" t="s">
        <v>432</v>
      </c>
      <c r="F523" s="109" t="s">
        <v>89</v>
      </c>
      <c r="G523" s="109" t="s">
        <v>42</v>
      </c>
      <c r="H523" s="109" t="s">
        <v>77</v>
      </c>
      <c r="I523" s="110" t="s">
        <v>589</v>
      </c>
    </row>
    <row r="524" spans="1:9" ht="15.6" x14ac:dyDescent="0.3">
      <c r="A524" s="109" t="s">
        <v>710</v>
      </c>
      <c r="B524" s="109" t="s">
        <v>87</v>
      </c>
      <c r="C524" s="109" t="s">
        <v>109</v>
      </c>
      <c r="D524" s="109" t="s">
        <v>1</v>
      </c>
      <c r="E524" s="109" t="s">
        <v>465</v>
      </c>
      <c r="F524" s="109" t="s">
        <v>89</v>
      </c>
      <c r="G524" s="109" t="s">
        <v>76</v>
      </c>
      <c r="H524" s="109" t="s">
        <v>77</v>
      </c>
      <c r="I524" s="110" t="s">
        <v>589</v>
      </c>
    </row>
    <row r="525" spans="1:9" ht="15.6" x14ac:dyDescent="0.3">
      <c r="A525" s="109" t="s">
        <v>710</v>
      </c>
      <c r="B525" s="109" t="s">
        <v>87</v>
      </c>
      <c r="C525" s="109" t="s">
        <v>165</v>
      </c>
      <c r="D525" s="109" t="s">
        <v>1</v>
      </c>
      <c r="E525" s="109" t="s">
        <v>450</v>
      </c>
      <c r="F525" s="109" t="s">
        <v>89</v>
      </c>
      <c r="G525" s="109" t="s">
        <v>76</v>
      </c>
      <c r="H525" s="109" t="s">
        <v>77</v>
      </c>
      <c r="I525" s="110" t="s">
        <v>589</v>
      </c>
    </row>
    <row r="526" spans="1:9" ht="15.6" x14ac:dyDescent="0.3">
      <c r="A526" s="109" t="s">
        <v>710</v>
      </c>
      <c r="B526" s="109" t="s">
        <v>87</v>
      </c>
      <c r="C526" s="109" t="s">
        <v>169</v>
      </c>
      <c r="D526" s="109" t="s">
        <v>1</v>
      </c>
      <c r="E526" s="109" t="s">
        <v>462</v>
      </c>
      <c r="F526" s="109" t="s">
        <v>89</v>
      </c>
      <c r="G526" s="109" t="s">
        <v>61</v>
      </c>
      <c r="H526" s="109" t="s">
        <v>77</v>
      </c>
      <c r="I526" s="110" t="s">
        <v>589</v>
      </c>
    </row>
    <row r="527" spans="1:9" ht="15.6" x14ac:dyDescent="0.3">
      <c r="A527" s="109" t="s">
        <v>710</v>
      </c>
      <c r="B527" s="109" t="s">
        <v>87</v>
      </c>
      <c r="C527" s="109" t="s">
        <v>88</v>
      </c>
      <c r="D527" s="109" t="s">
        <v>1</v>
      </c>
      <c r="E527" s="109" t="s">
        <v>459</v>
      </c>
      <c r="F527" s="109" t="s">
        <v>89</v>
      </c>
      <c r="G527" s="109" t="s">
        <v>61</v>
      </c>
      <c r="H527" s="109" t="s">
        <v>77</v>
      </c>
      <c r="I527" s="110" t="s">
        <v>589</v>
      </c>
    </row>
    <row r="528" spans="1:9" ht="15.6" x14ac:dyDescent="0.3">
      <c r="A528" s="111" t="s">
        <v>710</v>
      </c>
      <c r="B528" s="111" t="s">
        <v>79</v>
      </c>
      <c r="C528" s="111" t="s">
        <v>80</v>
      </c>
      <c r="D528" s="111" t="s">
        <v>1</v>
      </c>
      <c r="E528" s="111" t="s">
        <v>626</v>
      </c>
      <c r="F528" s="111" t="s">
        <v>156</v>
      </c>
      <c r="G528" s="111" t="s">
        <v>54</v>
      </c>
      <c r="H528" s="111" t="s">
        <v>257</v>
      </c>
      <c r="I528" s="112" t="s">
        <v>627</v>
      </c>
    </row>
    <row r="529" spans="1:9" ht="15.6" x14ac:dyDescent="0.3">
      <c r="A529" s="111" t="s">
        <v>710</v>
      </c>
      <c r="B529" s="111" t="s">
        <v>130</v>
      </c>
      <c r="C529" s="111" t="s">
        <v>143</v>
      </c>
      <c r="D529" s="111" t="s">
        <v>1</v>
      </c>
      <c r="E529" s="111" t="s">
        <v>420</v>
      </c>
      <c r="F529" s="111" t="s">
        <v>134</v>
      </c>
      <c r="G529" s="111" t="s">
        <v>76</v>
      </c>
      <c r="H529" s="111" t="s">
        <v>177</v>
      </c>
      <c r="I529" s="114" t="s">
        <v>656</v>
      </c>
    </row>
    <row r="530" spans="1:9" ht="15.6" x14ac:dyDescent="0.3">
      <c r="A530" s="111" t="s">
        <v>710</v>
      </c>
      <c r="B530" s="111" t="s">
        <v>130</v>
      </c>
      <c r="C530" s="111" t="s">
        <v>146</v>
      </c>
      <c r="D530" s="111" t="s">
        <v>1</v>
      </c>
      <c r="E530" s="111" t="s">
        <v>618</v>
      </c>
      <c r="F530" s="111" t="s">
        <v>134</v>
      </c>
      <c r="G530" s="111" t="s">
        <v>76</v>
      </c>
      <c r="H530" s="111" t="s">
        <v>177</v>
      </c>
      <c r="I530" s="114" t="s">
        <v>655</v>
      </c>
    </row>
    <row r="531" spans="1:9" ht="15.6" x14ac:dyDescent="0.3">
      <c r="A531" s="111" t="s">
        <v>710</v>
      </c>
      <c r="B531" s="111" t="s">
        <v>130</v>
      </c>
      <c r="C531" s="111" t="s">
        <v>131</v>
      </c>
      <c r="D531" s="111" t="s">
        <v>1</v>
      </c>
      <c r="E531" s="111" t="s">
        <v>607</v>
      </c>
      <c r="F531" s="111" t="s">
        <v>134</v>
      </c>
      <c r="G531" s="111" t="s">
        <v>76</v>
      </c>
      <c r="H531" s="111" t="s">
        <v>177</v>
      </c>
      <c r="I531" s="114" t="s">
        <v>655</v>
      </c>
    </row>
    <row r="532" spans="1:9" ht="15.6" x14ac:dyDescent="0.3">
      <c r="A532" s="111" t="s">
        <v>710</v>
      </c>
      <c r="B532" s="111" t="s">
        <v>130</v>
      </c>
      <c r="C532" s="111" t="s">
        <v>148</v>
      </c>
      <c r="D532" s="111" t="s">
        <v>1</v>
      </c>
      <c r="E532" s="111" t="s">
        <v>620</v>
      </c>
      <c r="F532" s="111" t="s">
        <v>134</v>
      </c>
      <c r="G532" s="111" t="s">
        <v>76</v>
      </c>
      <c r="H532" s="111" t="s">
        <v>177</v>
      </c>
      <c r="I532" s="114" t="s">
        <v>655</v>
      </c>
    </row>
    <row r="533" spans="1:9" ht="15.6" x14ac:dyDescent="0.3">
      <c r="A533" s="111" t="s">
        <v>710</v>
      </c>
      <c r="B533" s="111" t="s">
        <v>130</v>
      </c>
      <c r="C533" s="111" t="s">
        <v>136</v>
      </c>
      <c r="D533" s="111" t="s">
        <v>1</v>
      </c>
      <c r="E533" s="111" t="s">
        <v>609</v>
      </c>
      <c r="F533" s="111" t="s">
        <v>134</v>
      </c>
      <c r="G533" s="111" t="s">
        <v>76</v>
      </c>
      <c r="H533" s="111" t="s">
        <v>177</v>
      </c>
      <c r="I533" s="114" t="s">
        <v>655</v>
      </c>
    </row>
    <row r="534" spans="1:9" ht="15.6" x14ac:dyDescent="0.3">
      <c r="A534" s="111" t="s">
        <v>710</v>
      </c>
      <c r="B534" s="111" t="s">
        <v>130</v>
      </c>
      <c r="C534" s="111" t="s">
        <v>137</v>
      </c>
      <c r="D534" s="111" t="s">
        <v>1</v>
      </c>
      <c r="E534" s="111" t="s">
        <v>611</v>
      </c>
      <c r="F534" s="111" t="s">
        <v>134</v>
      </c>
      <c r="G534" s="111" t="s">
        <v>76</v>
      </c>
      <c r="H534" s="111" t="s">
        <v>177</v>
      </c>
      <c r="I534" s="114" t="s">
        <v>655</v>
      </c>
    </row>
    <row r="535" spans="1:9" ht="15.6" x14ac:dyDescent="0.3">
      <c r="A535" s="111" t="s">
        <v>710</v>
      </c>
      <c r="B535" s="111" t="s">
        <v>130</v>
      </c>
      <c r="C535" s="111" t="s">
        <v>138</v>
      </c>
      <c r="D535" s="111" t="s">
        <v>1</v>
      </c>
      <c r="E535" s="111" t="s">
        <v>613</v>
      </c>
      <c r="F535" s="111" t="s">
        <v>134</v>
      </c>
      <c r="G535" s="111" t="s">
        <v>76</v>
      </c>
      <c r="H535" s="111" t="s">
        <v>177</v>
      </c>
      <c r="I535" s="114" t="s">
        <v>655</v>
      </c>
    </row>
    <row r="536" spans="1:9" ht="15.6" x14ac:dyDescent="0.3">
      <c r="A536" s="111" t="s">
        <v>710</v>
      </c>
      <c r="B536" s="111" t="s">
        <v>130</v>
      </c>
      <c r="C536" s="111" t="s">
        <v>147</v>
      </c>
      <c r="D536" s="111" t="s">
        <v>1</v>
      </c>
      <c r="E536" s="111" t="s">
        <v>619</v>
      </c>
      <c r="F536" s="111" t="s">
        <v>134</v>
      </c>
      <c r="G536" s="111" t="s">
        <v>76</v>
      </c>
      <c r="H536" s="111" t="s">
        <v>135</v>
      </c>
      <c r="I536" s="114" t="s">
        <v>616</v>
      </c>
    </row>
    <row r="537" spans="1:9" ht="15.6" x14ac:dyDescent="0.3">
      <c r="A537" s="111" t="s">
        <v>710</v>
      </c>
      <c r="B537" s="111" t="s">
        <v>130</v>
      </c>
      <c r="C537" s="111" t="s">
        <v>139</v>
      </c>
      <c r="D537" s="111" t="s">
        <v>1</v>
      </c>
      <c r="E537" s="111" t="s">
        <v>570</v>
      </c>
      <c r="F537" s="111" t="s">
        <v>134</v>
      </c>
      <c r="G537" s="111" t="s">
        <v>110</v>
      </c>
      <c r="H537" s="111" t="s">
        <v>218</v>
      </c>
      <c r="I537" s="113" t="s">
        <v>711</v>
      </c>
    </row>
    <row r="538" spans="1:9" ht="15.6" x14ac:dyDescent="0.3">
      <c r="A538" s="111" t="s">
        <v>710</v>
      </c>
      <c r="B538" s="111" t="s">
        <v>130</v>
      </c>
      <c r="C538" s="111" t="s">
        <v>142</v>
      </c>
      <c r="D538" s="111" t="s">
        <v>1</v>
      </c>
      <c r="E538" s="111" t="s">
        <v>572</v>
      </c>
      <c r="F538" s="111" t="s">
        <v>134</v>
      </c>
      <c r="G538" s="111" t="s">
        <v>110</v>
      </c>
      <c r="H538" s="111" t="s">
        <v>218</v>
      </c>
      <c r="I538" s="113" t="s">
        <v>711</v>
      </c>
    </row>
    <row r="539" spans="1:9" ht="15.6" x14ac:dyDescent="0.3">
      <c r="A539" s="111" t="s">
        <v>710</v>
      </c>
      <c r="B539" s="111" t="s">
        <v>130</v>
      </c>
      <c r="C539" s="111" t="s">
        <v>141</v>
      </c>
      <c r="D539" s="111" t="s">
        <v>1</v>
      </c>
      <c r="E539" s="111" t="s">
        <v>573</v>
      </c>
      <c r="F539" s="111" t="s">
        <v>134</v>
      </c>
      <c r="G539" s="111" t="s">
        <v>110</v>
      </c>
      <c r="H539" s="111" t="s">
        <v>178</v>
      </c>
      <c r="I539" s="113" t="s">
        <v>658</v>
      </c>
    </row>
    <row r="540" spans="1:9" ht="15.6" x14ac:dyDescent="0.3">
      <c r="A540" s="111" t="s">
        <v>710</v>
      </c>
      <c r="B540" s="111" t="s">
        <v>130</v>
      </c>
      <c r="C540" s="111" t="s">
        <v>149</v>
      </c>
      <c r="D540" s="111" t="s">
        <v>1</v>
      </c>
      <c r="E540" s="111" t="s">
        <v>583</v>
      </c>
      <c r="F540" s="111" t="s">
        <v>134</v>
      </c>
      <c r="G540" s="111" t="s">
        <v>110</v>
      </c>
      <c r="H540" s="111" t="s">
        <v>140</v>
      </c>
      <c r="I540" s="112" t="s">
        <v>599</v>
      </c>
    </row>
    <row r="541" spans="1:9" ht="15.6" x14ac:dyDescent="0.3">
      <c r="A541" s="109" t="s">
        <v>712</v>
      </c>
      <c r="B541" s="109" t="s">
        <v>87</v>
      </c>
      <c r="C541" s="109" t="s">
        <v>109</v>
      </c>
      <c r="D541" s="109" t="s">
        <v>1</v>
      </c>
      <c r="E541" s="109" t="s">
        <v>559</v>
      </c>
      <c r="F541" s="109" t="s">
        <v>89</v>
      </c>
      <c r="G541" s="109" t="s">
        <v>185</v>
      </c>
      <c r="H541" s="109" t="s">
        <v>77</v>
      </c>
      <c r="I541" s="110" t="s">
        <v>589</v>
      </c>
    </row>
    <row r="542" spans="1:9" ht="15.6" x14ac:dyDescent="0.3">
      <c r="A542" s="109" t="s">
        <v>712</v>
      </c>
      <c r="B542" s="109" t="s">
        <v>87</v>
      </c>
      <c r="C542" s="109" t="s">
        <v>95</v>
      </c>
      <c r="D542" s="109" t="s">
        <v>1</v>
      </c>
      <c r="E542" s="109" t="s">
        <v>432</v>
      </c>
      <c r="F542" s="109" t="s">
        <v>89</v>
      </c>
      <c r="G542" s="109" t="s">
        <v>61</v>
      </c>
      <c r="H542" s="109" t="s">
        <v>207</v>
      </c>
      <c r="I542" s="110" t="s">
        <v>589</v>
      </c>
    </row>
    <row r="543" spans="1:9" ht="15.6" x14ac:dyDescent="0.3">
      <c r="A543" s="109" t="s">
        <v>712</v>
      </c>
      <c r="B543" s="109" t="s">
        <v>87</v>
      </c>
      <c r="C543" s="109" t="s">
        <v>88</v>
      </c>
      <c r="D543" s="109" t="s">
        <v>1</v>
      </c>
      <c r="E543" s="109" t="s">
        <v>473</v>
      </c>
      <c r="F543" s="109" t="s">
        <v>89</v>
      </c>
      <c r="G543" s="109" t="s">
        <v>110</v>
      </c>
      <c r="H543" s="109" t="s">
        <v>207</v>
      </c>
      <c r="I543" s="110" t="s">
        <v>589</v>
      </c>
    </row>
    <row r="544" spans="1:9" ht="15.6" x14ac:dyDescent="0.3">
      <c r="A544" s="111" t="s">
        <v>712</v>
      </c>
      <c r="B544" s="111" t="s">
        <v>79</v>
      </c>
      <c r="C544" s="111" t="s">
        <v>84</v>
      </c>
      <c r="D544" s="111" t="s">
        <v>1</v>
      </c>
      <c r="E544" s="111" t="s">
        <v>584</v>
      </c>
      <c r="F544" s="111" t="s">
        <v>81</v>
      </c>
      <c r="G544" s="111" t="s">
        <v>54</v>
      </c>
      <c r="H544" s="111" t="s">
        <v>257</v>
      </c>
      <c r="I544" s="112" t="s">
        <v>627</v>
      </c>
    </row>
    <row r="545" spans="1:9" ht="15.6" x14ac:dyDescent="0.3">
      <c r="A545" s="111" t="s">
        <v>712</v>
      </c>
      <c r="B545" s="111" t="s">
        <v>79</v>
      </c>
      <c r="C545" s="111" t="s">
        <v>84</v>
      </c>
      <c r="D545" s="111" t="s">
        <v>1</v>
      </c>
      <c r="E545" s="111" t="s">
        <v>584</v>
      </c>
      <c r="F545" s="111" t="s">
        <v>33</v>
      </c>
      <c r="G545" s="111" t="s">
        <v>54</v>
      </c>
      <c r="H545" s="111" t="s">
        <v>85</v>
      </c>
      <c r="I545" s="114" t="s">
        <v>602</v>
      </c>
    </row>
    <row r="546" spans="1:9" ht="15.6" x14ac:dyDescent="0.3">
      <c r="A546" s="111" t="s">
        <v>712</v>
      </c>
      <c r="B546" s="111" t="s">
        <v>130</v>
      </c>
      <c r="C546" s="111" t="s">
        <v>146</v>
      </c>
      <c r="D546" s="111" t="s">
        <v>1</v>
      </c>
      <c r="E546" s="111" t="s">
        <v>618</v>
      </c>
      <c r="F546" s="111" t="s">
        <v>134</v>
      </c>
      <c r="G546" s="111" t="s">
        <v>29</v>
      </c>
      <c r="H546" s="111" t="s">
        <v>367</v>
      </c>
      <c r="I546" s="114" t="s">
        <v>677</v>
      </c>
    </row>
    <row r="547" spans="1:9" ht="15.6" x14ac:dyDescent="0.3">
      <c r="A547" s="111" t="s">
        <v>712</v>
      </c>
      <c r="B547" s="111" t="s">
        <v>45</v>
      </c>
      <c r="C547" s="111" t="s">
        <v>57</v>
      </c>
      <c r="D547" s="111" t="s">
        <v>1</v>
      </c>
      <c r="E547" s="111" t="s">
        <v>578</v>
      </c>
      <c r="F547" s="111" t="s">
        <v>51</v>
      </c>
      <c r="G547" s="111" t="s">
        <v>54</v>
      </c>
      <c r="H547" s="111" t="s">
        <v>197</v>
      </c>
      <c r="I547" s="114" t="s">
        <v>652</v>
      </c>
    </row>
    <row r="548" spans="1:9" ht="15.6" x14ac:dyDescent="0.3">
      <c r="A548" s="111" t="s">
        <v>712</v>
      </c>
      <c r="B548" s="111" t="s">
        <v>45</v>
      </c>
      <c r="C548" s="111" t="s">
        <v>59</v>
      </c>
      <c r="D548" s="111" t="s">
        <v>1</v>
      </c>
      <c r="E548" s="111" t="s">
        <v>580</v>
      </c>
      <c r="F548" s="111" t="s">
        <v>51</v>
      </c>
      <c r="G548" s="111" t="s">
        <v>185</v>
      </c>
      <c r="H548" s="111" t="s">
        <v>197</v>
      </c>
      <c r="I548" s="114" t="s">
        <v>650</v>
      </c>
    </row>
    <row r="549" spans="1:9" ht="15.6" x14ac:dyDescent="0.3">
      <c r="A549" s="111" t="s">
        <v>712</v>
      </c>
      <c r="B549" s="111" t="s">
        <v>45</v>
      </c>
      <c r="C549" s="111" t="s">
        <v>46</v>
      </c>
      <c r="D549" s="111" t="s">
        <v>1</v>
      </c>
      <c r="E549" s="111" t="s">
        <v>571</v>
      </c>
      <c r="F549" s="111" t="s">
        <v>51</v>
      </c>
      <c r="G549" s="111" t="s">
        <v>61</v>
      </c>
      <c r="H549" s="111" t="s">
        <v>197</v>
      </c>
      <c r="I549" s="114" t="s">
        <v>652</v>
      </c>
    </row>
    <row r="550" spans="1:9" ht="15.6" x14ac:dyDescent="0.3">
      <c r="A550" s="111" t="s">
        <v>712</v>
      </c>
      <c r="B550" s="111" t="s">
        <v>45</v>
      </c>
      <c r="C550" s="111" t="s">
        <v>53</v>
      </c>
      <c r="D550" s="111" t="s">
        <v>1</v>
      </c>
      <c r="E550" s="111" t="s">
        <v>577</v>
      </c>
      <c r="F550" s="111" t="s">
        <v>51</v>
      </c>
      <c r="G550" s="111" t="s">
        <v>54</v>
      </c>
      <c r="H550" s="111" t="s">
        <v>52</v>
      </c>
      <c r="I550" s="114" t="s">
        <v>652</v>
      </c>
    </row>
    <row r="551" spans="1:9" ht="15.6" x14ac:dyDescent="0.3">
      <c r="A551" s="111" t="s">
        <v>712</v>
      </c>
      <c r="B551" s="111" t="s">
        <v>45</v>
      </c>
      <c r="C551" s="111" t="s">
        <v>58</v>
      </c>
      <c r="D551" s="111" t="s">
        <v>1</v>
      </c>
      <c r="E551" s="111" t="s">
        <v>573</v>
      </c>
      <c r="F551" s="111" t="s">
        <v>51</v>
      </c>
      <c r="G551" s="111" t="s">
        <v>54</v>
      </c>
      <c r="H551" s="111" t="s">
        <v>52</v>
      </c>
      <c r="I551" s="114" t="s">
        <v>653</v>
      </c>
    </row>
    <row r="552" spans="1:9" ht="15.6" x14ac:dyDescent="0.3">
      <c r="A552" s="111" t="s">
        <v>712</v>
      </c>
      <c r="B552" s="111" t="s">
        <v>45</v>
      </c>
      <c r="C552" s="111" t="s">
        <v>62</v>
      </c>
      <c r="D552" s="111" t="s">
        <v>1</v>
      </c>
      <c r="E552" s="111" t="s">
        <v>469</v>
      </c>
      <c r="F552" s="111" t="s">
        <v>51</v>
      </c>
      <c r="G552" s="111" t="s">
        <v>29</v>
      </c>
      <c r="H552" s="111" t="s">
        <v>52</v>
      </c>
      <c r="I552" s="114" t="s">
        <v>652</v>
      </c>
    </row>
    <row r="553" spans="1:9" ht="15.6" x14ac:dyDescent="0.3">
      <c r="A553" s="111" t="s">
        <v>712</v>
      </c>
      <c r="B553" s="111" t="s">
        <v>45</v>
      </c>
      <c r="C553" s="111" t="s">
        <v>60</v>
      </c>
      <c r="D553" s="111" t="s">
        <v>1</v>
      </c>
      <c r="E553" s="111" t="s">
        <v>581</v>
      </c>
      <c r="F553" s="111" t="s">
        <v>51</v>
      </c>
      <c r="G553" s="111" t="s">
        <v>185</v>
      </c>
      <c r="H553" s="111" t="s">
        <v>52</v>
      </c>
      <c r="I553" s="114" t="s">
        <v>652</v>
      </c>
    </row>
    <row r="554" spans="1:9" ht="15.6" x14ac:dyDescent="0.3">
      <c r="A554" s="111" t="s">
        <v>712</v>
      </c>
      <c r="B554" s="111" t="s">
        <v>45</v>
      </c>
      <c r="C554" s="111" t="s">
        <v>66</v>
      </c>
      <c r="D554" s="111" t="s">
        <v>1</v>
      </c>
      <c r="E554" s="111" t="s">
        <v>605</v>
      </c>
      <c r="F554" s="111" t="s">
        <v>51</v>
      </c>
      <c r="G554" s="111" t="s">
        <v>54</v>
      </c>
      <c r="H554" s="111" t="s">
        <v>52</v>
      </c>
      <c r="I554" s="114" t="s">
        <v>652</v>
      </c>
    </row>
    <row r="555" spans="1:9" ht="15.6" x14ac:dyDescent="0.3">
      <c r="A555" s="111" t="s">
        <v>712</v>
      </c>
      <c r="B555" s="111" t="s">
        <v>130</v>
      </c>
      <c r="C555" s="111" t="s">
        <v>136</v>
      </c>
      <c r="D555" s="111" t="s">
        <v>1</v>
      </c>
      <c r="E555" s="111" t="s">
        <v>609</v>
      </c>
      <c r="F555" s="111" t="s">
        <v>134</v>
      </c>
      <c r="G555" s="111" t="s">
        <v>76</v>
      </c>
      <c r="H555" s="111" t="s">
        <v>280</v>
      </c>
      <c r="I555" s="114" t="s">
        <v>647</v>
      </c>
    </row>
    <row r="556" spans="1:9" ht="15.6" x14ac:dyDescent="0.3">
      <c r="A556" s="111" t="s">
        <v>712</v>
      </c>
      <c r="B556" s="111" t="s">
        <v>130</v>
      </c>
      <c r="C556" s="111" t="s">
        <v>143</v>
      </c>
      <c r="D556" s="111" t="s">
        <v>1</v>
      </c>
      <c r="E556" s="111" t="s">
        <v>420</v>
      </c>
      <c r="F556" s="111" t="s">
        <v>134</v>
      </c>
      <c r="G556" s="111" t="s">
        <v>76</v>
      </c>
      <c r="H556" s="111" t="s">
        <v>177</v>
      </c>
      <c r="I556" s="114" t="s">
        <v>655</v>
      </c>
    </row>
    <row r="557" spans="1:9" ht="15.6" x14ac:dyDescent="0.3">
      <c r="A557" s="111" t="s">
        <v>712</v>
      </c>
      <c r="B557" s="111" t="s">
        <v>130</v>
      </c>
      <c r="C557" s="111" t="s">
        <v>147</v>
      </c>
      <c r="D557" s="111" t="s">
        <v>1</v>
      </c>
      <c r="E557" s="111" t="s">
        <v>619</v>
      </c>
      <c r="F557" s="111" t="s">
        <v>134</v>
      </c>
      <c r="G557" s="111" t="s">
        <v>76</v>
      </c>
      <c r="H557" s="111" t="s">
        <v>177</v>
      </c>
      <c r="I557" s="114" t="s">
        <v>656</v>
      </c>
    </row>
    <row r="558" spans="1:9" ht="15.6" x14ac:dyDescent="0.3">
      <c r="A558" s="111" t="s">
        <v>712</v>
      </c>
      <c r="B558" s="111" t="s">
        <v>130</v>
      </c>
      <c r="C558" s="111" t="s">
        <v>137</v>
      </c>
      <c r="D558" s="111" t="s">
        <v>1</v>
      </c>
      <c r="E558" s="111" t="s">
        <v>611</v>
      </c>
      <c r="F558" s="111" t="s">
        <v>134</v>
      </c>
      <c r="G558" s="111" t="s">
        <v>76</v>
      </c>
      <c r="H558" s="111" t="s">
        <v>177</v>
      </c>
      <c r="I558" s="114" t="s">
        <v>656</v>
      </c>
    </row>
    <row r="559" spans="1:9" ht="15.6" x14ac:dyDescent="0.3">
      <c r="A559" s="111" t="s">
        <v>712</v>
      </c>
      <c r="B559" s="111" t="s">
        <v>130</v>
      </c>
      <c r="C559" s="111" t="s">
        <v>138</v>
      </c>
      <c r="D559" s="111" t="s">
        <v>1</v>
      </c>
      <c r="E559" s="111" t="s">
        <v>613</v>
      </c>
      <c r="F559" s="111" t="s">
        <v>134</v>
      </c>
      <c r="G559" s="111" t="s">
        <v>76</v>
      </c>
      <c r="H559" s="111" t="s">
        <v>177</v>
      </c>
      <c r="I559" s="114" t="s">
        <v>655</v>
      </c>
    </row>
    <row r="560" spans="1:9" ht="15.6" x14ac:dyDescent="0.3">
      <c r="A560" s="111" t="s">
        <v>712</v>
      </c>
      <c r="B560" s="111" t="s">
        <v>130</v>
      </c>
      <c r="C560" s="111" t="s">
        <v>141</v>
      </c>
      <c r="D560" s="111" t="s">
        <v>1</v>
      </c>
      <c r="E560" s="111" t="s">
        <v>573</v>
      </c>
      <c r="F560" s="111" t="s">
        <v>134</v>
      </c>
      <c r="G560" s="111" t="s">
        <v>110</v>
      </c>
      <c r="H560" s="111" t="s">
        <v>250</v>
      </c>
      <c r="I560" s="113" t="s">
        <v>591</v>
      </c>
    </row>
    <row r="561" spans="1:9" ht="15.6" x14ac:dyDescent="0.3">
      <c r="A561" s="111" t="s">
        <v>712</v>
      </c>
      <c r="B561" s="111" t="s">
        <v>130</v>
      </c>
      <c r="C561" s="111" t="s">
        <v>142</v>
      </c>
      <c r="D561" s="111" t="s">
        <v>1</v>
      </c>
      <c r="E561" s="111" t="s">
        <v>572</v>
      </c>
      <c r="F561" s="111" t="s">
        <v>134</v>
      </c>
      <c r="G561" s="111" t="s">
        <v>110</v>
      </c>
      <c r="H561" s="111" t="s">
        <v>250</v>
      </c>
      <c r="I561" s="113" t="s">
        <v>591</v>
      </c>
    </row>
    <row r="562" spans="1:9" ht="15.6" x14ac:dyDescent="0.3">
      <c r="A562" s="111" t="s">
        <v>712</v>
      </c>
      <c r="B562" s="111" t="s">
        <v>26</v>
      </c>
      <c r="C562" s="111" t="s">
        <v>35</v>
      </c>
      <c r="D562" s="111" t="s">
        <v>1</v>
      </c>
      <c r="E562" s="111" t="s">
        <v>572</v>
      </c>
      <c r="F562" s="111" t="s">
        <v>33</v>
      </c>
      <c r="G562" s="111" t="s">
        <v>219</v>
      </c>
      <c r="H562" s="111" t="s">
        <v>34</v>
      </c>
      <c r="I562" s="112" t="s">
        <v>627</v>
      </c>
    </row>
    <row r="563" spans="1:9" ht="15.6" x14ac:dyDescent="0.3">
      <c r="A563" s="111" t="s">
        <v>712</v>
      </c>
      <c r="B563" s="111" t="s">
        <v>26</v>
      </c>
      <c r="C563" s="111" t="s">
        <v>39</v>
      </c>
      <c r="D563" s="111" t="s">
        <v>1</v>
      </c>
      <c r="E563" s="111" t="s">
        <v>573</v>
      </c>
      <c r="F563" s="111" t="s">
        <v>33</v>
      </c>
      <c r="G563" s="111" t="s">
        <v>358</v>
      </c>
      <c r="H563" s="111" t="s">
        <v>34</v>
      </c>
      <c r="I563" s="112" t="s">
        <v>627</v>
      </c>
    </row>
    <row r="564" spans="1:9" ht="15.6" x14ac:dyDescent="0.3">
      <c r="A564" s="111" t="s">
        <v>712</v>
      </c>
      <c r="B564" s="111" t="s">
        <v>26</v>
      </c>
      <c r="C564" s="111" t="s">
        <v>27</v>
      </c>
      <c r="D564" s="111" t="s">
        <v>1</v>
      </c>
      <c r="E564" s="111" t="s">
        <v>570</v>
      </c>
      <c r="F564" s="111" t="s">
        <v>33</v>
      </c>
      <c r="G564" s="111" t="s">
        <v>256</v>
      </c>
      <c r="H564" s="111" t="s">
        <v>34</v>
      </c>
      <c r="I564" s="112" t="s">
        <v>593</v>
      </c>
    </row>
    <row r="565" spans="1:9" ht="15.6" x14ac:dyDescent="0.3">
      <c r="A565" s="111" t="s">
        <v>712</v>
      </c>
      <c r="B565" s="111" t="s">
        <v>26</v>
      </c>
      <c r="C565" s="111" t="s">
        <v>41</v>
      </c>
      <c r="D565" s="111" t="s">
        <v>1</v>
      </c>
      <c r="E565" s="111" t="s">
        <v>583</v>
      </c>
      <c r="F565" s="111" t="s">
        <v>33</v>
      </c>
      <c r="G565" s="111" t="s">
        <v>29</v>
      </c>
      <c r="H565" s="111" t="s">
        <v>34</v>
      </c>
      <c r="I565" s="112" t="s">
        <v>593</v>
      </c>
    </row>
    <row r="566" spans="1:9" ht="15.6" x14ac:dyDescent="0.3">
      <c r="A566" s="111" t="s">
        <v>712</v>
      </c>
      <c r="B566" s="111" t="s">
        <v>130</v>
      </c>
      <c r="C566" s="111" t="s">
        <v>149</v>
      </c>
      <c r="D566" s="111" t="s">
        <v>1</v>
      </c>
      <c r="E566" s="111" t="s">
        <v>583</v>
      </c>
      <c r="F566" s="111" t="s">
        <v>134</v>
      </c>
      <c r="G566" s="111" t="s">
        <v>110</v>
      </c>
      <c r="H566" s="111" t="s">
        <v>218</v>
      </c>
      <c r="I566" s="113" t="s">
        <v>594</v>
      </c>
    </row>
    <row r="567" spans="1:9" ht="15.6" x14ac:dyDescent="0.3">
      <c r="A567" s="111" t="s">
        <v>712</v>
      </c>
      <c r="B567" s="111" t="s">
        <v>130</v>
      </c>
      <c r="C567" s="111" t="s">
        <v>139</v>
      </c>
      <c r="D567" s="111" t="s">
        <v>1</v>
      </c>
      <c r="E567" s="111" t="s">
        <v>570</v>
      </c>
      <c r="F567" s="111" t="s">
        <v>134</v>
      </c>
      <c r="G567" s="111" t="s">
        <v>110</v>
      </c>
      <c r="H567" s="111" t="s">
        <v>140</v>
      </c>
      <c r="I567" s="112" t="s">
        <v>597</v>
      </c>
    </row>
    <row r="568" spans="1:9" ht="15.6" x14ac:dyDescent="0.3">
      <c r="A568" s="109" t="s">
        <v>713</v>
      </c>
      <c r="B568" s="109" t="s">
        <v>87</v>
      </c>
      <c r="C568" s="109" t="s">
        <v>220</v>
      </c>
      <c r="D568" s="109" t="s">
        <v>1</v>
      </c>
      <c r="E568" s="109" t="s">
        <v>481</v>
      </c>
      <c r="F568" s="109" t="s">
        <v>89</v>
      </c>
      <c r="G568" s="109" t="s">
        <v>76</v>
      </c>
      <c r="H568" s="109" t="s">
        <v>77</v>
      </c>
      <c r="I568" s="110" t="s">
        <v>589</v>
      </c>
    </row>
    <row r="569" spans="1:9" ht="15.6" x14ac:dyDescent="0.3">
      <c r="A569" s="109" t="s">
        <v>713</v>
      </c>
      <c r="B569" s="109" t="s">
        <v>87</v>
      </c>
      <c r="C569" s="109" t="s">
        <v>241</v>
      </c>
      <c r="D569" s="109" t="s">
        <v>1</v>
      </c>
      <c r="E569" s="109" t="s">
        <v>486</v>
      </c>
      <c r="F569" s="109" t="s">
        <v>89</v>
      </c>
      <c r="G569" s="109" t="s">
        <v>36</v>
      </c>
      <c r="H569" s="109" t="s">
        <v>77</v>
      </c>
      <c r="I569" s="110" t="s">
        <v>589</v>
      </c>
    </row>
    <row r="570" spans="1:9" ht="15.6" x14ac:dyDescent="0.3">
      <c r="A570" s="109" t="s">
        <v>713</v>
      </c>
      <c r="B570" s="109" t="s">
        <v>87</v>
      </c>
      <c r="C570" s="109" t="s">
        <v>109</v>
      </c>
      <c r="D570" s="109" t="s">
        <v>1</v>
      </c>
      <c r="E570" s="109" t="s">
        <v>483</v>
      </c>
      <c r="F570" s="109" t="s">
        <v>89</v>
      </c>
      <c r="G570" s="109" t="s">
        <v>103</v>
      </c>
      <c r="H570" s="109" t="s">
        <v>77</v>
      </c>
      <c r="I570" s="110" t="s">
        <v>589</v>
      </c>
    </row>
    <row r="571" spans="1:9" ht="15.6" x14ac:dyDescent="0.3">
      <c r="A571" s="109" t="s">
        <v>713</v>
      </c>
      <c r="B571" s="109" t="s">
        <v>87</v>
      </c>
      <c r="C571" s="109" t="s">
        <v>165</v>
      </c>
      <c r="D571" s="109" t="s">
        <v>1</v>
      </c>
      <c r="E571" s="109" t="s">
        <v>480</v>
      </c>
      <c r="F571" s="109" t="s">
        <v>89</v>
      </c>
      <c r="G571" s="109" t="s">
        <v>61</v>
      </c>
      <c r="H571" s="109" t="s">
        <v>77</v>
      </c>
      <c r="I571" s="110" t="s">
        <v>589</v>
      </c>
    </row>
    <row r="572" spans="1:9" ht="15.6" x14ac:dyDescent="0.3">
      <c r="A572" s="109" t="s">
        <v>713</v>
      </c>
      <c r="B572" s="109" t="s">
        <v>87</v>
      </c>
      <c r="C572" s="109" t="s">
        <v>169</v>
      </c>
      <c r="D572" s="109" t="s">
        <v>1</v>
      </c>
      <c r="E572" s="109" t="s">
        <v>477</v>
      </c>
      <c r="F572" s="109" t="s">
        <v>89</v>
      </c>
      <c r="G572" s="109" t="s">
        <v>76</v>
      </c>
      <c r="H572" s="109" t="s">
        <v>77</v>
      </c>
      <c r="I572" s="110" t="s">
        <v>589</v>
      </c>
    </row>
    <row r="573" spans="1:9" ht="15.6" x14ac:dyDescent="0.3">
      <c r="A573" s="109" t="s">
        <v>713</v>
      </c>
      <c r="B573" s="109" t="s">
        <v>87</v>
      </c>
      <c r="C573" s="109" t="s">
        <v>95</v>
      </c>
      <c r="D573" s="109" t="s">
        <v>1</v>
      </c>
      <c r="E573" s="109" t="s">
        <v>487</v>
      </c>
      <c r="F573" s="109" t="s">
        <v>89</v>
      </c>
      <c r="G573" s="109" t="s">
        <v>61</v>
      </c>
      <c r="H573" s="109" t="s">
        <v>207</v>
      </c>
      <c r="I573" s="110" t="s">
        <v>589</v>
      </c>
    </row>
    <row r="574" spans="1:9" ht="15.6" x14ac:dyDescent="0.3">
      <c r="A574" s="109" t="s">
        <v>713</v>
      </c>
      <c r="B574" s="109" t="s">
        <v>87</v>
      </c>
      <c r="C574" s="109" t="s">
        <v>102</v>
      </c>
      <c r="D574" s="109" t="s">
        <v>1</v>
      </c>
      <c r="E574" s="109" t="s">
        <v>491</v>
      </c>
      <c r="F574" s="109" t="s">
        <v>89</v>
      </c>
      <c r="G574" s="109" t="s">
        <v>76</v>
      </c>
      <c r="H574" s="109" t="s">
        <v>159</v>
      </c>
      <c r="I574" s="110" t="s">
        <v>589</v>
      </c>
    </row>
    <row r="575" spans="1:9" ht="15.6" x14ac:dyDescent="0.3">
      <c r="A575" s="111" t="s">
        <v>713</v>
      </c>
      <c r="B575" s="111" t="s">
        <v>79</v>
      </c>
      <c r="C575" s="111" t="s">
        <v>84</v>
      </c>
      <c r="D575" s="111" t="s">
        <v>1</v>
      </c>
      <c r="E575" s="111" t="s">
        <v>660</v>
      </c>
      <c r="F575" s="111" t="s">
        <v>81</v>
      </c>
      <c r="G575" s="111" t="s">
        <v>54</v>
      </c>
      <c r="H575" s="111" t="s">
        <v>257</v>
      </c>
      <c r="I575" s="112" t="s">
        <v>627</v>
      </c>
    </row>
    <row r="576" spans="1:9" ht="15.6" x14ac:dyDescent="0.3">
      <c r="A576" s="111" t="s">
        <v>713</v>
      </c>
      <c r="B576" s="111" t="s">
        <v>74</v>
      </c>
      <c r="C576" s="111" t="s">
        <v>78</v>
      </c>
      <c r="D576" s="111" t="s">
        <v>1</v>
      </c>
      <c r="E576" s="111" t="s">
        <v>576</v>
      </c>
      <c r="F576" s="111" t="s">
        <v>72</v>
      </c>
      <c r="G576" s="111" t="s">
        <v>36</v>
      </c>
      <c r="H576" s="111" t="s">
        <v>77</v>
      </c>
      <c r="I576" s="112" t="s">
        <v>624</v>
      </c>
    </row>
    <row r="577" spans="1:9" ht="15.6" x14ac:dyDescent="0.3">
      <c r="A577" s="111" t="s">
        <v>713</v>
      </c>
      <c r="B577" s="111" t="s">
        <v>79</v>
      </c>
      <c r="C577" s="111" t="s">
        <v>84</v>
      </c>
      <c r="D577" s="111" t="s">
        <v>1</v>
      </c>
      <c r="E577" s="111" t="s">
        <v>660</v>
      </c>
      <c r="F577" s="111" t="s">
        <v>33</v>
      </c>
      <c r="G577" s="111" t="s">
        <v>54</v>
      </c>
      <c r="H577" s="111" t="s">
        <v>85</v>
      </c>
      <c r="I577" s="114" t="s">
        <v>602</v>
      </c>
    </row>
    <row r="578" spans="1:9" ht="15.6" x14ac:dyDescent="0.3">
      <c r="A578" s="111" t="s">
        <v>713</v>
      </c>
      <c r="B578" s="111" t="s">
        <v>45</v>
      </c>
      <c r="C578" s="111" t="s">
        <v>57</v>
      </c>
      <c r="D578" s="111" t="s">
        <v>1</v>
      </c>
      <c r="E578" s="111" t="s">
        <v>578</v>
      </c>
      <c r="F578" s="111" t="s">
        <v>51</v>
      </c>
      <c r="G578" s="111" t="s">
        <v>61</v>
      </c>
      <c r="H578" s="111" t="s">
        <v>197</v>
      </c>
      <c r="I578" s="114" t="s">
        <v>652</v>
      </c>
    </row>
    <row r="579" spans="1:9" ht="15.6" x14ac:dyDescent="0.3">
      <c r="A579" s="111" t="s">
        <v>713</v>
      </c>
      <c r="B579" s="111" t="s">
        <v>45</v>
      </c>
      <c r="C579" s="111" t="s">
        <v>58</v>
      </c>
      <c r="D579" s="111" t="s">
        <v>1</v>
      </c>
      <c r="E579" s="111" t="s">
        <v>573</v>
      </c>
      <c r="F579" s="111" t="s">
        <v>51</v>
      </c>
      <c r="G579" s="111" t="s">
        <v>54</v>
      </c>
      <c r="H579" s="111" t="s">
        <v>197</v>
      </c>
      <c r="I579" s="114" t="s">
        <v>652</v>
      </c>
    </row>
    <row r="580" spans="1:9" ht="15.6" x14ac:dyDescent="0.3">
      <c r="A580" s="111" t="s">
        <v>713</v>
      </c>
      <c r="B580" s="111" t="s">
        <v>45</v>
      </c>
      <c r="C580" s="111" t="s">
        <v>46</v>
      </c>
      <c r="D580" s="111" t="s">
        <v>1</v>
      </c>
      <c r="E580" s="111" t="s">
        <v>571</v>
      </c>
      <c r="F580" s="111" t="s">
        <v>51</v>
      </c>
      <c r="G580" s="111" t="s">
        <v>96</v>
      </c>
      <c r="H580" s="111" t="s">
        <v>197</v>
      </c>
      <c r="I580" s="114" t="s">
        <v>652</v>
      </c>
    </row>
    <row r="581" spans="1:9" ht="15.6" x14ac:dyDescent="0.3">
      <c r="A581" s="111" t="s">
        <v>713</v>
      </c>
      <c r="B581" s="111" t="s">
        <v>45</v>
      </c>
      <c r="C581" s="111" t="s">
        <v>53</v>
      </c>
      <c r="D581" s="111" t="s">
        <v>1</v>
      </c>
      <c r="E581" s="111" t="s">
        <v>577</v>
      </c>
      <c r="F581" s="111" t="s">
        <v>51</v>
      </c>
      <c r="G581" s="111" t="s">
        <v>96</v>
      </c>
      <c r="H581" s="111" t="s">
        <v>56</v>
      </c>
      <c r="I581" s="114" t="s">
        <v>629</v>
      </c>
    </row>
    <row r="582" spans="1:9" ht="15.6" x14ac:dyDescent="0.3">
      <c r="A582" s="111" t="s">
        <v>713</v>
      </c>
      <c r="B582" s="111" t="s">
        <v>45</v>
      </c>
      <c r="C582" s="111" t="s">
        <v>62</v>
      </c>
      <c r="D582" s="111" t="s">
        <v>1</v>
      </c>
      <c r="E582" s="111" t="s">
        <v>469</v>
      </c>
      <c r="F582" s="111" t="s">
        <v>51</v>
      </c>
      <c r="G582" s="111" t="s">
        <v>54</v>
      </c>
      <c r="H582" s="111" t="s">
        <v>56</v>
      </c>
      <c r="I582" s="114" t="s">
        <v>653</v>
      </c>
    </row>
    <row r="583" spans="1:9" ht="15.6" x14ac:dyDescent="0.3">
      <c r="A583" s="111" t="s">
        <v>713</v>
      </c>
      <c r="B583" s="111" t="s">
        <v>45</v>
      </c>
      <c r="C583" s="111" t="s">
        <v>59</v>
      </c>
      <c r="D583" s="111" t="s">
        <v>1</v>
      </c>
      <c r="E583" s="111" t="s">
        <v>580</v>
      </c>
      <c r="F583" s="111" t="s">
        <v>51</v>
      </c>
      <c r="G583" s="111" t="s">
        <v>29</v>
      </c>
      <c r="H583" s="111" t="s">
        <v>56</v>
      </c>
      <c r="I583" s="114" t="s">
        <v>629</v>
      </c>
    </row>
    <row r="584" spans="1:9" ht="15.6" x14ac:dyDescent="0.3">
      <c r="A584" s="111" t="s">
        <v>713</v>
      </c>
      <c r="B584" s="111" t="s">
        <v>45</v>
      </c>
      <c r="C584" s="111" t="s">
        <v>60</v>
      </c>
      <c r="D584" s="111" t="s">
        <v>1</v>
      </c>
      <c r="E584" s="111" t="s">
        <v>581</v>
      </c>
      <c r="F584" s="111" t="s">
        <v>51</v>
      </c>
      <c r="G584" s="111" t="s">
        <v>36</v>
      </c>
      <c r="H584" s="111" t="s">
        <v>56</v>
      </c>
      <c r="I584" s="114" t="s">
        <v>629</v>
      </c>
    </row>
    <row r="585" spans="1:9" ht="15.6" x14ac:dyDescent="0.3">
      <c r="A585" s="111" t="s">
        <v>713</v>
      </c>
      <c r="B585" s="111" t="s">
        <v>45</v>
      </c>
      <c r="C585" s="111" t="s">
        <v>66</v>
      </c>
      <c r="D585" s="111" t="s">
        <v>1</v>
      </c>
      <c r="E585" s="111" t="s">
        <v>605</v>
      </c>
      <c r="F585" s="111" t="s">
        <v>51</v>
      </c>
      <c r="G585" s="111" t="s">
        <v>110</v>
      </c>
      <c r="H585" s="111" t="s">
        <v>56</v>
      </c>
      <c r="I585" s="114" t="s">
        <v>653</v>
      </c>
    </row>
    <row r="586" spans="1:9" ht="15.6" x14ac:dyDescent="0.3">
      <c r="A586" s="111" t="s">
        <v>713</v>
      </c>
      <c r="B586" s="111" t="s">
        <v>130</v>
      </c>
      <c r="C586" s="111" t="s">
        <v>143</v>
      </c>
      <c r="D586" s="111" t="s">
        <v>1</v>
      </c>
      <c r="E586" s="111" t="s">
        <v>420</v>
      </c>
      <c r="F586" s="111" t="s">
        <v>134</v>
      </c>
      <c r="G586" s="111" t="s">
        <v>76</v>
      </c>
      <c r="H586" s="111" t="s">
        <v>177</v>
      </c>
      <c r="I586" s="114" t="s">
        <v>655</v>
      </c>
    </row>
    <row r="587" spans="1:9" ht="15.6" x14ac:dyDescent="0.3">
      <c r="A587" s="111" t="s">
        <v>713</v>
      </c>
      <c r="B587" s="111" t="s">
        <v>130</v>
      </c>
      <c r="C587" s="111" t="s">
        <v>136</v>
      </c>
      <c r="D587" s="111" t="s">
        <v>1</v>
      </c>
      <c r="E587" s="111" t="s">
        <v>609</v>
      </c>
      <c r="F587" s="111" t="s">
        <v>134</v>
      </c>
      <c r="G587" s="111" t="s">
        <v>76</v>
      </c>
      <c r="H587" s="111" t="s">
        <v>177</v>
      </c>
      <c r="I587" s="114" t="s">
        <v>655</v>
      </c>
    </row>
    <row r="588" spans="1:9" ht="15.6" x14ac:dyDescent="0.3">
      <c r="A588" s="111" t="s">
        <v>713</v>
      </c>
      <c r="B588" s="111" t="s">
        <v>130</v>
      </c>
      <c r="C588" s="111" t="s">
        <v>137</v>
      </c>
      <c r="D588" s="111" t="s">
        <v>1</v>
      </c>
      <c r="E588" s="111" t="s">
        <v>611</v>
      </c>
      <c r="F588" s="111" t="s">
        <v>134</v>
      </c>
      <c r="G588" s="111" t="s">
        <v>76</v>
      </c>
      <c r="H588" s="111" t="s">
        <v>177</v>
      </c>
      <c r="I588" s="114" t="s">
        <v>656</v>
      </c>
    </row>
    <row r="589" spans="1:9" ht="15.6" x14ac:dyDescent="0.3">
      <c r="A589" s="111" t="s">
        <v>713</v>
      </c>
      <c r="B589" s="111" t="s">
        <v>130</v>
      </c>
      <c r="C589" s="111" t="s">
        <v>138</v>
      </c>
      <c r="D589" s="111" t="s">
        <v>1</v>
      </c>
      <c r="E589" s="111" t="s">
        <v>665</v>
      </c>
      <c r="F589" s="111" t="s">
        <v>134</v>
      </c>
      <c r="G589" s="111" t="s">
        <v>76</v>
      </c>
      <c r="H589" s="111" t="s">
        <v>177</v>
      </c>
      <c r="I589" s="114" t="s">
        <v>655</v>
      </c>
    </row>
    <row r="590" spans="1:9" ht="15.6" x14ac:dyDescent="0.3">
      <c r="A590" s="111" t="s">
        <v>713</v>
      </c>
      <c r="B590" s="111" t="s">
        <v>130</v>
      </c>
      <c r="C590" s="111" t="s">
        <v>147</v>
      </c>
      <c r="D590" s="111" t="s">
        <v>1</v>
      </c>
      <c r="E590" s="111" t="s">
        <v>619</v>
      </c>
      <c r="F590" s="111" t="s">
        <v>134</v>
      </c>
      <c r="G590" s="111" t="s">
        <v>76</v>
      </c>
      <c r="H590" s="111" t="s">
        <v>378</v>
      </c>
      <c r="I590" s="114" t="s">
        <v>714</v>
      </c>
    </row>
    <row r="591" spans="1:9" ht="15.6" x14ac:dyDescent="0.3">
      <c r="A591" s="111" t="s">
        <v>713</v>
      </c>
      <c r="B591" s="111" t="s">
        <v>130</v>
      </c>
      <c r="C591" s="111" t="s">
        <v>148</v>
      </c>
      <c r="D591" s="111" t="s">
        <v>1</v>
      </c>
      <c r="E591" s="111" t="s">
        <v>620</v>
      </c>
      <c r="F591" s="111" t="s">
        <v>134</v>
      </c>
      <c r="G591" s="111" t="s">
        <v>76</v>
      </c>
      <c r="H591" s="111" t="s">
        <v>378</v>
      </c>
      <c r="I591" s="114" t="s">
        <v>714</v>
      </c>
    </row>
    <row r="592" spans="1:9" ht="15.6" x14ac:dyDescent="0.3">
      <c r="A592" s="111" t="s">
        <v>713</v>
      </c>
      <c r="B592" s="111" t="s">
        <v>130</v>
      </c>
      <c r="C592" s="111" t="s">
        <v>141</v>
      </c>
      <c r="D592" s="111" t="s">
        <v>1</v>
      </c>
      <c r="E592" s="111" t="s">
        <v>573</v>
      </c>
      <c r="F592" s="111" t="s">
        <v>134</v>
      </c>
      <c r="G592" s="111" t="s">
        <v>110</v>
      </c>
      <c r="H592" s="111" t="s">
        <v>250</v>
      </c>
      <c r="I592" s="113" t="s">
        <v>591</v>
      </c>
    </row>
    <row r="593" spans="1:9" ht="15.6" x14ac:dyDescent="0.3">
      <c r="A593" s="111" t="s">
        <v>713</v>
      </c>
      <c r="B593" s="111" t="s">
        <v>26</v>
      </c>
      <c r="C593" s="111" t="s">
        <v>35</v>
      </c>
      <c r="D593" s="111" t="s">
        <v>1</v>
      </c>
      <c r="E593" s="111" t="s">
        <v>572</v>
      </c>
      <c r="F593" s="111" t="s">
        <v>33</v>
      </c>
      <c r="G593" s="111" t="s">
        <v>42</v>
      </c>
      <c r="H593" s="111" t="s">
        <v>34</v>
      </c>
      <c r="I593" s="112" t="s">
        <v>627</v>
      </c>
    </row>
    <row r="594" spans="1:9" ht="15.6" x14ac:dyDescent="0.3">
      <c r="A594" s="111" t="s">
        <v>713</v>
      </c>
      <c r="B594" s="111" t="s">
        <v>26</v>
      </c>
      <c r="C594" s="111" t="s">
        <v>39</v>
      </c>
      <c r="D594" s="111" t="s">
        <v>1</v>
      </c>
      <c r="E594" s="111" t="s">
        <v>573</v>
      </c>
      <c r="F594" s="111" t="s">
        <v>33</v>
      </c>
      <c r="G594" s="111" t="s">
        <v>296</v>
      </c>
      <c r="H594" s="111" t="s">
        <v>34</v>
      </c>
      <c r="I594" s="112" t="s">
        <v>627</v>
      </c>
    </row>
    <row r="595" spans="1:9" ht="15.6" x14ac:dyDescent="0.3">
      <c r="A595" s="111" t="s">
        <v>713</v>
      </c>
      <c r="B595" s="111" t="s">
        <v>26</v>
      </c>
      <c r="C595" s="111" t="s">
        <v>27</v>
      </c>
      <c r="D595" s="111" t="s">
        <v>1</v>
      </c>
      <c r="E595" s="111" t="s">
        <v>570</v>
      </c>
      <c r="F595" s="111" t="s">
        <v>33</v>
      </c>
      <c r="G595" s="111" t="s">
        <v>296</v>
      </c>
      <c r="H595" s="111" t="s">
        <v>34</v>
      </c>
      <c r="I595" s="112" t="s">
        <v>631</v>
      </c>
    </row>
    <row r="596" spans="1:9" ht="15.6" x14ac:dyDescent="0.3">
      <c r="A596" s="111" t="s">
        <v>713</v>
      </c>
      <c r="B596" s="111" t="s">
        <v>26</v>
      </c>
      <c r="C596" s="111" t="s">
        <v>41</v>
      </c>
      <c r="D596" s="111" t="s">
        <v>1</v>
      </c>
      <c r="E596" s="111" t="s">
        <v>583</v>
      </c>
      <c r="F596" s="111" t="s">
        <v>33</v>
      </c>
      <c r="G596" s="111" t="s">
        <v>110</v>
      </c>
      <c r="H596" s="111" t="s">
        <v>34</v>
      </c>
      <c r="I596" s="112" t="s">
        <v>631</v>
      </c>
    </row>
    <row r="597" spans="1:9" ht="15.6" x14ac:dyDescent="0.3">
      <c r="A597" s="111" t="s">
        <v>713</v>
      </c>
      <c r="B597" s="111" t="s">
        <v>130</v>
      </c>
      <c r="C597" s="111" t="s">
        <v>142</v>
      </c>
      <c r="D597" s="111" t="s">
        <v>1</v>
      </c>
      <c r="E597" s="111" t="s">
        <v>572</v>
      </c>
      <c r="F597" s="111" t="s">
        <v>134</v>
      </c>
      <c r="G597" s="111" t="s">
        <v>110</v>
      </c>
      <c r="H597" s="111" t="s">
        <v>218</v>
      </c>
      <c r="I597" s="113" t="s">
        <v>711</v>
      </c>
    </row>
    <row r="598" spans="1:9" ht="15.6" x14ac:dyDescent="0.3">
      <c r="A598" s="111" t="s">
        <v>713</v>
      </c>
      <c r="B598" s="111" t="s">
        <v>130</v>
      </c>
      <c r="C598" s="111" t="s">
        <v>139</v>
      </c>
      <c r="D598" s="111" t="s">
        <v>1</v>
      </c>
      <c r="E598" s="111" t="s">
        <v>570</v>
      </c>
      <c r="F598" s="111" t="s">
        <v>134</v>
      </c>
      <c r="G598" s="111" t="s">
        <v>110</v>
      </c>
      <c r="H598" s="111" t="s">
        <v>178</v>
      </c>
      <c r="I598" s="113" t="s">
        <v>623</v>
      </c>
    </row>
    <row r="599" spans="1:9" ht="15.6" x14ac:dyDescent="0.3">
      <c r="A599" s="111" t="s">
        <v>713</v>
      </c>
      <c r="B599" s="111" t="s">
        <v>130</v>
      </c>
      <c r="C599" s="111" t="s">
        <v>149</v>
      </c>
      <c r="D599" s="111" t="s">
        <v>1</v>
      </c>
      <c r="E599" s="111" t="s">
        <v>583</v>
      </c>
      <c r="F599" s="111" t="s">
        <v>134</v>
      </c>
      <c r="G599" s="111" t="s">
        <v>110</v>
      </c>
      <c r="H599" s="111" t="s">
        <v>178</v>
      </c>
      <c r="I599" s="113" t="s">
        <v>623</v>
      </c>
    </row>
    <row r="600" spans="1:9" ht="15.6" x14ac:dyDescent="0.3">
      <c r="A600" s="111" t="s">
        <v>713</v>
      </c>
      <c r="B600" s="111" t="s">
        <v>130</v>
      </c>
      <c r="C600" s="111" t="s">
        <v>131</v>
      </c>
      <c r="D600" s="111" t="s">
        <v>1</v>
      </c>
      <c r="E600" s="111" t="s">
        <v>607</v>
      </c>
      <c r="F600" s="111" t="s">
        <v>134</v>
      </c>
      <c r="G600" s="111" t="s">
        <v>76</v>
      </c>
      <c r="H600" s="111" t="s">
        <v>145</v>
      </c>
      <c r="I600" s="112" t="s">
        <v>641</v>
      </c>
    </row>
    <row r="601" spans="1:9" ht="15.6" x14ac:dyDescent="0.3">
      <c r="A601" s="109" t="s">
        <v>715</v>
      </c>
      <c r="B601" s="109" t="s">
        <v>87</v>
      </c>
      <c r="C601" s="109" t="s">
        <v>95</v>
      </c>
      <c r="D601" s="109" t="s">
        <v>1</v>
      </c>
      <c r="E601" s="109" t="s">
        <v>498</v>
      </c>
      <c r="F601" s="109" t="s">
        <v>89</v>
      </c>
      <c r="G601" s="109" t="s">
        <v>185</v>
      </c>
      <c r="H601" s="109" t="s">
        <v>207</v>
      </c>
      <c r="I601" s="110" t="s">
        <v>589</v>
      </c>
    </row>
    <row r="602" spans="1:9" ht="15.6" x14ac:dyDescent="0.3">
      <c r="A602" s="109" t="s">
        <v>715</v>
      </c>
      <c r="B602" s="109" t="s">
        <v>87</v>
      </c>
      <c r="C602" s="109" t="s">
        <v>109</v>
      </c>
      <c r="D602" s="109" t="s">
        <v>1</v>
      </c>
      <c r="E602" s="109" t="s">
        <v>496</v>
      </c>
      <c r="F602" s="109" t="s">
        <v>89</v>
      </c>
      <c r="G602" s="109" t="s">
        <v>76</v>
      </c>
      <c r="H602" s="109" t="s">
        <v>207</v>
      </c>
      <c r="I602" s="110" t="s">
        <v>589</v>
      </c>
    </row>
    <row r="603" spans="1:9" ht="15.6" x14ac:dyDescent="0.3">
      <c r="A603" s="109" t="s">
        <v>715</v>
      </c>
      <c r="B603" s="109" t="s">
        <v>87</v>
      </c>
      <c r="C603" s="109" t="s">
        <v>169</v>
      </c>
      <c r="D603" s="109" t="s">
        <v>1</v>
      </c>
      <c r="E603" s="109" t="s">
        <v>480</v>
      </c>
      <c r="F603" s="109" t="s">
        <v>89</v>
      </c>
      <c r="G603" s="109" t="s">
        <v>185</v>
      </c>
      <c r="H603" s="109" t="s">
        <v>207</v>
      </c>
      <c r="I603" s="110" t="s">
        <v>589</v>
      </c>
    </row>
    <row r="604" spans="1:9" ht="15.6" x14ac:dyDescent="0.3">
      <c r="A604" s="109" t="s">
        <v>715</v>
      </c>
      <c r="B604" s="109" t="s">
        <v>87</v>
      </c>
      <c r="C604" s="109" t="s">
        <v>102</v>
      </c>
      <c r="D604" s="109" t="s">
        <v>1</v>
      </c>
      <c r="E604" s="109" t="s">
        <v>432</v>
      </c>
      <c r="F604" s="109" t="s">
        <v>89</v>
      </c>
      <c r="G604" s="109" t="s">
        <v>76</v>
      </c>
      <c r="H604" s="109" t="s">
        <v>159</v>
      </c>
      <c r="I604" s="110" t="s">
        <v>589</v>
      </c>
    </row>
    <row r="605" spans="1:9" ht="15.6" x14ac:dyDescent="0.3">
      <c r="A605" s="109" t="s">
        <v>715</v>
      </c>
      <c r="B605" s="109" t="s">
        <v>87</v>
      </c>
      <c r="C605" s="109" t="s">
        <v>165</v>
      </c>
      <c r="D605" s="109" t="s">
        <v>1</v>
      </c>
      <c r="E605" s="109" t="s">
        <v>502</v>
      </c>
      <c r="F605" s="109" t="s">
        <v>89</v>
      </c>
      <c r="G605" s="109" t="s">
        <v>61</v>
      </c>
      <c r="H605" s="109" t="s">
        <v>90</v>
      </c>
      <c r="I605" s="110" t="s">
        <v>589</v>
      </c>
    </row>
    <row r="606" spans="1:9" ht="15.6" x14ac:dyDescent="0.3">
      <c r="A606" s="109" t="s">
        <v>715</v>
      </c>
      <c r="B606" s="109" t="s">
        <v>87</v>
      </c>
      <c r="C606" s="109" t="s">
        <v>88</v>
      </c>
      <c r="D606" s="109" t="s">
        <v>1</v>
      </c>
      <c r="E606" s="109" t="s">
        <v>506</v>
      </c>
      <c r="F606" s="109" t="s">
        <v>89</v>
      </c>
      <c r="G606" s="109" t="s">
        <v>76</v>
      </c>
      <c r="H606" s="109" t="s">
        <v>90</v>
      </c>
      <c r="I606" s="110" t="s">
        <v>589</v>
      </c>
    </row>
    <row r="607" spans="1:9" ht="15.6" x14ac:dyDescent="0.3">
      <c r="A607" s="111" t="s">
        <v>715</v>
      </c>
      <c r="B607" s="111" t="s">
        <v>79</v>
      </c>
      <c r="C607" s="111" t="s">
        <v>84</v>
      </c>
      <c r="D607" s="111" t="s">
        <v>1</v>
      </c>
      <c r="E607" s="111" t="s">
        <v>584</v>
      </c>
      <c r="F607" s="111" t="s">
        <v>81</v>
      </c>
      <c r="G607" s="111" t="s">
        <v>54</v>
      </c>
      <c r="H607" s="111" t="s">
        <v>198</v>
      </c>
      <c r="I607" s="112" t="s">
        <v>641</v>
      </c>
    </row>
    <row r="608" spans="1:9" ht="15.6" x14ac:dyDescent="0.3">
      <c r="A608" s="111" t="s">
        <v>715</v>
      </c>
      <c r="B608" s="111" t="s">
        <v>79</v>
      </c>
      <c r="C608" s="111" t="s">
        <v>199</v>
      </c>
      <c r="D608" s="111" t="s">
        <v>1</v>
      </c>
      <c r="E608" s="111" t="s">
        <v>642</v>
      </c>
      <c r="F608" s="111" t="s">
        <v>81</v>
      </c>
      <c r="G608" s="111" t="s">
        <v>54</v>
      </c>
      <c r="H608" s="111" t="s">
        <v>198</v>
      </c>
      <c r="I608" s="113" t="s">
        <v>596</v>
      </c>
    </row>
    <row r="609" spans="1:9" ht="15.6" x14ac:dyDescent="0.3">
      <c r="A609" s="111" t="s">
        <v>715</v>
      </c>
      <c r="B609" s="111" t="s">
        <v>79</v>
      </c>
      <c r="C609" s="111" t="s">
        <v>200</v>
      </c>
      <c r="D609" s="111" t="s">
        <v>1</v>
      </c>
      <c r="E609" s="111" t="s">
        <v>645</v>
      </c>
      <c r="F609" s="111" t="s">
        <v>81</v>
      </c>
      <c r="G609" s="111" t="s">
        <v>54</v>
      </c>
      <c r="H609" s="111" t="s">
        <v>198</v>
      </c>
      <c r="I609" s="113" t="s">
        <v>596</v>
      </c>
    </row>
    <row r="610" spans="1:9" ht="15.6" x14ac:dyDescent="0.3">
      <c r="A610" s="111" t="s">
        <v>715</v>
      </c>
      <c r="B610" s="111" t="s">
        <v>74</v>
      </c>
      <c r="C610" s="111" t="s">
        <v>78</v>
      </c>
      <c r="D610" s="111" t="s">
        <v>1</v>
      </c>
      <c r="E610" s="111" t="s">
        <v>576</v>
      </c>
      <c r="F610" s="111" t="s">
        <v>72</v>
      </c>
      <c r="G610" s="111" t="s">
        <v>185</v>
      </c>
      <c r="H610" s="111" t="s">
        <v>77</v>
      </c>
      <c r="I610" s="112" t="s">
        <v>624</v>
      </c>
    </row>
    <row r="611" spans="1:9" ht="15.6" x14ac:dyDescent="0.3">
      <c r="A611" s="111" t="s">
        <v>715</v>
      </c>
      <c r="B611" s="111" t="s">
        <v>45</v>
      </c>
      <c r="C611" s="111" t="s">
        <v>53</v>
      </c>
      <c r="D611" s="111" t="s">
        <v>1</v>
      </c>
      <c r="E611" s="111" t="s">
        <v>577</v>
      </c>
      <c r="F611" s="111" t="s">
        <v>49</v>
      </c>
      <c r="G611" s="111" t="s">
        <v>96</v>
      </c>
      <c r="H611" s="111" t="s">
        <v>50</v>
      </c>
      <c r="I611" s="112" t="s">
        <v>634</v>
      </c>
    </row>
    <row r="612" spans="1:9" ht="15.6" x14ac:dyDescent="0.3">
      <c r="A612" s="111" t="s">
        <v>715</v>
      </c>
      <c r="B612" s="111" t="s">
        <v>45</v>
      </c>
      <c r="C612" s="111" t="s">
        <v>59</v>
      </c>
      <c r="D612" s="111" t="s">
        <v>1</v>
      </c>
      <c r="E612" s="111" t="s">
        <v>580</v>
      </c>
      <c r="F612" s="111" t="s">
        <v>49</v>
      </c>
      <c r="G612" s="111" t="s">
        <v>185</v>
      </c>
      <c r="H612" s="111" t="s">
        <v>50</v>
      </c>
      <c r="I612" s="112" t="s">
        <v>634</v>
      </c>
    </row>
    <row r="613" spans="1:9" ht="15.6" x14ac:dyDescent="0.3">
      <c r="A613" s="111" t="s">
        <v>715</v>
      </c>
      <c r="B613" s="111" t="s">
        <v>45</v>
      </c>
      <c r="C613" s="111" t="s">
        <v>60</v>
      </c>
      <c r="D613" s="111" t="s">
        <v>1</v>
      </c>
      <c r="E613" s="111" t="s">
        <v>581</v>
      </c>
      <c r="F613" s="111" t="s">
        <v>49</v>
      </c>
      <c r="G613" s="111" t="s">
        <v>36</v>
      </c>
      <c r="H613" s="111" t="s">
        <v>50</v>
      </c>
      <c r="I613" s="112" t="s">
        <v>634</v>
      </c>
    </row>
    <row r="614" spans="1:9" ht="15.6" x14ac:dyDescent="0.3">
      <c r="A614" s="111" t="s">
        <v>715</v>
      </c>
      <c r="B614" s="111" t="s">
        <v>79</v>
      </c>
      <c r="C614" s="111" t="s">
        <v>84</v>
      </c>
      <c r="D614" s="111" t="s">
        <v>1</v>
      </c>
      <c r="E614" s="111" t="s">
        <v>584</v>
      </c>
      <c r="F614" s="111" t="s">
        <v>33</v>
      </c>
      <c r="G614" s="111" t="s">
        <v>54</v>
      </c>
      <c r="H614" s="111" t="s">
        <v>181</v>
      </c>
      <c r="I614" s="114" t="s">
        <v>647</v>
      </c>
    </row>
    <row r="615" spans="1:9" ht="15.6" x14ac:dyDescent="0.3">
      <c r="A615" s="111" t="s">
        <v>715</v>
      </c>
      <c r="B615" s="111" t="s">
        <v>79</v>
      </c>
      <c r="C615" s="111" t="s">
        <v>199</v>
      </c>
      <c r="D615" s="111" t="s">
        <v>1</v>
      </c>
      <c r="E615" s="111" t="s">
        <v>642</v>
      </c>
      <c r="F615" s="111" t="s">
        <v>33</v>
      </c>
      <c r="G615" s="111" t="s">
        <v>54</v>
      </c>
      <c r="H615" s="111" t="s">
        <v>181</v>
      </c>
      <c r="I615" s="114" t="s">
        <v>601</v>
      </c>
    </row>
    <row r="616" spans="1:9" ht="15.6" x14ac:dyDescent="0.3">
      <c r="A616" s="111" t="s">
        <v>715</v>
      </c>
      <c r="B616" s="111" t="s">
        <v>79</v>
      </c>
      <c r="C616" s="111" t="s">
        <v>200</v>
      </c>
      <c r="D616" s="111" t="s">
        <v>1</v>
      </c>
      <c r="E616" s="111" t="s">
        <v>645</v>
      </c>
      <c r="F616" s="111" t="s">
        <v>33</v>
      </c>
      <c r="G616" s="111" t="s">
        <v>54</v>
      </c>
      <c r="H616" s="111" t="s">
        <v>181</v>
      </c>
      <c r="I616" s="114" t="s">
        <v>601</v>
      </c>
    </row>
    <row r="617" spans="1:9" ht="15.6" x14ac:dyDescent="0.3">
      <c r="A617" s="111" t="s">
        <v>715</v>
      </c>
      <c r="B617" s="111" t="s">
        <v>45</v>
      </c>
      <c r="C617" s="111" t="s">
        <v>58</v>
      </c>
      <c r="D617" s="111" t="s">
        <v>1</v>
      </c>
      <c r="E617" s="111" t="s">
        <v>579</v>
      </c>
      <c r="F617" s="111" t="s">
        <v>51</v>
      </c>
      <c r="G617" s="111" t="s">
        <v>110</v>
      </c>
      <c r="H617" s="111" t="s">
        <v>197</v>
      </c>
      <c r="I617" s="114" t="s">
        <v>650</v>
      </c>
    </row>
    <row r="618" spans="1:9" ht="15.6" x14ac:dyDescent="0.3">
      <c r="A618" s="111" t="s">
        <v>715</v>
      </c>
      <c r="B618" s="111" t="s">
        <v>45</v>
      </c>
      <c r="C618" s="111" t="s">
        <v>53</v>
      </c>
      <c r="D618" s="111" t="s">
        <v>1</v>
      </c>
      <c r="E618" s="111" t="s">
        <v>577</v>
      </c>
      <c r="F618" s="111" t="s">
        <v>51</v>
      </c>
      <c r="G618" s="111" t="s">
        <v>96</v>
      </c>
      <c r="H618" s="111" t="s">
        <v>52</v>
      </c>
      <c r="I618" s="114" t="s">
        <v>636</v>
      </c>
    </row>
    <row r="619" spans="1:9" ht="15.6" x14ac:dyDescent="0.3">
      <c r="A619" s="111" t="s">
        <v>715</v>
      </c>
      <c r="B619" s="111" t="s">
        <v>45</v>
      </c>
      <c r="C619" s="111" t="s">
        <v>57</v>
      </c>
      <c r="D619" s="111" t="s">
        <v>1</v>
      </c>
      <c r="E619" s="111" t="s">
        <v>578</v>
      </c>
      <c r="F619" s="111" t="s">
        <v>51</v>
      </c>
      <c r="G619" s="111" t="s">
        <v>54</v>
      </c>
      <c r="H619" s="111" t="s">
        <v>52</v>
      </c>
      <c r="I619" s="114" t="s">
        <v>652</v>
      </c>
    </row>
    <row r="620" spans="1:9" ht="15.6" x14ac:dyDescent="0.3">
      <c r="A620" s="111" t="s">
        <v>715</v>
      </c>
      <c r="B620" s="111" t="s">
        <v>45</v>
      </c>
      <c r="C620" s="111" t="s">
        <v>59</v>
      </c>
      <c r="D620" s="111" t="s">
        <v>1</v>
      </c>
      <c r="E620" s="111" t="s">
        <v>580</v>
      </c>
      <c r="F620" s="111" t="s">
        <v>51</v>
      </c>
      <c r="G620" s="111" t="s">
        <v>185</v>
      </c>
      <c r="H620" s="111" t="s">
        <v>52</v>
      </c>
      <c r="I620" s="114" t="s">
        <v>636</v>
      </c>
    </row>
    <row r="621" spans="1:9" ht="15.6" x14ac:dyDescent="0.3">
      <c r="A621" s="111" t="s">
        <v>715</v>
      </c>
      <c r="B621" s="111" t="s">
        <v>45</v>
      </c>
      <c r="C621" s="111" t="s">
        <v>60</v>
      </c>
      <c r="D621" s="111" t="s">
        <v>1</v>
      </c>
      <c r="E621" s="111" t="s">
        <v>581</v>
      </c>
      <c r="F621" s="111" t="s">
        <v>51</v>
      </c>
      <c r="G621" s="111" t="s">
        <v>36</v>
      </c>
      <c r="H621" s="111" t="s">
        <v>52</v>
      </c>
      <c r="I621" s="114" t="s">
        <v>636</v>
      </c>
    </row>
    <row r="622" spans="1:9" ht="15.6" x14ac:dyDescent="0.3">
      <c r="A622" s="111" t="s">
        <v>715</v>
      </c>
      <c r="B622" s="111" t="s">
        <v>45</v>
      </c>
      <c r="C622" s="111" t="s">
        <v>46</v>
      </c>
      <c r="D622" s="111" t="s">
        <v>1</v>
      </c>
      <c r="E622" s="111" t="s">
        <v>571</v>
      </c>
      <c r="F622" s="111" t="s">
        <v>51</v>
      </c>
      <c r="G622" s="111" t="s">
        <v>103</v>
      </c>
      <c r="H622" s="111" t="s">
        <v>52</v>
      </c>
      <c r="I622" s="114" t="s">
        <v>652</v>
      </c>
    </row>
    <row r="623" spans="1:9" ht="15.6" x14ac:dyDescent="0.3">
      <c r="A623" s="111" t="s">
        <v>715</v>
      </c>
      <c r="B623" s="111" t="s">
        <v>45</v>
      </c>
      <c r="C623" s="111" t="s">
        <v>66</v>
      </c>
      <c r="D623" s="111" t="s">
        <v>1</v>
      </c>
      <c r="E623" s="111" t="s">
        <v>605</v>
      </c>
      <c r="F623" s="111" t="s">
        <v>51</v>
      </c>
      <c r="G623" s="111" t="s">
        <v>61</v>
      </c>
      <c r="H623" s="111" t="s">
        <v>52</v>
      </c>
      <c r="I623" s="114" t="s">
        <v>628</v>
      </c>
    </row>
    <row r="624" spans="1:9" ht="15.6" x14ac:dyDescent="0.3">
      <c r="A624" s="111" t="s">
        <v>715</v>
      </c>
      <c r="B624" s="111" t="s">
        <v>45</v>
      </c>
      <c r="C624" s="111" t="s">
        <v>62</v>
      </c>
      <c r="D624" s="111" t="s">
        <v>1</v>
      </c>
      <c r="E624" s="111" t="s">
        <v>469</v>
      </c>
      <c r="F624" s="111" t="s">
        <v>51</v>
      </c>
      <c r="G624" s="111" t="s">
        <v>54</v>
      </c>
      <c r="H624" s="111" t="s">
        <v>56</v>
      </c>
      <c r="I624" s="114" t="s">
        <v>653</v>
      </c>
    </row>
    <row r="625" spans="1:9" ht="15.6" x14ac:dyDescent="0.3">
      <c r="A625" s="111" t="s">
        <v>715</v>
      </c>
      <c r="B625" s="111" t="s">
        <v>130</v>
      </c>
      <c r="C625" s="111" t="s">
        <v>143</v>
      </c>
      <c r="D625" s="111" t="s">
        <v>1</v>
      </c>
      <c r="E625" s="111" t="s">
        <v>420</v>
      </c>
      <c r="F625" s="111" t="s">
        <v>134</v>
      </c>
      <c r="G625" s="111" t="s">
        <v>76</v>
      </c>
      <c r="H625" s="111" t="s">
        <v>177</v>
      </c>
      <c r="I625" s="114" t="s">
        <v>656</v>
      </c>
    </row>
    <row r="626" spans="1:9" ht="15.6" x14ac:dyDescent="0.3">
      <c r="A626" s="111" t="s">
        <v>715</v>
      </c>
      <c r="B626" s="111" t="s">
        <v>130</v>
      </c>
      <c r="C626" s="111" t="s">
        <v>147</v>
      </c>
      <c r="D626" s="111" t="s">
        <v>1</v>
      </c>
      <c r="E626" s="111" t="s">
        <v>619</v>
      </c>
      <c r="F626" s="111" t="s">
        <v>134</v>
      </c>
      <c r="G626" s="111" t="s">
        <v>76</v>
      </c>
      <c r="H626" s="111" t="s">
        <v>177</v>
      </c>
      <c r="I626" s="114" t="s">
        <v>637</v>
      </c>
    </row>
    <row r="627" spans="1:9" ht="15.6" x14ac:dyDescent="0.3">
      <c r="A627" s="111" t="s">
        <v>715</v>
      </c>
      <c r="B627" s="111" t="s">
        <v>130</v>
      </c>
      <c r="C627" s="111" t="s">
        <v>148</v>
      </c>
      <c r="D627" s="111" t="s">
        <v>1</v>
      </c>
      <c r="E627" s="111" t="s">
        <v>620</v>
      </c>
      <c r="F627" s="111" t="s">
        <v>134</v>
      </c>
      <c r="G627" s="111" t="s">
        <v>76</v>
      </c>
      <c r="H627" s="111" t="s">
        <v>177</v>
      </c>
      <c r="I627" s="114" t="s">
        <v>637</v>
      </c>
    </row>
    <row r="628" spans="1:9" ht="15.6" x14ac:dyDescent="0.3">
      <c r="A628" s="111" t="s">
        <v>715</v>
      </c>
      <c r="B628" s="111" t="s">
        <v>130</v>
      </c>
      <c r="C628" s="111" t="s">
        <v>136</v>
      </c>
      <c r="D628" s="111" t="s">
        <v>1</v>
      </c>
      <c r="E628" s="111" t="s">
        <v>609</v>
      </c>
      <c r="F628" s="111" t="s">
        <v>134</v>
      </c>
      <c r="G628" s="111" t="s">
        <v>76</v>
      </c>
      <c r="H628" s="111" t="s">
        <v>177</v>
      </c>
      <c r="I628" s="114" t="s">
        <v>656</v>
      </c>
    </row>
    <row r="629" spans="1:9" ht="15.6" x14ac:dyDescent="0.3">
      <c r="A629" s="111" t="s">
        <v>715</v>
      </c>
      <c r="B629" s="111" t="s">
        <v>130</v>
      </c>
      <c r="C629" s="111" t="s">
        <v>137</v>
      </c>
      <c r="D629" s="111" t="s">
        <v>1</v>
      </c>
      <c r="E629" s="111" t="s">
        <v>611</v>
      </c>
      <c r="F629" s="111" t="s">
        <v>134</v>
      </c>
      <c r="G629" s="111" t="s">
        <v>76</v>
      </c>
      <c r="H629" s="111" t="s">
        <v>177</v>
      </c>
      <c r="I629" s="114" t="s">
        <v>602</v>
      </c>
    </row>
    <row r="630" spans="1:9" ht="15.6" x14ac:dyDescent="0.3">
      <c r="A630" s="111" t="s">
        <v>715</v>
      </c>
      <c r="B630" s="111" t="s">
        <v>130</v>
      </c>
      <c r="C630" s="111" t="s">
        <v>138</v>
      </c>
      <c r="D630" s="111" t="s">
        <v>1</v>
      </c>
      <c r="E630" s="111" t="s">
        <v>613</v>
      </c>
      <c r="F630" s="111" t="s">
        <v>134</v>
      </c>
      <c r="G630" s="111" t="s">
        <v>76</v>
      </c>
      <c r="H630" s="111" t="s">
        <v>177</v>
      </c>
      <c r="I630" s="114" t="s">
        <v>656</v>
      </c>
    </row>
    <row r="631" spans="1:9" ht="15.6" x14ac:dyDescent="0.3">
      <c r="A631" s="111" t="s">
        <v>715</v>
      </c>
      <c r="B631" s="111" t="s">
        <v>130</v>
      </c>
      <c r="C631" s="111" t="s">
        <v>131</v>
      </c>
      <c r="D631" s="111" t="s">
        <v>1</v>
      </c>
      <c r="E631" s="111" t="s">
        <v>607</v>
      </c>
      <c r="F631" s="111" t="s">
        <v>134</v>
      </c>
      <c r="G631" s="111" t="s">
        <v>76</v>
      </c>
      <c r="H631" s="111" t="s">
        <v>135</v>
      </c>
      <c r="I631" s="114" t="s">
        <v>608</v>
      </c>
    </row>
    <row r="632" spans="1:9" ht="15.6" x14ac:dyDescent="0.3">
      <c r="A632" s="111" t="s">
        <v>715</v>
      </c>
      <c r="B632" s="111" t="s">
        <v>26</v>
      </c>
      <c r="C632" s="111" t="s">
        <v>35</v>
      </c>
      <c r="D632" s="111" t="s">
        <v>1</v>
      </c>
      <c r="E632" s="111" t="s">
        <v>572</v>
      </c>
      <c r="F632" s="111" t="s">
        <v>33</v>
      </c>
      <c r="G632" s="111" t="s">
        <v>256</v>
      </c>
      <c r="H632" s="111" t="s">
        <v>34</v>
      </c>
      <c r="I632" s="112" t="s">
        <v>593</v>
      </c>
    </row>
    <row r="633" spans="1:9" ht="15.6" x14ac:dyDescent="0.3">
      <c r="A633" s="111" t="s">
        <v>715</v>
      </c>
      <c r="B633" s="111" t="s">
        <v>26</v>
      </c>
      <c r="C633" s="111" t="s">
        <v>39</v>
      </c>
      <c r="D633" s="111" t="s">
        <v>1</v>
      </c>
      <c r="E633" s="111" t="s">
        <v>573</v>
      </c>
      <c r="F633" s="111" t="s">
        <v>33</v>
      </c>
      <c r="G633" s="111" t="s">
        <v>36</v>
      </c>
      <c r="H633" s="111" t="s">
        <v>34</v>
      </c>
      <c r="I633" s="112" t="s">
        <v>593</v>
      </c>
    </row>
    <row r="634" spans="1:9" ht="15.6" x14ac:dyDescent="0.3">
      <c r="A634" s="111" t="s">
        <v>715</v>
      </c>
      <c r="B634" s="111" t="s">
        <v>26</v>
      </c>
      <c r="C634" s="111" t="s">
        <v>27</v>
      </c>
      <c r="D634" s="111" t="s">
        <v>1</v>
      </c>
      <c r="E634" s="111" t="s">
        <v>570</v>
      </c>
      <c r="F634" s="111" t="s">
        <v>33</v>
      </c>
      <c r="G634" s="111" t="s">
        <v>264</v>
      </c>
      <c r="H634" s="111" t="s">
        <v>34</v>
      </c>
      <c r="I634" s="113" t="s">
        <v>595</v>
      </c>
    </row>
    <row r="635" spans="1:9" ht="15.6" x14ac:dyDescent="0.3">
      <c r="A635" s="111" t="s">
        <v>715</v>
      </c>
      <c r="B635" s="111" t="s">
        <v>26</v>
      </c>
      <c r="C635" s="111" t="s">
        <v>41</v>
      </c>
      <c r="D635" s="111" t="s">
        <v>1</v>
      </c>
      <c r="E635" s="111" t="s">
        <v>583</v>
      </c>
      <c r="F635" s="111" t="s">
        <v>33</v>
      </c>
      <c r="G635" s="111" t="s">
        <v>110</v>
      </c>
      <c r="H635" s="111" t="s">
        <v>34</v>
      </c>
      <c r="I635" s="113" t="s">
        <v>595</v>
      </c>
    </row>
    <row r="636" spans="1:9" ht="15.6" x14ac:dyDescent="0.3">
      <c r="A636" s="111" t="s">
        <v>715</v>
      </c>
      <c r="B636" s="111" t="s">
        <v>130</v>
      </c>
      <c r="C636" s="111" t="s">
        <v>141</v>
      </c>
      <c r="D636" s="111" t="s">
        <v>1</v>
      </c>
      <c r="E636" s="111" t="s">
        <v>573</v>
      </c>
      <c r="F636" s="111" t="s">
        <v>134</v>
      </c>
      <c r="G636" s="111" t="s">
        <v>110</v>
      </c>
      <c r="H636" s="111" t="s">
        <v>218</v>
      </c>
      <c r="I636" s="113" t="s">
        <v>594</v>
      </c>
    </row>
    <row r="637" spans="1:9" ht="15.6" x14ac:dyDescent="0.3">
      <c r="A637" s="111" t="s">
        <v>715</v>
      </c>
      <c r="B637" s="111" t="s">
        <v>130</v>
      </c>
      <c r="C637" s="111" t="s">
        <v>142</v>
      </c>
      <c r="D637" s="111" t="s">
        <v>1</v>
      </c>
      <c r="E637" s="111" t="s">
        <v>572</v>
      </c>
      <c r="F637" s="111" t="s">
        <v>134</v>
      </c>
      <c r="G637" s="111" t="s">
        <v>110</v>
      </c>
      <c r="H637" s="111" t="s">
        <v>218</v>
      </c>
      <c r="I637" s="113" t="s">
        <v>594</v>
      </c>
    </row>
    <row r="638" spans="1:9" ht="15.6" x14ac:dyDescent="0.3">
      <c r="A638" s="111" t="s">
        <v>715</v>
      </c>
      <c r="B638" s="111" t="s">
        <v>130</v>
      </c>
      <c r="C638" s="111" t="s">
        <v>149</v>
      </c>
      <c r="D638" s="111" t="s">
        <v>1</v>
      </c>
      <c r="E638" s="111" t="s">
        <v>583</v>
      </c>
      <c r="F638" s="111" t="s">
        <v>134</v>
      </c>
      <c r="G638" s="111" t="s">
        <v>110</v>
      </c>
      <c r="H638" s="111" t="s">
        <v>178</v>
      </c>
      <c r="I638" s="114" t="s">
        <v>681</v>
      </c>
    </row>
    <row r="639" spans="1:9" ht="15.6" x14ac:dyDescent="0.3">
      <c r="A639" s="111" t="s">
        <v>715</v>
      </c>
      <c r="B639" s="111" t="s">
        <v>130</v>
      </c>
      <c r="C639" s="111" t="s">
        <v>139</v>
      </c>
      <c r="D639" s="111" t="s">
        <v>1</v>
      </c>
      <c r="E639" s="111" t="s">
        <v>570</v>
      </c>
      <c r="F639" s="111" t="s">
        <v>134</v>
      </c>
      <c r="G639" s="111" t="s">
        <v>110</v>
      </c>
      <c r="H639" s="111" t="s">
        <v>140</v>
      </c>
      <c r="I639" s="113" t="s">
        <v>594</v>
      </c>
    </row>
    <row r="640" spans="1:9" ht="15.6" x14ac:dyDescent="0.3">
      <c r="A640" s="109" t="s">
        <v>716</v>
      </c>
      <c r="B640" s="109" t="s">
        <v>87</v>
      </c>
      <c r="C640" s="109" t="s">
        <v>220</v>
      </c>
      <c r="D640" s="109" t="s">
        <v>1</v>
      </c>
      <c r="E640" s="109" t="s">
        <v>509</v>
      </c>
      <c r="F640" s="109" t="s">
        <v>89</v>
      </c>
      <c r="G640" s="109" t="s">
        <v>185</v>
      </c>
      <c r="H640" s="109" t="s">
        <v>159</v>
      </c>
      <c r="I640" s="110" t="s">
        <v>589</v>
      </c>
    </row>
    <row r="641" spans="1:9" ht="15.6" x14ac:dyDescent="0.3">
      <c r="A641" s="109" t="s">
        <v>716</v>
      </c>
      <c r="B641" s="109" t="s">
        <v>87</v>
      </c>
      <c r="C641" s="109" t="s">
        <v>109</v>
      </c>
      <c r="D641" s="109" t="s">
        <v>1</v>
      </c>
      <c r="E641" s="109" t="s">
        <v>483</v>
      </c>
      <c r="F641" s="109" t="s">
        <v>89</v>
      </c>
      <c r="G641" s="109" t="s">
        <v>36</v>
      </c>
      <c r="H641" s="109" t="s">
        <v>159</v>
      </c>
      <c r="I641" s="110" t="s">
        <v>589</v>
      </c>
    </row>
    <row r="642" spans="1:9" ht="15.6" x14ac:dyDescent="0.3">
      <c r="A642" s="111" t="s">
        <v>716</v>
      </c>
      <c r="B642" s="111" t="s">
        <v>79</v>
      </c>
      <c r="C642" s="111" t="s">
        <v>84</v>
      </c>
      <c r="D642" s="111" t="s">
        <v>1</v>
      </c>
      <c r="E642" s="111" t="s">
        <v>660</v>
      </c>
      <c r="F642" s="111" t="s">
        <v>81</v>
      </c>
      <c r="G642" s="111" t="s">
        <v>54</v>
      </c>
      <c r="H642" s="111" t="s">
        <v>198</v>
      </c>
      <c r="I642" s="112" t="s">
        <v>631</v>
      </c>
    </row>
    <row r="643" spans="1:9" ht="15.6" x14ac:dyDescent="0.3">
      <c r="A643" s="111" t="s">
        <v>716</v>
      </c>
      <c r="B643" s="111" t="s">
        <v>79</v>
      </c>
      <c r="C643" s="111" t="s">
        <v>80</v>
      </c>
      <c r="D643" s="111" t="s">
        <v>1</v>
      </c>
      <c r="E643" s="111" t="s">
        <v>662</v>
      </c>
      <c r="F643" s="111" t="s">
        <v>81</v>
      </c>
      <c r="G643" s="111" t="s">
        <v>54</v>
      </c>
      <c r="H643" s="111" t="s">
        <v>198</v>
      </c>
      <c r="I643" s="112" t="s">
        <v>631</v>
      </c>
    </row>
    <row r="644" spans="1:9" ht="15.6" x14ac:dyDescent="0.3">
      <c r="A644" s="111" t="s">
        <v>716</v>
      </c>
      <c r="B644" s="111" t="s">
        <v>74</v>
      </c>
      <c r="C644" s="111" t="s">
        <v>78</v>
      </c>
      <c r="D644" s="111" t="s">
        <v>1</v>
      </c>
      <c r="E644" s="111" t="s">
        <v>576</v>
      </c>
      <c r="F644" s="111" t="s">
        <v>72</v>
      </c>
      <c r="G644" s="111" t="s">
        <v>29</v>
      </c>
      <c r="H644" s="111" t="s">
        <v>77</v>
      </c>
      <c r="I644" s="112" t="s">
        <v>624</v>
      </c>
    </row>
    <row r="645" spans="1:9" ht="15.6" x14ac:dyDescent="0.3">
      <c r="A645" s="111" t="s">
        <v>716</v>
      </c>
      <c r="B645" s="111" t="s">
        <v>79</v>
      </c>
      <c r="C645" s="111" t="s">
        <v>84</v>
      </c>
      <c r="D645" s="111" t="s">
        <v>1</v>
      </c>
      <c r="E645" s="111" t="s">
        <v>660</v>
      </c>
      <c r="F645" s="111" t="s">
        <v>33</v>
      </c>
      <c r="G645" s="111" t="s">
        <v>54</v>
      </c>
      <c r="H645" s="111" t="s">
        <v>181</v>
      </c>
      <c r="I645" s="114" t="s">
        <v>635</v>
      </c>
    </row>
    <row r="646" spans="1:9" ht="15.6" x14ac:dyDescent="0.3">
      <c r="A646" s="111" t="s">
        <v>716</v>
      </c>
      <c r="B646" s="111" t="s">
        <v>79</v>
      </c>
      <c r="C646" s="111" t="s">
        <v>80</v>
      </c>
      <c r="D646" s="111" t="s">
        <v>1</v>
      </c>
      <c r="E646" s="111" t="s">
        <v>662</v>
      </c>
      <c r="F646" s="111" t="s">
        <v>33</v>
      </c>
      <c r="G646" s="111" t="s">
        <v>54</v>
      </c>
      <c r="H646" s="111" t="s">
        <v>181</v>
      </c>
      <c r="I646" s="114" t="s">
        <v>635</v>
      </c>
    </row>
    <row r="647" spans="1:9" ht="15.6" x14ac:dyDescent="0.3">
      <c r="A647" s="111" t="s">
        <v>716</v>
      </c>
      <c r="B647" s="111" t="s">
        <v>45</v>
      </c>
      <c r="C647" s="111" t="s">
        <v>53</v>
      </c>
      <c r="D647" s="111" t="s">
        <v>1</v>
      </c>
      <c r="E647" s="111" t="s">
        <v>577</v>
      </c>
      <c r="F647" s="111" t="s">
        <v>51</v>
      </c>
      <c r="G647" s="111" t="s">
        <v>54</v>
      </c>
      <c r="H647" s="111" t="s">
        <v>52</v>
      </c>
      <c r="I647" s="114" t="s">
        <v>628</v>
      </c>
    </row>
    <row r="648" spans="1:9" ht="15.6" x14ac:dyDescent="0.3">
      <c r="A648" s="111" t="s">
        <v>716</v>
      </c>
      <c r="B648" s="111" t="s">
        <v>45</v>
      </c>
      <c r="C648" s="111" t="s">
        <v>57</v>
      </c>
      <c r="D648" s="111" t="s">
        <v>1</v>
      </c>
      <c r="E648" s="111" t="s">
        <v>578</v>
      </c>
      <c r="F648" s="111" t="s">
        <v>51</v>
      </c>
      <c r="G648" s="111" t="s">
        <v>29</v>
      </c>
      <c r="H648" s="111" t="s">
        <v>52</v>
      </c>
      <c r="I648" s="114" t="s">
        <v>628</v>
      </c>
    </row>
    <row r="649" spans="1:9" ht="15.6" x14ac:dyDescent="0.3">
      <c r="A649" s="111" t="s">
        <v>716</v>
      </c>
      <c r="B649" s="111" t="s">
        <v>45</v>
      </c>
      <c r="C649" s="111" t="s">
        <v>59</v>
      </c>
      <c r="D649" s="111" t="s">
        <v>1</v>
      </c>
      <c r="E649" s="111" t="s">
        <v>580</v>
      </c>
      <c r="F649" s="111" t="s">
        <v>51</v>
      </c>
      <c r="G649" s="111" t="s">
        <v>36</v>
      </c>
      <c r="H649" s="111" t="s">
        <v>52</v>
      </c>
      <c r="I649" s="114" t="s">
        <v>628</v>
      </c>
    </row>
    <row r="650" spans="1:9" ht="15.6" x14ac:dyDescent="0.3">
      <c r="A650" s="111" t="s">
        <v>716</v>
      </c>
      <c r="B650" s="111" t="s">
        <v>45</v>
      </c>
      <c r="C650" s="111" t="s">
        <v>46</v>
      </c>
      <c r="D650" s="111" t="s">
        <v>1</v>
      </c>
      <c r="E650" s="111" t="s">
        <v>571</v>
      </c>
      <c r="F650" s="111" t="s">
        <v>51</v>
      </c>
      <c r="G650" s="111" t="s">
        <v>36</v>
      </c>
      <c r="H650" s="111" t="s">
        <v>52</v>
      </c>
      <c r="I650" s="114" t="s">
        <v>628</v>
      </c>
    </row>
    <row r="651" spans="1:9" ht="15.6" x14ac:dyDescent="0.3">
      <c r="A651" s="111" t="s">
        <v>716</v>
      </c>
      <c r="B651" s="111" t="s">
        <v>45</v>
      </c>
      <c r="C651" s="111" t="s">
        <v>58</v>
      </c>
      <c r="D651" s="111" t="s">
        <v>1</v>
      </c>
      <c r="E651" s="111" t="s">
        <v>579</v>
      </c>
      <c r="F651" s="111" t="s">
        <v>51</v>
      </c>
      <c r="G651" s="111" t="s">
        <v>96</v>
      </c>
      <c r="H651" s="111" t="s">
        <v>56</v>
      </c>
      <c r="I651" s="114" t="s">
        <v>629</v>
      </c>
    </row>
    <row r="652" spans="1:9" ht="15.6" x14ac:dyDescent="0.3">
      <c r="A652" s="111" t="s">
        <v>716</v>
      </c>
      <c r="B652" s="111" t="s">
        <v>45</v>
      </c>
      <c r="C652" s="111" t="s">
        <v>62</v>
      </c>
      <c r="D652" s="111" t="s">
        <v>1</v>
      </c>
      <c r="E652" s="111" t="s">
        <v>469</v>
      </c>
      <c r="F652" s="111" t="s">
        <v>51</v>
      </c>
      <c r="G652" s="111" t="s">
        <v>54</v>
      </c>
      <c r="H652" s="111" t="s">
        <v>56</v>
      </c>
      <c r="I652" s="114" t="s">
        <v>629</v>
      </c>
    </row>
    <row r="653" spans="1:9" ht="15.6" x14ac:dyDescent="0.3">
      <c r="A653" s="111" t="s">
        <v>716</v>
      </c>
      <c r="B653" s="111" t="s">
        <v>45</v>
      </c>
      <c r="C653" s="111" t="s">
        <v>66</v>
      </c>
      <c r="D653" s="111" t="s">
        <v>1</v>
      </c>
      <c r="E653" s="111" t="s">
        <v>605</v>
      </c>
      <c r="F653" s="111" t="s">
        <v>51</v>
      </c>
      <c r="G653" s="111" t="s">
        <v>61</v>
      </c>
      <c r="H653" s="111" t="s">
        <v>56</v>
      </c>
      <c r="I653" s="114" t="s">
        <v>629</v>
      </c>
    </row>
    <row r="654" spans="1:9" ht="15.6" x14ac:dyDescent="0.3">
      <c r="A654" s="111" t="s">
        <v>716</v>
      </c>
      <c r="B654" s="111" t="s">
        <v>130</v>
      </c>
      <c r="C654" s="111" t="s">
        <v>138</v>
      </c>
      <c r="D654" s="111" t="s">
        <v>1</v>
      </c>
      <c r="E654" s="111" t="s">
        <v>665</v>
      </c>
      <c r="F654" s="111" t="s">
        <v>134</v>
      </c>
      <c r="G654" s="111" t="s">
        <v>103</v>
      </c>
      <c r="H654" s="111" t="s">
        <v>280</v>
      </c>
      <c r="I654" s="114" t="s">
        <v>671</v>
      </c>
    </row>
    <row r="655" spans="1:9" ht="15.6" x14ac:dyDescent="0.3">
      <c r="A655" s="111" t="s">
        <v>716</v>
      </c>
      <c r="B655" s="111" t="s">
        <v>45</v>
      </c>
      <c r="C655" s="111" t="s">
        <v>60</v>
      </c>
      <c r="D655" s="111" t="s">
        <v>1</v>
      </c>
      <c r="E655" s="111" t="s">
        <v>581</v>
      </c>
      <c r="F655" s="111" t="s">
        <v>51</v>
      </c>
      <c r="G655" s="111" t="s">
        <v>185</v>
      </c>
      <c r="H655" s="111" t="s">
        <v>65</v>
      </c>
      <c r="I655" s="114" t="s">
        <v>606</v>
      </c>
    </row>
    <row r="656" spans="1:9" ht="15.6" x14ac:dyDescent="0.3">
      <c r="A656" s="111" t="s">
        <v>716</v>
      </c>
      <c r="B656" s="111" t="s">
        <v>130</v>
      </c>
      <c r="C656" s="111" t="s">
        <v>143</v>
      </c>
      <c r="D656" s="111" t="s">
        <v>1</v>
      </c>
      <c r="E656" s="111" t="s">
        <v>420</v>
      </c>
      <c r="F656" s="111" t="s">
        <v>134</v>
      </c>
      <c r="G656" s="111" t="s">
        <v>76</v>
      </c>
      <c r="H656" s="111" t="s">
        <v>177</v>
      </c>
      <c r="I656" s="114" t="s">
        <v>637</v>
      </c>
    </row>
    <row r="657" spans="1:9" ht="15.6" x14ac:dyDescent="0.3">
      <c r="A657" s="111" t="s">
        <v>716</v>
      </c>
      <c r="B657" s="111" t="s">
        <v>130</v>
      </c>
      <c r="C657" s="111" t="s">
        <v>131</v>
      </c>
      <c r="D657" s="111" t="s">
        <v>1</v>
      </c>
      <c r="E657" s="111" t="s">
        <v>607</v>
      </c>
      <c r="F657" s="111" t="s">
        <v>134</v>
      </c>
      <c r="G657" s="111" t="s">
        <v>76</v>
      </c>
      <c r="H657" s="111" t="s">
        <v>177</v>
      </c>
      <c r="I657" s="114" t="s">
        <v>602</v>
      </c>
    </row>
    <row r="658" spans="1:9" ht="15.6" x14ac:dyDescent="0.3">
      <c r="A658" s="111" t="s">
        <v>716</v>
      </c>
      <c r="B658" s="111" t="s">
        <v>130</v>
      </c>
      <c r="C658" s="111" t="s">
        <v>147</v>
      </c>
      <c r="D658" s="111" t="s">
        <v>1</v>
      </c>
      <c r="E658" s="111" t="s">
        <v>619</v>
      </c>
      <c r="F658" s="111" t="s">
        <v>134</v>
      </c>
      <c r="G658" s="111" t="s">
        <v>76</v>
      </c>
      <c r="H658" s="111" t="s">
        <v>177</v>
      </c>
      <c r="I658" s="114" t="s">
        <v>602</v>
      </c>
    </row>
    <row r="659" spans="1:9" ht="15.6" x14ac:dyDescent="0.3">
      <c r="A659" s="111" t="s">
        <v>716</v>
      </c>
      <c r="B659" s="111" t="s">
        <v>130</v>
      </c>
      <c r="C659" s="111" t="s">
        <v>136</v>
      </c>
      <c r="D659" s="111" t="s">
        <v>1</v>
      </c>
      <c r="E659" s="111" t="s">
        <v>609</v>
      </c>
      <c r="F659" s="111" t="s">
        <v>134</v>
      </c>
      <c r="G659" s="111" t="s">
        <v>76</v>
      </c>
      <c r="H659" s="111" t="s">
        <v>177</v>
      </c>
      <c r="I659" s="114" t="s">
        <v>602</v>
      </c>
    </row>
    <row r="660" spans="1:9" ht="15.6" x14ac:dyDescent="0.3">
      <c r="A660" s="111" t="s">
        <v>716</v>
      </c>
      <c r="B660" s="111" t="s">
        <v>130</v>
      </c>
      <c r="C660" s="111" t="s">
        <v>146</v>
      </c>
      <c r="D660" s="111" t="s">
        <v>1</v>
      </c>
      <c r="E660" s="111" t="s">
        <v>618</v>
      </c>
      <c r="F660" s="111" t="s">
        <v>134</v>
      </c>
      <c r="G660" s="111" t="s">
        <v>76</v>
      </c>
      <c r="H660" s="111" t="s">
        <v>135</v>
      </c>
      <c r="I660" s="114" t="s">
        <v>630</v>
      </c>
    </row>
    <row r="661" spans="1:9" ht="15.6" x14ac:dyDescent="0.3">
      <c r="A661" s="111" t="s">
        <v>716</v>
      </c>
      <c r="B661" s="111" t="s">
        <v>130</v>
      </c>
      <c r="C661" s="111" t="s">
        <v>137</v>
      </c>
      <c r="D661" s="111" t="s">
        <v>1</v>
      </c>
      <c r="E661" s="111" t="s">
        <v>611</v>
      </c>
      <c r="F661" s="111" t="s">
        <v>134</v>
      </c>
      <c r="G661" s="111" t="s">
        <v>76</v>
      </c>
      <c r="H661" s="111" t="s">
        <v>135</v>
      </c>
      <c r="I661" s="114" t="s">
        <v>630</v>
      </c>
    </row>
    <row r="662" spans="1:9" ht="15.6" x14ac:dyDescent="0.3">
      <c r="A662" s="111" t="s">
        <v>716</v>
      </c>
      <c r="B662" s="111" t="s">
        <v>26</v>
      </c>
      <c r="C662" s="111" t="s">
        <v>35</v>
      </c>
      <c r="D662" s="111" t="s">
        <v>1</v>
      </c>
      <c r="E662" s="111" t="s">
        <v>572</v>
      </c>
      <c r="F662" s="111" t="s">
        <v>33</v>
      </c>
      <c r="G662" s="111" t="s">
        <v>36</v>
      </c>
      <c r="H662" s="111" t="s">
        <v>34</v>
      </c>
      <c r="I662" s="112" t="s">
        <v>631</v>
      </c>
    </row>
    <row r="663" spans="1:9" ht="15.6" x14ac:dyDescent="0.3">
      <c r="A663" s="111" t="s">
        <v>716</v>
      </c>
      <c r="B663" s="111" t="s">
        <v>26</v>
      </c>
      <c r="C663" s="111" t="s">
        <v>39</v>
      </c>
      <c r="D663" s="111" t="s">
        <v>1</v>
      </c>
      <c r="E663" s="111" t="s">
        <v>573</v>
      </c>
      <c r="F663" s="111" t="s">
        <v>33</v>
      </c>
      <c r="G663" s="111" t="s">
        <v>40</v>
      </c>
      <c r="H663" s="111" t="s">
        <v>34</v>
      </c>
      <c r="I663" s="112" t="s">
        <v>631</v>
      </c>
    </row>
    <row r="664" spans="1:9" ht="15.6" x14ac:dyDescent="0.3">
      <c r="A664" s="111" t="s">
        <v>716</v>
      </c>
      <c r="B664" s="111" t="s">
        <v>26</v>
      </c>
      <c r="C664" s="111" t="s">
        <v>27</v>
      </c>
      <c r="D664" s="111" t="s">
        <v>1</v>
      </c>
      <c r="E664" s="111" t="s">
        <v>570</v>
      </c>
      <c r="F664" s="111" t="s">
        <v>33</v>
      </c>
      <c r="G664" s="111" t="s">
        <v>265</v>
      </c>
      <c r="H664" s="111" t="s">
        <v>34</v>
      </c>
      <c r="I664" s="112" t="s">
        <v>631</v>
      </c>
    </row>
    <row r="665" spans="1:9" ht="15.6" x14ac:dyDescent="0.3">
      <c r="A665" s="111" t="s">
        <v>716</v>
      </c>
      <c r="B665" s="111" t="s">
        <v>26</v>
      </c>
      <c r="C665" s="111" t="s">
        <v>41</v>
      </c>
      <c r="D665" s="111" t="s">
        <v>1</v>
      </c>
      <c r="E665" s="111" t="s">
        <v>583</v>
      </c>
      <c r="F665" s="111" t="s">
        <v>33</v>
      </c>
      <c r="G665" s="111" t="s">
        <v>264</v>
      </c>
      <c r="H665" s="111" t="s">
        <v>34</v>
      </c>
      <c r="I665" s="112" t="s">
        <v>631</v>
      </c>
    </row>
    <row r="666" spans="1:9" ht="15.6" x14ac:dyDescent="0.3">
      <c r="A666" s="111" t="s">
        <v>716</v>
      </c>
      <c r="B666" s="111" t="s">
        <v>130</v>
      </c>
      <c r="C666" s="111" t="s">
        <v>141</v>
      </c>
      <c r="D666" s="111" t="s">
        <v>1</v>
      </c>
      <c r="E666" s="111" t="s">
        <v>573</v>
      </c>
      <c r="F666" s="111" t="s">
        <v>134</v>
      </c>
      <c r="G666" s="111" t="s">
        <v>110</v>
      </c>
      <c r="H666" s="111" t="s">
        <v>218</v>
      </c>
      <c r="I666" s="114" t="s">
        <v>702</v>
      </c>
    </row>
    <row r="667" spans="1:9" ht="15.6" x14ac:dyDescent="0.3">
      <c r="A667" s="111" t="s">
        <v>716</v>
      </c>
      <c r="B667" s="111" t="s">
        <v>130</v>
      </c>
      <c r="C667" s="111" t="s">
        <v>142</v>
      </c>
      <c r="D667" s="111" t="s">
        <v>1</v>
      </c>
      <c r="E667" s="111" t="s">
        <v>572</v>
      </c>
      <c r="F667" s="111" t="s">
        <v>134</v>
      </c>
      <c r="G667" s="111" t="s">
        <v>110</v>
      </c>
      <c r="H667" s="111" t="s">
        <v>218</v>
      </c>
      <c r="I667" s="114" t="s">
        <v>702</v>
      </c>
    </row>
    <row r="668" spans="1:9" ht="15.6" x14ac:dyDescent="0.3">
      <c r="A668" s="111" t="s">
        <v>716</v>
      </c>
      <c r="B668" s="111" t="s">
        <v>130</v>
      </c>
      <c r="C668" s="111" t="s">
        <v>149</v>
      </c>
      <c r="D668" s="111" t="s">
        <v>1</v>
      </c>
      <c r="E668" s="111" t="s">
        <v>583</v>
      </c>
      <c r="F668" s="111" t="s">
        <v>134</v>
      </c>
      <c r="G668" s="111" t="s">
        <v>110</v>
      </c>
      <c r="H668" s="111" t="s">
        <v>140</v>
      </c>
      <c r="I668" s="113" t="s">
        <v>596</v>
      </c>
    </row>
    <row r="669" spans="1:9" ht="15.6" x14ac:dyDescent="0.3">
      <c r="A669" s="111" t="s">
        <v>716</v>
      </c>
      <c r="B669" s="111" t="s">
        <v>130</v>
      </c>
      <c r="C669" s="111" t="s">
        <v>148</v>
      </c>
      <c r="D669" s="111" t="s">
        <v>1</v>
      </c>
      <c r="E669" s="111" t="s">
        <v>620</v>
      </c>
      <c r="F669" s="111" t="s">
        <v>134</v>
      </c>
      <c r="G669" s="111" t="s">
        <v>76</v>
      </c>
      <c r="H669" s="111" t="s">
        <v>145</v>
      </c>
      <c r="I669" s="112" t="s">
        <v>641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2025-11-29T13:56:40Z</dcterms:created>
  <dcterms:modified xsi:type="dcterms:W3CDTF">2025-11-29T13:59:34Z</dcterms:modified>
</cp:coreProperties>
</file>