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15A4F91-C0CD-45C4-AB1B-18E2D88BD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E6" i="2"/>
  <c r="G6" i="2"/>
  <c r="H6" i="2"/>
  <c r="I6" i="2"/>
  <c r="J6" i="2"/>
  <c r="M6" i="2"/>
  <c r="N6" i="2"/>
  <c r="O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7" authorId="0" shapeId="0" xr:uid="{C00C5C33-AD78-4DE3-9D66-34492B5F724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B27" authorId="0" shapeId="0" xr:uid="{7DCDC116-7F13-4ACB-AB49-F0B5BC49456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C27" authorId="0" shapeId="0" xr:uid="{2139548E-B817-45FA-873E-53265F52CF0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D27" authorId="0" shapeId="0" xr:uid="{CD32F8FC-B451-48FE-B6FD-7D7449686F6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E27" authorId="0" shapeId="0" xr:uid="{F769E8FB-596E-49B9-9831-DE473A07DA7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F27" authorId="0" shapeId="0" xr:uid="{5233D2FD-65E3-4828-9D92-95E160C2BA8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G27" authorId="0" shapeId="0" xr:uid="{B07FE8C4-2E8F-4A1A-BFF0-FC4BBFFBF8E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H27" authorId="0" shapeId="0" xr:uid="{F8CF9C35-B3CF-412C-B7D7-DE905C683D5C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18 PAX] - [TO-DAY » NIL] - [Y-DAY » 3]_x000D_
[LOWESTAVAIL » X9] - [CAPACITY » 179] - [LST-SOLD » 28-NOV]_x000D_
{CLASSES}_x000D_
S1 &amp; X10 &amp; U10 &amp; O20 &amp; I20 &amp; E28 &amp; P75 &amp; N1</t>
        </r>
      </text>
    </comment>
    <comment ref="A39" authorId="0" shapeId="0" xr:uid="{161BDB1A-460D-4E2C-A6CC-3553C093053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39" authorId="0" shapeId="0" xr:uid="{BCA49B5D-4170-4E8F-9C9B-EE30AB2AEA7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39" authorId="0" shapeId="0" xr:uid="{526BDE4B-FD4B-4DEF-9C0A-15461C14916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39" authorId="0" shapeId="0" xr:uid="{DD6B891B-AB4F-491E-BB5E-A7762E03A6F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39" authorId="0" shapeId="0" xr:uid="{8573955B-215B-4D72-A77E-CEDA523793E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39" authorId="0" shapeId="0" xr:uid="{6189E7EF-0851-4774-AC29-D2866CE5C0D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39" authorId="0" shapeId="0" xr:uid="{A6BEB76D-E4CC-48C1-BCCE-BD2FF301A7A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39" authorId="0" shapeId="0" xr:uid="{4C973A69-E012-4280-936D-6F0ABF35140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47" authorId="0" shapeId="0" xr:uid="{56E9A494-7643-48A7-8DAE-2CE53A1F424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47" authorId="0" shapeId="0" xr:uid="{E6514281-0804-432B-ABB1-017AB4A29BF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47" authorId="0" shapeId="0" xr:uid="{368A8606-C22A-4948-8B8B-DFC1E19760A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47" authorId="0" shapeId="0" xr:uid="{09869F6B-9EB3-4C51-BEBB-A0C654951ED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47" authorId="0" shapeId="0" xr:uid="{3C6C3118-845D-456E-ABC2-0394B46437B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47" authorId="0" shapeId="0" xr:uid="{5898C560-0D27-4A1F-A8DF-E3A391D01AC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47" authorId="0" shapeId="0" xr:uid="{7765F6EE-CD35-424C-973C-D2CBAE2AD0F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47" authorId="0" shapeId="0" xr:uid="{BC793A10-0316-44D6-82B0-29F0A37327D1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48" authorId="0" shapeId="0" xr:uid="{3BC0C008-ADE8-4B68-A829-CC2A0FCB8F2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B48" authorId="0" shapeId="0" xr:uid="{DC73A9E4-7EAA-4759-8DD2-0D122300618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C48" authorId="0" shapeId="0" xr:uid="{3A2DEC0A-58B2-436F-BC22-9A79601EFF4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D48" authorId="0" shapeId="0" xr:uid="{C18BCF00-0183-48A3-BA82-4613B4846DC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E48" authorId="0" shapeId="0" xr:uid="{758EDEAC-9285-487C-992C-457084F2ADB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F48" authorId="0" shapeId="0" xr:uid="{1A006D5E-7B1C-4DEA-B5CF-FF42A53CF0C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G48" authorId="0" shapeId="0" xr:uid="{DD8DD523-1086-4F2B-BDF8-04217B653F8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H48" authorId="0" shapeId="0" xr:uid="{B2914A49-26F6-4CA2-B31D-3034FF0E7E9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</commentList>
</comments>
</file>

<file path=xl/sharedStrings.xml><?xml version="1.0" encoding="utf-8"?>
<sst xmlns="http://schemas.openxmlformats.org/spreadsheetml/2006/main" count="1312" uniqueCount="256">
  <si>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</si>
  <si>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</si>
  <si>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</si>
  <si>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</si>
  <si>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</si>
  <si>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</si>
  <si>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</si>
  <si>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</si>
  <si>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</si>
  <si>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</si>
  <si>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</si>
  <si>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</si>
  <si>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</si>
  <si>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</si>
  <si>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</si>
  <si>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</si>
  <si>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</si>
  <si>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</si>
  <si>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</si>
  <si>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</si>
  <si>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</si>
  <si>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</si>
  <si>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</si>
  <si>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</si>
  <si>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</si>
  <si>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</si>
  <si>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</si>
  <si>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</si>
  <si>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</si>
  <si>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</si>
  <si>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</si>
  <si>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</si>
  <si>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</si>
  <si>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</si>
  <si>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</si>
  <si>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F3-763</t>
  </si>
  <si>
    <t>F3-755</t>
  </si>
  <si>
    <t>7 FOR SAME CLASS</t>
  </si>
  <si>
    <t>389 SAR</t>
  </si>
  <si>
    <t>539 SAR</t>
  </si>
  <si>
    <t>F3-761</t>
  </si>
  <si>
    <t>6 FOR SAME CLASS</t>
  </si>
  <si>
    <t>459 SAR</t>
  </si>
  <si>
    <t>609 SAR</t>
  </si>
  <si>
    <t>flynas</t>
  </si>
  <si>
    <t>XY-565</t>
  </si>
  <si>
    <t>Cabin: 7 KG / Check-in: 20 KG</t>
  </si>
  <si>
    <t>4 FOR SAME CLASS</t>
  </si>
  <si>
    <t>369 SAR</t>
  </si>
  <si>
    <t>Cabin: 7 KG / Check-in: 30 KG</t>
  </si>
  <si>
    <t>469 SAR</t>
  </si>
  <si>
    <t>Cabin: 7 KG / Check-in: 2 x 40 KG</t>
  </si>
  <si>
    <t>559 SAR</t>
  </si>
  <si>
    <t>XY-583</t>
  </si>
  <si>
    <t>XY-577</t>
  </si>
  <si>
    <t>XY-573</t>
  </si>
  <si>
    <t>9 FOR SAME CLASS</t>
  </si>
  <si>
    <t>409 SAR</t>
  </si>
  <si>
    <t>599 SAR</t>
  </si>
  <si>
    <t>XY-571</t>
  </si>
  <si>
    <t>XY-567</t>
  </si>
  <si>
    <t>XY-589</t>
  </si>
  <si>
    <t>8 FOR SAME CLASS</t>
  </si>
  <si>
    <t>XY-569</t>
  </si>
  <si>
    <t>569 SAR</t>
  </si>
  <si>
    <t>669 SAR</t>
  </si>
  <si>
    <t>759 SAR</t>
  </si>
  <si>
    <t>Nesma Airlines</t>
  </si>
  <si>
    <t>NE-173</t>
  </si>
  <si>
    <t>Cabin: 7 KG | Check-in: 30 KG</t>
  </si>
  <si>
    <t>3 FOR SAME CLASS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</si>
  <si>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</si>
  <si>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</si>
  <si>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</si>
  <si>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</si>
  <si>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</si>
  <si>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</si>
  <si>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</si>
  <si>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</si>
  <si>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</si>
  <si>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</si>
  <si>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</si>
  <si>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</si>
  <si>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</si>
  <si>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</si>
  <si>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</si>
  <si>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</si>
  <si>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</si>
  <si>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</si>
  <si>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</si>
  <si>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X9</t>
  </si>
  <si>
    <t>S1 &amp; X10 &amp; U10 &amp; O20 &amp; I20 &amp; E28 &amp; P75 &amp; N1</t>
  </si>
  <si>
    <t>SM-478</t>
  </si>
  <si>
    <t>586 SAR</t>
  </si>
  <si>
    <t>SM478</t>
  </si>
  <si>
    <t>T6</t>
  </si>
  <si>
    <t>S2 &amp; T3 &amp; X10 &amp; U11 &amp; O15 &amp; I10 &amp; P104 &amp; N4</t>
  </si>
  <si>
    <t>SM-480</t>
  </si>
  <si>
    <t>646 SAR</t>
  </si>
  <si>
    <t>SM480</t>
  </si>
  <si>
    <t>W7</t>
  </si>
  <si>
    <t>S5 &amp; U3 &amp; O8 &amp; I11 &amp; P131</t>
  </si>
  <si>
    <t>SM-476</t>
  </si>
  <si>
    <t>SM476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</si>
  <si>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</si>
  <si>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</si>
  <si>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</si>
  <si>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</si>
  <si>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</si>
  <si>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</si>
  <si>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</si>
  <si>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</si>
  <si>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</si>
  <si>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</si>
  <si>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</si>
  <si>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</si>
  <si>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2 FOR SAME CLASS</t>
  </si>
  <si>
    <t>637 SAR</t>
  </si>
  <si>
    <t>MS-644</t>
  </si>
  <si>
    <t>712 SAR</t>
  </si>
  <si>
    <t>MS-672</t>
  </si>
  <si>
    <t>795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</si>
  <si>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</si>
  <si>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</si>
  <si>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</si>
  <si>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</si>
  <si>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</si>
  <si>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</si>
  <si>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</si>
  <si>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</si>
  <si>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</si>
  <si>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</si>
  <si>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</si>
  <si>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</si>
  <si>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</si>
  <si>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</si>
  <si>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</si>
  <si>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</si>
  <si>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</si>
  <si>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</si>
  <si>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</si>
  <si>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</si>
  <si>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</si>
  <si>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</si>
  <si>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</si>
  <si>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</si>
  <si>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</si>
  <si>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</si>
  <si>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</si>
  <si>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</si>
  <si>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</si>
  <si>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</si>
  <si>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</si>
  <si>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</si>
  <si>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</si>
  <si>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</si>
  <si>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</si>
  <si>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</si>
  <si>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</si>
  <si>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</si>
  <si>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</si>
  <si>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</si>
  <si>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</si>
  <si>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</si>
  <si>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</si>
  <si>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</si>
  <si>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</si>
  <si>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</si>
  <si>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</si>
  <si>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</si>
  <si>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</si>
  <si>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</si>
  <si>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</si>
  <si>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</si>
  <si>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</si>
  <si>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</si>
  <si>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</si>
  <si>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</si>
  <si>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O8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</si>
  <si>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</si>
  <si>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</si>
  <si>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</si>
  <si>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</si>
  <si>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</si>
  <si>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</si>
  <si>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</si>
  <si>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</si>
  <si>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</si>
  <si>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</si>
  <si>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</si>
  <si>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</si>
  <si>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</si>
  <si>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</si>
  <si>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</si>
  <si>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</si>
  <si>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</si>
  <si>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</si>
  <si>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U10</t>
  </si>
  <si>
    <t>O20</t>
  </si>
  <si>
    <t>I20</t>
  </si>
  <si>
    <t>E28</t>
  </si>
  <si>
    <t>P75</t>
  </si>
  <si>
    <t>N1</t>
  </si>
  <si>
    <t>DATE</t>
  </si>
  <si>
    <t>ROUTE</t>
  </si>
  <si>
    <t>2025-12-01</t>
  </si>
  <si>
    <t>07:15</t>
  </si>
  <si>
    <t>21:20</t>
  </si>
  <si>
    <t>06:10</t>
  </si>
  <si>
    <t>11:15</t>
  </si>
  <si>
    <t>09:30</t>
  </si>
  <si>
    <t>03:05</t>
  </si>
  <si>
    <t>05:00</t>
  </si>
  <si>
    <t>07:30</t>
  </si>
  <si>
    <t>16:00</t>
  </si>
  <si>
    <t>20:30</t>
  </si>
  <si>
    <t>12:25</t>
  </si>
  <si>
    <t>21:40</t>
  </si>
  <si>
    <t>19:10</t>
  </si>
  <si>
    <t>04:10</t>
  </si>
  <si>
    <t>18:55</t>
  </si>
  <si>
    <t>09:25</t>
  </si>
  <si>
    <t>THREAT STATUS</t>
  </si>
  <si>
    <t>REF</t>
  </si>
  <si>
    <t>CLOSE (-0.9)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</si>
  <si>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</si>
  <si>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</si>
  <si>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</si>
  <si>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</si>
  <si>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</si>
  <si>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</si>
  <si>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</si>
  <si>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</si>
  <si>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</si>
  <si>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THREAT (+6.9)</t>
  </si>
  <si>
    <t>THREAT (+6.5)</t>
  </si>
  <si>
    <t>THREAT (+5.3)</t>
  </si>
  <si>
    <t>23:00</t>
  </si>
  <si>
    <t>00:20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</si>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</sst>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3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12" borderId="21" xfId="0" applyFont="1" applyFill="1" applyBorder="1" applyAlignment="1">
      <alignment horizontal="center" vertical="center"/>
    </xf>
    <xf numFmtId="0" fontId="19" fillId="12" borderId="22" xfId="0" applyFont="1" applyFill="1" applyBorder="1" applyAlignment="1">
      <alignment horizontal="center" vertical="center"/>
    </xf>
    <xf numFmtId="0" fontId="19" fillId="12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1" fontId="20" fillId="0" borderId="25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1" fontId="20" fillId="0" borderId="28" xfId="0" applyNumberFormat="1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9" fontId="20" fillId="0" borderId="26" xfId="0" applyNumberFormat="1" applyFont="1" applyBorder="1" applyAlignment="1">
      <alignment horizontal="center" vertical="center"/>
    </xf>
    <xf numFmtId="169" fontId="21" fillId="0" borderId="26" xfId="0" applyNumberFormat="1" applyFont="1" applyBorder="1" applyAlignment="1">
      <alignment horizontal="center" vertical="center"/>
    </xf>
    <xf numFmtId="170" fontId="20" fillId="0" borderId="24" xfId="0" applyNumberFormat="1" applyFont="1" applyBorder="1" applyAlignment="1">
      <alignment horizontal="center" vertical="center"/>
    </xf>
    <xf numFmtId="171" fontId="20" fillId="0" borderId="25" xfId="0" applyNumberFormat="1" applyFont="1" applyBorder="1" applyAlignment="1">
      <alignment horizontal="center" vertical="center"/>
    </xf>
    <xf numFmtId="170" fontId="21" fillId="0" borderId="24" xfId="0" applyNumberFormat="1" applyFont="1" applyBorder="1" applyAlignment="1">
      <alignment horizontal="center" vertical="center"/>
    </xf>
    <xf numFmtId="171" fontId="21" fillId="0" borderId="25" xfId="0" applyNumberFormat="1" applyFont="1" applyBorder="1" applyAlignment="1">
      <alignment horizontal="center" vertical="center"/>
    </xf>
    <xf numFmtId="170" fontId="20" fillId="0" borderId="27" xfId="0" applyNumberFormat="1" applyFont="1" applyBorder="1" applyAlignment="1">
      <alignment horizontal="center" vertical="center"/>
    </xf>
    <xf numFmtId="171" fontId="20" fillId="0" borderId="28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7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168" fontId="29" fillId="0" borderId="0" xfId="0" applyNumberFormat="1" applyFont="1" applyAlignment="1">
      <alignment horizontal="center" vertical="center"/>
    </xf>
    <xf numFmtId="15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15" fontId="30" fillId="15" borderId="0" xfId="0" applyNumberFormat="1" applyFont="1" applyFill="1" applyAlignment="1">
      <alignment horizontal="center" vertical="center"/>
    </xf>
    <xf numFmtId="167" fontId="30" fillId="15" borderId="0" xfId="0" applyNumberFormat="1" applyFont="1" applyFill="1" applyAlignment="1">
      <alignment horizontal="center" vertical="center"/>
    </xf>
    <xf numFmtId="1" fontId="30" fillId="15" borderId="0" xfId="0" applyNumberFormat="1" applyFont="1" applyFill="1" applyAlignment="1">
      <alignment horizontal="center" vertical="center"/>
    </xf>
    <xf numFmtId="0" fontId="30" fillId="1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6" totalsRowShown="0">
  <autoFilter ref="A1:H7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48">
  <autoFilter ref="A1:I4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0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00" t="s">
        <v>0</v>
      </c>
      <c r="B1" s="97"/>
      <c r="C1" s="97"/>
      <c r="D1" s="97"/>
      <c r="E1" s="97"/>
      <c r="F1" s="1" t="s">
        <v>1</v>
      </c>
      <c r="G1" s="1" t="s">
        <v>2</v>
      </c>
      <c r="H1" s="99">
        <v>45992</v>
      </c>
      <c r="I1" s="97"/>
      <c r="J1" s="97"/>
      <c r="K1" s="97"/>
      <c r="L1" s="97"/>
      <c r="M1" s="1" t="s">
        <v>3</v>
      </c>
      <c r="N1" s="110">
        <v>45992</v>
      </c>
      <c r="O1" s="97"/>
      <c r="P1" s="97"/>
      <c r="Q1" s="97"/>
      <c r="R1" s="9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6" t="s">
        <v>4</v>
      </c>
      <c r="B2" s="97"/>
      <c r="C2" s="97"/>
      <c r="D2" s="97"/>
      <c r="E2" s="97"/>
      <c r="F2" s="97"/>
      <c r="G2" s="101">
        <v>45990.518409363423</v>
      </c>
      <c r="H2" s="97"/>
      <c r="I2" s="97"/>
      <c r="J2" s="97"/>
      <c r="K2" s="102">
        <v>45990.518409363423</v>
      </c>
      <c r="L2" s="97"/>
      <c r="M2" s="97"/>
      <c r="N2" s="97"/>
      <c r="O2" s="97"/>
      <c r="P2" s="97"/>
      <c r="Q2" s="97"/>
      <c r="R2" s="97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98" t="s">
        <v>5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03" t="s">
        <v>6</v>
      </c>
      <c r="B4" s="104"/>
      <c r="C4" s="104"/>
      <c r="D4" s="104"/>
      <c r="E4" s="104"/>
      <c r="F4" s="105"/>
      <c r="G4" s="70">
        <v>45992</v>
      </c>
      <c r="H4" s="109" t="s">
        <v>7</v>
      </c>
      <c r="I4" s="104"/>
      <c r="J4" s="104"/>
      <c r="K4" s="104"/>
      <c r="L4" s="104"/>
      <c r="M4" s="104"/>
      <c r="N4" s="104"/>
      <c r="O4" s="104"/>
      <c r="P4" s="104"/>
      <c r="Q4" s="104"/>
      <c r="R4" s="105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71">
        <v>0.30208333333333331</v>
      </c>
      <c r="D6" s="8" t="s">
        <v>28</v>
      </c>
      <c r="E6" s="8" t="s">
        <v>29</v>
      </c>
      <c r="F6" s="8" t="s">
        <v>30</v>
      </c>
      <c r="G6" s="10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72">
        <v>0.30208333333333331</v>
      </c>
      <c r="D7" s="14" t="s">
        <v>31</v>
      </c>
      <c r="E7" s="14" t="s">
        <v>29</v>
      </c>
      <c r="F7" s="14" t="s">
        <v>32</v>
      </c>
      <c r="G7" s="10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72">
        <v>0.30208333333333331</v>
      </c>
      <c r="D8" s="14" t="s">
        <v>33</v>
      </c>
      <c r="E8" s="14" t="s">
        <v>29</v>
      </c>
      <c r="F8" s="14" t="s">
        <v>34</v>
      </c>
      <c r="G8" s="10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73">
        <v>0.88888888888888884</v>
      </c>
      <c r="D9" s="15" t="s">
        <v>28</v>
      </c>
      <c r="E9" s="15" t="s">
        <v>29</v>
      </c>
      <c r="F9" s="15" t="s">
        <v>30</v>
      </c>
      <c r="G9" s="10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72">
        <v>0.88888888888888884</v>
      </c>
      <c r="D10" s="14" t="s">
        <v>31</v>
      </c>
      <c r="E10" s="14" t="s">
        <v>29</v>
      </c>
      <c r="F10" s="14" t="s">
        <v>32</v>
      </c>
      <c r="G10" s="10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72">
        <v>0.88888888888888884</v>
      </c>
      <c r="D11" s="14" t="s">
        <v>33</v>
      </c>
      <c r="E11" s="14" t="s">
        <v>29</v>
      </c>
      <c r="F11" s="14" t="s">
        <v>34</v>
      </c>
      <c r="G11" s="10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36</v>
      </c>
      <c r="C12" s="73">
        <v>0.12847222222222221</v>
      </c>
      <c r="D12" s="15" t="s">
        <v>28</v>
      </c>
      <c r="E12" s="15" t="s">
        <v>37</v>
      </c>
      <c r="F12" s="15" t="s">
        <v>38</v>
      </c>
      <c r="G12" s="10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36</v>
      </c>
      <c r="C13" s="72">
        <v>0.12847222222222221</v>
      </c>
      <c r="D13" s="14" t="s">
        <v>31</v>
      </c>
      <c r="E13" s="14" t="s">
        <v>37</v>
      </c>
      <c r="F13" s="14" t="s">
        <v>39</v>
      </c>
      <c r="G13" s="10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36</v>
      </c>
      <c r="C14" s="72">
        <v>0.12847222222222221</v>
      </c>
      <c r="D14" s="14" t="s">
        <v>33</v>
      </c>
      <c r="E14" s="14" t="s">
        <v>37</v>
      </c>
      <c r="F14" s="14" t="s">
        <v>34</v>
      </c>
      <c r="G14" s="10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40</v>
      </c>
      <c r="C15" s="73">
        <v>0.78819444444444442</v>
      </c>
      <c r="D15" s="15" t="s">
        <v>28</v>
      </c>
      <c r="E15" s="15" t="s">
        <v>41</v>
      </c>
      <c r="F15" s="15" t="s">
        <v>42</v>
      </c>
      <c r="G15" s="10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40</v>
      </c>
      <c r="C16" s="72">
        <v>0.78819444444444442</v>
      </c>
      <c r="D16" s="14" t="s">
        <v>31</v>
      </c>
      <c r="E16" s="14" t="s">
        <v>41</v>
      </c>
      <c r="F16" s="14" t="s">
        <v>43</v>
      </c>
      <c r="G16" s="10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40</v>
      </c>
      <c r="C17" s="72">
        <v>0.78819444444444442</v>
      </c>
      <c r="D17" s="14" t="s">
        <v>33</v>
      </c>
      <c r="E17" s="14" t="s">
        <v>41</v>
      </c>
      <c r="F17" s="14" t="s">
        <v>34</v>
      </c>
      <c r="G17" s="10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44</v>
      </c>
      <c r="B18" s="16" t="s">
        <v>45</v>
      </c>
      <c r="C18" s="74">
        <v>0.25694444444444442</v>
      </c>
      <c r="D18" s="16" t="s">
        <v>46</v>
      </c>
      <c r="E18" s="16" t="s">
        <v>47</v>
      </c>
      <c r="F18" s="16" t="s">
        <v>48</v>
      </c>
      <c r="G18" s="10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44</v>
      </c>
      <c r="B19" s="14" t="s">
        <v>45</v>
      </c>
      <c r="C19" s="72">
        <v>0.25694444444444442</v>
      </c>
      <c r="D19" s="14" t="s">
        <v>49</v>
      </c>
      <c r="E19" s="14" t="s">
        <v>47</v>
      </c>
      <c r="F19" s="14" t="s">
        <v>50</v>
      </c>
      <c r="G19" s="10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44</v>
      </c>
      <c r="B20" s="14" t="s">
        <v>45</v>
      </c>
      <c r="C20" s="72">
        <v>0.25694444444444442</v>
      </c>
      <c r="D20" s="14" t="s">
        <v>51</v>
      </c>
      <c r="E20" s="14" t="s">
        <v>47</v>
      </c>
      <c r="F20" s="14" t="s">
        <v>52</v>
      </c>
      <c r="G20" s="10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44</v>
      </c>
      <c r="B21" s="15" t="s">
        <v>53</v>
      </c>
      <c r="C21" s="73">
        <v>0.46875</v>
      </c>
      <c r="D21" s="15" t="s">
        <v>46</v>
      </c>
      <c r="E21" s="15" t="s">
        <v>29</v>
      </c>
      <c r="F21" s="15" t="s">
        <v>48</v>
      </c>
      <c r="G21" s="10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53</v>
      </c>
      <c r="C22" s="72">
        <v>0.46875</v>
      </c>
      <c r="D22" s="14" t="s">
        <v>49</v>
      </c>
      <c r="E22" s="14" t="s">
        <v>29</v>
      </c>
      <c r="F22" s="14" t="s">
        <v>50</v>
      </c>
      <c r="G22" s="10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53</v>
      </c>
      <c r="C23" s="72">
        <v>0.46875</v>
      </c>
      <c r="D23" s="14" t="s">
        <v>51</v>
      </c>
      <c r="E23" s="14" t="s">
        <v>29</v>
      </c>
      <c r="F23" s="14" t="s">
        <v>52</v>
      </c>
      <c r="G23" s="10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44</v>
      </c>
      <c r="B24" s="15" t="s">
        <v>54</v>
      </c>
      <c r="C24" s="73">
        <v>0.39583333333333331</v>
      </c>
      <c r="D24" s="15" t="s">
        <v>46</v>
      </c>
      <c r="E24" s="15" t="s">
        <v>47</v>
      </c>
      <c r="F24" s="15" t="s">
        <v>48</v>
      </c>
      <c r="G24" s="10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44</v>
      </c>
      <c r="B25" s="14" t="s">
        <v>54</v>
      </c>
      <c r="C25" s="72">
        <v>0.39583333333333331</v>
      </c>
      <c r="D25" s="14" t="s">
        <v>49</v>
      </c>
      <c r="E25" s="14" t="s">
        <v>47</v>
      </c>
      <c r="F25" s="14" t="s">
        <v>50</v>
      </c>
      <c r="G25" s="10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44</v>
      </c>
      <c r="B26" s="14" t="s">
        <v>54</v>
      </c>
      <c r="C26" s="72">
        <v>0.39583333333333331</v>
      </c>
      <c r="D26" s="14" t="s">
        <v>51</v>
      </c>
      <c r="E26" s="14" t="s">
        <v>47</v>
      </c>
      <c r="F26" s="14" t="s">
        <v>52</v>
      </c>
      <c r="G26" s="10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44</v>
      </c>
      <c r="B27" s="15" t="s">
        <v>55</v>
      </c>
      <c r="C27" s="73">
        <v>0.85416666666666663</v>
      </c>
      <c r="D27" s="15" t="s">
        <v>46</v>
      </c>
      <c r="E27" s="15" t="s">
        <v>56</v>
      </c>
      <c r="F27" s="15" t="s">
        <v>57</v>
      </c>
      <c r="G27" s="10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</v>
      </c>
      <c r="B28" s="14" t="s">
        <v>55</v>
      </c>
      <c r="C28" s="72">
        <v>0.85416666666666663</v>
      </c>
      <c r="D28" s="14" t="s">
        <v>49</v>
      </c>
      <c r="E28" s="14" t="s">
        <v>56</v>
      </c>
      <c r="F28" s="14" t="s">
        <v>32</v>
      </c>
      <c r="G28" s="10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44</v>
      </c>
      <c r="B29" s="14" t="s">
        <v>55</v>
      </c>
      <c r="C29" s="72">
        <v>0.85416666666666663</v>
      </c>
      <c r="D29" s="14" t="s">
        <v>51</v>
      </c>
      <c r="E29" s="14" t="s">
        <v>56</v>
      </c>
      <c r="F29" s="14" t="s">
        <v>58</v>
      </c>
      <c r="G29" s="10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44</v>
      </c>
      <c r="B30" s="15" t="s">
        <v>59</v>
      </c>
      <c r="C30" s="73">
        <v>0.51736111111111116</v>
      </c>
      <c r="D30" s="15" t="s">
        <v>46</v>
      </c>
      <c r="E30" s="15" t="s">
        <v>37</v>
      </c>
      <c r="F30" s="15" t="s">
        <v>57</v>
      </c>
      <c r="G30" s="10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</v>
      </c>
      <c r="B31" s="14" t="s">
        <v>59</v>
      </c>
      <c r="C31" s="72">
        <v>0.51736111111111116</v>
      </c>
      <c r="D31" s="14" t="s">
        <v>49</v>
      </c>
      <c r="E31" s="14" t="s">
        <v>37</v>
      </c>
      <c r="F31" s="14" t="s">
        <v>32</v>
      </c>
      <c r="G31" s="10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44</v>
      </c>
      <c r="B32" s="14" t="s">
        <v>59</v>
      </c>
      <c r="C32" s="72">
        <v>0.51736111111111116</v>
      </c>
      <c r="D32" s="14" t="s">
        <v>51</v>
      </c>
      <c r="E32" s="14" t="s">
        <v>37</v>
      </c>
      <c r="F32" s="14" t="s">
        <v>58</v>
      </c>
      <c r="G32" s="10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44</v>
      </c>
      <c r="B33" s="15" t="s">
        <v>60</v>
      </c>
      <c r="C33" s="73">
        <v>0.90277777777777779</v>
      </c>
      <c r="D33" s="15" t="s">
        <v>46</v>
      </c>
      <c r="E33" s="15" t="s">
        <v>56</v>
      </c>
      <c r="F33" s="15" t="s">
        <v>57</v>
      </c>
      <c r="G33" s="10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44</v>
      </c>
      <c r="B34" s="14" t="s">
        <v>60</v>
      </c>
      <c r="C34" s="72">
        <v>0.90277777777777779</v>
      </c>
      <c r="D34" s="14" t="s">
        <v>49</v>
      </c>
      <c r="E34" s="14" t="s">
        <v>56</v>
      </c>
      <c r="F34" s="14" t="s">
        <v>32</v>
      </c>
      <c r="G34" s="10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44</v>
      </c>
      <c r="B35" s="14" t="s">
        <v>60</v>
      </c>
      <c r="C35" s="72">
        <v>0.90277777777777779</v>
      </c>
      <c r="D35" s="14" t="s">
        <v>51</v>
      </c>
      <c r="E35" s="14" t="s">
        <v>56</v>
      </c>
      <c r="F35" s="14" t="s">
        <v>58</v>
      </c>
      <c r="G35" s="10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44</v>
      </c>
      <c r="B36" s="15" t="s">
        <v>61</v>
      </c>
      <c r="C36" s="73">
        <v>0.79861111111111116</v>
      </c>
      <c r="D36" s="15" t="s">
        <v>46</v>
      </c>
      <c r="E36" s="15" t="s">
        <v>62</v>
      </c>
      <c r="F36" s="15" t="s">
        <v>57</v>
      </c>
      <c r="G36" s="10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44</v>
      </c>
      <c r="B37" s="14" t="s">
        <v>61</v>
      </c>
      <c r="C37" s="72">
        <v>0.79861111111111116</v>
      </c>
      <c r="D37" s="14" t="s">
        <v>49</v>
      </c>
      <c r="E37" s="14" t="s">
        <v>62</v>
      </c>
      <c r="F37" s="14" t="s">
        <v>32</v>
      </c>
      <c r="G37" s="10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44</v>
      </c>
      <c r="B38" s="14" t="s">
        <v>61</v>
      </c>
      <c r="C38" s="72">
        <v>0.79861111111111116</v>
      </c>
      <c r="D38" s="14" t="s">
        <v>51</v>
      </c>
      <c r="E38" s="14" t="s">
        <v>62</v>
      </c>
      <c r="F38" s="14" t="s">
        <v>58</v>
      </c>
      <c r="G38" s="10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44</v>
      </c>
      <c r="B39" s="15" t="s">
        <v>63</v>
      </c>
      <c r="C39" s="73">
        <v>0.64583333333333337</v>
      </c>
      <c r="D39" s="15" t="s">
        <v>46</v>
      </c>
      <c r="E39" s="15" t="s">
        <v>56</v>
      </c>
      <c r="F39" s="15" t="s">
        <v>64</v>
      </c>
      <c r="G39" s="10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44</v>
      </c>
      <c r="B40" s="14" t="s">
        <v>63</v>
      </c>
      <c r="C40" s="72">
        <v>0.64583333333333337</v>
      </c>
      <c r="D40" s="14" t="s">
        <v>49</v>
      </c>
      <c r="E40" s="14" t="s">
        <v>56</v>
      </c>
      <c r="F40" s="14" t="s">
        <v>65</v>
      </c>
      <c r="G40" s="10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44</v>
      </c>
      <c r="B41" s="14" t="s">
        <v>63</v>
      </c>
      <c r="C41" s="72">
        <v>0.64583333333333337</v>
      </c>
      <c r="D41" s="14" t="s">
        <v>51</v>
      </c>
      <c r="E41" s="14" t="s">
        <v>56</v>
      </c>
      <c r="F41" s="14" t="s">
        <v>66</v>
      </c>
      <c r="G41" s="10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74">
        <v>0.20833333333333329</v>
      </c>
      <c r="D42" s="16" t="s">
        <v>69</v>
      </c>
      <c r="E42" s="16" t="s">
        <v>70</v>
      </c>
      <c r="F42" s="16" t="s">
        <v>71</v>
      </c>
      <c r="G42" s="10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72</v>
      </c>
      <c r="B43" s="16" t="s">
        <v>73</v>
      </c>
      <c r="C43" s="74">
        <v>0.3125</v>
      </c>
      <c r="D43" s="16" t="s">
        <v>69</v>
      </c>
      <c r="E43" s="16" t="s">
        <v>74</v>
      </c>
      <c r="F43" s="16" t="s">
        <v>75</v>
      </c>
      <c r="G43" s="10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72</v>
      </c>
      <c r="B44" s="15" t="s">
        <v>76</v>
      </c>
      <c r="C44" s="73">
        <v>0.66666666666666663</v>
      </c>
      <c r="D44" s="15" t="s">
        <v>69</v>
      </c>
      <c r="E44" s="15" t="s">
        <v>29</v>
      </c>
      <c r="F44" s="15" t="s">
        <v>75</v>
      </c>
      <c r="G44" s="10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77</v>
      </c>
      <c r="B45" s="16" t="s">
        <v>78</v>
      </c>
      <c r="C45" s="74">
        <v>0.1736111111111111</v>
      </c>
      <c r="D45" s="16" t="s">
        <v>79</v>
      </c>
      <c r="E45" s="16" t="s">
        <v>56</v>
      </c>
      <c r="F45" s="16" t="s">
        <v>80</v>
      </c>
      <c r="G45" s="10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77</v>
      </c>
      <c r="B46" s="14" t="s">
        <v>78</v>
      </c>
      <c r="C46" s="72">
        <v>0.1736111111111111</v>
      </c>
      <c r="D46" s="14" t="s">
        <v>33</v>
      </c>
      <c r="E46" s="14" t="s">
        <v>56</v>
      </c>
      <c r="F46" s="14" t="s">
        <v>81</v>
      </c>
      <c r="G46" s="10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77</v>
      </c>
      <c r="B47" s="15" t="s">
        <v>82</v>
      </c>
      <c r="C47" s="73">
        <v>0.3923611111111111</v>
      </c>
      <c r="D47" s="15" t="s">
        <v>79</v>
      </c>
      <c r="E47" s="15" t="s">
        <v>56</v>
      </c>
      <c r="F47" s="15" t="s">
        <v>83</v>
      </c>
      <c r="G47" s="10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77</v>
      </c>
      <c r="B48" s="14" t="s">
        <v>82</v>
      </c>
      <c r="C48" s="72">
        <v>0.3923611111111111</v>
      </c>
      <c r="D48" s="14" t="s">
        <v>33</v>
      </c>
      <c r="E48" s="14" t="s">
        <v>56</v>
      </c>
      <c r="F48" s="14" t="s">
        <v>84</v>
      </c>
      <c r="G48" s="10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85</v>
      </c>
      <c r="B49" s="17" t="s">
        <v>86</v>
      </c>
      <c r="C49" s="75">
        <v>0.97916666666666663</v>
      </c>
      <c r="D49" s="17" t="s">
        <v>87</v>
      </c>
      <c r="E49" s="17" t="s">
        <v>74</v>
      </c>
      <c r="F49" s="17" t="s">
        <v>88</v>
      </c>
      <c r="G49" s="107"/>
      <c r="H49" s="18" t="s">
        <v>89</v>
      </c>
      <c r="I49" s="76">
        <v>0.92179999999999995</v>
      </c>
      <c r="J49" s="19">
        <v>165</v>
      </c>
      <c r="K49" s="20">
        <v>45989</v>
      </c>
      <c r="L49" s="19">
        <v>18</v>
      </c>
      <c r="M49" s="19">
        <v>0</v>
      </c>
      <c r="N49" s="19">
        <v>3</v>
      </c>
      <c r="O49" s="21" t="s">
        <v>90</v>
      </c>
      <c r="P49" s="77">
        <v>0.97916666666666663</v>
      </c>
      <c r="Q49" s="19">
        <v>179</v>
      </c>
      <c r="R49" s="22" t="s">
        <v>91</v>
      </c>
    </row>
    <row r="50" spans="1:18" ht="15" customHeight="1" x14ac:dyDescent="0.3">
      <c r="A50" s="23" t="s">
        <v>85</v>
      </c>
      <c r="B50" s="23" t="s">
        <v>92</v>
      </c>
      <c r="C50" s="78">
        <v>0.61458333333333337</v>
      </c>
      <c r="D50" s="23" t="s">
        <v>87</v>
      </c>
      <c r="E50" s="23" t="s">
        <v>41</v>
      </c>
      <c r="F50" s="23" t="s">
        <v>93</v>
      </c>
      <c r="G50" s="107"/>
      <c r="H50" s="24" t="s">
        <v>94</v>
      </c>
      <c r="I50" s="79">
        <v>0.88829999999999998</v>
      </c>
      <c r="J50" s="25">
        <v>159</v>
      </c>
      <c r="K50" s="26">
        <v>45989</v>
      </c>
      <c r="L50" s="25">
        <v>8</v>
      </c>
      <c r="M50" s="25">
        <v>0</v>
      </c>
      <c r="N50" s="25">
        <v>2</v>
      </c>
      <c r="O50" s="27" t="s">
        <v>95</v>
      </c>
      <c r="P50" s="80">
        <v>0.61458333333333337</v>
      </c>
      <c r="Q50" s="25">
        <v>179</v>
      </c>
      <c r="R50" s="28" t="s">
        <v>96</v>
      </c>
    </row>
    <row r="51" spans="1:18" ht="15" customHeight="1" x14ac:dyDescent="0.3">
      <c r="A51" s="29" t="s">
        <v>85</v>
      </c>
      <c r="B51" s="29" t="s">
        <v>97</v>
      </c>
      <c r="C51" s="81">
        <v>6.9444444444444441E-3</v>
      </c>
      <c r="D51" s="29" t="s">
        <v>87</v>
      </c>
      <c r="E51" s="29" t="s">
        <v>37</v>
      </c>
      <c r="F51" s="29" t="s">
        <v>98</v>
      </c>
      <c r="G51" s="107"/>
      <c r="H51" s="30" t="s">
        <v>99</v>
      </c>
      <c r="I51" s="82">
        <v>0.88270000000000004</v>
      </c>
      <c r="J51" s="31">
        <v>158</v>
      </c>
      <c r="K51" s="32">
        <v>45987</v>
      </c>
      <c r="L51" s="31">
        <v>2</v>
      </c>
      <c r="M51" s="31">
        <v>0</v>
      </c>
      <c r="N51" s="31">
        <v>0</v>
      </c>
      <c r="O51" s="33" t="s">
        <v>100</v>
      </c>
      <c r="P51" s="83">
        <v>6.9444444444444441E-3</v>
      </c>
      <c r="Q51" s="31">
        <v>179</v>
      </c>
      <c r="R51" s="34" t="s">
        <v>101</v>
      </c>
    </row>
    <row r="52" spans="1:18" ht="15" customHeight="1" x14ac:dyDescent="0.3">
      <c r="A52" s="35" t="s">
        <v>85</v>
      </c>
      <c r="B52" s="35" t="s">
        <v>102</v>
      </c>
      <c r="C52" s="84">
        <v>0.4236111111111111</v>
      </c>
      <c r="D52" s="35" t="s">
        <v>87</v>
      </c>
      <c r="E52" s="35" t="s">
        <v>47</v>
      </c>
      <c r="F52" s="35" t="s">
        <v>98</v>
      </c>
      <c r="G52" s="107"/>
      <c r="H52" s="36" t="s">
        <v>103</v>
      </c>
      <c r="I52" s="85">
        <v>0.97209999999999996</v>
      </c>
      <c r="J52" s="37">
        <v>174</v>
      </c>
      <c r="K52" s="38">
        <v>45986</v>
      </c>
      <c r="L52" s="37">
        <v>8</v>
      </c>
      <c r="M52" s="37">
        <v>0</v>
      </c>
      <c r="N52" s="37">
        <v>0</v>
      </c>
      <c r="O52" s="39" t="s">
        <v>104</v>
      </c>
      <c r="P52" s="86">
        <v>0.4236111111111111</v>
      </c>
      <c r="Q52" s="37">
        <v>179</v>
      </c>
      <c r="R52" s="40" t="s">
        <v>105</v>
      </c>
    </row>
    <row r="53" spans="1:18" ht="15" customHeight="1" x14ac:dyDescent="0.3">
      <c r="A53" s="16" t="s">
        <v>106</v>
      </c>
      <c r="B53" s="16" t="s">
        <v>107</v>
      </c>
      <c r="C53" s="74">
        <v>0.22916666666666671</v>
      </c>
      <c r="D53" s="16" t="s">
        <v>108</v>
      </c>
      <c r="E53" s="16" t="s">
        <v>74</v>
      </c>
      <c r="F53" s="16" t="s">
        <v>109</v>
      </c>
      <c r="G53" s="10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106</v>
      </c>
      <c r="B54" s="15" t="s">
        <v>110</v>
      </c>
      <c r="C54" s="73">
        <v>0.14583333333333329</v>
      </c>
      <c r="D54" s="15" t="s">
        <v>108</v>
      </c>
      <c r="E54" s="15" t="s">
        <v>74</v>
      </c>
      <c r="F54" s="15" t="s">
        <v>109</v>
      </c>
      <c r="G54" s="10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106</v>
      </c>
      <c r="B55" s="15" t="s">
        <v>111</v>
      </c>
      <c r="C55" s="73">
        <v>0.27777777777777779</v>
      </c>
      <c r="D55" s="15" t="s">
        <v>108</v>
      </c>
      <c r="E55" s="15" t="s">
        <v>74</v>
      </c>
      <c r="F55" s="15" t="s">
        <v>109</v>
      </c>
      <c r="G55" s="10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106</v>
      </c>
      <c r="B56" s="15" t="s">
        <v>112</v>
      </c>
      <c r="C56" s="73">
        <v>0.4861111111111111</v>
      </c>
      <c r="D56" s="15" t="s">
        <v>108</v>
      </c>
      <c r="E56" s="15" t="s">
        <v>74</v>
      </c>
      <c r="F56" s="15" t="s">
        <v>109</v>
      </c>
      <c r="G56" s="10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106</v>
      </c>
      <c r="B57" s="15" t="s">
        <v>113</v>
      </c>
      <c r="C57" s="73">
        <v>0.51388888888888884</v>
      </c>
      <c r="D57" s="15" t="s">
        <v>108</v>
      </c>
      <c r="E57" s="15" t="s">
        <v>74</v>
      </c>
      <c r="F57" s="15" t="s">
        <v>109</v>
      </c>
      <c r="G57" s="10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106</v>
      </c>
      <c r="B58" s="15" t="s">
        <v>114</v>
      </c>
      <c r="C58" s="73">
        <v>0.95833333333333337</v>
      </c>
      <c r="D58" s="15" t="s">
        <v>115</v>
      </c>
      <c r="E58" s="15" t="s">
        <v>116</v>
      </c>
      <c r="F58" s="15" t="s">
        <v>117</v>
      </c>
      <c r="G58" s="10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106</v>
      </c>
      <c r="B59" s="15" t="s">
        <v>118</v>
      </c>
      <c r="C59" s="73">
        <v>1.388888888888889E-2</v>
      </c>
      <c r="D59" s="15" t="s">
        <v>115</v>
      </c>
      <c r="E59" s="15" t="s">
        <v>29</v>
      </c>
      <c r="F59" s="15" t="s">
        <v>119</v>
      </c>
      <c r="G59" s="10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106</v>
      </c>
      <c r="B60" s="15" t="s">
        <v>120</v>
      </c>
      <c r="C60" s="73">
        <v>0.77430555555555558</v>
      </c>
      <c r="D60" s="15" t="s">
        <v>115</v>
      </c>
      <c r="E60" s="15" t="s">
        <v>62</v>
      </c>
      <c r="F60" s="15" t="s">
        <v>121</v>
      </c>
      <c r="G60" s="10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122</v>
      </c>
      <c r="B61" s="16" t="s">
        <v>123</v>
      </c>
      <c r="C61" s="74">
        <v>0.93055555555555558</v>
      </c>
      <c r="D61" s="16" t="s">
        <v>124</v>
      </c>
      <c r="E61" s="16" t="s">
        <v>74</v>
      </c>
      <c r="F61" s="16" t="s">
        <v>125</v>
      </c>
      <c r="G61" s="10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122</v>
      </c>
      <c r="B62" s="14" t="s">
        <v>123</v>
      </c>
      <c r="C62" s="72">
        <v>0.93055555555555558</v>
      </c>
      <c r="D62" s="14" t="s">
        <v>126</v>
      </c>
      <c r="E62" s="14" t="s">
        <v>74</v>
      </c>
      <c r="F62" s="14" t="s">
        <v>127</v>
      </c>
      <c r="G62" s="10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122</v>
      </c>
      <c r="B63" s="15" t="s">
        <v>128</v>
      </c>
      <c r="C63" s="73">
        <v>0.37847222222222221</v>
      </c>
      <c r="D63" s="15" t="s">
        <v>124</v>
      </c>
      <c r="E63" s="15" t="s">
        <v>74</v>
      </c>
      <c r="F63" s="15" t="s">
        <v>125</v>
      </c>
      <c r="G63" s="10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122</v>
      </c>
      <c r="B64" s="14" t="s">
        <v>128</v>
      </c>
      <c r="C64" s="72">
        <v>0.37847222222222221</v>
      </c>
      <c r="D64" s="14" t="s">
        <v>126</v>
      </c>
      <c r="E64" s="14" t="s">
        <v>74</v>
      </c>
      <c r="F64" s="14" t="s">
        <v>127</v>
      </c>
      <c r="G64" s="10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122</v>
      </c>
      <c r="B65" s="15" t="s">
        <v>129</v>
      </c>
      <c r="C65" s="73">
        <v>0.61111111111111116</v>
      </c>
      <c r="D65" s="15" t="s">
        <v>124</v>
      </c>
      <c r="E65" s="15" t="s">
        <v>74</v>
      </c>
      <c r="F65" s="15" t="s">
        <v>125</v>
      </c>
      <c r="G65" s="10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122</v>
      </c>
      <c r="B66" s="14" t="s">
        <v>129</v>
      </c>
      <c r="C66" s="72">
        <v>0.61111111111111116</v>
      </c>
      <c r="D66" s="14" t="s">
        <v>126</v>
      </c>
      <c r="E66" s="14" t="s">
        <v>74</v>
      </c>
      <c r="F66" s="14" t="s">
        <v>127</v>
      </c>
      <c r="G66" s="10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122</v>
      </c>
      <c r="B67" s="15" t="s">
        <v>130</v>
      </c>
      <c r="C67" s="73">
        <v>0.23958333333333329</v>
      </c>
      <c r="D67" s="15" t="s">
        <v>124</v>
      </c>
      <c r="E67" s="15" t="s">
        <v>74</v>
      </c>
      <c r="F67" s="15" t="s">
        <v>125</v>
      </c>
      <c r="G67" s="10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122</v>
      </c>
      <c r="B68" s="14" t="s">
        <v>130</v>
      </c>
      <c r="C68" s="72">
        <v>0.23958333333333329</v>
      </c>
      <c r="D68" s="14" t="s">
        <v>126</v>
      </c>
      <c r="E68" s="14" t="s">
        <v>74</v>
      </c>
      <c r="F68" s="14" t="s">
        <v>127</v>
      </c>
      <c r="G68" s="10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122</v>
      </c>
      <c r="B69" s="15" t="s">
        <v>131</v>
      </c>
      <c r="C69" s="73">
        <v>0.88888888888888884</v>
      </c>
      <c r="D69" s="15" t="s">
        <v>126</v>
      </c>
      <c r="E69" s="15" t="s">
        <v>47</v>
      </c>
      <c r="F69" s="15" t="s">
        <v>132</v>
      </c>
      <c r="G69" s="10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122</v>
      </c>
      <c r="B70" s="15" t="s">
        <v>133</v>
      </c>
      <c r="C70" s="73">
        <v>0.30208333333333331</v>
      </c>
      <c r="D70" s="15" t="s">
        <v>126</v>
      </c>
      <c r="E70" s="15" t="s">
        <v>47</v>
      </c>
      <c r="F70" s="15" t="s">
        <v>132</v>
      </c>
      <c r="G70" s="10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122</v>
      </c>
      <c r="B71" s="15" t="s">
        <v>134</v>
      </c>
      <c r="C71" s="73">
        <v>6.9444444444444441E-3</v>
      </c>
      <c r="D71" s="15" t="s">
        <v>124</v>
      </c>
      <c r="E71" s="15" t="s">
        <v>70</v>
      </c>
      <c r="F71" s="15" t="s">
        <v>135</v>
      </c>
      <c r="G71" s="10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122</v>
      </c>
      <c r="B72" s="14" t="s">
        <v>134</v>
      </c>
      <c r="C72" s="72">
        <v>6.9444444444444441E-3</v>
      </c>
      <c r="D72" s="14" t="s">
        <v>126</v>
      </c>
      <c r="E72" s="14" t="s">
        <v>70</v>
      </c>
      <c r="F72" s="14" t="s">
        <v>136</v>
      </c>
      <c r="G72" s="10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122</v>
      </c>
      <c r="B73" s="15" t="s">
        <v>137</v>
      </c>
      <c r="C73" s="73">
        <v>0.1423611111111111</v>
      </c>
      <c r="D73" s="15" t="s">
        <v>124</v>
      </c>
      <c r="E73" s="15" t="s">
        <v>74</v>
      </c>
      <c r="F73" s="15" t="s">
        <v>135</v>
      </c>
      <c r="G73" s="10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122</v>
      </c>
      <c r="B74" s="14" t="s">
        <v>137</v>
      </c>
      <c r="C74" s="72">
        <v>0.1423611111111111</v>
      </c>
      <c r="D74" s="14" t="s">
        <v>126</v>
      </c>
      <c r="E74" s="14" t="s">
        <v>74</v>
      </c>
      <c r="F74" s="14" t="s">
        <v>136</v>
      </c>
      <c r="G74" s="10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122</v>
      </c>
      <c r="B75" s="15" t="s">
        <v>138</v>
      </c>
      <c r="C75" s="73">
        <v>0.71875</v>
      </c>
      <c r="D75" s="15" t="s">
        <v>124</v>
      </c>
      <c r="E75" s="15" t="s">
        <v>74</v>
      </c>
      <c r="F75" s="15" t="s">
        <v>135</v>
      </c>
      <c r="G75" s="10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122</v>
      </c>
      <c r="B76" s="14" t="s">
        <v>138</v>
      </c>
      <c r="C76" s="72">
        <v>0.71875</v>
      </c>
      <c r="D76" s="14" t="s">
        <v>126</v>
      </c>
      <c r="E76" s="14" t="s">
        <v>74</v>
      </c>
      <c r="F76" s="14" t="s">
        <v>136</v>
      </c>
      <c r="G76" s="10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122</v>
      </c>
      <c r="B77" s="15" t="s">
        <v>139</v>
      </c>
      <c r="C77" s="73">
        <v>0.82986111111111116</v>
      </c>
      <c r="D77" s="15" t="s">
        <v>124</v>
      </c>
      <c r="E77" s="15" t="s">
        <v>74</v>
      </c>
      <c r="F77" s="15" t="s">
        <v>135</v>
      </c>
      <c r="G77" s="10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122</v>
      </c>
      <c r="B78" s="14" t="s">
        <v>139</v>
      </c>
      <c r="C78" s="72">
        <v>0.82986111111111116</v>
      </c>
      <c r="D78" s="14" t="s">
        <v>126</v>
      </c>
      <c r="E78" s="14" t="s">
        <v>74</v>
      </c>
      <c r="F78" s="14" t="s">
        <v>136</v>
      </c>
      <c r="G78" s="10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122</v>
      </c>
      <c r="B79" s="15" t="s">
        <v>140</v>
      </c>
      <c r="C79" s="73">
        <v>0.12847222222222221</v>
      </c>
      <c r="D79" s="15" t="s">
        <v>126</v>
      </c>
      <c r="E79" s="15" t="s">
        <v>47</v>
      </c>
      <c r="F79" s="15" t="s">
        <v>141</v>
      </c>
      <c r="G79" s="10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41" t="s">
        <v>122</v>
      </c>
      <c r="B80" s="41" t="s">
        <v>142</v>
      </c>
      <c r="C80" s="87">
        <v>0.78819444444444442</v>
      </c>
      <c r="D80" s="41" t="s">
        <v>126</v>
      </c>
      <c r="E80" s="41" t="s">
        <v>47</v>
      </c>
      <c r="F80" s="41" t="s">
        <v>141</v>
      </c>
      <c r="G80" s="108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</sheetData>
  <mergeCells count="10">
    <mergeCell ref="A4:F4"/>
    <mergeCell ref="G6:G80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/>
  </sheetViews>
  <sheetFormatPr defaultRowHeight="15.6" outlineLevelCol="1" x14ac:dyDescent="0.3"/>
  <cols>
    <col min="1" max="1" width="8.6640625" style="112" bestFit="1" customWidth="1"/>
    <col min="2" max="2" width="9" style="112" bestFit="1" customWidth="1"/>
    <col min="3" max="3" width="6.77734375" style="112" bestFit="1" customWidth="1"/>
    <col min="4" max="4" width="5.5546875" style="112" bestFit="1" customWidth="1"/>
    <col min="5" max="5" width="7.5546875" style="112" bestFit="1" customWidth="1"/>
    <col min="6" max="6" width="4.21875" style="112" bestFit="1" customWidth="1"/>
    <col min="7" max="7" width="10" style="112" bestFit="1" customWidth="1"/>
    <col min="8" max="10" width="7" style="112" bestFit="1" customWidth="1"/>
    <col min="11" max="11" width="10.5546875" style="112" bestFit="1" customWidth="1"/>
    <col min="12" max="12" width="9.109375" style="112" bestFit="1" customWidth="1"/>
    <col min="13" max="13" width="7.6640625" style="112" bestFit="1" customWidth="1" outlineLevel="1"/>
    <col min="14" max="14" width="6.33203125" style="112" bestFit="1" customWidth="1" outlineLevel="1"/>
    <col min="15" max="15" width="8" style="112" bestFit="1" customWidth="1" outlineLevel="1"/>
    <col min="16" max="16" width="13.6640625" style="112" bestFit="1" customWidth="1"/>
    <col min="17" max="26" width="3.88671875" style="112" bestFit="1" customWidth="1"/>
    <col min="27" max="27" width="4" style="112" bestFit="1" customWidth="1"/>
    <col min="28" max="28" width="3.88671875" style="112" bestFit="1" customWidth="1"/>
    <col min="29" max="29" width="4.21875" style="112" bestFit="1" customWidth="1"/>
    <col min="30" max="31" width="4.5546875" style="112" bestFit="1" customWidth="1"/>
    <col min="32" max="32" width="3.88671875" style="112" bestFit="1" customWidth="1"/>
    <col min="33" max="33" width="4.21875" style="112" bestFit="1" customWidth="1"/>
    <col min="34" max="34" width="3.88671875" style="112" bestFit="1" customWidth="1"/>
    <col min="35" max="35" width="5.21875" style="112" bestFit="1" customWidth="1"/>
    <col min="36" max="36" width="3.88671875" style="112" bestFit="1" customWidth="1"/>
    <col min="37" max="16384" width="8.88671875" style="112"/>
  </cols>
  <sheetData>
    <row r="1" spans="1:36" x14ac:dyDescent="0.3">
      <c r="A1" s="111" t="s">
        <v>143</v>
      </c>
      <c r="B1" s="111" t="s">
        <v>144</v>
      </c>
      <c r="C1" s="111" t="s">
        <v>145</v>
      </c>
      <c r="D1" s="111" t="s">
        <v>23</v>
      </c>
      <c r="E1" s="111" t="s">
        <v>146</v>
      </c>
      <c r="F1" s="111" t="s">
        <v>147</v>
      </c>
      <c r="G1" s="111" t="s">
        <v>16</v>
      </c>
      <c r="H1" s="111" t="s">
        <v>148</v>
      </c>
      <c r="I1" s="111" t="s">
        <v>149</v>
      </c>
      <c r="J1" s="111" t="s">
        <v>150</v>
      </c>
      <c r="K1" s="111" t="s">
        <v>151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152</v>
      </c>
      <c r="R1" s="111" t="s">
        <v>153</v>
      </c>
      <c r="S1" s="111" t="s">
        <v>154</v>
      </c>
      <c r="T1" s="111" t="s">
        <v>155</v>
      </c>
      <c r="U1" s="111" t="s">
        <v>156</v>
      </c>
      <c r="V1" s="111" t="s">
        <v>157</v>
      </c>
      <c r="W1" s="111" t="s">
        <v>158</v>
      </c>
      <c r="X1" s="111" t="s">
        <v>159</v>
      </c>
      <c r="Y1" s="111" t="s">
        <v>160</v>
      </c>
      <c r="Z1" s="111" t="s">
        <v>161</v>
      </c>
      <c r="AA1" s="111" t="s">
        <v>162</v>
      </c>
      <c r="AB1" s="111" t="s">
        <v>163</v>
      </c>
      <c r="AC1" s="111" t="s">
        <v>164</v>
      </c>
      <c r="AD1" s="111" t="s">
        <v>165</v>
      </c>
      <c r="AE1" s="111" t="s">
        <v>166</v>
      </c>
      <c r="AF1" s="111" t="s">
        <v>167</v>
      </c>
      <c r="AG1" s="111" t="s">
        <v>168</v>
      </c>
      <c r="AH1" s="111" t="s">
        <v>169</v>
      </c>
      <c r="AI1" s="111" t="s">
        <v>170</v>
      </c>
      <c r="AJ1" s="111" t="s">
        <v>171</v>
      </c>
    </row>
    <row r="2" spans="1:36" x14ac:dyDescent="0.3">
      <c r="A2" s="113" t="s">
        <v>172</v>
      </c>
      <c r="B2" s="114">
        <v>45992</v>
      </c>
      <c r="C2" s="115" t="s">
        <v>99</v>
      </c>
      <c r="D2" s="116" t="s">
        <v>173</v>
      </c>
      <c r="E2" s="115" t="s">
        <v>1</v>
      </c>
      <c r="F2" s="115" t="s">
        <v>174</v>
      </c>
      <c r="G2" s="117">
        <v>0.88270000000000004</v>
      </c>
      <c r="H2" s="118">
        <v>179</v>
      </c>
      <c r="I2" s="118">
        <v>158</v>
      </c>
      <c r="J2" s="118">
        <v>131</v>
      </c>
      <c r="K2" s="115" t="s">
        <v>175</v>
      </c>
      <c r="L2" s="119">
        <v>45987</v>
      </c>
      <c r="M2" s="118">
        <v>0</v>
      </c>
      <c r="N2" s="118">
        <v>0</v>
      </c>
      <c r="O2" s="118">
        <v>2</v>
      </c>
      <c r="P2" s="115" t="s">
        <v>100</v>
      </c>
      <c r="Q2" s="111"/>
      <c r="R2" s="111"/>
      <c r="S2" s="111"/>
      <c r="T2" s="111"/>
      <c r="U2" s="111"/>
      <c r="V2" s="111"/>
      <c r="W2" s="111"/>
      <c r="X2" s="111"/>
      <c r="Y2" s="111"/>
      <c r="Z2" s="118" t="s">
        <v>176</v>
      </c>
      <c r="AA2" s="111"/>
      <c r="AB2" s="111"/>
      <c r="AC2" s="111"/>
      <c r="AD2" s="118" t="s">
        <v>177</v>
      </c>
      <c r="AE2" s="118" t="s">
        <v>178</v>
      </c>
      <c r="AF2" s="118" t="s">
        <v>179</v>
      </c>
      <c r="AG2" s="111"/>
      <c r="AH2" s="111"/>
      <c r="AI2" s="118" t="s">
        <v>180</v>
      </c>
      <c r="AJ2" s="111"/>
    </row>
    <row r="3" spans="1:36" x14ac:dyDescent="0.3">
      <c r="A3" s="113" t="s">
        <v>172</v>
      </c>
      <c r="B3" s="114">
        <v>45992</v>
      </c>
      <c r="C3" s="115" t="s">
        <v>103</v>
      </c>
      <c r="D3" s="116" t="s">
        <v>181</v>
      </c>
      <c r="E3" s="115" t="s">
        <v>1</v>
      </c>
      <c r="F3" s="115" t="s">
        <v>174</v>
      </c>
      <c r="G3" s="117">
        <v>0.97209999999999996</v>
      </c>
      <c r="H3" s="118">
        <v>179</v>
      </c>
      <c r="I3" s="118">
        <v>174</v>
      </c>
      <c r="J3" s="118">
        <v>135</v>
      </c>
      <c r="K3" s="115" t="s">
        <v>175</v>
      </c>
      <c r="L3" s="119">
        <v>45986</v>
      </c>
      <c r="M3" s="118">
        <v>0</v>
      </c>
      <c r="N3" s="118">
        <v>0</v>
      </c>
      <c r="O3" s="118">
        <v>8</v>
      </c>
      <c r="P3" s="115" t="s">
        <v>104</v>
      </c>
      <c r="Q3" s="111"/>
      <c r="R3" s="111"/>
      <c r="S3" s="111"/>
      <c r="T3" s="111"/>
      <c r="U3" s="111"/>
      <c r="V3" s="111"/>
      <c r="W3" s="111"/>
      <c r="X3" s="111"/>
      <c r="Y3" s="111"/>
      <c r="Z3" s="118" t="s">
        <v>182</v>
      </c>
      <c r="AA3" s="118" t="s">
        <v>183</v>
      </c>
      <c r="AB3" s="111"/>
      <c r="AC3" s="111"/>
      <c r="AD3" s="111"/>
      <c r="AE3" s="118" t="s">
        <v>184</v>
      </c>
      <c r="AF3" s="118" t="s">
        <v>185</v>
      </c>
      <c r="AG3" s="111"/>
      <c r="AH3" s="111"/>
      <c r="AI3" s="118" t="s">
        <v>186</v>
      </c>
      <c r="AJ3" s="111"/>
    </row>
    <row r="4" spans="1:36" x14ac:dyDescent="0.3">
      <c r="A4" s="113" t="s">
        <v>172</v>
      </c>
      <c r="B4" s="114">
        <v>45992</v>
      </c>
      <c r="C4" s="115" t="s">
        <v>94</v>
      </c>
      <c r="D4" s="116" t="s">
        <v>187</v>
      </c>
      <c r="E4" s="115" t="s">
        <v>1</v>
      </c>
      <c r="F4" s="115" t="s">
        <v>174</v>
      </c>
      <c r="G4" s="117">
        <v>0.88829999999999998</v>
      </c>
      <c r="H4" s="118">
        <v>179</v>
      </c>
      <c r="I4" s="118">
        <v>159</v>
      </c>
      <c r="J4" s="118">
        <v>103</v>
      </c>
      <c r="K4" s="115" t="s">
        <v>175</v>
      </c>
      <c r="L4" s="119">
        <v>45989</v>
      </c>
      <c r="M4" s="118">
        <v>0</v>
      </c>
      <c r="N4" s="118">
        <v>2</v>
      </c>
      <c r="O4" s="118">
        <v>8</v>
      </c>
      <c r="P4" s="115" t="s">
        <v>95</v>
      </c>
      <c r="Q4" s="111"/>
      <c r="R4" s="111"/>
      <c r="S4" s="111"/>
      <c r="T4" s="111"/>
      <c r="U4" s="111"/>
      <c r="V4" s="111"/>
      <c r="W4" s="111"/>
      <c r="X4" s="111"/>
      <c r="Y4" s="111"/>
      <c r="Z4" s="118" t="s">
        <v>188</v>
      </c>
      <c r="AA4" s="111"/>
      <c r="AB4" s="118" t="s">
        <v>189</v>
      </c>
      <c r="AC4" s="118" t="s">
        <v>190</v>
      </c>
      <c r="AD4" s="118" t="s">
        <v>191</v>
      </c>
      <c r="AE4" s="118" t="s">
        <v>192</v>
      </c>
      <c r="AF4" s="118" t="s">
        <v>185</v>
      </c>
      <c r="AG4" s="111"/>
      <c r="AH4" s="111"/>
      <c r="AI4" s="118" t="s">
        <v>193</v>
      </c>
      <c r="AJ4" s="118" t="s">
        <v>194</v>
      </c>
    </row>
    <row r="5" spans="1:36" x14ac:dyDescent="0.3">
      <c r="A5" s="113" t="s">
        <v>172</v>
      </c>
      <c r="B5" s="114">
        <v>45992</v>
      </c>
      <c r="C5" s="115" t="s">
        <v>89</v>
      </c>
      <c r="D5" s="116" t="s">
        <v>195</v>
      </c>
      <c r="E5" s="115" t="s">
        <v>1</v>
      </c>
      <c r="F5" s="115" t="s">
        <v>174</v>
      </c>
      <c r="G5" s="117">
        <v>0.92179999999999995</v>
      </c>
      <c r="H5" s="118">
        <v>179</v>
      </c>
      <c r="I5" s="118">
        <v>165</v>
      </c>
      <c r="J5" s="118">
        <v>104</v>
      </c>
      <c r="K5" s="115" t="s">
        <v>175</v>
      </c>
      <c r="L5" s="119">
        <v>45989</v>
      </c>
      <c r="M5" s="118">
        <v>0</v>
      </c>
      <c r="N5" s="118">
        <v>3</v>
      </c>
      <c r="O5" s="118">
        <v>18</v>
      </c>
      <c r="P5" s="115" t="s">
        <v>90</v>
      </c>
      <c r="Q5" s="111"/>
      <c r="R5" s="111"/>
      <c r="S5" s="111"/>
      <c r="T5" s="111"/>
      <c r="U5" s="111"/>
      <c r="V5" s="111"/>
      <c r="W5" s="111"/>
      <c r="X5" s="111"/>
      <c r="Y5" s="111"/>
      <c r="Z5" s="118" t="s">
        <v>196</v>
      </c>
      <c r="AA5" s="111"/>
      <c r="AB5" s="111"/>
      <c r="AC5" s="118" t="s">
        <v>190</v>
      </c>
      <c r="AD5" s="118" t="s">
        <v>197</v>
      </c>
      <c r="AE5" s="118" t="s">
        <v>198</v>
      </c>
      <c r="AF5" s="118" t="s">
        <v>199</v>
      </c>
      <c r="AG5" s="118" t="s">
        <v>200</v>
      </c>
      <c r="AH5" s="111"/>
      <c r="AI5" s="118" t="s">
        <v>201</v>
      </c>
      <c r="AJ5" s="118" t="s">
        <v>202</v>
      </c>
    </row>
    <row r="6" spans="1:36" ht="21" x14ac:dyDescent="0.3">
      <c r="A6" s="120" t="s">
        <v>255</v>
      </c>
      <c r="B6" s="121"/>
      <c r="C6" s="120">
        <f>SUBTOTAL(103,JED_CAI_LF_LEGACY[Flt])</f>
        <v>4</v>
      </c>
      <c r="D6" s="120"/>
      <c r="E6" s="120">
        <f>SUBTOTAL(103,JED_CAI_LF_LEGACY[Brd-Off])</f>
        <v>4</v>
      </c>
      <c r="F6" s="120"/>
      <c r="G6" s="122">
        <f>SUBTOTAL(101,JED_CAI_LF_LEGACY[LF%])</f>
        <v>0.91622500000000007</v>
      </c>
      <c r="H6" s="123">
        <f>SUBTOTAL(109,JED_CAI_LF_LEGACY[CAP])</f>
        <v>716</v>
      </c>
      <c r="I6" s="123">
        <f>SUBTOTAL(109,JED_CAI_LF_LEGACY[BKG(Y)])</f>
        <v>656</v>
      </c>
      <c r="J6" s="123">
        <f>SUBTOTAL(109,JED_CAI_LF_LEGACY[GRP(Y)])</f>
        <v>473</v>
      </c>
      <c r="K6" s="120"/>
      <c r="L6" s="121"/>
      <c r="M6" s="123">
        <f>SUBTOTAL(109,JED_CAI_LF_LEGACY[TO-DAY])</f>
        <v>0</v>
      </c>
      <c r="N6" s="123">
        <f>SUBTOTAL(109,JED_CAI_LF_LEGACY[Y-DAY])</f>
        <v>5</v>
      </c>
      <c r="O6" s="123">
        <f>SUBTOTAL(109,JED_CAI_LF_LEGACY[WEEKLY])</f>
        <v>36</v>
      </c>
      <c r="P6" s="124"/>
      <c r="Q6" s="123">
        <f>SUBTOTAL(109,JED_CAI_LF_LEGACY[Y])</f>
        <v>0</v>
      </c>
      <c r="R6" s="123">
        <f>SUBTOTAL(109,JED_CAI_LF_LEGACY[B])</f>
        <v>0</v>
      </c>
      <c r="S6" s="123">
        <f>SUBTOTAL(109,JED_CAI_LF_LEGACY[M])</f>
        <v>0</v>
      </c>
      <c r="T6" s="123">
        <f>SUBTOTAL(109,JED_CAI_LF_LEGACY[H])</f>
        <v>0</v>
      </c>
      <c r="U6" s="123">
        <f>SUBTOTAL(109,JED_CAI_LF_LEGACY[Q])</f>
        <v>0</v>
      </c>
      <c r="V6" s="123">
        <f>SUBTOTAL(109,JED_CAI_LF_LEGACY[K])</f>
        <v>0</v>
      </c>
      <c r="W6" s="123">
        <f>SUBTOTAL(109,JED_CAI_LF_LEGACY[V])</f>
        <v>0</v>
      </c>
      <c r="X6" s="123">
        <f>SUBTOTAL(109,JED_CAI_LF_LEGACY[L])</f>
        <v>0</v>
      </c>
      <c r="Y6" s="123">
        <f>SUBTOTAL(109,JED_CAI_LF_LEGACY[G])</f>
        <v>0</v>
      </c>
      <c r="Z6" s="123">
        <f>SUBTOTAL(109,JED_CAI_LF_LEGACY[S])</f>
        <v>0</v>
      </c>
      <c r="AA6" s="123">
        <f>SUBTOTAL(109,JED_CAI_LF_LEGACY[W])</f>
        <v>0</v>
      </c>
      <c r="AB6" s="123">
        <f>SUBTOTAL(109,JED_CAI_LF_LEGACY[T])</f>
        <v>0</v>
      </c>
      <c r="AC6" s="123">
        <f>SUBTOTAL(109,JED_CAI_LF_LEGACY[X])</f>
        <v>0</v>
      </c>
      <c r="AD6" s="123">
        <f>SUBTOTAL(109,JED_CAI_LF_LEGACY[U])</f>
        <v>0</v>
      </c>
      <c r="AE6" s="123">
        <f>SUBTOTAL(109,JED_CAI_LF_LEGACY[O])</f>
        <v>0</v>
      </c>
      <c r="AF6" s="123">
        <f>SUBTOTAL(109,JED_CAI_LF_LEGACY[I])</f>
        <v>0</v>
      </c>
      <c r="AG6" s="123">
        <f>SUBTOTAL(109,JED_CAI_LF_LEGACY[E])</f>
        <v>0</v>
      </c>
      <c r="AH6" s="123">
        <f>SUBTOTAL(109,JED_CAI_LF_LEGACY[A])</f>
        <v>0</v>
      </c>
      <c r="AI6" s="123">
        <f>SUBTOTAL(109,JED_CAI_LF_LEGACY[P])</f>
        <v>0</v>
      </c>
      <c r="AJ6" s="123">
        <f>SUBTOTAL(103,JED_CAI_LF_LEGACY[N])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44140625" hidden="1" customWidth="1"/>
  </cols>
  <sheetData>
    <row r="1" spans="1:9" ht="18" x14ac:dyDescent="0.3">
      <c r="A1" s="47" t="s">
        <v>203</v>
      </c>
      <c r="B1" s="48" t="s">
        <v>8</v>
      </c>
      <c r="C1" s="48" t="s">
        <v>9</v>
      </c>
      <c r="D1" s="48" t="s">
        <v>204</v>
      </c>
      <c r="E1" s="48" t="s">
        <v>10</v>
      </c>
      <c r="F1" s="48" t="s">
        <v>11</v>
      </c>
      <c r="G1" s="48" t="s">
        <v>12</v>
      </c>
      <c r="H1" s="49" t="s">
        <v>13</v>
      </c>
      <c r="I1" s="2"/>
    </row>
    <row r="2" spans="1:9" ht="19.8" customHeight="1" x14ac:dyDescent="0.3">
      <c r="A2" s="50" t="s">
        <v>205</v>
      </c>
      <c r="B2" s="51" t="s">
        <v>26</v>
      </c>
      <c r="C2" s="52" t="s">
        <v>27</v>
      </c>
      <c r="D2" s="51" t="s">
        <v>1</v>
      </c>
      <c r="E2" s="51" t="s">
        <v>206</v>
      </c>
      <c r="F2" s="51" t="s">
        <v>28</v>
      </c>
      <c r="G2" s="53">
        <v>1</v>
      </c>
      <c r="H2" s="88">
        <v>359</v>
      </c>
      <c r="I2" s="2"/>
    </row>
    <row r="3" spans="1:9" ht="19.8" customHeight="1" x14ac:dyDescent="0.3">
      <c r="A3" s="50" t="s">
        <v>205</v>
      </c>
      <c r="B3" s="51" t="s">
        <v>26</v>
      </c>
      <c r="C3" s="52" t="s">
        <v>35</v>
      </c>
      <c r="D3" s="51" t="s">
        <v>1</v>
      </c>
      <c r="E3" s="51" t="s">
        <v>207</v>
      </c>
      <c r="F3" s="51" t="s">
        <v>28</v>
      </c>
      <c r="G3" s="53">
        <v>1</v>
      </c>
      <c r="H3" s="88">
        <v>359</v>
      </c>
      <c r="I3" s="2"/>
    </row>
    <row r="4" spans="1:9" ht="19.8" customHeight="1" x14ac:dyDescent="0.3">
      <c r="A4" s="50" t="s">
        <v>205</v>
      </c>
      <c r="B4" s="51" t="s">
        <v>44</v>
      </c>
      <c r="C4" s="52" t="s">
        <v>45</v>
      </c>
      <c r="D4" s="51" t="s">
        <v>1</v>
      </c>
      <c r="E4" s="51" t="s">
        <v>208</v>
      </c>
      <c r="F4" s="51" t="s">
        <v>46</v>
      </c>
      <c r="G4" s="53">
        <v>4</v>
      </c>
      <c r="H4" s="88">
        <v>369</v>
      </c>
      <c r="I4" s="2"/>
    </row>
    <row r="5" spans="1:9" ht="19.8" customHeight="1" x14ac:dyDescent="0.3">
      <c r="A5" s="50" t="s">
        <v>205</v>
      </c>
      <c r="B5" s="51" t="s">
        <v>44</v>
      </c>
      <c r="C5" s="52" t="s">
        <v>53</v>
      </c>
      <c r="D5" s="51" t="s">
        <v>1</v>
      </c>
      <c r="E5" s="51" t="s">
        <v>209</v>
      </c>
      <c r="F5" s="51" t="s">
        <v>46</v>
      </c>
      <c r="G5" s="53">
        <v>1</v>
      </c>
      <c r="H5" s="88">
        <v>369</v>
      </c>
      <c r="I5" s="2"/>
    </row>
    <row r="6" spans="1:9" ht="19.8" customHeight="1" x14ac:dyDescent="0.3">
      <c r="A6" s="50" t="s">
        <v>205</v>
      </c>
      <c r="B6" s="51" t="s">
        <v>44</v>
      </c>
      <c r="C6" s="52" t="s">
        <v>54</v>
      </c>
      <c r="D6" s="51" t="s">
        <v>1</v>
      </c>
      <c r="E6" s="51" t="s">
        <v>210</v>
      </c>
      <c r="F6" s="51" t="s">
        <v>46</v>
      </c>
      <c r="G6" s="53">
        <v>4</v>
      </c>
      <c r="H6" s="88">
        <v>369</v>
      </c>
      <c r="I6" s="2"/>
    </row>
    <row r="7" spans="1:9" ht="19.8" customHeight="1" x14ac:dyDescent="0.3">
      <c r="A7" s="50" t="s">
        <v>205</v>
      </c>
      <c r="B7" s="51" t="s">
        <v>26</v>
      </c>
      <c r="C7" s="52" t="s">
        <v>36</v>
      </c>
      <c r="D7" s="51" t="s">
        <v>1</v>
      </c>
      <c r="E7" s="51" t="s">
        <v>211</v>
      </c>
      <c r="F7" s="51" t="s">
        <v>28</v>
      </c>
      <c r="G7" s="53">
        <v>7</v>
      </c>
      <c r="H7" s="88">
        <v>389</v>
      </c>
      <c r="I7" s="2"/>
    </row>
    <row r="8" spans="1:9" ht="19.8" customHeight="1" x14ac:dyDescent="0.3">
      <c r="A8" s="50" t="s">
        <v>205</v>
      </c>
      <c r="B8" s="51" t="s">
        <v>67</v>
      </c>
      <c r="C8" s="52" t="s">
        <v>68</v>
      </c>
      <c r="D8" s="51" t="s">
        <v>1</v>
      </c>
      <c r="E8" s="51" t="s">
        <v>212</v>
      </c>
      <c r="F8" s="51" t="s">
        <v>69</v>
      </c>
      <c r="G8" s="53">
        <v>3</v>
      </c>
      <c r="H8" s="88">
        <v>400</v>
      </c>
      <c r="I8" s="2"/>
    </row>
    <row r="9" spans="1:9" ht="19.8" customHeight="1" x14ac:dyDescent="0.3">
      <c r="A9" s="50" t="s">
        <v>205</v>
      </c>
      <c r="B9" s="51" t="s">
        <v>72</v>
      </c>
      <c r="C9" s="52" t="s">
        <v>73</v>
      </c>
      <c r="D9" s="51" t="s">
        <v>1</v>
      </c>
      <c r="E9" s="51" t="s">
        <v>213</v>
      </c>
      <c r="F9" s="51" t="s">
        <v>69</v>
      </c>
      <c r="G9" s="53">
        <v>9</v>
      </c>
      <c r="H9" s="88">
        <v>401</v>
      </c>
      <c r="I9" s="2"/>
    </row>
    <row r="10" spans="1:9" ht="19.8" customHeight="1" x14ac:dyDescent="0.3">
      <c r="A10" s="50" t="s">
        <v>205</v>
      </c>
      <c r="B10" s="51" t="s">
        <v>72</v>
      </c>
      <c r="C10" s="52" t="s">
        <v>76</v>
      </c>
      <c r="D10" s="51" t="s">
        <v>1</v>
      </c>
      <c r="E10" s="51" t="s">
        <v>214</v>
      </c>
      <c r="F10" s="51" t="s">
        <v>69</v>
      </c>
      <c r="G10" s="53">
        <v>1</v>
      </c>
      <c r="H10" s="88">
        <v>401</v>
      </c>
      <c r="I10" s="2"/>
    </row>
    <row r="11" spans="1:9" ht="19.8" customHeight="1" x14ac:dyDescent="0.3">
      <c r="A11" s="50" t="s">
        <v>205</v>
      </c>
      <c r="B11" s="51" t="s">
        <v>44</v>
      </c>
      <c r="C11" s="52" t="s">
        <v>55</v>
      </c>
      <c r="D11" s="51" t="s">
        <v>1</v>
      </c>
      <c r="E11" s="51" t="s">
        <v>215</v>
      </c>
      <c r="F11" s="51" t="s">
        <v>46</v>
      </c>
      <c r="G11" s="53">
        <v>9</v>
      </c>
      <c r="H11" s="88">
        <v>409</v>
      </c>
      <c r="I11" s="2"/>
    </row>
    <row r="12" spans="1:9" ht="19.8" customHeight="1" x14ac:dyDescent="0.3">
      <c r="A12" s="50" t="s">
        <v>205</v>
      </c>
      <c r="B12" s="51" t="s">
        <v>44</v>
      </c>
      <c r="C12" s="52" t="s">
        <v>59</v>
      </c>
      <c r="D12" s="51" t="s">
        <v>1</v>
      </c>
      <c r="E12" s="51" t="s">
        <v>216</v>
      </c>
      <c r="F12" s="51" t="s">
        <v>46</v>
      </c>
      <c r="G12" s="53">
        <v>7</v>
      </c>
      <c r="H12" s="88">
        <v>409</v>
      </c>
      <c r="I12" s="2"/>
    </row>
    <row r="13" spans="1:9" ht="19.8" customHeight="1" x14ac:dyDescent="0.3">
      <c r="A13" s="50" t="s">
        <v>205</v>
      </c>
      <c r="B13" s="51" t="s">
        <v>44</v>
      </c>
      <c r="C13" s="52" t="s">
        <v>60</v>
      </c>
      <c r="D13" s="51" t="s">
        <v>1</v>
      </c>
      <c r="E13" s="51" t="s">
        <v>217</v>
      </c>
      <c r="F13" s="51" t="s">
        <v>46</v>
      </c>
      <c r="G13" s="53">
        <v>9</v>
      </c>
      <c r="H13" s="88">
        <v>409</v>
      </c>
      <c r="I13" s="2"/>
    </row>
    <row r="14" spans="1:9" ht="19.8" customHeight="1" x14ac:dyDescent="0.3">
      <c r="A14" s="50" t="s">
        <v>205</v>
      </c>
      <c r="B14" s="51" t="s">
        <v>44</v>
      </c>
      <c r="C14" s="52" t="s">
        <v>61</v>
      </c>
      <c r="D14" s="51" t="s">
        <v>1</v>
      </c>
      <c r="E14" s="51" t="s">
        <v>218</v>
      </c>
      <c r="F14" s="51" t="s">
        <v>46</v>
      </c>
      <c r="G14" s="53">
        <v>8</v>
      </c>
      <c r="H14" s="88">
        <v>409</v>
      </c>
      <c r="I14" s="2"/>
    </row>
    <row r="15" spans="1:9" ht="19.8" customHeight="1" x14ac:dyDescent="0.3">
      <c r="A15" s="50" t="s">
        <v>205</v>
      </c>
      <c r="B15" s="51" t="s">
        <v>77</v>
      </c>
      <c r="C15" s="52" t="s">
        <v>78</v>
      </c>
      <c r="D15" s="51" t="s">
        <v>1</v>
      </c>
      <c r="E15" s="51" t="s">
        <v>219</v>
      </c>
      <c r="F15" s="51" t="s">
        <v>79</v>
      </c>
      <c r="G15" s="53">
        <v>9</v>
      </c>
      <c r="H15" s="88">
        <v>417</v>
      </c>
      <c r="I15" s="2"/>
    </row>
    <row r="16" spans="1:9" ht="19.8" customHeight="1" x14ac:dyDescent="0.3">
      <c r="A16" s="50" t="s">
        <v>205</v>
      </c>
      <c r="B16" s="51" t="s">
        <v>26</v>
      </c>
      <c r="C16" s="52" t="s">
        <v>40</v>
      </c>
      <c r="D16" s="51" t="s">
        <v>1</v>
      </c>
      <c r="E16" s="51" t="s">
        <v>220</v>
      </c>
      <c r="F16" s="51" t="s">
        <v>28</v>
      </c>
      <c r="G16" s="53">
        <v>6</v>
      </c>
      <c r="H16" s="88">
        <v>459</v>
      </c>
      <c r="I16" s="2"/>
    </row>
    <row r="17" spans="1:9" ht="19.8" customHeight="1" x14ac:dyDescent="0.3">
      <c r="A17" s="50" t="s">
        <v>205</v>
      </c>
      <c r="B17" s="51" t="s">
        <v>44</v>
      </c>
      <c r="C17" s="52" t="s">
        <v>45</v>
      </c>
      <c r="D17" s="51" t="s">
        <v>1</v>
      </c>
      <c r="E17" s="51" t="s">
        <v>208</v>
      </c>
      <c r="F17" s="51" t="s">
        <v>49</v>
      </c>
      <c r="G17" s="53">
        <v>4</v>
      </c>
      <c r="H17" s="88">
        <v>469</v>
      </c>
      <c r="I17" s="2"/>
    </row>
    <row r="18" spans="1:9" ht="19.8" customHeight="1" x14ac:dyDescent="0.3">
      <c r="A18" s="50" t="s">
        <v>205</v>
      </c>
      <c r="B18" s="51" t="s">
        <v>44</v>
      </c>
      <c r="C18" s="52" t="s">
        <v>53</v>
      </c>
      <c r="D18" s="51" t="s">
        <v>1</v>
      </c>
      <c r="E18" s="51" t="s">
        <v>209</v>
      </c>
      <c r="F18" s="51" t="s">
        <v>49</v>
      </c>
      <c r="G18" s="53">
        <v>1</v>
      </c>
      <c r="H18" s="88">
        <v>469</v>
      </c>
      <c r="I18" s="2"/>
    </row>
    <row r="19" spans="1:9" ht="19.8" customHeight="1" x14ac:dyDescent="0.3">
      <c r="A19" s="50" t="s">
        <v>205</v>
      </c>
      <c r="B19" s="51" t="s">
        <v>44</v>
      </c>
      <c r="C19" s="52" t="s">
        <v>54</v>
      </c>
      <c r="D19" s="51" t="s">
        <v>1</v>
      </c>
      <c r="E19" s="51" t="s">
        <v>210</v>
      </c>
      <c r="F19" s="51" t="s">
        <v>49</v>
      </c>
      <c r="G19" s="53">
        <v>4</v>
      </c>
      <c r="H19" s="88">
        <v>469</v>
      </c>
      <c r="I19" s="2"/>
    </row>
    <row r="20" spans="1:9" ht="19.8" customHeight="1" x14ac:dyDescent="0.3">
      <c r="A20" s="50" t="s">
        <v>205</v>
      </c>
      <c r="B20" s="51" t="s">
        <v>77</v>
      </c>
      <c r="C20" s="52" t="s">
        <v>82</v>
      </c>
      <c r="D20" s="51" t="s">
        <v>1</v>
      </c>
      <c r="E20" s="51" t="s">
        <v>221</v>
      </c>
      <c r="F20" s="51" t="s">
        <v>79</v>
      </c>
      <c r="G20" s="53">
        <v>9</v>
      </c>
      <c r="H20" s="88">
        <v>473</v>
      </c>
      <c r="I20" s="2"/>
    </row>
    <row r="21" spans="1:9" ht="19.8" customHeight="1" x14ac:dyDescent="0.3">
      <c r="A21" s="50" t="s">
        <v>205</v>
      </c>
      <c r="B21" s="51" t="s">
        <v>26</v>
      </c>
      <c r="C21" s="52" t="s">
        <v>27</v>
      </c>
      <c r="D21" s="51" t="s">
        <v>1</v>
      </c>
      <c r="E21" s="51" t="s">
        <v>206</v>
      </c>
      <c r="F21" s="51" t="s">
        <v>31</v>
      </c>
      <c r="G21" s="53">
        <v>1</v>
      </c>
      <c r="H21" s="88">
        <v>509</v>
      </c>
      <c r="I21" s="2"/>
    </row>
    <row r="22" spans="1:9" ht="19.8" customHeight="1" x14ac:dyDescent="0.3">
      <c r="A22" s="50" t="s">
        <v>205</v>
      </c>
      <c r="B22" s="51" t="s">
        <v>26</v>
      </c>
      <c r="C22" s="52" t="s">
        <v>35</v>
      </c>
      <c r="D22" s="51" t="s">
        <v>1</v>
      </c>
      <c r="E22" s="51" t="s">
        <v>207</v>
      </c>
      <c r="F22" s="51" t="s">
        <v>31</v>
      </c>
      <c r="G22" s="53">
        <v>1</v>
      </c>
      <c r="H22" s="88">
        <v>509</v>
      </c>
      <c r="I22" s="2"/>
    </row>
    <row r="23" spans="1:9" ht="19.8" customHeight="1" x14ac:dyDescent="0.3">
      <c r="A23" s="50" t="s">
        <v>205</v>
      </c>
      <c r="B23" s="51" t="s">
        <v>44</v>
      </c>
      <c r="C23" s="52" t="s">
        <v>55</v>
      </c>
      <c r="D23" s="51" t="s">
        <v>1</v>
      </c>
      <c r="E23" s="51" t="s">
        <v>215</v>
      </c>
      <c r="F23" s="51" t="s">
        <v>49</v>
      </c>
      <c r="G23" s="53">
        <v>9</v>
      </c>
      <c r="H23" s="88">
        <v>509</v>
      </c>
      <c r="I23" s="2"/>
    </row>
    <row r="24" spans="1:9" ht="19.8" customHeight="1" x14ac:dyDescent="0.3">
      <c r="A24" s="50" t="s">
        <v>205</v>
      </c>
      <c r="B24" s="51" t="s">
        <v>44</v>
      </c>
      <c r="C24" s="52" t="s">
        <v>59</v>
      </c>
      <c r="D24" s="51" t="s">
        <v>1</v>
      </c>
      <c r="E24" s="51" t="s">
        <v>216</v>
      </c>
      <c r="F24" s="51" t="s">
        <v>49</v>
      </c>
      <c r="G24" s="53">
        <v>7</v>
      </c>
      <c r="H24" s="88">
        <v>509</v>
      </c>
      <c r="I24" s="2"/>
    </row>
    <row r="25" spans="1:9" ht="19.8" customHeight="1" x14ac:dyDescent="0.3">
      <c r="A25" s="50" t="s">
        <v>205</v>
      </c>
      <c r="B25" s="51" t="s">
        <v>44</v>
      </c>
      <c r="C25" s="52" t="s">
        <v>60</v>
      </c>
      <c r="D25" s="51" t="s">
        <v>1</v>
      </c>
      <c r="E25" s="51" t="s">
        <v>217</v>
      </c>
      <c r="F25" s="51" t="s">
        <v>49</v>
      </c>
      <c r="G25" s="53">
        <v>9</v>
      </c>
      <c r="H25" s="88">
        <v>509</v>
      </c>
      <c r="I25" s="2"/>
    </row>
    <row r="26" spans="1:9" ht="19.8" customHeight="1" x14ac:dyDescent="0.3">
      <c r="A26" s="50" t="s">
        <v>205</v>
      </c>
      <c r="B26" s="51" t="s">
        <v>44</v>
      </c>
      <c r="C26" s="52" t="s">
        <v>61</v>
      </c>
      <c r="D26" s="51" t="s">
        <v>1</v>
      </c>
      <c r="E26" s="51" t="s">
        <v>218</v>
      </c>
      <c r="F26" s="51" t="s">
        <v>49</v>
      </c>
      <c r="G26" s="53">
        <v>8</v>
      </c>
      <c r="H26" s="88">
        <v>509</v>
      </c>
      <c r="I26" s="2"/>
    </row>
    <row r="27" spans="1:9" ht="19.8" customHeight="1" x14ac:dyDescent="0.3">
      <c r="A27" s="54" t="s">
        <v>205</v>
      </c>
      <c r="B27" s="55" t="s">
        <v>85</v>
      </c>
      <c r="C27" s="56" t="s">
        <v>86</v>
      </c>
      <c r="D27" s="55" t="s">
        <v>1</v>
      </c>
      <c r="E27" s="55" t="s">
        <v>195</v>
      </c>
      <c r="F27" s="55" t="s">
        <v>87</v>
      </c>
      <c r="G27" s="57">
        <v>9</v>
      </c>
      <c r="H27" s="89">
        <v>526</v>
      </c>
      <c r="I27" s="2"/>
    </row>
    <row r="28" spans="1:9" ht="19.8" customHeight="1" x14ac:dyDescent="0.3">
      <c r="A28" s="90">
        <v>45992</v>
      </c>
      <c r="B28" s="51" t="s">
        <v>26</v>
      </c>
      <c r="C28" s="52" t="s">
        <v>36</v>
      </c>
      <c r="D28" s="51" t="s">
        <v>1</v>
      </c>
      <c r="E28" s="91">
        <v>1.1284722222222221</v>
      </c>
      <c r="F28" s="51" t="s">
        <v>31</v>
      </c>
      <c r="G28" s="53">
        <v>7</v>
      </c>
      <c r="H28" s="88">
        <v>539</v>
      </c>
      <c r="I28" s="2"/>
    </row>
    <row r="29" spans="1:9" ht="19.8" customHeight="1" x14ac:dyDescent="0.3">
      <c r="A29" s="90">
        <v>45992</v>
      </c>
      <c r="B29" s="51" t="s">
        <v>77</v>
      </c>
      <c r="C29" s="52" t="s">
        <v>78</v>
      </c>
      <c r="D29" s="51" t="s">
        <v>1</v>
      </c>
      <c r="E29" s="91">
        <v>1.1736111111111109</v>
      </c>
      <c r="F29" s="51" t="s">
        <v>33</v>
      </c>
      <c r="G29" s="53">
        <v>9</v>
      </c>
      <c r="H29" s="88">
        <v>540</v>
      </c>
      <c r="I29" s="2"/>
    </row>
    <row r="30" spans="1:9" ht="19.8" customHeight="1" x14ac:dyDescent="0.3">
      <c r="A30" s="90">
        <v>45992</v>
      </c>
      <c r="B30" s="51" t="s">
        <v>44</v>
      </c>
      <c r="C30" s="52" t="s">
        <v>45</v>
      </c>
      <c r="D30" s="51" t="s">
        <v>1</v>
      </c>
      <c r="E30" s="91">
        <v>1.256944444444444</v>
      </c>
      <c r="F30" s="51" t="s">
        <v>51</v>
      </c>
      <c r="G30" s="53">
        <v>4</v>
      </c>
      <c r="H30" s="88">
        <v>559</v>
      </c>
      <c r="I30" s="2"/>
    </row>
    <row r="31" spans="1:9" ht="19.8" customHeight="1" x14ac:dyDescent="0.3">
      <c r="A31" s="90">
        <v>45992</v>
      </c>
      <c r="B31" s="51" t="s">
        <v>44</v>
      </c>
      <c r="C31" s="52" t="s">
        <v>53</v>
      </c>
      <c r="D31" s="51" t="s">
        <v>1</v>
      </c>
      <c r="E31" s="91">
        <v>1.46875</v>
      </c>
      <c r="F31" s="51" t="s">
        <v>51</v>
      </c>
      <c r="G31" s="53">
        <v>1</v>
      </c>
      <c r="H31" s="88">
        <v>559</v>
      </c>
      <c r="I31" s="2"/>
    </row>
    <row r="32" spans="1:9" ht="19.8" customHeight="1" x14ac:dyDescent="0.3">
      <c r="A32" s="90">
        <v>45992</v>
      </c>
      <c r="B32" s="51" t="s">
        <v>44</v>
      </c>
      <c r="C32" s="52" t="s">
        <v>54</v>
      </c>
      <c r="D32" s="51" t="s">
        <v>1</v>
      </c>
      <c r="E32" s="91">
        <v>1.395833333333333</v>
      </c>
      <c r="F32" s="51" t="s">
        <v>51</v>
      </c>
      <c r="G32" s="53">
        <v>4</v>
      </c>
      <c r="H32" s="88">
        <v>559</v>
      </c>
      <c r="I32" s="2"/>
    </row>
    <row r="33" spans="1:9" ht="19.8" customHeight="1" x14ac:dyDescent="0.3">
      <c r="A33" s="90">
        <v>45992</v>
      </c>
      <c r="B33" s="51" t="s">
        <v>44</v>
      </c>
      <c r="C33" s="52" t="s">
        <v>63</v>
      </c>
      <c r="D33" s="51" t="s">
        <v>1</v>
      </c>
      <c r="E33" s="91">
        <v>1.645833333333333</v>
      </c>
      <c r="F33" s="51" t="s">
        <v>46</v>
      </c>
      <c r="G33" s="53">
        <v>9</v>
      </c>
      <c r="H33" s="88">
        <v>569</v>
      </c>
      <c r="I33" s="2"/>
    </row>
    <row r="34" spans="1:9" ht="19.8" customHeight="1" x14ac:dyDescent="0.3">
      <c r="A34" s="90">
        <v>45992</v>
      </c>
      <c r="B34" s="51" t="s">
        <v>106</v>
      </c>
      <c r="C34" s="52" t="s">
        <v>107</v>
      </c>
      <c r="D34" s="51" t="s">
        <v>1</v>
      </c>
      <c r="E34" s="91">
        <v>1.229166666666667</v>
      </c>
      <c r="F34" s="51" t="s">
        <v>108</v>
      </c>
      <c r="G34" s="53">
        <v>9</v>
      </c>
      <c r="H34" s="88">
        <v>579</v>
      </c>
      <c r="I34" s="2"/>
    </row>
    <row r="35" spans="1:9" ht="19.8" customHeight="1" x14ac:dyDescent="0.3">
      <c r="A35" s="90">
        <v>45992</v>
      </c>
      <c r="B35" s="51" t="s">
        <v>106</v>
      </c>
      <c r="C35" s="52" t="s">
        <v>110</v>
      </c>
      <c r="D35" s="51" t="s">
        <v>1</v>
      </c>
      <c r="E35" s="91">
        <v>1.145833333333333</v>
      </c>
      <c r="F35" s="51" t="s">
        <v>108</v>
      </c>
      <c r="G35" s="53">
        <v>9</v>
      </c>
      <c r="H35" s="88">
        <v>579</v>
      </c>
      <c r="I35" s="2"/>
    </row>
    <row r="36" spans="1:9" ht="19.8" customHeight="1" x14ac:dyDescent="0.3">
      <c r="A36" s="90">
        <v>45992</v>
      </c>
      <c r="B36" s="51" t="s">
        <v>106</v>
      </c>
      <c r="C36" s="52" t="s">
        <v>111</v>
      </c>
      <c r="D36" s="51" t="s">
        <v>1</v>
      </c>
      <c r="E36" s="91">
        <v>1.2777777777777779</v>
      </c>
      <c r="F36" s="51" t="s">
        <v>108</v>
      </c>
      <c r="G36" s="53">
        <v>9</v>
      </c>
      <c r="H36" s="88">
        <v>579</v>
      </c>
      <c r="I36" s="2"/>
    </row>
    <row r="37" spans="1:9" ht="19.8" customHeight="1" x14ac:dyDescent="0.3">
      <c r="A37" s="90">
        <v>45992</v>
      </c>
      <c r="B37" s="51" t="s">
        <v>106</v>
      </c>
      <c r="C37" s="52" t="s">
        <v>112</v>
      </c>
      <c r="D37" s="51" t="s">
        <v>1</v>
      </c>
      <c r="E37" s="91">
        <v>1.4861111111111109</v>
      </c>
      <c r="F37" s="51" t="s">
        <v>108</v>
      </c>
      <c r="G37" s="53">
        <v>9</v>
      </c>
      <c r="H37" s="88">
        <v>579</v>
      </c>
      <c r="I37" s="2"/>
    </row>
    <row r="38" spans="1:9" ht="19.8" customHeight="1" x14ac:dyDescent="0.3">
      <c r="A38" s="90">
        <v>45992</v>
      </c>
      <c r="B38" s="51" t="s">
        <v>106</v>
      </c>
      <c r="C38" s="52" t="s">
        <v>113</v>
      </c>
      <c r="D38" s="51" t="s">
        <v>1</v>
      </c>
      <c r="E38" s="91">
        <v>1.5138888888888891</v>
      </c>
      <c r="F38" s="51" t="s">
        <v>108</v>
      </c>
      <c r="G38" s="53">
        <v>9</v>
      </c>
      <c r="H38" s="88">
        <v>579</v>
      </c>
      <c r="I38" s="2"/>
    </row>
    <row r="39" spans="1:9" ht="19.8" customHeight="1" x14ac:dyDescent="0.3">
      <c r="A39" s="92">
        <v>45992</v>
      </c>
      <c r="B39" s="55" t="s">
        <v>85</v>
      </c>
      <c r="C39" s="56" t="s">
        <v>92</v>
      </c>
      <c r="D39" s="55" t="s">
        <v>1</v>
      </c>
      <c r="E39" s="93">
        <v>1.614583333333333</v>
      </c>
      <c r="F39" s="55" t="s">
        <v>87</v>
      </c>
      <c r="G39" s="57">
        <v>6</v>
      </c>
      <c r="H39" s="89">
        <v>586</v>
      </c>
      <c r="I39" s="2"/>
    </row>
    <row r="40" spans="1:9" ht="19.8" customHeight="1" x14ac:dyDescent="0.3">
      <c r="A40" s="90">
        <v>45992</v>
      </c>
      <c r="B40" s="51" t="s">
        <v>77</v>
      </c>
      <c r="C40" s="52" t="s">
        <v>82</v>
      </c>
      <c r="D40" s="51" t="s">
        <v>1</v>
      </c>
      <c r="E40" s="91">
        <v>1.3923611111111109</v>
      </c>
      <c r="F40" s="51" t="s">
        <v>33</v>
      </c>
      <c r="G40" s="53">
        <v>9</v>
      </c>
      <c r="H40" s="88">
        <v>596</v>
      </c>
      <c r="I40" s="2"/>
    </row>
    <row r="41" spans="1:9" ht="19.8" customHeight="1" x14ac:dyDescent="0.3">
      <c r="A41" s="90">
        <v>45992</v>
      </c>
      <c r="B41" s="51" t="s">
        <v>44</v>
      </c>
      <c r="C41" s="52" t="s">
        <v>55</v>
      </c>
      <c r="D41" s="51" t="s">
        <v>1</v>
      </c>
      <c r="E41" s="91">
        <v>1.854166666666667</v>
      </c>
      <c r="F41" s="51" t="s">
        <v>51</v>
      </c>
      <c r="G41" s="53">
        <v>9</v>
      </c>
      <c r="H41" s="88">
        <v>599</v>
      </c>
      <c r="I41" s="2"/>
    </row>
    <row r="42" spans="1:9" ht="19.8" customHeight="1" x14ac:dyDescent="0.3">
      <c r="A42" s="90">
        <v>45992</v>
      </c>
      <c r="B42" s="51" t="s">
        <v>44</v>
      </c>
      <c r="C42" s="52" t="s">
        <v>59</v>
      </c>
      <c r="D42" s="51" t="s">
        <v>1</v>
      </c>
      <c r="E42" s="91">
        <v>1.5173611111111109</v>
      </c>
      <c r="F42" s="51" t="s">
        <v>51</v>
      </c>
      <c r="G42" s="53">
        <v>7</v>
      </c>
      <c r="H42" s="88">
        <v>599</v>
      </c>
      <c r="I42" s="2"/>
    </row>
    <row r="43" spans="1:9" ht="19.8" customHeight="1" x14ac:dyDescent="0.3">
      <c r="A43" s="90">
        <v>45992</v>
      </c>
      <c r="B43" s="51" t="s">
        <v>44</v>
      </c>
      <c r="C43" s="52" t="s">
        <v>60</v>
      </c>
      <c r="D43" s="51" t="s">
        <v>1</v>
      </c>
      <c r="E43" s="91">
        <v>1.9027777777777779</v>
      </c>
      <c r="F43" s="51" t="s">
        <v>51</v>
      </c>
      <c r="G43" s="53">
        <v>9</v>
      </c>
      <c r="H43" s="88">
        <v>599</v>
      </c>
      <c r="I43" s="2"/>
    </row>
    <row r="44" spans="1:9" ht="19.8" customHeight="1" x14ac:dyDescent="0.3">
      <c r="A44" s="90">
        <v>45992</v>
      </c>
      <c r="B44" s="51" t="s">
        <v>44</v>
      </c>
      <c r="C44" s="52" t="s">
        <v>61</v>
      </c>
      <c r="D44" s="51" t="s">
        <v>1</v>
      </c>
      <c r="E44" s="91">
        <v>1.7986111111111109</v>
      </c>
      <c r="F44" s="51" t="s">
        <v>51</v>
      </c>
      <c r="G44" s="53">
        <v>8</v>
      </c>
      <c r="H44" s="88">
        <v>599</v>
      </c>
      <c r="I44" s="2"/>
    </row>
    <row r="45" spans="1:9" ht="19.8" customHeight="1" x14ac:dyDescent="0.3">
      <c r="A45" s="90">
        <v>45992</v>
      </c>
      <c r="B45" s="51" t="s">
        <v>26</v>
      </c>
      <c r="C45" s="52" t="s">
        <v>40</v>
      </c>
      <c r="D45" s="51" t="s">
        <v>1</v>
      </c>
      <c r="E45" s="91">
        <v>1.788194444444444</v>
      </c>
      <c r="F45" s="51" t="s">
        <v>31</v>
      </c>
      <c r="G45" s="53">
        <v>6</v>
      </c>
      <c r="H45" s="88">
        <v>609</v>
      </c>
      <c r="I45" s="2"/>
    </row>
    <row r="46" spans="1:9" ht="19.8" customHeight="1" x14ac:dyDescent="0.3">
      <c r="A46" s="90">
        <v>45992</v>
      </c>
      <c r="B46" s="51" t="s">
        <v>106</v>
      </c>
      <c r="C46" s="52" t="s">
        <v>114</v>
      </c>
      <c r="D46" s="51" t="s">
        <v>1</v>
      </c>
      <c r="E46" s="91">
        <v>1.958333333333333</v>
      </c>
      <c r="F46" s="51" t="s">
        <v>115</v>
      </c>
      <c r="G46" s="53">
        <v>2</v>
      </c>
      <c r="H46" s="88">
        <v>637</v>
      </c>
      <c r="I46" s="2"/>
    </row>
    <row r="47" spans="1:9" ht="19.8" customHeight="1" x14ac:dyDescent="0.3">
      <c r="A47" s="92">
        <v>45992</v>
      </c>
      <c r="B47" s="55" t="s">
        <v>85</v>
      </c>
      <c r="C47" s="56" t="s">
        <v>97</v>
      </c>
      <c r="D47" s="55" t="s">
        <v>1</v>
      </c>
      <c r="E47" s="93">
        <v>1.006944444444444</v>
      </c>
      <c r="F47" s="55" t="s">
        <v>87</v>
      </c>
      <c r="G47" s="57">
        <v>7</v>
      </c>
      <c r="H47" s="89">
        <v>646</v>
      </c>
      <c r="I47" s="2"/>
    </row>
    <row r="48" spans="1:9" ht="19.8" customHeight="1" x14ac:dyDescent="0.3">
      <c r="A48" s="92">
        <v>45992</v>
      </c>
      <c r="B48" s="55" t="s">
        <v>85</v>
      </c>
      <c r="C48" s="56" t="s">
        <v>102</v>
      </c>
      <c r="D48" s="55" t="s">
        <v>1</v>
      </c>
      <c r="E48" s="93">
        <v>1.4236111111111109</v>
      </c>
      <c r="F48" s="55" t="s">
        <v>87</v>
      </c>
      <c r="G48" s="57">
        <v>4</v>
      </c>
      <c r="H48" s="89">
        <v>646</v>
      </c>
      <c r="I48" s="2"/>
    </row>
    <row r="49" spans="1:9" ht="19.8" customHeight="1" x14ac:dyDescent="0.3">
      <c r="A49" s="90">
        <v>45992</v>
      </c>
      <c r="B49" s="51" t="s">
        <v>44</v>
      </c>
      <c r="C49" s="52" t="s">
        <v>63</v>
      </c>
      <c r="D49" s="51" t="s">
        <v>1</v>
      </c>
      <c r="E49" s="91">
        <v>1.645833333333333</v>
      </c>
      <c r="F49" s="51" t="s">
        <v>49</v>
      </c>
      <c r="G49" s="53">
        <v>9</v>
      </c>
      <c r="H49" s="88">
        <v>669</v>
      </c>
      <c r="I49" s="2"/>
    </row>
    <row r="50" spans="1:9" ht="19.8" customHeight="1" x14ac:dyDescent="0.3">
      <c r="A50" s="90">
        <v>45992</v>
      </c>
      <c r="B50" s="51" t="s">
        <v>106</v>
      </c>
      <c r="C50" s="52" t="s">
        <v>118</v>
      </c>
      <c r="D50" s="51" t="s">
        <v>1</v>
      </c>
      <c r="E50" s="91">
        <v>1.0138888888888891</v>
      </c>
      <c r="F50" s="51" t="s">
        <v>115</v>
      </c>
      <c r="G50" s="53">
        <v>1</v>
      </c>
      <c r="H50" s="88">
        <v>712</v>
      </c>
      <c r="I50" s="2"/>
    </row>
    <row r="51" spans="1:9" ht="19.8" customHeight="1" x14ac:dyDescent="0.3">
      <c r="A51" s="90">
        <v>45992</v>
      </c>
      <c r="B51" s="51" t="s">
        <v>44</v>
      </c>
      <c r="C51" s="52" t="s">
        <v>63</v>
      </c>
      <c r="D51" s="51" t="s">
        <v>1</v>
      </c>
      <c r="E51" s="91">
        <v>1.645833333333333</v>
      </c>
      <c r="F51" s="51" t="s">
        <v>51</v>
      </c>
      <c r="G51" s="53">
        <v>9</v>
      </c>
      <c r="H51" s="88">
        <v>759</v>
      </c>
      <c r="I51" s="2"/>
    </row>
    <row r="52" spans="1:9" ht="19.8" customHeight="1" x14ac:dyDescent="0.3">
      <c r="A52" s="90">
        <v>45992</v>
      </c>
      <c r="B52" s="51" t="s">
        <v>106</v>
      </c>
      <c r="C52" s="52" t="s">
        <v>120</v>
      </c>
      <c r="D52" s="51" t="s">
        <v>1</v>
      </c>
      <c r="E52" s="91">
        <v>1.774305555555556</v>
      </c>
      <c r="F52" s="51" t="s">
        <v>115</v>
      </c>
      <c r="G52" s="53">
        <v>8</v>
      </c>
      <c r="H52" s="88">
        <v>795</v>
      </c>
      <c r="I52" s="2"/>
    </row>
    <row r="53" spans="1:9" ht="19.8" customHeight="1" x14ac:dyDescent="0.3">
      <c r="A53" s="90">
        <v>45992</v>
      </c>
      <c r="B53" s="51" t="s">
        <v>122</v>
      </c>
      <c r="C53" s="52" t="s">
        <v>123</v>
      </c>
      <c r="D53" s="51" t="s">
        <v>1</v>
      </c>
      <c r="E53" s="91">
        <v>1.930555555555556</v>
      </c>
      <c r="F53" s="51" t="s">
        <v>124</v>
      </c>
      <c r="G53" s="53">
        <v>9</v>
      </c>
      <c r="H53" s="88">
        <v>935</v>
      </c>
      <c r="I53" s="2"/>
    </row>
    <row r="54" spans="1:9" ht="19.8" customHeight="1" x14ac:dyDescent="0.3">
      <c r="A54" s="90">
        <v>45992</v>
      </c>
      <c r="B54" s="51" t="s">
        <v>122</v>
      </c>
      <c r="C54" s="52" t="s">
        <v>128</v>
      </c>
      <c r="D54" s="51" t="s">
        <v>1</v>
      </c>
      <c r="E54" s="91">
        <v>1.3784722222222221</v>
      </c>
      <c r="F54" s="51" t="s">
        <v>124</v>
      </c>
      <c r="G54" s="53">
        <v>9</v>
      </c>
      <c r="H54" s="88">
        <v>935</v>
      </c>
      <c r="I54" s="2"/>
    </row>
    <row r="55" spans="1:9" ht="19.8" customHeight="1" x14ac:dyDescent="0.3">
      <c r="A55" s="90">
        <v>45992</v>
      </c>
      <c r="B55" s="51" t="s">
        <v>122</v>
      </c>
      <c r="C55" s="52" t="s">
        <v>129</v>
      </c>
      <c r="D55" s="51" t="s">
        <v>1</v>
      </c>
      <c r="E55" s="91">
        <v>1.6111111111111109</v>
      </c>
      <c r="F55" s="51" t="s">
        <v>124</v>
      </c>
      <c r="G55" s="53">
        <v>9</v>
      </c>
      <c r="H55" s="88">
        <v>935</v>
      </c>
      <c r="I55" s="2"/>
    </row>
    <row r="56" spans="1:9" ht="19.8" customHeight="1" x14ac:dyDescent="0.3">
      <c r="A56" s="90">
        <v>45992</v>
      </c>
      <c r="B56" s="51" t="s">
        <v>122</v>
      </c>
      <c r="C56" s="52" t="s">
        <v>130</v>
      </c>
      <c r="D56" s="51" t="s">
        <v>1</v>
      </c>
      <c r="E56" s="91">
        <v>1.239583333333333</v>
      </c>
      <c r="F56" s="51" t="s">
        <v>124</v>
      </c>
      <c r="G56" s="53">
        <v>9</v>
      </c>
      <c r="H56" s="88">
        <v>935</v>
      </c>
      <c r="I56" s="2"/>
    </row>
    <row r="57" spans="1:9" ht="19.8" customHeight="1" x14ac:dyDescent="0.3">
      <c r="A57" s="90">
        <v>45992</v>
      </c>
      <c r="B57" s="51" t="s">
        <v>122</v>
      </c>
      <c r="C57" s="52" t="s">
        <v>123</v>
      </c>
      <c r="D57" s="51" t="s">
        <v>1</v>
      </c>
      <c r="E57" s="91">
        <v>1.930555555555556</v>
      </c>
      <c r="F57" s="51" t="s">
        <v>126</v>
      </c>
      <c r="G57" s="53">
        <v>9</v>
      </c>
      <c r="H57" s="88">
        <v>980</v>
      </c>
      <c r="I57" s="2"/>
    </row>
    <row r="58" spans="1:9" ht="19.8" customHeight="1" x14ac:dyDescent="0.3">
      <c r="A58" s="90">
        <v>45992</v>
      </c>
      <c r="B58" s="51" t="s">
        <v>122</v>
      </c>
      <c r="C58" s="52" t="s">
        <v>128</v>
      </c>
      <c r="D58" s="51" t="s">
        <v>1</v>
      </c>
      <c r="E58" s="91">
        <v>1.3784722222222221</v>
      </c>
      <c r="F58" s="51" t="s">
        <v>126</v>
      </c>
      <c r="G58" s="53">
        <v>9</v>
      </c>
      <c r="H58" s="88">
        <v>980</v>
      </c>
      <c r="I58" s="2"/>
    </row>
    <row r="59" spans="1:9" ht="19.8" customHeight="1" x14ac:dyDescent="0.3">
      <c r="A59" s="90">
        <v>45992</v>
      </c>
      <c r="B59" s="51" t="s">
        <v>122</v>
      </c>
      <c r="C59" s="52" t="s">
        <v>129</v>
      </c>
      <c r="D59" s="51" t="s">
        <v>1</v>
      </c>
      <c r="E59" s="91">
        <v>1.6111111111111109</v>
      </c>
      <c r="F59" s="51" t="s">
        <v>126</v>
      </c>
      <c r="G59" s="53">
        <v>9</v>
      </c>
      <c r="H59" s="88">
        <v>980</v>
      </c>
      <c r="I59" s="2"/>
    </row>
    <row r="60" spans="1:9" ht="19.8" customHeight="1" x14ac:dyDescent="0.3">
      <c r="A60" s="90">
        <v>45992</v>
      </c>
      <c r="B60" s="51" t="s">
        <v>122</v>
      </c>
      <c r="C60" s="52" t="s">
        <v>130</v>
      </c>
      <c r="D60" s="51" t="s">
        <v>1</v>
      </c>
      <c r="E60" s="91">
        <v>1.239583333333333</v>
      </c>
      <c r="F60" s="51" t="s">
        <v>126</v>
      </c>
      <c r="G60" s="53">
        <v>9</v>
      </c>
      <c r="H60" s="88">
        <v>980</v>
      </c>
      <c r="I60" s="2"/>
    </row>
    <row r="61" spans="1:9" ht="19.8" customHeight="1" x14ac:dyDescent="0.3">
      <c r="A61" s="90">
        <v>45992</v>
      </c>
      <c r="B61" s="51" t="s">
        <v>26</v>
      </c>
      <c r="C61" s="52" t="s">
        <v>36</v>
      </c>
      <c r="D61" s="51" t="s">
        <v>1</v>
      </c>
      <c r="E61" s="91">
        <v>1.1284722222222221</v>
      </c>
      <c r="F61" s="51" t="s">
        <v>33</v>
      </c>
      <c r="G61" s="53">
        <v>7</v>
      </c>
      <c r="H61" s="58" t="s">
        <v>34</v>
      </c>
      <c r="I61" s="2"/>
    </row>
    <row r="62" spans="1:9" ht="19.8" customHeight="1" x14ac:dyDescent="0.3">
      <c r="A62" s="90">
        <v>45992</v>
      </c>
      <c r="B62" s="51" t="s">
        <v>26</v>
      </c>
      <c r="C62" s="52" t="s">
        <v>27</v>
      </c>
      <c r="D62" s="51" t="s">
        <v>1</v>
      </c>
      <c r="E62" s="91">
        <v>1.302083333333333</v>
      </c>
      <c r="F62" s="51" t="s">
        <v>33</v>
      </c>
      <c r="G62" s="53">
        <v>1</v>
      </c>
      <c r="H62" s="58" t="s">
        <v>34</v>
      </c>
      <c r="I62" s="2"/>
    </row>
    <row r="63" spans="1:9" ht="19.8" customHeight="1" x14ac:dyDescent="0.3">
      <c r="A63" s="90">
        <v>45992</v>
      </c>
      <c r="B63" s="51" t="s">
        <v>26</v>
      </c>
      <c r="C63" s="52" t="s">
        <v>35</v>
      </c>
      <c r="D63" s="51" t="s">
        <v>1</v>
      </c>
      <c r="E63" s="91">
        <v>1.8888888888888891</v>
      </c>
      <c r="F63" s="51" t="s">
        <v>33</v>
      </c>
      <c r="G63" s="53">
        <v>1</v>
      </c>
      <c r="H63" s="58" t="s">
        <v>34</v>
      </c>
      <c r="I63" s="2"/>
    </row>
    <row r="64" spans="1:9" ht="19.8" customHeight="1" x14ac:dyDescent="0.3">
      <c r="A64" s="90">
        <v>45992</v>
      </c>
      <c r="B64" s="51" t="s">
        <v>26</v>
      </c>
      <c r="C64" s="52" t="s">
        <v>40</v>
      </c>
      <c r="D64" s="51" t="s">
        <v>1</v>
      </c>
      <c r="E64" s="91">
        <v>1.788194444444444</v>
      </c>
      <c r="F64" s="51" t="s">
        <v>33</v>
      </c>
      <c r="G64" s="53">
        <v>6</v>
      </c>
      <c r="H64" s="58" t="s">
        <v>34</v>
      </c>
      <c r="I64" s="2"/>
    </row>
    <row r="65" spans="1:9" ht="19.8" customHeight="1" x14ac:dyDescent="0.3">
      <c r="A65" s="90">
        <v>45992</v>
      </c>
      <c r="B65" s="51" t="s">
        <v>122</v>
      </c>
      <c r="C65" s="52" t="s">
        <v>131</v>
      </c>
      <c r="D65" s="51" t="s">
        <v>1</v>
      </c>
      <c r="E65" s="91">
        <v>1.8888888888888891</v>
      </c>
      <c r="F65" s="51" t="s">
        <v>126</v>
      </c>
      <c r="G65" s="53">
        <v>4</v>
      </c>
      <c r="H65" s="58" t="s">
        <v>132</v>
      </c>
      <c r="I65" s="2"/>
    </row>
    <row r="66" spans="1:9" ht="19.8" customHeight="1" x14ac:dyDescent="0.3">
      <c r="A66" s="90">
        <v>45992</v>
      </c>
      <c r="B66" s="51" t="s">
        <v>122</v>
      </c>
      <c r="C66" s="52" t="s">
        <v>133</v>
      </c>
      <c r="D66" s="51" t="s">
        <v>1</v>
      </c>
      <c r="E66" s="91">
        <v>1.302083333333333</v>
      </c>
      <c r="F66" s="51" t="s">
        <v>126</v>
      </c>
      <c r="G66" s="53">
        <v>4</v>
      </c>
      <c r="H66" s="58" t="s">
        <v>132</v>
      </c>
      <c r="I66" s="2"/>
    </row>
    <row r="67" spans="1:9" ht="19.8" customHeight="1" x14ac:dyDescent="0.3">
      <c r="A67" s="90">
        <v>45992</v>
      </c>
      <c r="B67" s="51" t="s">
        <v>122</v>
      </c>
      <c r="C67" s="52" t="s">
        <v>134</v>
      </c>
      <c r="D67" s="51" t="s">
        <v>1</v>
      </c>
      <c r="E67" s="91">
        <v>1.006944444444444</v>
      </c>
      <c r="F67" s="51" t="s">
        <v>124</v>
      </c>
      <c r="G67" s="53">
        <v>3</v>
      </c>
      <c r="H67" s="58" t="s">
        <v>135</v>
      </c>
      <c r="I67" s="2"/>
    </row>
    <row r="68" spans="1:9" ht="19.8" customHeight="1" x14ac:dyDescent="0.3">
      <c r="A68" s="90">
        <v>45992</v>
      </c>
      <c r="B68" s="51" t="s">
        <v>122</v>
      </c>
      <c r="C68" s="52" t="s">
        <v>137</v>
      </c>
      <c r="D68" s="51" t="s">
        <v>1</v>
      </c>
      <c r="E68" s="91">
        <v>1.1423611111111109</v>
      </c>
      <c r="F68" s="51" t="s">
        <v>124</v>
      </c>
      <c r="G68" s="53">
        <v>9</v>
      </c>
      <c r="H68" s="58" t="s">
        <v>135</v>
      </c>
      <c r="I68" s="2"/>
    </row>
    <row r="69" spans="1:9" ht="19.8" customHeight="1" x14ac:dyDescent="0.3">
      <c r="A69" s="90">
        <v>45992</v>
      </c>
      <c r="B69" s="51" t="s">
        <v>122</v>
      </c>
      <c r="C69" s="52" t="s">
        <v>138</v>
      </c>
      <c r="D69" s="51" t="s">
        <v>1</v>
      </c>
      <c r="E69" s="91">
        <v>1.71875</v>
      </c>
      <c r="F69" s="51" t="s">
        <v>124</v>
      </c>
      <c r="G69" s="53">
        <v>9</v>
      </c>
      <c r="H69" s="58" t="s">
        <v>135</v>
      </c>
      <c r="I69" s="2"/>
    </row>
    <row r="70" spans="1:9" ht="19.8" customHeight="1" x14ac:dyDescent="0.3">
      <c r="A70" s="90">
        <v>45992</v>
      </c>
      <c r="B70" s="51" t="s">
        <v>122</v>
      </c>
      <c r="C70" s="52" t="s">
        <v>139</v>
      </c>
      <c r="D70" s="51" t="s">
        <v>1</v>
      </c>
      <c r="E70" s="91">
        <v>1.8298611111111109</v>
      </c>
      <c r="F70" s="51" t="s">
        <v>124</v>
      </c>
      <c r="G70" s="53">
        <v>9</v>
      </c>
      <c r="H70" s="58" t="s">
        <v>135</v>
      </c>
      <c r="I70" s="2"/>
    </row>
    <row r="71" spans="1:9" ht="19.8" customHeight="1" x14ac:dyDescent="0.3">
      <c r="A71" s="90">
        <v>45992</v>
      </c>
      <c r="B71" s="51" t="s">
        <v>122</v>
      </c>
      <c r="C71" s="52" t="s">
        <v>134</v>
      </c>
      <c r="D71" s="51" t="s">
        <v>1</v>
      </c>
      <c r="E71" s="91">
        <v>1.006944444444444</v>
      </c>
      <c r="F71" s="51" t="s">
        <v>126</v>
      </c>
      <c r="G71" s="53">
        <v>3</v>
      </c>
      <c r="H71" s="58" t="s">
        <v>136</v>
      </c>
      <c r="I71" s="2"/>
    </row>
    <row r="72" spans="1:9" ht="19.8" customHeight="1" x14ac:dyDescent="0.3">
      <c r="A72" s="90">
        <v>45992</v>
      </c>
      <c r="B72" s="51" t="s">
        <v>122</v>
      </c>
      <c r="C72" s="52" t="s">
        <v>137</v>
      </c>
      <c r="D72" s="51" t="s">
        <v>1</v>
      </c>
      <c r="E72" s="91">
        <v>1.1423611111111109</v>
      </c>
      <c r="F72" s="51" t="s">
        <v>126</v>
      </c>
      <c r="G72" s="53">
        <v>9</v>
      </c>
      <c r="H72" s="58" t="s">
        <v>136</v>
      </c>
      <c r="I72" s="2"/>
    </row>
    <row r="73" spans="1:9" ht="19.8" customHeight="1" x14ac:dyDescent="0.3">
      <c r="A73" s="90">
        <v>45992</v>
      </c>
      <c r="B73" s="51" t="s">
        <v>122</v>
      </c>
      <c r="C73" s="52" t="s">
        <v>138</v>
      </c>
      <c r="D73" s="51" t="s">
        <v>1</v>
      </c>
      <c r="E73" s="91">
        <v>1.71875</v>
      </c>
      <c r="F73" s="51" t="s">
        <v>126</v>
      </c>
      <c r="G73" s="53">
        <v>9</v>
      </c>
      <c r="H73" s="58" t="s">
        <v>136</v>
      </c>
      <c r="I73" s="2"/>
    </row>
    <row r="74" spans="1:9" ht="19.8" customHeight="1" x14ac:dyDescent="0.3">
      <c r="A74" s="90">
        <v>45992</v>
      </c>
      <c r="B74" s="51" t="s">
        <v>122</v>
      </c>
      <c r="C74" s="52" t="s">
        <v>139</v>
      </c>
      <c r="D74" s="51" t="s">
        <v>1</v>
      </c>
      <c r="E74" s="91">
        <v>1.8298611111111109</v>
      </c>
      <c r="F74" s="51" t="s">
        <v>126</v>
      </c>
      <c r="G74" s="53">
        <v>9</v>
      </c>
      <c r="H74" s="58" t="s">
        <v>136</v>
      </c>
      <c r="I74" s="2"/>
    </row>
    <row r="75" spans="1:9" ht="19.8" customHeight="1" x14ac:dyDescent="0.3">
      <c r="A75" s="90">
        <v>45992</v>
      </c>
      <c r="B75" s="51" t="s">
        <v>122</v>
      </c>
      <c r="C75" s="52" t="s">
        <v>140</v>
      </c>
      <c r="D75" s="51" t="s">
        <v>1</v>
      </c>
      <c r="E75" s="91">
        <v>1.1284722222222221</v>
      </c>
      <c r="F75" s="51" t="s">
        <v>126</v>
      </c>
      <c r="G75" s="53">
        <v>4</v>
      </c>
      <c r="H75" s="58" t="s">
        <v>141</v>
      </c>
      <c r="I75" s="2"/>
    </row>
    <row r="76" spans="1:9" ht="19.8" customHeight="1" x14ac:dyDescent="0.3">
      <c r="A76" s="94">
        <v>45992</v>
      </c>
      <c r="B76" s="59" t="s">
        <v>122</v>
      </c>
      <c r="C76" s="60" t="s">
        <v>142</v>
      </c>
      <c r="D76" s="59" t="s">
        <v>1</v>
      </c>
      <c r="E76" s="95">
        <v>1.788194444444444</v>
      </c>
      <c r="F76" s="59" t="s">
        <v>126</v>
      </c>
      <c r="G76" s="61">
        <v>4</v>
      </c>
      <c r="H76" s="62" t="s">
        <v>141</v>
      </c>
      <c r="I76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63" t="s">
        <v>203</v>
      </c>
      <c r="B1" s="63" t="s">
        <v>8</v>
      </c>
      <c r="C1" s="63" t="s">
        <v>9</v>
      </c>
      <c r="D1" s="63" t="s">
        <v>204</v>
      </c>
      <c r="E1" s="63" t="s">
        <v>10</v>
      </c>
      <c r="F1" s="63" t="s">
        <v>11</v>
      </c>
      <c r="G1" s="63" t="s">
        <v>12</v>
      </c>
      <c r="H1" s="63" t="s">
        <v>13</v>
      </c>
      <c r="I1" s="63" t="s">
        <v>222</v>
      </c>
    </row>
    <row r="2" spans="1:9" ht="15.6" x14ac:dyDescent="0.3">
      <c r="A2" s="64" t="s">
        <v>205</v>
      </c>
      <c r="B2" s="64" t="s">
        <v>85</v>
      </c>
      <c r="C2" s="64" t="s">
        <v>86</v>
      </c>
      <c r="D2" s="64" t="s">
        <v>1</v>
      </c>
      <c r="E2" s="64" t="s">
        <v>195</v>
      </c>
      <c r="F2" s="64" t="s">
        <v>87</v>
      </c>
      <c r="G2" s="64" t="s">
        <v>74</v>
      </c>
      <c r="H2" s="64" t="s">
        <v>88</v>
      </c>
      <c r="I2" s="65" t="s">
        <v>223</v>
      </c>
    </row>
    <row r="3" spans="1:9" ht="15.6" x14ac:dyDescent="0.3">
      <c r="A3" s="64" t="s">
        <v>205</v>
      </c>
      <c r="B3" s="64" t="s">
        <v>85</v>
      </c>
      <c r="C3" s="64" t="s">
        <v>92</v>
      </c>
      <c r="D3" s="64" t="s">
        <v>1</v>
      </c>
      <c r="E3" s="64" t="s">
        <v>187</v>
      </c>
      <c r="F3" s="64" t="s">
        <v>87</v>
      </c>
      <c r="G3" s="64" t="s">
        <v>41</v>
      </c>
      <c r="H3" s="64" t="s">
        <v>93</v>
      </c>
      <c r="I3" s="65" t="s">
        <v>223</v>
      </c>
    </row>
    <row r="4" spans="1:9" ht="15.6" x14ac:dyDescent="0.3">
      <c r="A4" s="64" t="s">
        <v>205</v>
      </c>
      <c r="B4" s="64" t="s">
        <v>85</v>
      </c>
      <c r="C4" s="64" t="s">
        <v>97</v>
      </c>
      <c r="D4" s="64" t="s">
        <v>1</v>
      </c>
      <c r="E4" s="64" t="s">
        <v>173</v>
      </c>
      <c r="F4" s="64" t="s">
        <v>87</v>
      </c>
      <c r="G4" s="64" t="s">
        <v>37</v>
      </c>
      <c r="H4" s="64" t="s">
        <v>98</v>
      </c>
      <c r="I4" s="65" t="s">
        <v>223</v>
      </c>
    </row>
    <row r="5" spans="1:9" ht="15.6" x14ac:dyDescent="0.3">
      <c r="A5" s="64" t="s">
        <v>205</v>
      </c>
      <c r="B5" s="64" t="s">
        <v>85</v>
      </c>
      <c r="C5" s="64" t="s">
        <v>102</v>
      </c>
      <c r="D5" s="64" t="s">
        <v>1</v>
      </c>
      <c r="E5" s="64" t="s">
        <v>181</v>
      </c>
      <c r="F5" s="64" t="s">
        <v>87</v>
      </c>
      <c r="G5" s="64" t="s">
        <v>47</v>
      </c>
      <c r="H5" s="64" t="s">
        <v>98</v>
      </c>
      <c r="I5" s="65" t="s">
        <v>223</v>
      </c>
    </row>
    <row r="6" spans="1:9" ht="15.6" x14ac:dyDescent="0.3">
      <c r="A6" s="66" t="s">
        <v>205</v>
      </c>
      <c r="B6" s="66" t="s">
        <v>26</v>
      </c>
      <c r="C6" s="66" t="s">
        <v>27</v>
      </c>
      <c r="D6" s="66" t="s">
        <v>1</v>
      </c>
      <c r="E6" s="66" t="s">
        <v>206</v>
      </c>
      <c r="F6" s="66" t="s">
        <v>28</v>
      </c>
      <c r="G6" s="66" t="s">
        <v>29</v>
      </c>
      <c r="H6" s="66" t="s">
        <v>30</v>
      </c>
      <c r="I6" s="67" t="s">
        <v>224</v>
      </c>
    </row>
    <row r="7" spans="1:9" ht="15.6" x14ac:dyDescent="0.3">
      <c r="A7" s="66" t="s">
        <v>205</v>
      </c>
      <c r="B7" s="66" t="s">
        <v>44</v>
      </c>
      <c r="C7" s="66" t="s">
        <v>45</v>
      </c>
      <c r="D7" s="66" t="s">
        <v>1</v>
      </c>
      <c r="E7" s="66" t="s">
        <v>208</v>
      </c>
      <c r="F7" s="66" t="s">
        <v>46</v>
      </c>
      <c r="G7" s="66" t="s">
        <v>47</v>
      </c>
      <c r="H7" s="66" t="s">
        <v>48</v>
      </c>
      <c r="I7" s="67" t="s">
        <v>225</v>
      </c>
    </row>
    <row r="8" spans="1:9" ht="15.6" x14ac:dyDescent="0.3">
      <c r="A8" s="66" t="s">
        <v>205</v>
      </c>
      <c r="B8" s="66" t="s">
        <v>44</v>
      </c>
      <c r="C8" s="66" t="s">
        <v>53</v>
      </c>
      <c r="D8" s="66" t="s">
        <v>1</v>
      </c>
      <c r="E8" s="66" t="s">
        <v>209</v>
      </c>
      <c r="F8" s="66" t="s">
        <v>46</v>
      </c>
      <c r="G8" s="66" t="s">
        <v>29</v>
      </c>
      <c r="H8" s="66" t="s">
        <v>48</v>
      </c>
      <c r="I8" s="67" t="s">
        <v>225</v>
      </c>
    </row>
    <row r="9" spans="1:9" ht="15.6" x14ac:dyDescent="0.3">
      <c r="A9" s="66" t="s">
        <v>205</v>
      </c>
      <c r="B9" s="66" t="s">
        <v>44</v>
      </c>
      <c r="C9" s="66" t="s">
        <v>54</v>
      </c>
      <c r="D9" s="66" t="s">
        <v>1</v>
      </c>
      <c r="E9" s="66" t="s">
        <v>210</v>
      </c>
      <c r="F9" s="66" t="s">
        <v>46</v>
      </c>
      <c r="G9" s="66" t="s">
        <v>47</v>
      </c>
      <c r="H9" s="66" t="s">
        <v>48</v>
      </c>
      <c r="I9" s="67" t="s">
        <v>225</v>
      </c>
    </row>
    <row r="10" spans="1:9" ht="15.6" x14ac:dyDescent="0.3">
      <c r="A10" s="66" t="s">
        <v>205</v>
      </c>
      <c r="B10" s="66" t="s">
        <v>67</v>
      </c>
      <c r="C10" s="66" t="s">
        <v>68</v>
      </c>
      <c r="D10" s="66" t="s">
        <v>1</v>
      </c>
      <c r="E10" s="66" t="s">
        <v>212</v>
      </c>
      <c r="F10" s="66" t="s">
        <v>69</v>
      </c>
      <c r="G10" s="66" t="s">
        <v>70</v>
      </c>
      <c r="H10" s="66" t="s">
        <v>71</v>
      </c>
      <c r="I10" s="68" t="s">
        <v>226</v>
      </c>
    </row>
    <row r="11" spans="1:9" ht="15.6" x14ac:dyDescent="0.3">
      <c r="A11" s="66" t="s">
        <v>205</v>
      </c>
      <c r="B11" s="66" t="s">
        <v>72</v>
      </c>
      <c r="C11" s="66" t="s">
        <v>73</v>
      </c>
      <c r="D11" s="66" t="s">
        <v>1</v>
      </c>
      <c r="E11" s="66" t="s">
        <v>213</v>
      </c>
      <c r="F11" s="66" t="s">
        <v>69</v>
      </c>
      <c r="G11" s="66" t="s">
        <v>74</v>
      </c>
      <c r="H11" s="66" t="s">
        <v>75</v>
      </c>
      <c r="I11" s="68" t="s">
        <v>226</v>
      </c>
    </row>
    <row r="12" spans="1:9" ht="15.6" x14ac:dyDescent="0.3">
      <c r="A12" s="66" t="s">
        <v>205</v>
      </c>
      <c r="B12" s="66" t="s">
        <v>72</v>
      </c>
      <c r="C12" s="66" t="s">
        <v>76</v>
      </c>
      <c r="D12" s="66" t="s">
        <v>1</v>
      </c>
      <c r="E12" s="66" t="s">
        <v>214</v>
      </c>
      <c r="F12" s="66" t="s">
        <v>69</v>
      </c>
      <c r="G12" s="66" t="s">
        <v>29</v>
      </c>
      <c r="H12" s="66" t="s">
        <v>75</v>
      </c>
      <c r="I12" s="68" t="s">
        <v>227</v>
      </c>
    </row>
    <row r="13" spans="1:9" ht="15.6" x14ac:dyDescent="0.3">
      <c r="A13" s="66" t="s">
        <v>205</v>
      </c>
      <c r="B13" s="66" t="s">
        <v>44</v>
      </c>
      <c r="C13" s="66" t="s">
        <v>59</v>
      </c>
      <c r="D13" s="66" t="s">
        <v>1</v>
      </c>
      <c r="E13" s="66" t="s">
        <v>216</v>
      </c>
      <c r="F13" s="66" t="s">
        <v>46</v>
      </c>
      <c r="G13" s="66" t="s">
        <v>37</v>
      </c>
      <c r="H13" s="66" t="s">
        <v>57</v>
      </c>
      <c r="I13" s="67" t="s">
        <v>228</v>
      </c>
    </row>
    <row r="14" spans="1:9" ht="15.6" x14ac:dyDescent="0.3">
      <c r="A14" s="66" t="s">
        <v>205</v>
      </c>
      <c r="B14" s="66" t="s">
        <v>77</v>
      </c>
      <c r="C14" s="66" t="s">
        <v>78</v>
      </c>
      <c r="D14" s="66" t="s">
        <v>1</v>
      </c>
      <c r="E14" s="66" t="s">
        <v>219</v>
      </c>
      <c r="F14" s="66" t="s">
        <v>79</v>
      </c>
      <c r="G14" s="66" t="s">
        <v>56</v>
      </c>
      <c r="H14" s="66" t="s">
        <v>80</v>
      </c>
      <c r="I14" s="68" t="s">
        <v>229</v>
      </c>
    </row>
    <row r="15" spans="1:9" ht="15.6" x14ac:dyDescent="0.3">
      <c r="A15" s="66" t="s">
        <v>205</v>
      </c>
      <c r="B15" s="66" t="s">
        <v>44</v>
      </c>
      <c r="C15" s="66" t="s">
        <v>45</v>
      </c>
      <c r="D15" s="66" t="s">
        <v>1</v>
      </c>
      <c r="E15" s="66" t="s">
        <v>208</v>
      </c>
      <c r="F15" s="66" t="s">
        <v>49</v>
      </c>
      <c r="G15" s="66" t="s">
        <v>47</v>
      </c>
      <c r="H15" s="66" t="s">
        <v>50</v>
      </c>
      <c r="I15" s="68" t="s">
        <v>230</v>
      </c>
    </row>
    <row r="16" spans="1:9" ht="15.6" x14ac:dyDescent="0.3">
      <c r="A16" s="66" t="s">
        <v>205</v>
      </c>
      <c r="B16" s="66" t="s">
        <v>44</v>
      </c>
      <c r="C16" s="66" t="s">
        <v>53</v>
      </c>
      <c r="D16" s="66" t="s">
        <v>1</v>
      </c>
      <c r="E16" s="66" t="s">
        <v>209</v>
      </c>
      <c r="F16" s="66" t="s">
        <v>49</v>
      </c>
      <c r="G16" s="66" t="s">
        <v>29</v>
      </c>
      <c r="H16" s="66" t="s">
        <v>50</v>
      </c>
      <c r="I16" s="68" t="s">
        <v>230</v>
      </c>
    </row>
    <row r="17" spans="1:9" ht="15.6" x14ac:dyDescent="0.3">
      <c r="A17" s="66" t="s">
        <v>205</v>
      </c>
      <c r="B17" s="66" t="s">
        <v>44</v>
      </c>
      <c r="C17" s="66" t="s">
        <v>54</v>
      </c>
      <c r="D17" s="66" t="s">
        <v>1</v>
      </c>
      <c r="E17" s="66" t="s">
        <v>210</v>
      </c>
      <c r="F17" s="66" t="s">
        <v>49</v>
      </c>
      <c r="G17" s="66" t="s">
        <v>47</v>
      </c>
      <c r="H17" s="66" t="s">
        <v>50</v>
      </c>
      <c r="I17" s="68" t="s">
        <v>230</v>
      </c>
    </row>
    <row r="18" spans="1:9" ht="15.6" x14ac:dyDescent="0.3">
      <c r="A18" s="66" t="s">
        <v>205</v>
      </c>
      <c r="B18" s="66" t="s">
        <v>77</v>
      </c>
      <c r="C18" s="66" t="s">
        <v>82</v>
      </c>
      <c r="D18" s="66" t="s">
        <v>1</v>
      </c>
      <c r="E18" s="66" t="s">
        <v>221</v>
      </c>
      <c r="F18" s="66" t="s">
        <v>79</v>
      </c>
      <c r="G18" s="66" t="s">
        <v>56</v>
      </c>
      <c r="H18" s="66" t="s">
        <v>83</v>
      </c>
      <c r="I18" s="68" t="s">
        <v>231</v>
      </c>
    </row>
    <row r="19" spans="1:9" ht="15.6" x14ac:dyDescent="0.3">
      <c r="A19" s="66" t="s">
        <v>205</v>
      </c>
      <c r="B19" s="66" t="s">
        <v>26</v>
      </c>
      <c r="C19" s="66" t="s">
        <v>27</v>
      </c>
      <c r="D19" s="66" t="s">
        <v>1</v>
      </c>
      <c r="E19" s="66" t="s">
        <v>206</v>
      </c>
      <c r="F19" s="66" t="s">
        <v>31</v>
      </c>
      <c r="G19" s="66" t="s">
        <v>29</v>
      </c>
      <c r="H19" s="66" t="s">
        <v>32</v>
      </c>
      <c r="I19" s="67" t="s">
        <v>224</v>
      </c>
    </row>
    <row r="20" spans="1:9" ht="15.6" x14ac:dyDescent="0.3">
      <c r="A20" s="66" t="s">
        <v>205</v>
      </c>
      <c r="B20" s="66" t="s">
        <v>44</v>
      </c>
      <c r="C20" s="66" t="s">
        <v>59</v>
      </c>
      <c r="D20" s="66" t="s">
        <v>1</v>
      </c>
      <c r="E20" s="66" t="s">
        <v>216</v>
      </c>
      <c r="F20" s="66" t="s">
        <v>49</v>
      </c>
      <c r="G20" s="66" t="s">
        <v>37</v>
      </c>
      <c r="H20" s="66" t="s">
        <v>32</v>
      </c>
      <c r="I20" s="67" t="s">
        <v>232</v>
      </c>
    </row>
    <row r="21" spans="1:9" ht="15.6" x14ac:dyDescent="0.3">
      <c r="A21" s="66" t="s">
        <v>205</v>
      </c>
      <c r="B21" s="66" t="s">
        <v>77</v>
      </c>
      <c r="C21" s="66" t="s">
        <v>78</v>
      </c>
      <c r="D21" s="66" t="s">
        <v>1</v>
      </c>
      <c r="E21" s="66" t="s">
        <v>219</v>
      </c>
      <c r="F21" s="66" t="s">
        <v>33</v>
      </c>
      <c r="G21" s="66" t="s">
        <v>56</v>
      </c>
      <c r="H21" s="66" t="s">
        <v>81</v>
      </c>
      <c r="I21" s="69" t="s">
        <v>233</v>
      </c>
    </row>
    <row r="22" spans="1:9" ht="15.6" x14ac:dyDescent="0.3">
      <c r="A22" s="66" t="s">
        <v>205</v>
      </c>
      <c r="B22" s="66" t="s">
        <v>44</v>
      </c>
      <c r="C22" s="66" t="s">
        <v>45</v>
      </c>
      <c r="D22" s="66" t="s">
        <v>1</v>
      </c>
      <c r="E22" s="66" t="s">
        <v>208</v>
      </c>
      <c r="F22" s="66" t="s">
        <v>51</v>
      </c>
      <c r="G22" s="66" t="s">
        <v>47</v>
      </c>
      <c r="H22" s="66" t="s">
        <v>52</v>
      </c>
      <c r="I22" s="69" t="s">
        <v>234</v>
      </c>
    </row>
    <row r="23" spans="1:9" ht="15.6" x14ac:dyDescent="0.3">
      <c r="A23" s="66" t="s">
        <v>205</v>
      </c>
      <c r="B23" s="66" t="s">
        <v>44</v>
      </c>
      <c r="C23" s="66" t="s">
        <v>53</v>
      </c>
      <c r="D23" s="66" t="s">
        <v>1</v>
      </c>
      <c r="E23" s="66" t="s">
        <v>209</v>
      </c>
      <c r="F23" s="66" t="s">
        <v>51</v>
      </c>
      <c r="G23" s="66" t="s">
        <v>29</v>
      </c>
      <c r="H23" s="66" t="s">
        <v>52</v>
      </c>
      <c r="I23" s="69" t="s">
        <v>234</v>
      </c>
    </row>
    <row r="24" spans="1:9" ht="15.6" x14ac:dyDescent="0.3">
      <c r="A24" s="66" t="s">
        <v>205</v>
      </c>
      <c r="B24" s="66" t="s">
        <v>44</v>
      </c>
      <c r="C24" s="66" t="s">
        <v>54</v>
      </c>
      <c r="D24" s="66" t="s">
        <v>1</v>
      </c>
      <c r="E24" s="66" t="s">
        <v>210</v>
      </c>
      <c r="F24" s="66" t="s">
        <v>51</v>
      </c>
      <c r="G24" s="66" t="s">
        <v>47</v>
      </c>
      <c r="H24" s="66" t="s">
        <v>52</v>
      </c>
      <c r="I24" s="69" t="s">
        <v>234</v>
      </c>
    </row>
    <row r="25" spans="1:9" ht="15.6" x14ac:dyDescent="0.3">
      <c r="A25" s="66" t="s">
        <v>205</v>
      </c>
      <c r="B25" s="66" t="s">
        <v>77</v>
      </c>
      <c r="C25" s="66" t="s">
        <v>82</v>
      </c>
      <c r="D25" s="66" t="s">
        <v>1</v>
      </c>
      <c r="E25" s="66" t="s">
        <v>221</v>
      </c>
      <c r="F25" s="66" t="s">
        <v>33</v>
      </c>
      <c r="G25" s="66" t="s">
        <v>56</v>
      </c>
      <c r="H25" s="66" t="s">
        <v>84</v>
      </c>
      <c r="I25" s="69" t="s">
        <v>235</v>
      </c>
    </row>
    <row r="26" spans="1:9" ht="15.6" x14ac:dyDescent="0.3">
      <c r="A26" s="66" t="s">
        <v>205</v>
      </c>
      <c r="B26" s="66" t="s">
        <v>44</v>
      </c>
      <c r="C26" s="66" t="s">
        <v>55</v>
      </c>
      <c r="D26" s="66" t="s">
        <v>1</v>
      </c>
      <c r="E26" s="66" t="s">
        <v>215</v>
      </c>
      <c r="F26" s="66" t="s">
        <v>51</v>
      </c>
      <c r="G26" s="66" t="s">
        <v>56</v>
      </c>
      <c r="H26" s="66" t="s">
        <v>58</v>
      </c>
      <c r="I26" s="69" t="s">
        <v>236</v>
      </c>
    </row>
    <row r="27" spans="1:9" ht="15.6" x14ac:dyDescent="0.3">
      <c r="A27" s="66" t="s">
        <v>205</v>
      </c>
      <c r="B27" s="66" t="s">
        <v>44</v>
      </c>
      <c r="C27" s="66" t="s">
        <v>59</v>
      </c>
      <c r="D27" s="66" t="s">
        <v>1</v>
      </c>
      <c r="E27" s="66" t="s">
        <v>216</v>
      </c>
      <c r="F27" s="66" t="s">
        <v>51</v>
      </c>
      <c r="G27" s="66" t="s">
        <v>37</v>
      </c>
      <c r="H27" s="66" t="s">
        <v>58</v>
      </c>
      <c r="I27" s="69" t="s">
        <v>235</v>
      </c>
    </row>
    <row r="28" spans="1:9" ht="15.6" x14ac:dyDescent="0.3">
      <c r="A28" s="66" t="s">
        <v>205</v>
      </c>
      <c r="B28" s="66" t="s">
        <v>44</v>
      </c>
      <c r="C28" s="66" t="s">
        <v>60</v>
      </c>
      <c r="D28" s="66" t="s">
        <v>1</v>
      </c>
      <c r="E28" s="66" t="s">
        <v>217</v>
      </c>
      <c r="F28" s="66" t="s">
        <v>51</v>
      </c>
      <c r="G28" s="66" t="s">
        <v>56</v>
      </c>
      <c r="H28" s="66" t="s">
        <v>58</v>
      </c>
      <c r="I28" s="69" t="s">
        <v>236</v>
      </c>
    </row>
    <row r="29" spans="1:9" ht="15.6" x14ac:dyDescent="0.3">
      <c r="A29" s="66" t="s">
        <v>205</v>
      </c>
      <c r="B29" s="66" t="s">
        <v>44</v>
      </c>
      <c r="C29" s="66" t="s">
        <v>61</v>
      </c>
      <c r="D29" s="66" t="s">
        <v>1</v>
      </c>
      <c r="E29" s="66" t="s">
        <v>218</v>
      </c>
      <c r="F29" s="66" t="s">
        <v>51</v>
      </c>
      <c r="G29" s="66" t="s">
        <v>62</v>
      </c>
      <c r="H29" s="66" t="s">
        <v>58</v>
      </c>
      <c r="I29" s="69" t="s">
        <v>236</v>
      </c>
    </row>
    <row r="30" spans="1:9" ht="15.6" x14ac:dyDescent="0.3">
      <c r="A30" s="66" t="s">
        <v>205</v>
      </c>
      <c r="B30" s="66" t="s">
        <v>106</v>
      </c>
      <c r="C30" s="66" t="s">
        <v>114</v>
      </c>
      <c r="D30" s="66" t="s">
        <v>1</v>
      </c>
      <c r="E30" s="66" t="s">
        <v>237</v>
      </c>
      <c r="F30" s="66" t="s">
        <v>115</v>
      </c>
      <c r="G30" s="66" t="s">
        <v>116</v>
      </c>
      <c r="H30" s="66" t="s">
        <v>117</v>
      </c>
      <c r="I30" s="67" t="s">
        <v>225</v>
      </c>
    </row>
    <row r="31" spans="1:9" ht="15.6" x14ac:dyDescent="0.3">
      <c r="A31" s="66" t="s">
        <v>205</v>
      </c>
      <c r="B31" s="66" t="s">
        <v>106</v>
      </c>
      <c r="C31" s="66" t="s">
        <v>118</v>
      </c>
      <c r="D31" s="66" t="s">
        <v>1</v>
      </c>
      <c r="E31" s="66" t="s">
        <v>238</v>
      </c>
      <c r="F31" s="66" t="s">
        <v>115</v>
      </c>
      <c r="G31" s="66" t="s">
        <v>29</v>
      </c>
      <c r="H31" s="66" t="s">
        <v>119</v>
      </c>
      <c r="I31" s="68" t="s">
        <v>231</v>
      </c>
    </row>
    <row r="32" spans="1:9" ht="15.6" x14ac:dyDescent="0.3">
      <c r="A32" s="66" t="s">
        <v>205</v>
      </c>
      <c r="B32" s="66" t="s">
        <v>44</v>
      </c>
      <c r="C32" s="66" t="s">
        <v>63</v>
      </c>
      <c r="D32" s="66" t="s">
        <v>1</v>
      </c>
      <c r="E32" s="66" t="s">
        <v>239</v>
      </c>
      <c r="F32" s="66" t="s">
        <v>51</v>
      </c>
      <c r="G32" s="66" t="s">
        <v>56</v>
      </c>
      <c r="H32" s="66" t="s">
        <v>66</v>
      </c>
      <c r="I32" s="69" t="s">
        <v>240</v>
      </c>
    </row>
    <row r="33" spans="1:9" ht="15.6" x14ac:dyDescent="0.3">
      <c r="A33" s="66" t="s">
        <v>205</v>
      </c>
      <c r="B33" s="66" t="s">
        <v>122</v>
      </c>
      <c r="C33" s="66" t="s">
        <v>123</v>
      </c>
      <c r="D33" s="66" t="s">
        <v>1</v>
      </c>
      <c r="E33" s="66" t="s">
        <v>241</v>
      </c>
      <c r="F33" s="66" t="s">
        <v>126</v>
      </c>
      <c r="G33" s="66" t="s">
        <v>74</v>
      </c>
      <c r="H33" s="66" t="s">
        <v>127</v>
      </c>
      <c r="I33" s="69" t="s">
        <v>242</v>
      </c>
    </row>
    <row r="34" spans="1:9" ht="15.6" x14ac:dyDescent="0.3">
      <c r="A34" s="66" t="s">
        <v>205</v>
      </c>
      <c r="B34" s="66" t="s">
        <v>122</v>
      </c>
      <c r="C34" s="66" t="s">
        <v>128</v>
      </c>
      <c r="D34" s="66" t="s">
        <v>1</v>
      </c>
      <c r="E34" s="66" t="s">
        <v>243</v>
      </c>
      <c r="F34" s="66" t="s">
        <v>126</v>
      </c>
      <c r="G34" s="66" t="s">
        <v>74</v>
      </c>
      <c r="H34" s="66" t="s">
        <v>127</v>
      </c>
      <c r="I34" s="69" t="s">
        <v>244</v>
      </c>
    </row>
    <row r="35" spans="1:9" ht="15.6" x14ac:dyDescent="0.3">
      <c r="A35" s="66" t="s">
        <v>205</v>
      </c>
      <c r="B35" s="66" t="s">
        <v>122</v>
      </c>
      <c r="C35" s="66" t="s">
        <v>129</v>
      </c>
      <c r="D35" s="66" t="s">
        <v>1</v>
      </c>
      <c r="E35" s="66" t="s">
        <v>245</v>
      </c>
      <c r="F35" s="66" t="s">
        <v>126</v>
      </c>
      <c r="G35" s="66" t="s">
        <v>74</v>
      </c>
      <c r="H35" s="66" t="s">
        <v>127</v>
      </c>
      <c r="I35" s="69" t="s">
        <v>246</v>
      </c>
    </row>
    <row r="36" spans="1:9" ht="15.6" x14ac:dyDescent="0.3">
      <c r="A36" s="66" t="s">
        <v>205</v>
      </c>
      <c r="B36" s="66" t="s">
        <v>122</v>
      </c>
      <c r="C36" s="66" t="s">
        <v>130</v>
      </c>
      <c r="D36" s="66" t="s">
        <v>1</v>
      </c>
      <c r="E36" s="66" t="s">
        <v>247</v>
      </c>
      <c r="F36" s="66" t="s">
        <v>126</v>
      </c>
      <c r="G36" s="66" t="s">
        <v>74</v>
      </c>
      <c r="H36" s="66" t="s">
        <v>127</v>
      </c>
      <c r="I36" s="69" t="s">
        <v>244</v>
      </c>
    </row>
    <row r="37" spans="1:9" ht="15.6" x14ac:dyDescent="0.3">
      <c r="A37" s="66" t="s">
        <v>205</v>
      </c>
      <c r="B37" s="66" t="s">
        <v>26</v>
      </c>
      <c r="C37" s="66" t="s">
        <v>36</v>
      </c>
      <c r="D37" s="66" t="s">
        <v>1</v>
      </c>
      <c r="E37" s="66" t="s">
        <v>211</v>
      </c>
      <c r="F37" s="66" t="s">
        <v>33</v>
      </c>
      <c r="G37" s="66" t="s">
        <v>37</v>
      </c>
      <c r="H37" s="66" t="s">
        <v>34</v>
      </c>
      <c r="I37" s="69" t="s">
        <v>248</v>
      </c>
    </row>
    <row r="38" spans="1:9" ht="15.6" x14ac:dyDescent="0.3">
      <c r="A38" s="66" t="s">
        <v>205</v>
      </c>
      <c r="B38" s="66" t="s">
        <v>26</v>
      </c>
      <c r="C38" s="66" t="s">
        <v>27</v>
      </c>
      <c r="D38" s="66" t="s">
        <v>1</v>
      </c>
      <c r="E38" s="66" t="s">
        <v>206</v>
      </c>
      <c r="F38" s="66" t="s">
        <v>33</v>
      </c>
      <c r="G38" s="66" t="s">
        <v>29</v>
      </c>
      <c r="H38" s="66" t="s">
        <v>34</v>
      </c>
      <c r="I38" s="69" t="s">
        <v>248</v>
      </c>
    </row>
    <row r="39" spans="1:9" ht="15.6" x14ac:dyDescent="0.3">
      <c r="A39" s="66" t="s">
        <v>205</v>
      </c>
      <c r="B39" s="66" t="s">
        <v>26</v>
      </c>
      <c r="C39" s="66" t="s">
        <v>35</v>
      </c>
      <c r="D39" s="66" t="s">
        <v>1</v>
      </c>
      <c r="E39" s="66" t="s">
        <v>207</v>
      </c>
      <c r="F39" s="66" t="s">
        <v>33</v>
      </c>
      <c r="G39" s="66" t="s">
        <v>29</v>
      </c>
      <c r="H39" s="66" t="s">
        <v>34</v>
      </c>
      <c r="I39" s="68" t="s">
        <v>230</v>
      </c>
    </row>
    <row r="40" spans="1:9" ht="15.6" x14ac:dyDescent="0.3">
      <c r="A40" s="66" t="s">
        <v>205</v>
      </c>
      <c r="B40" s="66" t="s">
        <v>26</v>
      </c>
      <c r="C40" s="66" t="s">
        <v>40</v>
      </c>
      <c r="D40" s="66" t="s">
        <v>1</v>
      </c>
      <c r="E40" s="66" t="s">
        <v>220</v>
      </c>
      <c r="F40" s="66" t="s">
        <v>33</v>
      </c>
      <c r="G40" s="66" t="s">
        <v>41</v>
      </c>
      <c r="H40" s="66" t="s">
        <v>34</v>
      </c>
      <c r="I40" s="68" t="s">
        <v>249</v>
      </c>
    </row>
    <row r="41" spans="1:9" ht="15.6" x14ac:dyDescent="0.3">
      <c r="A41" s="66" t="s">
        <v>205</v>
      </c>
      <c r="B41" s="66" t="s">
        <v>122</v>
      </c>
      <c r="C41" s="66" t="s">
        <v>131</v>
      </c>
      <c r="D41" s="66" t="s">
        <v>1</v>
      </c>
      <c r="E41" s="66" t="s">
        <v>207</v>
      </c>
      <c r="F41" s="66" t="s">
        <v>126</v>
      </c>
      <c r="G41" s="66" t="s">
        <v>47</v>
      </c>
      <c r="H41" s="66" t="s">
        <v>132</v>
      </c>
      <c r="I41" s="68" t="s">
        <v>229</v>
      </c>
    </row>
    <row r="42" spans="1:9" ht="15.6" x14ac:dyDescent="0.3">
      <c r="A42" s="66" t="s">
        <v>205</v>
      </c>
      <c r="B42" s="66" t="s">
        <v>122</v>
      </c>
      <c r="C42" s="66" t="s">
        <v>133</v>
      </c>
      <c r="D42" s="66" t="s">
        <v>1</v>
      </c>
      <c r="E42" s="66" t="s">
        <v>206</v>
      </c>
      <c r="F42" s="66" t="s">
        <v>126</v>
      </c>
      <c r="G42" s="66" t="s">
        <v>47</v>
      </c>
      <c r="H42" s="66" t="s">
        <v>132</v>
      </c>
      <c r="I42" s="69" t="s">
        <v>250</v>
      </c>
    </row>
    <row r="43" spans="1:9" ht="15.6" x14ac:dyDescent="0.3">
      <c r="A43" s="66" t="s">
        <v>205</v>
      </c>
      <c r="B43" s="66" t="s">
        <v>122</v>
      </c>
      <c r="C43" s="66" t="s">
        <v>134</v>
      </c>
      <c r="D43" s="66" t="s">
        <v>1</v>
      </c>
      <c r="E43" s="66" t="s">
        <v>173</v>
      </c>
      <c r="F43" s="66" t="s">
        <v>126</v>
      </c>
      <c r="G43" s="66" t="s">
        <v>70</v>
      </c>
      <c r="H43" s="66" t="s">
        <v>136</v>
      </c>
      <c r="I43" s="69" t="s">
        <v>251</v>
      </c>
    </row>
    <row r="44" spans="1:9" ht="15.6" x14ac:dyDescent="0.3">
      <c r="A44" s="66" t="s">
        <v>205</v>
      </c>
      <c r="B44" s="66" t="s">
        <v>122</v>
      </c>
      <c r="C44" s="66" t="s">
        <v>137</v>
      </c>
      <c r="D44" s="66" t="s">
        <v>1</v>
      </c>
      <c r="E44" s="66" t="s">
        <v>252</v>
      </c>
      <c r="F44" s="66" t="s">
        <v>126</v>
      </c>
      <c r="G44" s="66" t="s">
        <v>74</v>
      </c>
      <c r="H44" s="66" t="s">
        <v>136</v>
      </c>
      <c r="I44" s="69" t="s">
        <v>251</v>
      </c>
    </row>
    <row r="45" spans="1:9" ht="15.6" x14ac:dyDescent="0.3">
      <c r="A45" s="66" t="s">
        <v>205</v>
      </c>
      <c r="B45" s="66" t="s">
        <v>122</v>
      </c>
      <c r="C45" s="66" t="s">
        <v>138</v>
      </c>
      <c r="D45" s="66" t="s">
        <v>1</v>
      </c>
      <c r="E45" s="66" t="s">
        <v>253</v>
      </c>
      <c r="F45" s="66" t="s">
        <v>126</v>
      </c>
      <c r="G45" s="66" t="s">
        <v>74</v>
      </c>
      <c r="H45" s="66" t="s">
        <v>136</v>
      </c>
      <c r="I45" s="68" t="s">
        <v>227</v>
      </c>
    </row>
    <row r="46" spans="1:9" ht="15.6" x14ac:dyDescent="0.3">
      <c r="A46" s="66" t="s">
        <v>205</v>
      </c>
      <c r="B46" s="66" t="s">
        <v>122</v>
      </c>
      <c r="C46" s="66" t="s">
        <v>139</v>
      </c>
      <c r="D46" s="66" t="s">
        <v>1</v>
      </c>
      <c r="E46" s="66" t="s">
        <v>254</v>
      </c>
      <c r="F46" s="66" t="s">
        <v>126</v>
      </c>
      <c r="G46" s="66" t="s">
        <v>74</v>
      </c>
      <c r="H46" s="66" t="s">
        <v>136</v>
      </c>
      <c r="I46" s="67" t="s">
        <v>225</v>
      </c>
    </row>
    <row r="47" spans="1:9" ht="15.6" x14ac:dyDescent="0.3">
      <c r="A47" s="66" t="s">
        <v>205</v>
      </c>
      <c r="B47" s="66" t="s">
        <v>122</v>
      </c>
      <c r="C47" s="66" t="s">
        <v>140</v>
      </c>
      <c r="D47" s="66" t="s">
        <v>1</v>
      </c>
      <c r="E47" s="66" t="s">
        <v>211</v>
      </c>
      <c r="F47" s="66" t="s">
        <v>126</v>
      </c>
      <c r="G47" s="66" t="s">
        <v>47</v>
      </c>
      <c r="H47" s="66" t="s">
        <v>141</v>
      </c>
      <c r="I47" s="68" t="s">
        <v>229</v>
      </c>
    </row>
    <row r="48" spans="1:9" ht="15.6" x14ac:dyDescent="0.3">
      <c r="A48" s="66" t="s">
        <v>205</v>
      </c>
      <c r="B48" s="66" t="s">
        <v>122</v>
      </c>
      <c r="C48" s="66" t="s">
        <v>142</v>
      </c>
      <c r="D48" s="66" t="s">
        <v>1</v>
      </c>
      <c r="E48" s="66" t="s">
        <v>220</v>
      </c>
      <c r="F48" s="66" t="s">
        <v>126</v>
      </c>
      <c r="G48" s="66" t="s">
        <v>47</v>
      </c>
      <c r="H48" s="66" t="s">
        <v>141</v>
      </c>
      <c r="I48" s="68" t="s">
        <v>231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2025-11-29T09:26:30Z</dcterms:created>
  <dcterms:modified xsi:type="dcterms:W3CDTF">2025-11-29T09:26:42Z</dcterms:modified>
</cp:coreProperties>
</file>