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7F4F030-FB34-4135-B1F1-BF2483B35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8" authorId="0" shapeId="0" xr:uid="{1A720DF5-1C63-43FA-863E-D4B652BAE83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2 PAX] - [Y-DAY » 3]_x000D_
[LOWESTAVAIL » X7]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X13 &amp; U10 &amp; O20 &amp; I20 &amp; E28 &amp; P75 &amp; N1</t>
        </r>
      </text>
    </comment>
    <comment ref="F40" authorId="0" shapeId="0" xr:uid="{6840A1B8-A43C-4020-B0DF-3C4293C42C6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2]_x000D_
[LOWESTAVAIL » T5]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T4 &amp; X10 &amp; U11 &amp; O15 &amp; I10 &amp; P104 &amp; N4</t>
        </r>
      </text>
    </comment>
    <comment ref="F50" authorId="0" shapeId="0" xr:uid="{E1BC30D9-9520-4DF5-B7B7-0FF67B09264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[TO-DAY » NIL] - [Y-DAY » NIL]_x000D_
[LOWESTAVAIL » W7]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S5 &amp; U3 &amp; O8 &amp; I11 &amp; P131</t>
        </r>
      </text>
    </comment>
    <comment ref="F51" authorId="0" shapeId="0" xr:uid="{EB1E1582-D680-43ED-94E2-9E96CE5728D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NIL] - [Y-DAY » NIL]_x000D_
[LOWESTAVAIL » W4]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S7 &amp; W3 &amp; O19 &amp; I10 &amp; P135</t>
        </r>
      </text>
    </comment>
    <comment ref="F98" authorId="0" shapeId="0" xr:uid="{A010C443-BF49-42BB-804F-F33E2B38500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U7 &amp; O10 &amp; I15 &amp; P92</t>
        </r>
      </text>
    </comment>
    <comment ref="F99" authorId="0" shapeId="0" xr:uid="{79B2B48E-C7B5-4917-AC83-16B0F0CF118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O15 &amp; I30</t>
        </r>
      </text>
    </comment>
    <comment ref="F100" authorId="0" shapeId="0" xr:uid="{61026B24-B1FA-4D62-B52E-3A4696ED34D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[TO-DAY » NIL]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U4 &amp; O16 &amp; I9 &amp; P42</t>
        </r>
      </text>
    </comment>
    <comment ref="F101" authorId="0" shapeId="0" xr:uid="{7F71F34D-59CB-45E3-813D-311E3716711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2 PAX] - [Y-DAY » 1]_x000D_
[LOWESTAVAIL » U5]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U6 &amp; O10 &amp; I10 &amp; P96 &amp; N3</t>
        </r>
      </text>
    </comment>
    <comment ref="F109" authorId="0" shapeId="0" xr:uid="{A05A300E-8CE5-430E-9A1D-9BDCBF1A03F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3 PAX] - [Y-DAY » 1]_x000D_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U15 &amp; O15 &amp; I10 &amp; P90</t>
        </r>
      </text>
    </comment>
    <comment ref="F110" authorId="0" shapeId="0" xr:uid="{659712FE-A6B2-43C1-9BB1-062542FC572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S3 &amp; X3 &amp; U11 &amp; O10 &amp; I10 &amp; P84</t>
        </r>
      </text>
    </comment>
    <comment ref="F177" authorId="0" shapeId="0" xr:uid="{B01F9A66-610D-43AA-B0DD-BF8DA70698B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X1 &amp; U11 &amp; O10 &amp; I10 &amp; P84</t>
        </r>
      </text>
    </comment>
    <comment ref="F178" authorId="0" shapeId="0" xr:uid="{7F8CE50C-8378-4AAB-B124-BD5B003BA47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24-NOV]_x000D_
{CLASSES}_x000D_
S8 &amp; X1 &amp; U11 &amp; O10 &amp; I10 &amp; P82</t>
        </r>
      </text>
    </comment>
    <comment ref="F216" authorId="0" shapeId="0" xr:uid="{5F2A338F-F683-4D68-A720-FE39BFE3D8F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Q9]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14-NOV]_x000D_
{CLASSES}_x000D_
S1 &amp; O1 &amp; I13 &amp; P150</t>
        </r>
      </text>
    </comment>
    <comment ref="F237" authorId="0" shapeId="0" xr:uid="{BF9EA706-E65C-4FEB-B02F-1E34DEA2F6CA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1 PAX] - [Y-DAY » 1]_x000D_
[LOWESTAVAIL » O8]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O2 &amp; I30 &amp; P37</t>
        </r>
      </text>
    </comment>
    <comment ref="F238" authorId="0" shapeId="0" xr:uid="{F23B56EF-5290-4B0E-9163-E467B2023F32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X1 &amp; O3 &amp; I15</t>
        </r>
      </text>
    </comment>
    <comment ref="F239" authorId="0" shapeId="0" xr:uid="{9163FAE3-86F3-4EA7-AE7C-432FD6E17BC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S3 &amp; I25 &amp; P114</t>
        </r>
      </text>
    </comment>
    <comment ref="F240" authorId="0" shapeId="0" xr:uid="{3D59ECBA-056C-48E7-A9F5-A1200C5918B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[TO-DAY » 1 PAX] - [Y-DAY » NIL]_x000D_
[LOWESTAVAIL » O1]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O9 &amp; I20</t>
        </r>
      </text>
    </comment>
    <comment ref="F243" authorId="0" shapeId="0" xr:uid="{D909A8EA-FB6D-4895-88A9-ED6E9B49FAA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[TO-DAY » NIL] - [Y-DAY » 1]_x000D_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S1 &amp; U1 &amp; O10 &amp; I30 &amp; P66</t>
        </r>
      </text>
    </comment>
    <comment ref="F253" authorId="0" shapeId="0" xr:uid="{D21C9168-BC37-4CC3-9B35-FC503A61F90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[TO-DAY » 1 PAX] - [Y-DAY » 3]_x000D_
[LOWESTAVAIL » T2]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S7 &amp; T1 &amp; X10 &amp; U15 &amp; O15 &amp; I10 &amp; P104 &amp; N1</t>
        </r>
      </text>
    </comment>
    <comment ref="F256" authorId="0" shapeId="0" xr:uid="{14A51794-6FB2-4372-A7DF-55656AC6585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[TO-DAY » NIL] - [Y-DAY » NIL]_x000D_
[LOWESTAVAIL » W9]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S8 &amp; W1 &amp; U5 &amp; O10 &amp; I10 &amp; E34 &amp; P88</t>
        </r>
      </text>
    </comment>
    <comment ref="F297" authorId="0" shapeId="0" xr:uid="{45FD7097-A205-46FB-9A21-B8792DCFCDE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51.4%]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[TO-DAY » NIL]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U5 &amp; O20 &amp; I21 &amp; P46</t>
        </r>
      </text>
    </comment>
    <comment ref="F298" authorId="0" shapeId="0" xr:uid="{2922AE2A-4BE5-452C-A66C-4E68A52872F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3 PAX] - [Y-DAY » 3]_x000D_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O10 &amp; I30</t>
        </r>
      </text>
    </comment>
    <comment ref="F299" authorId="0" shapeId="0" xr:uid="{3C392374-30AE-4A90-A4B1-0CA71C6F21D6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[TO-DAY » 3 PAX]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O12 &amp; I32</t>
        </r>
      </text>
    </comment>
    <comment ref="F301" authorId="0" shapeId="0" xr:uid="{68DBF988-37EE-4381-A1DD-626463E5319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NIL] - [Y-DAY » NIL]_x000D_
[LOWESTAVAIL » O5]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O25 &amp; I10</t>
        </r>
      </text>
    </comment>
    <comment ref="F310" authorId="0" shapeId="0" xr:uid="{CAD335DF-3910-4FA3-AA80-2A2E1381A327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1 PAX] - [Y-DAY » 3]_x000D_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U27 &amp; O7 &amp; I12 &amp; P45</t>
        </r>
      </text>
    </comment>
    <comment ref="F338" authorId="0" shapeId="0" xr:uid="{0B9FC087-98A7-4601-AFD2-013EF315433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<sst xmlns="http://schemas.openxmlformats.org/spreadsheetml/2006/main" count="5502" uniqueCount="449">
  <si>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</si>
  <si>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</si>
  <si>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</si>
  <si>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</si>
  <si>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</si>
  <si>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</si>
  <si>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</si>
  <si>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</si>
  <si>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</si>
  <si>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</si>
  <si>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</si>
  <si>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</si>
  <si>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</si>
  <si>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</si>
  <si>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</si>
  <si>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</si>
  <si>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</si>
  <si>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</si>
  <si>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</si>
  <si>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</si>
  <si>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</si>
  <si>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</si>
  <si>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</si>
  <si>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</si>
  <si>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</si>
  <si>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</si>
  <si>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Saudia</t>
  </si>
  <si>
    <t>SV-387</t>
  </si>
  <si>
    <t>Cabin: 7 KG</t>
  </si>
  <si>
    <t>2 FOR SAME CLASS</t>
  </si>
  <si>
    <t>363 SAR</t>
  </si>
  <si>
    <t>Cabin: 7 KG / Check-in: 23 KG</t>
  </si>
  <si>
    <t>442 SAR</t>
  </si>
  <si>
    <t>Cabin: 7 KG / Check-in: 2 x 46 KG</t>
  </si>
  <si>
    <t>444 SAR</t>
  </si>
  <si>
    <t>SV-301</t>
  </si>
  <si>
    <t>+9 FOR SAME CLASS</t>
  </si>
  <si>
    <t>935 SAR</t>
  </si>
  <si>
    <t>980 SAR</t>
  </si>
  <si>
    <t>SV-305</t>
  </si>
  <si>
    <t>SV-335</t>
  </si>
  <si>
    <t>SV-6664</t>
  </si>
  <si>
    <t>4 FOR SAME CLASS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</si>
  <si>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</si>
  <si>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</si>
  <si>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</si>
  <si>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</si>
  <si>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</si>
  <si>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</si>
  <si>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</si>
  <si>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</si>
  <si>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</si>
  <si>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</si>
  <si>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</si>
  <si>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flynas</t>
  </si>
  <si>
    <t>XY-577</t>
  </si>
  <si>
    <t>Cabin: 7 KG / Check-in: 20 KG</t>
  </si>
  <si>
    <t>3 FOR SAME CLASS</t>
  </si>
  <si>
    <t>369 SAR</t>
  </si>
  <si>
    <t>Cabin: 7 KG / Check-in: 30 KG</t>
  </si>
  <si>
    <t>469 SAR</t>
  </si>
  <si>
    <t>Cabin: 7 KG / Check-in: 2 x 40 KG</t>
  </si>
  <si>
    <t>559 SAR</t>
  </si>
  <si>
    <t>XY-573</t>
  </si>
  <si>
    <t>9 FOR SAME CLASS</t>
  </si>
  <si>
    <t>409 SAR</t>
  </si>
  <si>
    <t>509 SAR</t>
  </si>
  <si>
    <t>599 SAR</t>
  </si>
  <si>
    <t>XY-565</t>
  </si>
  <si>
    <t>XY-583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</si>
  <si>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</si>
  <si>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</si>
  <si>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</si>
  <si>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</si>
  <si>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</si>
  <si>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</si>
  <si>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</si>
  <si>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</si>
  <si>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flyadeal</t>
  </si>
  <si>
    <t>F3-755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</si>
  <si>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</si>
  <si>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</si>
  <si>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</si>
  <si>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</si>
  <si>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</si>
  <si>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</si>
  <si>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</si>
  <si>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</si>
  <si>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10 FOR SAME CLASS</t>
  </si>
  <si>
    <t>F3-763</t>
  </si>
  <si>
    <t>F3-761</t>
  </si>
  <si>
    <t>459 SAR</t>
  </si>
  <si>
    <t>609 SAR</t>
  </si>
  <si>
    <t>Nesma Airlines</t>
  </si>
  <si>
    <t>NE-173</t>
  </si>
  <si>
    <t>Cabin: 7 KG | Check-in: 30 KG</t>
  </si>
  <si>
    <t>1 FOR SAME CLASS</t>
  </si>
  <si>
    <t>400 SAR</t>
  </si>
  <si>
    <t>Nile Air</t>
  </si>
  <si>
    <t>NP-228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</si>
  <si>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</si>
  <si>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</si>
  <si>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</si>
  <si>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</si>
  <si>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</si>
  <si>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</si>
  <si>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</si>
  <si>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</si>
  <si>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</si>
  <si>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</si>
  <si>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</si>
  <si>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</si>
  <si>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</si>
  <si>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</si>
  <si>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</si>
  <si>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</si>
  <si>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X7</t>
  </si>
  <si>
    <t>S1 &amp; X13 &amp; U10 &amp; O20 &amp; I20 &amp; E28 &amp; P75 &amp; N1</t>
  </si>
  <si>
    <t>SM-478</t>
  </si>
  <si>
    <t>5 FOR SAME CLASS</t>
  </si>
  <si>
    <t>586 SAR</t>
  </si>
  <si>
    <t>SM478</t>
  </si>
  <si>
    <t>T5</t>
  </si>
  <si>
    <t>S2 &amp; T4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</si>
  <si>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</si>
  <si>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</si>
  <si>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</si>
  <si>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</si>
  <si>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</si>
  <si>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</si>
  <si>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</si>
  <si>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</si>
  <si>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</si>
  <si>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</si>
  <si>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</si>
  <si>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</si>
  <si>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</si>
  <si>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</si>
  <si>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</si>
  <si>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</si>
  <si>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</si>
  <si>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</si>
  <si>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</si>
  <si>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</si>
  <si>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</si>
  <si>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</si>
  <si>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</si>
  <si>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</si>
  <si>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</si>
  <si>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</si>
  <si>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359 SAR</t>
  </si>
  <si>
    <t>419 SAR</t>
  </si>
  <si>
    <t>NE-171</t>
  </si>
  <si>
    <t>NP-328</t>
  </si>
  <si>
    <t>421 SAR</t>
  </si>
  <si>
    <t>544 SAR</t>
  </si>
  <si>
    <t>471 SAR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</si>
  <si>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</si>
  <si>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</si>
  <si>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</si>
  <si>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</si>
  <si>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</si>
  <si>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</si>
  <si>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</si>
  <si>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</si>
  <si>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</si>
  <si>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</si>
  <si>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U5</t>
  </si>
  <si>
    <t>U6 &amp; O10 &amp; I10 &amp; P96 &amp; N3</t>
  </si>
  <si>
    <t>X9</t>
  </si>
  <si>
    <t>U15 &amp; O15 &amp; I10 &amp; P90</t>
  </si>
  <si>
    <t>S3 &amp; X3 &amp; U11 &amp; O10 &amp; I10 &amp; P84</t>
  </si>
  <si>
    <t>678 SAR</t>
  </si>
  <si>
    <t>723 SAR</t>
  </si>
  <si>
    <t>1,178 SAR</t>
  </si>
  <si>
    <t>1,349 SAR</t>
  </si>
  <si>
    <t>499 SAR</t>
  </si>
  <si>
    <t>649 SAR</t>
  </si>
  <si>
    <t>449 SAR</t>
  </si>
  <si>
    <t>549 SAR</t>
  </si>
  <si>
    <t>639 SAR</t>
  </si>
  <si>
    <t>645 SAR</t>
  </si>
  <si>
    <t>436 SAR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</si>
  <si>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</si>
  <si>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</si>
  <si>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</si>
  <si>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</si>
  <si>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</si>
  <si>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</si>
  <si>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</si>
  <si>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Cabin: 7 KG | Check-in: 20 KG</t>
  </si>
  <si>
    <t>329 SAR</t>
  </si>
  <si>
    <t>489 SAR</t>
  </si>
  <si>
    <t>Cabin: 10 KG | Check-in: 30 KG</t>
  </si>
  <si>
    <t>368 SAR</t>
  </si>
  <si>
    <t>SM-450</t>
  </si>
  <si>
    <t>SM450</t>
  </si>
  <si>
    <t>O8</t>
  </si>
  <si>
    <t>S1 &amp; O2 &amp; I30 &amp; P37</t>
  </si>
  <si>
    <t>SM-432</t>
  </si>
  <si>
    <t>SM432</t>
  </si>
  <si>
    <t>O9</t>
  </si>
  <si>
    <t>X1 &amp; O3 &amp; I15</t>
  </si>
  <si>
    <t>S3 &amp; I25 &amp; P114</t>
  </si>
  <si>
    <t>O1</t>
  </si>
  <si>
    <t>S1 &amp; O9 &amp; I20</t>
  </si>
  <si>
    <t>2025-11-28 00:00:00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</si>
  <si>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</si>
  <si>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</si>
  <si>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</si>
  <si>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</si>
  <si>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</si>
  <si>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</si>
  <si>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</si>
  <si>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</si>
  <si>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</si>
  <si>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</si>
  <si>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</si>
  <si>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</si>
  <si>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479 SAR</t>
  </si>
  <si>
    <t>355 SAR</t>
  </si>
  <si>
    <t>E5-322</t>
  </si>
  <si>
    <t>E5-383</t>
  </si>
  <si>
    <t>393 SAR</t>
  </si>
  <si>
    <t>I9</t>
  </si>
  <si>
    <t>U5 &amp; O20 &amp; I21 &amp; P46</t>
  </si>
  <si>
    <t>O10 &amp; I30</t>
  </si>
  <si>
    <t>S1 &amp; O12 &amp; I32</t>
  </si>
  <si>
    <t>O5</t>
  </si>
  <si>
    <t>O25 &amp; I10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</si>
  <si>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</si>
  <si>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</si>
  <si>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</si>
  <si>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</si>
  <si>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</si>
  <si>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</si>
  <si>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</si>
  <si>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</si>
  <si>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</si>
  <si>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</si>
  <si>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</si>
  <si>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</si>
  <si>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</si>
  <si>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</si>
  <si>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</si>
  <si>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</si>
  <si>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</si>
  <si>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</si>
  <si>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</si>
  <si>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</si>
  <si>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</si>
  <si>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</si>
  <si>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</si>
  <si>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</si>
  <si>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</si>
  <si>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</si>
  <si>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</si>
  <si>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</si>
  <si>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</si>
  <si>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</si>
  <si>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</si>
  <si>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</si>
  <si>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</si>
  <si>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</si>
  <si>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</si>
  <si>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</si>
  <si>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</si>
  <si>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</si>
  <si>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</si>
  <si>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</si>
  <si>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</si>
  <si>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</si>
  <si>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</si>
  <si>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</si>
  <si>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</si>
  <si>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</si>
  <si>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</si>
  <si>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</si>
  <si>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</si>
  <si>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</si>
  <si>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</si>
  <si>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</si>
  <si>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</si>
  <si>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</si>
  <si>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</si>
  <si>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</si>
  <si>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</si>
  <si>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</si>
  <si>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</si>
  <si>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X13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</si>
  <si>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</si>
  <si>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</si>
  <si>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</si>
  <si>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</si>
  <si>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</si>
  <si>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</si>
  <si>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</si>
  <si>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</si>
  <si>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</si>
  <si>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</si>
  <si>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</si>
  <si>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</si>
  <si>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</si>
  <si>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</si>
  <si>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</si>
  <si>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</si>
  <si>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</si>
  <si>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U6</t>
  </si>
  <si>
    <t>P96</t>
  </si>
  <si>
    <t>N3</t>
  </si>
  <si>
    <t>22:25</t>
  </si>
  <si>
    <t>O16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</si>
  <si>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</si>
  <si>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</si>
  <si>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</si>
  <si>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</si>
  <si>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</si>
  <si>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</si>
  <si>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</si>
  <si>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</si>
  <si>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</si>
  <si>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</si>
  <si>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</si>
  <si>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</si>
  <si>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</si>
  <si>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</si>
  <si>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</si>
  <si>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</si>
  <si>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</si>
  <si>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</si>
  <si>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</si>
  <si>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</si>
  <si>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</si>
  <si>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</si>
  <si>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</si>
  <si>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</si>
  <si>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</si>
  <si>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</si>
  <si>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</si>
  <si>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W1</t>
  </si>
  <si>
    <t>E34</t>
  </si>
  <si>
    <t>P88</t>
  </si>
  <si>
    <t>17:45</t>
  </si>
  <si>
    <t>T1</t>
  </si>
  <si>
    <t>FRIDAY</t>
  </si>
  <si>
    <t>O12</t>
  </si>
  <si>
    <t>I32</t>
  </si>
  <si>
    <t>07:40</t>
  </si>
  <si>
    <t>11:00</t>
  </si>
  <si>
    <t>O25</t>
  </si>
  <si>
    <t>I21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</si>
  <si>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</si>
  <si>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</si>
  <si>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</si>
  <si>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</si>
  <si>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</si>
  <si>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</si>
  <si>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</si>
  <si>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</si>
  <si>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</si>
  <si>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</si>
  <si>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</si>
  <si>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22:20</t>
  </si>
  <si>
    <t>09:30</t>
  </si>
  <si>
    <t>03:05</t>
  </si>
  <si>
    <t>07:15</t>
  </si>
  <si>
    <t>21:20</t>
  </si>
  <si>
    <t>05:00</t>
  </si>
  <si>
    <t>07:30</t>
  </si>
  <si>
    <t>16:00</t>
  </si>
  <si>
    <t>20:30</t>
  </si>
  <si>
    <t>06:10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</si>
  <si>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</si>
  <si>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</si>
  <si>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</si>
  <si>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</si>
  <si>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</si>
  <si>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</si>
  <si>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</si>
  <si>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</si>
  <si>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(-0.2)</t>
  </si>
  <si>
    <t>AHEAD (+1.0)</t>
  </si>
  <si>
    <t>AHEAD (+0.4)</t>
  </si>
  <si>
    <t>CLOSE (-0.6)</t>
  </si>
  <si>
    <t>AHEAD (+0.8)</t>
  </si>
  <si>
    <t>THREAT (+8.6)</t>
  </si>
  <si>
    <t>AHEAD (+0.3)</t>
  </si>
  <si>
    <t>AHEAD (+0.2)</t>
  </si>
  <si>
    <t>CLOSE (-0.1)</t>
  </si>
  <si>
    <t>THREAT (+7.1)</t>
  </si>
  <si>
    <t>THREAT (+6.9)</t>
  </si>
  <si>
    <t>THREAT (+6.5)</t>
  </si>
  <si>
    <t>THREAT (+5.3)</t>
  </si>
  <si>
    <t>23:00</t>
  </si>
  <si>
    <t>15:30</t>
  </si>
  <si>
    <t>THREAT (+4.3)</t>
  </si>
  <si>
    <t>00:20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</si>
  <si>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</si>
  <si>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</si>
  <si>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</si>
  <si>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</si>
  <si>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</si>
  <si>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</si>
  <si>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</si>
  <si>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</si>
  <si>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</si>
  <si>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</si>
  <si>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</si>
  <si>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</si>
  <si>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</si>
  <si>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</si>
  <si>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</si>
  <si>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</si>
  <si>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</si>
  <si>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CLOSE (-1.0)</t>
  </si>
  <si>
    <t>CLOSE (-0.9)</t>
  </si>
  <si>
    <t>THREAT (+5.1)</t>
  </si>
  <si>
    <t>THREAT (+5.7)</t>
  </si>
  <si>
    <t>THREAT (+4.7)</t>
  </si>
  <si>
    <t>THREAT (+3.3)</t>
  </si>
  <si>
    <t>THREAT (+2.7)</t>
  </si>
  <si>
    <t>CLOSE (-0.3)</t>
  </si>
  <si>
    <t>AHEAD (+0.7)</t>
  </si>
  <si>
    <t>2025-12-03</t>
  </si>
  <si>
    <t>12:55</t>
  </si>
  <si>
    <t>THREAT (+4.9)</t>
  </si>
  <si>
    <t>THREAT (+5.8)</t>
  </si>
  <si>
    <t>CLOSE (-0.4)</t>
  </si>
  <si>
    <t>2025-12-04</t>
  </si>
  <si>
    <t>07:55</t>
  </si>
  <si>
    <t>14:15</t>
  </si>
  <si>
    <t>23:10</t>
  </si>
  <si>
    <t>05:50</t>
  </si>
  <si>
    <t>THREAT (+2.5)</t>
  </si>
  <si>
    <t>2025-12-05</t>
  </si>
  <si>
    <t>CLOSE (-0.7)</t>
  </si>
  <si>
    <t>23:25</t>
  </si>
  <si>
    <t>THREAT (+2.8)</t>
  </si>
  <si>
    <t>THREAT (+1.1)</t>
  </si>
  <si>
    <t>16:15</t>
  </si>
  <si>
    <t>THREAT (+1.6)</t>
  </si>
  <si>
    <t>THREAT (+8.2)</t>
  </si>
  <si>
    <t>THREAT (+4.4)</t>
  </si>
  <si>
    <t>THREAT (+4.8)</t>
  </si>
  <si>
    <t>THREAT (+7.4)</t>
  </si>
  <si>
    <t>THREAT (+4.6)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</si>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</sst>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8.5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21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21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7" fontId="16" fillId="11" borderId="10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21" fillId="9" borderId="10" xfId="0" applyNumberFormat="1" applyFont="1" applyFill="1" applyBorder="1" applyAlignment="1">
      <alignment horizontal="center" vertical="center"/>
    </xf>
    <xf numFmtId="167" fontId="21" fillId="16" borderId="10" xfId="0" applyNumberFormat="1" applyFont="1" applyFill="1" applyBorder="1" applyAlignment="1">
      <alignment horizontal="center" vertical="center"/>
    </xf>
    <xf numFmtId="167" fontId="21" fillId="10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49" fontId="6" fillId="4" borderId="2" xfId="0" applyNumberFormat="1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18" xfId="0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53" totalsRowShown="0">
  <autoFilter ref="A1:H35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82">
  <autoFilter ref="A1:I182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69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90" t="s">
        <v>0</v>
      </c>
      <c r="B1" s="185"/>
      <c r="C1" s="185"/>
      <c r="D1" s="185"/>
      <c r="E1" s="185"/>
      <c r="F1" s="1" t="s">
        <v>1</v>
      </c>
      <c r="G1" s="1" t="s">
        <v>2</v>
      </c>
      <c r="H1" s="189">
        <v>45992</v>
      </c>
      <c r="I1" s="185"/>
      <c r="J1" s="185"/>
      <c r="K1" s="185"/>
      <c r="L1" s="185"/>
      <c r="M1" s="1" t="s">
        <v>3</v>
      </c>
      <c r="N1" s="184">
        <v>45996</v>
      </c>
      <c r="O1" s="185"/>
      <c r="P1" s="185"/>
      <c r="Q1" s="185"/>
      <c r="R1" s="18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2" t="s">
        <v>4</v>
      </c>
      <c r="B2" s="185"/>
      <c r="C2" s="185"/>
      <c r="D2" s="185"/>
      <c r="E2" s="185"/>
      <c r="F2" s="185"/>
      <c r="G2" s="194">
        <v>45990.798126597219</v>
      </c>
      <c r="H2" s="185"/>
      <c r="I2" s="185"/>
      <c r="J2" s="185"/>
      <c r="K2" s="187">
        <v>45990.798126597219</v>
      </c>
      <c r="L2" s="185"/>
      <c r="M2" s="185"/>
      <c r="N2" s="185"/>
      <c r="O2" s="185"/>
      <c r="P2" s="185"/>
      <c r="Q2" s="185"/>
      <c r="R2" s="185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3" t="s">
        <v>5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95" t="s">
        <v>6</v>
      </c>
      <c r="B4" s="179"/>
      <c r="C4" s="179"/>
      <c r="D4" s="179"/>
      <c r="E4" s="179"/>
      <c r="F4" s="180"/>
      <c r="G4" s="105">
        <v>45992</v>
      </c>
      <c r="H4" s="191" t="s">
        <v>7</v>
      </c>
      <c r="I4" s="179"/>
      <c r="J4" s="179"/>
      <c r="K4" s="179"/>
      <c r="L4" s="179"/>
      <c r="M4" s="179"/>
      <c r="N4" s="179"/>
      <c r="O4" s="179"/>
      <c r="P4" s="179"/>
      <c r="Q4" s="179"/>
      <c r="R4" s="180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6">
        <v>0.93055555555555558</v>
      </c>
      <c r="D6" s="8" t="s">
        <v>28</v>
      </c>
      <c r="E6" s="8" t="s">
        <v>29</v>
      </c>
      <c r="F6" s="8" t="s">
        <v>30</v>
      </c>
      <c r="G6" s="18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7">
        <v>0.93055555555555558</v>
      </c>
      <c r="D7" s="14" t="s">
        <v>31</v>
      </c>
      <c r="E7" s="14" t="s">
        <v>29</v>
      </c>
      <c r="F7" s="14" t="s">
        <v>32</v>
      </c>
      <c r="G7" s="1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7">
        <v>0.93055555555555558</v>
      </c>
      <c r="D8" s="14" t="s">
        <v>33</v>
      </c>
      <c r="E8" s="14" t="s">
        <v>29</v>
      </c>
      <c r="F8" s="14" t="s">
        <v>34</v>
      </c>
      <c r="G8" s="1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8">
        <v>0.37847222222222221</v>
      </c>
      <c r="D9" s="15" t="s">
        <v>31</v>
      </c>
      <c r="E9" s="15" t="s">
        <v>36</v>
      </c>
      <c r="F9" s="15" t="s">
        <v>37</v>
      </c>
      <c r="G9" s="1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7">
        <v>0.37847222222222221</v>
      </c>
      <c r="D10" s="14" t="s">
        <v>33</v>
      </c>
      <c r="E10" s="14" t="s">
        <v>36</v>
      </c>
      <c r="F10" s="14" t="s">
        <v>38</v>
      </c>
      <c r="G10" s="1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" t="s">
        <v>26</v>
      </c>
      <c r="B11" s="15" t="s">
        <v>39</v>
      </c>
      <c r="C11" s="108">
        <v>0.61111111111111116</v>
      </c>
      <c r="D11" s="15" t="s">
        <v>31</v>
      </c>
      <c r="E11" s="15" t="s">
        <v>36</v>
      </c>
      <c r="F11" s="15" t="s">
        <v>37</v>
      </c>
      <c r="G11" s="1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39</v>
      </c>
      <c r="C12" s="107">
        <v>0.61111111111111116</v>
      </c>
      <c r="D12" s="14" t="s">
        <v>33</v>
      </c>
      <c r="E12" s="14" t="s">
        <v>36</v>
      </c>
      <c r="F12" s="14" t="s">
        <v>38</v>
      </c>
      <c r="G12" s="1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5" t="s">
        <v>26</v>
      </c>
      <c r="B13" s="15" t="s">
        <v>40</v>
      </c>
      <c r="C13" s="108">
        <v>0.23958333333333329</v>
      </c>
      <c r="D13" s="15" t="s">
        <v>31</v>
      </c>
      <c r="E13" s="15" t="s">
        <v>36</v>
      </c>
      <c r="F13" s="15" t="s">
        <v>37</v>
      </c>
      <c r="G13" s="1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40</v>
      </c>
      <c r="C14" s="107">
        <v>0.23958333333333329</v>
      </c>
      <c r="D14" s="14" t="s">
        <v>33</v>
      </c>
      <c r="E14" s="14" t="s">
        <v>36</v>
      </c>
      <c r="F14" s="14" t="s">
        <v>38</v>
      </c>
      <c r="G14" s="1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108">
        <v>0.88888888888888884</v>
      </c>
      <c r="D15" s="15" t="s">
        <v>33</v>
      </c>
      <c r="E15" s="15" t="s">
        <v>42</v>
      </c>
      <c r="F15" s="15" t="s">
        <v>43</v>
      </c>
      <c r="G15" s="1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5" t="s">
        <v>26</v>
      </c>
      <c r="B16" s="15" t="s">
        <v>44</v>
      </c>
      <c r="C16" s="108">
        <v>0.30208333333333331</v>
      </c>
      <c r="D16" s="15" t="s">
        <v>33</v>
      </c>
      <c r="E16" s="15" t="s">
        <v>42</v>
      </c>
      <c r="F16" s="15" t="s">
        <v>43</v>
      </c>
      <c r="G16" s="1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5" t="s">
        <v>26</v>
      </c>
      <c r="B17" s="15" t="s">
        <v>45</v>
      </c>
      <c r="C17" s="108">
        <v>0.12847222222222221</v>
      </c>
      <c r="D17" s="15" t="s">
        <v>33</v>
      </c>
      <c r="E17" s="15" t="s">
        <v>42</v>
      </c>
      <c r="F17" s="15" t="s">
        <v>43</v>
      </c>
      <c r="G17" s="1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26</v>
      </c>
      <c r="B18" s="15" t="s">
        <v>46</v>
      </c>
      <c r="C18" s="108">
        <v>6.9444444444444441E-3</v>
      </c>
      <c r="D18" s="15" t="s">
        <v>31</v>
      </c>
      <c r="E18" s="15" t="s">
        <v>29</v>
      </c>
      <c r="F18" s="15" t="s">
        <v>47</v>
      </c>
      <c r="G18" s="1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46</v>
      </c>
      <c r="C19" s="107">
        <v>6.9444444444444441E-3</v>
      </c>
      <c r="D19" s="14" t="s">
        <v>33</v>
      </c>
      <c r="E19" s="14" t="s">
        <v>29</v>
      </c>
      <c r="F19" s="14" t="s">
        <v>48</v>
      </c>
      <c r="G19" s="17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5" t="s">
        <v>26</v>
      </c>
      <c r="B20" s="15" t="s">
        <v>49</v>
      </c>
      <c r="C20" s="108">
        <v>0.1423611111111111</v>
      </c>
      <c r="D20" s="15" t="s">
        <v>31</v>
      </c>
      <c r="E20" s="15" t="s">
        <v>36</v>
      </c>
      <c r="F20" s="15" t="s">
        <v>47</v>
      </c>
      <c r="G20" s="1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49</v>
      </c>
      <c r="C21" s="107">
        <v>0.1423611111111111</v>
      </c>
      <c r="D21" s="14" t="s">
        <v>33</v>
      </c>
      <c r="E21" s="14" t="s">
        <v>36</v>
      </c>
      <c r="F21" s="14" t="s">
        <v>48</v>
      </c>
      <c r="G21" s="1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5" t="s">
        <v>26</v>
      </c>
      <c r="B22" s="15" t="s">
        <v>50</v>
      </c>
      <c r="C22" s="108">
        <v>0.71875</v>
      </c>
      <c r="D22" s="15" t="s">
        <v>31</v>
      </c>
      <c r="E22" s="15" t="s">
        <v>36</v>
      </c>
      <c r="F22" s="15" t="s">
        <v>47</v>
      </c>
      <c r="G22" s="1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50</v>
      </c>
      <c r="C23" s="107">
        <v>0.71875</v>
      </c>
      <c r="D23" s="14" t="s">
        <v>33</v>
      </c>
      <c r="E23" s="14" t="s">
        <v>36</v>
      </c>
      <c r="F23" s="14" t="s">
        <v>48</v>
      </c>
      <c r="G23" s="17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26</v>
      </c>
      <c r="B24" s="15" t="s">
        <v>51</v>
      </c>
      <c r="C24" s="108">
        <v>0.82986111111111116</v>
      </c>
      <c r="D24" s="15" t="s">
        <v>31</v>
      </c>
      <c r="E24" s="15" t="s">
        <v>36</v>
      </c>
      <c r="F24" s="15" t="s">
        <v>47</v>
      </c>
      <c r="G24" s="17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51</v>
      </c>
      <c r="C25" s="107">
        <v>0.82986111111111116</v>
      </c>
      <c r="D25" s="14" t="s">
        <v>33</v>
      </c>
      <c r="E25" s="14" t="s">
        <v>36</v>
      </c>
      <c r="F25" s="14" t="s">
        <v>48</v>
      </c>
      <c r="G25" s="17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5" t="s">
        <v>26</v>
      </c>
      <c r="B26" s="15" t="s">
        <v>52</v>
      </c>
      <c r="C26" s="108">
        <v>0.78819444444444442</v>
      </c>
      <c r="D26" s="15" t="s">
        <v>33</v>
      </c>
      <c r="E26" s="15" t="s">
        <v>42</v>
      </c>
      <c r="F26" s="15" t="s">
        <v>53</v>
      </c>
      <c r="G26" s="1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54</v>
      </c>
      <c r="B27" s="16" t="s">
        <v>55</v>
      </c>
      <c r="C27" s="109">
        <v>0.39583333333333331</v>
      </c>
      <c r="D27" s="16" t="s">
        <v>56</v>
      </c>
      <c r="E27" s="16" t="s">
        <v>57</v>
      </c>
      <c r="F27" s="16" t="s">
        <v>58</v>
      </c>
      <c r="G27" s="1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54</v>
      </c>
      <c r="B28" s="14" t="s">
        <v>55</v>
      </c>
      <c r="C28" s="107">
        <v>0.39583333333333331</v>
      </c>
      <c r="D28" s="14" t="s">
        <v>59</v>
      </c>
      <c r="E28" s="14" t="s">
        <v>57</v>
      </c>
      <c r="F28" s="14" t="s">
        <v>60</v>
      </c>
      <c r="G28" s="1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54</v>
      </c>
      <c r="B29" s="14" t="s">
        <v>55</v>
      </c>
      <c r="C29" s="107">
        <v>0.39583333333333331</v>
      </c>
      <c r="D29" s="14" t="s">
        <v>61</v>
      </c>
      <c r="E29" s="14" t="s">
        <v>57</v>
      </c>
      <c r="F29" s="14" t="s">
        <v>62</v>
      </c>
      <c r="G29" s="1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54</v>
      </c>
      <c r="B30" s="15" t="s">
        <v>63</v>
      </c>
      <c r="C30" s="108">
        <v>0.85416666666666663</v>
      </c>
      <c r="D30" s="15" t="s">
        <v>56</v>
      </c>
      <c r="E30" s="15" t="s">
        <v>64</v>
      </c>
      <c r="F30" s="15" t="s">
        <v>65</v>
      </c>
      <c r="G30" s="1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54</v>
      </c>
      <c r="B31" s="14" t="s">
        <v>63</v>
      </c>
      <c r="C31" s="107">
        <v>0.85416666666666663</v>
      </c>
      <c r="D31" s="14" t="s">
        <v>59</v>
      </c>
      <c r="E31" s="14" t="s">
        <v>64</v>
      </c>
      <c r="F31" s="14" t="s">
        <v>66</v>
      </c>
      <c r="G31" s="1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54</v>
      </c>
      <c r="B32" s="14" t="s">
        <v>63</v>
      </c>
      <c r="C32" s="107">
        <v>0.85416666666666663</v>
      </c>
      <c r="D32" s="14" t="s">
        <v>61</v>
      </c>
      <c r="E32" s="14" t="s">
        <v>64</v>
      </c>
      <c r="F32" s="14" t="s">
        <v>67</v>
      </c>
      <c r="G32" s="1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54</v>
      </c>
      <c r="B33" s="15" t="s">
        <v>68</v>
      </c>
      <c r="C33" s="108">
        <v>0.25694444444444442</v>
      </c>
      <c r="D33" s="15" t="s">
        <v>56</v>
      </c>
      <c r="E33" s="15" t="s">
        <v>64</v>
      </c>
      <c r="F33" s="15" t="s">
        <v>65</v>
      </c>
      <c r="G33" s="1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54</v>
      </c>
      <c r="B34" s="14" t="s">
        <v>68</v>
      </c>
      <c r="C34" s="107">
        <v>0.25694444444444442</v>
      </c>
      <c r="D34" s="14" t="s">
        <v>59</v>
      </c>
      <c r="E34" s="14" t="s">
        <v>64</v>
      </c>
      <c r="F34" s="14" t="s">
        <v>66</v>
      </c>
      <c r="G34" s="1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54</v>
      </c>
      <c r="B35" s="14" t="s">
        <v>68</v>
      </c>
      <c r="C35" s="107">
        <v>0.25694444444444442</v>
      </c>
      <c r="D35" s="14" t="s">
        <v>61</v>
      </c>
      <c r="E35" s="14" t="s">
        <v>64</v>
      </c>
      <c r="F35" s="14" t="s">
        <v>67</v>
      </c>
      <c r="G35" s="1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54</v>
      </c>
      <c r="B36" s="15" t="s">
        <v>69</v>
      </c>
      <c r="C36" s="108">
        <v>0.46875</v>
      </c>
      <c r="D36" s="15" t="s">
        <v>56</v>
      </c>
      <c r="E36" s="15" t="s">
        <v>64</v>
      </c>
      <c r="F36" s="15" t="s">
        <v>65</v>
      </c>
      <c r="G36" s="1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54</v>
      </c>
      <c r="B37" s="14" t="s">
        <v>69</v>
      </c>
      <c r="C37" s="107">
        <v>0.46875</v>
      </c>
      <c r="D37" s="14" t="s">
        <v>59</v>
      </c>
      <c r="E37" s="14" t="s">
        <v>64</v>
      </c>
      <c r="F37" s="14" t="s">
        <v>66</v>
      </c>
      <c r="G37" s="1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54</v>
      </c>
      <c r="B38" s="14" t="s">
        <v>69</v>
      </c>
      <c r="C38" s="107">
        <v>0.46875</v>
      </c>
      <c r="D38" s="14" t="s">
        <v>61</v>
      </c>
      <c r="E38" s="14" t="s">
        <v>64</v>
      </c>
      <c r="F38" s="14" t="s">
        <v>67</v>
      </c>
      <c r="G38" s="1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54</v>
      </c>
      <c r="B39" s="15" t="s">
        <v>70</v>
      </c>
      <c r="C39" s="108">
        <v>0.51736111111111116</v>
      </c>
      <c r="D39" s="15" t="s">
        <v>56</v>
      </c>
      <c r="E39" s="15" t="s">
        <v>29</v>
      </c>
      <c r="F39" s="15" t="s">
        <v>65</v>
      </c>
      <c r="G39" s="17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54</v>
      </c>
      <c r="B40" s="14" t="s">
        <v>70</v>
      </c>
      <c r="C40" s="107">
        <v>0.51736111111111116</v>
      </c>
      <c r="D40" s="14" t="s">
        <v>59</v>
      </c>
      <c r="E40" s="14" t="s">
        <v>29</v>
      </c>
      <c r="F40" s="14" t="s">
        <v>66</v>
      </c>
      <c r="G40" s="17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54</v>
      </c>
      <c r="B41" s="14" t="s">
        <v>70</v>
      </c>
      <c r="C41" s="107">
        <v>0.51736111111111116</v>
      </c>
      <c r="D41" s="14" t="s">
        <v>61</v>
      </c>
      <c r="E41" s="14" t="s">
        <v>29</v>
      </c>
      <c r="F41" s="14" t="s">
        <v>67</v>
      </c>
      <c r="G41" s="1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5" t="s">
        <v>54</v>
      </c>
      <c r="B42" s="15" t="s">
        <v>71</v>
      </c>
      <c r="C42" s="108">
        <v>0.90277777777777779</v>
      </c>
      <c r="D42" s="15" t="s">
        <v>56</v>
      </c>
      <c r="E42" s="15" t="s">
        <v>64</v>
      </c>
      <c r="F42" s="15" t="s">
        <v>65</v>
      </c>
      <c r="G42" s="1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54</v>
      </c>
      <c r="B43" s="14" t="s">
        <v>71</v>
      </c>
      <c r="C43" s="107">
        <v>0.90277777777777779</v>
      </c>
      <c r="D43" s="14" t="s">
        <v>59</v>
      </c>
      <c r="E43" s="14" t="s">
        <v>64</v>
      </c>
      <c r="F43" s="14" t="s">
        <v>66</v>
      </c>
      <c r="G43" s="1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54</v>
      </c>
      <c r="B44" s="14" t="s">
        <v>71</v>
      </c>
      <c r="C44" s="107">
        <v>0.90277777777777779</v>
      </c>
      <c r="D44" s="14" t="s">
        <v>61</v>
      </c>
      <c r="E44" s="14" t="s">
        <v>64</v>
      </c>
      <c r="F44" s="14" t="s">
        <v>67</v>
      </c>
      <c r="G44" s="1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5" t="s">
        <v>54</v>
      </c>
      <c r="B45" s="15" t="s">
        <v>72</v>
      </c>
      <c r="C45" s="108">
        <v>0.79861111111111116</v>
      </c>
      <c r="D45" s="15" t="s">
        <v>56</v>
      </c>
      <c r="E45" s="15" t="s">
        <v>73</v>
      </c>
      <c r="F45" s="15" t="s">
        <v>65</v>
      </c>
      <c r="G45" s="1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54</v>
      </c>
      <c r="B46" s="14" t="s">
        <v>72</v>
      </c>
      <c r="C46" s="107">
        <v>0.79861111111111116</v>
      </c>
      <c r="D46" s="14" t="s">
        <v>59</v>
      </c>
      <c r="E46" s="14" t="s">
        <v>73</v>
      </c>
      <c r="F46" s="14" t="s">
        <v>66</v>
      </c>
      <c r="G46" s="17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54</v>
      </c>
      <c r="B47" s="14" t="s">
        <v>72</v>
      </c>
      <c r="C47" s="107">
        <v>0.79861111111111116</v>
      </c>
      <c r="D47" s="14" t="s">
        <v>61</v>
      </c>
      <c r="E47" s="14" t="s">
        <v>73</v>
      </c>
      <c r="F47" s="14" t="s">
        <v>67</v>
      </c>
      <c r="G47" s="1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5" t="s">
        <v>54</v>
      </c>
      <c r="B48" s="15" t="s">
        <v>74</v>
      </c>
      <c r="C48" s="108">
        <v>0.64583333333333337</v>
      </c>
      <c r="D48" s="15" t="s">
        <v>56</v>
      </c>
      <c r="E48" s="15" t="s">
        <v>64</v>
      </c>
      <c r="F48" s="15" t="s">
        <v>75</v>
      </c>
      <c r="G48" s="1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54</v>
      </c>
      <c r="B49" s="14" t="s">
        <v>74</v>
      </c>
      <c r="C49" s="107">
        <v>0.64583333333333337</v>
      </c>
      <c r="D49" s="14" t="s">
        <v>59</v>
      </c>
      <c r="E49" s="14" t="s">
        <v>64</v>
      </c>
      <c r="F49" s="14" t="s">
        <v>76</v>
      </c>
      <c r="G49" s="1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54</v>
      </c>
      <c r="B50" s="14" t="s">
        <v>74</v>
      </c>
      <c r="C50" s="107">
        <v>0.64583333333333337</v>
      </c>
      <c r="D50" s="14" t="s">
        <v>61</v>
      </c>
      <c r="E50" s="14" t="s">
        <v>64</v>
      </c>
      <c r="F50" s="14" t="s">
        <v>77</v>
      </c>
      <c r="G50" s="1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78</v>
      </c>
      <c r="B51" s="16" t="s">
        <v>79</v>
      </c>
      <c r="C51" s="109">
        <v>0.12847222222222221</v>
      </c>
      <c r="D51" s="16" t="s">
        <v>80</v>
      </c>
      <c r="E51" s="16" t="s">
        <v>81</v>
      </c>
      <c r="F51" s="16" t="s">
        <v>82</v>
      </c>
      <c r="G51" s="1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78</v>
      </c>
      <c r="B52" s="14" t="s">
        <v>79</v>
      </c>
      <c r="C52" s="107">
        <v>0.12847222222222221</v>
      </c>
      <c r="D52" s="14" t="s">
        <v>83</v>
      </c>
      <c r="E52" s="14" t="s">
        <v>81</v>
      </c>
      <c r="F52" s="14" t="s">
        <v>84</v>
      </c>
      <c r="G52" s="1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78</v>
      </c>
      <c r="B53" s="14" t="s">
        <v>79</v>
      </c>
      <c r="C53" s="107">
        <v>0.12847222222222221</v>
      </c>
      <c r="D53" s="14" t="s">
        <v>85</v>
      </c>
      <c r="E53" s="14" t="s">
        <v>81</v>
      </c>
      <c r="F53" s="14" t="s">
        <v>86</v>
      </c>
      <c r="G53" s="17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78</v>
      </c>
      <c r="B54" s="15" t="s">
        <v>87</v>
      </c>
      <c r="C54" s="108">
        <v>0.30208333333333331</v>
      </c>
      <c r="D54" s="15" t="s">
        <v>80</v>
      </c>
      <c r="E54" s="15" t="s">
        <v>88</v>
      </c>
      <c r="F54" s="15" t="s">
        <v>82</v>
      </c>
      <c r="G54" s="17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78</v>
      </c>
      <c r="B55" s="14" t="s">
        <v>87</v>
      </c>
      <c r="C55" s="107">
        <v>0.30208333333333331</v>
      </c>
      <c r="D55" s="14" t="s">
        <v>83</v>
      </c>
      <c r="E55" s="14" t="s">
        <v>88</v>
      </c>
      <c r="F55" s="14" t="s">
        <v>84</v>
      </c>
      <c r="G55" s="17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78</v>
      </c>
      <c r="B56" s="14" t="s">
        <v>87</v>
      </c>
      <c r="C56" s="107">
        <v>0.30208333333333331</v>
      </c>
      <c r="D56" s="14" t="s">
        <v>85</v>
      </c>
      <c r="E56" s="14" t="s">
        <v>88</v>
      </c>
      <c r="F56" s="14" t="s">
        <v>86</v>
      </c>
      <c r="G56" s="17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78</v>
      </c>
      <c r="B57" s="15" t="s">
        <v>89</v>
      </c>
      <c r="C57" s="108">
        <v>0.88888888888888884</v>
      </c>
      <c r="D57" s="15" t="s">
        <v>80</v>
      </c>
      <c r="E57" s="15" t="s">
        <v>73</v>
      </c>
      <c r="F57" s="15" t="s">
        <v>82</v>
      </c>
      <c r="G57" s="17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78</v>
      </c>
      <c r="B58" s="14" t="s">
        <v>89</v>
      </c>
      <c r="C58" s="107">
        <v>0.88888888888888884</v>
      </c>
      <c r="D58" s="14" t="s">
        <v>83</v>
      </c>
      <c r="E58" s="14" t="s">
        <v>73</v>
      </c>
      <c r="F58" s="14" t="s">
        <v>84</v>
      </c>
      <c r="G58" s="1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78</v>
      </c>
      <c r="B59" s="14" t="s">
        <v>89</v>
      </c>
      <c r="C59" s="107">
        <v>0.88888888888888884</v>
      </c>
      <c r="D59" s="14" t="s">
        <v>85</v>
      </c>
      <c r="E59" s="14" t="s">
        <v>73</v>
      </c>
      <c r="F59" s="14" t="s">
        <v>86</v>
      </c>
      <c r="G59" s="1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78</v>
      </c>
      <c r="B60" s="15" t="s">
        <v>90</v>
      </c>
      <c r="C60" s="108">
        <v>0.78819444444444442</v>
      </c>
      <c r="D60" s="15" t="s">
        <v>80</v>
      </c>
      <c r="E60" s="15" t="s">
        <v>57</v>
      </c>
      <c r="F60" s="15" t="s">
        <v>91</v>
      </c>
      <c r="G60" s="1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78</v>
      </c>
      <c r="B61" s="14" t="s">
        <v>90</v>
      </c>
      <c r="C61" s="107">
        <v>0.78819444444444442</v>
      </c>
      <c r="D61" s="14" t="s">
        <v>83</v>
      </c>
      <c r="E61" s="14" t="s">
        <v>57</v>
      </c>
      <c r="F61" s="14" t="s">
        <v>92</v>
      </c>
      <c r="G61" s="17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78</v>
      </c>
      <c r="B62" s="14" t="s">
        <v>90</v>
      </c>
      <c r="C62" s="107">
        <v>0.78819444444444442</v>
      </c>
      <c r="D62" s="14" t="s">
        <v>85</v>
      </c>
      <c r="E62" s="14" t="s">
        <v>57</v>
      </c>
      <c r="F62" s="14" t="s">
        <v>86</v>
      </c>
      <c r="G62" s="17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93</v>
      </c>
      <c r="B63" s="16" t="s">
        <v>94</v>
      </c>
      <c r="C63" s="109">
        <v>0.20833333333333329</v>
      </c>
      <c r="D63" s="16" t="s">
        <v>95</v>
      </c>
      <c r="E63" s="16" t="s">
        <v>96</v>
      </c>
      <c r="F63" s="16" t="s">
        <v>97</v>
      </c>
      <c r="G63" s="1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98</v>
      </c>
      <c r="B64" s="16" t="s">
        <v>99</v>
      </c>
      <c r="C64" s="109">
        <v>0.3125</v>
      </c>
      <c r="D64" s="16" t="s">
        <v>95</v>
      </c>
      <c r="E64" s="16" t="s">
        <v>36</v>
      </c>
      <c r="F64" s="16" t="s">
        <v>100</v>
      </c>
      <c r="G64" s="1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98</v>
      </c>
      <c r="B65" s="15" t="s">
        <v>101</v>
      </c>
      <c r="C65" s="108">
        <v>0.66666666666666663</v>
      </c>
      <c r="D65" s="15" t="s">
        <v>95</v>
      </c>
      <c r="E65" s="15" t="s">
        <v>73</v>
      </c>
      <c r="F65" s="15" t="s">
        <v>100</v>
      </c>
      <c r="G65" s="1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102</v>
      </c>
      <c r="B66" s="16" t="s">
        <v>103</v>
      </c>
      <c r="C66" s="109">
        <v>0.1736111111111111</v>
      </c>
      <c r="D66" s="16" t="s">
        <v>104</v>
      </c>
      <c r="E66" s="16" t="s">
        <v>64</v>
      </c>
      <c r="F66" s="16" t="s">
        <v>105</v>
      </c>
      <c r="G66" s="17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102</v>
      </c>
      <c r="B67" s="14" t="s">
        <v>103</v>
      </c>
      <c r="C67" s="107">
        <v>0.1736111111111111</v>
      </c>
      <c r="D67" s="14" t="s">
        <v>85</v>
      </c>
      <c r="E67" s="14" t="s">
        <v>64</v>
      </c>
      <c r="F67" s="14" t="s">
        <v>106</v>
      </c>
      <c r="G67" s="17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5" t="s">
        <v>102</v>
      </c>
      <c r="B68" s="15" t="s">
        <v>107</v>
      </c>
      <c r="C68" s="108">
        <v>0.3923611111111111</v>
      </c>
      <c r="D68" s="15" t="s">
        <v>104</v>
      </c>
      <c r="E68" s="15" t="s">
        <v>64</v>
      </c>
      <c r="F68" s="15" t="s">
        <v>108</v>
      </c>
      <c r="G68" s="17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102</v>
      </c>
      <c r="B69" s="14" t="s">
        <v>107</v>
      </c>
      <c r="C69" s="107">
        <v>0.3923611111111111</v>
      </c>
      <c r="D69" s="14" t="s">
        <v>85</v>
      </c>
      <c r="E69" s="14" t="s">
        <v>64</v>
      </c>
      <c r="F69" s="14" t="s">
        <v>109</v>
      </c>
      <c r="G69" s="1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7" t="s">
        <v>110</v>
      </c>
      <c r="B70" s="17" t="s">
        <v>111</v>
      </c>
      <c r="C70" s="110">
        <v>0.97916666666666663</v>
      </c>
      <c r="D70" s="17" t="s">
        <v>112</v>
      </c>
      <c r="E70" s="17" t="s">
        <v>73</v>
      </c>
      <c r="F70" s="17" t="s">
        <v>113</v>
      </c>
      <c r="G70" s="176"/>
      <c r="H70" s="18" t="s">
        <v>114</v>
      </c>
      <c r="I70" s="111">
        <v>0.9385</v>
      </c>
      <c r="J70" s="19">
        <v>168</v>
      </c>
      <c r="K70" s="20" t="s">
        <v>115</v>
      </c>
      <c r="L70" s="19">
        <v>20</v>
      </c>
      <c r="M70" s="19">
        <v>2</v>
      </c>
      <c r="N70" s="19">
        <v>3</v>
      </c>
      <c r="O70" s="21" t="s">
        <v>116</v>
      </c>
      <c r="P70" s="112">
        <v>0.97916666666666663</v>
      </c>
      <c r="Q70" s="19">
        <v>179</v>
      </c>
      <c r="R70" s="22" t="s">
        <v>117</v>
      </c>
    </row>
    <row r="71" spans="1:18" ht="15" customHeight="1" x14ac:dyDescent="0.3">
      <c r="A71" s="23" t="s">
        <v>110</v>
      </c>
      <c r="B71" s="23" t="s">
        <v>118</v>
      </c>
      <c r="C71" s="113">
        <v>0.61458333333333337</v>
      </c>
      <c r="D71" s="23" t="s">
        <v>112</v>
      </c>
      <c r="E71" s="23" t="s">
        <v>119</v>
      </c>
      <c r="F71" s="23" t="s">
        <v>120</v>
      </c>
      <c r="G71" s="176"/>
      <c r="H71" s="24" t="s">
        <v>121</v>
      </c>
      <c r="I71" s="114">
        <v>0.89390000000000003</v>
      </c>
      <c r="J71" s="25">
        <v>160</v>
      </c>
      <c r="K71" s="26" t="s">
        <v>115</v>
      </c>
      <c r="L71" s="25">
        <v>9</v>
      </c>
      <c r="M71" s="25">
        <v>1</v>
      </c>
      <c r="N71" s="25">
        <v>2</v>
      </c>
      <c r="O71" s="27" t="s">
        <v>122</v>
      </c>
      <c r="P71" s="115">
        <v>0.61458333333333337</v>
      </c>
      <c r="Q71" s="25">
        <v>179</v>
      </c>
      <c r="R71" s="28" t="s">
        <v>123</v>
      </c>
    </row>
    <row r="72" spans="1:18" ht="15" customHeight="1" x14ac:dyDescent="0.3">
      <c r="A72" s="29" t="s">
        <v>110</v>
      </c>
      <c r="B72" s="29" t="s">
        <v>124</v>
      </c>
      <c r="C72" s="116">
        <v>6.9444444444444441E-3</v>
      </c>
      <c r="D72" s="29" t="s">
        <v>112</v>
      </c>
      <c r="E72" s="29" t="s">
        <v>125</v>
      </c>
      <c r="F72" s="29" t="s">
        <v>126</v>
      </c>
      <c r="G72" s="176"/>
      <c r="H72" s="30" t="s">
        <v>127</v>
      </c>
      <c r="I72" s="117">
        <v>0.88270000000000004</v>
      </c>
      <c r="J72" s="31">
        <v>158</v>
      </c>
      <c r="K72" s="32" t="s">
        <v>128</v>
      </c>
      <c r="L72" s="31">
        <v>2</v>
      </c>
      <c r="M72" s="31">
        <v>0</v>
      </c>
      <c r="N72" s="31">
        <v>0</v>
      </c>
      <c r="O72" s="33" t="s">
        <v>129</v>
      </c>
      <c r="P72" s="118">
        <v>6.9444444444444441E-3</v>
      </c>
      <c r="Q72" s="31">
        <v>179</v>
      </c>
      <c r="R72" s="34" t="s">
        <v>130</v>
      </c>
    </row>
    <row r="73" spans="1:18" ht="15" customHeight="1" x14ac:dyDescent="0.3">
      <c r="A73" s="35" t="s">
        <v>110</v>
      </c>
      <c r="B73" s="35" t="s">
        <v>131</v>
      </c>
      <c r="C73" s="119">
        <v>0.4236111111111111</v>
      </c>
      <c r="D73" s="35" t="s">
        <v>112</v>
      </c>
      <c r="E73" s="35" t="s">
        <v>42</v>
      </c>
      <c r="F73" s="35" t="s">
        <v>126</v>
      </c>
      <c r="G73" s="176"/>
      <c r="H73" s="36" t="s">
        <v>132</v>
      </c>
      <c r="I73" s="120">
        <v>0.97209999999999996</v>
      </c>
      <c r="J73" s="37">
        <v>174</v>
      </c>
      <c r="K73" s="38" t="s">
        <v>133</v>
      </c>
      <c r="L73" s="37">
        <v>8</v>
      </c>
      <c r="M73" s="37">
        <v>0</v>
      </c>
      <c r="N73" s="37">
        <v>0</v>
      </c>
      <c r="O73" s="39" t="s">
        <v>134</v>
      </c>
      <c r="P73" s="121">
        <v>0.4236111111111111</v>
      </c>
      <c r="Q73" s="37">
        <v>179</v>
      </c>
      <c r="R73" s="40" t="s">
        <v>135</v>
      </c>
    </row>
    <row r="74" spans="1:18" ht="15" customHeight="1" x14ac:dyDescent="0.3">
      <c r="A74" s="16" t="s">
        <v>136</v>
      </c>
      <c r="B74" s="16" t="s">
        <v>137</v>
      </c>
      <c r="C74" s="109">
        <v>0.22916666666666671</v>
      </c>
      <c r="D74" s="16" t="s">
        <v>138</v>
      </c>
      <c r="E74" s="16" t="s">
        <v>36</v>
      </c>
      <c r="F74" s="16" t="s">
        <v>139</v>
      </c>
      <c r="G74" s="17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136</v>
      </c>
      <c r="B75" s="15" t="s">
        <v>140</v>
      </c>
      <c r="C75" s="108">
        <v>0.14583333333333329</v>
      </c>
      <c r="D75" s="15" t="s">
        <v>138</v>
      </c>
      <c r="E75" s="15" t="s">
        <v>36</v>
      </c>
      <c r="F75" s="15" t="s">
        <v>139</v>
      </c>
      <c r="G75" s="17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136</v>
      </c>
      <c r="B76" s="15" t="s">
        <v>141</v>
      </c>
      <c r="C76" s="108">
        <v>0.27777777777777779</v>
      </c>
      <c r="D76" s="15" t="s">
        <v>138</v>
      </c>
      <c r="E76" s="15" t="s">
        <v>36</v>
      </c>
      <c r="F76" s="15" t="s">
        <v>139</v>
      </c>
      <c r="G76" s="1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136</v>
      </c>
      <c r="B77" s="15" t="s">
        <v>142</v>
      </c>
      <c r="C77" s="108">
        <v>0.4861111111111111</v>
      </c>
      <c r="D77" s="15" t="s">
        <v>138</v>
      </c>
      <c r="E77" s="15" t="s">
        <v>36</v>
      </c>
      <c r="F77" s="15" t="s">
        <v>139</v>
      </c>
      <c r="G77" s="1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136</v>
      </c>
      <c r="B78" s="15" t="s">
        <v>143</v>
      </c>
      <c r="C78" s="108">
        <v>0.51388888888888884</v>
      </c>
      <c r="D78" s="15" t="s">
        <v>138</v>
      </c>
      <c r="E78" s="15" t="s">
        <v>36</v>
      </c>
      <c r="F78" s="15" t="s">
        <v>139</v>
      </c>
      <c r="G78" s="1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136</v>
      </c>
      <c r="B79" s="15" t="s">
        <v>144</v>
      </c>
      <c r="C79" s="108">
        <v>0.95833333333333337</v>
      </c>
      <c r="D79" s="15" t="s">
        <v>145</v>
      </c>
      <c r="E79" s="15" t="s">
        <v>29</v>
      </c>
      <c r="F79" s="15" t="s">
        <v>146</v>
      </c>
      <c r="G79" s="1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5" t="s">
        <v>136</v>
      </c>
      <c r="B80" s="15" t="s">
        <v>147</v>
      </c>
      <c r="C80" s="108">
        <v>0.77430555555555558</v>
      </c>
      <c r="D80" s="15" t="s">
        <v>145</v>
      </c>
      <c r="E80" s="15" t="s">
        <v>81</v>
      </c>
      <c r="F80" s="15" t="s">
        <v>148</v>
      </c>
      <c r="G80" s="1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thickBot="1" x14ac:dyDescent="0.35">
      <c r="A81" s="41" t="s">
        <v>136</v>
      </c>
      <c r="B81" s="41" t="s">
        <v>149</v>
      </c>
      <c r="C81" s="122">
        <v>1.388888888888889E-2</v>
      </c>
      <c r="D81" s="41" t="s">
        <v>145</v>
      </c>
      <c r="E81" s="41" t="s">
        <v>96</v>
      </c>
      <c r="F81" s="41" t="s">
        <v>148</v>
      </c>
      <c r="G81" s="177"/>
      <c r="H81" s="42"/>
      <c r="I81" s="43"/>
      <c r="J81" s="43"/>
      <c r="K81" s="43"/>
      <c r="L81" s="43"/>
      <c r="M81" s="43"/>
      <c r="N81" s="43"/>
      <c r="O81" s="44"/>
      <c r="P81" s="43"/>
      <c r="Q81" s="45"/>
      <c r="R81" s="46"/>
    </row>
    <row r="82" spans="1:18" ht="17.399999999999999" customHeight="1" thickBot="1" x14ac:dyDescent="0.35">
      <c r="A82" s="181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3"/>
    </row>
    <row r="83" spans="1:18" ht="22.05" customHeight="1" thickTop="1" thickBot="1" x14ac:dyDescent="0.35">
      <c r="A83" s="186" t="s">
        <v>6</v>
      </c>
      <c r="B83" s="179"/>
      <c r="C83" s="179"/>
      <c r="D83" s="179"/>
      <c r="E83" s="179"/>
      <c r="F83" s="180"/>
      <c r="G83" s="123">
        <v>45993</v>
      </c>
      <c r="H83" s="178" t="s">
        <v>7</v>
      </c>
      <c r="I83" s="179"/>
      <c r="J83" s="179"/>
      <c r="K83" s="179"/>
      <c r="L83" s="179"/>
      <c r="M83" s="179"/>
      <c r="N83" s="179"/>
      <c r="O83" s="179"/>
      <c r="P83" s="179"/>
      <c r="Q83" s="179"/>
      <c r="R83" s="180"/>
    </row>
    <row r="84" spans="1:18" ht="24" customHeight="1" x14ac:dyDescent="0.3">
      <c r="A84" s="47" t="s">
        <v>8</v>
      </c>
      <c r="B84" s="47" t="s">
        <v>9</v>
      </c>
      <c r="C84" s="124" t="s">
        <v>10</v>
      </c>
      <c r="D84" s="47" t="s">
        <v>11</v>
      </c>
      <c r="E84" s="47" t="s">
        <v>12</v>
      </c>
      <c r="F84" s="48" t="s">
        <v>13</v>
      </c>
      <c r="G84" s="49" t="s">
        <v>14</v>
      </c>
      <c r="H84" s="47" t="s">
        <v>15</v>
      </c>
      <c r="I84" s="125" t="s">
        <v>16</v>
      </c>
      <c r="J84" s="50" t="s">
        <v>17</v>
      </c>
      <c r="K84" s="51" t="s">
        <v>18</v>
      </c>
      <c r="L84" s="50" t="s">
        <v>19</v>
      </c>
      <c r="M84" s="50" t="s">
        <v>20</v>
      </c>
      <c r="N84" s="50" t="s">
        <v>21</v>
      </c>
      <c r="O84" s="47" t="s">
        <v>22</v>
      </c>
      <c r="P84" s="124" t="s">
        <v>23</v>
      </c>
      <c r="Q84" s="50" t="s">
        <v>24</v>
      </c>
      <c r="R84" s="47" t="s">
        <v>25</v>
      </c>
    </row>
    <row r="85" spans="1:18" ht="15" customHeight="1" x14ac:dyDescent="0.3">
      <c r="A85" s="8" t="s">
        <v>78</v>
      </c>
      <c r="B85" s="8" t="s">
        <v>79</v>
      </c>
      <c r="C85" s="106">
        <v>0.12847222222222221</v>
      </c>
      <c r="D85" s="8" t="s">
        <v>80</v>
      </c>
      <c r="E85" s="8" t="s">
        <v>119</v>
      </c>
      <c r="F85" s="8" t="s">
        <v>150</v>
      </c>
      <c r="G85" s="1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78</v>
      </c>
      <c r="B86" s="14" t="s">
        <v>79</v>
      </c>
      <c r="C86" s="107">
        <v>0.12847222222222221</v>
      </c>
      <c r="D86" s="14" t="s">
        <v>83</v>
      </c>
      <c r="E86" s="14" t="s">
        <v>119</v>
      </c>
      <c r="F86" s="14" t="s">
        <v>66</v>
      </c>
      <c r="G86" s="1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78</v>
      </c>
      <c r="B87" s="14" t="s">
        <v>79</v>
      </c>
      <c r="C87" s="107">
        <v>0.12847222222222221</v>
      </c>
      <c r="D87" s="14" t="s">
        <v>85</v>
      </c>
      <c r="E87" s="14" t="s">
        <v>119</v>
      </c>
      <c r="F87" s="14" t="s">
        <v>86</v>
      </c>
      <c r="G87" s="17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5" t="s">
        <v>78</v>
      </c>
      <c r="B88" s="15" t="s">
        <v>89</v>
      </c>
      <c r="C88" s="108">
        <v>0.88888888888888884</v>
      </c>
      <c r="D88" s="15" t="s">
        <v>80</v>
      </c>
      <c r="E88" s="15" t="s">
        <v>96</v>
      </c>
      <c r="F88" s="15" t="s">
        <v>150</v>
      </c>
      <c r="G88" s="1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78</v>
      </c>
      <c r="B89" s="14" t="s">
        <v>89</v>
      </c>
      <c r="C89" s="107">
        <v>0.88888888888888884</v>
      </c>
      <c r="D89" s="14" t="s">
        <v>83</v>
      </c>
      <c r="E89" s="14" t="s">
        <v>96</v>
      </c>
      <c r="F89" s="14" t="s">
        <v>66</v>
      </c>
      <c r="G89" s="1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78</v>
      </c>
      <c r="B90" s="14" t="s">
        <v>89</v>
      </c>
      <c r="C90" s="107">
        <v>0.88888888888888884</v>
      </c>
      <c r="D90" s="14" t="s">
        <v>85</v>
      </c>
      <c r="E90" s="14" t="s">
        <v>96</v>
      </c>
      <c r="F90" s="14" t="s">
        <v>86</v>
      </c>
      <c r="G90" s="17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5" t="s">
        <v>78</v>
      </c>
      <c r="B91" s="15" t="s">
        <v>87</v>
      </c>
      <c r="C91" s="108">
        <v>0.30208333333333331</v>
      </c>
      <c r="D91" s="15" t="s">
        <v>80</v>
      </c>
      <c r="E91" s="15" t="s">
        <v>96</v>
      </c>
      <c r="F91" s="15" t="s">
        <v>82</v>
      </c>
      <c r="G91" s="1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78</v>
      </c>
      <c r="B92" s="14" t="s">
        <v>87</v>
      </c>
      <c r="C92" s="107">
        <v>0.30208333333333331</v>
      </c>
      <c r="D92" s="14" t="s">
        <v>83</v>
      </c>
      <c r="E92" s="14" t="s">
        <v>96</v>
      </c>
      <c r="F92" s="14" t="s">
        <v>84</v>
      </c>
      <c r="G92" s="1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78</v>
      </c>
      <c r="B93" s="14" t="s">
        <v>87</v>
      </c>
      <c r="C93" s="107">
        <v>0.30208333333333331</v>
      </c>
      <c r="D93" s="14" t="s">
        <v>85</v>
      </c>
      <c r="E93" s="14" t="s">
        <v>96</v>
      </c>
      <c r="F93" s="14" t="s">
        <v>86</v>
      </c>
      <c r="G93" s="1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5" t="s">
        <v>78</v>
      </c>
      <c r="B94" s="15" t="s">
        <v>90</v>
      </c>
      <c r="C94" s="108">
        <v>0.78819444444444442</v>
      </c>
      <c r="D94" s="15" t="s">
        <v>80</v>
      </c>
      <c r="E94" s="15" t="s">
        <v>119</v>
      </c>
      <c r="F94" s="15" t="s">
        <v>151</v>
      </c>
      <c r="G94" s="1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78</v>
      </c>
      <c r="B95" s="14" t="s">
        <v>90</v>
      </c>
      <c r="C95" s="107">
        <v>0.78819444444444442</v>
      </c>
      <c r="D95" s="14" t="s">
        <v>83</v>
      </c>
      <c r="E95" s="14" t="s">
        <v>119</v>
      </c>
      <c r="F95" s="14" t="s">
        <v>75</v>
      </c>
      <c r="G95" s="1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78</v>
      </c>
      <c r="B96" s="14" t="s">
        <v>90</v>
      </c>
      <c r="C96" s="107">
        <v>0.78819444444444442</v>
      </c>
      <c r="D96" s="14" t="s">
        <v>85</v>
      </c>
      <c r="E96" s="14" t="s">
        <v>119</v>
      </c>
      <c r="F96" s="14" t="s">
        <v>86</v>
      </c>
      <c r="G96" s="1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54</v>
      </c>
      <c r="B97" s="16" t="s">
        <v>63</v>
      </c>
      <c r="C97" s="109">
        <v>0.85416666666666663</v>
      </c>
      <c r="D97" s="16" t="s">
        <v>56</v>
      </c>
      <c r="E97" s="16" t="s">
        <v>96</v>
      </c>
      <c r="F97" s="16" t="s">
        <v>58</v>
      </c>
      <c r="G97" s="1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54</v>
      </c>
      <c r="B98" s="14" t="s">
        <v>63</v>
      </c>
      <c r="C98" s="107">
        <v>0.85416666666666663</v>
      </c>
      <c r="D98" s="14" t="s">
        <v>59</v>
      </c>
      <c r="E98" s="14" t="s">
        <v>96</v>
      </c>
      <c r="F98" s="14" t="s">
        <v>60</v>
      </c>
      <c r="G98" s="1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54</v>
      </c>
      <c r="B99" s="14" t="s">
        <v>63</v>
      </c>
      <c r="C99" s="107">
        <v>0.85416666666666663</v>
      </c>
      <c r="D99" s="14" t="s">
        <v>61</v>
      </c>
      <c r="E99" s="14" t="s">
        <v>96</v>
      </c>
      <c r="F99" s="14" t="s">
        <v>62</v>
      </c>
      <c r="G99" s="1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5" t="s">
        <v>54</v>
      </c>
      <c r="B100" s="15" t="s">
        <v>68</v>
      </c>
      <c r="C100" s="108">
        <v>0.25694444444444442</v>
      </c>
      <c r="D100" s="15" t="s">
        <v>56</v>
      </c>
      <c r="E100" s="15" t="s">
        <v>29</v>
      </c>
      <c r="F100" s="15" t="s">
        <v>58</v>
      </c>
      <c r="G100" s="1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54</v>
      </c>
      <c r="B101" s="14" t="s">
        <v>68</v>
      </c>
      <c r="C101" s="107">
        <v>0.25694444444444442</v>
      </c>
      <c r="D101" s="14" t="s">
        <v>59</v>
      </c>
      <c r="E101" s="14" t="s">
        <v>29</v>
      </c>
      <c r="F101" s="14" t="s">
        <v>60</v>
      </c>
      <c r="G101" s="17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54</v>
      </c>
      <c r="B102" s="14" t="s">
        <v>68</v>
      </c>
      <c r="C102" s="107">
        <v>0.25694444444444442</v>
      </c>
      <c r="D102" s="14" t="s">
        <v>61</v>
      </c>
      <c r="E102" s="14" t="s">
        <v>29</v>
      </c>
      <c r="F102" s="14" t="s">
        <v>62</v>
      </c>
      <c r="G102" s="1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5" t="s">
        <v>54</v>
      </c>
      <c r="B103" s="15" t="s">
        <v>55</v>
      </c>
      <c r="C103" s="108">
        <v>0.39583333333333331</v>
      </c>
      <c r="D103" s="15" t="s">
        <v>56</v>
      </c>
      <c r="E103" s="15" t="s">
        <v>64</v>
      </c>
      <c r="F103" s="15" t="s">
        <v>58</v>
      </c>
      <c r="G103" s="17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54</v>
      </c>
      <c r="B104" s="14" t="s">
        <v>55</v>
      </c>
      <c r="C104" s="107">
        <v>0.39583333333333331</v>
      </c>
      <c r="D104" s="14" t="s">
        <v>59</v>
      </c>
      <c r="E104" s="14" t="s">
        <v>64</v>
      </c>
      <c r="F104" s="14" t="s">
        <v>60</v>
      </c>
      <c r="G104" s="17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54</v>
      </c>
      <c r="B105" s="14" t="s">
        <v>55</v>
      </c>
      <c r="C105" s="107">
        <v>0.39583333333333331</v>
      </c>
      <c r="D105" s="14" t="s">
        <v>61</v>
      </c>
      <c r="E105" s="14" t="s">
        <v>64</v>
      </c>
      <c r="F105" s="14" t="s">
        <v>62</v>
      </c>
      <c r="G105" s="17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5" t="s">
        <v>54</v>
      </c>
      <c r="B106" s="15" t="s">
        <v>69</v>
      </c>
      <c r="C106" s="108">
        <v>0.30208333333333331</v>
      </c>
      <c r="D106" s="15" t="s">
        <v>56</v>
      </c>
      <c r="E106" s="15" t="s">
        <v>42</v>
      </c>
      <c r="F106" s="15" t="s">
        <v>65</v>
      </c>
      <c r="G106" s="17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54</v>
      </c>
      <c r="B107" s="14" t="s">
        <v>69</v>
      </c>
      <c r="C107" s="107">
        <v>0.30208333333333331</v>
      </c>
      <c r="D107" s="14" t="s">
        <v>59</v>
      </c>
      <c r="E107" s="14" t="s">
        <v>42</v>
      </c>
      <c r="F107" s="14" t="s">
        <v>66</v>
      </c>
      <c r="G107" s="17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54</v>
      </c>
      <c r="B108" s="14" t="s">
        <v>69</v>
      </c>
      <c r="C108" s="107">
        <v>0.30208333333333331</v>
      </c>
      <c r="D108" s="14" t="s">
        <v>61</v>
      </c>
      <c r="E108" s="14" t="s">
        <v>42</v>
      </c>
      <c r="F108" s="14" t="s">
        <v>67</v>
      </c>
      <c r="G108" s="1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5" t="s">
        <v>54</v>
      </c>
      <c r="B109" s="15" t="s">
        <v>70</v>
      </c>
      <c r="C109" s="108">
        <v>0.51736111111111116</v>
      </c>
      <c r="D109" s="15" t="s">
        <v>56</v>
      </c>
      <c r="E109" s="15" t="s">
        <v>125</v>
      </c>
      <c r="F109" s="15" t="s">
        <v>65</v>
      </c>
      <c r="G109" s="1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54</v>
      </c>
      <c r="B110" s="14" t="s">
        <v>70</v>
      </c>
      <c r="C110" s="107">
        <v>0.51736111111111116</v>
      </c>
      <c r="D110" s="14" t="s">
        <v>59</v>
      </c>
      <c r="E110" s="14" t="s">
        <v>125</v>
      </c>
      <c r="F110" s="14" t="s">
        <v>66</v>
      </c>
      <c r="G110" s="17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54</v>
      </c>
      <c r="B111" s="14" t="s">
        <v>70</v>
      </c>
      <c r="C111" s="107">
        <v>0.51736111111111116</v>
      </c>
      <c r="D111" s="14" t="s">
        <v>61</v>
      </c>
      <c r="E111" s="14" t="s">
        <v>125</v>
      </c>
      <c r="F111" s="14" t="s">
        <v>67</v>
      </c>
      <c r="G111" s="17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" t="s">
        <v>54</v>
      </c>
      <c r="B112" s="15" t="s">
        <v>71</v>
      </c>
      <c r="C112" s="108">
        <v>0.90277777777777779</v>
      </c>
      <c r="D112" s="15" t="s">
        <v>56</v>
      </c>
      <c r="E112" s="15" t="s">
        <v>64</v>
      </c>
      <c r="F112" s="15" t="s">
        <v>65</v>
      </c>
      <c r="G112" s="17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54</v>
      </c>
      <c r="B113" s="14" t="s">
        <v>71</v>
      </c>
      <c r="C113" s="107">
        <v>0.90277777777777779</v>
      </c>
      <c r="D113" s="14" t="s">
        <v>59</v>
      </c>
      <c r="E113" s="14" t="s">
        <v>64</v>
      </c>
      <c r="F113" s="14" t="s">
        <v>66</v>
      </c>
      <c r="G113" s="17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54</v>
      </c>
      <c r="B114" s="14" t="s">
        <v>71</v>
      </c>
      <c r="C114" s="107">
        <v>0.90277777777777779</v>
      </c>
      <c r="D114" s="14" t="s">
        <v>61</v>
      </c>
      <c r="E114" s="14" t="s">
        <v>64</v>
      </c>
      <c r="F114" s="14" t="s">
        <v>67</v>
      </c>
      <c r="G114" s="1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5" t="s">
        <v>54</v>
      </c>
      <c r="B115" s="15" t="s">
        <v>72</v>
      </c>
      <c r="C115" s="108">
        <v>0.79861111111111116</v>
      </c>
      <c r="D115" s="15" t="s">
        <v>56</v>
      </c>
      <c r="E115" s="15" t="s">
        <v>119</v>
      </c>
      <c r="F115" s="15" t="s">
        <v>65</v>
      </c>
      <c r="G115" s="1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54</v>
      </c>
      <c r="B116" s="14" t="s">
        <v>72</v>
      </c>
      <c r="C116" s="107">
        <v>0.79861111111111116</v>
      </c>
      <c r="D116" s="14" t="s">
        <v>59</v>
      </c>
      <c r="E116" s="14" t="s">
        <v>119</v>
      </c>
      <c r="F116" s="14" t="s">
        <v>66</v>
      </c>
      <c r="G116" s="1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54</v>
      </c>
      <c r="B117" s="14" t="s">
        <v>72</v>
      </c>
      <c r="C117" s="107">
        <v>0.79861111111111116</v>
      </c>
      <c r="D117" s="14" t="s">
        <v>61</v>
      </c>
      <c r="E117" s="14" t="s">
        <v>119</v>
      </c>
      <c r="F117" s="14" t="s">
        <v>67</v>
      </c>
      <c r="G117" s="1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54</v>
      </c>
      <c r="B118" s="15" t="s">
        <v>74</v>
      </c>
      <c r="C118" s="108">
        <v>0.64583333333333337</v>
      </c>
      <c r="D118" s="15" t="s">
        <v>56</v>
      </c>
      <c r="E118" s="15" t="s">
        <v>125</v>
      </c>
      <c r="F118" s="15" t="s">
        <v>65</v>
      </c>
      <c r="G118" s="1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54</v>
      </c>
      <c r="B119" s="14" t="s">
        <v>74</v>
      </c>
      <c r="C119" s="107">
        <v>0.64583333333333337</v>
      </c>
      <c r="D119" s="14" t="s">
        <v>59</v>
      </c>
      <c r="E119" s="14" t="s">
        <v>125</v>
      </c>
      <c r="F119" s="14" t="s">
        <v>66</v>
      </c>
      <c r="G119" s="1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54</v>
      </c>
      <c r="B120" s="14" t="s">
        <v>74</v>
      </c>
      <c r="C120" s="107">
        <v>0.64583333333333337</v>
      </c>
      <c r="D120" s="14" t="s">
        <v>61</v>
      </c>
      <c r="E120" s="14" t="s">
        <v>125</v>
      </c>
      <c r="F120" s="14" t="s">
        <v>67</v>
      </c>
      <c r="G120" s="1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93</v>
      </c>
      <c r="B121" s="16" t="s">
        <v>94</v>
      </c>
      <c r="C121" s="109">
        <v>0.73958333333333337</v>
      </c>
      <c r="D121" s="16" t="s">
        <v>95</v>
      </c>
      <c r="E121" s="16" t="s">
        <v>42</v>
      </c>
      <c r="F121" s="16" t="s">
        <v>97</v>
      </c>
      <c r="G121" s="1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5" t="s">
        <v>93</v>
      </c>
      <c r="B122" s="15" t="s">
        <v>152</v>
      </c>
      <c r="C122" s="108">
        <v>0.27430555555555558</v>
      </c>
      <c r="D122" s="15" t="s">
        <v>95</v>
      </c>
      <c r="E122" s="15" t="s">
        <v>73</v>
      </c>
      <c r="F122" s="15" t="s">
        <v>97</v>
      </c>
      <c r="G122" s="1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98</v>
      </c>
      <c r="B123" s="16" t="s">
        <v>153</v>
      </c>
      <c r="C123" s="109">
        <v>4.5138888888888888E-2</v>
      </c>
      <c r="D123" s="16" t="s">
        <v>95</v>
      </c>
      <c r="E123" s="16" t="s">
        <v>36</v>
      </c>
      <c r="F123" s="16" t="s">
        <v>100</v>
      </c>
      <c r="G123" s="1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5" t="s">
        <v>98</v>
      </c>
      <c r="B124" s="15" t="s">
        <v>101</v>
      </c>
      <c r="C124" s="108">
        <v>0.66666666666666663</v>
      </c>
      <c r="D124" s="15" t="s">
        <v>95</v>
      </c>
      <c r="E124" s="15" t="s">
        <v>36</v>
      </c>
      <c r="F124" s="15" t="s">
        <v>100</v>
      </c>
      <c r="G124" s="1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102</v>
      </c>
      <c r="B125" s="16" t="s">
        <v>103</v>
      </c>
      <c r="C125" s="109">
        <v>0.22222222222222221</v>
      </c>
      <c r="D125" s="16" t="s">
        <v>104</v>
      </c>
      <c r="E125" s="16" t="s">
        <v>64</v>
      </c>
      <c r="F125" s="16" t="s">
        <v>154</v>
      </c>
      <c r="G125" s="17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102</v>
      </c>
      <c r="B126" s="14" t="s">
        <v>103</v>
      </c>
      <c r="C126" s="107">
        <v>0.22222222222222221</v>
      </c>
      <c r="D126" s="14" t="s">
        <v>85</v>
      </c>
      <c r="E126" s="14" t="s">
        <v>64</v>
      </c>
      <c r="F126" s="14" t="s">
        <v>155</v>
      </c>
      <c r="G126" s="17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52" t="s">
        <v>110</v>
      </c>
      <c r="B127" s="52" t="s">
        <v>131</v>
      </c>
      <c r="C127" s="126">
        <v>0.96875</v>
      </c>
      <c r="D127" s="52" t="s">
        <v>112</v>
      </c>
      <c r="E127" s="52" t="s">
        <v>42</v>
      </c>
      <c r="F127" s="52" t="s">
        <v>156</v>
      </c>
      <c r="G127" s="176"/>
      <c r="H127" s="53" t="s">
        <v>132</v>
      </c>
      <c r="I127" s="127">
        <v>0.69269999999999998</v>
      </c>
      <c r="J127" s="54">
        <v>124</v>
      </c>
      <c r="K127" s="55" t="s">
        <v>157</v>
      </c>
      <c r="L127" s="54">
        <v>6</v>
      </c>
      <c r="M127" s="54">
        <v>0</v>
      </c>
      <c r="N127" s="54">
        <v>0</v>
      </c>
      <c r="O127" s="56" t="s">
        <v>158</v>
      </c>
      <c r="P127" s="128">
        <v>0.96875</v>
      </c>
      <c r="Q127" s="54">
        <v>179</v>
      </c>
      <c r="R127" s="57" t="s">
        <v>159</v>
      </c>
    </row>
    <row r="128" spans="1:18" ht="15" customHeight="1" x14ac:dyDescent="0.3">
      <c r="A128" s="58" t="s">
        <v>110</v>
      </c>
      <c r="B128" s="58" t="s">
        <v>160</v>
      </c>
      <c r="C128" s="129">
        <v>0.22916666666666671</v>
      </c>
      <c r="D128" s="58" t="s">
        <v>112</v>
      </c>
      <c r="E128" s="58" t="s">
        <v>36</v>
      </c>
      <c r="F128" s="58" t="s">
        <v>156</v>
      </c>
      <c r="G128" s="176"/>
      <c r="H128" s="59" t="s">
        <v>161</v>
      </c>
      <c r="I128" s="130">
        <v>0.2626</v>
      </c>
      <c r="J128" s="60">
        <v>47</v>
      </c>
      <c r="K128" s="61" t="s">
        <v>115</v>
      </c>
      <c r="L128" s="60">
        <v>18</v>
      </c>
      <c r="M128" s="60">
        <v>2</v>
      </c>
      <c r="N128" s="60">
        <v>0</v>
      </c>
      <c r="O128" s="62" t="s">
        <v>162</v>
      </c>
      <c r="P128" s="131">
        <v>0.22916666666666671</v>
      </c>
      <c r="Q128" s="60">
        <v>179</v>
      </c>
      <c r="R128" s="63" t="s">
        <v>163</v>
      </c>
    </row>
    <row r="129" spans="1:18" ht="15" customHeight="1" x14ac:dyDescent="0.3">
      <c r="A129" s="64" t="s">
        <v>110</v>
      </c>
      <c r="B129" s="64" t="s">
        <v>164</v>
      </c>
      <c r="C129" s="132">
        <v>0.93402777777777779</v>
      </c>
      <c r="D129" s="64" t="s">
        <v>112</v>
      </c>
      <c r="E129" s="64" t="s">
        <v>36</v>
      </c>
      <c r="F129" s="64" t="s">
        <v>156</v>
      </c>
      <c r="G129" s="176"/>
      <c r="H129" s="18" t="s">
        <v>165</v>
      </c>
      <c r="I129" s="133">
        <v>0.39660000000000001</v>
      </c>
      <c r="J129" s="19">
        <v>71</v>
      </c>
      <c r="K129" s="20" t="s">
        <v>157</v>
      </c>
      <c r="L129" s="19">
        <v>5</v>
      </c>
      <c r="M129" s="19">
        <v>0</v>
      </c>
      <c r="N129" s="19">
        <v>0</v>
      </c>
      <c r="O129" s="21" t="s">
        <v>162</v>
      </c>
      <c r="P129" s="112">
        <v>0.93402777777777779</v>
      </c>
      <c r="Q129" s="19">
        <v>179</v>
      </c>
      <c r="R129" s="22" t="s">
        <v>166</v>
      </c>
    </row>
    <row r="130" spans="1:18" ht="15" customHeight="1" x14ac:dyDescent="0.3">
      <c r="A130" s="65" t="s">
        <v>110</v>
      </c>
      <c r="B130" s="65" t="s">
        <v>111</v>
      </c>
      <c r="C130" s="134">
        <v>0.72916666666666663</v>
      </c>
      <c r="D130" s="65" t="s">
        <v>112</v>
      </c>
      <c r="E130" s="65" t="s">
        <v>119</v>
      </c>
      <c r="F130" s="65" t="s">
        <v>156</v>
      </c>
      <c r="G130" s="176"/>
      <c r="H130" s="53" t="s">
        <v>114</v>
      </c>
      <c r="I130" s="127">
        <v>0.69830000000000003</v>
      </c>
      <c r="J130" s="54">
        <v>125</v>
      </c>
      <c r="K130" s="55" t="s">
        <v>115</v>
      </c>
      <c r="L130" s="54">
        <v>8</v>
      </c>
      <c r="M130" s="54">
        <v>2</v>
      </c>
      <c r="N130" s="54">
        <v>1</v>
      </c>
      <c r="O130" s="56" t="s">
        <v>167</v>
      </c>
      <c r="P130" s="128">
        <v>0.72916666666666663</v>
      </c>
      <c r="Q130" s="54">
        <v>179</v>
      </c>
      <c r="R130" s="57" t="s">
        <v>168</v>
      </c>
    </row>
    <row r="131" spans="1:18" ht="15" customHeight="1" x14ac:dyDescent="0.3">
      <c r="A131" s="58" t="s">
        <v>110</v>
      </c>
      <c r="B131" s="58" t="s">
        <v>124</v>
      </c>
      <c r="C131" s="129">
        <v>0.55902777777777779</v>
      </c>
      <c r="D131" s="58" t="s">
        <v>112</v>
      </c>
      <c r="E131" s="58" t="s">
        <v>36</v>
      </c>
      <c r="F131" s="58" t="s">
        <v>113</v>
      </c>
      <c r="G131" s="176"/>
      <c r="H131" s="59" t="s">
        <v>127</v>
      </c>
      <c r="I131" s="135">
        <v>0.72629999999999995</v>
      </c>
      <c r="J131" s="60">
        <v>130</v>
      </c>
      <c r="K131" s="61" t="s">
        <v>115</v>
      </c>
      <c r="L131" s="60">
        <v>18</v>
      </c>
      <c r="M131" s="60">
        <v>3</v>
      </c>
      <c r="N131" s="60">
        <v>1</v>
      </c>
      <c r="O131" s="62" t="s">
        <v>169</v>
      </c>
      <c r="P131" s="131">
        <v>0.55902777777777779</v>
      </c>
      <c r="Q131" s="60">
        <v>179</v>
      </c>
      <c r="R131" s="63" t="s">
        <v>170</v>
      </c>
    </row>
    <row r="132" spans="1:18" ht="15" customHeight="1" x14ac:dyDescent="0.3">
      <c r="A132" s="65" t="s">
        <v>110</v>
      </c>
      <c r="B132" s="65" t="s">
        <v>118</v>
      </c>
      <c r="C132" s="134">
        <v>0.61458333333333337</v>
      </c>
      <c r="D132" s="65" t="s">
        <v>112</v>
      </c>
      <c r="E132" s="65" t="s">
        <v>125</v>
      </c>
      <c r="F132" s="65" t="s">
        <v>113</v>
      </c>
      <c r="G132" s="176"/>
      <c r="H132" s="53" t="s">
        <v>121</v>
      </c>
      <c r="I132" s="127">
        <v>0.67600000000000005</v>
      </c>
      <c r="J132" s="54">
        <v>121</v>
      </c>
      <c r="K132" s="55" t="s">
        <v>157</v>
      </c>
      <c r="L132" s="54">
        <v>6</v>
      </c>
      <c r="M132" s="54">
        <v>0</v>
      </c>
      <c r="N132" s="54">
        <v>0</v>
      </c>
      <c r="O132" s="56" t="s">
        <v>116</v>
      </c>
      <c r="P132" s="128">
        <v>0.61458333333333337</v>
      </c>
      <c r="Q132" s="54">
        <v>179</v>
      </c>
      <c r="R132" s="57" t="s">
        <v>171</v>
      </c>
    </row>
    <row r="133" spans="1:18" ht="15" customHeight="1" x14ac:dyDescent="0.3">
      <c r="A133" s="16" t="s">
        <v>136</v>
      </c>
      <c r="B133" s="16" t="s">
        <v>137</v>
      </c>
      <c r="C133" s="109">
        <v>0.22222222222222221</v>
      </c>
      <c r="D133" s="16" t="s">
        <v>138</v>
      </c>
      <c r="E133" s="16" t="s">
        <v>36</v>
      </c>
      <c r="F133" s="16" t="s">
        <v>139</v>
      </c>
      <c r="G133" s="1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136</v>
      </c>
      <c r="B134" s="15" t="s">
        <v>144</v>
      </c>
      <c r="C134" s="108">
        <v>0.95833333333333337</v>
      </c>
      <c r="D134" s="15" t="s">
        <v>138</v>
      </c>
      <c r="E134" s="15" t="s">
        <v>36</v>
      </c>
      <c r="F134" s="15" t="s">
        <v>139</v>
      </c>
      <c r="G134" s="1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136</v>
      </c>
      <c r="B135" s="15" t="s">
        <v>149</v>
      </c>
      <c r="C135" s="108">
        <v>1.388888888888889E-2</v>
      </c>
      <c r="D135" s="15" t="s">
        <v>138</v>
      </c>
      <c r="E135" s="15" t="s">
        <v>36</v>
      </c>
      <c r="F135" s="15" t="s">
        <v>139</v>
      </c>
      <c r="G135" s="1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136</v>
      </c>
      <c r="B136" s="15" t="s">
        <v>141</v>
      </c>
      <c r="C136" s="108">
        <v>0.27777777777777779</v>
      </c>
      <c r="D136" s="15" t="s">
        <v>138</v>
      </c>
      <c r="E136" s="15" t="s">
        <v>36</v>
      </c>
      <c r="F136" s="15" t="s">
        <v>139</v>
      </c>
      <c r="G136" s="1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136</v>
      </c>
      <c r="B137" s="15" t="s">
        <v>142</v>
      </c>
      <c r="C137" s="108">
        <v>0.4861111111111111</v>
      </c>
      <c r="D137" s="15" t="s">
        <v>138</v>
      </c>
      <c r="E137" s="15" t="s">
        <v>36</v>
      </c>
      <c r="F137" s="15" t="s">
        <v>139</v>
      </c>
      <c r="G137" s="1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136</v>
      </c>
      <c r="B138" s="15" t="s">
        <v>143</v>
      </c>
      <c r="C138" s="108">
        <v>0.54861111111111116</v>
      </c>
      <c r="D138" s="15" t="s">
        <v>138</v>
      </c>
      <c r="E138" s="15" t="s">
        <v>36</v>
      </c>
      <c r="F138" s="15" t="s">
        <v>139</v>
      </c>
      <c r="G138" s="1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5" t="s">
        <v>136</v>
      </c>
      <c r="B139" s="15" t="s">
        <v>147</v>
      </c>
      <c r="C139" s="108">
        <v>0.77083333333333337</v>
      </c>
      <c r="D139" s="15" t="s">
        <v>145</v>
      </c>
      <c r="E139" s="15" t="s">
        <v>36</v>
      </c>
      <c r="F139" s="15" t="s">
        <v>148</v>
      </c>
      <c r="G139" s="1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40</v>
      </c>
      <c r="C140" s="109">
        <v>0.23958333333333329</v>
      </c>
      <c r="D140" s="16" t="s">
        <v>31</v>
      </c>
      <c r="E140" s="16" t="s">
        <v>36</v>
      </c>
      <c r="F140" s="16" t="s">
        <v>172</v>
      </c>
      <c r="G140" s="1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40</v>
      </c>
      <c r="C141" s="107">
        <v>0.23958333333333329</v>
      </c>
      <c r="D141" s="14" t="s">
        <v>33</v>
      </c>
      <c r="E141" s="14" t="s">
        <v>36</v>
      </c>
      <c r="F141" s="14" t="s">
        <v>173</v>
      </c>
      <c r="G141" s="17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5" t="s">
        <v>26</v>
      </c>
      <c r="B142" s="15" t="s">
        <v>46</v>
      </c>
      <c r="C142" s="108">
        <v>6.9444444444444441E-3</v>
      </c>
      <c r="D142" s="15" t="s">
        <v>31</v>
      </c>
      <c r="E142" s="15" t="s">
        <v>36</v>
      </c>
      <c r="F142" s="15" t="s">
        <v>37</v>
      </c>
      <c r="G142" s="17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46</v>
      </c>
      <c r="C143" s="107">
        <v>6.9444444444444441E-3</v>
      </c>
      <c r="D143" s="14" t="s">
        <v>33</v>
      </c>
      <c r="E143" s="14" t="s">
        <v>36</v>
      </c>
      <c r="F143" s="14" t="s">
        <v>38</v>
      </c>
      <c r="G143" s="17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5" t="s">
        <v>26</v>
      </c>
      <c r="B144" s="15" t="s">
        <v>49</v>
      </c>
      <c r="C144" s="108">
        <v>0.1423611111111111</v>
      </c>
      <c r="D144" s="15" t="s">
        <v>31</v>
      </c>
      <c r="E144" s="15" t="s">
        <v>36</v>
      </c>
      <c r="F144" s="15" t="s">
        <v>37</v>
      </c>
      <c r="G144" s="17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49</v>
      </c>
      <c r="C145" s="107">
        <v>0.1423611111111111</v>
      </c>
      <c r="D145" s="14" t="s">
        <v>33</v>
      </c>
      <c r="E145" s="14" t="s">
        <v>36</v>
      </c>
      <c r="F145" s="14" t="s">
        <v>38</v>
      </c>
      <c r="G145" s="1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5" t="s">
        <v>26</v>
      </c>
      <c r="B146" s="15" t="s">
        <v>27</v>
      </c>
      <c r="C146" s="108">
        <v>0.93055555555555558</v>
      </c>
      <c r="D146" s="15" t="s">
        <v>31</v>
      </c>
      <c r="E146" s="15" t="s">
        <v>36</v>
      </c>
      <c r="F146" s="15" t="s">
        <v>37</v>
      </c>
      <c r="G146" s="17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27</v>
      </c>
      <c r="C147" s="107">
        <v>0.93055555555555558</v>
      </c>
      <c r="D147" s="14" t="s">
        <v>33</v>
      </c>
      <c r="E147" s="14" t="s">
        <v>36</v>
      </c>
      <c r="F147" s="14" t="s">
        <v>38</v>
      </c>
      <c r="G147" s="17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5" t="s">
        <v>26</v>
      </c>
      <c r="B148" s="15" t="s">
        <v>50</v>
      </c>
      <c r="C148" s="108">
        <v>0.71875</v>
      </c>
      <c r="D148" s="15" t="s">
        <v>31</v>
      </c>
      <c r="E148" s="15" t="s">
        <v>36</v>
      </c>
      <c r="F148" s="15" t="s">
        <v>37</v>
      </c>
      <c r="G148" s="17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50</v>
      </c>
      <c r="C149" s="107">
        <v>0.71875</v>
      </c>
      <c r="D149" s="14" t="s">
        <v>33</v>
      </c>
      <c r="E149" s="14" t="s">
        <v>36</v>
      </c>
      <c r="F149" s="14" t="s">
        <v>38</v>
      </c>
      <c r="G149" s="17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5" t="s">
        <v>26</v>
      </c>
      <c r="B150" s="15" t="s">
        <v>51</v>
      </c>
      <c r="C150" s="108">
        <v>0.82986111111111116</v>
      </c>
      <c r="D150" s="15" t="s">
        <v>31</v>
      </c>
      <c r="E150" s="15" t="s">
        <v>36</v>
      </c>
      <c r="F150" s="15" t="s">
        <v>37</v>
      </c>
      <c r="G150" s="1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51</v>
      </c>
      <c r="C151" s="107">
        <v>0.82986111111111116</v>
      </c>
      <c r="D151" s="14" t="s">
        <v>33</v>
      </c>
      <c r="E151" s="14" t="s">
        <v>36</v>
      </c>
      <c r="F151" s="14" t="s">
        <v>38</v>
      </c>
      <c r="G151" s="17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5" t="s">
        <v>26</v>
      </c>
      <c r="B152" s="15" t="s">
        <v>35</v>
      </c>
      <c r="C152" s="108">
        <v>0.37847222222222221</v>
      </c>
      <c r="D152" s="15" t="s">
        <v>31</v>
      </c>
      <c r="E152" s="15" t="s">
        <v>36</v>
      </c>
      <c r="F152" s="15" t="s">
        <v>37</v>
      </c>
      <c r="G152" s="1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35</v>
      </c>
      <c r="C153" s="107">
        <v>0.37847222222222221</v>
      </c>
      <c r="D153" s="14" t="s">
        <v>33</v>
      </c>
      <c r="E153" s="14" t="s">
        <v>36</v>
      </c>
      <c r="F153" s="14" t="s">
        <v>38</v>
      </c>
      <c r="G153" s="1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5" t="s">
        <v>26</v>
      </c>
      <c r="B154" s="15" t="s">
        <v>39</v>
      </c>
      <c r="C154" s="108">
        <v>0.61111111111111116</v>
      </c>
      <c r="D154" s="15" t="s">
        <v>31</v>
      </c>
      <c r="E154" s="15" t="s">
        <v>36</v>
      </c>
      <c r="F154" s="15" t="s">
        <v>37</v>
      </c>
      <c r="G154" s="1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39</v>
      </c>
      <c r="C155" s="107">
        <v>0.61111111111111116</v>
      </c>
      <c r="D155" s="14" t="s">
        <v>33</v>
      </c>
      <c r="E155" s="14" t="s">
        <v>36</v>
      </c>
      <c r="F155" s="14" t="s">
        <v>38</v>
      </c>
      <c r="G155" s="1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26</v>
      </c>
      <c r="B156" s="15" t="s">
        <v>45</v>
      </c>
      <c r="C156" s="108">
        <v>0.12847222222222221</v>
      </c>
      <c r="D156" s="15" t="s">
        <v>33</v>
      </c>
      <c r="E156" s="15" t="s">
        <v>42</v>
      </c>
      <c r="F156" s="15" t="s">
        <v>174</v>
      </c>
      <c r="G156" s="1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26</v>
      </c>
      <c r="B157" s="15" t="s">
        <v>41</v>
      </c>
      <c r="C157" s="108">
        <v>0.88888888888888884</v>
      </c>
      <c r="D157" s="15" t="s">
        <v>33</v>
      </c>
      <c r="E157" s="15" t="s">
        <v>42</v>
      </c>
      <c r="F157" s="15" t="s">
        <v>43</v>
      </c>
      <c r="G157" s="1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5" t="s">
        <v>26</v>
      </c>
      <c r="B158" s="15" t="s">
        <v>44</v>
      </c>
      <c r="C158" s="108">
        <v>0.30208333333333331</v>
      </c>
      <c r="D158" s="15" t="s">
        <v>33</v>
      </c>
      <c r="E158" s="15" t="s">
        <v>42</v>
      </c>
      <c r="F158" s="15" t="s">
        <v>175</v>
      </c>
      <c r="G158" s="1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thickBot="1" x14ac:dyDescent="0.35">
      <c r="A159" s="41" t="s">
        <v>26</v>
      </c>
      <c r="B159" s="41" t="s">
        <v>52</v>
      </c>
      <c r="C159" s="122">
        <v>0.78819444444444442</v>
      </c>
      <c r="D159" s="41" t="s">
        <v>33</v>
      </c>
      <c r="E159" s="41" t="s">
        <v>42</v>
      </c>
      <c r="F159" s="41" t="s">
        <v>175</v>
      </c>
      <c r="G159" s="177"/>
      <c r="H159" s="42"/>
      <c r="I159" s="43"/>
      <c r="J159" s="43"/>
      <c r="K159" s="43"/>
      <c r="L159" s="43"/>
      <c r="M159" s="43"/>
      <c r="N159" s="43"/>
      <c r="O159" s="44"/>
      <c r="P159" s="43"/>
      <c r="Q159" s="45"/>
      <c r="R159" s="46"/>
    </row>
    <row r="160" spans="1:18" ht="17.399999999999999" customHeight="1" thickBot="1" x14ac:dyDescent="0.35">
      <c r="A160" s="181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3"/>
    </row>
    <row r="161" spans="1:18" ht="22.05" customHeight="1" thickTop="1" thickBot="1" x14ac:dyDescent="0.35">
      <c r="A161" s="186" t="s">
        <v>6</v>
      </c>
      <c r="B161" s="179"/>
      <c r="C161" s="179"/>
      <c r="D161" s="179"/>
      <c r="E161" s="179"/>
      <c r="F161" s="180"/>
      <c r="G161" s="123">
        <v>45994</v>
      </c>
      <c r="H161" s="178" t="s">
        <v>7</v>
      </c>
      <c r="I161" s="179"/>
      <c r="J161" s="179"/>
      <c r="K161" s="179"/>
      <c r="L161" s="179"/>
      <c r="M161" s="179"/>
      <c r="N161" s="179"/>
      <c r="O161" s="179"/>
      <c r="P161" s="179"/>
      <c r="Q161" s="179"/>
      <c r="R161" s="180"/>
    </row>
    <row r="162" spans="1:18" ht="24" customHeight="1" x14ac:dyDescent="0.3">
      <c r="A162" s="47" t="s">
        <v>8</v>
      </c>
      <c r="B162" s="47" t="s">
        <v>9</v>
      </c>
      <c r="C162" s="124" t="s">
        <v>10</v>
      </c>
      <c r="D162" s="47" t="s">
        <v>11</v>
      </c>
      <c r="E162" s="47" t="s">
        <v>12</v>
      </c>
      <c r="F162" s="48" t="s">
        <v>13</v>
      </c>
      <c r="G162" s="49" t="s">
        <v>14</v>
      </c>
      <c r="H162" s="47" t="s">
        <v>15</v>
      </c>
      <c r="I162" s="125" t="s">
        <v>16</v>
      </c>
      <c r="J162" s="50" t="s">
        <v>17</v>
      </c>
      <c r="K162" s="51" t="s">
        <v>18</v>
      </c>
      <c r="L162" s="50" t="s">
        <v>19</v>
      </c>
      <c r="M162" s="50" t="s">
        <v>20</v>
      </c>
      <c r="N162" s="50" t="s">
        <v>21</v>
      </c>
      <c r="O162" s="47" t="s">
        <v>22</v>
      </c>
      <c r="P162" s="124" t="s">
        <v>23</v>
      </c>
      <c r="Q162" s="50" t="s">
        <v>24</v>
      </c>
      <c r="R162" s="47" t="s">
        <v>25</v>
      </c>
    </row>
    <row r="163" spans="1:18" ht="15" customHeight="1" x14ac:dyDescent="0.3">
      <c r="A163" s="8" t="s">
        <v>78</v>
      </c>
      <c r="B163" s="8" t="s">
        <v>79</v>
      </c>
      <c r="C163" s="106">
        <v>0.12847222222222221</v>
      </c>
      <c r="D163" s="8" t="s">
        <v>80</v>
      </c>
      <c r="E163" s="8" t="s">
        <v>88</v>
      </c>
      <c r="F163" s="8" t="s">
        <v>150</v>
      </c>
      <c r="G163" s="17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78</v>
      </c>
      <c r="B164" s="14" t="s">
        <v>79</v>
      </c>
      <c r="C164" s="107">
        <v>0.12847222222222221</v>
      </c>
      <c r="D164" s="14" t="s">
        <v>83</v>
      </c>
      <c r="E164" s="14" t="s">
        <v>88</v>
      </c>
      <c r="F164" s="14" t="s">
        <v>66</v>
      </c>
      <c r="G164" s="1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78</v>
      </c>
      <c r="B165" s="14" t="s">
        <v>79</v>
      </c>
      <c r="C165" s="107">
        <v>0.12847222222222221</v>
      </c>
      <c r="D165" s="14" t="s">
        <v>85</v>
      </c>
      <c r="E165" s="14" t="s">
        <v>88</v>
      </c>
      <c r="F165" s="14" t="s">
        <v>86</v>
      </c>
      <c r="G165" s="17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5" t="s">
        <v>78</v>
      </c>
      <c r="B166" s="15" t="s">
        <v>87</v>
      </c>
      <c r="C166" s="108">
        <v>0.30208333333333331</v>
      </c>
      <c r="D166" s="15" t="s">
        <v>80</v>
      </c>
      <c r="E166" s="15" t="s">
        <v>96</v>
      </c>
      <c r="F166" s="15" t="s">
        <v>150</v>
      </c>
      <c r="G166" s="17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78</v>
      </c>
      <c r="B167" s="14" t="s">
        <v>87</v>
      </c>
      <c r="C167" s="107">
        <v>0.30208333333333331</v>
      </c>
      <c r="D167" s="14" t="s">
        <v>83</v>
      </c>
      <c r="E167" s="14" t="s">
        <v>96</v>
      </c>
      <c r="F167" s="14" t="s">
        <v>66</v>
      </c>
      <c r="G167" s="17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78</v>
      </c>
      <c r="B168" s="14" t="s">
        <v>87</v>
      </c>
      <c r="C168" s="107">
        <v>0.30208333333333331</v>
      </c>
      <c r="D168" s="14" t="s">
        <v>85</v>
      </c>
      <c r="E168" s="14" t="s">
        <v>96</v>
      </c>
      <c r="F168" s="14" t="s">
        <v>86</v>
      </c>
      <c r="G168" s="17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" t="s">
        <v>78</v>
      </c>
      <c r="B169" s="15" t="s">
        <v>89</v>
      </c>
      <c r="C169" s="108">
        <v>0.88888888888888884</v>
      </c>
      <c r="D169" s="15" t="s">
        <v>80</v>
      </c>
      <c r="E169" s="15" t="s">
        <v>96</v>
      </c>
      <c r="F169" s="15" t="s">
        <v>151</v>
      </c>
      <c r="G169" s="17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78</v>
      </c>
      <c r="B170" s="14" t="s">
        <v>89</v>
      </c>
      <c r="C170" s="107">
        <v>0.88888888888888884</v>
      </c>
      <c r="D170" s="14" t="s">
        <v>83</v>
      </c>
      <c r="E170" s="14" t="s">
        <v>96</v>
      </c>
      <c r="F170" s="14" t="s">
        <v>75</v>
      </c>
      <c r="G170" s="17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78</v>
      </c>
      <c r="B171" s="14" t="s">
        <v>89</v>
      </c>
      <c r="C171" s="107">
        <v>0.88888888888888884</v>
      </c>
      <c r="D171" s="14" t="s">
        <v>85</v>
      </c>
      <c r="E171" s="14" t="s">
        <v>96</v>
      </c>
      <c r="F171" s="14" t="s">
        <v>86</v>
      </c>
      <c r="G171" s="1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5" t="s">
        <v>78</v>
      </c>
      <c r="B172" s="15" t="s">
        <v>90</v>
      </c>
      <c r="C172" s="108">
        <v>0.78819444444444442</v>
      </c>
      <c r="D172" s="15" t="s">
        <v>80</v>
      </c>
      <c r="E172" s="15" t="s">
        <v>42</v>
      </c>
      <c r="F172" s="15" t="s">
        <v>176</v>
      </c>
      <c r="G172" s="1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78</v>
      </c>
      <c r="B173" s="14" t="s">
        <v>90</v>
      </c>
      <c r="C173" s="107">
        <v>0.78819444444444442</v>
      </c>
      <c r="D173" s="14" t="s">
        <v>83</v>
      </c>
      <c r="E173" s="14" t="s">
        <v>42</v>
      </c>
      <c r="F173" s="14" t="s">
        <v>177</v>
      </c>
      <c r="G173" s="1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78</v>
      </c>
      <c r="B174" s="14" t="s">
        <v>90</v>
      </c>
      <c r="C174" s="107">
        <v>0.78819444444444442</v>
      </c>
      <c r="D174" s="14" t="s">
        <v>85</v>
      </c>
      <c r="E174" s="14" t="s">
        <v>42</v>
      </c>
      <c r="F174" s="14" t="s">
        <v>86</v>
      </c>
      <c r="G174" s="1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54</v>
      </c>
      <c r="B175" s="16" t="s">
        <v>68</v>
      </c>
      <c r="C175" s="109">
        <v>0.25694444444444442</v>
      </c>
      <c r="D175" s="16" t="s">
        <v>56</v>
      </c>
      <c r="E175" s="16" t="s">
        <v>125</v>
      </c>
      <c r="F175" s="16" t="s">
        <v>58</v>
      </c>
      <c r="G175" s="1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54</v>
      </c>
      <c r="B176" s="14" t="s">
        <v>68</v>
      </c>
      <c r="C176" s="107">
        <v>0.25694444444444442</v>
      </c>
      <c r="D176" s="14" t="s">
        <v>59</v>
      </c>
      <c r="E176" s="14" t="s">
        <v>125</v>
      </c>
      <c r="F176" s="14" t="s">
        <v>60</v>
      </c>
      <c r="G176" s="17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54</v>
      </c>
      <c r="B177" s="14" t="s">
        <v>68</v>
      </c>
      <c r="C177" s="107">
        <v>0.25694444444444442</v>
      </c>
      <c r="D177" s="14" t="s">
        <v>61</v>
      </c>
      <c r="E177" s="14" t="s">
        <v>125</v>
      </c>
      <c r="F177" s="14" t="s">
        <v>62</v>
      </c>
      <c r="G177" s="1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5" t="s">
        <v>54</v>
      </c>
      <c r="B178" s="15" t="s">
        <v>69</v>
      </c>
      <c r="C178" s="108">
        <v>0.30208333333333331</v>
      </c>
      <c r="D178" s="15" t="s">
        <v>56</v>
      </c>
      <c r="E178" s="15" t="s">
        <v>64</v>
      </c>
      <c r="F178" s="15" t="s">
        <v>58</v>
      </c>
      <c r="G178" s="1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54</v>
      </c>
      <c r="B179" s="14" t="s">
        <v>69</v>
      </c>
      <c r="C179" s="107">
        <v>0.30208333333333331</v>
      </c>
      <c r="D179" s="14" t="s">
        <v>59</v>
      </c>
      <c r="E179" s="14" t="s">
        <v>64</v>
      </c>
      <c r="F179" s="14" t="s">
        <v>60</v>
      </c>
      <c r="G179" s="1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54</v>
      </c>
      <c r="B180" s="14" t="s">
        <v>69</v>
      </c>
      <c r="C180" s="107">
        <v>0.30208333333333331</v>
      </c>
      <c r="D180" s="14" t="s">
        <v>61</v>
      </c>
      <c r="E180" s="14" t="s">
        <v>64</v>
      </c>
      <c r="F180" s="14" t="s">
        <v>62</v>
      </c>
      <c r="G180" s="1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5" t="s">
        <v>54</v>
      </c>
      <c r="B181" s="15" t="s">
        <v>63</v>
      </c>
      <c r="C181" s="108">
        <v>0.85416666666666663</v>
      </c>
      <c r="D181" s="15" t="s">
        <v>56</v>
      </c>
      <c r="E181" s="15" t="s">
        <v>64</v>
      </c>
      <c r="F181" s="15" t="s">
        <v>65</v>
      </c>
      <c r="G181" s="17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54</v>
      </c>
      <c r="B182" s="14" t="s">
        <v>63</v>
      </c>
      <c r="C182" s="107">
        <v>0.85416666666666663</v>
      </c>
      <c r="D182" s="14" t="s">
        <v>59</v>
      </c>
      <c r="E182" s="14" t="s">
        <v>64</v>
      </c>
      <c r="F182" s="14" t="s">
        <v>66</v>
      </c>
      <c r="G182" s="1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54</v>
      </c>
      <c r="B183" s="14" t="s">
        <v>63</v>
      </c>
      <c r="C183" s="107">
        <v>0.85416666666666663</v>
      </c>
      <c r="D183" s="14" t="s">
        <v>61</v>
      </c>
      <c r="E183" s="14" t="s">
        <v>64</v>
      </c>
      <c r="F183" s="14" t="s">
        <v>67</v>
      </c>
      <c r="G183" s="1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5" t="s">
        <v>54</v>
      </c>
      <c r="B184" s="15" t="s">
        <v>70</v>
      </c>
      <c r="C184" s="108">
        <v>0.51736111111111116</v>
      </c>
      <c r="D184" s="15" t="s">
        <v>56</v>
      </c>
      <c r="E184" s="15" t="s">
        <v>64</v>
      </c>
      <c r="F184" s="15" t="s">
        <v>65</v>
      </c>
      <c r="G184" s="1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54</v>
      </c>
      <c r="B185" s="14" t="s">
        <v>70</v>
      </c>
      <c r="C185" s="107">
        <v>0.51736111111111116</v>
      </c>
      <c r="D185" s="14" t="s">
        <v>59</v>
      </c>
      <c r="E185" s="14" t="s">
        <v>64</v>
      </c>
      <c r="F185" s="14" t="s">
        <v>66</v>
      </c>
      <c r="G185" s="1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54</v>
      </c>
      <c r="B186" s="14" t="s">
        <v>70</v>
      </c>
      <c r="C186" s="107">
        <v>0.51736111111111116</v>
      </c>
      <c r="D186" s="14" t="s">
        <v>61</v>
      </c>
      <c r="E186" s="14" t="s">
        <v>64</v>
      </c>
      <c r="F186" s="14" t="s">
        <v>67</v>
      </c>
      <c r="G186" s="1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5" t="s">
        <v>54</v>
      </c>
      <c r="B187" s="15" t="s">
        <v>72</v>
      </c>
      <c r="C187" s="108">
        <v>0.79861111111111116</v>
      </c>
      <c r="D187" s="15" t="s">
        <v>56</v>
      </c>
      <c r="E187" s="15" t="s">
        <v>57</v>
      </c>
      <c r="F187" s="15" t="s">
        <v>65</v>
      </c>
      <c r="G187" s="17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54</v>
      </c>
      <c r="B188" s="14" t="s">
        <v>72</v>
      </c>
      <c r="C188" s="107">
        <v>0.79861111111111116</v>
      </c>
      <c r="D188" s="14" t="s">
        <v>59</v>
      </c>
      <c r="E188" s="14" t="s">
        <v>57</v>
      </c>
      <c r="F188" s="14" t="s">
        <v>66</v>
      </c>
      <c r="G188" s="17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54</v>
      </c>
      <c r="B189" s="14" t="s">
        <v>72</v>
      </c>
      <c r="C189" s="107">
        <v>0.79861111111111116</v>
      </c>
      <c r="D189" s="14" t="s">
        <v>61</v>
      </c>
      <c r="E189" s="14" t="s">
        <v>57</v>
      </c>
      <c r="F189" s="14" t="s">
        <v>67</v>
      </c>
      <c r="G189" s="17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5" t="s">
        <v>54</v>
      </c>
      <c r="B190" s="15" t="s">
        <v>55</v>
      </c>
      <c r="C190" s="108">
        <v>0.39583333333333331</v>
      </c>
      <c r="D190" s="15" t="s">
        <v>56</v>
      </c>
      <c r="E190" s="15" t="s">
        <v>64</v>
      </c>
      <c r="F190" s="15" t="s">
        <v>65</v>
      </c>
      <c r="G190" s="17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54</v>
      </c>
      <c r="B191" s="14" t="s">
        <v>55</v>
      </c>
      <c r="C191" s="107">
        <v>0.39583333333333331</v>
      </c>
      <c r="D191" s="14" t="s">
        <v>59</v>
      </c>
      <c r="E191" s="14" t="s">
        <v>64</v>
      </c>
      <c r="F191" s="14" t="s">
        <v>66</v>
      </c>
      <c r="G191" s="17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54</v>
      </c>
      <c r="B192" s="14" t="s">
        <v>55</v>
      </c>
      <c r="C192" s="107">
        <v>0.39583333333333331</v>
      </c>
      <c r="D192" s="14" t="s">
        <v>61</v>
      </c>
      <c r="E192" s="14" t="s">
        <v>64</v>
      </c>
      <c r="F192" s="14" t="s">
        <v>67</v>
      </c>
      <c r="G192" s="17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54</v>
      </c>
      <c r="B193" s="15" t="s">
        <v>74</v>
      </c>
      <c r="C193" s="108">
        <v>0.64583333333333337</v>
      </c>
      <c r="D193" s="15" t="s">
        <v>56</v>
      </c>
      <c r="E193" s="15" t="s">
        <v>73</v>
      </c>
      <c r="F193" s="15" t="s">
        <v>65</v>
      </c>
      <c r="G193" s="1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54</v>
      </c>
      <c r="B194" s="14" t="s">
        <v>74</v>
      </c>
      <c r="C194" s="107">
        <v>0.64583333333333337</v>
      </c>
      <c r="D194" s="14" t="s">
        <v>59</v>
      </c>
      <c r="E194" s="14" t="s">
        <v>73</v>
      </c>
      <c r="F194" s="14" t="s">
        <v>66</v>
      </c>
      <c r="G194" s="1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54</v>
      </c>
      <c r="B195" s="14" t="s">
        <v>74</v>
      </c>
      <c r="C195" s="107">
        <v>0.64583333333333337</v>
      </c>
      <c r="D195" s="14" t="s">
        <v>61</v>
      </c>
      <c r="E195" s="14" t="s">
        <v>73</v>
      </c>
      <c r="F195" s="14" t="s">
        <v>67</v>
      </c>
      <c r="G195" s="1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5" t="s">
        <v>54</v>
      </c>
      <c r="B196" s="15" t="s">
        <v>71</v>
      </c>
      <c r="C196" s="108">
        <v>0.90277777777777779</v>
      </c>
      <c r="D196" s="15" t="s">
        <v>56</v>
      </c>
      <c r="E196" s="15" t="s">
        <v>81</v>
      </c>
      <c r="F196" s="15" t="s">
        <v>178</v>
      </c>
      <c r="G196" s="17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54</v>
      </c>
      <c r="B197" s="14" t="s">
        <v>71</v>
      </c>
      <c r="C197" s="107">
        <v>0.90277777777777779</v>
      </c>
      <c r="D197" s="14" t="s">
        <v>59</v>
      </c>
      <c r="E197" s="14" t="s">
        <v>81</v>
      </c>
      <c r="F197" s="14" t="s">
        <v>179</v>
      </c>
      <c r="G197" s="17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54</v>
      </c>
      <c r="B198" s="14" t="s">
        <v>71</v>
      </c>
      <c r="C198" s="107">
        <v>0.90277777777777779</v>
      </c>
      <c r="D198" s="14" t="s">
        <v>61</v>
      </c>
      <c r="E198" s="14" t="s">
        <v>81</v>
      </c>
      <c r="F198" s="14" t="s">
        <v>180</v>
      </c>
      <c r="G198" s="17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93</v>
      </c>
      <c r="B199" s="16" t="s">
        <v>152</v>
      </c>
      <c r="C199" s="109">
        <v>0.53819444444444442</v>
      </c>
      <c r="D199" s="16" t="s">
        <v>95</v>
      </c>
      <c r="E199" s="16" t="s">
        <v>125</v>
      </c>
      <c r="F199" s="16" t="s">
        <v>97</v>
      </c>
      <c r="G199" s="17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5" t="s">
        <v>93</v>
      </c>
      <c r="B200" s="15" t="s">
        <v>94</v>
      </c>
      <c r="C200" s="108">
        <v>0.86111111111111116</v>
      </c>
      <c r="D200" s="15" t="s">
        <v>95</v>
      </c>
      <c r="E200" s="15" t="s">
        <v>119</v>
      </c>
      <c r="F200" s="15" t="s">
        <v>181</v>
      </c>
      <c r="G200" s="17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98</v>
      </c>
      <c r="B201" s="16" t="s">
        <v>101</v>
      </c>
      <c r="C201" s="109">
        <v>0.66666666666666663</v>
      </c>
      <c r="D201" s="16" t="s">
        <v>95</v>
      </c>
      <c r="E201" s="16" t="s">
        <v>36</v>
      </c>
      <c r="F201" s="16" t="s">
        <v>100</v>
      </c>
      <c r="G201" s="1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102</v>
      </c>
      <c r="B202" s="16" t="s">
        <v>107</v>
      </c>
      <c r="C202" s="109">
        <v>0.3923611111111111</v>
      </c>
      <c r="D202" s="16" t="s">
        <v>104</v>
      </c>
      <c r="E202" s="16" t="s">
        <v>64</v>
      </c>
      <c r="F202" s="16" t="s">
        <v>182</v>
      </c>
      <c r="G202" s="17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102</v>
      </c>
      <c r="B203" s="14" t="s">
        <v>107</v>
      </c>
      <c r="C203" s="107">
        <v>0.3923611111111111</v>
      </c>
      <c r="D203" s="14" t="s">
        <v>85</v>
      </c>
      <c r="E203" s="14" t="s">
        <v>64</v>
      </c>
      <c r="F203" s="14" t="s">
        <v>62</v>
      </c>
      <c r="G203" s="17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7" t="s">
        <v>110</v>
      </c>
      <c r="B204" s="17" t="s">
        <v>118</v>
      </c>
      <c r="C204" s="110">
        <v>0.61458333333333337</v>
      </c>
      <c r="D204" s="17" t="s">
        <v>112</v>
      </c>
      <c r="E204" s="17" t="s">
        <v>36</v>
      </c>
      <c r="F204" s="17" t="s">
        <v>113</v>
      </c>
      <c r="G204" s="176"/>
      <c r="H204" s="18" t="s">
        <v>121</v>
      </c>
      <c r="I204" s="136">
        <v>0.64800000000000002</v>
      </c>
      <c r="J204" s="19">
        <v>116</v>
      </c>
      <c r="K204" s="20" t="s">
        <v>128</v>
      </c>
      <c r="L204" s="19">
        <v>6</v>
      </c>
      <c r="M204" s="19">
        <v>0</v>
      </c>
      <c r="N204" s="19">
        <v>0</v>
      </c>
      <c r="O204" s="21" t="s">
        <v>169</v>
      </c>
      <c r="P204" s="112">
        <v>0.61458333333333337</v>
      </c>
      <c r="Q204" s="19">
        <v>179</v>
      </c>
      <c r="R204" s="22" t="s">
        <v>183</v>
      </c>
    </row>
    <row r="205" spans="1:18" ht="15" customHeight="1" x14ac:dyDescent="0.3">
      <c r="A205" s="65" t="s">
        <v>110</v>
      </c>
      <c r="B205" s="65" t="s">
        <v>131</v>
      </c>
      <c r="C205" s="134">
        <v>0.51736111111111116</v>
      </c>
      <c r="D205" s="65" t="s">
        <v>112</v>
      </c>
      <c r="E205" s="65" t="s">
        <v>36</v>
      </c>
      <c r="F205" s="65" t="s">
        <v>113</v>
      </c>
      <c r="G205" s="176"/>
      <c r="H205" s="53" t="s">
        <v>132</v>
      </c>
      <c r="I205" s="127">
        <v>0.68159999999999998</v>
      </c>
      <c r="J205" s="54">
        <v>122</v>
      </c>
      <c r="K205" s="55" t="s">
        <v>184</v>
      </c>
      <c r="L205" s="54">
        <v>13</v>
      </c>
      <c r="M205" s="54">
        <v>0</v>
      </c>
      <c r="N205" s="54">
        <v>0</v>
      </c>
      <c r="O205" s="56" t="s">
        <v>169</v>
      </c>
      <c r="P205" s="128">
        <v>0.51736111111111116</v>
      </c>
      <c r="Q205" s="54">
        <v>179</v>
      </c>
      <c r="R205" s="57" t="s">
        <v>185</v>
      </c>
    </row>
    <row r="206" spans="1:18" ht="15" customHeight="1" x14ac:dyDescent="0.3">
      <c r="A206" s="29" t="s">
        <v>110</v>
      </c>
      <c r="B206" s="29" t="s">
        <v>111</v>
      </c>
      <c r="C206" s="116">
        <v>0.52083333333333337</v>
      </c>
      <c r="D206" s="29" t="s">
        <v>112</v>
      </c>
      <c r="E206" s="29" t="s">
        <v>36</v>
      </c>
      <c r="F206" s="29" t="s">
        <v>186</v>
      </c>
      <c r="G206" s="176"/>
      <c r="H206" s="30" t="s">
        <v>114</v>
      </c>
      <c r="I206" s="117">
        <v>0.92179999999999995</v>
      </c>
      <c r="J206" s="31">
        <v>165</v>
      </c>
      <c r="K206" s="32" t="s">
        <v>187</v>
      </c>
      <c r="L206" s="31">
        <v>0</v>
      </c>
      <c r="M206" s="31">
        <v>0</v>
      </c>
      <c r="N206" s="31">
        <v>0</v>
      </c>
      <c r="O206" s="33" t="s">
        <v>188</v>
      </c>
      <c r="P206" s="118">
        <v>0.52083333333333337</v>
      </c>
      <c r="Q206" s="31">
        <v>179</v>
      </c>
      <c r="R206" s="34" t="s">
        <v>189</v>
      </c>
    </row>
    <row r="207" spans="1:18" ht="15" customHeight="1" x14ac:dyDescent="0.3">
      <c r="A207" s="16" t="s">
        <v>136</v>
      </c>
      <c r="B207" s="16" t="s">
        <v>144</v>
      </c>
      <c r="C207" s="109">
        <v>0.95833333333333337</v>
      </c>
      <c r="D207" s="16" t="s">
        <v>138</v>
      </c>
      <c r="E207" s="16" t="s">
        <v>36</v>
      </c>
      <c r="F207" s="16" t="s">
        <v>139</v>
      </c>
      <c r="G207" s="1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136</v>
      </c>
      <c r="B208" s="15" t="s">
        <v>149</v>
      </c>
      <c r="C208" s="108">
        <v>1.388888888888889E-2</v>
      </c>
      <c r="D208" s="15" t="s">
        <v>138</v>
      </c>
      <c r="E208" s="15" t="s">
        <v>36</v>
      </c>
      <c r="F208" s="15" t="s">
        <v>139</v>
      </c>
      <c r="G208" s="1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136</v>
      </c>
      <c r="B209" s="15" t="s">
        <v>140</v>
      </c>
      <c r="C209" s="108">
        <v>0.14583333333333329</v>
      </c>
      <c r="D209" s="15" t="s">
        <v>138</v>
      </c>
      <c r="E209" s="15" t="s">
        <v>36</v>
      </c>
      <c r="F209" s="15" t="s">
        <v>139</v>
      </c>
      <c r="G209" s="1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136</v>
      </c>
      <c r="B210" s="15" t="s">
        <v>141</v>
      </c>
      <c r="C210" s="108">
        <v>0.27777777777777779</v>
      </c>
      <c r="D210" s="15" t="s">
        <v>138</v>
      </c>
      <c r="E210" s="15" t="s">
        <v>36</v>
      </c>
      <c r="F210" s="15" t="s">
        <v>139</v>
      </c>
      <c r="G210" s="1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136</v>
      </c>
      <c r="B211" s="15" t="s">
        <v>142</v>
      </c>
      <c r="C211" s="108">
        <v>0.4861111111111111</v>
      </c>
      <c r="D211" s="15" t="s">
        <v>138</v>
      </c>
      <c r="E211" s="15" t="s">
        <v>36</v>
      </c>
      <c r="F211" s="15" t="s">
        <v>139</v>
      </c>
      <c r="G211" s="1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136</v>
      </c>
      <c r="B212" s="15" t="s">
        <v>143</v>
      </c>
      <c r="C212" s="108">
        <v>0.51388888888888884</v>
      </c>
      <c r="D212" s="15" t="s">
        <v>138</v>
      </c>
      <c r="E212" s="15" t="s">
        <v>36</v>
      </c>
      <c r="F212" s="15" t="s">
        <v>139</v>
      </c>
      <c r="G212" s="17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5" t="s">
        <v>136</v>
      </c>
      <c r="B213" s="15" t="s">
        <v>147</v>
      </c>
      <c r="C213" s="108">
        <v>0.77083333333333337</v>
      </c>
      <c r="D213" s="15" t="s">
        <v>145</v>
      </c>
      <c r="E213" s="15" t="s">
        <v>36</v>
      </c>
      <c r="F213" s="15" t="s">
        <v>148</v>
      </c>
      <c r="G213" s="17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26</v>
      </c>
      <c r="B214" s="16" t="s">
        <v>46</v>
      </c>
      <c r="C214" s="109">
        <v>6.9444444444444441E-3</v>
      </c>
      <c r="D214" s="16" t="s">
        <v>31</v>
      </c>
      <c r="E214" s="16" t="s">
        <v>36</v>
      </c>
      <c r="F214" s="16" t="s">
        <v>172</v>
      </c>
      <c r="G214" s="17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46</v>
      </c>
      <c r="C215" s="107">
        <v>6.9444444444444441E-3</v>
      </c>
      <c r="D215" s="14" t="s">
        <v>33</v>
      </c>
      <c r="E215" s="14" t="s">
        <v>36</v>
      </c>
      <c r="F215" s="14" t="s">
        <v>173</v>
      </c>
      <c r="G215" s="17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" t="s">
        <v>26</v>
      </c>
      <c r="B216" s="15" t="s">
        <v>49</v>
      </c>
      <c r="C216" s="108">
        <v>0.1423611111111111</v>
      </c>
      <c r="D216" s="15" t="s">
        <v>31</v>
      </c>
      <c r="E216" s="15" t="s">
        <v>36</v>
      </c>
      <c r="F216" s="15" t="s">
        <v>172</v>
      </c>
      <c r="G216" s="17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49</v>
      </c>
      <c r="C217" s="107">
        <v>0.1423611111111111</v>
      </c>
      <c r="D217" s="14" t="s">
        <v>33</v>
      </c>
      <c r="E217" s="14" t="s">
        <v>36</v>
      </c>
      <c r="F217" s="14" t="s">
        <v>173</v>
      </c>
      <c r="G217" s="17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" t="s">
        <v>26</v>
      </c>
      <c r="B218" s="15" t="s">
        <v>35</v>
      </c>
      <c r="C218" s="108">
        <v>0.37847222222222221</v>
      </c>
      <c r="D218" s="15" t="s">
        <v>31</v>
      </c>
      <c r="E218" s="15" t="s">
        <v>36</v>
      </c>
      <c r="F218" s="15" t="s">
        <v>172</v>
      </c>
      <c r="G218" s="17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35</v>
      </c>
      <c r="C219" s="107">
        <v>0.37847222222222221</v>
      </c>
      <c r="D219" s="14" t="s">
        <v>33</v>
      </c>
      <c r="E219" s="14" t="s">
        <v>36</v>
      </c>
      <c r="F219" s="14" t="s">
        <v>173</v>
      </c>
      <c r="G219" s="17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5" t="s">
        <v>26</v>
      </c>
      <c r="B220" s="15" t="s">
        <v>40</v>
      </c>
      <c r="C220" s="108">
        <v>0.23958333333333329</v>
      </c>
      <c r="D220" s="15" t="s">
        <v>31</v>
      </c>
      <c r="E220" s="15" t="s">
        <v>36</v>
      </c>
      <c r="F220" s="15" t="s">
        <v>172</v>
      </c>
      <c r="G220" s="17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40</v>
      </c>
      <c r="C221" s="107">
        <v>0.23958333333333329</v>
      </c>
      <c r="D221" s="14" t="s">
        <v>33</v>
      </c>
      <c r="E221" s="14" t="s">
        <v>36</v>
      </c>
      <c r="F221" s="14" t="s">
        <v>173</v>
      </c>
      <c r="G221" s="1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5" t="s">
        <v>26</v>
      </c>
      <c r="B222" s="15" t="s">
        <v>51</v>
      </c>
      <c r="C222" s="108">
        <v>0.82986111111111116</v>
      </c>
      <c r="D222" s="15" t="s">
        <v>31</v>
      </c>
      <c r="E222" s="15" t="s">
        <v>36</v>
      </c>
      <c r="F222" s="15" t="s">
        <v>37</v>
      </c>
      <c r="G222" s="17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51</v>
      </c>
      <c r="C223" s="107">
        <v>0.82986111111111116</v>
      </c>
      <c r="D223" s="14" t="s">
        <v>33</v>
      </c>
      <c r="E223" s="14" t="s">
        <v>36</v>
      </c>
      <c r="F223" s="14" t="s">
        <v>38</v>
      </c>
      <c r="G223" s="17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26</v>
      </c>
      <c r="B224" s="15" t="s">
        <v>39</v>
      </c>
      <c r="C224" s="108">
        <v>0.61111111111111116</v>
      </c>
      <c r="D224" s="15" t="s">
        <v>31</v>
      </c>
      <c r="E224" s="15" t="s">
        <v>36</v>
      </c>
      <c r="F224" s="15" t="s">
        <v>37</v>
      </c>
      <c r="G224" s="1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39</v>
      </c>
      <c r="C225" s="107">
        <v>0.61111111111111116</v>
      </c>
      <c r="D225" s="14" t="s">
        <v>33</v>
      </c>
      <c r="E225" s="14" t="s">
        <v>36</v>
      </c>
      <c r="F225" s="14" t="s">
        <v>38</v>
      </c>
      <c r="G225" s="1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26</v>
      </c>
      <c r="B226" s="15" t="s">
        <v>45</v>
      </c>
      <c r="C226" s="108">
        <v>0.12847222222222221</v>
      </c>
      <c r="D226" s="15" t="s">
        <v>33</v>
      </c>
      <c r="E226" s="15" t="s">
        <v>42</v>
      </c>
      <c r="F226" s="15" t="s">
        <v>174</v>
      </c>
      <c r="G226" s="1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26</v>
      </c>
      <c r="B227" s="15" t="s">
        <v>44</v>
      </c>
      <c r="C227" s="108">
        <v>0.30208333333333331</v>
      </c>
      <c r="D227" s="15" t="s">
        <v>33</v>
      </c>
      <c r="E227" s="15" t="s">
        <v>42</v>
      </c>
      <c r="F227" s="15" t="s">
        <v>43</v>
      </c>
      <c r="G227" s="1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5" t="s">
        <v>26</v>
      </c>
      <c r="B228" s="15" t="s">
        <v>27</v>
      </c>
      <c r="C228" s="108">
        <v>0.93055555555555558</v>
      </c>
      <c r="D228" s="15" t="s">
        <v>31</v>
      </c>
      <c r="E228" s="15" t="s">
        <v>36</v>
      </c>
      <c r="F228" s="15" t="s">
        <v>47</v>
      </c>
      <c r="G228" s="1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07">
        <v>0.93055555555555558</v>
      </c>
      <c r="D229" s="14" t="s">
        <v>33</v>
      </c>
      <c r="E229" s="14" t="s">
        <v>36</v>
      </c>
      <c r="F229" s="14" t="s">
        <v>48</v>
      </c>
      <c r="G229" s="1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5" t="s">
        <v>26</v>
      </c>
      <c r="B230" s="15" t="s">
        <v>50</v>
      </c>
      <c r="C230" s="108">
        <v>0.71875</v>
      </c>
      <c r="D230" s="15" t="s">
        <v>31</v>
      </c>
      <c r="E230" s="15" t="s">
        <v>36</v>
      </c>
      <c r="F230" s="15" t="s">
        <v>47</v>
      </c>
      <c r="G230" s="1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50</v>
      </c>
      <c r="C231" s="107">
        <v>0.71875</v>
      </c>
      <c r="D231" s="14" t="s">
        <v>33</v>
      </c>
      <c r="E231" s="14" t="s">
        <v>36</v>
      </c>
      <c r="F231" s="14" t="s">
        <v>48</v>
      </c>
      <c r="G231" s="17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" t="s">
        <v>26</v>
      </c>
      <c r="B232" s="15" t="s">
        <v>41</v>
      </c>
      <c r="C232" s="108">
        <v>0.88888888888888884</v>
      </c>
      <c r="D232" s="15" t="s">
        <v>33</v>
      </c>
      <c r="E232" s="15" t="s">
        <v>42</v>
      </c>
      <c r="F232" s="15" t="s">
        <v>175</v>
      </c>
      <c r="G232" s="17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thickBot="1" x14ac:dyDescent="0.35">
      <c r="A233" s="41" t="s">
        <v>26</v>
      </c>
      <c r="B233" s="41" t="s">
        <v>52</v>
      </c>
      <c r="C233" s="122">
        <v>0.78819444444444442</v>
      </c>
      <c r="D233" s="41" t="s">
        <v>33</v>
      </c>
      <c r="E233" s="41" t="s">
        <v>42</v>
      </c>
      <c r="F233" s="41" t="s">
        <v>53</v>
      </c>
      <c r="G233" s="177"/>
      <c r="H233" s="42"/>
      <c r="I233" s="43"/>
      <c r="J233" s="43"/>
      <c r="K233" s="43"/>
      <c r="L233" s="43"/>
      <c r="M233" s="43"/>
      <c r="N233" s="43"/>
      <c r="O233" s="44"/>
      <c r="P233" s="43"/>
      <c r="Q233" s="45"/>
      <c r="R233" s="46"/>
    </row>
    <row r="234" spans="1:18" ht="17.399999999999999" customHeight="1" thickBot="1" x14ac:dyDescent="0.35">
      <c r="A234" s="181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3"/>
    </row>
    <row r="235" spans="1:18" ht="22.05" customHeight="1" thickTop="1" thickBot="1" x14ac:dyDescent="0.35">
      <c r="A235" s="186" t="s">
        <v>6</v>
      </c>
      <c r="B235" s="179"/>
      <c r="C235" s="179"/>
      <c r="D235" s="179"/>
      <c r="E235" s="179"/>
      <c r="F235" s="180"/>
      <c r="G235" s="123">
        <v>45995</v>
      </c>
      <c r="H235" s="178" t="s">
        <v>7</v>
      </c>
      <c r="I235" s="179"/>
      <c r="J235" s="179"/>
      <c r="K235" s="179"/>
      <c r="L235" s="179"/>
      <c r="M235" s="179"/>
      <c r="N235" s="179"/>
      <c r="O235" s="179"/>
      <c r="P235" s="179"/>
      <c r="Q235" s="179"/>
      <c r="R235" s="180"/>
    </row>
    <row r="236" spans="1:18" ht="24" customHeight="1" x14ac:dyDescent="0.3">
      <c r="A236" s="47" t="s">
        <v>8</v>
      </c>
      <c r="B236" s="47" t="s">
        <v>9</v>
      </c>
      <c r="C236" s="124" t="s">
        <v>10</v>
      </c>
      <c r="D236" s="47" t="s">
        <v>11</v>
      </c>
      <c r="E236" s="47" t="s">
        <v>12</v>
      </c>
      <c r="F236" s="48" t="s">
        <v>13</v>
      </c>
      <c r="G236" s="49" t="s">
        <v>14</v>
      </c>
      <c r="H236" s="47" t="s">
        <v>15</v>
      </c>
      <c r="I236" s="125" t="s">
        <v>16</v>
      </c>
      <c r="J236" s="50" t="s">
        <v>17</v>
      </c>
      <c r="K236" s="51" t="s">
        <v>18</v>
      </c>
      <c r="L236" s="50" t="s">
        <v>19</v>
      </c>
      <c r="M236" s="50" t="s">
        <v>20</v>
      </c>
      <c r="N236" s="50" t="s">
        <v>21</v>
      </c>
      <c r="O236" s="47" t="s">
        <v>22</v>
      </c>
      <c r="P236" s="124" t="s">
        <v>23</v>
      </c>
      <c r="Q236" s="50" t="s">
        <v>24</v>
      </c>
      <c r="R236" s="47" t="s">
        <v>25</v>
      </c>
    </row>
    <row r="237" spans="1:18" ht="15" customHeight="1" x14ac:dyDescent="0.3">
      <c r="A237" s="8" t="s">
        <v>54</v>
      </c>
      <c r="B237" s="8" t="s">
        <v>69</v>
      </c>
      <c r="C237" s="106">
        <v>0.30208333333333331</v>
      </c>
      <c r="D237" s="8" t="s">
        <v>190</v>
      </c>
      <c r="E237" s="8" t="s">
        <v>96</v>
      </c>
      <c r="F237" s="8" t="s">
        <v>191</v>
      </c>
      <c r="G237" s="1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" t="s">
        <v>54</v>
      </c>
      <c r="B238" s="15" t="s">
        <v>68</v>
      </c>
      <c r="C238" s="108">
        <v>0.25694444444444442</v>
      </c>
      <c r="D238" s="15" t="s">
        <v>190</v>
      </c>
      <c r="E238" s="15" t="s">
        <v>73</v>
      </c>
      <c r="F238" s="15" t="s">
        <v>58</v>
      </c>
      <c r="G238" s="1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54</v>
      </c>
      <c r="B239" s="15" t="s">
        <v>70</v>
      </c>
      <c r="C239" s="108">
        <v>0.51736111111111116</v>
      </c>
      <c r="D239" s="15" t="s">
        <v>190</v>
      </c>
      <c r="E239" s="15" t="s">
        <v>57</v>
      </c>
      <c r="F239" s="15" t="s">
        <v>58</v>
      </c>
      <c r="G239" s="17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5" t="s">
        <v>54</v>
      </c>
      <c r="B240" s="15" t="s">
        <v>71</v>
      </c>
      <c r="C240" s="108">
        <v>0.90277777777777779</v>
      </c>
      <c r="D240" s="15" t="s">
        <v>190</v>
      </c>
      <c r="E240" s="15" t="s">
        <v>96</v>
      </c>
      <c r="F240" s="15" t="s">
        <v>58</v>
      </c>
      <c r="G240" s="17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" t="s">
        <v>54</v>
      </c>
      <c r="B241" s="15" t="s">
        <v>55</v>
      </c>
      <c r="C241" s="108">
        <v>0.39583333333333331</v>
      </c>
      <c r="D241" s="15" t="s">
        <v>190</v>
      </c>
      <c r="E241" s="15" t="s">
        <v>64</v>
      </c>
      <c r="F241" s="15" t="s">
        <v>58</v>
      </c>
      <c r="G241" s="17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54</v>
      </c>
      <c r="B242" s="15" t="s">
        <v>63</v>
      </c>
      <c r="C242" s="108">
        <v>0.85416666666666663</v>
      </c>
      <c r="D242" s="15" t="s">
        <v>190</v>
      </c>
      <c r="E242" s="15" t="s">
        <v>81</v>
      </c>
      <c r="F242" s="15" t="s">
        <v>65</v>
      </c>
      <c r="G242" s="17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5" t="s">
        <v>54</v>
      </c>
      <c r="B243" s="15" t="s">
        <v>74</v>
      </c>
      <c r="C243" s="108">
        <v>0.64583333333333337</v>
      </c>
      <c r="D243" s="15" t="s">
        <v>190</v>
      </c>
      <c r="E243" s="15" t="s">
        <v>119</v>
      </c>
      <c r="F243" s="15" t="s">
        <v>178</v>
      </c>
      <c r="G243" s="17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5" t="s">
        <v>54</v>
      </c>
      <c r="B244" s="15" t="s">
        <v>72</v>
      </c>
      <c r="C244" s="108">
        <v>0.79861111111111116</v>
      </c>
      <c r="D244" s="15" t="s">
        <v>190</v>
      </c>
      <c r="E244" s="15" t="s">
        <v>96</v>
      </c>
      <c r="F244" s="15" t="s">
        <v>192</v>
      </c>
      <c r="G244" s="1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78</v>
      </c>
      <c r="B245" s="16" t="s">
        <v>79</v>
      </c>
      <c r="C245" s="109">
        <v>0.12847222222222221</v>
      </c>
      <c r="D245" s="16" t="s">
        <v>80</v>
      </c>
      <c r="E245" s="16" t="s">
        <v>57</v>
      </c>
      <c r="F245" s="16" t="s">
        <v>150</v>
      </c>
      <c r="G245" s="1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78</v>
      </c>
      <c r="B246" s="14" t="s">
        <v>79</v>
      </c>
      <c r="C246" s="107">
        <v>0.12847222222222221</v>
      </c>
      <c r="D246" s="14" t="s">
        <v>83</v>
      </c>
      <c r="E246" s="14" t="s">
        <v>57</v>
      </c>
      <c r="F246" s="14" t="s">
        <v>66</v>
      </c>
      <c r="G246" s="1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78</v>
      </c>
      <c r="B247" s="14" t="s">
        <v>79</v>
      </c>
      <c r="C247" s="107">
        <v>0.12847222222222221</v>
      </c>
      <c r="D247" s="14" t="s">
        <v>85</v>
      </c>
      <c r="E247" s="14" t="s">
        <v>57</v>
      </c>
      <c r="F247" s="14" t="s">
        <v>86</v>
      </c>
      <c r="G247" s="1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5" t="s">
        <v>78</v>
      </c>
      <c r="B248" s="15" t="s">
        <v>87</v>
      </c>
      <c r="C248" s="108">
        <v>0.30208333333333331</v>
      </c>
      <c r="D248" s="15" t="s">
        <v>80</v>
      </c>
      <c r="E248" s="15" t="s">
        <v>42</v>
      </c>
      <c r="F248" s="15" t="s">
        <v>150</v>
      </c>
      <c r="G248" s="17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78</v>
      </c>
      <c r="B249" s="14" t="s">
        <v>87</v>
      </c>
      <c r="C249" s="107">
        <v>0.30208333333333331</v>
      </c>
      <c r="D249" s="14" t="s">
        <v>83</v>
      </c>
      <c r="E249" s="14" t="s">
        <v>42</v>
      </c>
      <c r="F249" s="14" t="s">
        <v>66</v>
      </c>
      <c r="G249" s="17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78</v>
      </c>
      <c r="B250" s="14" t="s">
        <v>87</v>
      </c>
      <c r="C250" s="107">
        <v>0.30208333333333331</v>
      </c>
      <c r="D250" s="14" t="s">
        <v>85</v>
      </c>
      <c r="E250" s="14" t="s">
        <v>42</v>
      </c>
      <c r="F250" s="14" t="s">
        <v>86</v>
      </c>
      <c r="G250" s="1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78</v>
      </c>
      <c r="B251" s="15" t="s">
        <v>89</v>
      </c>
      <c r="C251" s="108">
        <v>0.88888888888888884</v>
      </c>
      <c r="D251" s="15" t="s">
        <v>80</v>
      </c>
      <c r="E251" s="15" t="s">
        <v>29</v>
      </c>
      <c r="F251" s="15" t="s">
        <v>82</v>
      </c>
      <c r="G251" s="1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78</v>
      </c>
      <c r="B252" s="14" t="s">
        <v>89</v>
      </c>
      <c r="C252" s="107">
        <v>0.88888888888888884</v>
      </c>
      <c r="D252" s="14" t="s">
        <v>83</v>
      </c>
      <c r="E252" s="14" t="s">
        <v>29</v>
      </c>
      <c r="F252" s="14" t="s">
        <v>84</v>
      </c>
      <c r="G252" s="1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78</v>
      </c>
      <c r="B253" s="14" t="s">
        <v>89</v>
      </c>
      <c r="C253" s="107">
        <v>0.88888888888888884</v>
      </c>
      <c r="D253" s="14" t="s">
        <v>85</v>
      </c>
      <c r="E253" s="14" t="s">
        <v>29</v>
      </c>
      <c r="F253" s="14" t="s">
        <v>86</v>
      </c>
      <c r="G253" s="1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78</v>
      </c>
      <c r="B254" s="15" t="s">
        <v>90</v>
      </c>
      <c r="C254" s="108">
        <v>0.78819444444444442</v>
      </c>
      <c r="D254" s="15" t="s">
        <v>80</v>
      </c>
      <c r="E254" s="15" t="s">
        <v>42</v>
      </c>
      <c r="F254" s="15" t="s">
        <v>91</v>
      </c>
      <c r="G254" s="17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78</v>
      </c>
      <c r="B255" s="14" t="s">
        <v>90</v>
      </c>
      <c r="C255" s="107">
        <v>0.78819444444444442</v>
      </c>
      <c r="D255" s="14" t="s">
        <v>83</v>
      </c>
      <c r="E255" s="14" t="s">
        <v>42</v>
      </c>
      <c r="F255" s="14" t="s">
        <v>92</v>
      </c>
      <c r="G255" s="17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78</v>
      </c>
      <c r="B256" s="14" t="s">
        <v>90</v>
      </c>
      <c r="C256" s="107">
        <v>0.78819444444444442</v>
      </c>
      <c r="D256" s="14" t="s">
        <v>85</v>
      </c>
      <c r="E256" s="14" t="s">
        <v>42</v>
      </c>
      <c r="F256" s="14" t="s">
        <v>86</v>
      </c>
      <c r="G256" s="17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102</v>
      </c>
      <c r="B257" s="16" t="s">
        <v>107</v>
      </c>
      <c r="C257" s="109">
        <v>0.3298611111111111</v>
      </c>
      <c r="D257" s="16" t="s">
        <v>193</v>
      </c>
      <c r="E257" s="16" t="s">
        <v>64</v>
      </c>
      <c r="F257" s="16" t="s">
        <v>194</v>
      </c>
      <c r="G257" s="17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93</v>
      </c>
      <c r="B258" s="16" t="s">
        <v>94</v>
      </c>
      <c r="C258" s="109">
        <v>0.59375</v>
      </c>
      <c r="D258" s="16" t="s">
        <v>95</v>
      </c>
      <c r="E258" s="16" t="s">
        <v>57</v>
      </c>
      <c r="F258" s="16" t="s">
        <v>97</v>
      </c>
      <c r="G258" s="17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5" t="s">
        <v>93</v>
      </c>
      <c r="B259" s="15" t="s">
        <v>152</v>
      </c>
      <c r="C259" s="108">
        <v>0.29166666666666669</v>
      </c>
      <c r="D259" s="15" t="s">
        <v>95</v>
      </c>
      <c r="E259" s="15" t="s">
        <v>36</v>
      </c>
      <c r="F259" s="15" t="s">
        <v>97</v>
      </c>
      <c r="G259" s="17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98</v>
      </c>
      <c r="B260" s="16" t="s">
        <v>101</v>
      </c>
      <c r="C260" s="109">
        <v>0.66666666666666663</v>
      </c>
      <c r="D260" s="16" t="s">
        <v>95</v>
      </c>
      <c r="E260" s="16" t="s">
        <v>36</v>
      </c>
      <c r="F260" s="16" t="s">
        <v>100</v>
      </c>
      <c r="G260" s="17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66" t="s">
        <v>110</v>
      </c>
      <c r="B261" s="66" t="s">
        <v>195</v>
      </c>
      <c r="C261" s="137">
        <v>0.25347222222222221</v>
      </c>
      <c r="D261" s="66" t="s">
        <v>112</v>
      </c>
      <c r="E261" s="66" t="s">
        <v>73</v>
      </c>
      <c r="F261" s="66" t="s">
        <v>182</v>
      </c>
      <c r="G261" s="176"/>
      <c r="H261" s="36" t="s">
        <v>196</v>
      </c>
      <c r="I261" s="138">
        <v>0.3911</v>
      </c>
      <c r="J261" s="37">
        <v>70</v>
      </c>
      <c r="K261" s="38" t="s">
        <v>115</v>
      </c>
      <c r="L261" s="37">
        <v>6</v>
      </c>
      <c r="M261" s="37">
        <v>1</v>
      </c>
      <c r="N261" s="37">
        <v>1</v>
      </c>
      <c r="O261" s="39" t="s">
        <v>197</v>
      </c>
      <c r="P261" s="121">
        <v>0.25347222222222221</v>
      </c>
      <c r="Q261" s="37">
        <v>179</v>
      </c>
      <c r="R261" s="40" t="s">
        <v>198</v>
      </c>
    </row>
    <row r="262" spans="1:18" ht="15" customHeight="1" x14ac:dyDescent="0.3">
      <c r="A262" s="67" t="s">
        <v>110</v>
      </c>
      <c r="B262" s="67" t="s">
        <v>199</v>
      </c>
      <c r="C262" s="139">
        <v>0.36458333333333331</v>
      </c>
      <c r="D262" s="67" t="s">
        <v>112</v>
      </c>
      <c r="E262" s="67" t="s">
        <v>36</v>
      </c>
      <c r="F262" s="67" t="s">
        <v>182</v>
      </c>
      <c r="G262" s="176"/>
      <c r="H262" s="68" t="s">
        <v>200</v>
      </c>
      <c r="I262" s="140">
        <v>0.1061</v>
      </c>
      <c r="J262" s="69">
        <v>19</v>
      </c>
      <c r="K262" s="70" t="s">
        <v>133</v>
      </c>
      <c r="L262" s="69">
        <v>4</v>
      </c>
      <c r="M262" s="69">
        <v>0</v>
      </c>
      <c r="N262" s="69">
        <v>0</v>
      </c>
      <c r="O262" s="71" t="s">
        <v>201</v>
      </c>
      <c r="P262" s="141">
        <v>0.36458333333333331</v>
      </c>
      <c r="Q262" s="69">
        <v>179</v>
      </c>
      <c r="R262" s="72" t="s">
        <v>202</v>
      </c>
    </row>
    <row r="263" spans="1:18" ht="15" customHeight="1" x14ac:dyDescent="0.3">
      <c r="A263" s="35" t="s">
        <v>110</v>
      </c>
      <c r="B263" s="35" t="s">
        <v>131</v>
      </c>
      <c r="C263" s="119">
        <v>0.33333333333333331</v>
      </c>
      <c r="D263" s="35" t="s">
        <v>112</v>
      </c>
      <c r="E263" s="35" t="s">
        <v>36</v>
      </c>
      <c r="F263" s="35" t="s">
        <v>182</v>
      </c>
      <c r="G263" s="176"/>
      <c r="H263" s="36" t="s">
        <v>132</v>
      </c>
      <c r="I263" s="142">
        <v>0.79330000000000001</v>
      </c>
      <c r="J263" s="37">
        <v>142</v>
      </c>
      <c r="K263" s="38" t="s">
        <v>128</v>
      </c>
      <c r="L263" s="37">
        <v>6</v>
      </c>
      <c r="M263" s="37">
        <v>0</v>
      </c>
      <c r="N263" s="37">
        <v>0</v>
      </c>
      <c r="O263" s="39" t="s">
        <v>201</v>
      </c>
      <c r="P263" s="121">
        <v>0.33333333333333331</v>
      </c>
      <c r="Q263" s="37">
        <v>179</v>
      </c>
      <c r="R263" s="40" t="s">
        <v>203</v>
      </c>
    </row>
    <row r="264" spans="1:18" ht="15" customHeight="1" x14ac:dyDescent="0.3">
      <c r="A264" s="58" t="s">
        <v>110</v>
      </c>
      <c r="B264" s="58" t="s">
        <v>160</v>
      </c>
      <c r="C264" s="129">
        <v>0.1145833333333333</v>
      </c>
      <c r="D264" s="58" t="s">
        <v>112</v>
      </c>
      <c r="E264" s="58" t="s">
        <v>96</v>
      </c>
      <c r="F264" s="58" t="s">
        <v>182</v>
      </c>
      <c r="G264" s="176"/>
      <c r="H264" s="59" t="s">
        <v>161</v>
      </c>
      <c r="I264" s="130">
        <v>0.1676</v>
      </c>
      <c r="J264" s="60">
        <v>30</v>
      </c>
      <c r="K264" s="61" t="s">
        <v>115</v>
      </c>
      <c r="L264" s="60">
        <v>7</v>
      </c>
      <c r="M264" s="60">
        <v>1</v>
      </c>
      <c r="N264" s="60">
        <v>0</v>
      </c>
      <c r="O264" s="62" t="s">
        <v>204</v>
      </c>
      <c r="P264" s="131">
        <v>0.1145833333333333</v>
      </c>
      <c r="Q264" s="60">
        <v>179</v>
      </c>
      <c r="R264" s="63" t="s">
        <v>205</v>
      </c>
    </row>
    <row r="265" spans="1:18" ht="15" customHeight="1" x14ac:dyDescent="0.3">
      <c r="A265" s="67" t="s">
        <v>110</v>
      </c>
      <c r="B265" s="67" t="s">
        <v>164</v>
      </c>
      <c r="C265" s="139">
        <v>4.8611111111111112E-2</v>
      </c>
      <c r="D265" s="67" t="s">
        <v>112</v>
      </c>
      <c r="E265" s="67" t="s">
        <v>36</v>
      </c>
      <c r="F265" s="67" t="s">
        <v>156</v>
      </c>
      <c r="G265" s="176"/>
      <c r="H265" s="68" t="s">
        <v>165</v>
      </c>
      <c r="I265" s="143">
        <v>0.60340000000000005</v>
      </c>
      <c r="J265" s="69">
        <v>108</v>
      </c>
      <c r="K265" s="70" t="s">
        <v>206</v>
      </c>
      <c r="L265" s="69">
        <v>15</v>
      </c>
      <c r="M265" s="69">
        <v>0</v>
      </c>
      <c r="N265" s="69">
        <v>1</v>
      </c>
      <c r="O265" s="71" t="s">
        <v>162</v>
      </c>
      <c r="P265" s="141">
        <v>4.8611111111111112E-2</v>
      </c>
      <c r="Q265" s="69">
        <v>179</v>
      </c>
      <c r="R265" s="72" t="s">
        <v>207</v>
      </c>
    </row>
    <row r="266" spans="1:18" ht="15" customHeight="1" x14ac:dyDescent="0.3">
      <c r="A266" s="58" t="s">
        <v>110</v>
      </c>
      <c r="B266" s="58" t="s">
        <v>124</v>
      </c>
      <c r="C266" s="129">
        <v>0.73958333333333337</v>
      </c>
      <c r="D266" s="58" t="s">
        <v>112</v>
      </c>
      <c r="E266" s="58" t="s">
        <v>29</v>
      </c>
      <c r="F266" s="58" t="s">
        <v>120</v>
      </c>
      <c r="G266" s="176"/>
      <c r="H266" s="59" t="s">
        <v>127</v>
      </c>
      <c r="I266" s="144">
        <v>0.91059999999999997</v>
      </c>
      <c r="J266" s="60">
        <v>163</v>
      </c>
      <c r="K266" s="61" t="s">
        <v>115</v>
      </c>
      <c r="L266" s="60">
        <v>29</v>
      </c>
      <c r="M266" s="60">
        <v>1</v>
      </c>
      <c r="N266" s="60">
        <v>3</v>
      </c>
      <c r="O266" s="62" t="s">
        <v>208</v>
      </c>
      <c r="P266" s="131">
        <v>0.73958333333333337</v>
      </c>
      <c r="Q266" s="60">
        <v>179</v>
      </c>
      <c r="R266" s="63" t="s">
        <v>209</v>
      </c>
    </row>
    <row r="267" spans="1:18" ht="15" customHeight="1" x14ac:dyDescent="0.3">
      <c r="A267" s="73" t="s">
        <v>110</v>
      </c>
      <c r="B267" s="73" t="s">
        <v>118</v>
      </c>
      <c r="C267" s="145">
        <v>0.58333333333333337</v>
      </c>
      <c r="D267" s="73" t="s">
        <v>112</v>
      </c>
      <c r="E267" s="73" t="s">
        <v>36</v>
      </c>
      <c r="F267" s="73" t="s">
        <v>126</v>
      </c>
      <c r="G267" s="176"/>
      <c r="H267" s="74" t="s">
        <v>121</v>
      </c>
      <c r="I267" s="146">
        <v>0.87150000000000005</v>
      </c>
      <c r="J267" s="75">
        <v>156</v>
      </c>
      <c r="K267" s="76" t="s">
        <v>157</v>
      </c>
      <c r="L267" s="75">
        <v>1</v>
      </c>
      <c r="M267" s="75">
        <v>0</v>
      </c>
      <c r="N267" s="75">
        <v>0</v>
      </c>
      <c r="O267" s="77" t="s">
        <v>210</v>
      </c>
      <c r="P267" s="147">
        <v>0.58333333333333337</v>
      </c>
      <c r="Q267" s="75">
        <v>179</v>
      </c>
      <c r="R267" s="78" t="s">
        <v>211</v>
      </c>
    </row>
    <row r="268" spans="1:18" ht="15" customHeight="1" x14ac:dyDescent="0.3">
      <c r="A268" s="16" t="s">
        <v>136</v>
      </c>
      <c r="B268" s="16" t="s">
        <v>137</v>
      </c>
      <c r="C268" s="109">
        <v>0.22916666666666671</v>
      </c>
      <c r="D268" s="16" t="s">
        <v>138</v>
      </c>
      <c r="E268" s="16" t="s">
        <v>36</v>
      </c>
      <c r="F268" s="16" t="s">
        <v>139</v>
      </c>
      <c r="G268" s="17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136</v>
      </c>
      <c r="B269" s="15" t="s">
        <v>149</v>
      </c>
      <c r="C269" s="108">
        <v>1.388888888888889E-2</v>
      </c>
      <c r="D269" s="15" t="s">
        <v>138</v>
      </c>
      <c r="E269" s="15" t="s">
        <v>36</v>
      </c>
      <c r="F269" s="15" t="s">
        <v>139</v>
      </c>
      <c r="G269" s="1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136</v>
      </c>
      <c r="B270" s="15" t="s">
        <v>140</v>
      </c>
      <c r="C270" s="108">
        <v>0.14583333333333329</v>
      </c>
      <c r="D270" s="15" t="s">
        <v>138</v>
      </c>
      <c r="E270" s="15" t="s">
        <v>36</v>
      </c>
      <c r="F270" s="15" t="s">
        <v>139</v>
      </c>
      <c r="G270" s="1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136</v>
      </c>
      <c r="B271" s="15" t="s">
        <v>142</v>
      </c>
      <c r="C271" s="108">
        <v>0.4861111111111111</v>
      </c>
      <c r="D271" s="15" t="s">
        <v>138</v>
      </c>
      <c r="E271" s="15" t="s">
        <v>36</v>
      </c>
      <c r="F271" s="15" t="s">
        <v>139</v>
      </c>
      <c r="G271" s="1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" t="s">
        <v>136</v>
      </c>
      <c r="B272" s="15" t="s">
        <v>143</v>
      </c>
      <c r="C272" s="108">
        <v>0.50694444444444442</v>
      </c>
      <c r="D272" s="15" t="s">
        <v>138</v>
      </c>
      <c r="E272" s="15" t="s">
        <v>36</v>
      </c>
      <c r="F272" s="15" t="s">
        <v>139</v>
      </c>
      <c r="G272" s="1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136</v>
      </c>
      <c r="B273" s="15" t="s">
        <v>144</v>
      </c>
      <c r="C273" s="108">
        <v>0.96527777777777779</v>
      </c>
      <c r="D273" s="15" t="s">
        <v>145</v>
      </c>
      <c r="E273" s="15" t="s">
        <v>42</v>
      </c>
      <c r="F273" s="15" t="s">
        <v>146</v>
      </c>
      <c r="G273" s="1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5" t="s">
        <v>136</v>
      </c>
      <c r="B274" s="15" t="s">
        <v>147</v>
      </c>
      <c r="C274" s="108">
        <v>0.77083333333333337</v>
      </c>
      <c r="D274" s="15" t="s">
        <v>145</v>
      </c>
      <c r="E274" s="15" t="s">
        <v>36</v>
      </c>
      <c r="F274" s="15" t="s">
        <v>148</v>
      </c>
      <c r="G274" s="17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136</v>
      </c>
      <c r="B275" s="15" t="s">
        <v>141</v>
      </c>
      <c r="C275" s="108">
        <v>0.27430555555555558</v>
      </c>
      <c r="D275" s="15" t="s">
        <v>145</v>
      </c>
      <c r="E275" s="15" t="s">
        <v>96</v>
      </c>
      <c r="F275" s="15" t="s">
        <v>212</v>
      </c>
      <c r="G275" s="17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26</v>
      </c>
      <c r="B276" s="16" t="s">
        <v>49</v>
      </c>
      <c r="C276" s="109">
        <v>0.1423611111111111</v>
      </c>
      <c r="D276" s="16" t="s">
        <v>31</v>
      </c>
      <c r="E276" s="16" t="s">
        <v>36</v>
      </c>
      <c r="F276" s="16" t="s">
        <v>172</v>
      </c>
      <c r="G276" s="1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49</v>
      </c>
      <c r="C277" s="107">
        <v>0.1423611111111111</v>
      </c>
      <c r="D277" s="14" t="s">
        <v>33</v>
      </c>
      <c r="E277" s="14" t="s">
        <v>36</v>
      </c>
      <c r="F277" s="14" t="s">
        <v>173</v>
      </c>
      <c r="G277" s="17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5" t="s">
        <v>26</v>
      </c>
      <c r="B278" s="15" t="s">
        <v>35</v>
      </c>
      <c r="C278" s="108">
        <v>0.37847222222222221</v>
      </c>
      <c r="D278" s="15" t="s">
        <v>31</v>
      </c>
      <c r="E278" s="15" t="s">
        <v>36</v>
      </c>
      <c r="F278" s="15" t="s">
        <v>172</v>
      </c>
      <c r="G278" s="17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35</v>
      </c>
      <c r="C279" s="107">
        <v>0.37847222222222221</v>
      </c>
      <c r="D279" s="14" t="s">
        <v>33</v>
      </c>
      <c r="E279" s="14" t="s">
        <v>36</v>
      </c>
      <c r="F279" s="14" t="s">
        <v>173</v>
      </c>
      <c r="G279" s="17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5" t="s">
        <v>26</v>
      </c>
      <c r="B280" s="15" t="s">
        <v>40</v>
      </c>
      <c r="C280" s="108">
        <v>0.24305555555555561</v>
      </c>
      <c r="D280" s="15" t="s">
        <v>31</v>
      </c>
      <c r="E280" s="15" t="s">
        <v>36</v>
      </c>
      <c r="F280" s="15" t="s">
        <v>172</v>
      </c>
      <c r="G280" s="17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40</v>
      </c>
      <c r="C281" s="107">
        <v>0.24305555555555561</v>
      </c>
      <c r="D281" s="14" t="s">
        <v>33</v>
      </c>
      <c r="E281" s="14" t="s">
        <v>36</v>
      </c>
      <c r="F281" s="14" t="s">
        <v>173</v>
      </c>
      <c r="G281" s="17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26</v>
      </c>
      <c r="B282" s="15" t="s">
        <v>39</v>
      </c>
      <c r="C282" s="108">
        <v>0.61111111111111116</v>
      </c>
      <c r="D282" s="15" t="s">
        <v>31</v>
      </c>
      <c r="E282" s="15" t="s">
        <v>36</v>
      </c>
      <c r="F282" s="15" t="s">
        <v>213</v>
      </c>
      <c r="G282" s="17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39</v>
      </c>
      <c r="C283" s="107">
        <v>0.61111111111111116</v>
      </c>
      <c r="D283" s="14" t="s">
        <v>33</v>
      </c>
      <c r="E283" s="14" t="s">
        <v>36</v>
      </c>
      <c r="F283" s="14" t="s">
        <v>214</v>
      </c>
      <c r="G283" s="17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26</v>
      </c>
      <c r="B284" s="15" t="s">
        <v>46</v>
      </c>
      <c r="C284" s="108">
        <v>6.9444444444444441E-3</v>
      </c>
      <c r="D284" s="15" t="s">
        <v>31</v>
      </c>
      <c r="E284" s="15" t="s">
        <v>36</v>
      </c>
      <c r="F284" s="15" t="s">
        <v>37</v>
      </c>
      <c r="G284" s="17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46</v>
      </c>
      <c r="C285" s="107">
        <v>6.9444444444444441E-3</v>
      </c>
      <c r="D285" s="14" t="s">
        <v>33</v>
      </c>
      <c r="E285" s="14" t="s">
        <v>36</v>
      </c>
      <c r="F285" s="14" t="s">
        <v>38</v>
      </c>
      <c r="G285" s="17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26</v>
      </c>
      <c r="B286" s="15" t="s">
        <v>27</v>
      </c>
      <c r="C286" s="108">
        <v>0.93055555555555558</v>
      </c>
      <c r="D286" s="15" t="s">
        <v>31</v>
      </c>
      <c r="E286" s="15" t="s">
        <v>36</v>
      </c>
      <c r="F286" s="15" t="s">
        <v>37</v>
      </c>
      <c r="G286" s="17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27</v>
      </c>
      <c r="C287" s="107">
        <v>0.93055555555555558</v>
      </c>
      <c r="D287" s="14" t="s">
        <v>33</v>
      </c>
      <c r="E287" s="14" t="s">
        <v>36</v>
      </c>
      <c r="F287" s="14" t="s">
        <v>38</v>
      </c>
      <c r="G287" s="17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26</v>
      </c>
      <c r="B288" s="15" t="s">
        <v>50</v>
      </c>
      <c r="C288" s="108">
        <v>0.71875</v>
      </c>
      <c r="D288" s="15" t="s">
        <v>31</v>
      </c>
      <c r="E288" s="15" t="s">
        <v>36</v>
      </c>
      <c r="F288" s="15" t="s">
        <v>215</v>
      </c>
      <c r="G288" s="17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50</v>
      </c>
      <c r="C289" s="107">
        <v>0.71875</v>
      </c>
      <c r="D289" s="14" t="s">
        <v>33</v>
      </c>
      <c r="E289" s="14" t="s">
        <v>36</v>
      </c>
      <c r="F289" s="14" t="s">
        <v>216</v>
      </c>
      <c r="G289" s="17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26</v>
      </c>
      <c r="B290" s="15" t="s">
        <v>44</v>
      </c>
      <c r="C290" s="108">
        <v>0.30208333333333331</v>
      </c>
      <c r="D290" s="15" t="s">
        <v>33</v>
      </c>
      <c r="E290" s="15" t="s">
        <v>42</v>
      </c>
      <c r="F290" s="15" t="s">
        <v>174</v>
      </c>
      <c r="G290" s="17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26</v>
      </c>
      <c r="B291" s="15" t="s">
        <v>45</v>
      </c>
      <c r="C291" s="108">
        <v>0.12847222222222221</v>
      </c>
      <c r="D291" s="15" t="s">
        <v>33</v>
      </c>
      <c r="E291" s="15" t="s">
        <v>42</v>
      </c>
      <c r="F291" s="15" t="s">
        <v>43</v>
      </c>
      <c r="G291" s="17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26</v>
      </c>
      <c r="B292" s="15" t="s">
        <v>41</v>
      </c>
      <c r="C292" s="108">
        <v>0.88888888888888884</v>
      </c>
      <c r="D292" s="15" t="s">
        <v>33</v>
      </c>
      <c r="E292" s="15" t="s">
        <v>42</v>
      </c>
      <c r="F292" s="15" t="s">
        <v>175</v>
      </c>
      <c r="G292" s="17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26</v>
      </c>
      <c r="B293" s="15" t="s">
        <v>52</v>
      </c>
      <c r="C293" s="108">
        <v>0.78819444444444442</v>
      </c>
      <c r="D293" s="15" t="s">
        <v>33</v>
      </c>
      <c r="E293" s="15" t="s">
        <v>42</v>
      </c>
      <c r="F293" s="15" t="s">
        <v>175</v>
      </c>
      <c r="G293" s="17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26</v>
      </c>
      <c r="B294" s="15" t="s">
        <v>51</v>
      </c>
      <c r="C294" s="108">
        <v>0.82986111111111116</v>
      </c>
      <c r="D294" s="15" t="s">
        <v>31</v>
      </c>
      <c r="E294" s="15" t="s">
        <v>36</v>
      </c>
      <c r="F294" s="15" t="s">
        <v>217</v>
      </c>
      <c r="G294" s="17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thickBot="1" x14ac:dyDescent="0.35">
      <c r="A295" s="79" t="s">
        <v>26</v>
      </c>
      <c r="B295" s="79" t="s">
        <v>51</v>
      </c>
      <c r="C295" s="148">
        <v>0.82986111111111116</v>
      </c>
      <c r="D295" s="79" t="s">
        <v>33</v>
      </c>
      <c r="E295" s="79" t="s">
        <v>36</v>
      </c>
      <c r="F295" s="79" t="s">
        <v>218</v>
      </c>
      <c r="G295" s="177"/>
      <c r="H295" s="42"/>
      <c r="I295" s="43"/>
      <c r="J295" s="43"/>
      <c r="K295" s="43"/>
      <c r="L295" s="43"/>
      <c r="M295" s="43"/>
      <c r="N295" s="43"/>
      <c r="O295" s="44"/>
      <c r="P295" s="43"/>
      <c r="Q295" s="45"/>
      <c r="R295" s="46"/>
    </row>
    <row r="296" spans="1:18" ht="17.399999999999999" customHeight="1" thickBot="1" x14ac:dyDescent="0.35">
      <c r="A296" s="181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3"/>
    </row>
    <row r="297" spans="1:18" ht="22.05" customHeight="1" thickTop="1" thickBot="1" x14ac:dyDescent="0.35">
      <c r="A297" s="186" t="s">
        <v>6</v>
      </c>
      <c r="B297" s="179"/>
      <c r="C297" s="179"/>
      <c r="D297" s="179"/>
      <c r="E297" s="179"/>
      <c r="F297" s="180"/>
      <c r="G297" s="123">
        <v>45996</v>
      </c>
      <c r="H297" s="178" t="s">
        <v>7</v>
      </c>
      <c r="I297" s="179"/>
      <c r="J297" s="179"/>
      <c r="K297" s="179"/>
      <c r="L297" s="179"/>
      <c r="M297" s="179"/>
      <c r="N297" s="179"/>
      <c r="O297" s="179"/>
      <c r="P297" s="179"/>
      <c r="Q297" s="179"/>
      <c r="R297" s="180"/>
    </row>
    <row r="298" spans="1:18" ht="24" customHeight="1" x14ac:dyDescent="0.3">
      <c r="A298" s="47" t="s">
        <v>8</v>
      </c>
      <c r="B298" s="47" t="s">
        <v>9</v>
      </c>
      <c r="C298" s="124" t="s">
        <v>10</v>
      </c>
      <c r="D298" s="47" t="s">
        <v>11</v>
      </c>
      <c r="E298" s="47" t="s">
        <v>12</v>
      </c>
      <c r="F298" s="48" t="s">
        <v>13</v>
      </c>
      <c r="G298" s="49" t="s">
        <v>14</v>
      </c>
      <c r="H298" s="47" t="s">
        <v>15</v>
      </c>
      <c r="I298" s="125" t="s">
        <v>16</v>
      </c>
      <c r="J298" s="50" t="s">
        <v>17</v>
      </c>
      <c r="K298" s="51" t="s">
        <v>18</v>
      </c>
      <c r="L298" s="50" t="s">
        <v>19</v>
      </c>
      <c r="M298" s="50" t="s">
        <v>20</v>
      </c>
      <c r="N298" s="50" t="s">
        <v>21</v>
      </c>
      <c r="O298" s="47" t="s">
        <v>22</v>
      </c>
      <c r="P298" s="124" t="s">
        <v>23</v>
      </c>
      <c r="Q298" s="50" t="s">
        <v>24</v>
      </c>
      <c r="R298" s="47" t="s">
        <v>25</v>
      </c>
    </row>
    <row r="299" spans="1:18" ht="15" customHeight="1" x14ac:dyDescent="0.3">
      <c r="A299" s="8" t="s">
        <v>78</v>
      </c>
      <c r="B299" s="8" t="s">
        <v>79</v>
      </c>
      <c r="C299" s="106">
        <v>0.12847222222222221</v>
      </c>
      <c r="D299" s="8" t="s">
        <v>80</v>
      </c>
      <c r="E299" s="8" t="s">
        <v>29</v>
      </c>
      <c r="F299" s="8" t="s">
        <v>191</v>
      </c>
      <c r="G299" s="17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78</v>
      </c>
      <c r="B300" s="14" t="s">
        <v>79</v>
      </c>
      <c r="C300" s="107">
        <v>0.12847222222222221</v>
      </c>
      <c r="D300" s="14" t="s">
        <v>83</v>
      </c>
      <c r="E300" s="14" t="s">
        <v>29</v>
      </c>
      <c r="F300" s="14" t="s">
        <v>219</v>
      </c>
      <c r="G300" s="17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78</v>
      </c>
      <c r="B301" s="14" t="s">
        <v>79</v>
      </c>
      <c r="C301" s="107">
        <v>0.12847222222222221</v>
      </c>
      <c r="D301" s="14" t="s">
        <v>85</v>
      </c>
      <c r="E301" s="14" t="s">
        <v>29</v>
      </c>
      <c r="F301" s="14" t="s">
        <v>86</v>
      </c>
      <c r="G301" s="17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78</v>
      </c>
      <c r="B302" s="15" t="s">
        <v>87</v>
      </c>
      <c r="C302" s="108">
        <v>0.30208333333333331</v>
      </c>
      <c r="D302" s="15" t="s">
        <v>80</v>
      </c>
      <c r="E302" s="15" t="s">
        <v>96</v>
      </c>
      <c r="F302" s="15" t="s">
        <v>191</v>
      </c>
      <c r="G302" s="17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78</v>
      </c>
      <c r="B303" s="14" t="s">
        <v>87</v>
      </c>
      <c r="C303" s="107">
        <v>0.30208333333333331</v>
      </c>
      <c r="D303" s="14" t="s">
        <v>83</v>
      </c>
      <c r="E303" s="14" t="s">
        <v>96</v>
      </c>
      <c r="F303" s="14" t="s">
        <v>219</v>
      </c>
      <c r="G303" s="17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78</v>
      </c>
      <c r="B304" s="14" t="s">
        <v>87</v>
      </c>
      <c r="C304" s="107">
        <v>0.30208333333333331</v>
      </c>
      <c r="D304" s="14" t="s">
        <v>85</v>
      </c>
      <c r="E304" s="14" t="s">
        <v>96</v>
      </c>
      <c r="F304" s="14" t="s">
        <v>86</v>
      </c>
      <c r="G304" s="17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78</v>
      </c>
      <c r="B305" s="15" t="s">
        <v>89</v>
      </c>
      <c r="C305" s="108">
        <v>0.88888888888888884</v>
      </c>
      <c r="D305" s="15" t="s">
        <v>80</v>
      </c>
      <c r="E305" s="15" t="s">
        <v>96</v>
      </c>
      <c r="F305" s="15" t="s">
        <v>191</v>
      </c>
      <c r="G305" s="17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78</v>
      </c>
      <c r="B306" s="14" t="s">
        <v>89</v>
      </c>
      <c r="C306" s="107">
        <v>0.88888888888888884</v>
      </c>
      <c r="D306" s="14" t="s">
        <v>83</v>
      </c>
      <c r="E306" s="14" t="s">
        <v>96</v>
      </c>
      <c r="F306" s="14" t="s">
        <v>219</v>
      </c>
      <c r="G306" s="17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78</v>
      </c>
      <c r="B307" s="14" t="s">
        <v>89</v>
      </c>
      <c r="C307" s="107">
        <v>0.88888888888888884</v>
      </c>
      <c r="D307" s="14" t="s">
        <v>85</v>
      </c>
      <c r="E307" s="14" t="s">
        <v>96</v>
      </c>
      <c r="F307" s="14" t="s">
        <v>86</v>
      </c>
      <c r="G307" s="17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78</v>
      </c>
      <c r="B308" s="15" t="s">
        <v>90</v>
      </c>
      <c r="C308" s="108">
        <v>0.78819444444444442</v>
      </c>
      <c r="D308" s="15" t="s">
        <v>80</v>
      </c>
      <c r="E308" s="15" t="s">
        <v>81</v>
      </c>
      <c r="F308" s="15" t="s">
        <v>150</v>
      </c>
      <c r="G308" s="17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78</v>
      </c>
      <c r="B309" s="14" t="s">
        <v>90</v>
      </c>
      <c r="C309" s="107">
        <v>0.78819444444444442</v>
      </c>
      <c r="D309" s="14" t="s">
        <v>83</v>
      </c>
      <c r="E309" s="14" t="s">
        <v>81</v>
      </c>
      <c r="F309" s="14" t="s">
        <v>66</v>
      </c>
      <c r="G309" s="17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78</v>
      </c>
      <c r="B310" s="14" t="s">
        <v>90</v>
      </c>
      <c r="C310" s="107">
        <v>0.78819444444444442</v>
      </c>
      <c r="D310" s="14" t="s">
        <v>85</v>
      </c>
      <c r="E310" s="14" t="s">
        <v>81</v>
      </c>
      <c r="F310" s="14" t="s">
        <v>86</v>
      </c>
      <c r="G310" s="17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102</v>
      </c>
      <c r="B311" s="16" t="s">
        <v>107</v>
      </c>
      <c r="C311" s="109">
        <v>0.3923611111111111</v>
      </c>
      <c r="D311" s="16" t="s">
        <v>193</v>
      </c>
      <c r="E311" s="16" t="s">
        <v>64</v>
      </c>
      <c r="F311" s="16" t="s">
        <v>220</v>
      </c>
      <c r="G311" s="17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5" t="s">
        <v>102</v>
      </c>
      <c r="B312" s="15" t="s">
        <v>221</v>
      </c>
      <c r="C312" s="108">
        <v>0.97569444444444442</v>
      </c>
      <c r="D312" s="15" t="s">
        <v>193</v>
      </c>
      <c r="E312" s="15" t="s">
        <v>64</v>
      </c>
      <c r="F312" s="15" t="s">
        <v>220</v>
      </c>
      <c r="G312" s="17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5" t="s">
        <v>102</v>
      </c>
      <c r="B313" s="15" t="s">
        <v>222</v>
      </c>
      <c r="C313" s="108">
        <v>0.67708333333333337</v>
      </c>
      <c r="D313" s="15" t="s">
        <v>193</v>
      </c>
      <c r="E313" s="15" t="s">
        <v>64</v>
      </c>
      <c r="F313" s="15" t="s">
        <v>223</v>
      </c>
      <c r="G313" s="17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54</v>
      </c>
      <c r="B314" s="16" t="s">
        <v>63</v>
      </c>
      <c r="C314" s="109">
        <v>0.85416666666666663</v>
      </c>
      <c r="D314" s="16" t="s">
        <v>56</v>
      </c>
      <c r="E314" s="16" t="s">
        <v>57</v>
      </c>
      <c r="F314" s="16" t="s">
        <v>58</v>
      </c>
      <c r="G314" s="17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54</v>
      </c>
      <c r="B315" s="14" t="s">
        <v>63</v>
      </c>
      <c r="C315" s="107">
        <v>0.85416666666666663</v>
      </c>
      <c r="D315" s="14" t="s">
        <v>59</v>
      </c>
      <c r="E315" s="14" t="s">
        <v>57</v>
      </c>
      <c r="F315" s="14" t="s">
        <v>60</v>
      </c>
      <c r="G315" s="17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54</v>
      </c>
      <c r="B316" s="14" t="s">
        <v>63</v>
      </c>
      <c r="C316" s="107">
        <v>0.85416666666666663</v>
      </c>
      <c r="D316" s="14" t="s">
        <v>61</v>
      </c>
      <c r="E316" s="14" t="s">
        <v>57</v>
      </c>
      <c r="F316" s="14" t="s">
        <v>62</v>
      </c>
      <c r="G316" s="17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" t="s">
        <v>54</v>
      </c>
      <c r="B317" s="15" t="s">
        <v>68</v>
      </c>
      <c r="C317" s="108">
        <v>0.25694444444444442</v>
      </c>
      <c r="D317" s="15" t="s">
        <v>56</v>
      </c>
      <c r="E317" s="15" t="s">
        <v>64</v>
      </c>
      <c r="F317" s="15" t="s">
        <v>58</v>
      </c>
      <c r="G317" s="17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54</v>
      </c>
      <c r="B318" s="14" t="s">
        <v>68</v>
      </c>
      <c r="C318" s="107">
        <v>0.25694444444444442</v>
      </c>
      <c r="D318" s="14" t="s">
        <v>59</v>
      </c>
      <c r="E318" s="14" t="s">
        <v>64</v>
      </c>
      <c r="F318" s="14" t="s">
        <v>60</v>
      </c>
      <c r="G318" s="17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54</v>
      </c>
      <c r="B319" s="14" t="s">
        <v>68</v>
      </c>
      <c r="C319" s="107">
        <v>0.25694444444444442</v>
      </c>
      <c r="D319" s="14" t="s">
        <v>61</v>
      </c>
      <c r="E319" s="14" t="s">
        <v>64</v>
      </c>
      <c r="F319" s="14" t="s">
        <v>62</v>
      </c>
      <c r="G319" s="17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54</v>
      </c>
      <c r="B320" s="15" t="s">
        <v>69</v>
      </c>
      <c r="C320" s="108">
        <v>0.46875</v>
      </c>
      <c r="D320" s="15" t="s">
        <v>56</v>
      </c>
      <c r="E320" s="15" t="s">
        <v>29</v>
      </c>
      <c r="F320" s="15" t="s">
        <v>58</v>
      </c>
      <c r="G320" s="17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54</v>
      </c>
      <c r="B321" s="14" t="s">
        <v>69</v>
      </c>
      <c r="C321" s="107">
        <v>0.46875</v>
      </c>
      <c r="D321" s="14" t="s">
        <v>59</v>
      </c>
      <c r="E321" s="14" t="s">
        <v>29</v>
      </c>
      <c r="F321" s="14" t="s">
        <v>60</v>
      </c>
      <c r="G321" s="17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54</v>
      </c>
      <c r="B322" s="14" t="s">
        <v>69</v>
      </c>
      <c r="C322" s="107">
        <v>0.46875</v>
      </c>
      <c r="D322" s="14" t="s">
        <v>61</v>
      </c>
      <c r="E322" s="14" t="s">
        <v>29</v>
      </c>
      <c r="F322" s="14" t="s">
        <v>62</v>
      </c>
      <c r="G322" s="17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5" t="s">
        <v>54</v>
      </c>
      <c r="B323" s="15" t="s">
        <v>70</v>
      </c>
      <c r="C323" s="108">
        <v>0.51736111111111116</v>
      </c>
      <c r="D323" s="15" t="s">
        <v>56</v>
      </c>
      <c r="E323" s="15" t="s">
        <v>64</v>
      </c>
      <c r="F323" s="15" t="s">
        <v>58</v>
      </c>
      <c r="G323" s="17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54</v>
      </c>
      <c r="B324" s="14" t="s">
        <v>70</v>
      </c>
      <c r="C324" s="107">
        <v>0.51736111111111116</v>
      </c>
      <c r="D324" s="14" t="s">
        <v>59</v>
      </c>
      <c r="E324" s="14" t="s">
        <v>64</v>
      </c>
      <c r="F324" s="14" t="s">
        <v>60</v>
      </c>
      <c r="G324" s="17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54</v>
      </c>
      <c r="B325" s="14" t="s">
        <v>70</v>
      </c>
      <c r="C325" s="107">
        <v>0.51736111111111116</v>
      </c>
      <c r="D325" s="14" t="s">
        <v>61</v>
      </c>
      <c r="E325" s="14" t="s">
        <v>64</v>
      </c>
      <c r="F325" s="14" t="s">
        <v>62</v>
      </c>
      <c r="G325" s="17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54</v>
      </c>
      <c r="B326" s="15" t="s">
        <v>72</v>
      </c>
      <c r="C326" s="108">
        <v>0.79861111111111116</v>
      </c>
      <c r="D326" s="15" t="s">
        <v>56</v>
      </c>
      <c r="E326" s="15" t="s">
        <v>57</v>
      </c>
      <c r="F326" s="15" t="s">
        <v>58</v>
      </c>
      <c r="G326" s="17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54</v>
      </c>
      <c r="B327" s="14" t="s">
        <v>72</v>
      </c>
      <c r="C327" s="107">
        <v>0.79861111111111116</v>
      </c>
      <c r="D327" s="14" t="s">
        <v>59</v>
      </c>
      <c r="E327" s="14" t="s">
        <v>57</v>
      </c>
      <c r="F327" s="14" t="s">
        <v>60</v>
      </c>
      <c r="G327" s="17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54</v>
      </c>
      <c r="B328" s="14" t="s">
        <v>72</v>
      </c>
      <c r="C328" s="107">
        <v>0.79861111111111116</v>
      </c>
      <c r="D328" s="14" t="s">
        <v>61</v>
      </c>
      <c r="E328" s="14" t="s">
        <v>57</v>
      </c>
      <c r="F328" s="14" t="s">
        <v>62</v>
      </c>
      <c r="G328" s="17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5" t="s">
        <v>54</v>
      </c>
      <c r="B329" s="15" t="s">
        <v>55</v>
      </c>
      <c r="C329" s="108">
        <v>0.39583333333333331</v>
      </c>
      <c r="D329" s="15" t="s">
        <v>56</v>
      </c>
      <c r="E329" s="15" t="s">
        <v>119</v>
      </c>
      <c r="F329" s="15" t="s">
        <v>58</v>
      </c>
      <c r="G329" s="17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54</v>
      </c>
      <c r="B330" s="14" t="s">
        <v>55</v>
      </c>
      <c r="C330" s="107">
        <v>0.39583333333333331</v>
      </c>
      <c r="D330" s="14" t="s">
        <v>59</v>
      </c>
      <c r="E330" s="14" t="s">
        <v>119</v>
      </c>
      <c r="F330" s="14" t="s">
        <v>60</v>
      </c>
      <c r="G330" s="17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54</v>
      </c>
      <c r="B331" s="14" t="s">
        <v>55</v>
      </c>
      <c r="C331" s="107">
        <v>0.39583333333333331</v>
      </c>
      <c r="D331" s="14" t="s">
        <v>61</v>
      </c>
      <c r="E331" s="14" t="s">
        <v>119</v>
      </c>
      <c r="F331" s="14" t="s">
        <v>62</v>
      </c>
      <c r="G331" s="17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5" t="s">
        <v>54</v>
      </c>
      <c r="B332" s="15" t="s">
        <v>74</v>
      </c>
      <c r="C332" s="108">
        <v>0.64583333333333337</v>
      </c>
      <c r="D332" s="15" t="s">
        <v>56</v>
      </c>
      <c r="E332" s="15" t="s">
        <v>125</v>
      </c>
      <c r="F332" s="15" t="s">
        <v>58</v>
      </c>
      <c r="G332" s="17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54</v>
      </c>
      <c r="B333" s="14" t="s">
        <v>74</v>
      </c>
      <c r="C333" s="107">
        <v>0.64583333333333337</v>
      </c>
      <c r="D333" s="14" t="s">
        <v>59</v>
      </c>
      <c r="E333" s="14" t="s">
        <v>125</v>
      </c>
      <c r="F333" s="14" t="s">
        <v>60</v>
      </c>
      <c r="G333" s="17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54</v>
      </c>
      <c r="B334" s="14" t="s">
        <v>74</v>
      </c>
      <c r="C334" s="107">
        <v>0.64583333333333337</v>
      </c>
      <c r="D334" s="14" t="s">
        <v>61</v>
      </c>
      <c r="E334" s="14" t="s">
        <v>125</v>
      </c>
      <c r="F334" s="14" t="s">
        <v>62</v>
      </c>
      <c r="G334" s="17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5" t="s">
        <v>54</v>
      </c>
      <c r="B335" s="15" t="s">
        <v>71</v>
      </c>
      <c r="C335" s="108">
        <v>0.90277777777777779</v>
      </c>
      <c r="D335" s="15" t="s">
        <v>56</v>
      </c>
      <c r="E335" s="15" t="s">
        <v>64</v>
      </c>
      <c r="F335" s="15" t="s">
        <v>178</v>
      </c>
      <c r="G335" s="17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54</v>
      </c>
      <c r="B336" s="14" t="s">
        <v>71</v>
      </c>
      <c r="C336" s="107">
        <v>0.90277777777777779</v>
      </c>
      <c r="D336" s="14" t="s">
        <v>59</v>
      </c>
      <c r="E336" s="14" t="s">
        <v>64</v>
      </c>
      <c r="F336" s="14" t="s">
        <v>179</v>
      </c>
      <c r="G336" s="17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54</v>
      </c>
      <c r="B337" s="14" t="s">
        <v>71</v>
      </c>
      <c r="C337" s="107">
        <v>0.90277777777777779</v>
      </c>
      <c r="D337" s="14" t="s">
        <v>61</v>
      </c>
      <c r="E337" s="14" t="s">
        <v>64</v>
      </c>
      <c r="F337" s="14" t="s">
        <v>180</v>
      </c>
      <c r="G337" s="17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80" t="s">
        <v>110</v>
      </c>
      <c r="B338" s="80" t="s">
        <v>124</v>
      </c>
      <c r="C338" s="149">
        <v>0.61458333333333337</v>
      </c>
      <c r="D338" s="80" t="s">
        <v>112</v>
      </c>
      <c r="E338" s="80" t="s">
        <v>36</v>
      </c>
      <c r="F338" s="80" t="s">
        <v>100</v>
      </c>
      <c r="G338" s="176"/>
      <c r="H338" s="24" t="s">
        <v>127</v>
      </c>
      <c r="I338" s="150">
        <v>0.51400000000000001</v>
      </c>
      <c r="J338" s="25">
        <v>92</v>
      </c>
      <c r="K338" s="26" t="s">
        <v>133</v>
      </c>
      <c r="L338" s="25">
        <v>21</v>
      </c>
      <c r="M338" s="25">
        <v>0</v>
      </c>
      <c r="N338" s="25">
        <v>0</v>
      </c>
      <c r="O338" s="27" t="s">
        <v>224</v>
      </c>
      <c r="P338" s="115">
        <v>0.61458333333333337</v>
      </c>
      <c r="Q338" s="25">
        <v>179</v>
      </c>
      <c r="R338" s="28" t="s">
        <v>225</v>
      </c>
    </row>
    <row r="339" spans="1:18" ht="15" customHeight="1" x14ac:dyDescent="0.3">
      <c r="A339" s="58" t="s">
        <v>110</v>
      </c>
      <c r="B339" s="58" t="s">
        <v>131</v>
      </c>
      <c r="C339" s="129">
        <v>0.31944444444444442</v>
      </c>
      <c r="D339" s="58" t="s">
        <v>112</v>
      </c>
      <c r="E339" s="58" t="s">
        <v>96</v>
      </c>
      <c r="F339" s="58" t="s">
        <v>100</v>
      </c>
      <c r="G339" s="176"/>
      <c r="H339" s="59" t="s">
        <v>132</v>
      </c>
      <c r="I339" s="130">
        <v>0.2235</v>
      </c>
      <c r="J339" s="60">
        <v>40</v>
      </c>
      <c r="K339" s="61" t="s">
        <v>115</v>
      </c>
      <c r="L339" s="60">
        <v>20</v>
      </c>
      <c r="M339" s="60">
        <v>3</v>
      </c>
      <c r="N339" s="60">
        <v>3</v>
      </c>
      <c r="O339" s="62" t="s">
        <v>201</v>
      </c>
      <c r="P339" s="131">
        <v>0.31944444444444442</v>
      </c>
      <c r="Q339" s="60">
        <v>179</v>
      </c>
      <c r="R339" s="63" t="s">
        <v>226</v>
      </c>
    </row>
    <row r="340" spans="1:18" ht="15" customHeight="1" x14ac:dyDescent="0.3">
      <c r="A340" s="73" t="s">
        <v>110</v>
      </c>
      <c r="B340" s="73" t="s">
        <v>164</v>
      </c>
      <c r="C340" s="145">
        <v>0.1145833333333333</v>
      </c>
      <c r="D340" s="73" t="s">
        <v>112</v>
      </c>
      <c r="E340" s="73" t="s">
        <v>36</v>
      </c>
      <c r="F340" s="73" t="s">
        <v>100</v>
      </c>
      <c r="G340" s="176"/>
      <c r="H340" s="74" t="s">
        <v>165</v>
      </c>
      <c r="I340" s="151">
        <v>0.25140000000000001</v>
      </c>
      <c r="J340" s="75">
        <v>45</v>
      </c>
      <c r="K340" s="76" t="s">
        <v>115</v>
      </c>
      <c r="L340" s="75">
        <v>19</v>
      </c>
      <c r="M340" s="75">
        <v>3</v>
      </c>
      <c r="N340" s="75">
        <v>0</v>
      </c>
      <c r="O340" s="77" t="s">
        <v>224</v>
      </c>
      <c r="P340" s="147">
        <v>0.1145833333333333</v>
      </c>
      <c r="Q340" s="75">
        <v>179</v>
      </c>
      <c r="R340" s="78" t="s">
        <v>227</v>
      </c>
    </row>
    <row r="341" spans="1:18" ht="15" customHeight="1" x14ac:dyDescent="0.3">
      <c r="A341" s="67" t="s">
        <v>110</v>
      </c>
      <c r="B341" s="67" t="s">
        <v>118</v>
      </c>
      <c r="C341" s="139">
        <v>0.45833333333333331</v>
      </c>
      <c r="D341" s="67" t="s">
        <v>112</v>
      </c>
      <c r="E341" s="67" t="s">
        <v>119</v>
      </c>
      <c r="F341" s="67" t="s">
        <v>182</v>
      </c>
      <c r="G341" s="176"/>
      <c r="H341" s="68" t="s">
        <v>121</v>
      </c>
      <c r="I341" s="140">
        <v>0.19550000000000001</v>
      </c>
      <c r="J341" s="69">
        <v>35</v>
      </c>
      <c r="K341" s="70" t="s">
        <v>157</v>
      </c>
      <c r="L341" s="69">
        <v>9</v>
      </c>
      <c r="M341" s="69">
        <v>0</v>
      </c>
      <c r="N341" s="69">
        <v>0</v>
      </c>
      <c r="O341" s="71" t="s">
        <v>228</v>
      </c>
      <c r="P341" s="141">
        <v>0.45833333333333331</v>
      </c>
      <c r="Q341" s="69">
        <v>179</v>
      </c>
      <c r="R341" s="72" t="s">
        <v>229</v>
      </c>
    </row>
    <row r="342" spans="1:18" ht="15" customHeight="1" x14ac:dyDescent="0.3">
      <c r="A342" s="29" t="s">
        <v>110</v>
      </c>
      <c r="B342" s="29" t="s">
        <v>160</v>
      </c>
      <c r="C342" s="116">
        <v>0.73611111111111116</v>
      </c>
      <c r="D342" s="29" t="s">
        <v>112</v>
      </c>
      <c r="E342" s="29" t="s">
        <v>42</v>
      </c>
      <c r="F342" s="29" t="s">
        <v>156</v>
      </c>
      <c r="G342" s="176"/>
      <c r="H342" s="30" t="s">
        <v>161</v>
      </c>
      <c r="I342" s="152">
        <v>0.51959999999999995</v>
      </c>
      <c r="J342" s="31">
        <v>93</v>
      </c>
      <c r="K342" s="32" t="s">
        <v>115</v>
      </c>
      <c r="L342" s="31">
        <v>8</v>
      </c>
      <c r="M342" s="31">
        <v>1</v>
      </c>
      <c r="N342" s="31">
        <v>3</v>
      </c>
      <c r="O342" s="33" t="s">
        <v>158</v>
      </c>
      <c r="P342" s="118">
        <v>0.73611111111111116</v>
      </c>
      <c r="Q342" s="31">
        <v>179</v>
      </c>
      <c r="R342" s="34" t="s">
        <v>230</v>
      </c>
    </row>
    <row r="343" spans="1:18" ht="15" customHeight="1" x14ac:dyDescent="0.3">
      <c r="A343" s="58" t="s">
        <v>110</v>
      </c>
      <c r="B343" s="58" t="s">
        <v>111</v>
      </c>
      <c r="C343" s="129">
        <v>0.9375</v>
      </c>
      <c r="D343" s="58" t="s">
        <v>112</v>
      </c>
      <c r="E343" s="58" t="s">
        <v>36</v>
      </c>
      <c r="F343" s="58" t="s">
        <v>231</v>
      </c>
      <c r="G343" s="176"/>
      <c r="H343" s="59" t="s">
        <v>114</v>
      </c>
      <c r="I343" s="144">
        <v>0.90500000000000003</v>
      </c>
      <c r="J343" s="60">
        <v>162</v>
      </c>
      <c r="K343" s="61" t="s">
        <v>232</v>
      </c>
      <c r="L343" s="60">
        <v>0</v>
      </c>
      <c r="M343" s="60">
        <v>0</v>
      </c>
      <c r="N343" s="60">
        <v>0</v>
      </c>
      <c r="O343" s="62" t="s">
        <v>233</v>
      </c>
      <c r="P343" s="131">
        <v>0.9375</v>
      </c>
      <c r="Q343" s="60">
        <v>179</v>
      </c>
      <c r="R343" s="63" t="s">
        <v>234</v>
      </c>
    </row>
    <row r="344" spans="1:18" ht="15" customHeight="1" x14ac:dyDescent="0.3">
      <c r="A344" s="16" t="s">
        <v>98</v>
      </c>
      <c r="B344" s="16" t="s">
        <v>101</v>
      </c>
      <c r="C344" s="109">
        <v>0.66666666666666663</v>
      </c>
      <c r="D344" s="16" t="s">
        <v>95</v>
      </c>
      <c r="E344" s="16" t="s">
        <v>36</v>
      </c>
      <c r="F344" s="16" t="s">
        <v>100</v>
      </c>
      <c r="G344" s="17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136</v>
      </c>
      <c r="B345" s="16" t="s">
        <v>140</v>
      </c>
      <c r="C345" s="109">
        <v>0.14583333333333329</v>
      </c>
      <c r="D345" s="16" t="s">
        <v>138</v>
      </c>
      <c r="E345" s="16" t="s">
        <v>36</v>
      </c>
      <c r="F345" s="16" t="s">
        <v>139</v>
      </c>
      <c r="G345" s="17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136</v>
      </c>
      <c r="B346" s="15" t="s">
        <v>141</v>
      </c>
      <c r="C346" s="108">
        <v>0.27777777777777779</v>
      </c>
      <c r="D346" s="15" t="s">
        <v>138</v>
      </c>
      <c r="E346" s="15" t="s">
        <v>36</v>
      </c>
      <c r="F346" s="15" t="s">
        <v>139</v>
      </c>
      <c r="G346" s="17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5" t="s">
        <v>136</v>
      </c>
      <c r="B347" s="15" t="s">
        <v>142</v>
      </c>
      <c r="C347" s="108">
        <v>0.4861111111111111</v>
      </c>
      <c r="D347" s="15" t="s">
        <v>138</v>
      </c>
      <c r="E347" s="15" t="s">
        <v>36</v>
      </c>
      <c r="F347" s="15" t="s">
        <v>139</v>
      </c>
      <c r="G347" s="17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136</v>
      </c>
      <c r="B348" s="15" t="s">
        <v>137</v>
      </c>
      <c r="C348" s="108">
        <v>0.22916666666666671</v>
      </c>
      <c r="D348" s="15" t="s">
        <v>138</v>
      </c>
      <c r="E348" s="15" t="s">
        <v>36</v>
      </c>
      <c r="F348" s="15" t="s">
        <v>235</v>
      </c>
      <c r="G348" s="17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5" t="s">
        <v>136</v>
      </c>
      <c r="B349" s="15" t="s">
        <v>147</v>
      </c>
      <c r="C349" s="108">
        <v>0.77083333333333337</v>
      </c>
      <c r="D349" s="15" t="s">
        <v>145</v>
      </c>
      <c r="E349" s="15" t="s">
        <v>36</v>
      </c>
      <c r="F349" s="15" t="s">
        <v>148</v>
      </c>
      <c r="G349" s="17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26</v>
      </c>
      <c r="B350" s="16" t="s">
        <v>49</v>
      </c>
      <c r="C350" s="109">
        <v>0.1423611111111111</v>
      </c>
      <c r="D350" s="16" t="s">
        <v>31</v>
      </c>
      <c r="E350" s="16" t="s">
        <v>36</v>
      </c>
      <c r="F350" s="16" t="s">
        <v>172</v>
      </c>
      <c r="G350" s="17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49</v>
      </c>
      <c r="C351" s="107">
        <v>0.1423611111111111</v>
      </c>
      <c r="D351" s="14" t="s">
        <v>33</v>
      </c>
      <c r="E351" s="14" t="s">
        <v>36</v>
      </c>
      <c r="F351" s="14" t="s">
        <v>173</v>
      </c>
      <c r="G351" s="17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26</v>
      </c>
      <c r="B352" s="15" t="s">
        <v>50</v>
      </c>
      <c r="C352" s="108">
        <v>0.71875</v>
      </c>
      <c r="D352" s="15" t="s">
        <v>31</v>
      </c>
      <c r="E352" s="15" t="s">
        <v>42</v>
      </c>
      <c r="F352" s="15" t="s">
        <v>172</v>
      </c>
      <c r="G352" s="17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50</v>
      </c>
      <c r="C353" s="107">
        <v>0.71875</v>
      </c>
      <c r="D353" s="14" t="s">
        <v>33</v>
      </c>
      <c r="E353" s="14" t="s">
        <v>42</v>
      </c>
      <c r="F353" s="14" t="s">
        <v>173</v>
      </c>
      <c r="G353" s="17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5" t="s">
        <v>26</v>
      </c>
      <c r="B354" s="15" t="s">
        <v>35</v>
      </c>
      <c r="C354" s="108">
        <v>0.37847222222222221</v>
      </c>
      <c r="D354" s="15" t="s">
        <v>31</v>
      </c>
      <c r="E354" s="15" t="s">
        <v>36</v>
      </c>
      <c r="F354" s="15" t="s">
        <v>172</v>
      </c>
      <c r="G354" s="17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35</v>
      </c>
      <c r="C355" s="107">
        <v>0.37847222222222221</v>
      </c>
      <c r="D355" s="14" t="s">
        <v>33</v>
      </c>
      <c r="E355" s="14" t="s">
        <v>36</v>
      </c>
      <c r="F355" s="14" t="s">
        <v>173</v>
      </c>
      <c r="G355" s="17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5" t="s">
        <v>26</v>
      </c>
      <c r="B356" s="15" t="s">
        <v>39</v>
      </c>
      <c r="C356" s="108">
        <v>0.61111111111111116</v>
      </c>
      <c r="D356" s="15" t="s">
        <v>31</v>
      </c>
      <c r="E356" s="15" t="s">
        <v>36</v>
      </c>
      <c r="F356" s="15" t="s">
        <v>172</v>
      </c>
      <c r="G356" s="17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39</v>
      </c>
      <c r="C357" s="107">
        <v>0.61111111111111116</v>
      </c>
      <c r="D357" s="14" t="s">
        <v>33</v>
      </c>
      <c r="E357" s="14" t="s">
        <v>36</v>
      </c>
      <c r="F357" s="14" t="s">
        <v>173</v>
      </c>
      <c r="G357" s="17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5" t="s">
        <v>26</v>
      </c>
      <c r="B358" s="15" t="s">
        <v>40</v>
      </c>
      <c r="C358" s="108">
        <v>0.23958333333333329</v>
      </c>
      <c r="D358" s="15" t="s">
        <v>31</v>
      </c>
      <c r="E358" s="15" t="s">
        <v>36</v>
      </c>
      <c r="F358" s="15" t="s">
        <v>172</v>
      </c>
      <c r="G358" s="17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40</v>
      </c>
      <c r="C359" s="107">
        <v>0.23958333333333329</v>
      </c>
      <c r="D359" s="14" t="s">
        <v>33</v>
      </c>
      <c r="E359" s="14" t="s">
        <v>36</v>
      </c>
      <c r="F359" s="14" t="s">
        <v>173</v>
      </c>
      <c r="G359" s="17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5" t="s">
        <v>26</v>
      </c>
      <c r="B360" s="15" t="s">
        <v>46</v>
      </c>
      <c r="C360" s="108">
        <v>6.9444444444444441E-3</v>
      </c>
      <c r="D360" s="15" t="s">
        <v>31</v>
      </c>
      <c r="E360" s="15" t="s">
        <v>36</v>
      </c>
      <c r="F360" s="15" t="s">
        <v>37</v>
      </c>
      <c r="G360" s="17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46</v>
      </c>
      <c r="C361" s="107">
        <v>6.9444444444444441E-3</v>
      </c>
      <c r="D361" s="14" t="s">
        <v>33</v>
      </c>
      <c r="E361" s="14" t="s">
        <v>36</v>
      </c>
      <c r="F361" s="14" t="s">
        <v>38</v>
      </c>
      <c r="G361" s="17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5" t="s">
        <v>26</v>
      </c>
      <c r="B362" s="15" t="s">
        <v>27</v>
      </c>
      <c r="C362" s="108">
        <v>0.93055555555555558</v>
      </c>
      <c r="D362" s="15" t="s">
        <v>31</v>
      </c>
      <c r="E362" s="15" t="s">
        <v>36</v>
      </c>
      <c r="F362" s="15" t="s">
        <v>37</v>
      </c>
      <c r="G362" s="17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27</v>
      </c>
      <c r="C363" s="107">
        <v>0.93055555555555558</v>
      </c>
      <c r="D363" s="14" t="s">
        <v>33</v>
      </c>
      <c r="E363" s="14" t="s">
        <v>36</v>
      </c>
      <c r="F363" s="14" t="s">
        <v>38</v>
      </c>
      <c r="G363" s="17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26</v>
      </c>
      <c r="B364" s="15" t="s">
        <v>41</v>
      </c>
      <c r="C364" s="108">
        <v>0.88888888888888884</v>
      </c>
      <c r="D364" s="15" t="s">
        <v>33</v>
      </c>
      <c r="E364" s="15" t="s">
        <v>42</v>
      </c>
      <c r="F364" s="15" t="s">
        <v>174</v>
      </c>
      <c r="G364" s="17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26</v>
      </c>
      <c r="B365" s="15" t="s">
        <v>44</v>
      </c>
      <c r="C365" s="108">
        <v>0.30208333333333331</v>
      </c>
      <c r="D365" s="15" t="s">
        <v>33</v>
      </c>
      <c r="E365" s="15" t="s">
        <v>42</v>
      </c>
      <c r="F365" s="15" t="s">
        <v>174</v>
      </c>
      <c r="G365" s="17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26</v>
      </c>
      <c r="B366" s="15" t="s">
        <v>45</v>
      </c>
      <c r="C366" s="108">
        <v>0.12847222222222221</v>
      </c>
      <c r="D366" s="15" t="s">
        <v>33</v>
      </c>
      <c r="E366" s="15" t="s">
        <v>42</v>
      </c>
      <c r="F366" s="15" t="s">
        <v>174</v>
      </c>
      <c r="G366" s="17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26</v>
      </c>
      <c r="B367" s="15" t="s">
        <v>52</v>
      </c>
      <c r="C367" s="108">
        <v>0.78819444444444442</v>
      </c>
      <c r="D367" s="15" t="s">
        <v>33</v>
      </c>
      <c r="E367" s="15" t="s">
        <v>42</v>
      </c>
      <c r="F367" s="15" t="s">
        <v>174</v>
      </c>
      <c r="G367" s="17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26</v>
      </c>
      <c r="B368" s="15" t="s">
        <v>51</v>
      </c>
      <c r="C368" s="108">
        <v>0.82986111111111116</v>
      </c>
      <c r="D368" s="15" t="s">
        <v>31</v>
      </c>
      <c r="E368" s="15" t="s">
        <v>36</v>
      </c>
      <c r="F368" s="15" t="s">
        <v>47</v>
      </c>
      <c r="G368" s="17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79" t="s">
        <v>26</v>
      </c>
      <c r="B369" s="79" t="s">
        <v>51</v>
      </c>
      <c r="C369" s="148">
        <v>0.82986111111111116</v>
      </c>
      <c r="D369" s="79" t="s">
        <v>33</v>
      </c>
      <c r="E369" s="79" t="s">
        <v>36</v>
      </c>
      <c r="F369" s="79" t="s">
        <v>48</v>
      </c>
      <c r="G369" s="177"/>
      <c r="H369" s="42"/>
      <c r="I369" s="43"/>
      <c r="J369" s="43"/>
      <c r="K369" s="43"/>
      <c r="L369" s="43"/>
      <c r="M369" s="43"/>
      <c r="N369" s="43"/>
      <c r="O369" s="44"/>
      <c r="P369" s="43"/>
      <c r="Q369" s="45"/>
      <c r="R369" s="46"/>
    </row>
  </sheetData>
  <mergeCells count="26">
    <mergeCell ref="H297:R297"/>
    <mergeCell ref="A4:F4"/>
    <mergeCell ref="G85:G159"/>
    <mergeCell ref="A2:F2"/>
    <mergeCell ref="A3:R3"/>
    <mergeCell ref="G163:G233"/>
    <mergeCell ref="H83:R83"/>
    <mergeCell ref="H161:R161"/>
    <mergeCell ref="A160:R160"/>
    <mergeCell ref="G2:J2"/>
    <mergeCell ref="G299:G369"/>
    <mergeCell ref="H235:R235"/>
    <mergeCell ref="A296:R296"/>
    <mergeCell ref="A234:R234"/>
    <mergeCell ref="N1:R1"/>
    <mergeCell ref="A161:F161"/>
    <mergeCell ref="K2:R2"/>
    <mergeCell ref="A83:F83"/>
    <mergeCell ref="G6:G81"/>
    <mergeCell ref="A82:R82"/>
    <mergeCell ref="H1:L1"/>
    <mergeCell ref="A1:E1"/>
    <mergeCell ref="H4:R4"/>
    <mergeCell ref="G237:G295"/>
    <mergeCell ref="A297:F297"/>
    <mergeCell ref="A235:F2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62" bestFit="1" customWidth="1"/>
    <col min="2" max="2" width="9.77734375" style="162" bestFit="1" customWidth="1"/>
    <col min="3" max="3" width="7.88671875" style="162" bestFit="1" customWidth="1"/>
    <col min="4" max="4" width="6.77734375" style="162" bestFit="1" customWidth="1"/>
    <col min="5" max="5" width="8.6640625" style="162" bestFit="1" customWidth="1"/>
    <col min="6" max="6" width="5.21875" style="162" bestFit="1" customWidth="1"/>
    <col min="7" max="7" width="10" style="162" bestFit="1" customWidth="1"/>
    <col min="8" max="10" width="8.5546875" style="162" bestFit="1" customWidth="1"/>
    <col min="11" max="11" width="12.21875" style="162" bestFit="1" customWidth="1"/>
    <col min="12" max="12" width="20.6640625" style="162" bestFit="1" customWidth="1"/>
    <col min="13" max="13" width="8.77734375" style="162" bestFit="1" customWidth="1" outlineLevel="2"/>
    <col min="14" max="14" width="7.33203125" style="162" bestFit="1" customWidth="1" outlineLevel="2"/>
    <col min="15" max="15" width="9.109375" style="162" bestFit="1" customWidth="1" outlineLevel="2"/>
    <col min="16" max="16" width="15.33203125" style="162" bestFit="1" customWidth="1"/>
    <col min="17" max="26" width="3.88671875" style="162" bestFit="1" customWidth="1"/>
    <col min="27" max="27" width="4.77734375" style="162" bestFit="1" customWidth="1"/>
    <col min="28" max="28" width="3.88671875" style="162" bestFit="1" customWidth="1"/>
    <col min="29" max="29" width="5.109375" style="162" bestFit="1" customWidth="1"/>
    <col min="30" max="31" width="5.33203125" style="162" bestFit="1" customWidth="1"/>
    <col min="32" max="32" width="4.44140625" style="162" bestFit="1" customWidth="1"/>
    <col min="33" max="33" width="5" style="162" bestFit="1" customWidth="1"/>
    <col min="34" max="34" width="3.88671875" style="162" bestFit="1" customWidth="1"/>
    <col min="35" max="35" width="6.21875" style="162" bestFit="1" customWidth="1"/>
    <col min="36" max="36" width="4.21875" style="162" bestFit="1" customWidth="1"/>
    <col min="37" max="16384" width="8.88671875" style="162"/>
  </cols>
  <sheetData>
    <row r="1" spans="1:36" x14ac:dyDescent="0.3">
      <c r="A1" s="161" t="s">
        <v>236</v>
      </c>
      <c r="B1" s="161" t="s">
        <v>237</v>
      </c>
      <c r="C1" s="161" t="s">
        <v>238</v>
      </c>
      <c r="D1" s="161" t="s">
        <v>23</v>
      </c>
      <c r="E1" s="161" t="s">
        <v>239</v>
      </c>
      <c r="F1" s="161" t="s">
        <v>240</v>
      </c>
      <c r="G1" s="161" t="s">
        <v>16</v>
      </c>
      <c r="H1" s="161" t="s">
        <v>241</v>
      </c>
      <c r="I1" s="161" t="s">
        <v>242</v>
      </c>
      <c r="J1" s="161" t="s">
        <v>243</v>
      </c>
      <c r="K1" s="161" t="s">
        <v>244</v>
      </c>
      <c r="L1" s="161" t="s">
        <v>18</v>
      </c>
      <c r="M1" s="161" t="s">
        <v>20</v>
      </c>
      <c r="N1" s="161" t="s">
        <v>21</v>
      </c>
      <c r="O1" s="161" t="s">
        <v>19</v>
      </c>
      <c r="P1" s="161" t="s">
        <v>22</v>
      </c>
      <c r="Q1" s="161" t="s">
        <v>245</v>
      </c>
      <c r="R1" s="161" t="s">
        <v>246</v>
      </c>
      <c r="S1" s="161" t="s">
        <v>247</v>
      </c>
      <c r="T1" s="161" t="s">
        <v>248</v>
      </c>
      <c r="U1" s="161" t="s">
        <v>249</v>
      </c>
      <c r="V1" s="161" t="s">
        <v>250</v>
      </c>
      <c r="W1" s="161" t="s">
        <v>251</v>
      </c>
      <c r="X1" s="161" t="s">
        <v>252</v>
      </c>
      <c r="Y1" s="161" t="s">
        <v>253</v>
      </c>
      <c r="Z1" s="161" t="s">
        <v>254</v>
      </c>
      <c r="AA1" s="161" t="s">
        <v>255</v>
      </c>
      <c r="AB1" s="161" t="s">
        <v>256</v>
      </c>
      <c r="AC1" s="161" t="s">
        <v>257</v>
      </c>
      <c r="AD1" s="161" t="s">
        <v>258</v>
      </c>
      <c r="AE1" s="161" t="s">
        <v>259</v>
      </c>
      <c r="AF1" s="161" t="s">
        <v>260</v>
      </c>
      <c r="AG1" s="161" t="s">
        <v>261</v>
      </c>
      <c r="AH1" s="161" t="s">
        <v>262</v>
      </c>
      <c r="AI1" s="161" t="s">
        <v>263</v>
      </c>
      <c r="AJ1" s="161" t="s">
        <v>264</v>
      </c>
    </row>
    <row r="2" spans="1:36" x14ac:dyDescent="0.3">
      <c r="A2" s="163" t="s">
        <v>265</v>
      </c>
      <c r="B2" s="164">
        <v>45992</v>
      </c>
      <c r="C2" s="165" t="s">
        <v>127</v>
      </c>
      <c r="D2" s="166" t="s">
        <v>266</v>
      </c>
      <c r="E2" s="165" t="s">
        <v>1</v>
      </c>
      <c r="F2" s="165" t="s">
        <v>267</v>
      </c>
      <c r="G2" s="167">
        <v>0.88270000000000004</v>
      </c>
      <c r="H2" s="168">
        <v>179</v>
      </c>
      <c r="I2" s="168">
        <v>158</v>
      </c>
      <c r="J2" s="168">
        <v>131</v>
      </c>
      <c r="K2" s="165" t="s">
        <v>268</v>
      </c>
      <c r="L2" s="169" t="s">
        <v>128</v>
      </c>
      <c r="M2" s="168">
        <v>0</v>
      </c>
      <c r="N2" s="168">
        <v>0</v>
      </c>
      <c r="O2" s="168">
        <v>2</v>
      </c>
      <c r="P2" s="165" t="s">
        <v>129</v>
      </c>
      <c r="Q2" s="161"/>
      <c r="R2" s="161"/>
      <c r="S2" s="161"/>
      <c r="T2" s="161"/>
      <c r="U2" s="161"/>
      <c r="V2" s="161"/>
      <c r="W2" s="161"/>
      <c r="X2" s="161"/>
      <c r="Y2" s="161"/>
      <c r="Z2" s="168" t="s">
        <v>269</v>
      </c>
      <c r="AA2" s="161"/>
      <c r="AB2" s="161"/>
      <c r="AC2" s="161"/>
      <c r="AD2" s="168" t="s">
        <v>270</v>
      </c>
      <c r="AE2" s="168" t="s">
        <v>197</v>
      </c>
      <c r="AF2" s="168" t="s">
        <v>271</v>
      </c>
      <c r="AG2" s="161"/>
      <c r="AH2" s="161"/>
      <c r="AI2" s="168" t="s">
        <v>272</v>
      </c>
      <c r="AJ2" s="161"/>
    </row>
    <row r="3" spans="1:36" x14ac:dyDescent="0.3">
      <c r="A3" s="163" t="s">
        <v>265</v>
      </c>
      <c r="B3" s="164">
        <v>45992</v>
      </c>
      <c r="C3" s="165" t="s">
        <v>132</v>
      </c>
      <c r="D3" s="166" t="s">
        <v>273</v>
      </c>
      <c r="E3" s="165" t="s">
        <v>1</v>
      </c>
      <c r="F3" s="165" t="s">
        <v>267</v>
      </c>
      <c r="G3" s="167">
        <v>0.97209999999999996</v>
      </c>
      <c r="H3" s="168">
        <v>179</v>
      </c>
      <c r="I3" s="168">
        <v>174</v>
      </c>
      <c r="J3" s="168">
        <v>135</v>
      </c>
      <c r="K3" s="165" t="s">
        <v>268</v>
      </c>
      <c r="L3" s="169" t="s">
        <v>133</v>
      </c>
      <c r="M3" s="168">
        <v>0</v>
      </c>
      <c r="N3" s="168">
        <v>0</v>
      </c>
      <c r="O3" s="168">
        <v>8</v>
      </c>
      <c r="P3" s="165" t="s">
        <v>134</v>
      </c>
      <c r="Q3" s="161"/>
      <c r="R3" s="161"/>
      <c r="S3" s="161"/>
      <c r="T3" s="161"/>
      <c r="U3" s="161"/>
      <c r="V3" s="161"/>
      <c r="W3" s="161"/>
      <c r="X3" s="161"/>
      <c r="Y3" s="161"/>
      <c r="Z3" s="168" t="s">
        <v>274</v>
      </c>
      <c r="AA3" s="168" t="s">
        <v>275</v>
      </c>
      <c r="AB3" s="161"/>
      <c r="AC3" s="161"/>
      <c r="AD3" s="161"/>
      <c r="AE3" s="168" t="s">
        <v>276</v>
      </c>
      <c r="AF3" s="168" t="s">
        <v>277</v>
      </c>
      <c r="AG3" s="161"/>
      <c r="AH3" s="161"/>
      <c r="AI3" s="168" t="s">
        <v>278</v>
      </c>
      <c r="AJ3" s="161"/>
    </row>
    <row r="4" spans="1:36" x14ac:dyDescent="0.3">
      <c r="A4" s="163" t="s">
        <v>265</v>
      </c>
      <c r="B4" s="164">
        <v>45992</v>
      </c>
      <c r="C4" s="165" t="s">
        <v>121</v>
      </c>
      <c r="D4" s="166" t="s">
        <v>279</v>
      </c>
      <c r="E4" s="165" t="s">
        <v>1</v>
      </c>
      <c r="F4" s="165" t="s">
        <v>267</v>
      </c>
      <c r="G4" s="167">
        <v>0.89390000000000003</v>
      </c>
      <c r="H4" s="168">
        <v>179</v>
      </c>
      <c r="I4" s="168">
        <v>160</v>
      </c>
      <c r="J4" s="168">
        <v>103</v>
      </c>
      <c r="K4" s="165" t="s">
        <v>268</v>
      </c>
      <c r="L4" s="169" t="s">
        <v>115</v>
      </c>
      <c r="M4" s="168">
        <v>1</v>
      </c>
      <c r="N4" s="168">
        <v>2</v>
      </c>
      <c r="O4" s="168">
        <v>9</v>
      </c>
      <c r="P4" s="165" t="s">
        <v>122</v>
      </c>
      <c r="Q4" s="161"/>
      <c r="R4" s="161"/>
      <c r="S4" s="161"/>
      <c r="T4" s="161"/>
      <c r="U4" s="161"/>
      <c r="V4" s="161"/>
      <c r="W4" s="161"/>
      <c r="X4" s="161"/>
      <c r="Y4" s="161"/>
      <c r="Z4" s="168" t="s">
        <v>280</v>
      </c>
      <c r="AA4" s="161"/>
      <c r="AB4" s="168" t="s">
        <v>281</v>
      </c>
      <c r="AC4" s="168" t="s">
        <v>282</v>
      </c>
      <c r="AD4" s="168" t="s">
        <v>283</v>
      </c>
      <c r="AE4" s="168" t="s">
        <v>284</v>
      </c>
      <c r="AF4" s="168" t="s">
        <v>277</v>
      </c>
      <c r="AG4" s="161"/>
      <c r="AH4" s="161"/>
      <c r="AI4" s="168" t="s">
        <v>285</v>
      </c>
      <c r="AJ4" s="168" t="s">
        <v>286</v>
      </c>
    </row>
    <row r="5" spans="1:36" x14ac:dyDescent="0.3">
      <c r="A5" s="163" t="s">
        <v>265</v>
      </c>
      <c r="B5" s="164">
        <v>45992</v>
      </c>
      <c r="C5" s="165" t="s">
        <v>114</v>
      </c>
      <c r="D5" s="166" t="s">
        <v>287</v>
      </c>
      <c r="E5" s="165" t="s">
        <v>1</v>
      </c>
      <c r="F5" s="165" t="s">
        <v>267</v>
      </c>
      <c r="G5" s="167">
        <v>0.9385</v>
      </c>
      <c r="H5" s="168">
        <v>179</v>
      </c>
      <c r="I5" s="168">
        <v>168</v>
      </c>
      <c r="J5" s="168">
        <v>104</v>
      </c>
      <c r="K5" s="165" t="s">
        <v>268</v>
      </c>
      <c r="L5" s="169" t="s">
        <v>115</v>
      </c>
      <c r="M5" s="168">
        <v>2</v>
      </c>
      <c r="N5" s="168">
        <v>3</v>
      </c>
      <c r="O5" s="168">
        <v>20</v>
      </c>
      <c r="P5" s="165" t="s">
        <v>116</v>
      </c>
      <c r="Q5" s="161"/>
      <c r="R5" s="161"/>
      <c r="S5" s="161"/>
      <c r="T5" s="161"/>
      <c r="U5" s="161"/>
      <c r="V5" s="161"/>
      <c r="W5" s="161"/>
      <c r="X5" s="161"/>
      <c r="Y5" s="161"/>
      <c r="Z5" s="168" t="s">
        <v>288</v>
      </c>
      <c r="AA5" s="161"/>
      <c r="AB5" s="161"/>
      <c r="AC5" s="168" t="s">
        <v>289</v>
      </c>
      <c r="AD5" s="168" t="s">
        <v>290</v>
      </c>
      <c r="AE5" s="168" t="s">
        <v>291</v>
      </c>
      <c r="AF5" s="168" t="s">
        <v>292</v>
      </c>
      <c r="AG5" s="168" t="s">
        <v>293</v>
      </c>
      <c r="AH5" s="161"/>
      <c r="AI5" s="168" t="s">
        <v>294</v>
      </c>
      <c r="AJ5" s="168" t="s">
        <v>295</v>
      </c>
    </row>
    <row r="6" spans="1:36" x14ac:dyDescent="0.3">
      <c r="A6" s="163" t="s">
        <v>296</v>
      </c>
      <c r="B6" s="164">
        <v>45993</v>
      </c>
      <c r="C6" s="165" t="s">
        <v>161</v>
      </c>
      <c r="D6" s="166" t="s">
        <v>297</v>
      </c>
      <c r="E6" s="165" t="s">
        <v>1</v>
      </c>
      <c r="F6" s="165" t="s">
        <v>267</v>
      </c>
      <c r="G6" s="167">
        <v>0.2626</v>
      </c>
      <c r="H6" s="168">
        <v>179</v>
      </c>
      <c r="I6" s="168">
        <v>47</v>
      </c>
      <c r="J6" s="168">
        <v>0</v>
      </c>
      <c r="K6" s="165" t="s">
        <v>268</v>
      </c>
      <c r="L6" s="169" t="s">
        <v>115</v>
      </c>
      <c r="M6" s="168">
        <v>2</v>
      </c>
      <c r="N6" s="168">
        <v>0</v>
      </c>
      <c r="O6" s="168">
        <v>18</v>
      </c>
      <c r="P6" s="165" t="s">
        <v>162</v>
      </c>
      <c r="Q6" s="161"/>
      <c r="R6" s="161"/>
      <c r="S6" s="161"/>
      <c r="T6" s="161"/>
      <c r="U6" s="161"/>
      <c r="V6" s="161"/>
      <c r="W6" s="161"/>
      <c r="X6" s="161"/>
      <c r="Y6" s="161"/>
      <c r="Z6" s="168" t="s">
        <v>280</v>
      </c>
      <c r="AA6" s="161"/>
      <c r="AB6" s="161"/>
      <c r="AC6" s="161"/>
      <c r="AD6" s="161"/>
      <c r="AE6" s="168" t="s">
        <v>284</v>
      </c>
      <c r="AF6" s="168" t="s">
        <v>298</v>
      </c>
      <c r="AG6" s="161"/>
      <c r="AH6" s="161"/>
      <c r="AI6" s="161"/>
      <c r="AJ6" s="161"/>
    </row>
    <row r="7" spans="1:36" x14ac:dyDescent="0.3">
      <c r="A7" s="163" t="s">
        <v>296</v>
      </c>
      <c r="B7" s="164">
        <v>45993</v>
      </c>
      <c r="C7" s="165" t="s">
        <v>127</v>
      </c>
      <c r="D7" s="166" t="s">
        <v>299</v>
      </c>
      <c r="E7" s="165" t="s">
        <v>1</v>
      </c>
      <c r="F7" s="165" t="s">
        <v>267</v>
      </c>
      <c r="G7" s="167">
        <v>0.72629999999999995</v>
      </c>
      <c r="H7" s="168">
        <v>179</v>
      </c>
      <c r="I7" s="168">
        <v>130</v>
      </c>
      <c r="J7" s="168">
        <v>90</v>
      </c>
      <c r="K7" s="165" t="s">
        <v>268</v>
      </c>
      <c r="L7" s="169" t="s">
        <v>115</v>
      </c>
      <c r="M7" s="168">
        <v>3</v>
      </c>
      <c r="N7" s="168">
        <v>1</v>
      </c>
      <c r="O7" s="168">
        <v>18</v>
      </c>
      <c r="P7" s="165" t="s">
        <v>169</v>
      </c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8" t="s">
        <v>300</v>
      </c>
      <c r="AE7" s="168" t="s">
        <v>284</v>
      </c>
      <c r="AF7" s="168" t="s">
        <v>277</v>
      </c>
      <c r="AG7" s="161"/>
      <c r="AH7" s="161"/>
      <c r="AI7" s="168" t="s">
        <v>301</v>
      </c>
      <c r="AJ7" s="161"/>
    </row>
    <row r="8" spans="1:36" x14ac:dyDescent="0.3">
      <c r="A8" s="163" t="s">
        <v>296</v>
      </c>
      <c r="B8" s="164">
        <v>45993</v>
      </c>
      <c r="C8" s="165" t="s">
        <v>121</v>
      </c>
      <c r="D8" s="166" t="s">
        <v>279</v>
      </c>
      <c r="E8" s="165" t="s">
        <v>1</v>
      </c>
      <c r="F8" s="165" t="s">
        <v>267</v>
      </c>
      <c r="G8" s="167">
        <v>0.67600000000000005</v>
      </c>
      <c r="H8" s="168">
        <v>179</v>
      </c>
      <c r="I8" s="168">
        <v>121</v>
      </c>
      <c r="J8" s="168">
        <v>83</v>
      </c>
      <c r="K8" s="165" t="s">
        <v>268</v>
      </c>
      <c r="L8" s="169" t="s">
        <v>157</v>
      </c>
      <c r="M8" s="168">
        <v>0</v>
      </c>
      <c r="N8" s="168">
        <v>0</v>
      </c>
      <c r="O8" s="168">
        <v>6</v>
      </c>
      <c r="P8" s="165" t="s">
        <v>116</v>
      </c>
      <c r="Q8" s="161"/>
      <c r="R8" s="161"/>
      <c r="S8" s="161"/>
      <c r="T8" s="161"/>
      <c r="U8" s="161"/>
      <c r="V8" s="161"/>
      <c r="W8" s="161"/>
      <c r="X8" s="161"/>
      <c r="Y8" s="161"/>
      <c r="Z8" s="168" t="s">
        <v>302</v>
      </c>
      <c r="AA8" s="161"/>
      <c r="AB8" s="161"/>
      <c r="AC8" s="168" t="s">
        <v>303</v>
      </c>
      <c r="AD8" s="168" t="s">
        <v>283</v>
      </c>
      <c r="AE8" s="168" t="s">
        <v>304</v>
      </c>
      <c r="AF8" s="168" t="s">
        <v>277</v>
      </c>
      <c r="AG8" s="161"/>
      <c r="AH8" s="161"/>
      <c r="AI8" s="168" t="s">
        <v>305</v>
      </c>
      <c r="AJ8" s="161"/>
    </row>
    <row r="9" spans="1:36" x14ac:dyDescent="0.3">
      <c r="A9" s="163" t="s">
        <v>296</v>
      </c>
      <c r="B9" s="164">
        <v>45993</v>
      </c>
      <c r="C9" s="165" t="s">
        <v>114</v>
      </c>
      <c r="D9" s="166" t="s">
        <v>306</v>
      </c>
      <c r="E9" s="165" t="s">
        <v>1</v>
      </c>
      <c r="F9" s="165" t="s">
        <v>267</v>
      </c>
      <c r="G9" s="167">
        <v>0.69830000000000003</v>
      </c>
      <c r="H9" s="168">
        <v>179</v>
      </c>
      <c r="I9" s="168">
        <v>125</v>
      </c>
      <c r="J9" s="168">
        <v>96</v>
      </c>
      <c r="K9" s="165" t="s">
        <v>268</v>
      </c>
      <c r="L9" s="169" t="s">
        <v>115</v>
      </c>
      <c r="M9" s="168">
        <v>2</v>
      </c>
      <c r="N9" s="168">
        <v>1</v>
      </c>
      <c r="O9" s="168">
        <v>8</v>
      </c>
      <c r="P9" s="165" t="s">
        <v>167</v>
      </c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8" t="s">
        <v>307</v>
      </c>
      <c r="AE9" s="168" t="s">
        <v>304</v>
      </c>
      <c r="AF9" s="168" t="s">
        <v>277</v>
      </c>
      <c r="AG9" s="161"/>
      <c r="AH9" s="161"/>
      <c r="AI9" s="168" t="s">
        <v>308</v>
      </c>
      <c r="AJ9" s="168" t="s">
        <v>309</v>
      </c>
    </row>
    <row r="10" spans="1:36" x14ac:dyDescent="0.3">
      <c r="A10" s="163" t="s">
        <v>296</v>
      </c>
      <c r="B10" s="164">
        <v>45993</v>
      </c>
      <c r="C10" s="165" t="s">
        <v>165</v>
      </c>
      <c r="D10" s="166" t="s">
        <v>310</v>
      </c>
      <c r="E10" s="165" t="s">
        <v>1</v>
      </c>
      <c r="F10" s="165" t="s">
        <v>267</v>
      </c>
      <c r="G10" s="167">
        <v>0.39660000000000001</v>
      </c>
      <c r="H10" s="168">
        <v>179</v>
      </c>
      <c r="I10" s="168">
        <v>71</v>
      </c>
      <c r="J10" s="168">
        <v>42</v>
      </c>
      <c r="K10" s="165" t="s">
        <v>268</v>
      </c>
      <c r="L10" s="169" t="s">
        <v>157</v>
      </c>
      <c r="M10" s="168">
        <v>0</v>
      </c>
      <c r="N10" s="168">
        <v>0</v>
      </c>
      <c r="O10" s="168">
        <v>5</v>
      </c>
      <c r="P10" s="165" t="s">
        <v>162</v>
      </c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8" t="s">
        <v>158</v>
      </c>
      <c r="AE10" s="168" t="s">
        <v>311</v>
      </c>
      <c r="AF10" s="168" t="s">
        <v>224</v>
      </c>
      <c r="AG10" s="161"/>
      <c r="AH10" s="161"/>
      <c r="AI10" s="168" t="s">
        <v>312</v>
      </c>
      <c r="AJ10" s="161"/>
    </row>
    <row r="11" spans="1:36" x14ac:dyDescent="0.3">
      <c r="A11" s="163" t="s">
        <v>296</v>
      </c>
      <c r="B11" s="164">
        <v>45993</v>
      </c>
      <c r="C11" s="165" t="s">
        <v>132</v>
      </c>
      <c r="D11" s="166" t="s">
        <v>313</v>
      </c>
      <c r="E11" s="165" t="s">
        <v>1</v>
      </c>
      <c r="F11" s="165" t="s">
        <v>267</v>
      </c>
      <c r="G11" s="167">
        <v>0.69269999999999998</v>
      </c>
      <c r="H11" s="168">
        <v>179</v>
      </c>
      <c r="I11" s="168">
        <v>124</v>
      </c>
      <c r="J11" s="168">
        <v>92</v>
      </c>
      <c r="K11" s="165" t="s">
        <v>268</v>
      </c>
      <c r="L11" s="169" t="s">
        <v>157</v>
      </c>
      <c r="M11" s="168">
        <v>0</v>
      </c>
      <c r="N11" s="168">
        <v>0</v>
      </c>
      <c r="O11" s="168">
        <v>6</v>
      </c>
      <c r="P11" s="165" t="s">
        <v>158</v>
      </c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8" t="s">
        <v>314</v>
      </c>
      <c r="AE11" s="168" t="s">
        <v>304</v>
      </c>
      <c r="AF11" s="168" t="s">
        <v>315</v>
      </c>
      <c r="AG11" s="161"/>
      <c r="AH11" s="161"/>
      <c r="AI11" s="168" t="s">
        <v>316</v>
      </c>
      <c r="AJ11" s="161"/>
    </row>
    <row r="12" spans="1:36" x14ac:dyDescent="0.3">
      <c r="A12" s="163" t="s">
        <v>317</v>
      </c>
      <c r="B12" s="164">
        <v>45994</v>
      </c>
      <c r="C12" s="165" t="s">
        <v>132</v>
      </c>
      <c r="D12" s="166" t="s">
        <v>318</v>
      </c>
      <c r="E12" s="165" t="s">
        <v>1</v>
      </c>
      <c r="F12" s="165" t="s">
        <v>267</v>
      </c>
      <c r="G12" s="167">
        <v>0.68159999999999998</v>
      </c>
      <c r="H12" s="168">
        <v>179</v>
      </c>
      <c r="I12" s="168">
        <v>122</v>
      </c>
      <c r="J12" s="168">
        <v>82</v>
      </c>
      <c r="K12" s="165" t="s">
        <v>268</v>
      </c>
      <c r="L12" s="169" t="s">
        <v>184</v>
      </c>
      <c r="M12" s="168">
        <v>0</v>
      </c>
      <c r="N12" s="168">
        <v>0</v>
      </c>
      <c r="O12" s="168">
        <v>13</v>
      </c>
      <c r="P12" s="165" t="s">
        <v>169</v>
      </c>
      <c r="Q12" s="161"/>
      <c r="R12" s="161"/>
      <c r="S12" s="161"/>
      <c r="T12" s="161"/>
      <c r="U12" s="161"/>
      <c r="V12" s="161"/>
      <c r="W12" s="161"/>
      <c r="X12" s="161"/>
      <c r="Y12" s="161"/>
      <c r="Z12" s="168" t="s">
        <v>319</v>
      </c>
      <c r="AA12" s="161"/>
      <c r="AB12" s="161"/>
      <c r="AC12" s="168" t="s">
        <v>320</v>
      </c>
      <c r="AD12" s="168" t="s">
        <v>283</v>
      </c>
      <c r="AE12" s="168" t="s">
        <v>304</v>
      </c>
      <c r="AF12" s="168" t="s">
        <v>277</v>
      </c>
      <c r="AG12" s="161"/>
      <c r="AH12" s="161"/>
      <c r="AI12" s="168" t="s">
        <v>321</v>
      </c>
      <c r="AJ12" s="161"/>
    </row>
    <row r="13" spans="1:36" x14ac:dyDescent="0.3">
      <c r="A13" s="163" t="s">
        <v>317</v>
      </c>
      <c r="B13" s="164">
        <v>45994</v>
      </c>
      <c r="C13" s="165" t="s">
        <v>114</v>
      </c>
      <c r="D13" s="166" t="s">
        <v>322</v>
      </c>
      <c r="E13" s="165" t="s">
        <v>1</v>
      </c>
      <c r="F13" s="165" t="s">
        <v>267</v>
      </c>
      <c r="G13" s="167">
        <v>0.92179999999999995</v>
      </c>
      <c r="H13" s="168">
        <v>179</v>
      </c>
      <c r="I13" s="168">
        <v>165</v>
      </c>
      <c r="J13" s="168">
        <v>150</v>
      </c>
      <c r="K13" s="165" t="s">
        <v>268</v>
      </c>
      <c r="L13" s="169" t="s">
        <v>187</v>
      </c>
      <c r="M13" s="168">
        <v>0</v>
      </c>
      <c r="N13" s="168">
        <v>0</v>
      </c>
      <c r="O13" s="168">
        <v>0</v>
      </c>
      <c r="P13" s="165" t="s">
        <v>188</v>
      </c>
      <c r="Q13" s="161"/>
      <c r="R13" s="161"/>
      <c r="S13" s="161"/>
      <c r="T13" s="161"/>
      <c r="U13" s="161"/>
      <c r="V13" s="161"/>
      <c r="W13" s="161"/>
      <c r="X13" s="161"/>
      <c r="Y13" s="161"/>
      <c r="Z13" s="168" t="s">
        <v>288</v>
      </c>
      <c r="AA13" s="161"/>
      <c r="AB13" s="161"/>
      <c r="AC13" s="161"/>
      <c r="AD13" s="161"/>
      <c r="AE13" s="168" t="s">
        <v>204</v>
      </c>
      <c r="AF13" s="168" t="s">
        <v>323</v>
      </c>
      <c r="AG13" s="161"/>
      <c r="AH13" s="161"/>
      <c r="AI13" s="168" t="s">
        <v>324</v>
      </c>
      <c r="AJ13" s="161"/>
    </row>
    <row r="14" spans="1:36" x14ac:dyDescent="0.3">
      <c r="A14" s="163" t="s">
        <v>317</v>
      </c>
      <c r="B14" s="164">
        <v>45994</v>
      </c>
      <c r="C14" s="165" t="s">
        <v>121</v>
      </c>
      <c r="D14" s="166" t="s">
        <v>279</v>
      </c>
      <c r="E14" s="165" t="s">
        <v>1</v>
      </c>
      <c r="F14" s="165" t="s">
        <v>267</v>
      </c>
      <c r="G14" s="167">
        <v>0.64800000000000002</v>
      </c>
      <c r="H14" s="168">
        <v>179</v>
      </c>
      <c r="I14" s="168">
        <v>116</v>
      </c>
      <c r="J14" s="168">
        <v>84</v>
      </c>
      <c r="K14" s="165" t="s">
        <v>268</v>
      </c>
      <c r="L14" s="169" t="s">
        <v>128</v>
      </c>
      <c r="M14" s="168">
        <v>0</v>
      </c>
      <c r="N14" s="168">
        <v>0</v>
      </c>
      <c r="O14" s="168">
        <v>6</v>
      </c>
      <c r="P14" s="165" t="s">
        <v>169</v>
      </c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8" t="s">
        <v>320</v>
      </c>
      <c r="AD14" s="168" t="s">
        <v>283</v>
      </c>
      <c r="AE14" s="168" t="s">
        <v>304</v>
      </c>
      <c r="AF14" s="168" t="s">
        <v>277</v>
      </c>
      <c r="AG14" s="161"/>
      <c r="AH14" s="161"/>
      <c r="AI14" s="168" t="s">
        <v>305</v>
      </c>
      <c r="AJ14" s="161"/>
    </row>
    <row r="15" spans="1:36" x14ac:dyDescent="0.3">
      <c r="A15" s="163" t="s">
        <v>325</v>
      </c>
      <c r="B15" s="164">
        <v>45995</v>
      </c>
      <c r="C15" s="165" t="s">
        <v>165</v>
      </c>
      <c r="D15" s="166" t="s">
        <v>326</v>
      </c>
      <c r="E15" s="165" t="s">
        <v>1</v>
      </c>
      <c r="F15" s="165" t="s">
        <v>267</v>
      </c>
      <c r="G15" s="167">
        <v>0.60340000000000005</v>
      </c>
      <c r="H15" s="168">
        <v>179</v>
      </c>
      <c r="I15" s="168">
        <v>108</v>
      </c>
      <c r="J15" s="168">
        <v>66</v>
      </c>
      <c r="K15" s="165" t="s">
        <v>268</v>
      </c>
      <c r="L15" s="169" t="s">
        <v>206</v>
      </c>
      <c r="M15" s="168">
        <v>0</v>
      </c>
      <c r="N15" s="168">
        <v>1</v>
      </c>
      <c r="O15" s="168">
        <v>15</v>
      </c>
      <c r="P15" s="165" t="s">
        <v>162</v>
      </c>
      <c r="Q15" s="161"/>
      <c r="R15" s="161"/>
      <c r="S15" s="161"/>
      <c r="T15" s="161"/>
      <c r="U15" s="161"/>
      <c r="V15" s="161"/>
      <c r="W15" s="161"/>
      <c r="X15" s="161"/>
      <c r="Y15" s="161"/>
      <c r="Z15" s="168" t="s">
        <v>288</v>
      </c>
      <c r="AA15" s="161"/>
      <c r="AB15" s="161"/>
      <c r="AC15" s="161"/>
      <c r="AD15" s="168" t="s">
        <v>327</v>
      </c>
      <c r="AE15" s="168" t="s">
        <v>304</v>
      </c>
      <c r="AF15" s="168" t="s">
        <v>298</v>
      </c>
      <c r="AG15" s="161"/>
      <c r="AH15" s="161"/>
      <c r="AI15" s="168" t="s">
        <v>328</v>
      </c>
      <c r="AJ15" s="161"/>
    </row>
    <row r="16" spans="1:36" x14ac:dyDescent="0.3">
      <c r="A16" s="163" t="s">
        <v>325</v>
      </c>
      <c r="B16" s="164">
        <v>45995</v>
      </c>
      <c r="C16" s="165" t="s">
        <v>161</v>
      </c>
      <c r="D16" s="166" t="s">
        <v>329</v>
      </c>
      <c r="E16" s="165" t="s">
        <v>1</v>
      </c>
      <c r="F16" s="165" t="s">
        <v>267</v>
      </c>
      <c r="G16" s="167">
        <v>0.1676</v>
      </c>
      <c r="H16" s="168">
        <v>179</v>
      </c>
      <c r="I16" s="168">
        <v>30</v>
      </c>
      <c r="J16" s="168">
        <v>0</v>
      </c>
      <c r="K16" s="165" t="s">
        <v>268</v>
      </c>
      <c r="L16" s="169" t="s">
        <v>115</v>
      </c>
      <c r="M16" s="168">
        <v>1</v>
      </c>
      <c r="N16" s="168">
        <v>0</v>
      </c>
      <c r="O16" s="168">
        <v>7</v>
      </c>
      <c r="P16" s="165" t="s">
        <v>204</v>
      </c>
      <c r="Q16" s="161"/>
      <c r="R16" s="161"/>
      <c r="S16" s="161"/>
      <c r="T16" s="161"/>
      <c r="U16" s="161"/>
      <c r="V16" s="161"/>
      <c r="W16" s="161"/>
      <c r="X16" s="161"/>
      <c r="Y16" s="161"/>
      <c r="Z16" s="168" t="s">
        <v>288</v>
      </c>
      <c r="AA16" s="161"/>
      <c r="AB16" s="161"/>
      <c r="AC16" s="161"/>
      <c r="AD16" s="161"/>
      <c r="AE16" s="168" t="s">
        <v>201</v>
      </c>
      <c r="AF16" s="168" t="s">
        <v>292</v>
      </c>
      <c r="AG16" s="161"/>
      <c r="AH16" s="161"/>
      <c r="AI16" s="161"/>
      <c r="AJ16" s="161"/>
    </row>
    <row r="17" spans="1:36" x14ac:dyDescent="0.3">
      <c r="A17" s="163" t="s">
        <v>325</v>
      </c>
      <c r="B17" s="164">
        <v>45995</v>
      </c>
      <c r="C17" s="165" t="s">
        <v>196</v>
      </c>
      <c r="D17" s="166" t="s">
        <v>330</v>
      </c>
      <c r="E17" s="165" t="s">
        <v>1</v>
      </c>
      <c r="F17" s="165" t="s">
        <v>267</v>
      </c>
      <c r="G17" s="167">
        <v>0.3911</v>
      </c>
      <c r="H17" s="168">
        <v>179</v>
      </c>
      <c r="I17" s="168">
        <v>70</v>
      </c>
      <c r="J17" s="168">
        <v>37</v>
      </c>
      <c r="K17" s="165" t="s">
        <v>268</v>
      </c>
      <c r="L17" s="169" t="s">
        <v>115</v>
      </c>
      <c r="M17" s="168">
        <v>1</v>
      </c>
      <c r="N17" s="168">
        <v>1</v>
      </c>
      <c r="O17" s="168">
        <v>6</v>
      </c>
      <c r="P17" s="165" t="s">
        <v>197</v>
      </c>
      <c r="Q17" s="161"/>
      <c r="R17" s="161"/>
      <c r="S17" s="161"/>
      <c r="T17" s="161"/>
      <c r="U17" s="161"/>
      <c r="V17" s="161"/>
      <c r="W17" s="161"/>
      <c r="X17" s="161"/>
      <c r="Y17" s="161"/>
      <c r="Z17" s="168" t="s">
        <v>288</v>
      </c>
      <c r="AA17" s="161"/>
      <c r="AB17" s="161"/>
      <c r="AC17" s="161"/>
      <c r="AD17" s="161"/>
      <c r="AE17" s="168" t="s">
        <v>331</v>
      </c>
      <c r="AF17" s="168" t="s">
        <v>298</v>
      </c>
      <c r="AG17" s="161"/>
      <c r="AH17" s="161"/>
      <c r="AI17" s="168" t="s">
        <v>332</v>
      </c>
      <c r="AJ17" s="161"/>
    </row>
    <row r="18" spans="1:36" x14ac:dyDescent="0.3">
      <c r="A18" s="163" t="s">
        <v>325</v>
      </c>
      <c r="B18" s="164">
        <v>45995</v>
      </c>
      <c r="C18" s="165" t="s">
        <v>132</v>
      </c>
      <c r="D18" s="166" t="s">
        <v>333</v>
      </c>
      <c r="E18" s="165" t="s">
        <v>1</v>
      </c>
      <c r="F18" s="165" t="s">
        <v>267</v>
      </c>
      <c r="G18" s="167">
        <v>0.79330000000000001</v>
      </c>
      <c r="H18" s="168">
        <v>179</v>
      </c>
      <c r="I18" s="168">
        <v>142</v>
      </c>
      <c r="J18" s="168">
        <v>114</v>
      </c>
      <c r="K18" s="165" t="s">
        <v>268</v>
      </c>
      <c r="L18" s="169" t="s">
        <v>128</v>
      </c>
      <c r="M18" s="168">
        <v>0</v>
      </c>
      <c r="N18" s="168">
        <v>0</v>
      </c>
      <c r="O18" s="168">
        <v>6</v>
      </c>
      <c r="P18" s="165" t="s">
        <v>201</v>
      </c>
      <c r="Q18" s="161"/>
      <c r="R18" s="161"/>
      <c r="S18" s="161"/>
      <c r="T18" s="161"/>
      <c r="U18" s="161"/>
      <c r="V18" s="161"/>
      <c r="W18" s="161"/>
      <c r="X18" s="161"/>
      <c r="Y18" s="161"/>
      <c r="Z18" s="168" t="s">
        <v>302</v>
      </c>
      <c r="AA18" s="161"/>
      <c r="AB18" s="161"/>
      <c r="AC18" s="161"/>
      <c r="AD18" s="161"/>
      <c r="AE18" s="161"/>
      <c r="AF18" s="168" t="s">
        <v>334</v>
      </c>
      <c r="AG18" s="161"/>
      <c r="AH18" s="161"/>
      <c r="AI18" s="168" t="s">
        <v>335</v>
      </c>
      <c r="AJ18" s="161"/>
    </row>
    <row r="19" spans="1:36" x14ac:dyDescent="0.3">
      <c r="A19" s="163" t="s">
        <v>325</v>
      </c>
      <c r="B19" s="164">
        <v>45995</v>
      </c>
      <c r="C19" s="165" t="s">
        <v>200</v>
      </c>
      <c r="D19" s="166" t="s">
        <v>336</v>
      </c>
      <c r="E19" s="165" t="s">
        <v>1</v>
      </c>
      <c r="F19" s="165" t="s">
        <v>267</v>
      </c>
      <c r="G19" s="167">
        <v>0.1061</v>
      </c>
      <c r="H19" s="168">
        <v>179</v>
      </c>
      <c r="I19" s="168">
        <v>19</v>
      </c>
      <c r="J19" s="168">
        <v>0</v>
      </c>
      <c r="K19" s="165" t="s">
        <v>268</v>
      </c>
      <c r="L19" s="169" t="s">
        <v>133</v>
      </c>
      <c r="M19" s="168">
        <v>0</v>
      </c>
      <c r="N19" s="168">
        <v>0</v>
      </c>
      <c r="O19" s="168">
        <v>4</v>
      </c>
      <c r="P19" s="165" t="s">
        <v>201</v>
      </c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8" t="s">
        <v>320</v>
      </c>
      <c r="AD19" s="161"/>
      <c r="AE19" s="168" t="s">
        <v>337</v>
      </c>
      <c r="AF19" s="168" t="s">
        <v>315</v>
      </c>
      <c r="AG19" s="161"/>
      <c r="AH19" s="161"/>
      <c r="AI19" s="161"/>
      <c r="AJ19" s="161"/>
    </row>
    <row r="20" spans="1:36" x14ac:dyDescent="0.3">
      <c r="A20" s="163" t="s">
        <v>325</v>
      </c>
      <c r="B20" s="164">
        <v>45995</v>
      </c>
      <c r="C20" s="165" t="s">
        <v>121</v>
      </c>
      <c r="D20" s="166" t="s">
        <v>338</v>
      </c>
      <c r="E20" s="165" t="s">
        <v>1</v>
      </c>
      <c r="F20" s="165" t="s">
        <v>267</v>
      </c>
      <c r="G20" s="167">
        <v>0.87150000000000005</v>
      </c>
      <c r="H20" s="168">
        <v>179</v>
      </c>
      <c r="I20" s="168">
        <v>156</v>
      </c>
      <c r="J20" s="168">
        <v>122</v>
      </c>
      <c r="K20" s="165" t="s">
        <v>268</v>
      </c>
      <c r="L20" s="169" t="s">
        <v>157</v>
      </c>
      <c r="M20" s="168">
        <v>0</v>
      </c>
      <c r="N20" s="168">
        <v>0</v>
      </c>
      <c r="O20" s="168">
        <v>1</v>
      </c>
      <c r="P20" s="165" t="s">
        <v>210</v>
      </c>
      <c r="Q20" s="161"/>
      <c r="R20" s="161"/>
      <c r="S20" s="161"/>
      <c r="T20" s="161"/>
      <c r="U20" s="161"/>
      <c r="V20" s="161"/>
      <c r="W20" s="161"/>
      <c r="X20" s="161"/>
      <c r="Y20" s="161"/>
      <c r="Z20" s="168" t="s">
        <v>319</v>
      </c>
      <c r="AA20" s="168" t="s">
        <v>339</v>
      </c>
      <c r="AB20" s="161"/>
      <c r="AC20" s="161"/>
      <c r="AD20" s="168" t="s">
        <v>167</v>
      </c>
      <c r="AE20" s="168" t="s">
        <v>304</v>
      </c>
      <c r="AF20" s="168" t="s">
        <v>277</v>
      </c>
      <c r="AG20" s="168" t="s">
        <v>340</v>
      </c>
      <c r="AH20" s="161"/>
      <c r="AI20" s="168" t="s">
        <v>341</v>
      </c>
      <c r="AJ20" s="161"/>
    </row>
    <row r="21" spans="1:36" x14ac:dyDescent="0.3">
      <c r="A21" s="163" t="s">
        <v>325</v>
      </c>
      <c r="B21" s="164">
        <v>45995</v>
      </c>
      <c r="C21" s="165" t="s">
        <v>127</v>
      </c>
      <c r="D21" s="166" t="s">
        <v>342</v>
      </c>
      <c r="E21" s="165" t="s">
        <v>1</v>
      </c>
      <c r="F21" s="165" t="s">
        <v>267</v>
      </c>
      <c r="G21" s="167">
        <v>0.91059999999999997</v>
      </c>
      <c r="H21" s="168">
        <v>179</v>
      </c>
      <c r="I21" s="168">
        <v>163</v>
      </c>
      <c r="J21" s="168">
        <v>104</v>
      </c>
      <c r="K21" s="165" t="s">
        <v>268</v>
      </c>
      <c r="L21" s="169" t="s">
        <v>115</v>
      </c>
      <c r="M21" s="168">
        <v>1</v>
      </c>
      <c r="N21" s="168">
        <v>3</v>
      </c>
      <c r="O21" s="168">
        <v>29</v>
      </c>
      <c r="P21" s="165" t="s">
        <v>208</v>
      </c>
      <c r="Q21" s="161"/>
      <c r="R21" s="161"/>
      <c r="S21" s="161"/>
      <c r="T21" s="161"/>
      <c r="U21" s="161"/>
      <c r="V21" s="161"/>
      <c r="W21" s="161"/>
      <c r="X21" s="161"/>
      <c r="Y21" s="161"/>
      <c r="Z21" s="168" t="s">
        <v>274</v>
      </c>
      <c r="AA21" s="161"/>
      <c r="AB21" s="168" t="s">
        <v>343</v>
      </c>
      <c r="AC21" s="168" t="s">
        <v>282</v>
      </c>
      <c r="AD21" s="168" t="s">
        <v>300</v>
      </c>
      <c r="AE21" s="168" t="s">
        <v>284</v>
      </c>
      <c r="AF21" s="168" t="s">
        <v>277</v>
      </c>
      <c r="AG21" s="161"/>
      <c r="AH21" s="161"/>
      <c r="AI21" s="168" t="s">
        <v>285</v>
      </c>
      <c r="AJ21" s="168" t="s">
        <v>295</v>
      </c>
    </row>
    <row r="22" spans="1:36" x14ac:dyDescent="0.3">
      <c r="A22" s="163" t="s">
        <v>344</v>
      </c>
      <c r="B22" s="164">
        <v>45996</v>
      </c>
      <c r="C22" s="165" t="s">
        <v>165</v>
      </c>
      <c r="D22" s="166" t="s">
        <v>329</v>
      </c>
      <c r="E22" s="165" t="s">
        <v>1</v>
      </c>
      <c r="F22" s="165" t="s">
        <v>267</v>
      </c>
      <c r="G22" s="167">
        <v>0.25140000000000001</v>
      </c>
      <c r="H22" s="168">
        <v>179</v>
      </c>
      <c r="I22" s="168">
        <v>45</v>
      </c>
      <c r="J22" s="168">
        <v>0</v>
      </c>
      <c r="K22" s="165" t="s">
        <v>268</v>
      </c>
      <c r="L22" s="169" t="s">
        <v>115</v>
      </c>
      <c r="M22" s="168">
        <v>3</v>
      </c>
      <c r="N22" s="168">
        <v>0</v>
      </c>
      <c r="O22" s="168">
        <v>19</v>
      </c>
      <c r="P22" s="165" t="s">
        <v>224</v>
      </c>
      <c r="Q22" s="161"/>
      <c r="R22" s="161"/>
      <c r="S22" s="161"/>
      <c r="T22" s="161"/>
      <c r="U22" s="161"/>
      <c r="V22" s="161"/>
      <c r="W22" s="161"/>
      <c r="X22" s="161"/>
      <c r="Y22" s="161"/>
      <c r="Z22" s="168" t="s">
        <v>288</v>
      </c>
      <c r="AA22" s="161"/>
      <c r="AB22" s="161"/>
      <c r="AC22" s="161"/>
      <c r="AD22" s="161"/>
      <c r="AE22" s="168" t="s">
        <v>345</v>
      </c>
      <c r="AF22" s="168" t="s">
        <v>346</v>
      </c>
      <c r="AG22" s="161"/>
      <c r="AH22" s="161"/>
      <c r="AI22" s="161"/>
      <c r="AJ22" s="161"/>
    </row>
    <row r="23" spans="1:36" x14ac:dyDescent="0.3">
      <c r="A23" s="163" t="s">
        <v>344</v>
      </c>
      <c r="B23" s="164">
        <v>45996</v>
      </c>
      <c r="C23" s="165" t="s">
        <v>132</v>
      </c>
      <c r="D23" s="166" t="s">
        <v>347</v>
      </c>
      <c r="E23" s="165" t="s">
        <v>1</v>
      </c>
      <c r="F23" s="165" t="s">
        <v>267</v>
      </c>
      <c r="G23" s="167">
        <v>0.2235</v>
      </c>
      <c r="H23" s="168">
        <v>179</v>
      </c>
      <c r="I23" s="168">
        <v>40</v>
      </c>
      <c r="J23" s="168">
        <v>0</v>
      </c>
      <c r="K23" s="165" t="s">
        <v>268</v>
      </c>
      <c r="L23" s="169" t="s">
        <v>115</v>
      </c>
      <c r="M23" s="168">
        <v>3</v>
      </c>
      <c r="N23" s="168">
        <v>3</v>
      </c>
      <c r="O23" s="168">
        <v>20</v>
      </c>
      <c r="P23" s="165" t="s">
        <v>201</v>
      </c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8" t="s">
        <v>304</v>
      </c>
      <c r="AF23" s="168" t="s">
        <v>298</v>
      </c>
      <c r="AG23" s="161"/>
      <c r="AH23" s="161"/>
      <c r="AI23" s="161"/>
      <c r="AJ23" s="161"/>
    </row>
    <row r="24" spans="1:36" x14ac:dyDescent="0.3">
      <c r="A24" s="163" t="s">
        <v>344</v>
      </c>
      <c r="B24" s="164">
        <v>45996</v>
      </c>
      <c r="C24" s="165" t="s">
        <v>121</v>
      </c>
      <c r="D24" s="166" t="s">
        <v>348</v>
      </c>
      <c r="E24" s="165" t="s">
        <v>1</v>
      </c>
      <c r="F24" s="165" t="s">
        <v>267</v>
      </c>
      <c r="G24" s="167">
        <v>0.19550000000000001</v>
      </c>
      <c r="H24" s="168">
        <v>179</v>
      </c>
      <c r="I24" s="168">
        <v>35</v>
      </c>
      <c r="J24" s="168">
        <v>0</v>
      </c>
      <c r="K24" s="165" t="s">
        <v>268</v>
      </c>
      <c r="L24" s="169" t="s">
        <v>157</v>
      </c>
      <c r="M24" s="168">
        <v>0</v>
      </c>
      <c r="N24" s="168">
        <v>0</v>
      </c>
      <c r="O24" s="168">
        <v>9</v>
      </c>
      <c r="P24" s="165" t="s">
        <v>228</v>
      </c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8" t="s">
        <v>349</v>
      </c>
      <c r="AF24" s="168" t="s">
        <v>277</v>
      </c>
      <c r="AG24" s="161"/>
      <c r="AH24" s="161"/>
      <c r="AI24" s="161"/>
      <c r="AJ24" s="161"/>
    </row>
    <row r="25" spans="1:36" x14ac:dyDescent="0.3">
      <c r="A25" s="163" t="s">
        <v>344</v>
      </c>
      <c r="B25" s="164">
        <v>45996</v>
      </c>
      <c r="C25" s="165" t="s">
        <v>127</v>
      </c>
      <c r="D25" s="166" t="s">
        <v>279</v>
      </c>
      <c r="E25" s="165" t="s">
        <v>1</v>
      </c>
      <c r="F25" s="165" t="s">
        <v>267</v>
      </c>
      <c r="G25" s="167">
        <v>0.51400000000000001</v>
      </c>
      <c r="H25" s="168">
        <v>179</v>
      </c>
      <c r="I25" s="168">
        <v>92</v>
      </c>
      <c r="J25" s="168">
        <v>45</v>
      </c>
      <c r="K25" s="165" t="s">
        <v>268</v>
      </c>
      <c r="L25" s="169" t="s">
        <v>133</v>
      </c>
      <c r="M25" s="168">
        <v>0</v>
      </c>
      <c r="N25" s="168">
        <v>0</v>
      </c>
      <c r="O25" s="168">
        <v>21</v>
      </c>
      <c r="P25" s="165" t="s">
        <v>224</v>
      </c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8" t="s">
        <v>167</v>
      </c>
      <c r="AE25" s="168" t="s">
        <v>291</v>
      </c>
      <c r="AF25" s="168" t="s">
        <v>350</v>
      </c>
      <c r="AG25" s="161"/>
      <c r="AH25" s="161"/>
      <c r="AI25" s="168" t="s">
        <v>351</v>
      </c>
      <c r="AJ25" s="161"/>
    </row>
    <row r="26" spans="1:36" x14ac:dyDescent="0.3">
      <c r="A26" s="163" t="s">
        <v>344</v>
      </c>
      <c r="B26" s="164">
        <v>45996</v>
      </c>
      <c r="C26" s="165" t="s">
        <v>161</v>
      </c>
      <c r="D26" s="166" t="s">
        <v>352</v>
      </c>
      <c r="E26" s="165" t="s">
        <v>1</v>
      </c>
      <c r="F26" s="165" t="s">
        <v>267</v>
      </c>
      <c r="G26" s="167">
        <v>0.51959999999999995</v>
      </c>
      <c r="H26" s="168">
        <v>179</v>
      </c>
      <c r="I26" s="168">
        <v>93</v>
      </c>
      <c r="J26" s="168">
        <v>45</v>
      </c>
      <c r="K26" s="165" t="s">
        <v>268</v>
      </c>
      <c r="L26" s="169" t="s">
        <v>115</v>
      </c>
      <c r="M26" s="168">
        <v>1</v>
      </c>
      <c r="N26" s="168">
        <v>3</v>
      </c>
      <c r="O26" s="168">
        <v>8</v>
      </c>
      <c r="P26" s="165" t="s">
        <v>158</v>
      </c>
      <c r="Q26" s="161"/>
      <c r="R26" s="161"/>
      <c r="S26" s="161"/>
      <c r="T26" s="161"/>
      <c r="U26" s="161"/>
      <c r="V26" s="161"/>
      <c r="W26" s="161"/>
      <c r="X26" s="161"/>
      <c r="Y26" s="161"/>
      <c r="Z26" s="168" t="s">
        <v>280</v>
      </c>
      <c r="AA26" s="161"/>
      <c r="AB26" s="161"/>
      <c r="AC26" s="161"/>
      <c r="AD26" s="168" t="s">
        <v>353</v>
      </c>
      <c r="AE26" s="168" t="s">
        <v>354</v>
      </c>
      <c r="AF26" s="168" t="s">
        <v>355</v>
      </c>
      <c r="AG26" s="161"/>
      <c r="AH26" s="161"/>
      <c r="AI26" s="168" t="s">
        <v>356</v>
      </c>
      <c r="AJ26" s="161"/>
    </row>
    <row r="27" spans="1:36" x14ac:dyDescent="0.3">
      <c r="A27" s="163" t="s">
        <v>344</v>
      </c>
      <c r="B27" s="164">
        <v>45996</v>
      </c>
      <c r="C27" s="165" t="s">
        <v>114</v>
      </c>
      <c r="D27" s="166" t="s">
        <v>357</v>
      </c>
      <c r="E27" s="165" t="s">
        <v>1</v>
      </c>
      <c r="F27" s="165" t="s">
        <v>267</v>
      </c>
      <c r="G27" s="167">
        <v>0.90500000000000003</v>
      </c>
      <c r="H27" s="168">
        <v>179</v>
      </c>
      <c r="I27" s="168">
        <v>162</v>
      </c>
      <c r="J27" s="168">
        <v>139</v>
      </c>
      <c r="K27" s="165" t="s">
        <v>268</v>
      </c>
      <c r="L27" s="169" t="s">
        <v>232</v>
      </c>
      <c r="M27" s="168">
        <v>0</v>
      </c>
      <c r="N27" s="168">
        <v>0</v>
      </c>
      <c r="O27" s="168">
        <v>0</v>
      </c>
      <c r="P27" s="165" t="s">
        <v>233</v>
      </c>
      <c r="Q27" s="161"/>
      <c r="R27" s="161"/>
      <c r="S27" s="161"/>
      <c r="T27" s="161"/>
      <c r="U27" s="161"/>
      <c r="V27" s="161"/>
      <c r="W27" s="161"/>
      <c r="X27" s="161"/>
      <c r="Y27" s="161"/>
      <c r="Z27" s="168" t="s">
        <v>269</v>
      </c>
      <c r="AA27" s="161"/>
      <c r="AB27" s="161"/>
      <c r="AC27" s="161"/>
      <c r="AD27" s="161"/>
      <c r="AE27" s="168" t="s">
        <v>201</v>
      </c>
      <c r="AF27" s="168" t="s">
        <v>224</v>
      </c>
      <c r="AG27" s="161"/>
      <c r="AH27" s="161"/>
      <c r="AI27" s="168" t="s">
        <v>358</v>
      </c>
      <c r="AJ27" s="161"/>
    </row>
    <row r="28" spans="1:36" ht="21" x14ac:dyDescent="0.3">
      <c r="A28" s="170" t="s">
        <v>448</v>
      </c>
      <c r="B28" s="171"/>
      <c r="C28" s="170">
        <f>SUBTOTAL(103,JED_CAI_LF_LEGACY[Flt])</f>
        <v>26</v>
      </c>
      <c r="D28" s="170"/>
      <c r="E28" s="170">
        <f>SUBTOTAL(103,JED_CAI_LF_LEGACY[Brd-Off])</f>
        <v>26</v>
      </c>
      <c r="F28" s="170"/>
      <c r="G28" s="172">
        <f>SUBTOTAL(101,JED_CAI_LF_LEGACY[LF%])</f>
        <v>0.60937307692307696</v>
      </c>
      <c r="H28" s="173">
        <f>SUBTOTAL(109,JED_CAI_LF_LEGACY[CAP])</f>
        <v>4654</v>
      </c>
      <c r="I28" s="173">
        <f>SUBTOTAL(109,JED_CAI_LF_LEGACY[BKG(Y)])</f>
        <v>2836</v>
      </c>
      <c r="J28" s="173">
        <f>SUBTOTAL(109,JED_CAI_LF_LEGACY[GRP(Y)])</f>
        <v>1864</v>
      </c>
      <c r="K28" s="170"/>
      <c r="L28" s="171"/>
      <c r="M28" s="173">
        <f>SUBTOTAL(109,JED_CAI_LF_LEGACY[TO-DAY])</f>
        <v>20</v>
      </c>
      <c r="N28" s="173">
        <f>SUBTOTAL(109,JED_CAI_LF_LEGACY[Y-DAY])</f>
        <v>18</v>
      </c>
      <c r="O28" s="173">
        <f>SUBTOTAL(109,JED_CAI_LF_LEGACY[WEEKLY])</f>
        <v>264</v>
      </c>
      <c r="P28" s="174"/>
      <c r="Q28" s="173">
        <f>SUBTOTAL(109,JED_CAI_LF_LEGACY[Y])</f>
        <v>0</v>
      </c>
      <c r="R28" s="173">
        <f>SUBTOTAL(109,JED_CAI_LF_LEGACY[B])</f>
        <v>0</v>
      </c>
      <c r="S28" s="173">
        <f>SUBTOTAL(109,JED_CAI_LF_LEGACY[M])</f>
        <v>0</v>
      </c>
      <c r="T28" s="173">
        <f>SUBTOTAL(109,JED_CAI_LF_LEGACY[H])</f>
        <v>0</v>
      </c>
      <c r="U28" s="173">
        <f>SUBTOTAL(109,JED_CAI_LF_LEGACY[Q])</f>
        <v>0</v>
      </c>
      <c r="V28" s="173">
        <f>SUBTOTAL(109,JED_CAI_LF_LEGACY[K])</f>
        <v>0</v>
      </c>
      <c r="W28" s="173">
        <f>SUBTOTAL(109,JED_CAI_LF_LEGACY[V])</f>
        <v>0</v>
      </c>
      <c r="X28" s="173">
        <f>SUBTOTAL(109,JED_CAI_LF_LEGACY[L])</f>
        <v>0</v>
      </c>
      <c r="Y28" s="173">
        <f>SUBTOTAL(109,JED_CAI_LF_LEGACY[G])</f>
        <v>0</v>
      </c>
      <c r="Z28" s="173">
        <f>SUBTOTAL(109,JED_CAI_LF_LEGACY[S])</f>
        <v>0</v>
      </c>
      <c r="AA28" s="173">
        <f>SUBTOTAL(109,JED_CAI_LF_LEGACY[W])</f>
        <v>0</v>
      </c>
      <c r="AB28" s="173">
        <f>SUBTOTAL(109,JED_CAI_LF_LEGACY[T])</f>
        <v>0</v>
      </c>
      <c r="AC28" s="173">
        <f>SUBTOTAL(109,JED_CAI_LF_LEGACY[X])</f>
        <v>0</v>
      </c>
      <c r="AD28" s="173">
        <f>SUBTOTAL(109,JED_CAI_LF_LEGACY[U])</f>
        <v>0</v>
      </c>
      <c r="AE28" s="173">
        <f>SUBTOTAL(109,JED_CAI_LF_LEGACY[O])</f>
        <v>0</v>
      </c>
      <c r="AF28" s="173">
        <f>SUBTOTAL(109,JED_CAI_LF_LEGACY[I])</f>
        <v>0</v>
      </c>
      <c r="AG28" s="173">
        <f>SUBTOTAL(109,JED_CAI_LF_LEGACY[E])</f>
        <v>0</v>
      </c>
      <c r="AH28" s="173">
        <f>SUBTOTAL(109,JED_CAI_LF_LEGACY[A])</f>
        <v>0</v>
      </c>
      <c r="AI28" s="173">
        <f>SUBTOTAL(109,JED_CAI_LF_LEGACY[P])</f>
        <v>0</v>
      </c>
      <c r="AJ28" s="173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1" t="s">
        <v>359</v>
      </c>
      <c r="B1" s="82" t="s">
        <v>8</v>
      </c>
      <c r="C1" s="82" t="s">
        <v>9</v>
      </c>
      <c r="D1" s="82" t="s">
        <v>360</v>
      </c>
      <c r="E1" s="82" t="s">
        <v>10</v>
      </c>
      <c r="F1" s="82" t="s">
        <v>11</v>
      </c>
      <c r="G1" s="82" t="s">
        <v>12</v>
      </c>
      <c r="H1" s="83" t="s">
        <v>13</v>
      </c>
      <c r="I1" s="2"/>
    </row>
    <row r="2" spans="1:9" ht="19.8" customHeight="1" x14ac:dyDescent="0.3">
      <c r="A2" s="84" t="s">
        <v>361</v>
      </c>
      <c r="B2" s="85" t="s">
        <v>26</v>
      </c>
      <c r="C2" s="86" t="s">
        <v>27</v>
      </c>
      <c r="D2" s="85" t="s">
        <v>1</v>
      </c>
      <c r="E2" s="85" t="s">
        <v>362</v>
      </c>
      <c r="F2" s="85" t="s">
        <v>28</v>
      </c>
      <c r="G2" s="87">
        <v>2</v>
      </c>
      <c r="H2" s="153">
        <v>363</v>
      </c>
      <c r="I2" s="2"/>
    </row>
    <row r="3" spans="1:9" ht="19.8" customHeight="1" x14ac:dyDescent="0.3">
      <c r="A3" s="84" t="s">
        <v>361</v>
      </c>
      <c r="B3" s="85" t="s">
        <v>54</v>
      </c>
      <c r="C3" s="86" t="s">
        <v>55</v>
      </c>
      <c r="D3" s="85" t="s">
        <v>1</v>
      </c>
      <c r="E3" s="85" t="s">
        <v>363</v>
      </c>
      <c r="F3" s="85" t="s">
        <v>56</v>
      </c>
      <c r="G3" s="87">
        <v>3</v>
      </c>
      <c r="H3" s="153">
        <v>369</v>
      </c>
      <c r="I3" s="2"/>
    </row>
    <row r="4" spans="1:9" ht="19.8" customHeight="1" x14ac:dyDescent="0.3">
      <c r="A4" s="84" t="s">
        <v>361</v>
      </c>
      <c r="B4" s="85" t="s">
        <v>78</v>
      </c>
      <c r="C4" s="86" t="s">
        <v>79</v>
      </c>
      <c r="D4" s="85" t="s">
        <v>1</v>
      </c>
      <c r="E4" s="85" t="s">
        <v>364</v>
      </c>
      <c r="F4" s="85" t="s">
        <v>80</v>
      </c>
      <c r="G4" s="87">
        <v>6</v>
      </c>
      <c r="H4" s="153">
        <v>389</v>
      </c>
      <c r="I4" s="2"/>
    </row>
    <row r="5" spans="1:9" ht="19.8" customHeight="1" x14ac:dyDescent="0.3">
      <c r="A5" s="84" t="s">
        <v>361</v>
      </c>
      <c r="B5" s="85" t="s">
        <v>78</v>
      </c>
      <c r="C5" s="86" t="s">
        <v>87</v>
      </c>
      <c r="D5" s="85" t="s">
        <v>1</v>
      </c>
      <c r="E5" s="85" t="s">
        <v>365</v>
      </c>
      <c r="F5" s="85" t="s">
        <v>80</v>
      </c>
      <c r="G5" s="87">
        <v>10</v>
      </c>
      <c r="H5" s="153">
        <v>389</v>
      </c>
      <c r="I5" s="2"/>
    </row>
    <row r="6" spans="1:9" ht="19.8" customHeight="1" x14ac:dyDescent="0.3">
      <c r="A6" s="84" t="s">
        <v>361</v>
      </c>
      <c r="B6" s="85" t="s">
        <v>78</v>
      </c>
      <c r="C6" s="86" t="s">
        <v>89</v>
      </c>
      <c r="D6" s="85" t="s">
        <v>1</v>
      </c>
      <c r="E6" s="85" t="s">
        <v>366</v>
      </c>
      <c r="F6" s="85" t="s">
        <v>80</v>
      </c>
      <c r="G6" s="87">
        <v>8</v>
      </c>
      <c r="H6" s="153">
        <v>389</v>
      </c>
      <c r="I6" s="2"/>
    </row>
    <row r="7" spans="1:9" ht="19.8" customHeight="1" x14ac:dyDescent="0.3">
      <c r="A7" s="84" t="s">
        <v>361</v>
      </c>
      <c r="B7" s="85" t="s">
        <v>93</v>
      </c>
      <c r="C7" s="86" t="s">
        <v>94</v>
      </c>
      <c r="D7" s="85" t="s">
        <v>1</v>
      </c>
      <c r="E7" s="85" t="s">
        <v>367</v>
      </c>
      <c r="F7" s="85" t="s">
        <v>95</v>
      </c>
      <c r="G7" s="87">
        <v>1</v>
      </c>
      <c r="H7" s="153">
        <v>400</v>
      </c>
      <c r="I7" s="2"/>
    </row>
    <row r="8" spans="1:9" ht="19.8" customHeight="1" x14ac:dyDescent="0.3">
      <c r="A8" s="84" t="s">
        <v>361</v>
      </c>
      <c r="B8" s="85" t="s">
        <v>98</v>
      </c>
      <c r="C8" s="86" t="s">
        <v>99</v>
      </c>
      <c r="D8" s="85" t="s">
        <v>1</v>
      </c>
      <c r="E8" s="85" t="s">
        <v>368</v>
      </c>
      <c r="F8" s="85" t="s">
        <v>95</v>
      </c>
      <c r="G8" s="87">
        <v>9</v>
      </c>
      <c r="H8" s="153">
        <v>401</v>
      </c>
      <c r="I8" s="2"/>
    </row>
    <row r="9" spans="1:9" ht="19.8" customHeight="1" x14ac:dyDescent="0.3">
      <c r="A9" s="84" t="s">
        <v>361</v>
      </c>
      <c r="B9" s="85" t="s">
        <v>98</v>
      </c>
      <c r="C9" s="86" t="s">
        <v>101</v>
      </c>
      <c r="D9" s="85" t="s">
        <v>1</v>
      </c>
      <c r="E9" s="85" t="s">
        <v>369</v>
      </c>
      <c r="F9" s="85" t="s">
        <v>95</v>
      </c>
      <c r="G9" s="87">
        <v>8</v>
      </c>
      <c r="H9" s="153">
        <v>401</v>
      </c>
      <c r="I9" s="2"/>
    </row>
    <row r="10" spans="1:9" ht="19.8" customHeight="1" x14ac:dyDescent="0.3">
      <c r="A10" s="84" t="s">
        <v>361</v>
      </c>
      <c r="B10" s="85" t="s">
        <v>54</v>
      </c>
      <c r="C10" s="86" t="s">
        <v>63</v>
      </c>
      <c r="D10" s="85" t="s">
        <v>1</v>
      </c>
      <c r="E10" s="85" t="s">
        <v>370</v>
      </c>
      <c r="F10" s="85" t="s">
        <v>56</v>
      </c>
      <c r="G10" s="87">
        <v>9</v>
      </c>
      <c r="H10" s="153">
        <v>409</v>
      </c>
      <c r="I10" s="2"/>
    </row>
    <row r="11" spans="1:9" ht="19.8" customHeight="1" x14ac:dyDescent="0.3">
      <c r="A11" s="84" t="s">
        <v>361</v>
      </c>
      <c r="B11" s="85" t="s">
        <v>54</v>
      </c>
      <c r="C11" s="86" t="s">
        <v>68</v>
      </c>
      <c r="D11" s="85" t="s">
        <v>1</v>
      </c>
      <c r="E11" s="85" t="s">
        <v>371</v>
      </c>
      <c r="F11" s="85" t="s">
        <v>56</v>
      </c>
      <c r="G11" s="87">
        <v>9</v>
      </c>
      <c r="H11" s="153">
        <v>409</v>
      </c>
      <c r="I11" s="2"/>
    </row>
    <row r="12" spans="1:9" ht="19.8" customHeight="1" x14ac:dyDescent="0.3">
      <c r="A12" s="84" t="s">
        <v>361</v>
      </c>
      <c r="B12" s="85" t="s">
        <v>54</v>
      </c>
      <c r="C12" s="86" t="s">
        <v>69</v>
      </c>
      <c r="D12" s="85" t="s">
        <v>1</v>
      </c>
      <c r="E12" s="85" t="s">
        <v>372</v>
      </c>
      <c r="F12" s="85" t="s">
        <v>56</v>
      </c>
      <c r="G12" s="87">
        <v>9</v>
      </c>
      <c r="H12" s="153">
        <v>409</v>
      </c>
      <c r="I12" s="2"/>
    </row>
    <row r="13" spans="1:9" ht="19.8" customHeight="1" x14ac:dyDescent="0.3">
      <c r="A13" s="84" t="s">
        <v>361</v>
      </c>
      <c r="B13" s="85" t="s">
        <v>54</v>
      </c>
      <c r="C13" s="86" t="s">
        <v>70</v>
      </c>
      <c r="D13" s="85" t="s">
        <v>1</v>
      </c>
      <c r="E13" s="85" t="s">
        <v>318</v>
      </c>
      <c r="F13" s="85" t="s">
        <v>56</v>
      </c>
      <c r="G13" s="87">
        <v>2</v>
      </c>
      <c r="H13" s="153">
        <v>409</v>
      </c>
      <c r="I13" s="2"/>
    </row>
    <row r="14" spans="1:9" ht="19.8" customHeight="1" x14ac:dyDescent="0.3">
      <c r="A14" s="84" t="s">
        <v>361</v>
      </c>
      <c r="B14" s="85" t="s">
        <v>54</v>
      </c>
      <c r="C14" s="86" t="s">
        <v>71</v>
      </c>
      <c r="D14" s="85" t="s">
        <v>1</v>
      </c>
      <c r="E14" s="85" t="s">
        <v>373</v>
      </c>
      <c r="F14" s="85" t="s">
        <v>56</v>
      </c>
      <c r="G14" s="87">
        <v>9</v>
      </c>
      <c r="H14" s="153">
        <v>409</v>
      </c>
      <c r="I14" s="2"/>
    </row>
    <row r="15" spans="1:9" ht="19.8" customHeight="1" x14ac:dyDescent="0.3">
      <c r="A15" s="84" t="s">
        <v>361</v>
      </c>
      <c r="B15" s="85" t="s">
        <v>54</v>
      </c>
      <c r="C15" s="86" t="s">
        <v>72</v>
      </c>
      <c r="D15" s="85" t="s">
        <v>1</v>
      </c>
      <c r="E15" s="85" t="s">
        <v>374</v>
      </c>
      <c r="F15" s="85" t="s">
        <v>56</v>
      </c>
      <c r="G15" s="87">
        <v>8</v>
      </c>
      <c r="H15" s="153">
        <v>409</v>
      </c>
      <c r="I15" s="2"/>
    </row>
    <row r="16" spans="1:9" ht="19.8" customHeight="1" x14ac:dyDescent="0.3">
      <c r="A16" s="84" t="s">
        <v>361</v>
      </c>
      <c r="B16" s="85" t="s">
        <v>102</v>
      </c>
      <c r="C16" s="86" t="s">
        <v>103</v>
      </c>
      <c r="D16" s="85" t="s">
        <v>1</v>
      </c>
      <c r="E16" s="85" t="s">
        <v>375</v>
      </c>
      <c r="F16" s="85" t="s">
        <v>104</v>
      </c>
      <c r="G16" s="87">
        <v>9</v>
      </c>
      <c r="H16" s="153">
        <v>417</v>
      </c>
      <c r="I16" s="2"/>
    </row>
    <row r="17" spans="1:9" ht="19.8" customHeight="1" x14ac:dyDescent="0.3">
      <c r="A17" s="84" t="s">
        <v>361</v>
      </c>
      <c r="B17" s="85" t="s">
        <v>26</v>
      </c>
      <c r="C17" s="86" t="s">
        <v>27</v>
      </c>
      <c r="D17" s="85" t="s">
        <v>1</v>
      </c>
      <c r="E17" s="85" t="s">
        <v>362</v>
      </c>
      <c r="F17" s="85" t="s">
        <v>31</v>
      </c>
      <c r="G17" s="87">
        <v>2</v>
      </c>
      <c r="H17" s="153">
        <v>442</v>
      </c>
      <c r="I17" s="2"/>
    </row>
    <row r="18" spans="1:9" ht="19.8" customHeight="1" x14ac:dyDescent="0.3">
      <c r="A18" s="84" t="s">
        <v>361</v>
      </c>
      <c r="B18" s="85" t="s">
        <v>26</v>
      </c>
      <c r="C18" s="86" t="s">
        <v>27</v>
      </c>
      <c r="D18" s="85" t="s">
        <v>1</v>
      </c>
      <c r="E18" s="85" t="s">
        <v>362</v>
      </c>
      <c r="F18" s="85" t="s">
        <v>33</v>
      </c>
      <c r="G18" s="87">
        <v>2</v>
      </c>
      <c r="H18" s="153">
        <v>444</v>
      </c>
      <c r="I18" s="2"/>
    </row>
    <row r="19" spans="1:9" ht="19.8" customHeight="1" x14ac:dyDescent="0.3">
      <c r="A19" s="84" t="s">
        <v>361</v>
      </c>
      <c r="B19" s="85" t="s">
        <v>78</v>
      </c>
      <c r="C19" s="86" t="s">
        <v>90</v>
      </c>
      <c r="D19" s="85" t="s">
        <v>1</v>
      </c>
      <c r="E19" s="85" t="s">
        <v>376</v>
      </c>
      <c r="F19" s="85" t="s">
        <v>80</v>
      </c>
      <c r="G19" s="87">
        <v>3</v>
      </c>
      <c r="H19" s="153">
        <v>459</v>
      </c>
      <c r="I19" s="2"/>
    </row>
    <row r="20" spans="1:9" ht="19.8" customHeight="1" x14ac:dyDescent="0.3">
      <c r="A20" s="84" t="s">
        <v>361</v>
      </c>
      <c r="B20" s="85" t="s">
        <v>54</v>
      </c>
      <c r="C20" s="86" t="s">
        <v>55</v>
      </c>
      <c r="D20" s="85" t="s">
        <v>1</v>
      </c>
      <c r="E20" s="85" t="s">
        <v>363</v>
      </c>
      <c r="F20" s="85" t="s">
        <v>59</v>
      </c>
      <c r="G20" s="87">
        <v>3</v>
      </c>
      <c r="H20" s="153">
        <v>469</v>
      </c>
      <c r="I20" s="2"/>
    </row>
    <row r="21" spans="1:9" ht="19.8" customHeight="1" x14ac:dyDescent="0.3">
      <c r="A21" s="84" t="s">
        <v>361</v>
      </c>
      <c r="B21" s="85" t="s">
        <v>102</v>
      </c>
      <c r="C21" s="86" t="s">
        <v>107</v>
      </c>
      <c r="D21" s="85" t="s">
        <v>1</v>
      </c>
      <c r="E21" s="85" t="s">
        <v>377</v>
      </c>
      <c r="F21" s="85" t="s">
        <v>104</v>
      </c>
      <c r="G21" s="87">
        <v>9</v>
      </c>
      <c r="H21" s="153">
        <v>473</v>
      </c>
      <c r="I21" s="2"/>
    </row>
    <row r="22" spans="1:9" ht="19.8" customHeight="1" x14ac:dyDescent="0.3">
      <c r="A22" s="84" t="s">
        <v>361</v>
      </c>
      <c r="B22" s="85" t="s">
        <v>54</v>
      </c>
      <c r="C22" s="86" t="s">
        <v>63</v>
      </c>
      <c r="D22" s="85" t="s">
        <v>1</v>
      </c>
      <c r="E22" s="85" t="s">
        <v>370</v>
      </c>
      <c r="F22" s="85" t="s">
        <v>59</v>
      </c>
      <c r="G22" s="87">
        <v>9</v>
      </c>
      <c r="H22" s="153">
        <v>509</v>
      </c>
      <c r="I22" s="2"/>
    </row>
    <row r="23" spans="1:9" ht="19.8" customHeight="1" x14ac:dyDescent="0.3">
      <c r="A23" s="84" t="s">
        <v>361</v>
      </c>
      <c r="B23" s="85" t="s">
        <v>54</v>
      </c>
      <c r="C23" s="86" t="s">
        <v>68</v>
      </c>
      <c r="D23" s="85" t="s">
        <v>1</v>
      </c>
      <c r="E23" s="85" t="s">
        <v>371</v>
      </c>
      <c r="F23" s="85" t="s">
        <v>59</v>
      </c>
      <c r="G23" s="87">
        <v>9</v>
      </c>
      <c r="H23" s="153">
        <v>509</v>
      </c>
      <c r="I23" s="2"/>
    </row>
    <row r="24" spans="1:9" ht="19.8" customHeight="1" x14ac:dyDescent="0.3">
      <c r="A24" s="84" t="s">
        <v>361</v>
      </c>
      <c r="B24" s="85" t="s">
        <v>54</v>
      </c>
      <c r="C24" s="86" t="s">
        <v>69</v>
      </c>
      <c r="D24" s="85" t="s">
        <v>1</v>
      </c>
      <c r="E24" s="85" t="s">
        <v>372</v>
      </c>
      <c r="F24" s="85" t="s">
        <v>59</v>
      </c>
      <c r="G24" s="87">
        <v>9</v>
      </c>
      <c r="H24" s="153">
        <v>509</v>
      </c>
      <c r="I24" s="2"/>
    </row>
    <row r="25" spans="1:9" ht="19.8" customHeight="1" x14ac:dyDescent="0.3">
      <c r="A25" s="84" t="s">
        <v>361</v>
      </c>
      <c r="B25" s="85" t="s">
        <v>54</v>
      </c>
      <c r="C25" s="86" t="s">
        <v>70</v>
      </c>
      <c r="D25" s="85" t="s">
        <v>1</v>
      </c>
      <c r="E25" s="85" t="s">
        <v>318</v>
      </c>
      <c r="F25" s="85" t="s">
        <v>59</v>
      </c>
      <c r="G25" s="87">
        <v>2</v>
      </c>
      <c r="H25" s="153">
        <v>509</v>
      </c>
      <c r="I25" s="2"/>
    </row>
    <row r="26" spans="1:9" ht="19.8" customHeight="1" x14ac:dyDescent="0.3">
      <c r="A26" s="84" t="s">
        <v>361</v>
      </c>
      <c r="B26" s="85" t="s">
        <v>54</v>
      </c>
      <c r="C26" s="86" t="s">
        <v>71</v>
      </c>
      <c r="D26" s="85" t="s">
        <v>1</v>
      </c>
      <c r="E26" s="85" t="s">
        <v>373</v>
      </c>
      <c r="F26" s="85" t="s">
        <v>59</v>
      </c>
      <c r="G26" s="87">
        <v>9</v>
      </c>
      <c r="H26" s="153">
        <v>509</v>
      </c>
      <c r="I26" s="2"/>
    </row>
    <row r="27" spans="1:9" ht="19.8" customHeight="1" x14ac:dyDescent="0.3">
      <c r="A27" s="84" t="s">
        <v>361</v>
      </c>
      <c r="B27" s="85" t="s">
        <v>54</v>
      </c>
      <c r="C27" s="86" t="s">
        <v>72</v>
      </c>
      <c r="D27" s="85" t="s">
        <v>1</v>
      </c>
      <c r="E27" s="85" t="s">
        <v>374</v>
      </c>
      <c r="F27" s="85" t="s">
        <v>59</v>
      </c>
      <c r="G27" s="87">
        <v>8</v>
      </c>
      <c r="H27" s="153">
        <v>509</v>
      </c>
      <c r="I27" s="2"/>
    </row>
    <row r="28" spans="1:9" ht="19.8" customHeight="1" x14ac:dyDescent="0.3">
      <c r="A28" s="88" t="s">
        <v>361</v>
      </c>
      <c r="B28" s="89" t="s">
        <v>110</v>
      </c>
      <c r="C28" s="90" t="s">
        <v>111</v>
      </c>
      <c r="D28" s="89" t="s">
        <v>1</v>
      </c>
      <c r="E28" s="89" t="s">
        <v>287</v>
      </c>
      <c r="F28" s="89" t="s">
        <v>112</v>
      </c>
      <c r="G28" s="91">
        <v>8</v>
      </c>
      <c r="H28" s="154">
        <v>526</v>
      </c>
      <c r="I28" s="2"/>
    </row>
    <row r="29" spans="1:9" ht="19.8" customHeight="1" x14ac:dyDescent="0.3">
      <c r="A29" s="155">
        <v>45992</v>
      </c>
      <c r="B29" s="85" t="s">
        <v>78</v>
      </c>
      <c r="C29" s="86" t="s">
        <v>79</v>
      </c>
      <c r="D29" s="85" t="s">
        <v>1</v>
      </c>
      <c r="E29" s="156">
        <v>1.1284722222222221</v>
      </c>
      <c r="F29" s="85" t="s">
        <v>83</v>
      </c>
      <c r="G29" s="87">
        <v>6</v>
      </c>
      <c r="H29" s="153">
        <v>539</v>
      </c>
      <c r="I29" s="2"/>
    </row>
    <row r="30" spans="1:9" ht="19.8" customHeight="1" x14ac:dyDescent="0.3">
      <c r="A30" s="155">
        <v>45992</v>
      </c>
      <c r="B30" s="85" t="s">
        <v>78</v>
      </c>
      <c r="C30" s="86" t="s">
        <v>87</v>
      </c>
      <c r="D30" s="85" t="s">
        <v>1</v>
      </c>
      <c r="E30" s="156">
        <v>1.302083333333333</v>
      </c>
      <c r="F30" s="85" t="s">
        <v>83</v>
      </c>
      <c r="G30" s="87">
        <v>10</v>
      </c>
      <c r="H30" s="153">
        <v>539</v>
      </c>
      <c r="I30" s="2"/>
    </row>
    <row r="31" spans="1:9" ht="19.8" customHeight="1" x14ac:dyDescent="0.3">
      <c r="A31" s="155">
        <v>45992</v>
      </c>
      <c r="B31" s="85" t="s">
        <v>78</v>
      </c>
      <c r="C31" s="86" t="s">
        <v>89</v>
      </c>
      <c r="D31" s="85" t="s">
        <v>1</v>
      </c>
      <c r="E31" s="156">
        <v>1.8888888888888891</v>
      </c>
      <c r="F31" s="85" t="s">
        <v>83</v>
      </c>
      <c r="G31" s="87">
        <v>8</v>
      </c>
      <c r="H31" s="153">
        <v>539</v>
      </c>
      <c r="I31" s="2"/>
    </row>
    <row r="32" spans="1:9" ht="19.8" customHeight="1" x14ac:dyDescent="0.3">
      <c r="A32" s="155">
        <v>45992</v>
      </c>
      <c r="B32" s="85" t="s">
        <v>102</v>
      </c>
      <c r="C32" s="86" t="s">
        <v>103</v>
      </c>
      <c r="D32" s="85" t="s">
        <v>1</v>
      </c>
      <c r="E32" s="156">
        <v>1.1736111111111109</v>
      </c>
      <c r="F32" s="85" t="s">
        <v>85</v>
      </c>
      <c r="G32" s="87">
        <v>9</v>
      </c>
      <c r="H32" s="153">
        <v>540</v>
      </c>
      <c r="I32" s="2"/>
    </row>
    <row r="33" spans="1:9" ht="19.8" customHeight="1" x14ac:dyDescent="0.3">
      <c r="A33" s="155">
        <v>45992</v>
      </c>
      <c r="B33" s="85" t="s">
        <v>54</v>
      </c>
      <c r="C33" s="86" t="s">
        <v>55</v>
      </c>
      <c r="D33" s="85" t="s">
        <v>1</v>
      </c>
      <c r="E33" s="156">
        <v>1.395833333333333</v>
      </c>
      <c r="F33" s="85" t="s">
        <v>61</v>
      </c>
      <c r="G33" s="87">
        <v>3</v>
      </c>
      <c r="H33" s="153">
        <v>559</v>
      </c>
      <c r="I33" s="2"/>
    </row>
    <row r="34" spans="1:9" ht="19.8" customHeight="1" x14ac:dyDescent="0.3">
      <c r="A34" s="155">
        <v>45992</v>
      </c>
      <c r="B34" s="85" t="s">
        <v>54</v>
      </c>
      <c r="C34" s="86" t="s">
        <v>74</v>
      </c>
      <c r="D34" s="85" t="s">
        <v>1</v>
      </c>
      <c r="E34" s="156">
        <v>1.645833333333333</v>
      </c>
      <c r="F34" s="85" t="s">
        <v>56</v>
      </c>
      <c r="G34" s="87">
        <v>9</v>
      </c>
      <c r="H34" s="153">
        <v>569</v>
      </c>
      <c r="I34" s="2"/>
    </row>
    <row r="35" spans="1:9" ht="19.8" customHeight="1" x14ac:dyDescent="0.3">
      <c r="A35" s="155">
        <v>45992</v>
      </c>
      <c r="B35" s="85" t="s">
        <v>136</v>
      </c>
      <c r="C35" s="86" t="s">
        <v>137</v>
      </c>
      <c r="D35" s="85" t="s">
        <v>1</v>
      </c>
      <c r="E35" s="156">
        <v>1.229166666666667</v>
      </c>
      <c r="F35" s="85" t="s">
        <v>138</v>
      </c>
      <c r="G35" s="87">
        <v>9</v>
      </c>
      <c r="H35" s="153">
        <v>579</v>
      </c>
      <c r="I35" s="2"/>
    </row>
    <row r="36" spans="1:9" ht="19.8" customHeight="1" x14ac:dyDescent="0.3">
      <c r="A36" s="155">
        <v>45992</v>
      </c>
      <c r="B36" s="85" t="s">
        <v>136</v>
      </c>
      <c r="C36" s="86" t="s">
        <v>140</v>
      </c>
      <c r="D36" s="85" t="s">
        <v>1</v>
      </c>
      <c r="E36" s="156">
        <v>1.145833333333333</v>
      </c>
      <c r="F36" s="85" t="s">
        <v>138</v>
      </c>
      <c r="G36" s="87">
        <v>9</v>
      </c>
      <c r="H36" s="153">
        <v>579</v>
      </c>
      <c r="I36" s="2"/>
    </row>
    <row r="37" spans="1:9" ht="19.8" customHeight="1" x14ac:dyDescent="0.3">
      <c r="A37" s="155">
        <v>45992</v>
      </c>
      <c r="B37" s="85" t="s">
        <v>136</v>
      </c>
      <c r="C37" s="86" t="s">
        <v>141</v>
      </c>
      <c r="D37" s="85" t="s">
        <v>1</v>
      </c>
      <c r="E37" s="156">
        <v>1.2777777777777779</v>
      </c>
      <c r="F37" s="85" t="s">
        <v>138</v>
      </c>
      <c r="G37" s="87">
        <v>9</v>
      </c>
      <c r="H37" s="153">
        <v>579</v>
      </c>
      <c r="I37" s="2"/>
    </row>
    <row r="38" spans="1:9" ht="19.8" customHeight="1" x14ac:dyDescent="0.3">
      <c r="A38" s="155">
        <v>45992</v>
      </c>
      <c r="B38" s="85" t="s">
        <v>136</v>
      </c>
      <c r="C38" s="86" t="s">
        <v>142</v>
      </c>
      <c r="D38" s="85" t="s">
        <v>1</v>
      </c>
      <c r="E38" s="156">
        <v>1.4861111111111109</v>
      </c>
      <c r="F38" s="85" t="s">
        <v>138</v>
      </c>
      <c r="G38" s="87">
        <v>9</v>
      </c>
      <c r="H38" s="153">
        <v>579</v>
      </c>
      <c r="I38" s="2"/>
    </row>
    <row r="39" spans="1:9" ht="19.8" customHeight="1" x14ac:dyDescent="0.3">
      <c r="A39" s="155">
        <v>45992</v>
      </c>
      <c r="B39" s="85" t="s">
        <v>136</v>
      </c>
      <c r="C39" s="86" t="s">
        <v>143</v>
      </c>
      <c r="D39" s="85" t="s">
        <v>1</v>
      </c>
      <c r="E39" s="156">
        <v>1.5138888888888891</v>
      </c>
      <c r="F39" s="85" t="s">
        <v>138</v>
      </c>
      <c r="G39" s="87">
        <v>9</v>
      </c>
      <c r="H39" s="153">
        <v>579</v>
      </c>
      <c r="I39" s="2"/>
    </row>
    <row r="40" spans="1:9" ht="19.8" customHeight="1" x14ac:dyDescent="0.3">
      <c r="A40" s="157">
        <v>45992</v>
      </c>
      <c r="B40" s="89" t="s">
        <v>110</v>
      </c>
      <c r="C40" s="90" t="s">
        <v>118</v>
      </c>
      <c r="D40" s="89" t="s">
        <v>1</v>
      </c>
      <c r="E40" s="158">
        <v>1.614583333333333</v>
      </c>
      <c r="F40" s="89" t="s">
        <v>112</v>
      </c>
      <c r="G40" s="91">
        <v>5</v>
      </c>
      <c r="H40" s="154">
        <v>586</v>
      </c>
      <c r="I40" s="2"/>
    </row>
    <row r="41" spans="1:9" ht="19.8" customHeight="1" x14ac:dyDescent="0.3">
      <c r="A41" s="155">
        <v>45992</v>
      </c>
      <c r="B41" s="85" t="s">
        <v>102</v>
      </c>
      <c r="C41" s="86" t="s">
        <v>107</v>
      </c>
      <c r="D41" s="85" t="s">
        <v>1</v>
      </c>
      <c r="E41" s="156">
        <v>1.3923611111111109</v>
      </c>
      <c r="F41" s="85" t="s">
        <v>85</v>
      </c>
      <c r="G41" s="87">
        <v>9</v>
      </c>
      <c r="H41" s="153">
        <v>596</v>
      </c>
      <c r="I41" s="2"/>
    </row>
    <row r="42" spans="1:9" ht="19.8" customHeight="1" x14ac:dyDescent="0.3">
      <c r="A42" s="155">
        <v>45992</v>
      </c>
      <c r="B42" s="85" t="s">
        <v>54</v>
      </c>
      <c r="C42" s="86" t="s">
        <v>63</v>
      </c>
      <c r="D42" s="85" t="s">
        <v>1</v>
      </c>
      <c r="E42" s="156">
        <v>1.854166666666667</v>
      </c>
      <c r="F42" s="85" t="s">
        <v>61</v>
      </c>
      <c r="G42" s="87">
        <v>9</v>
      </c>
      <c r="H42" s="153">
        <v>599</v>
      </c>
      <c r="I42" s="2"/>
    </row>
    <row r="43" spans="1:9" ht="19.8" customHeight="1" x14ac:dyDescent="0.3">
      <c r="A43" s="155">
        <v>45992</v>
      </c>
      <c r="B43" s="85" t="s">
        <v>54</v>
      </c>
      <c r="C43" s="86" t="s">
        <v>68</v>
      </c>
      <c r="D43" s="85" t="s">
        <v>1</v>
      </c>
      <c r="E43" s="156">
        <v>1.256944444444444</v>
      </c>
      <c r="F43" s="85" t="s">
        <v>61</v>
      </c>
      <c r="G43" s="87">
        <v>9</v>
      </c>
      <c r="H43" s="153">
        <v>599</v>
      </c>
      <c r="I43" s="2"/>
    </row>
    <row r="44" spans="1:9" ht="19.8" customHeight="1" x14ac:dyDescent="0.3">
      <c r="A44" s="155">
        <v>45992</v>
      </c>
      <c r="B44" s="85" t="s">
        <v>54</v>
      </c>
      <c r="C44" s="86" t="s">
        <v>69</v>
      </c>
      <c r="D44" s="85" t="s">
        <v>1</v>
      </c>
      <c r="E44" s="156">
        <v>1.46875</v>
      </c>
      <c r="F44" s="85" t="s">
        <v>61</v>
      </c>
      <c r="G44" s="87">
        <v>9</v>
      </c>
      <c r="H44" s="153">
        <v>599</v>
      </c>
      <c r="I44" s="2"/>
    </row>
    <row r="45" spans="1:9" ht="19.8" customHeight="1" x14ac:dyDescent="0.3">
      <c r="A45" s="155">
        <v>45992</v>
      </c>
      <c r="B45" s="85" t="s">
        <v>54</v>
      </c>
      <c r="C45" s="86" t="s">
        <v>70</v>
      </c>
      <c r="D45" s="85" t="s">
        <v>1</v>
      </c>
      <c r="E45" s="156">
        <v>1.5173611111111109</v>
      </c>
      <c r="F45" s="85" t="s">
        <v>61</v>
      </c>
      <c r="G45" s="87">
        <v>2</v>
      </c>
      <c r="H45" s="153">
        <v>599</v>
      </c>
      <c r="I45" s="2"/>
    </row>
    <row r="46" spans="1:9" ht="19.8" customHeight="1" x14ac:dyDescent="0.3">
      <c r="A46" s="155">
        <v>45992</v>
      </c>
      <c r="B46" s="85" t="s">
        <v>54</v>
      </c>
      <c r="C46" s="86" t="s">
        <v>71</v>
      </c>
      <c r="D46" s="85" t="s">
        <v>1</v>
      </c>
      <c r="E46" s="156">
        <v>1.9027777777777779</v>
      </c>
      <c r="F46" s="85" t="s">
        <v>61</v>
      </c>
      <c r="G46" s="87">
        <v>9</v>
      </c>
      <c r="H46" s="153">
        <v>599</v>
      </c>
      <c r="I46" s="2"/>
    </row>
    <row r="47" spans="1:9" ht="19.8" customHeight="1" x14ac:dyDescent="0.3">
      <c r="A47" s="155">
        <v>45992</v>
      </c>
      <c r="B47" s="85" t="s">
        <v>54</v>
      </c>
      <c r="C47" s="86" t="s">
        <v>72</v>
      </c>
      <c r="D47" s="85" t="s">
        <v>1</v>
      </c>
      <c r="E47" s="156">
        <v>1.7986111111111109</v>
      </c>
      <c r="F47" s="85" t="s">
        <v>61</v>
      </c>
      <c r="G47" s="87">
        <v>8</v>
      </c>
      <c r="H47" s="153">
        <v>599</v>
      </c>
      <c r="I47" s="2"/>
    </row>
    <row r="48" spans="1:9" ht="19.8" customHeight="1" x14ac:dyDescent="0.3">
      <c r="A48" s="155">
        <v>45992</v>
      </c>
      <c r="B48" s="85" t="s">
        <v>78</v>
      </c>
      <c r="C48" s="86" t="s">
        <v>90</v>
      </c>
      <c r="D48" s="85" t="s">
        <v>1</v>
      </c>
      <c r="E48" s="156">
        <v>1.788194444444444</v>
      </c>
      <c r="F48" s="85" t="s">
        <v>83</v>
      </c>
      <c r="G48" s="87">
        <v>3</v>
      </c>
      <c r="H48" s="153">
        <v>609</v>
      </c>
      <c r="I48" s="2"/>
    </row>
    <row r="49" spans="1:9" ht="19.8" customHeight="1" x14ac:dyDescent="0.3">
      <c r="A49" s="155">
        <v>45992</v>
      </c>
      <c r="B49" s="85" t="s">
        <v>136</v>
      </c>
      <c r="C49" s="86" t="s">
        <v>144</v>
      </c>
      <c r="D49" s="85" t="s">
        <v>1</v>
      </c>
      <c r="E49" s="156">
        <v>1.958333333333333</v>
      </c>
      <c r="F49" s="85" t="s">
        <v>145</v>
      </c>
      <c r="G49" s="87">
        <v>2</v>
      </c>
      <c r="H49" s="153">
        <v>637</v>
      </c>
      <c r="I49" s="2"/>
    </row>
    <row r="50" spans="1:9" ht="19.8" customHeight="1" x14ac:dyDescent="0.3">
      <c r="A50" s="157">
        <v>45992</v>
      </c>
      <c r="B50" s="89" t="s">
        <v>110</v>
      </c>
      <c r="C50" s="90" t="s">
        <v>124</v>
      </c>
      <c r="D50" s="89" t="s">
        <v>1</v>
      </c>
      <c r="E50" s="158">
        <v>1.006944444444444</v>
      </c>
      <c r="F50" s="89" t="s">
        <v>112</v>
      </c>
      <c r="G50" s="91">
        <v>7</v>
      </c>
      <c r="H50" s="154">
        <v>646</v>
      </c>
      <c r="I50" s="2"/>
    </row>
    <row r="51" spans="1:9" ht="19.8" customHeight="1" x14ac:dyDescent="0.3">
      <c r="A51" s="157">
        <v>45992</v>
      </c>
      <c r="B51" s="89" t="s">
        <v>110</v>
      </c>
      <c r="C51" s="90" t="s">
        <v>131</v>
      </c>
      <c r="D51" s="89" t="s">
        <v>1</v>
      </c>
      <c r="E51" s="158">
        <v>1.4236111111111109</v>
      </c>
      <c r="F51" s="89" t="s">
        <v>112</v>
      </c>
      <c r="G51" s="91">
        <v>4</v>
      </c>
      <c r="H51" s="154">
        <v>646</v>
      </c>
      <c r="I51" s="2"/>
    </row>
    <row r="52" spans="1:9" ht="19.8" customHeight="1" x14ac:dyDescent="0.3">
      <c r="A52" s="155">
        <v>45992</v>
      </c>
      <c r="B52" s="85" t="s">
        <v>54</v>
      </c>
      <c r="C52" s="86" t="s">
        <v>74</v>
      </c>
      <c r="D52" s="85" t="s">
        <v>1</v>
      </c>
      <c r="E52" s="156">
        <v>1.645833333333333</v>
      </c>
      <c r="F52" s="85" t="s">
        <v>59</v>
      </c>
      <c r="G52" s="87">
        <v>9</v>
      </c>
      <c r="H52" s="153">
        <v>669</v>
      </c>
      <c r="I52" s="2"/>
    </row>
    <row r="53" spans="1:9" ht="19.8" customHeight="1" x14ac:dyDescent="0.3">
      <c r="A53" s="155">
        <v>45992</v>
      </c>
      <c r="B53" s="85" t="s">
        <v>54</v>
      </c>
      <c r="C53" s="86" t="s">
        <v>74</v>
      </c>
      <c r="D53" s="85" t="s">
        <v>1</v>
      </c>
      <c r="E53" s="156">
        <v>1.645833333333333</v>
      </c>
      <c r="F53" s="85" t="s">
        <v>61</v>
      </c>
      <c r="G53" s="87">
        <v>9</v>
      </c>
      <c r="H53" s="153">
        <v>759</v>
      </c>
      <c r="I53" s="2"/>
    </row>
    <row r="54" spans="1:9" ht="19.8" customHeight="1" x14ac:dyDescent="0.3">
      <c r="A54" s="155">
        <v>45992</v>
      </c>
      <c r="B54" s="85" t="s">
        <v>136</v>
      </c>
      <c r="C54" s="86" t="s">
        <v>147</v>
      </c>
      <c r="D54" s="85" t="s">
        <v>1</v>
      </c>
      <c r="E54" s="156">
        <v>1.774305555555556</v>
      </c>
      <c r="F54" s="85" t="s">
        <v>145</v>
      </c>
      <c r="G54" s="87">
        <v>6</v>
      </c>
      <c r="H54" s="153">
        <v>795</v>
      </c>
      <c r="I54" s="2"/>
    </row>
    <row r="55" spans="1:9" ht="19.8" customHeight="1" x14ac:dyDescent="0.3">
      <c r="A55" s="155">
        <v>45992</v>
      </c>
      <c r="B55" s="85" t="s">
        <v>136</v>
      </c>
      <c r="C55" s="86" t="s">
        <v>149</v>
      </c>
      <c r="D55" s="85" t="s">
        <v>1</v>
      </c>
      <c r="E55" s="156">
        <v>1.0138888888888891</v>
      </c>
      <c r="F55" s="85" t="s">
        <v>145</v>
      </c>
      <c r="G55" s="87">
        <v>1</v>
      </c>
      <c r="H55" s="153">
        <v>795</v>
      </c>
      <c r="I55" s="2"/>
    </row>
    <row r="56" spans="1:9" ht="19.8" customHeight="1" x14ac:dyDescent="0.3">
      <c r="A56" s="155">
        <v>45992</v>
      </c>
      <c r="B56" s="85" t="s">
        <v>26</v>
      </c>
      <c r="C56" s="86" t="s">
        <v>35</v>
      </c>
      <c r="D56" s="85" t="s">
        <v>1</v>
      </c>
      <c r="E56" s="156">
        <v>1.3784722222222221</v>
      </c>
      <c r="F56" s="85" t="s">
        <v>31</v>
      </c>
      <c r="G56" s="87">
        <v>9</v>
      </c>
      <c r="H56" s="153">
        <v>935</v>
      </c>
      <c r="I56" s="2"/>
    </row>
    <row r="57" spans="1:9" ht="19.8" customHeight="1" x14ac:dyDescent="0.3">
      <c r="A57" s="155">
        <v>45992</v>
      </c>
      <c r="B57" s="85" t="s">
        <v>26</v>
      </c>
      <c r="C57" s="86" t="s">
        <v>39</v>
      </c>
      <c r="D57" s="85" t="s">
        <v>1</v>
      </c>
      <c r="E57" s="156">
        <v>1.6111111111111109</v>
      </c>
      <c r="F57" s="85" t="s">
        <v>31</v>
      </c>
      <c r="G57" s="87">
        <v>9</v>
      </c>
      <c r="H57" s="153">
        <v>935</v>
      </c>
      <c r="I57" s="2"/>
    </row>
    <row r="58" spans="1:9" ht="19.8" customHeight="1" x14ac:dyDescent="0.3">
      <c r="A58" s="155">
        <v>45992</v>
      </c>
      <c r="B58" s="85" t="s">
        <v>26</v>
      </c>
      <c r="C58" s="86" t="s">
        <v>40</v>
      </c>
      <c r="D58" s="85" t="s">
        <v>1</v>
      </c>
      <c r="E58" s="156">
        <v>1.239583333333333</v>
      </c>
      <c r="F58" s="85" t="s">
        <v>31</v>
      </c>
      <c r="G58" s="87">
        <v>9</v>
      </c>
      <c r="H58" s="153">
        <v>935</v>
      </c>
      <c r="I58" s="2"/>
    </row>
    <row r="59" spans="1:9" ht="19.8" customHeight="1" x14ac:dyDescent="0.3">
      <c r="A59" s="155">
        <v>45992</v>
      </c>
      <c r="B59" s="85" t="s">
        <v>26</v>
      </c>
      <c r="C59" s="86" t="s">
        <v>35</v>
      </c>
      <c r="D59" s="85" t="s">
        <v>1</v>
      </c>
      <c r="E59" s="156">
        <v>1.3784722222222221</v>
      </c>
      <c r="F59" s="85" t="s">
        <v>33</v>
      </c>
      <c r="G59" s="87">
        <v>9</v>
      </c>
      <c r="H59" s="153">
        <v>980</v>
      </c>
      <c r="I59" s="2"/>
    </row>
    <row r="60" spans="1:9" ht="19.8" customHeight="1" x14ac:dyDescent="0.3">
      <c r="A60" s="155">
        <v>45992</v>
      </c>
      <c r="B60" s="85" t="s">
        <v>26</v>
      </c>
      <c r="C60" s="86" t="s">
        <v>39</v>
      </c>
      <c r="D60" s="85" t="s">
        <v>1</v>
      </c>
      <c r="E60" s="156">
        <v>1.6111111111111109</v>
      </c>
      <c r="F60" s="85" t="s">
        <v>33</v>
      </c>
      <c r="G60" s="87">
        <v>9</v>
      </c>
      <c r="H60" s="153">
        <v>980</v>
      </c>
      <c r="I60" s="2"/>
    </row>
    <row r="61" spans="1:9" ht="19.8" customHeight="1" x14ac:dyDescent="0.3">
      <c r="A61" s="155">
        <v>45992</v>
      </c>
      <c r="B61" s="85" t="s">
        <v>26</v>
      </c>
      <c r="C61" s="86" t="s">
        <v>40</v>
      </c>
      <c r="D61" s="85" t="s">
        <v>1</v>
      </c>
      <c r="E61" s="156">
        <v>1.239583333333333</v>
      </c>
      <c r="F61" s="85" t="s">
        <v>33</v>
      </c>
      <c r="G61" s="87">
        <v>9</v>
      </c>
      <c r="H61" s="153">
        <v>980</v>
      </c>
      <c r="I61" s="2"/>
    </row>
    <row r="62" spans="1:9" ht="19.8" customHeight="1" x14ac:dyDescent="0.3">
      <c r="A62" s="155">
        <v>45992</v>
      </c>
      <c r="B62" s="85" t="s">
        <v>78</v>
      </c>
      <c r="C62" s="86" t="s">
        <v>79</v>
      </c>
      <c r="D62" s="85" t="s">
        <v>1</v>
      </c>
      <c r="E62" s="156">
        <v>1.1284722222222221</v>
      </c>
      <c r="F62" s="85" t="s">
        <v>85</v>
      </c>
      <c r="G62" s="87">
        <v>6</v>
      </c>
      <c r="H62" s="92" t="s">
        <v>86</v>
      </c>
      <c r="I62" s="2"/>
    </row>
    <row r="63" spans="1:9" ht="19.8" customHeight="1" x14ac:dyDescent="0.3">
      <c r="A63" s="155">
        <v>45992</v>
      </c>
      <c r="B63" s="85" t="s">
        <v>78</v>
      </c>
      <c r="C63" s="86" t="s">
        <v>87</v>
      </c>
      <c r="D63" s="85" t="s">
        <v>1</v>
      </c>
      <c r="E63" s="156">
        <v>1.302083333333333</v>
      </c>
      <c r="F63" s="85" t="s">
        <v>85</v>
      </c>
      <c r="G63" s="87">
        <v>10</v>
      </c>
      <c r="H63" s="92" t="s">
        <v>86</v>
      </c>
      <c r="I63" s="2"/>
    </row>
    <row r="64" spans="1:9" ht="19.8" customHeight="1" x14ac:dyDescent="0.3">
      <c r="A64" s="155">
        <v>45992</v>
      </c>
      <c r="B64" s="85" t="s">
        <v>78</v>
      </c>
      <c r="C64" s="86" t="s">
        <v>89</v>
      </c>
      <c r="D64" s="85" t="s">
        <v>1</v>
      </c>
      <c r="E64" s="156">
        <v>1.8888888888888891</v>
      </c>
      <c r="F64" s="85" t="s">
        <v>85</v>
      </c>
      <c r="G64" s="87">
        <v>8</v>
      </c>
      <c r="H64" s="92" t="s">
        <v>86</v>
      </c>
      <c r="I64" s="2"/>
    </row>
    <row r="65" spans="1:9" ht="19.8" customHeight="1" x14ac:dyDescent="0.3">
      <c r="A65" s="155">
        <v>45992</v>
      </c>
      <c r="B65" s="85" t="s">
        <v>78</v>
      </c>
      <c r="C65" s="86" t="s">
        <v>90</v>
      </c>
      <c r="D65" s="85" t="s">
        <v>1</v>
      </c>
      <c r="E65" s="156">
        <v>1.788194444444444</v>
      </c>
      <c r="F65" s="85" t="s">
        <v>85</v>
      </c>
      <c r="G65" s="87">
        <v>3</v>
      </c>
      <c r="H65" s="92" t="s">
        <v>86</v>
      </c>
      <c r="I65" s="2"/>
    </row>
    <row r="66" spans="1:9" ht="19.8" customHeight="1" x14ac:dyDescent="0.3">
      <c r="A66" s="155">
        <v>45992</v>
      </c>
      <c r="B66" s="85" t="s">
        <v>26</v>
      </c>
      <c r="C66" s="86" t="s">
        <v>41</v>
      </c>
      <c r="D66" s="85" t="s">
        <v>1</v>
      </c>
      <c r="E66" s="156">
        <v>1.8888888888888891</v>
      </c>
      <c r="F66" s="85" t="s">
        <v>33</v>
      </c>
      <c r="G66" s="87">
        <v>4</v>
      </c>
      <c r="H66" s="92" t="s">
        <v>43</v>
      </c>
      <c r="I66" s="2"/>
    </row>
    <row r="67" spans="1:9" ht="19.8" customHeight="1" x14ac:dyDescent="0.3">
      <c r="A67" s="155">
        <v>45992</v>
      </c>
      <c r="B67" s="85" t="s">
        <v>26</v>
      </c>
      <c r="C67" s="86" t="s">
        <v>44</v>
      </c>
      <c r="D67" s="85" t="s">
        <v>1</v>
      </c>
      <c r="E67" s="156">
        <v>1.302083333333333</v>
      </c>
      <c r="F67" s="85" t="s">
        <v>33</v>
      </c>
      <c r="G67" s="87">
        <v>4</v>
      </c>
      <c r="H67" s="92" t="s">
        <v>43</v>
      </c>
      <c r="I67" s="2"/>
    </row>
    <row r="68" spans="1:9" ht="19.8" customHeight="1" x14ac:dyDescent="0.3">
      <c r="A68" s="155">
        <v>45992</v>
      </c>
      <c r="B68" s="85" t="s">
        <v>26</v>
      </c>
      <c r="C68" s="86" t="s">
        <v>45</v>
      </c>
      <c r="D68" s="85" t="s">
        <v>1</v>
      </c>
      <c r="E68" s="156">
        <v>1.1284722222222221</v>
      </c>
      <c r="F68" s="85" t="s">
        <v>33</v>
      </c>
      <c r="G68" s="87">
        <v>4</v>
      </c>
      <c r="H68" s="92" t="s">
        <v>43</v>
      </c>
      <c r="I68" s="2"/>
    </row>
    <row r="69" spans="1:9" ht="19.8" customHeight="1" x14ac:dyDescent="0.3">
      <c r="A69" s="155">
        <v>45992</v>
      </c>
      <c r="B69" s="85" t="s">
        <v>26</v>
      </c>
      <c r="C69" s="86" t="s">
        <v>46</v>
      </c>
      <c r="D69" s="85" t="s">
        <v>1</v>
      </c>
      <c r="E69" s="156">
        <v>1.006944444444444</v>
      </c>
      <c r="F69" s="85" t="s">
        <v>31</v>
      </c>
      <c r="G69" s="87">
        <v>2</v>
      </c>
      <c r="H69" s="92" t="s">
        <v>47</v>
      </c>
      <c r="I69" s="2"/>
    </row>
    <row r="70" spans="1:9" ht="19.8" customHeight="1" x14ac:dyDescent="0.3">
      <c r="A70" s="155">
        <v>45992</v>
      </c>
      <c r="B70" s="85" t="s">
        <v>26</v>
      </c>
      <c r="C70" s="86" t="s">
        <v>49</v>
      </c>
      <c r="D70" s="85" t="s">
        <v>1</v>
      </c>
      <c r="E70" s="156">
        <v>1.1423611111111109</v>
      </c>
      <c r="F70" s="85" t="s">
        <v>31</v>
      </c>
      <c r="G70" s="87">
        <v>9</v>
      </c>
      <c r="H70" s="92" t="s">
        <v>47</v>
      </c>
      <c r="I70" s="2"/>
    </row>
    <row r="71" spans="1:9" ht="19.8" customHeight="1" x14ac:dyDescent="0.3">
      <c r="A71" s="155">
        <v>45992</v>
      </c>
      <c r="B71" s="85" t="s">
        <v>26</v>
      </c>
      <c r="C71" s="86" t="s">
        <v>50</v>
      </c>
      <c r="D71" s="85" t="s">
        <v>1</v>
      </c>
      <c r="E71" s="156">
        <v>1.71875</v>
      </c>
      <c r="F71" s="85" t="s">
        <v>31</v>
      </c>
      <c r="G71" s="87">
        <v>9</v>
      </c>
      <c r="H71" s="92" t="s">
        <v>47</v>
      </c>
      <c r="I71" s="2"/>
    </row>
    <row r="72" spans="1:9" ht="19.8" customHeight="1" x14ac:dyDescent="0.3">
      <c r="A72" s="155">
        <v>45992</v>
      </c>
      <c r="B72" s="85" t="s">
        <v>26</v>
      </c>
      <c r="C72" s="86" t="s">
        <v>51</v>
      </c>
      <c r="D72" s="85" t="s">
        <v>1</v>
      </c>
      <c r="E72" s="156">
        <v>1.8298611111111109</v>
      </c>
      <c r="F72" s="85" t="s">
        <v>31</v>
      </c>
      <c r="G72" s="87">
        <v>9</v>
      </c>
      <c r="H72" s="92" t="s">
        <v>47</v>
      </c>
      <c r="I72" s="2"/>
    </row>
    <row r="73" spans="1:9" ht="19.8" customHeight="1" x14ac:dyDescent="0.3">
      <c r="A73" s="155">
        <v>45992</v>
      </c>
      <c r="B73" s="85" t="s">
        <v>26</v>
      </c>
      <c r="C73" s="86" t="s">
        <v>46</v>
      </c>
      <c r="D73" s="85" t="s">
        <v>1</v>
      </c>
      <c r="E73" s="156">
        <v>1.006944444444444</v>
      </c>
      <c r="F73" s="85" t="s">
        <v>33</v>
      </c>
      <c r="G73" s="87">
        <v>2</v>
      </c>
      <c r="H73" s="92" t="s">
        <v>48</v>
      </c>
      <c r="I73" s="2"/>
    </row>
    <row r="74" spans="1:9" ht="19.8" customHeight="1" x14ac:dyDescent="0.3">
      <c r="A74" s="155">
        <v>45992</v>
      </c>
      <c r="B74" s="85" t="s">
        <v>26</v>
      </c>
      <c r="C74" s="86" t="s">
        <v>49</v>
      </c>
      <c r="D74" s="85" t="s">
        <v>1</v>
      </c>
      <c r="E74" s="156">
        <v>1.1423611111111109</v>
      </c>
      <c r="F74" s="85" t="s">
        <v>33</v>
      </c>
      <c r="G74" s="87">
        <v>9</v>
      </c>
      <c r="H74" s="92" t="s">
        <v>48</v>
      </c>
      <c r="I74" s="2"/>
    </row>
    <row r="75" spans="1:9" ht="19.8" customHeight="1" x14ac:dyDescent="0.3">
      <c r="A75" s="155">
        <v>45992</v>
      </c>
      <c r="B75" s="85" t="s">
        <v>26</v>
      </c>
      <c r="C75" s="86" t="s">
        <v>50</v>
      </c>
      <c r="D75" s="85" t="s">
        <v>1</v>
      </c>
      <c r="E75" s="156">
        <v>1.71875</v>
      </c>
      <c r="F75" s="85" t="s">
        <v>33</v>
      </c>
      <c r="G75" s="87">
        <v>9</v>
      </c>
      <c r="H75" s="92" t="s">
        <v>48</v>
      </c>
      <c r="I75" s="2"/>
    </row>
    <row r="76" spans="1:9" ht="19.8" customHeight="1" x14ac:dyDescent="0.3">
      <c r="A76" s="155">
        <v>45992</v>
      </c>
      <c r="B76" s="85" t="s">
        <v>26</v>
      </c>
      <c r="C76" s="86" t="s">
        <v>51</v>
      </c>
      <c r="D76" s="85" t="s">
        <v>1</v>
      </c>
      <c r="E76" s="156">
        <v>1.8298611111111109</v>
      </c>
      <c r="F76" s="85" t="s">
        <v>33</v>
      </c>
      <c r="G76" s="87">
        <v>9</v>
      </c>
      <c r="H76" s="92" t="s">
        <v>48</v>
      </c>
      <c r="I76" s="2"/>
    </row>
    <row r="77" spans="1:9" ht="19.8" customHeight="1" x14ac:dyDescent="0.3">
      <c r="A77" s="159">
        <v>45992</v>
      </c>
      <c r="B77" s="93" t="s">
        <v>26</v>
      </c>
      <c r="C77" s="94" t="s">
        <v>52</v>
      </c>
      <c r="D77" s="93" t="s">
        <v>1</v>
      </c>
      <c r="E77" s="160">
        <v>1.788194444444444</v>
      </c>
      <c r="F77" s="93" t="s">
        <v>33</v>
      </c>
      <c r="G77" s="95">
        <v>4</v>
      </c>
      <c r="H77" s="96" t="s">
        <v>53</v>
      </c>
      <c r="I77" s="2"/>
    </row>
    <row r="78" spans="1:9" ht="19.8" customHeight="1" x14ac:dyDescent="0.3">
      <c r="A78" s="155">
        <v>45993</v>
      </c>
      <c r="B78" s="85" t="s">
        <v>78</v>
      </c>
      <c r="C78" s="86" t="s">
        <v>79</v>
      </c>
      <c r="D78" s="85" t="s">
        <v>1</v>
      </c>
      <c r="E78" s="156">
        <v>1.1284722222222221</v>
      </c>
      <c r="F78" s="85" t="s">
        <v>80</v>
      </c>
      <c r="G78" s="87">
        <v>5</v>
      </c>
      <c r="H78" s="153">
        <v>359</v>
      </c>
      <c r="I78" s="2"/>
    </row>
    <row r="79" spans="1:9" ht="19.8" customHeight="1" x14ac:dyDescent="0.3">
      <c r="A79" s="155">
        <v>45993</v>
      </c>
      <c r="B79" s="85" t="s">
        <v>78</v>
      </c>
      <c r="C79" s="86" t="s">
        <v>89</v>
      </c>
      <c r="D79" s="85" t="s">
        <v>1</v>
      </c>
      <c r="E79" s="156">
        <v>1.8888888888888891</v>
      </c>
      <c r="F79" s="85" t="s">
        <v>80</v>
      </c>
      <c r="G79" s="87">
        <v>1</v>
      </c>
      <c r="H79" s="153">
        <v>359</v>
      </c>
      <c r="I79" s="2"/>
    </row>
    <row r="80" spans="1:9" ht="19.8" customHeight="1" x14ac:dyDescent="0.3">
      <c r="A80" s="155">
        <v>45993</v>
      </c>
      <c r="B80" s="85" t="s">
        <v>54</v>
      </c>
      <c r="C80" s="86" t="s">
        <v>63</v>
      </c>
      <c r="D80" s="85" t="s">
        <v>1</v>
      </c>
      <c r="E80" s="156">
        <v>1.854166666666667</v>
      </c>
      <c r="F80" s="85" t="s">
        <v>56</v>
      </c>
      <c r="G80" s="87">
        <v>1</v>
      </c>
      <c r="H80" s="153">
        <v>369</v>
      </c>
      <c r="I80" s="2"/>
    </row>
    <row r="81" spans="1:9" ht="19.8" customHeight="1" x14ac:dyDescent="0.3">
      <c r="A81" s="155">
        <v>45993</v>
      </c>
      <c r="B81" s="85" t="s">
        <v>54</v>
      </c>
      <c r="C81" s="86" t="s">
        <v>68</v>
      </c>
      <c r="D81" s="85" t="s">
        <v>1</v>
      </c>
      <c r="E81" s="156">
        <v>1.256944444444444</v>
      </c>
      <c r="F81" s="85" t="s">
        <v>56</v>
      </c>
      <c r="G81" s="87">
        <v>2</v>
      </c>
      <c r="H81" s="153">
        <v>369</v>
      </c>
      <c r="I81" s="2"/>
    </row>
    <row r="82" spans="1:9" ht="19.8" customHeight="1" x14ac:dyDescent="0.3">
      <c r="A82" s="155">
        <v>45993</v>
      </c>
      <c r="B82" s="85" t="s">
        <v>54</v>
      </c>
      <c r="C82" s="86" t="s">
        <v>55</v>
      </c>
      <c r="D82" s="85" t="s">
        <v>1</v>
      </c>
      <c r="E82" s="156">
        <v>1.395833333333333</v>
      </c>
      <c r="F82" s="85" t="s">
        <v>56</v>
      </c>
      <c r="G82" s="87">
        <v>9</v>
      </c>
      <c r="H82" s="153">
        <v>369</v>
      </c>
      <c r="I82" s="2"/>
    </row>
    <row r="83" spans="1:9" ht="19.8" customHeight="1" x14ac:dyDescent="0.3">
      <c r="A83" s="155">
        <v>45993</v>
      </c>
      <c r="B83" s="85" t="s">
        <v>78</v>
      </c>
      <c r="C83" s="86" t="s">
        <v>87</v>
      </c>
      <c r="D83" s="85" t="s">
        <v>1</v>
      </c>
      <c r="E83" s="156">
        <v>1.302083333333333</v>
      </c>
      <c r="F83" s="85" t="s">
        <v>80</v>
      </c>
      <c r="G83" s="87">
        <v>1</v>
      </c>
      <c r="H83" s="153">
        <v>389</v>
      </c>
      <c r="I83" s="2"/>
    </row>
    <row r="84" spans="1:9" ht="19.8" customHeight="1" x14ac:dyDescent="0.3">
      <c r="A84" s="155">
        <v>45993</v>
      </c>
      <c r="B84" s="85" t="s">
        <v>93</v>
      </c>
      <c r="C84" s="86" t="s">
        <v>94</v>
      </c>
      <c r="D84" s="85" t="s">
        <v>1</v>
      </c>
      <c r="E84" s="156">
        <v>1.739583333333333</v>
      </c>
      <c r="F84" s="85" t="s">
        <v>95</v>
      </c>
      <c r="G84" s="87">
        <v>4</v>
      </c>
      <c r="H84" s="153">
        <v>400</v>
      </c>
      <c r="I84" s="2"/>
    </row>
    <row r="85" spans="1:9" ht="19.8" customHeight="1" x14ac:dyDescent="0.3">
      <c r="A85" s="155">
        <v>45993</v>
      </c>
      <c r="B85" s="85" t="s">
        <v>93</v>
      </c>
      <c r="C85" s="86" t="s">
        <v>152</v>
      </c>
      <c r="D85" s="85" t="s">
        <v>1</v>
      </c>
      <c r="E85" s="156">
        <v>1.274305555555556</v>
      </c>
      <c r="F85" s="85" t="s">
        <v>95</v>
      </c>
      <c r="G85" s="87">
        <v>8</v>
      </c>
      <c r="H85" s="153">
        <v>400</v>
      </c>
      <c r="I85" s="2"/>
    </row>
    <row r="86" spans="1:9" ht="19.8" customHeight="1" x14ac:dyDescent="0.3">
      <c r="A86" s="155">
        <v>45993</v>
      </c>
      <c r="B86" s="85" t="s">
        <v>98</v>
      </c>
      <c r="C86" s="86" t="s">
        <v>153</v>
      </c>
      <c r="D86" s="85" t="s">
        <v>1</v>
      </c>
      <c r="E86" s="156">
        <v>1.0451388888888891</v>
      </c>
      <c r="F86" s="85" t="s">
        <v>95</v>
      </c>
      <c r="G86" s="87">
        <v>9</v>
      </c>
      <c r="H86" s="153">
        <v>401</v>
      </c>
      <c r="I86" s="2"/>
    </row>
    <row r="87" spans="1:9" ht="19.8" customHeight="1" x14ac:dyDescent="0.3">
      <c r="A87" s="155">
        <v>45993</v>
      </c>
      <c r="B87" s="85" t="s">
        <v>98</v>
      </c>
      <c r="C87" s="86" t="s">
        <v>101</v>
      </c>
      <c r="D87" s="85" t="s">
        <v>1</v>
      </c>
      <c r="E87" s="156">
        <v>1.666666666666667</v>
      </c>
      <c r="F87" s="85" t="s">
        <v>95</v>
      </c>
      <c r="G87" s="87">
        <v>9</v>
      </c>
      <c r="H87" s="153">
        <v>401</v>
      </c>
      <c r="I87" s="2"/>
    </row>
    <row r="88" spans="1:9" ht="19.8" customHeight="1" x14ac:dyDescent="0.3">
      <c r="A88" s="155">
        <v>45993</v>
      </c>
      <c r="B88" s="85" t="s">
        <v>54</v>
      </c>
      <c r="C88" s="86" t="s">
        <v>69</v>
      </c>
      <c r="D88" s="85" t="s">
        <v>1</v>
      </c>
      <c r="E88" s="156">
        <v>1.302083333333333</v>
      </c>
      <c r="F88" s="85" t="s">
        <v>56</v>
      </c>
      <c r="G88" s="87">
        <v>4</v>
      </c>
      <c r="H88" s="153">
        <v>409</v>
      </c>
      <c r="I88" s="2"/>
    </row>
    <row r="89" spans="1:9" ht="19.8" customHeight="1" x14ac:dyDescent="0.3">
      <c r="A89" s="155">
        <v>45993</v>
      </c>
      <c r="B89" s="85" t="s">
        <v>54</v>
      </c>
      <c r="C89" s="86" t="s">
        <v>70</v>
      </c>
      <c r="D89" s="85" t="s">
        <v>1</v>
      </c>
      <c r="E89" s="156">
        <v>1.5173611111111109</v>
      </c>
      <c r="F89" s="85" t="s">
        <v>56</v>
      </c>
      <c r="G89" s="87">
        <v>7</v>
      </c>
      <c r="H89" s="153">
        <v>409</v>
      </c>
      <c r="I89" s="2"/>
    </row>
    <row r="90" spans="1:9" ht="19.8" customHeight="1" x14ac:dyDescent="0.3">
      <c r="A90" s="155">
        <v>45993</v>
      </c>
      <c r="B90" s="85" t="s">
        <v>54</v>
      </c>
      <c r="C90" s="86" t="s">
        <v>71</v>
      </c>
      <c r="D90" s="85" t="s">
        <v>1</v>
      </c>
      <c r="E90" s="156">
        <v>1.9027777777777779</v>
      </c>
      <c r="F90" s="85" t="s">
        <v>56</v>
      </c>
      <c r="G90" s="87">
        <v>9</v>
      </c>
      <c r="H90" s="153">
        <v>409</v>
      </c>
      <c r="I90" s="2"/>
    </row>
    <row r="91" spans="1:9" ht="19.8" customHeight="1" x14ac:dyDescent="0.3">
      <c r="A91" s="155">
        <v>45993</v>
      </c>
      <c r="B91" s="85" t="s">
        <v>54</v>
      </c>
      <c r="C91" s="86" t="s">
        <v>72</v>
      </c>
      <c r="D91" s="85" t="s">
        <v>1</v>
      </c>
      <c r="E91" s="156">
        <v>1.7986111111111109</v>
      </c>
      <c r="F91" s="85" t="s">
        <v>56</v>
      </c>
      <c r="G91" s="87">
        <v>5</v>
      </c>
      <c r="H91" s="153">
        <v>409</v>
      </c>
      <c r="I91" s="2"/>
    </row>
    <row r="92" spans="1:9" ht="19.8" customHeight="1" x14ac:dyDescent="0.3">
      <c r="A92" s="155">
        <v>45993</v>
      </c>
      <c r="B92" s="85" t="s">
        <v>54</v>
      </c>
      <c r="C92" s="86" t="s">
        <v>74</v>
      </c>
      <c r="D92" s="85" t="s">
        <v>1</v>
      </c>
      <c r="E92" s="156">
        <v>1.645833333333333</v>
      </c>
      <c r="F92" s="85" t="s">
        <v>56</v>
      </c>
      <c r="G92" s="87">
        <v>7</v>
      </c>
      <c r="H92" s="153">
        <v>409</v>
      </c>
      <c r="I92" s="2"/>
    </row>
    <row r="93" spans="1:9" ht="19.8" customHeight="1" x14ac:dyDescent="0.3">
      <c r="A93" s="155">
        <v>45993</v>
      </c>
      <c r="B93" s="85" t="s">
        <v>78</v>
      </c>
      <c r="C93" s="86" t="s">
        <v>90</v>
      </c>
      <c r="D93" s="85" t="s">
        <v>1</v>
      </c>
      <c r="E93" s="156">
        <v>1.788194444444444</v>
      </c>
      <c r="F93" s="85" t="s">
        <v>80</v>
      </c>
      <c r="G93" s="87">
        <v>5</v>
      </c>
      <c r="H93" s="153">
        <v>419</v>
      </c>
      <c r="I93" s="2"/>
    </row>
    <row r="94" spans="1:9" ht="19.8" customHeight="1" x14ac:dyDescent="0.3">
      <c r="A94" s="155">
        <v>45993</v>
      </c>
      <c r="B94" s="85" t="s">
        <v>102</v>
      </c>
      <c r="C94" s="86" t="s">
        <v>103</v>
      </c>
      <c r="D94" s="85" t="s">
        <v>1</v>
      </c>
      <c r="E94" s="156">
        <v>1.2222222222222221</v>
      </c>
      <c r="F94" s="85" t="s">
        <v>104</v>
      </c>
      <c r="G94" s="87">
        <v>9</v>
      </c>
      <c r="H94" s="153">
        <v>421</v>
      </c>
      <c r="I94" s="2"/>
    </row>
    <row r="95" spans="1:9" ht="19.8" customHeight="1" x14ac:dyDescent="0.3">
      <c r="A95" s="155">
        <v>45993</v>
      </c>
      <c r="B95" s="85" t="s">
        <v>54</v>
      </c>
      <c r="C95" s="86" t="s">
        <v>63</v>
      </c>
      <c r="D95" s="85" t="s">
        <v>1</v>
      </c>
      <c r="E95" s="156">
        <v>1.854166666666667</v>
      </c>
      <c r="F95" s="85" t="s">
        <v>59</v>
      </c>
      <c r="G95" s="87">
        <v>1</v>
      </c>
      <c r="H95" s="153">
        <v>469</v>
      </c>
      <c r="I95" s="2"/>
    </row>
    <row r="96" spans="1:9" ht="19.8" customHeight="1" x14ac:dyDescent="0.3">
      <c r="A96" s="155">
        <v>45993</v>
      </c>
      <c r="B96" s="85" t="s">
        <v>54</v>
      </c>
      <c r="C96" s="86" t="s">
        <v>68</v>
      </c>
      <c r="D96" s="85" t="s">
        <v>1</v>
      </c>
      <c r="E96" s="156">
        <v>1.256944444444444</v>
      </c>
      <c r="F96" s="85" t="s">
        <v>59</v>
      </c>
      <c r="G96" s="87">
        <v>2</v>
      </c>
      <c r="H96" s="153">
        <v>469</v>
      </c>
      <c r="I96" s="2"/>
    </row>
    <row r="97" spans="1:9" ht="19.8" customHeight="1" x14ac:dyDescent="0.3">
      <c r="A97" s="155">
        <v>45993</v>
      </c>
      <c r="B97" s="85" t="s">
        <v>54</v>
      </c>
      <c r="C97" s="86" t="s">
        <v>55</v>
      </c>
      <c r="D97" s="85" t="s">
        <v>1</v>
      </c>
      <c r="E97" s="156">
        <v>1.395833333333333</v>
      </c>
      <c r="F97" s="85" t="s">
        <v>59</v>
      </c>
      <c r="G97" s="87">
        <v>9</v>
      </c>
      <c r="H97" s="153">
        <v>469</v>
      </c>
      <c r="I97" s="2"/>
    </row>
    <row r="98" spans="1:9" ht="19.8" customHeight="1" x14ac:dyDescent="0.3">
      <c r="A98" s="157">
        <v>45993</v>
      </c>
      <c r="B98" s="89" t="s">
        <v>110</v>
      </c>
      <c r="C98" s="90" t="s">
        <v>131</v>
      </c>
      <c r="D98" s="89" t="s">
        <v>1</v>
      </c>
      <c r="E98" s="158">
        <v>1.96875</v>
      </c>
      <c r="F98" s="89" t="s">
        <v>112</v>
      </c>
      <c r="G98" s="91">
        <v>4</v>
      </c>
      <c r="H98" s="154">
        <v>471</v>
      </c>
      <c r="I98" s="2"/>
    </row>
    <row r="99" spans="1:9" ht="19.8" customHeight="1" x14ac:dyDescent="0.3">
      <c r="A99" s="157">
        <v>45993</v>
      </c>
      <c r="B99" s="89" t="s">
        <v>110</v>
      </c>
      <c r="C99" s="90" t="s">
        <v>160</v>
      </c>
      <c r="D99" s="89" t="s">
        <v>1</v>
      </c>
      <c r="E99" s="158">
        <v>1.229166666666667</v>
      </c>
      <c r="F99" s="89" t="s">
        <v>112</v>
      </c>
      <c r="G99" s="91">
        <v>9</v>
      </c>
      <c r="H99" s="154">
        <v>471</v>
      </c>
      <c r="I99" s="2"/>
    </row>
    <row r="100" spans="1:9" ht="19.8" customHeight="1" x14ac:dyDescent="0.3">
      <c r="A100" s="157">
        <v>45993</v>
      </c>
      <c r="B100" s="89" t="s">
        <v>110</v>
      </c>
      <c r="C100" s="90" t="s">
        <v>164</v>
      </c>
      <c r="D100" s="89" t="s">
        <v>1</v>
      </c>
      <c r="E100" s="158">
        <v>1.9340277777777779</v>
      </c>
      <c r="F100" s="89" t="s">
        <v>112</v>
      </c>
      <c r="G100" s="91">
        <v>9</v>
      </c>
      <c r="H100" s="154">
        <v>471</v>
      </c>
      <c r="I100" s="2"/>
    </row>
    <row r="101" spans="1:9" ht="19.8" customHeight="1" x14ac:dyDescent="0.3">
      <c r="A101" s="157">
        <v>45993</v>
      </c>
      <c r="B101" s="89" t="s">
        <v>110</v>
      </c>
      <c r="C101" s="90" t="s">
        <v>111</v>
      </c>
      <c r="D101" s="89" t="s">
        <v>1</v>
      </c>
      <c r="E101" s="158">
        <v>1.729166666666667</v>
      </c>
      <c r="F101" s="89" t="s">
        <v>112</v>
      </c>
      <c r="G101" s="91">
        <v>5</v>
      </c>
      <c r="H101" s="154">
        <v>471</v>
      </c>
      <c r="I101" s="2"/>
    </row>
    <row r="102" spans="1:9" ht="19.8" customHeight="1" x14ac:dyDescent="0.3">
      <c r="A102" s="155">
        <v>45993</v>
      </c>
      <c r="B102" s="85" t="s">
        <v>78</v>
      </c>
      <c r="C102" s="86" t="s">
        <v>79</v>
      </c>
      <c r="D102" s="85" t="s">
        <v>1</v>
      </c>
      <c r="E102" s="156">
        <v>1.1284722222222221</v>
      </c>
      <c r="F102" s="85" t="s">
        <v>83</v>
      </c>
      <c r="G102" s="87">
        <v>5</v>
      </c>
      <c r="H102" s="153">
        <v>509</v>
      </c>
      <c r="I102" s="2"/>
    </row>
    <row r="103" spans="1:9" ht="19.8" customHeight="1" x14ac:dyDescent="0.3">
      <c r="A103" s="155">
        <v>45993</v>
      </c>
      <c r="B103" s="85" t="s">
        <v>78</v>
      </c>
      <c r="C103" s="86" t="s">
        <v>89</v>
      </c>
      <c r="D103" s="85" t="s">
        <v>1</v>
      </c>
      <c r="E103" s="156">
        <v>1.8888888888888891</v>
      </c>
      <c r="F103" s="85" t="s">
        <v>83</v>
      </c>
      <c r="G103" s="87">
        <v>1</v>
      </c>
      <c r="H103" s="153">
        <v>509</v>
      </c>
      <c r="I103" s="2"/>
    </row>
    <row r="104" spans="1:9" ht="19.8" customHeight="1" x14ac:dyDescent="0.3">
      <c r="A104" s="155">
        <v>45993</v>
      </c>
      <c r="B104" s="85" t="s">
        <v>54</v>
      </c>
      <c r="C104" s="86" t="s">
        <v>69</v>
      </c>
      <c r="D104" s="85" t="s">
        <v>1</v>
      </c>
      <c r="E104" s="156">
        <v>1.302083333333333</v>
      </c>
      <c r="F104" s="85" t="s">
        <v>59</v>
      </c>
      <c r="G104" s="87">
        <v>4</v>
      </c>
      <c r="H104" s="153">
        <v>509</v>
      </c>
      <c r="I104" s="2"/>
    </row>
    <row r="105" spans="1:9" ht="19.8" customHeight="1" x14ac:dyDescent="0.3">
      <c r="A105" s="155">
        <v>45993</v>
      </c>
      <c r="B105" s="85" t="s">
        <v>54</v>
      </c>
      <c r="C105" s="86" t="s">
        <v>70</v>
      </c>
      <c r="D105" s="85" t="s">
        <v>1</v>
      </c>
      <c r="E105" s="156">
        <v>1.5173611111111109</v>
      </c>
      <c r="F105" s="85" t="s">
        <v>59</v>
      </c>
      <c r="G105" s="87">
        <v>7</v>
      </c>
      <c r="H105" s="153">
        <v>509</v>
      </c>
      <c r="I105" s="2"/>
    </row>
    <row r="106" spans="1:9" ht="19.8" customHeight="1" x14ac:dyDescent="0.3">
      <c r="A106" s="155">
        <v>45993</v>
      </c>
      <c r="B106" s="85" t="s">
        <v>54</v>
      </c>
      <c r="C106" s="86" t="s">
        <v>71</v>
      </c>
      <c r="D106" s="85" t="s">
        <v>1</v>
      </c>
      <c r="E106" s="156">
        <v>1.9027777777777779</v>
      </c>
      <c r="F106" s="85" t="s">
        <v>59</v>
      </c>
      <c r="G106" s="87">
        <v>9</v>
      </c>
      <c r="H106" s="153">
        <v>509</v>
      </c>
      <c r="I106" s="2"/>
    </row>
    <row r="107" spans="1:9" ht="19.8" customHeight="1" x14ac:dyDescent="0.3">
      <c r="A107" s="155">
        <v>45993</v>
      </c>
      <c r="B107" s="85" t="s">
        <v>54</v>
      </c>
      <c r="C107" s="86" t="s">
        <v>72</v>
      </c>
      <c r="D107" s="85" t="s">
        <v>1</v>
      </c>
      <c r="E107" s="156">
        <v>1.7986111111111109</v>
      </c>
      <c r="F107" s="85" t="s">
        <v>59</v>
      </c>
      <c r="G107" s="87">
        <v>5</v>
      </c>
      <c r="H107" s="153">
        <v>509</v>
      </c>
      <c r="I107" s="2"/>
    </row>
    <row r="108" spans="1:9" ht="19.8" customHeight="1" x14ac:dyDescent="0.3">
      <c r="A108" s="155">
        <v>45993</v>
      </c>
      <c r="B108" s="85" t="s">
        <v>54</v>
      </c>
      <c r="C108" s="86" t="s">
        <v>74</v>
      </c>
      <c r="D108" s="85" t="s">
        <v>1</v>
      </c>
      <c r="E108" s="156">
        <v>1.645833333333333</v>
      </c>
      <c r="F108" s="85" t="s">
        <v>59</v>
      </c>
      <c r="G108" s="87">
        <v>7</v>
      </c>
      <c r="H108" s="153">
        <v>509</v>
      </c>
      <c r="I108" s="2"/>
    </row>
    <row r="109" spans="1:9" ht="19.8" customHeight="1" x14ac:dyDescent="0.3">
      <c r="A109" s="157">
        <v>45993</v>
      </c>
      <c r="B109" s="89" t="s">
        <v>110</v>
      </c>
      <c r="C109" s="90" t="s">
        <v>124</v>
      </c>
      <c r="D109" s="89" t="s">
        <v>1</v>
      </c>
      <c r="E109" s="158">
        <v>1.5590277777777779</v>
      </c>
      <c r="F109" s="89" t="s">
        <v>112</v>
      </c>
      <c r="G109" s="91">
        <v>9</v>
      </c>
      <c r="H109" s="154">
        <v>526</v>
      </c>
      <c r="I109" s="2"/>
    </row>
    <row r="110" spans="1:9" ht="19.8" customHeight="1" x14ac:dyDescent="0.3">
      <c r="A110" s="157">
        <v>45993</v>
      </c>
      <c r="B110" s="89" t="s">
        <v>110</v>
      </c>
      <c r="C110" s="90" t="s">
        <v>118</v>
      </c>
      <c r="D110" s="89" t="s">
        <v>1</v>
      </c>
      <c r="E110" s="158">
        <v>1.614583333333333</v>
      </c>
      <c r="F110" s="89" t="s">
        <v>112</v>
      </c>
      <c r="G110" s="91">
        <v>7</v>
      </c>
      <c r="H110" s="154">
        <v>526</v>
      </c>
      <c r="I110" s="2"/>
    </row>
    <row r="111" spans="1:9" ht="19.8" customHeight="1" x14ac:dyDescent="0.3">
      <c r="A111" s="155">
        <v>45993</v>
      </c>
      <c r="B111" s="85" t="s">
        <v>78</v>
      </c>
      <c r="C111" s="86" t="s">
        <v>87</v>
      </c>
      <c r="D111" s="85" t="s">
        <v>1</v>
      </c>
      <c r="E111" s="156">
        <v>1.302083333333333</v>
      </c>
      <c r="F111" s="85" t="s">
        <v>83</v>
      </c>
      <c r="G111" s="87">
        <v>1</v>
      </c>
      <c r="H111" s="153">
        <v>539</v>
      </c>
      <c r="I111" s="2"/>
    </row>
    <row r="112" spans="1:9" ht="19.8" customHeight="1" x14ac:dyDescent="0.3">
      <c r="A112" s="155">
        <v>45993</v>
      </c>
      <c r="B112" s="85" t="s">
        <v>102</v>
      </c>
      <c r="C112" s="86" t="s">
        <v>103</v>
      </c>
      <c r="D112" s="85" t="s">
        <v>1</v>
      </c>
      <c r="E112" s="156">
        <v>1.2222222222222221</v>
      </c>
      <c r="F112" s="85" t="s">
        <v>85</v>
      </c>
      <c r="G112" s="87">
        <v>9</v>
      </c>
      <c r="H112" s="153">
        <v>544</v>
      </c>
      <c r="I112" s="2"/>
    </row>
    <row r="113" spans="1:9" ht="19.8" customHeight="1" x14ac:dyDescent="0.3">
      <c r="A113" s="155">
        <v>45993</v>
      </c>
      <c r="B113" s="85" t="s">
        <v>54</v>
      </c>
      <c r="C113" s="86" t="s">
        <v>63</v>
      </c>
      <c r="D113" s="85" t="s">
        <v>1</v>
      </c>
      <c r="E113" s="156">
        <v>1.854166666666667</v>
      </c>
      <c r="F113" s="85" t="s">
        <v>61</v>
      </c>
      <c r="G113" s="87">
        <v>1</v>
      </c>
      <c r="H113" s="153">
        <v>559</v>
      </c>
      <c r="I113" s="2"/>
    </row>
    <row r="114" spans="1:9" ht="19.8" customHeight="1" x14ac:dyDescent="0.3">
      <c r="A114" s="155">
        <v>45993</v>
      </c>
      <c r="B114" s="85" t="s">
        <v>54</v>
      </c>
      <c r="C114" s="86" t="s">
        <v>68</v>
      </c>
      <c r="D114" s="85" t="s">
        <v>1</v>
      </c>
      <c r="E114" s="156">
        <v>1.256944444444444</v>
      </c>
      <c r="F114" s="85" t="s">
        <v>61</v>
      </c>
      <c r="G114" s="87">
        <v>2</v>
      </c>
      <c r="H114" s="153">
        <v>559</v>
      </c>
      <c r="I114" s="2"/>
    </row>
    <row r="115" spans="1:9" ht="19.8" customHeight="1" x14ac:dyDescent="0.3">
      <c r="A115" s="155">
        <v>45993</v>
      </c>
      <c r="B115" s="85" t="s">
        <v>54</v>
      </c>
      <c r="C115" s="86" t="s">
        <v>55</v>
      </c>
      <c r="D115" s="85" t="s">
        <v>1</v>
      </c>
      <c r="E115" s="156">
        <v>1.395833333333333</v>
      </c>
      <c r="F115" s="85" t="s">
        <v>61</v>
      </c>
      <c r="G115" s="87">
        <v>9</v>
      </c>
      <c r="H115" s="153">
        <v>559</v>
      </c>
      <c r="I115" s="2"/>
    </row>
    <row r="116" spans="1:9" ht="19.8" customHeight="1" x14ac:dyDescent="0.3">
      <c r="A116" s="155">
        <v>45993</v>
      </c>
      <c r="B116" s="85" t="s">
        <v>78</v>
      </c>
      <c r="C116" s="86" t="s">
        <v>90</v>
      </c>
      <c r="D116" s="85" t="s">
        <v>1</v>
      </c>
      <c r="E116" s="156">
        <v>1.788194444444444</v>
      </c>
      <c r="F116" s="85" t="s">
        <v>83</v>
      </c>
      <c r="G116" s="87">
        <v>5</v>
      </c>
      <c r="H116" s="153">
        <v>569</v>
      </c>
      <c r="I116" s="2"/>
    </row>
    <row r="117" spans="1:9" ht="19.8" customHeight="1" x14ac:dyDescent="0.3">
      <c r="A117" s="155">
        <v>45993</v>
      </c>
      <c r="B117" s="85" t="s">
        <v>136</v>
      </c>
      <c r="C117" s="86" t="s">
        <v>137</v>
      </c>
      <c r="D117" s="85" t="s">
        <v>1</v>
      </c>
      <c r="E117" s="156">
        <v>1.2222222222222221</v>
      </c>
      <c r="F117" s="85" t="s">
        <v>138</v>
      </c>
      <c r="G117" s="87">
        <v>9</v>
      </c>
      <c r="H117" s="153">
        <v>579</v>
      </c>
      <c r="I117" s="2"/>
    </row>
    <row r="118" spans="1:9" ht="19.8" customHeight="1" x14ac:dyDescent="0.3">
      <c r="A118" s="155">
        <v>45993</v>
      </c>
      <c r="B118" s="85" t="s">
        <v>136</v>
      </c>
      <c r="C118" s="86" t="s">
        <v>144</v>
      </c>
      <c r="D118" s="85" t="s">
        <v>1</v>
      </c>
      <c r="E118" s="156">
        <v>1.958333333333333</v>
      </c>
      <c r="F118" s="85" t="s">
        <v>138</v>
      </c>
      <c r="G118" s="87">
        <v>9</v>
      </c>
      <c r="H118" s="153">
        <v>579</v>
      </c>
      <c r="I118" s="2"/>
    </row>
    <row r="119" spans="1:9" ht="19.8" customHeight="1" x14ac:dyDescent="0.3">
      <c r="A119" s="155">
        <v>45993</v>
      </c>
      <c r="B119" s="85" t="s">
        <v>136</v>
      </c>
      <c r="C119" s="86" t="s">
        <v>149</v>
      </c>
      <c r="D119" s="85" t="s">
        <v>1</v>
      </c>
      <c r="E119" s="156">
        <v>1.0138888888888891</v>
      </c>
      <c r="F119" s="85" t="s">
        <v>138</v>
      </c>
      <c r="G119" s="87">
        <v>9</v>
      </c>
      <c r="H119" s="153">
        <v>579</v>
      </c>
      <c r="I119" s="2"/>
    </row>
    <row r="120" spans="1:9" ht="19.8" customHeight="1" x14ac:dyDescent="0.3">
      <c r="A120" s="155">
        <v>45993</v>
      </c>
      <c r="B120" s="85" t="s">
        <v>136</v>
      </c>
      <c r="C120" s="86" t="s">
        <v>141</v>
      </c>
      <c r="D120" s="85" t="s">
        <v>1</v>
      </c>
      <c r="E120" s="156">
        <v>1.2777777777777779</v>
      </c>
      <c r="F120" s="85" t="s">
        <v>138</v>
      </c>
      <c r="G120" s="87">
        <v>9</v>
      </c>
      <c r="H120" s="153">
        <v>579</v>
      </c>
      <c r="I120" s="2"/>
    </row>
    <row r="121" spans="1:9" ht="19.8" customHeight="1" x14ac:dyDescent="0.3">
      <c r="A121" s="155">
        <v>45993</v>
      </c>
      <c r="B121" s="85" t="s">
        <v>136</v>
      </c>
      <c r="C121" s="86" t="s">
        <v>142</v>
      </c>
      <c r="D121" s="85" t="s">
        <v>1</v>
      </c>
      <c r="E121" s="156">
        <v>1.4861111111111109</v>
      </c>
      <c r="F121" s="85" t="s">
        <v>138</v>
      </c>
      <c r="G121" s="87">
        <v>9</v>
      </c>
      <c r="H121" s="153">
        <v>579</v>
      </c>
      <c r="I121" s="2"/>
    </row>
    <row r="122" spans="1:9" ht="19.8" customHeight="1" x14ac:dyDescent="0.3">
      <c r="A122" s="155">
        <v>45993</v>
      </c>
      <c r="B122" s="85" t="s">
        <v>136</v>
      </c>
      <c r="C122" s="86" t="s">
        <v>143</v>
      </c>
      <c r="D122" s="85" t="s">
        <v>1</v>
      </c>
      <c r="E122" s="156">
        <v>1.5486111111111109</v>
      </c>
      <c r="F122" s="85" t="s">
        <v>138</v>
      </c>
      <c r="G122" s="87">
        <v>9</v>
      </c>
      <c r="H122" s="153">
        <v>579</v>
      </c>
      <c r="I122" s="2"/>
    </row>
    <row r="123" spans="1:9" ht="19.8" customHeight="1" x14ac:dyDescent="0.3">
      <c r="A123" s="155">
        <v>45993</v>
      </c>
      <c r="B123" s="85" t="s">
        <v>54</v>
      </c>
      <c r="C123" s="86" t="s">
        <v>69</v>
      </c>
      <c r="D123" s="85" t="s">
        <v>1</v>
      </c>
      <c r="E123" s="156">
        <v>1.302083333333333</v>
      </c>
      <c r="F123" s="85" t="s">
        <v>61</v>
      </c>
      <c r="G123" s="87">
        <v>4</v>
      </c>
      <c r="H123" s="153">
        <v>599</v>
      </c>
      <c r="I123" s="2"/>
    </row>
    <row r="124" spans="1:9" ht="19.8" customHeight="1" x14ac:dyDescent="0.3">
      <c r="A124" s="155">
        <v>45993</v>
      </c>
      <c r="B124" s="85" t="s">
        <v>54</v>
      </c>
      <c r="C124" s="86" t="s">
        <v>70</v>
      </c>
      <c r="D124" s="85" t="s">
        <v>1</v>
      </c>
      <c r="E124" s="156">
        <v>1.5173611111111109</v>
      </c>
      <c r="F124" s="85" t="s">
        <v>61</v>
      </c>
      <c r="G124" s="87">
        <v>7</v>
      </c>
      <c r="H124" s="153">
        <v>599</v>
      </c>
      <c r="I124" s="2"/>
    </row>
    <row r="125" spans="1:9" ht="19.8" customHeight="1" x14ac:dyDescent="0.3">
      <c r="A125" s="155">
        <v>45993</v>
      </c>
      <c r="B125" s="85" t="s">
        <v>54</v>
      </c>
      <c r="C125" s="86" t="s">
        <v>71</v>
      </c>
      <c r="D125" s="85" t="s">
        <v>1</v>
      </c>
      <c r="E125" s="156">
        <v>1.9027777777777779</v>
      </c>
      <c r="F125" s="85" t="s">
        <v>61</v>
      </c>
      <c r="G125" s="87">
        <v>9</v>
      </c>
      <c r="H125" s="153">
        <v>599</v>
      </c>
      <c r="I125" s="2"/>
    </row>
    <row r="126" spans="1:9" ht="19.8" customHeight="1" x14ac:dyDescent="0.3">
      <c r="A126" s="155">
        <v>45993</v>
      </c>
      <c r="B126" s="85" t="s">
        <v>54</v>
      </c>
      <c r="C126" s="86" t="s">
        <v>72</v>
      </c>
      <c r="D126" s="85" t="s">
        <v>1</v>
      </c>
      <c r="E126" s="156">
        <v>1.7986111111111109</v>
      </c>
      <c r="F126" s="85" t="s">
        <v>61</v>
      </c>
      <c r="G126" s="87">
        <v>5</v>
      </c>
      <c r="H126" s="153">
        <v>599</v>
      </c>
      <c r="I126" s="2"/>
    </row>
    <row r="127" spans="1:9" ht="19.8" customHeight="1" x14ac:dyDescent="0.3">
      <c r="A127" s="155">
        <v>45993</v>
      </c>
      <c r="B127" s="85" t="s">
        <v>54</v>
      </c>
      <c r="C127" s="86" t="s">
        <v>74</v>
      </c>
      <c r="D127" s="85" t="s">
        <v>1</v>
      </c>
      <c r="E127" s="156">
        <v>1.645833333333333</v>
      </c>
      <c r="F127" s="85" t="s">
        <v>61</v>
      </c>
      <c r="G127" s="87">
        <v>7</v>
      </c>
      <c r="H127" s="153">
        <v>599</v>
      </c>
      <c r="I127" s="2"/>
    </row>
    <row r="128" spans="1:9" ht="19.8" customHeight="1" x14ac:dyDescent="0.3">
      <c r="A128" s="155">
        <v>45993</v>
      </c>
      <c r="B128" s="85" t="s">
        <v>26</v>
      </c>
      <c r="C128" s="86" t="s">
        <v>40</v>
      </c>
      <c r="D128" s="85" t="s">
        <v>1</v>
      </c>
      <c r="E128" s="156">
        <v>1.239583333333333</v>
      </c>
      <c r="F128" s="85" t="s">
        <v>31</v>
      </c>
      <c r="G128" s="87">
        <v>9</v>
      </c>
      <c r="H128" s="153">
        <v>678</v>
      </c>
      <c r="I128" s="2"/>
    </row>
    <row r="129" spans="1:9" ht="19.8" customHeight="1" x14ac:dyDescent="0.3">
      <c r="A129" s="155">
        <v>45993</v>
      </c>
      <c r="B129" s="85" t="s">
        <v>26</v>
      </c>
      <c r="C129" s="86" t="s">
        <v>40</v>
      </c>
      <c r="D129" s="85" t="s">
        <v>1</v>
      </c>
      <c r="E129" s="156">
        <v>1.239583333333333</v>
      </c>
      <c r="F129" s="85" t="s">
        <v>33</v>
      </c>
      <c r="G129" s="87">
        <v>9</v>
      </c>
      <c r="H129" s="153">
        <v>723</v>
      </c>
      <c r="I129" s="2"/>
    </row>
    <row r="130" spans="1:9" ht="19.8" customHeight="1" x14ac:dyDescent="0.3">
      <c r="A130" s="155">
        <v>45993</v>
      </c>
      <c r="B130" s="85" t="s">
        <v>136</v>
      </c>
      <c r="C130" s="86" t="s">
        <v>147</v>
      </c>
      <c r="D130" s="85" t="s">
        <v>1</v>
      </c>
      <c r="E130" s="156">
        <v>1.770833333333333</v>
      </c>
      <c r="F130" s="85" t="s">
        <v>145</v>
      </c>
      <c r="G130" s="87">
        <v>9</v>
      </c>
      <c r="H130" s="153">
        <v>795</v>
      </c>
      <c r="I130" s="2"/>
    </row>
    <row r="131" spans="1:9" ht="19.8" customHeight="1" x14ac:dyDescent="0.3">
      <c r="A131" s="155">
        <v>45993</v>
      </c>
      <c r="B131" s="85" t="s">
        <v>26</v>
      </c>
      <c r="C131" s="86" t="s">
        <v>46</v>
      </c>
      <c r="D131" s="85" t="s">
        <v>1</v>
      </c>
      <c r="E131" s="156">
        <v>1.006944444444444</v>
      </c>
      <c r="F131" s="85" t="s">
        <v>31</v>
      </c>
      <c r="G131" s="87">
        <v>9</v>
      </c>
      <c r="H131" s="153">
        <v>935</v>
      </c>
      <c r="I131" s="2"/>
    </row>
    <row r="132" spans="1:9" ht="19.8" customHeight="1" x14ac:dyDescent="0.3">
      <c r="A132" s="155">
        <v>45993</v>
      </c>
      <c r="B132" s="85" t="s">
        <v>26</v>
      </c>
      <c r="C132" s="86" t="s">
        <v>49</v>
      </c>
      <c r="D132" s="85" t="s">
        <v>1</v>
      </c>
      <c r="E132" s="156">
        <v>1.1423611111111109</v>
      </c>
      <c r="F132" s="85" t="s">
        <v>31</v>
      </c>
      <c r="G132" s="87">
        <v>9</v>
      </c>
      <c r="H132" s="153">
        <v>935</v>
      </c>
      <c r="I132" s="2"/>
    </row>
    <row r="133" spans="1:9" ht="19.8" customHeight="1" x14ac:dyDescent="0.3">
      <c r="A133" s="155">
        <v>45993</v>
      </c>
      <c r="B133" s="85" t="s">
        <v>26</v>
      </c>
      <c r="C133" s="86" t="s">
        <v>27</v>
      </c>
      <c r="D133" s="85" t="s">
        <v>1</v>
      </c>
      <c r="E133" s="156">
        <v>1.930555555555556</v>
      </c>
      <c r="F133" s="85" t="s">
        <v>31</v>
      </c>
      <c r="G133" s="87">
        <v>9</v>
      </c>
      <c r="H133" s="153">
        <v>935</v>
      </c>
      <c r="I133" s="2"/>
    </row>
    <row r="134" spans="1:9" ht="19.8" customHeight="1" x14ac:dyDescent="0.3">
      <c r="A134" s="155">
        <v>45993</v>
      </c>
      <c r="B134" s="85" t="s">
        <v>26</v>
      </c>
      <c r="C134" s="86" t="s">
        <v>50</v>
      </c>
      <c r="D134" s="85" t="s">
        <v>1</v>
      </c>
      <c r="E134" s="156">
        <v>1.71875</v>
      </c>
      <c r="F134" s="85" t="s">
        <v>31</v>
      </c>
      <c r="G134" s="87">
        <v>9</v>
      </c>
      <c r="H134" s="153">
        <v>935</v>
      </c>
      <c r="I134" s="2"/>
    </row>
    <row r="135" spans="1:9" ht="19.8" customHeight="1" x14ac:dyDescent="0.3">
      <c r="A135" s="155">
        <v>45993</v>
      </c>
      <c r="B135" s="85" t="s">
        <v>26</v>
      </c>
      <c r="C135" s="86" t="s">
        <v>51</v>
      </c>
      <c r="D135" s="85" t="s">
        <v>1</v>
      </c>
      <c r="E135" s="156">
        <v>1.8298611111111109</v>
      </c>
      <c r="F135" s="85" t="s">
        <v>31</v>
      </c>
      <c r="G135" s="87">
        <v>9</v>
      </c>
      <c r="H135" s="153">
        <v>935</v>
      </c>
      <c r="I135" s="2"/>
    </row>
    <row r="136" spans="1:9" ht="19.8" customHeight="1" x14ac:dyDescent="0.3">
      <c r="A136" s="155">
        <v>45993</v>
      </c>
      <c r="B136" s="85" t="s">
        <v>26</v>
      </c>
      <c r="C136" s="86" t="s">
        <v>35</v>
      </c>
      <c r="D136" s="85" t="s">
        <v>1</v>
      </c>
      <c r="E136" s="156">
        <v>1.3784722222222221</v>
      </c>
      <c r="F136" s="85" t="s">
        <v>31</v>
      </c>
      <c r="G136" s="87">
        <v>9</v>
      </c>
      <c r="H136" s="153">
        <v>935</v>
      </c>
      <c r="I136" s="2"/>
    </row>
    <row r="137" spans="1:9" ht="19.8" customHeight="1" x14ac:dyDescent="0.3">
      <c r="A137" s="155">
        <v>45993</v>
      </c>
      <c r="B137" s="85" t="s">
        <v>26</v>
      </c>
      <c r="C137" s="86" t="s">
        <v>39</v>
      </c>
      <c r="D137" s="85" t="s">
        <v>1</v>
      </c>
      <c r="E137" s="156">
        <v>1.6111111111111109</v>
      </c>
      <c r="F137" s="85" t="s">
        <v>31</v>
      </c>
      <c r="G137" s="87">
        <v>9</v>
      </c>
      <c r="H137" s="153">
        <v>935</v>
      </c>
      <c r="I137" s="2"/>
    </row>
    <row r="138" spans="1:9" ht="19.8" customHeight="1" x14ac:dyDescent="0.3">
      <c r="A138" s="155">
        <v>45993</v>
      </c>
      <c r="B138" s="85" t="s">
        <v>26</v>
      </c>
      <c r="C138" s="86" t="s">
        <v>46</v>
      </c>
      <c r="D138" s="85" t="s">
        <v>1</v>
      </c>
      <c r="E138" s="156">
        <v>1.006944444444444</v>
      </c>
      <c r="F138" s="85" t="s">
        <v>33</v>
      </c>
      <c r="G138" s="87">
        <v>9</v>
      </c>
      <c r="H138" s="153">
        <v>980</v>
      </c>
      <c r="I138" s="2"/>
    </row>
    <row r="139" spans="1:9" ht="19.8" customHeight="1" x14ac:dyDescent="0.3">
      <c r="A139" s="155">
        <v>45993</v>
      </c>
      <c r="B139" s="85" t="s">
        <v>26</v>
      </c>
      <c r="C139" s="86" t="s">
        <v>49</v>
      </c>
      <c r="D139" s="85" t="s">
        <v>1</v>
      </c>
      <c r="E139" s="156">
        <v>1.1423611111111109</v>
      </c>
      <c r="F139" s="85" t="s">
        <v>33</v>
      </c>
      <c r="G139" s="87">
        <v>9</v>
      </c>
      <c r="H139" s="153">
        <v>980</v>
      </c>
      <c r="I139" s="2"/>
    </row>
    <row r="140" spans="1:9" ht="19.8" customHeight="1" x14ac:dyDescent="0.3">
      <c r="A140" s="155">
        <v>45993</v>
      </c>
      <c r="B140" s="85" t="s">
        <v>26</v>
      </c>
      <c r="C140" s="86" t="s">
        <v>27</v>
      </c>
      <c r="D140" s="85" t="s">
        <v>1</v>
      </c>
      <c r="E140" s="156">
        <v>1.930555555555556</v>
      </c>
      <c r="F140" s="85" t="s">
        <v>33</v>
      </c>
      <c r="G140" s="87">
        <v>9</v>
      </c>
      <c r="H140" s="153">
        <v>980</v>
      </c>
      <c r="I140" s="2"/>
    </row>
    <row r="141" spans="1:9" ht="19.8" customHeight="1" x14ac:dyDescent="0.3">
      <c r="A141" s="155">
        <v>45993</v>
      </c>
      <c r="B141" s="85" t="s">
        <v>26</v>
      </c>
      <c r="C141" s="86" t="s">
        <v>50</v>
      </c>
      <c r="D141" s="85" t="s">
        <v>1</v>
      </c>
      <c r="E141" s="156">
        <v>1.71875</v>
      </c>
      <c r="F141" s="85" t="s">
        <v>33</v>
      </c>
      <c r="G141" s="87">
        <v>9</v>
      </c>
      <c r="H141" s="153">
        <v>980</v>
      </c>
      <c r="I141" s="2"/>
    </row>
    <row r="142" spans="1:9" ht="19.8" customHeight="1" x14ac:dyDescent="0.3">
      <c r="A142" s="155">
        <v>45993</v>
      </c>
      <c r="B142" s="85" t="s">
        <v>26</v>
      </c>
      <c r="C142" s="86" t="s">
        <v>51</v>
      </c>
      <c r="D142" s="85" t="s">
        <v>1</v>
      </c>
      <c r="E142" s="156">
        <v>1.8298611111111109</v>
      </c>
      <c r="F142" s="85" t="s">
        <v>33</v>
      </c>
      <c r="G142" s="87">
        <v>9</v>
      </c>
      <c r="H142" s="153">
        <v>980</v>
      </c>
      <c r="I142" s="2"/>
    </row>
    <row r="143" spans="1:9" ht="19.8" customHeight="1" x14ac:dyDescent="0.3">
      <c r="A143" s="155">
        <v>45993</v>
      </c>
      <c r="B143" s="85" t="s">
        <v>26</v>
      </c>
      <c r="C143" s="86" t="s">
        <v>35</v>
      </c>
      <c r="D143" s="85" t="s">
        <v>1</v>
      </c>
      <c r="E143" s="156">
        <v>1.3784722222222221</v>
      </c>
      <c r="F143" s="85" t="s">
        <v>33</v>
      </c>
      <c r="G143" s="87">
        <v>9</v>
      </c>
      <c r="H143" s="153">
        <v>980</v>
      </c>
      <c r="I143" s="2"/>
    </row>
    <row r="144" spans="1:9" ht="19.8" customHeight="1" x14ac:dyDescent="0.3">
      <c r="A144" s="155">
        <v>45993</v>
      </c>
      <c r="B144" s="85" t="s">
        <v>26</v>
      </c>
      <c r="C144" s="86" t="s">
        <v>39</v>
      </c>
      <c r="D144" s="85" t="s">
        <v>1</v>
      </c>
      <c r="E144" s="156">
        <v>1.6111111111111109</v>
      </c>
      <c r="F144" s="85" t="s">
        <v>33</v>
      </c>
      <c r="G144" s="87">
        <v>9</v>
      </c>
      <c r="H144" s="153">
        <v>980</v>
      </c>
      <c r="I144" s="2"/>
    </row>
    <row r="145" spans="1:9" ht="19.8" customHeight="1" x14ac:dyDescent="0.3">
      <c r="A145" s="155">
        <v>45993</v>
      </c>
      <c r="B145" s="85" t="s">
        <v>78</v>
      </c>
      <c r="C145" s="86" t="s">
        <v>79</v>
      </c>
      <c r="D145" s="85" t="s">
        <v>1</v>
      </c>
      <c r="E145" s="156">
        <v>1.1284722222222221</v>
      </c>
      <c r="F145" s="85" t="s">
        <v>85</v>
      </c>
      <c r="G145" s="87">
        <v>5</v>
      </c>
      <c r="H145" s="92" t="s">
        <v>86</v>
      </c>
      <c r="I145" s="2"/>
    </row>
    <row r="146" spans="1:9" ht="19.8" customHeight="1" x14ac:dyDescent="0.3">
      <c r="A146" s="155">
        <v>45993</v>
      </c>
      <c r="B146" s="85" t="s">
        <v>78</v>
      </c>
      <c r="C146" s="86" t="s">
        <v>87</v>
      </c>
      <c r="D146" s="85" t="s">
        <v>1</v>
      </c>
      <c r="E146" s="156">
        <v>1.302083333333333</v>
      </c>
      <c r="F146" s="85" t="s">
        <v>85</v>
      </c>
      <c r="G146" s="87">
        <v>1</v>
      </c>
      <c r="H146" s="92" t="s">
        <v>86</v>
      </c>
      <c r="I146" s="2"/>
    </row>
    <row r="147" spans="1:9" ht="19.8" customHeight="1" x14ac:dyDescent="0.3">
      <c r="A147" s="155">
        <v>45993</v>
      </c>
      <c r="B147" s="85" t="s">
        <v>78</v>
      </c>
      <c r="C147" s="86" t="s">
        <v>89</v>
      </c>
      <c r="D147" s="85" t="s">
        <v>1</v>
      </c>
      <c r="E147" s="156">
        <v>1.8888888888888891</v>
      </c>
      <c r="F147" s="85" t="s">
        <v>85</v>
      </c>
      <c r="G147" s="87">
        <v>1</v>
      </c>
      <c r="H147" s="92" t="s">
        <v>86</v>
      </c>
      <c r="I147" s="2"/>
    </row>
    <row r="148" spans="1:9" ht="19.8" customHeight="1" x14ac:dyDescent="0.3">
      <c r="A148" s="155">
        <v>45993</v>
      </c>
      <c r="B148" s="85" t="s">
        <v>78</v>
      </c>
      <c r="C148" s="86" t="s">
        <v>90</v>
      </c>
      <c r="D148" s="85" t="s">
        <v>1</v>
      </c>
      <c r="E148" s="156">
        <v>1.788194444444444</v>
      </c>
      <c r="F148" s="85" t="s">
        <v>85</v>
      </c>
      <c r="G148" s="87">
        <v>5</v>
      </c>
      <c r="H148" s="92" t="s">
        <v>86</v>
      </c>
      <c r="I148" s="2"/>
    </row>
    <row r="149" spans="1:9" ht="19.8" customHeight="1" x14ac:dyDescent="0.3">
      <c r="A149" s="155">
        <v>45993</v>
      </c>
      <c r="B149" s="85" t="s">
        <v>26</v>
      </c>
      <c r="C149" s="86" t="s">
        <v>45</v>
      </c>
      <c r="D149" s="85" t="s">
        <v>1</v>
      </c>
      <c r="E149" s="156">
        <v>1.1284722222222221</v>
      </c>
      <c r="F149" s="85" t="s">
        <v>33</v>
      </c>
      <c r="G149" s="87">
        <v>4</v>
      </c>
      <c r="H149" s="92" t="s">
        <v>174</v>
      </c>
      <c r="I149" s="2"/>
    </row>
    <row r="150" spans="1:9" ht="19.8" customHeight="1" x14ac:dyDescent="0.3">
      <c r="A150" s="155">
        <v>45993</v>
      </c>
      <c r="B150" s="85" t="s">
        <v>26</v>
      </c>
      <c r="C150" s="86" t="s">
        <v>41</v>
      </c>
      <c r="D150" s="85" t="s">
        <v>1</v>
      </c>
      <c r="E150" s="156">
        <v>1.8888888888888891</v>
      </c>
      <c r="F150" s="85" t="s">
        <v>33</v>
      </c>
      <c r="G150" s="87">
        <v>4</v>
      </c>
      <c r="H150" s="92" t="s">
        <v>43</v>
      </c>
      <c r="I150" s="2"/>
    </row>
    <row r="151" spans="1:9" ht="19.8" customHeight="1" x14ac:dyDescent="0.3">
      <c r="A151" s="155">
        <v>45993</v>
      </c>
      <c r="B151" s="85" t="s">
        <v>26</v>
      </c>
      <c r="C151" s="86" t="s">
        <v>44</v>
      </c>
      <c r="D151" s="85" t="s">
        <v>1</v>
      </c>
      <c r="E151" s="156">
        <v>1.302083333333333</v>
      </c>
      <c r="F151" s="85" t="s">
        <v>33</v>
      </c>
      <c r="G151" s="87">
        <v>4</v>
      </c>
      <c r="H151" s="92" t="s">
        <v>175</v>
      </c>
      <c r="I151" s="2"/>
    </row>
    <row r="152" spans="1:9" ht="19.8" customHeight="1" x14ac:dyDescent="0.3">
      <c r="A152" s="159">
        <v>45993</v>
      </c>
      <c r="B152" s="93" t="s">
        <v>26</v>
      </c>
      <c r="C152" s="94" t="s">
        <v>52</v>
      </c>
      <c r="D152" s="93" t="s">
        <v>1</v>
      </c>
      <c r="E152" s="160">
        <v>1.788194444444444</v>
      </c>
      <c r="F152" s="93" t="s">
        <v>33</v>
      </c>
      <c r="G152" s="95">
        <v>4</v>
      </c>
      <c r="H152" s="96" t="s">
        <v>175</v>
      </c>
      <c r="I152" s="2"/>
    </row>
    <row r="153" spans="1:9" ht="19.8" customHeight="1" x14ac:dyDescent="0.3">
      <c r="A153" s="155">
        <v>45994</v>
      </c>
      <c r="B153" s="85" t="s">
        <v>78</v>
      </c>
      <c r="C153" s="86" t="s">
        <v>79</v>
      </c>
      <c r="D153" s="85" t="s">
        <v>1</v>
      </c>
      <c r="E153" s="156">
        <v>1.1284722222222221</v>
      </c>
      <c r="F153" s="85" t="s">
        <v>80</v>
      </c>
      <c r="G153" s="87">
        <v>10</v>
      </c>
      <c r="H153" s="153">
        <v>359</v>
      </c>
      <c r="I153" s="2"/>
    </row>
    <row r="154" spans="1:9" ht="19.8" customHeight="1" x14ac:dyDescent="0.3">
      <c r="A154" s="155">
        <v>45994</v>
      </c>
      <c r="B154" s="85" t="s">
        <v>78</v>
      </c>
      <c r="C154" s="86" t="s">
        <v>87</v>
      </c>
      <c r="D154" s="85" t="s">
        <v>1</v>
      </c>
      <c r="E154" s="156">
        <v>1.302083333333333</v>
      </c>
      <c r="F154" s="85" t="s">
        <v>80</v>
      </c>
      <c r="G154" s="87">
        <v>1</v>
      </c>
      <c r="H154" s="153">
        <v>359</v>
      </c>
      <c r="I154" s="2"/>
    </row>
    <row r="155" spans="1:9" ht="19.8" customHeight="1" x14ac:dyDescent="0.3">
      <c r="A155" s="155">
        <v>45994</v>
      </c>
      <c r="B155" s="85" t="s">
        <v>54</v>
      </c>
      <c r="C155" s="86" t="s">
        <v>68</v>
      </c>
      <c r="D155" s="85" t="s">
        <v>1</v>
      </c>
      <c r="E155" s="156">
        <v>1.256944444444444</v>
      </c>
      <c r="F155" s="85" t="s">
        <v>56</v>
      </c>
      <c r="G155" s="87">
        <v>7</v>
      </c>
      <c r="H155" s="153">
        <v>369</v>
      </c>
      <c r="I155" s="2"/>
    </row>
    <row r="156" spans="1:9" ht="19.8" customHeight="1" x14ac:dyDescent="0.3">
      <c r="A156" s="155">
        <v>45994</v>
      </c>
      <c r="B156" s="85" t="s">
        <v>54</v>
      </c>
      <c r="C156" s="86" t="s">
        <v>69</v>
      </c>
      <c r="D156" s="85" t="s">
        <v>1</v>
      </c>
      <c r="E156" s="156">
        <v>1.302083333333333</v>
      </c>
      <c r="F156" s="85" t="s">
        <v>56</v>
      </c>
      <c r="G156" s="87">
        <v>9</v>
      </c>
      <c r="H156" s="153">
        <v>369</v>
      </c>
      <c r="I156" s="2"/>
    </row>
    <row r="157" spans="1:9" ht="19.8" customHeight="1" x14ac:dyDescent="0.3">
      <c r="A157" s="155">
        <v>45994</v>
      </c>
      <c r="B157" s="85" t="s">
        <v>93</v>
      </c>
      <c r="C157" s="86" t="s">
        <v>152</v>
      </c>
      <c r="D157" s="85" t="s">
        <v>1</v>
      </c>
      <c r="E157" s="156">
        <v>1.538194444444444</v>
      </c>
      <c r="F157" s="85" t="s">
        <v>95</v>
      </c>
      <c r="G157" s="87">
        <v>7</v>
      </c>
      <c r="H157" s="153">
        <v>400</v>
      </c>
      <c r="I157" s="2"/>
    </row>
    <row r="158" spans="1:9" ht="19.8" customHeight="1" x14ac:dyDescent="0.3">
      <c r="A158" s="155">
        <v>45994</v>
      </c>
      <c r="B158" s="85" t="s">
        <v>98</v>
      </c>
      <c r="C158" s="86" t="s">
        <v>101</v>
      </c>
      <c r="D158" s="85" t="s">
        <v>1</v>
      </c>
      <c r="E158" s="156">
        <v>1.666666666666667</v>
      </c>
      <c r="F158" s="85" t="s">
        <v>95</v>
      </c>
      <c r="G158" s="87">
        <v>9</v>
      </c>
      <c r="H158" s="153">
        <v>401</v>
      </c>
      <c r="I158" s="2"/>
    </row>
    <row r="159" spans="1:9" ht="19.8" customHeight="1" x14ac:dyDescent="0.3">
      <c r="A159" s="155">
        <v>45994</v>
      </c>
      <c r="B159" s="85" t="s">
        <v>54</v>
      </c>
      <c r="C159" s="86" t="s">
        <v>63</v>
      </c>
      <c r="D159" s="85" t="s">
        <v>1</v>
      </c>
      <c r="E159" s="156">
        <v>1.854166666666667</v>
      </c>
      <c r="F159" s="85" t="s">
        <v>56</v>
      </c>
      <c r="G159" s="87">
        <v>9</v>
      </c>
      <c r="H159" s="153">
        <v>409</v>
      </c>
      <c r="I159" s="2"/>
    </row>
    <row r="160" spans="1:9" ht="19.8" customHeight="1" x14ac:dyDescent="0.3">
      <c r="A160" s="155">
        <v>45994</v>
      </c>
      <c r="B160" s="85" t="s">
        <v>54</v>
      </c>
      <c r="C160" s="86" t="s">
        <v>70</v>
      </c>
      <c r="D160" s="85" t="s">
        <v>1</v>
      </c>
      <c r="E160" s="156">
        <v>1.5173611111111109</v>
      </c>
      <c r="F160" s="85" t="s">
        <v>56</v>
      </c>
      <c r="G160" s="87">
        <v>9</v>
      </c>
      <c r="H160" s="153">
        <v>409</v>
      </c>
      <c r="I160" s="2"/>
    </row>
    <row r="161" spans="1:9" ht="19.8" customHeight="1" x14ac:dyDescent="0.3">
      <c r="A161" s="155">
        <v>45994</v>
      </c>
      <c r="B161" s="85" t="s">
        <v>54</v>
      </c>
      <c r="C161" s="86" t="s">
        <v>72</v>
      </c>
      <c r="D161" s="85" t="s">
        <v>1</v>
      </c>
      <c r="E161" s="156">
        <v>1.7986111111111109</v>
      </c>
      <c r="F161" s="85" t="s">
        <v>56</v>
      </c>
      <c r="G161" s="87">
        <v>3</v>
      </c>
      <c r="H161" s="153">
        <v>409</v>
      </c>
      <c r="I161" s="2"/>
    </row>
    <row r="162" spans="1:9" ht="19.8" customHeight="1" x14ac:dyDescent="0.3">
      <c r="A162" s="155">
        <v>45994</v>
      </c>
      <c r="B162" s="85" t="s">
        <v>54</v>
      </c>
      <c r="C162" s="86" t="s">
        <v>55</v>
      </c>
      <c r="D162" s="85" t="s">
        <v>1</v>
      </c>
      <c r="E162" s="156">
        <v>1.395833333333333</v>
      </c>
      <c r="F162" s="85" t="s">
        <v>56</v>
      </c>
      <c r="G162" s="87">
        <v>9</v>
      </c>
      <c r="H162" s="153">
        <v>409</v>
      </c>
      <c r="I162" s="2"/>
    </row>
    <row r="163" spans="1:9" ht="19.8" customHeight="1" x14ac:dyDescent="0.3">
      <c r="A163" s="155">
        <v>45994</v>
      </c>
      <c r="B163" s="85" t="s">
        <v>54</v>
      </c>
      <c r="C163" s="86" t="s">
        <v>74</v>
      </c>
      <c r="D163" s="85" t="s">
        <v>1</v>
      </c>
      <c r="E163" s="156">
        <v>1.645833333333333</v>
      </c>
      <c r="F163" s="85" t="s">
        <v>56</v>
      </c>
      <c r="G163" s="87">
        <v>8</v>
      </c>
      <c r="H163" s="153">
        <v>409</v>
      </c>
      <c r="I163" s="2"/>
    </row>
    <row r="164" spans="1:9" ht="19.8" customHeight="1" x14ac:dyDescent="0.3">
      <c r="A164" s="155">
        <v>45994</v>
      </c>
      <c r="B164" s="85" t="s">
        <v>78</v>
      </c>
      <c r="C164" s="86" t="s">
        <v>89</v>
      </c>
      <c r="D164" s="85" t="s">
        <v>1</v>
      </c>
      <c r="E164" s="156">
        <v>1.8888888888888891</v>
      </c>
      <c r="F164" s="85" t="s">
        <v>80</v>
      </c>
      <c r="G164" s="87">
        <v>1</v>
      </c>
      <c r="H164" s="153">
        <v>419</v>
      </c>
      <c r="I164" s="2"/>
    </row>
    <row r="165" spans="1:9" ht="19.8" customHeight="1" x14ac:dyDescent="0.3">
      <c r="A165" s="155">
        <v>45994</v>
      </c>
      <c r="B165" s="85" t="s">
        <v>102</v>
      </c>
      <c r="C165" s="86" t="s">
        <v>107</v>
      </c>
      <c r="D165" s="85" t="s">
        <v>1</v>
      </c>
      <c r="E165" s="156">
        <v>1.3923611111111109</v>
      </c>
      <c r="F165" s="85" t="s">
        <v>104</v>
      </c>
      <c r="G165" s="87">
        <v>9</v>
      </c>
      <c r="H165" s="153">
        <v>436</v>
      </c>
      <c r="I165" s="2"/>
    </row>
    <row r="166" spans="1:9" ht="19.8" customHeight="1" x14ac:dyDescent="0.3">
      <c r="A166" s="155">
        <v>45994</v>
      </c>
      <c r="B166" s="85" t="s">
        <v>54</v>
      </c>
      <c r="C166" s="86" t="s">
        <v>71</v>
      </c>
      <c r="D166" s="85" t="s">
        <v>1</v>
      </c>
      <c r="E166" s="156">
        <v>1.9027777777777779</v>
      </c>
      <c r="F166" s="85" t="s">
        <v>56</v>
      </c>
      <c r="G166" s="87">
        <v>6</v>
      </c>
      <c r="H166" s="153">
        <v>449</v>
      </c>
      <c r="I166" s="2"/>
    </row>
    <row r="167" spans="1:9" ht="19.8" customHeight="1" x14ac:dyDescent="0.3">
      <c r="A167" s="155">
        <v>45994</v>
      </c>
      <c r="B167" s="85" t="s">
        <v>54</v>
      </c>
      <c r="C167" s="86" t="s">
        <v>68</v>
      </c>
      <c r="D167" s="85" t="s">
        <v>1</v>
      </c>
      <c r="E167" s="156">
        <v>1.256944444444444</v>
      </c>
      <c r="F167" s="85" t="s">
        <v>59</v>
      </c>
      <c r="G167" s="87">
        <v>7</v>
      </c>
      <c r="H167" s="153">
        <v>469</v>
      </c>
      <c r="I167" s="2"/>
    </row>
    <row r="168" spans="1:9" ht="19.8" customHeight="1" x14ac:dyDescent="0.3">
      <c r="A168" s="155">
        <v>45994</v>
      </c>
      <c r="B168" s="85" t="s">
        <v>54</v>
      </c>
      <c r="C168" s="86" t="s">
        <v>69</v>
      </c>
      <c r="D168" s="85" t="s">
        <v>1</v>
      </c>
      <c r="E168" s="156">
        <v>1.302083333333333</v>
      </c>
      <c r="F168" s="85" t="s">
        <v>59</v>
      </c>
      <c r="G168" s="87">
        <v>9</v>
      </c>
      <c r="H168" s="153">
        <v>469</v>
      </c>
      <c r="I168" s="2"/>
    </row>
    <row r="169" spans="1:9" ht="19.8" customHeight="1" x14ac:dyDescent="0.3">
      <c r="A169" s="155">
        <v>45994</v>
      </c>
      <c r="B169" s="85" t="s">
        <v>78</v>
      </c>
      <c r="C169" s="86" t="s">
        <v>90</v>
      </c>
      <c r="D169" s="85" t="s">
        <v>1</v>
      </c>
      <c r="E169" s="156">
        <v>1.788194444444444</v>
      </c>
      <c r="F169" s="85" t="s">
        <v>80</v>
      </c>
      <c r="G169" s="87">
        <v>4</v>
      </c>
      <c r="H169" s="153">
        <v>499</v>
      </c>
      <c r="I169" s="2"/>
    </row>
    <row r="170" spans="1:9" ht="19.8" customHeight="1" x14ac:dyDescent="0.3">
      <c r="A170" s="155">
        <v>45994</v>
      </c>
      <c r="B170" s="85" t="s">
        <v>78</v>
      </c>
      <c r="C170" s="86" t="s">
        <v>79</v>
      </c>
      <c r="D170" s="85" t="s">
        <v>1</v>
      </c>
      <c r="E170" s="156">
        <v>1.1284722222222221</v>
      </c>
      <c r="F170" s="85" t="s">
        <v>83</v>
      </c>
      <c r="G170" s="87">
        <v>10</v>
      </c>
      <c r="H170" s="153">
        <v>509</v>
      </c>
      <c r="I170" s="2"/>
    </row>
    <row r="171" spans="1:9" ht="19.8" customHeight="1" x14ac:dyDescent="0.3">
      <c r="A171" s="155">
        <v>45994</v>
      </c>
      <c r="B171" s="85" t="s">
        <v>78</v>
      </c>
      <c r="C171" s="86" t="s">
        <v>87</v>
      </c>
      <c r="D171" s="85" t="s">
        <v>1</v>
      </c>
      <c r="E171" s="156">
        <v>1.302083333333333</v>
      </c>
      <c r="F171" s="85" t="s">
        <v>83</v>
      </c>
      <c r="G171" s="87">
        <v>1</v>
      </c>
      <c r="H171" s="153">
        <v>509</v>
      </c>
      <c r="I171" s="2"/>
    </row>
    <row r="172" spans="1:9" ht="19.8" customHeight="1" x14ac:dyDescent="0.3">
      <c r="A172" s="155">
        <v>45994</v>
      </c>
      <c r="B172" s="85" t="s">
        <v>54</v>
      </c>
      <c r="C172" s="86" t="s">
        <v>63</v>
      </c>
      <c r="D172" s="85" t="s">
        <v>1</v>
      </c>
      <c r="E172" s="156">
        <v>1.854166666666667</v>
      </c>
      <c r="F172" s="85" t="s">
        <v>59</v>
      </c>
      <c r="G172" s="87">
        <v>9</v>
      </c>
      <c r="H172" s="153">
        <v>509</v>
      </c>
      <c r="I172" s="2"/>
    </row>
    <row r="173" spans="1:9" ht="19.8" customHeight="1" x14ac:dyDescent="0.3">
      <c r="A173" s="155">
        <v>45994</v>
      </c>
      <c r="B173" s="85" t="s">
        <v>54</v>
      </c>
      <c r="C173" s="86" t="s">
        <v>70</v>
      </c>
      <c r="D173" s="85" t="s">
        <v>1</v>
      </c>
      <c r="E173" s="156">
        <v>1.5173611111111109</v>
      </c>
      <c r="F173" s="85" t="s">
        <v>59</v>
      </c>
      <c r="G173" s="87">
        <v>9</v>
      </c>
      <c r="H173" s="153">
        <v>509</v>
      </c>
      <c r="I173" s="2"/>
    </row>
    <row r="174" spans="1:9" ht="19.8" customHeight="1" x14ac:dyDescent="0.3">
      <c r="A174" s="155">
        <v>45994</v>
      </c>
      <c r="B174" s="85" t="s">
        <v>54</v>
      </c>
      <c r="C174" s="86" t="s">
        <v>72</v>
      </c>
      <c r="D174" s="85" t="s">
        <v>1</v>
      </c>
      <c r="E174" s="156">
        <v>1.7986111111111109</v>
      </c>
      <c r="F174" s="85" t="s">
        <v>59</v>
      </c>
      <c r="G174" s="87">
        <v>3</v>
      </c>
      <c r="H174" s="153">
        <v>509</v>
      </c>
      <c r="I174" s="2"/>
    </row>
    <row r="175" spans="1:9" ht="19.8" customHeight="1" x14ac:dyDescent="0.3">
      <c r="A175" s="155">
        <v>45994</v>
      </c>
      <c r="B175" s="85" t="s">
        <v>54</v>
      </c>
      <c r="C175" s="86" t="s">
        <v>55</v>
      </c>
      <c r="D175" s="85" t="s">
        <v>1</v>
      </c>
      <c r="E175" s="156">
        <v>1.395833333333333</v>
      </c>
      <c r="F175" s="85" t="s">
        <v>59</v>
      </c>
      <c r="G175" s="87">
        <v>9</v>
      </c>
      <c r="H175" s="153">
        <v>509</v>
      </c>
      <c r="I175" s="2"/>
    </row>
    <row r="176" spans="1:9" ht="19.8" customHeight="1" x14ac:dyDescent="0.3">
      <c r="A176" s="155">
        <v>45994</v>
      </c>
      <c r="B176" s="85" t="s">
        <v>54</v>
      </c>
      <c r="C176" s="86" t="s">
        <v>74</v>
      </c>
      <c r="D176" s="85" t="s">
        <v>1</v>
      </c>
      <c r="E176" s="156">
        <v>1.645833333333333</v>
      </c>
      <c r="F176" s="85" t="s">
        <v>59</v>
      </c>
      <c r="G176" s="87">
        <v>8</v>
      </c>
      <c r="H176" s="153">
        <v>509</v>
      </c>
      <c r="I176" s="2"/>
    </row>
    <row r="177" spans="1:9" ht="19.8" customHeight="1" x14ac:dyDescent="0.3">
      <c r="A177" s="157">
        <v>45994</v>
      </c>
      <c r="B177" s="89" t="s">
        <v>110</v>
      </c>
      <c r="C177" s="90" t="s">
        <v>118</v>
      </c>
      <c r="D177" s="89" t="s">
        <v>1</v>
      </c>
      <c r="E177" s="158">
        <v>1.614583333333333</v>
      </c>
      <c r="F177" s="89" t="s">
        <v>112</v>
      </c>
      <c r="G177" s="91">
        <v>9</v>
      </c>
      <c r="H177" s="154">
        <v>526</v>
      </c>
      <c r="I177" s="2"/>
    </row>
    <row r="178" spans="1:9" ht="19.8" customHeight="1" x14ac:dyDescent="0.3">
      <c r="A178" s="157">
        <v>45994</v>
      </c>
      <c r="B178" s="89" t="s">
        <v>110</v>
      </c>
      <c r="C178" s="90" t="s">
        <v>131</v>
      </c>
      <c r="D178" s="89" t="s">
        <v>1</v>
      </c>
      <c r="E178" s="158">
        <v>1.5173611111111109</v>
      </c>
      <c r="F178" s="89" t="s">
        <v>112</v>
      </c>
      <c r="G178" s="91">
        <v>9</v>
      </c>
      <c r="H178" s="154">
        <v>526</v>
      </c>
      <c r="I178" s="2"/>
    </row>
    <row r="179" spans="1:9" ht="19.8" customHeight="1" x14ac:dyDescent="0.3">
      <c r="A179" s="155">
        <v>45994</v>
      </c>
      <c r="B179" s="85" t="s">
        <v>54</v>
      </c>
      <c r="C179" s="86" t="s">
        <v>71</v>
      </c>
      <c r="D179" s="85" t="s">
        <v>1</v>
      </c>
      <c r="E179" s="156">
        <v>1.9027777777777779</v>
      </c>
      <c r="F179" s="85" t="s">
        <v>59</v>
      </c>
      <c r="G179" s="87">
        <v>6</v>
      </c>
      <c r="H179" s="153">
        <v>549</v>
      </c>
      <c r="I179" s="2"/>
    </row>
    <row r="180" spans="1:9" ht="19.8" customHeight="1" x14ac:dyDescent="0.3">
      <c r="A180" s="155">
        <v>45994</v>
      </c>
      <c r="B180" s="85" t="s">
        <v>102</v>
      </c>
      <c r="C180" s="86" t="s">
        <v>107</v>
      </c>
      <c r="D180" s="85" t="s">
        <v>1</v>
      </c>
      <c r="E180" s="156">
        <v>1.3923611111111109</v>
      </c>
      <c r="F180" s="85" t="s">
        <v>85</v>
      </c>
      <c r="G180" s="87">
        <v>9</v>
      </c>
      <c r="H180" s="153">
        <v>559</v>
      </c>
      <c r="I180" s="2"/>
    </row>
    <row r="181" spans="1:9" ht="19.8" customHeight="1" x14ac:dyDescent="0.3">
      <c r="A181" s="155">
        <v>45994</v>
      </c>
      <c r="B181" s="85" t="s">
        <v>54</v>
      </c>
      <c r="C181" s="86" t="s">
        <v>68</v>
      </c>
      <c r="D181" s="85" t="s">
        <v>1</v>
      </c>
      <c r="E181" s="156">
        <v>1.256944444444444</v>
      </c>
      <c r="F181" s="85" t="s">
        <v>61</v>
      </c>
      <c r="G181" s="87">
        <v>7</v>
      </c>
      <c r="H181" s="153">
        <v>559</v>
      </c>
      <c r="I181" s="2"/>
    </row>
    <row r="182" spans="1:9" ht="19.8" customHeight="1" x14ac:dyDescent="0.3">
      <c r="A182" s="155">
        <v>45994</v>
      </c>
      <c r="B182" s="85" t="s">
        <v>54</v>
      </c>
      <c r="C182" s="86" t="s">
        <v>69</v>
      </c>
      <c r="D182" s="85" t="s">
        <v>1</v>
      </c>
      <c r="E182" s="156">
        <v>1.302083333333333</v>
      </c>
      <c r="F182" s="85" t="s">
        <v>61</v>
      </c>
      <c r="G182" s="87">
        <v>9</v>
      </c>
      <c r="H182" s="153">
        <v>559</v>
      </c>
      <c r="I182" s="2"/>
    </row>
    <row r="183" spans="1:9" ht="19.8" customHeight="1" x14ac:dyDescent="0.3">
      <c r="A183" s="155">
        <v>45994</v>
      </c>
      <c r="B183" s="85" t="s">
        <v>78</v>
      </c>
      <c r="C183" s="86" t="s">
        <v>89</v>
      </c>
      <c r="D183" s="85" t="s">
        <v>1</v>
      </c>
      <c r="E183" s="156">
        <v>1.8888888888888891</v>
      </c>
      <c r="F183" s="85" t="s">
        <v>83</v>
      </c>
      <c r="G183" s="87">
        <v>1</v>
      </c>
      <c r="H183" s="153">
        <v>569</v>
      </c>
      <c r="I183" s="2"/>
    </row>
    <row r="184" spans="1:9" ht="19.8" customHeight="1" x14ac:dyDescent="0.3">
      <c r="A184" s="155">
        <v>45994</v>
      </c>
      <c r="B184" s="85" t="s">
        <v>136</v>
      </c>
      <c r="C184" s="86" t="s">
        <v>144</v>
      </c>
      <c r="D184" s="85" t="s">
        <v>1</v>
      </c>
      <c r="E184" s="156">
        <v>1.958333333333333</v>
      </c>
      <c r="F184" s="85" t="s">
        <v>138</v>
      </c>
      <c r="G184" s="87">
        <v>9</v>
      </c>
      <c r="H184" s="153">
        <v>579</v>
      </c>
      <c r="I184" s="2"/>
    </row>
    <row r="185" spans="1:9" ht="19.8" customHeight="1" x14ac:dyDescent="0.3">
      <c r="A185" s="155">
        <v>45994</v>
      </c>
      <c r="B185" s="85" t="s">
        <v>136</v>
      </c>
      <c r="C185" s="86" t="s">
        <v>149</v>
      </c>
      <c r="D185" s="85" t="s">
        <v>1</v>
      </c>
      <c r="E185" s="156">
        <v>1.0138888888888891</v>
      </c>
      <c r="F185" s="85" t="s">
        <v>138</v>
      </c>
      <c r="G185" s="87">
        <v>9</v>
      </c>
      <c r="H185" s="153">
        <v>579</v>
      </c>
      <c r="I185" s="2"/>
    </row>
    <row r="186" spans="1:9" ht="19.8" customHeight="1" x14ac:dyDescent="0.3">
      <c r="A186" s="155">
        <v>45994</v>
      </c>
      <c r="B186" s="85" t="s">
        <v>136</v>
      </c>
      <c r="C186" s="86" t="s">
        <v>140</v>
      </c>
      <c r="D186" s="85" t="s">
        <v>1</v>
      </c>
      <c r="E186" s="156">
        <v>1.145833333333333</v>
      </c>
      <c r="F186" s="85" t="s">
        <v>138</v>
      </c>
      <c r="G186" s="87">
        <v>9</v>
      </c>
      <c r="H186" s="153">
        <v>579</v>
      </c>
      <c r="I186" s="2"/>
    </row>
    <row r="187" spans="1:9" ht="19.8" customHeight="1" x14ac:dyDescent="0.3">
      <c r="A187" s="155">
        <v>45994</v>
      </c>
      <c r="B187" s="85" t="s">
        <v>136</v>
      </c>
      <c r="C187" s="86" t="s">
        <v>141</v>
      </c>
      <c r="D187" s="85" t="s">
        <v>1</v>
      </c>
      <c r="E187" s="156">
        <v>1.2777777777777779</v>
      </c>
      <c r="F187" s="85" t="s">
        <v>138</v>
      </c>
      <c r="G187" s="87">
        <v>9</v>
      </c>
      <c r="H187" s="153">
        <v>579</v>
      </c>
      <c r="I187" s="2"/>
    </row>
    <row r="188" spans="1:9" ht="19.8" customHeight="1" x14ac:dyDescent="0.3">
      <c r="A188" s="155">
        <v>45994</v>
      </c>
      <c r="B188" s="85" t="s">
        <v>136</v>
      </c>
      <c r="C188" s="86" t="s">
        <v>142</v>
      </c>
      <c r="D188" s="85" t="s">
        <v>1</v>
      </c>
      <c r="E188" s="156">
        <v>1.4861111111111109</v>
      </c>
      <c r="F188" s="85" t="s">
        <v>138</v>
      </c>
      <c r="G188" s="87">
        <v>9</v>
      </c>
      <c r="H188" s="153">
        <v>579</v>
      </c>
      <c r="I188" s="2"/>
    </row>
    <row r="189" spans="1:9" ht="19.8" customHeight="1" x14ac:dyDescent="0.3">
      <c r="A189" s="155">
        <v>45994</v>
      </c>
      <c r="B189" s="85" t="s">
        <v>136</v>
      </c>
      <c r="C189" s="86" t="s">
        <v>143</v>
      </c>
      <c r="D189" s="85" t="s">
        <v>1</v>
      </c>
      <c r="E189" s="156">
        <v>1.5138888888888891</v>
      </c>
      <c r="F189" s="85" t="s">
        <v>138</v>
      </c>
      <c r="G189" s="87">
        <v>9</v>
      </c>
      <c r="H189" s="153">
        <v>579</v>
      </c>
      <c r="I189" s="2"/>
    </row>
    <row r="190" spans="1:9" ht="19.8" customHeight="1" x14ac:dyDescent="0.3">
      <c r="A190" s="155">
        <v>45994</v>
      </c>
      <c r="B190" s="85" t="s">
        <v>54</v>
      </c>
      <c r="C190" s="86" t="s">
        <v>63</v>
      </c>
      <c r="D190" s="85" t="s">
        <v>1</v>
      </c>
      <c r="E190" s="156">
        <v>1.854166666666667</v>
      </c>
      <c r="F190" s="85" t="s">
        <v>61</v>
      </c>
      <c r="G190" s="87">
        <v>9</v>
      </c>
      <c r="H190" s="153">
        <v>599</v>
      </c>
      <c r="I190" s="2"/>
    </row>
    <row r="191" spans="1:9" ht="19.8" customHeight="1" x14ac:dyDescent="0.3">
      <c r="A191" s="155">
        <v>45994</v>
      </c>
      <c r="B191" s="85" t="s">
        <v>54</v>
      </c>
      <c r="C191" s="86" t="s">
        <v>70</v>
      </c>
      <c r="D191" s="85" t="s">
        <v>1</v>
      </c>
      <c r="E191" s="156">
        <v>1.5173611111111109</v>
      </c>
      <c r="F191" s="85" t="s">
        <v>61</v>
      </c>
      <c r="G191" s="87">
        <v>9</v>
      </c>
      <c r="H191" s="153">
        <v>599</v>
      </c>
      <c r="I191" s="2"/>
    </row>
    <row r="192" spans="1:9" ht="19.8" customHeight="1" x14ac:dyDescent="0.3">
      <c r="A192" s="155">
        <v>45994</v>
      </c>
      <c r="B192" s="85" t="s">
        <v>54</v>
      </c>
      <c r="C192" s="86" t="s">
        <v>72</v>
      </c>
      <c r="D192" s="85" t="s">
        <v>1</v>
      </c>
      <c r="E192" s="156">
        <v>1.7986111111111109</v>
      </c>
      <c r="F192" s="85" t="s">
        <v>61</v>
      </c>
      <c r="G192" s="87">
        <v>3</v>
      </c>
      <c r="H192" s="153">
        <v>599</v>
      </c>
      <c r="I192" s="2"/>
    </row>
    <row r="193" spans="1:9" ht="19.8" customHeight="1" x14ac:dyDescent="0.3">
      <c r="A193" s="155">
        <v>45994</v>
      </c>
      <c r="B193" s="85" t="s">
        <v>54</v>
      </c>
      <c r="C193" s="86" t="s">
        <v>55</v>
      </c>
      <c r="D193" s="85" t="s">
        <v>1</v>
      </c>
      <c r="E193" s="156">
        <v>1.395833333333333</v>
      </c>
      <c r="F193" s="85" t="s">
        <v>61</v>
      </c>
      <c r="G193" s="87">
        <v>9</v>
      </c>
      <c r="H193" s="153">
        <v>599</v>
      </c>
      <c r="I193" s="2"/>
    </row>
    <row r="194" spans="1:9" ht="19.8" customHeight="1" x14ac:dyDescent="0.3">
      <c r="A194" s="155">
        <v>45994</v>
      </c>
      <c r="B194" s="85" t="s">
        <v>54</v>
      </c>
      <c r="C194" s="86" t="s">
        <v>74</v>
      </c>
      <c r="D194" s="85" t="s">
        <v>1</v>
      </c>
      <c r="E194" s="156">
        <v>1.645833333333333</v>
      </c>
      <c r="F194" s="85" t="s">
        <v>61</v>
      </c>
      <c r="G194" s="87">
        <v>8</v>
      </c>
      <c r="H194" s="153">
        <v>599</v>
      </c>
      <c r="I194" s="2"/>
    </row>
    <row r="195" spans="1:9" ht="19.8" customHeight="1" x14ac:dyDescent="0.3">
      <c r="A195" s="155">
        <v>45994</v>
      </c>
      <c r="B195" s="85" t="s">
        <v>54</v>
      </c>
      <c r="C195" s="86" t="s">
        <v>71</v>
      </c>
      <c r="D195" s="85" t="s">
        <v>1</v>
      </c>
      <c r="E195" s="156">
        <v>1.9027777777777779</v>
      </c>
      <c r="F195" s="85" t="s">
        <v>61</v>
      </c>
      <c r="G195" s="87">
        <v>6</v>
      </c>
      <c r="H195" s="153">
        <v>639</v>
      </c>
      <c r="I195" s="2"/>
    </row>
    <row r="196" spans="1:9" ht="19.8" customHeight="1" x14ac:dyDescent="0.3">
      <c r="A196" s="155">
        <v>45994</v>
      </c>
      <c r="B196" s="85" t="s">
        <v>93</v>
      </c>
      <c r="C196" s="86" t="s">
        <v>94</v>
      </c>
      <c r="D196" s="85" t="s">
        <v>1</v>
      </c>
      <c r="E196" s="156">
        <v>1.8611111111111109</v>
      </c>
      <c r="F196" s="85" t="s">
        <v>95</v>
      </c>
      <c r="G196" s="87">
        <v>5</v>
      </c>
      <c r="H196" s="153">
        <v>645</v>
      </c>
      <c r="I196" s="2"/>
    </row>
    <row r="197" spans="1:9" ht="19.8" customHeight="1" x14ac:dyDescent="0.3">
      <c r="A197" s="155">
        <v>45994</v>
      </c>
      <c r="B197" s="85" t="s">
        <v>78</v>
      </c>
      <c r="C197" s="86" t="s">
        <v>90</v>
      </c>
      <c r="D197" s="85" t="s">
        <v>1</v>
      </c>
      <c r="E197" s="156">
        <v>1.788194444444444</v>
      </c>
      <c r="F197" s="85" t="s">
        <v>83</v>
      </c>
      <c r="G197" s="87">
        <v>4</v>
      </c>
      <c r="H197" s="153">
        <v>649</v>
      </c>
      <c r="I197" s="2"/>
    </row>
    <row r="198" spans="1:9" ht="19.8" customHeight="1" x14ac:dyDescent="0.3">
      <c r="A198" s="155">
        <v>45994</v>
      </c>
      <c r="B198" s="85" t="s">
        <v>26</v>
      </c>
      <c r="C198" s="86" t="s">
        <v>46</v>
      </c>
      <c r="D198" s="85" t="s">
        <v>1</v>
      </c>
      <c r="E198" s="156">
        <v>1.006944444444444</v>
      </c>
      <c r="F198" s="85" t="s">
        <v>31</v>
      </c>
      <c r="G198" s="87">
        <v>9</v>
      </c>
      <c r="H198" s="153">
        <v>678</v>
      </c>
      <c r="I198" s="2"/>
    </row>
    <row r="199" spans="1:9" ht="19.8" customHeight="1" x14ac:dyDescent="0.3">
      <c r="A199" s="155">
        <v>45994</v>
      </c>
      <c r="B199" s="85" t="s">
        <v>26</v>
      </c>
      <c r="C199" s="86" t="s">
        <v>49</v>
      </c>
      <c r="D199" s="85" t="s">
        <v>1</v>
      </c>
      <c r="E199" s="156">
        <v>1.1423611111111109</v>
      </c>
      <c r="F199" s="85" t="s">
        <v>31</v>
      </c>
      <c r="G199" s="87">
        <v>9</v>
      </c>
      <c r="H199" s="153">
        <v>678</v>
      </c>
      <c r="I199" s="2"/>
    </row>
    <row r="200" spans="1:9" ht="19.8" customHeight="1" x14ac:dyDescent="0.3">
      <c r="A200" s="155">
        <v>45994</v>
      </c>
      <c r="B200" s="85" t="s">
        <v>26</v>
      </c>
      <c r="C200" s="86" t="s">
        <v>35</v>
      </c>
      <c r="D200" s="85" t="s">
        <v>1</v>
      </c>
      <c r="E200" s="156">
        <v>1.3784722222222221</v>
      </c>
      <c r="F200" s="85" t="s">
        <v>31</v>
      </c>
      <c r="G200" s="87">
        <v>9</v>
      </c>
      <c r="H200" s="153">
        <v>678</v>
      </c>
      <c r="I200" s="2"/>
    </row>
    <row r="201" spans="1:9" ht="19.8" customHeight="1" x14ac:dyDescent="0.3">
      <c r="A201" s="155">
        <v>45994</v>
      </c>
      <c r="B201" s="85" t="s">
        <v>26</v>
      </c>
      <c r="C201" s="86" t="s">
        <v>40</v>
      </c>
      <c r="D201" s="85" t="s">
        <v>1</v>
      </c>
      <c r="E201" s="156">
        <v>1.239583333333333</v>
      </c>
      <c r="F201" s="85" t="s">
        <v>31</v>
      </c>
      <c r="G201" s="87">
        <v>9</v>
      </c>
      <c r="H201" s="153">
        <v>678</v>
      </c>
      <c r="I201" s="2"/>
    </row>
    <row r="202" spans="1:9" ht="19.8" customHeight="1" x14ac:dyDescent="0.3">
      <c r="A202" s="155">
        <v>45994</v>
      </c>
      <c r="B202" s="85" t="s">
        <v>26</v>
      </c>
      <c r="C202" s="86" t="s">
        <v>46</v>
      </c>
      <c r="D202" s="85" t="s">
        <v>1</v>
      </c>
      <c r="E202" s="156">
        <v>1.006944444444444</v>
      </c>
      <c r="F202" s="85" t="s">
        <v>33</v>
      </c>
      <c r="G202" s="87">
        <v>9</v>
      </c>
      <c r="H202" s="153">
        <v>723</v>
      </c>
      <c r="I202" s="2"/>
    </row>
    <row r="203" spans="1:9" ht="19.8" customHeight="1" x14ac:dyDescent="0.3">
      <c r="A203" s="155">
        <v>45994</v>
      </c>
      <c r="B203" s="85" t="s">
        <v>26</v>
      </c>
      <c r="C203" s="86" t="s">
        <v>49</v>
      </c>
      <c r="D203" s="85" t="s">
        <v>1</v>
      </c>
      <c r="E203" s="156">
        <v>1.1423611111111109</v>
      </c>
      <c r="F203" s="85" t="s">
        <v>33</v>
      </c>
      <c r="G203" s="87">
        <v>9</v>
      </c>
      <c r="H203" s="153">
        <v>723</v>
      </c>
      <c r="I203" s="2"/>
    </row>
    <row r="204" spans="1:9" ht="19.8" customHeight="1" x14ac:dyDescent="0.3">
      <c r="A204" s="155">
        <v>45994</v>
      </c>
      <c r="B204" s="85" t="s">
        <v>26</v>
      </c>
      <c r="C204" s="86" t="s">
        <v>35</v>
      </c>
      <c r="D204" s="85" t="s">
        <v>1</v>
      </c>
      <c r="E204" s="156">
        <v>1.3784722222222221</v>
      </c>
      <c r="F204" s="85" t="s">
        <v>33</v>
      </c>
      <c r="G204" s="87">
        <v>9</v>
      </c>
      <c r="H204" s="153">
        <v>723</v>
      </c>
      <c r="I204" s="2"/>
    </row>
    <row r="205" spans="1:9" ht="19.8" customHeight="1" x14ac:dyDescent="0.3">
      <c r="A205" s="155">
        <v>45994</v>
      </c>
      <c r="B205" s="85" t="s">
        <v>26</v>
      </c>
      <c r="C205" s="86" t="s">
        <v>40</v>
      </c>
      <c r="D205" s="85" t="s">
        <v>1</v>
      </c>
      <c r="E205" s="156">
        <v>1.239583333333333</v>
      </c>
      <c r="F205" s="85" t="s">
        <v>33</v>
      </c>
      <c r="G205" s="87">
        <v>9</v>
      </c>
      <c r="H205" s="153">
        <v>723</v>
      </c>
      <c r="I205" s="2"/>
    </row>
    <row r="206" spans="1:9" ht="19.8" customHeight="1" x14ac:dyDescent="0.3">
      <c r="A206" s="155">
        <v>45994</v>
      </c>
      <c r="B206" s="85" t="s">
        <v>136</v>
      </c>
      <c r="C206" s="86" t="s">
        <v>147</v>
      </c>
      <c r="D206" s="85" t="s">
        <v>1</v>
      </c>
      <c r="E206" s="156">
        <v>1.770833333333333</v>
      </c>
      <c r="F206" s="85" t="s">
        <v>145</v>
      </c>
      <c r="G206" s="87">
        <v>9</v>
      </c>
      <c r="H206" s="153">
        <v>795</v>
      </c>
      <c r="I206" s="2"/>
    </row>
    <row r="207" spans="1:9" ht="19.8" customHeight="1" x14ac:dyDescent="0.3">
      <c r="A207" s="155">
        <v>45994</v>
      </c>
      <c r="B207" s="85" t="s">
        <v>26</v>
      </c>
      <c r="C207" s="86" t="s">
        <v>51</v>
      </c>
      <c r="D207" s="85" t="s">
        <v>1</v>
      </c>
      <c r="E207" s="156">
        <v>1.8298611111111109</v>
      </c>
      <c r="F207" s="85" t="s">
        <v>31</v>
      </c>
      <c r="G207" s="87">
        <v>9</v>
      </c>
      <c r="H207" s="153">
        <v>935</v>
      </c>
      <c r="I207" s="2"/>
    </row>
    <row r="208" spans="1:9" ht="19.8" customHeight="1" x14ac:dyDescent="0.3">
      <c r="A208" s="155">
        <v>45994</v>
      </c>
      <c r="B208" s="85" t="s">
        <v>26</v>
      </c>
      <c r="C208" s="86" t="s">
        <v>39</v>
      </c>
      <c r="D208" s="85" t="s">
        <v>1</v>
      </c>
      <c r="E208" s="156">
        <v>1.6111111111111109</v>
      </c>
      <c r="F208" s="85" t="s">
        <v>31</v>
      </c>
      <c r="G208" s="87">
        <v>9</v>
      </c>
      <c r="H208" s="153">
        <v>935</v>
      </c>
      <c r="I208" s="2"/>
    </row>
    <row r="209" spans="1:9" ht="19.8" customHeight="1" x14ac:dyDescent="0.3">
      <c r="A209" s="155">
        <v>45994</v>
      </c>
      <c r="B209" s="85" t="s">
        <v>26</v>
      </c>
      <c r="C209" s="86" t="s">
        <v>51</v>
      </c>
      <c r="D209" s="85" t="s">
        <v>1</v>
      </c>
      <c r="E209" s="156">
        <v>1.8298611111111109</v>
      </c>
      <c r="F209" s="85" t="s">
        <v>33</v>
      </c>
      <c r="G209" s="87">
        <v>9</v>
      </c>
      <c r="H209" s="153">
        <v>980</v>
      </c>
      <c r="I209" s="2"/>
    </row>
    <row r="210" spans="1:9" ht="19.8" customHeight="1" x14ac:dyDescent="0.3">
      <c r="A210" s="155">
        <v>45994</v>
      </c>
      <c r="B210" s="85" t="s">
        <v>26</v>
      </c>
      <c r="C210" s="86" t="s">
        <v>39</v>
      </c>
      <c r="D210" s="85" t="s">
        <v>1</v>
      </c>
      <c r="E210" s="156">
        <v>1.6111111111111109</v>
      </c>
      <c r="F210" s="85" t="s">
        <v>33</v>
      </c>
      <c r="G210" s="87">
        <v>9</v>
      </c>
      <c r="H210" s="153">
        <v>980</v>
      </c>
      <c r="I210" s="2"/>
    </row>
    <row r="211" spans="1:9" ht="19.8" customHeight="1" x14ac:dyDescent="0.3">
      <c r="A211" s="155">
        <v>45994</v>
      </c>
      <c r="B211" s="85" t="s">
        <v>78</v>
      </c>
      <c r="C211" s="86" t="s">
        <v>79</v>
      </c>
      <c r="D211" s="85" t="s">
        <v>1</v>
      </c>
      <c r="E211" s="156">
        <v>1.1284722222222221</v>
      </c>
      <c r="F211" s="85" t="s">
        <v>85</v>
      </c>
      <c r="G211" s="87">
        <v>10</v>
      </c>
      <c r="H211" s="92" t="s">
        <v>86</v>
      </c>
      <c r="I211" s="2"/>
    </row>
    <row r="212" spans="1:9" ht="19.8" customHeight="1" x14ac:dyDescent="0.3">
      <c r="A212" s="155">
        <v>45994</v>
      </c>
      <c r="B212" s="85" t="s">
        <v>78</v>
      </c>
      <c r="C212" s="86" t="s">
        <v>87</v>
      </c>
      <c r="D212" s="85" t="s">
        <v>1</v>
      </c>
      <c r="E212" s="156">
        <v>1.302083333333333</v>
      </c>
      <c r="F212" s="85" t="s">
        <v>85</v>
      </c>
      <c r="G212" s="87">
        <v>1</v>
      </c>
      <c r="H212" s="92" t="s">
        <v>86</v>
      </c>
      <c r="I212" s="2"/>
    </row>
    <row r="213" spans="1:9" ht="19.8" customHeight="1" x14ac:dyDescent="0.3">
      <c r="A213" s="155">
        <v>45994</v>
      </c>
      <c r="B213" s="85" t="s">
        <v>78</v>
      </c>
      <c r="C213" s="86" t="s">
        <v>89</v>
      </c>
      <c r="D213" s="85" t="s">
        <v>1</v>
      </c>
      <c r="E213" s="156">
        <v>1.8888888888888891</v>
      </c>
      <c r="F213" s="85" t="s">
        <v>85</v>
      </c>
      <c r="G213" s="87">
        <v>1</v>
      </c>
      <c r="H213" s="92" t="s">
        <v>86</v>
      </c>
      <c r="I213" s="2"/>
    </row>
    <row r="214" spans="1:9" ht="19.8" customHeight="1" x14ac:dyDescent="0.3">
      <c r="A214" s="155">
        <v>45994</v>
      </c>
      <c r="B214" s="85" t="s">
        <v>78</v>
      </c>
      <c r="C214" s="86" t="s">
        <v>90</v>
      </c>
      <c r="D214" s="85" t="s">
        <v>1</v>
      </c>
      <c r="E214" s="156">
        <v>1.788194444444444</v>
      </c>
      <c r="F214" s="85" t="s">
        <v>85</v>
      </c>
      <c r="G214" s="87">
        <v>4</v>
      </c>
      <c r="H214" s="92" t="s">
        <v>86</v>
      </c>
      <c r="I214" s="2"/>
    </row>
    <row r="215" spans="1:9" ht="19.8" customHeight="1" x14ac:dyDescent="0.3">
      <c r="A215" s="155">
        <v>45994</v>
      </c>
      <c r="B215" s="85" t="s">
        <v>26</v>
      </c>
      <c r="C215" s="86" t="s">
        <v>45</v>
      </c>
      <c r="D215" s="85" t="s">
        <v>1</v>
      </c>
      <c r="E215" s="156">
        <v>1.1284722222222221</v>
      </c>
      <c r="F215" s="85" t="s">
        <v>33</v>
      </c>
      <c r="G215" s="87">
        <v>4</v>
      </c>
      <c r="H215" s="92" t="s">
        <v>174</v>
      </c>
      <c r="I215" s="2"/>
    </row>
    <row r="216" spans="1:9" ht="19.8" customHeight="1" x14ac:dyDescent="0.3">
      <c r="A216" s="157">
        <v>45994</v>
      </c>
      <c r="B216" s="89" t="s">
        <v>110</v>
      </c>
      <c r="C216" s="90" t="s">
        <v>111</v>
      </c>
      <c r="D216" s="89" t="s">
        <v>1</v>
      </c>
      <c r="E216" s="158">
        <v>1.520833333333333</v>
      </c>
      <c r="F216" s="89" t="s">
        <v>112</v>
      </c>
      <c r="G216" s="91">
        <v>9</v>
      </c>
      <c r="H216" s="97" t="s">
        <v>186</v>
      </c>
      <c r="I216" s="2"/>
    </row>
    <row r="217" spans="1:9" ht="19.8" customHeight="1" x14ac:dyDescent="0.3">
      <c r="A217" s="155">
        <v>45994</v>
      </c>
      <c r="B217" s="85" t="s">
        <v>26</v>
      </c>
      <c r="C217" s="86" t="s">
        <v>44</v>
      </c>
      <c r="D217" s="85" t="s">
        <v>1</v>
      </c>
      <c r="E217" s="156">
        <v>1.302083333333333</v>
      </c>
      <c r="F217" s="85" t="s">
        <v>33</v>
      </c>
      <c r="G217" s="87">
        <v>4</v>
      </c>
      <c r="H217" s="92" t="s">
        <v>43</v>
      </c>
      <c r="I217" s="2"/>
    </row>
    <row r="218" spans="1:9" ht="19.8" customHeight="1" x14ac:dyDescent="0.3">
      <c r="A218" s="155">
        <v>45994</v>
      </c>
      <c r="B218" s="85" t="s">
        <v>26</v>
      </c>
      <c r="C218" s="86" t="s">
        <v>27</v>
      </c>
      <c r="D218" s="85" t="s">
        <v>1</v>
      </c>
      <c r="E218" s="156">
        <v>1.930555555555556</v>
      </c>
      <c r="F218" s="85" t="s">
        <v>31</v>
      </c>
      <c r="G218" s="87">
        <v>9</v>
      </c>
      <c r="H218" s="92" t="s">
        <v>47</v>
      </c>
      <c r="I218" s="2"/>
    </row>
    <row r="219" spans="1:9" ht="19.8" customHeight="1" x14ac:dyDescent="0.3">
      <c r="A219" s="155">
        <v>45994</v>
      </c>
      <c r="B219" s="85" t="s">
        <v>26</v>
      </c>
      <c r="C219" s="86" t="s">
        <v>50</v>
      </c>
      <c r="D219" s="85" t="s">
        <v>1</v>
      </c>
      <c r="E219" s="156">
        <v>1.71875</v>
      </c>
      <c r="F219" s="85" t="s">
        <v>31</v>
      </c>
      <c r="G219" s="87">
        <v>9</v>
      </c>
      <c r="H219" s="92" t="s">
        <v>47</v>
      </c>
      <c r="I219" s="2"/>
    </row>
    <row r="220" spans="1:9" ht="19.8" customHeight="1" x14ac:dyDescent="0.3">
      <c r="A220" s="155">
        <v>45994</v>
      </c>
      <c r="B220" s="85" t="s">
        <v>26</v>
      </c>
      <c r="C220" s="86" t="s">
        <v>27</v>
      </c>
      <c r="D220" s="85" t="s">
        <v>1</v>
      </c>
      <c r="E220" s="156">
        <v>1.930555555555556</v>
      </c>
      <c r="F220" s="85" t="s">
        <v>33</v>
      </c>
      <c r="G220" s="87">
        <v>9</v>
      </c>
      <c r="H220" s="92" t="s">
        <v>48</v>
      </c>
      <c r="I220" s="2"/>
    </row>
    <row r="221" spans="1:9" ht="19.8" customHeight="1" x14ac:dyDescent="0.3">
      <c r="A221" s="155">
        <v>45994</v>
      </c>
      <c r="B221" s="85" t="s">
        <v>26</v>
      </c>
      <c r="C221" s="86" t="s">
        <v>50</v>
      </c>
      <c r="D221" s="85" t="s">
        <v>1</v>
      </c>
      <c r="E221" s="156">
        <v>1.71875</v>
      </c>
      <c r="F221" s="85" t="s">
        <v>33</v>
      </c>
      <c r="G221" s="87">
        <v>9</v>
      </c>
      <c r="H221" s="92" t="s">
        <v>48</v>
      </c>
      <c r="I221" s="2"/>
    </row>
    <row r="222" spans="1:9" ht="19.8" customHeight="1" x14ac:dyDescent="0.3">
      <c r="A222" s="155">
        <v>45994</v>
      </c>
      <c r="B222" s="85" t="s">
        <v>26</v>
      </c>
      <c r="C222" s="86" t="s">
        <v>41</v>
      </c>
      <c r="D222" s="85" t="s">
        <v>1</v>
      </c>
      <c r="E222" s="156">
        <v>1.8888888888888891</v>
      </c>
      <c r="F222" s="85" t="s">
        <v>33</v>
      </c>
      <c r="G222" s="87">
        <v>4</v>
      </c>
      <c r="H222" s="92" t="s">
        <v>175</v>
      </c>
      <c r="I222" s="2"/>
    </row>
    <row r="223" spans="1:9" ht="19.8" customHeight="1" x14ac:dyDescent="0.3">
      <c r="A223" s="159">
        <v>45994</v>
      </c>
      <c r="B223" s="93" t="s">
        <v>26</v>
      </c>
      <c r="C223" s="94" t="s">
        <v>52</v>
      </c>
      <c r="D223" s="93" t="s">
        <v>1</v>
      </c>
      <c r="E223" s="160">
        <v>1.788194444444444</v>
      </c>
      <c r="F223" s="93" t="s">
        <v>33</v>
      </c>
      <c r="G223" s="95">
        <v>4</v>
      </c>
      <c r="H223" s="96" t="s">
        <v>53</v>
      </c>
      <c r="I223" s="2"/>
    </row>
    <row r="224" spans="1:9" ht="19.8" customHeight="1" x14ac:dyDescent="0.3">
      <c r="A224" s="155">
        <v>45995</v>
      </c>
      <c r="B224" s="85" t="s">
        <v>54</v>
      </c>
      <c r="C224" s="86" t="s">
        <v>69</v>
      </c>
      <c r="D224" s="85" t="s">
        <v>1</v>
      </c>
      <c r="E224" s="156">
        <v>1.302083333333333</v>
      </c>
      <c r="F224" s="85" t="s">
        <v>190</v>
      </c>
      <c r="G224" s="87">
        <v>1</v>
      </c>
      <c r="H224" s="153">
        <v>329</v>
      </c>
      <c r="I224" s="2"/>
    </row>
    <row r="225" spans="1:9" ht="19.8" customHeight="1" x14ac:dyDescent="0.3">
      <c r="A225" s="155">
        <v>45995</v>
      </c>
      <c r="B225" s="85" t="s">
        <v>78</v>
      </c>
      <c r="C225" s="86" t="s">
        <v>79</v>
      </c>
      <c r="D225" s="85" t="s">
        <v>1</v>
      </c>
      <c r="E225" s="156">
        <v>1.1284722222222221</v>
      </c>
      <c r="F225" s="85" t="s">
        <v>80</v>
      </c>
      <c r="G225" s="87">
        <v>3</v>
      </c>
      <c r="H225" s="153">
        <v>359</v>
      </c>
      <c r="I225" s="2"/>
    </row>
    <row r="226" spans="1:9" ht="19.8" customHeight="1" x14ac:dyDescent="0.3">
      <c r="A226" s="155">
        <v>45995</v>
      </c>
      <c r="B226" s="85" t="s">
        <v>78</v>
      </c>
      <c r="C226" s="86" t="s">
        <v>87</v>
      </c>
      <c r="D226" s="85" t="s">
        <v>1</v>
      </c>
      <c r="E226" s="156">
        <v>1.302083333333333</v>
      </c>
      <c r="F226" s="85" t="s">
        <v>80</v>
      </c>
      <c r="G226" s="87">
        <v>4</v>
      </c>
      <c r="H226" s="153">
        <v>359</v>
      </c>
      <c r="I226" s="2"/>
    </row>
    <row r="227" spans="1:9" ht="19.8" customHeight="1" x14ac:dyDescent="0.3">
      <c r="A227" s="155">
        <v>45995</v>
      </c>
      <c r="B227" s="85" t="s">
        <v>102</v>
      </c>
      <c r="C227" s="86" t="s">
        <v>107</v>
      </c>
      <c r="D227" s="85" t="s">
        <v>1</v>
      </c>
      <c r="E227" s="156">
        <v>1.3298611111111109</v>
      </c>
      <c r="F227" s="85" t="s">
        <v>193</v>
      </c>
      <c r="G227" s="87">
        <v>9</v>
      </c>
      <c r="H227" s="153">
        <v>368</v>
      </c>
      <c r="I227" s="2"/>
    </row>
    <row r="228" spans="1:9" ht="19.8" customHeight="1" x14ac:dyDescent="0.3">
      <c r="A228" s="155">
        <v>45995</v>
      </c>
      <c r="B228" s="85" t="s">
        <v>54</v>
      </c>
      <c r="C228" s="86" t="s">
        <v>68</v>
      </c>
      <c r="D228" s="85" t="s">
        <v>1</v>
      </c>
      <c r="E228" s="156">
        <v>1.256944444444444</v>
      </c>
      <c r="F228" s="85" t="s">
        <v>190</v>
      </c>
      <c r="G228" s="87">
        <v>8</v>
      </c>
      <c r="H228" s="153">
        <v>369</v>
      </c>
      <c r="I228" s="2"/>
    </row>
    <row r="229" spans="1:9" ht="19.8" customHeight="1" x14ac:dyDescent="0.3">
      <c r="A229" s="155">
        <v>45995</v>
      </c>
      <c r="B229" s="85" t="s">
        <v>54</v>
      </c>
      <c r="C229" s="86" t="s">
        <v>70</v>
      </c>
      <c r="D229" s="85" t="s">
        <v>1</v>
      </c>
      <c r="E229" s="156">
        <v>1.5173611111111109</v>
      </c>
      <c r="F229" s="85" t="s">
        <v>190</v>
      </c>
      <c r="G229" s="87">
        <v>3</v>
      </c>
      <c r="H229" s="153">
        <v>369</v>
      </c>
      <c r="I229" s="2"/>
    </row>
    <row r="230" spans="1:9" ht="19.8" customHeight="1" x14ac:dyDescent="0.3">
      <c r="A230" s="155">
        <v>45995</v>
      </c>
      <c r="B230" s="85" t="s">
        <v>54</v>
      </c>
      <c r="C230" s="86" t="s">
        <v>71</v>
      </c>
      <c r="D230" s="85" t="s">
        <v>1</v>
      </c>
      <c r="E230" s="156">
        <v>1.9027777777777779</v>
      </c>
      <c r="F230" s="85" t="s">
        <v>190</v>
      </c>
      <c r="G230" s="87">
        <v>1</v>
      </c>
      <c r="H230" s="153">
        <v>369</v>
      </c>
      <c r="I230" s="2"/>
    </row>
    <row r="231" spans="1:9" ht="19.8" customHeight="1" x14ac:dyDescent="0.3">
      <c r="A231" s="155">
        <v>45995</v>
      </c>
      <c r="B231" s="85" t="s">
        <v>54</v>
      </c>
      <c r="C231" s="86" t="s">
        <v>55</v>
      </c>
      <c r="D231" s="85" t="s">
        <v>1</v>
      </c>
      <c r="E231" s="156">
        <v>1.395833333333333</v>
      </c>
      <c r="F231" s="85" t="s">
        <v>190</v>
      </c>
      <c r="G231" s="87">
        <v>9</v>
      </c>
      <c r="H231" s="153">
        <v>369</v>
      </c>
      <c r="I231" s="2"/>
    </row>
    <row r="232" spans="1:9" ht="19.8" customHeight="1" x14ac:dyDescent="0.3">
      <c r="A232" s="155">
        <v>45995</v>
      </c>
      <c r="B232" s="85" t="s">
        <v>78</v>
      </c>
      <c r="C232" s="86" t="s">
        <v>89</v>
      </c>
      <c r="D232" s="85" t="s">
        <v>1</v>
      </c>
      <c r="E232" s="156">
        <v>1.8888888888888891</v>
      </c>
      <c r="F232" s="85" t="s">
        <v>80</v>
      </c>
      <c r="G232" s="87">
        <v>2</v>
      </c>
      <c r="H232" s="153">
        <v>389</v>
      </c>
      <c r="I232" s="2"/>
    </row>
    <row r="233" spans="1:9" ht="19.8" customHeight="1" x14ac:dyDescent="0.3">
      <c r="A233" s="155">
        <v>45995</v>
      </c>
      <c r="B233" s="85" t="s">
        <v>93</v>
      </c>
      <c r="C233" s="86" t="s">
        <v>94</v>
      </c>
      <c r="D233" s="85" t="s">
        <v>1</v>
      </c>
      <c r="E233" s="156">
        <v>1.59375</v>
      </c>
      <c r="F233" s="85" t="s">
        <v>95</v>
      </c>
      <c r="G233" s="87">
        <v>3</v>
      </c>
      <c r="H233" s="153">
        <v>400</v>
      </c>
      <c r="I233" s="2"/>
    </row>
    <row r="234" spans="1:9" ht="19.8" customHeight="1" x14ac:dyDescent="0.3">
      <c r="A234" s="155">
        <v>45995</v>
      </c>
      <c r="B234" s="85" t="s">
        <v>93</v>
      </c>
      <c r="C234" s="86" t="s">
        <v>152</v>
      </c>
      <c r="D234" s="85" t="s">
        <v>1</v>
      </c>
      <c r="E234" s="156">
        <v>1.291666666666667</v>
      </c>
      <c r="F234" s="85" t="s">
        <v>95</v>
      </c>
      <c r="G234" s="87">
        <v>9</v>
      </c>
      <c r="H234" s="153">
        <v>400</v>
      </c>
      <c r="I234" s="2"/>
    </row>
    <row r="235" spans="1:9" ht="19.8" customHeight="1" x14ac:dyDescent="0.3">
      <c r="A235" s="155">
        <v>45995</v>
      </c>
      <c r="B235" s="85" t="s">
        <v>98</v>
      </c>
      <c r="C235" s="86" t="s">
        <v>101</v>
      </c>
      <c r="D235" s="85" t="s">
        <v>1</v>
      </c>
      <c r="E235" s="156">
        <v>1.666666666666667</v>
      </c>
      <c r="F235" s="85" t="s">
        <v>95</v>
      </c>
      <c r="G235" s="87">
        <v>9</v>
      </c>
      <c r="H235" s="153">
        <v>401</v>
      </c>
      <c r="I235" s="2"/>
    </row>
    <row r="236" spans="1:9" ht="19.8" customHeight="1" x14ac:dyDescent="0.3">
      <c r="A236" s="155">
        <v>45995</v>
      </c>
      <c r="B236" s="85" t="s">
        <v>54</v>
      </c>
      <c r="C236" s="86" t="s">
        <v>63</v>
      </c>
      <c r="D236" s="85" t="s">
        <v>1</v>
      </c>
      <c r="E236" s="156">
        <v>1.854166666666667</v>
      </c>
      <c r="F236" s="85" t="s">
        <v>190</v>
      </c>
      <c r="G236" s="87">
        <v>6</v>
      </c>
      <c r="H236" s="153">
        <v>409</v>
      </c>
      <c r="I236" s="2"/>
    </row>
    <row r="237" spans="1:9" ht="19.8" customHeight="1" x14ac:dyDescent="0.3">
      <c r="A237" s="157">
        <v>45995</v>
      </c>
      <c r="B237" s="89" t="s">
        <v>110</v>
      </c>
      <c r="C237" s="90" t="s">
        <v>195</v>
      </c>
      <c r="D237" s="89" t="s">
        <v>1</v>
      </c>
      <c r="E237" s="158">
        <v>1.2534722222222221</v>
      </c>
      <c r="F237" s="89" t="s">
        <v>112</v>
      </c>
      <c r="G237" s="91">
        <v>8</v>
      </c>
      <c r="H237" s="154">
        <v>436</v>
      </c>
      <c r="I237" s="2"/>
    </row>
    <row r="238" spans="1:9" ht="19.8" customHeight="1" x14ac:dyDescent="0.3">
      <c r="A238" s="157">
        <v>45995</v>
      </c>
      <c r="B238" s="89" t="s">
        <v>110</v>
      </c>
      <c r="C238" s="90" t="s">
        <v>199</v>
      </c>
      <c r="D238" s="89" t="s">
        <v>1</v>
      </c>
      <c r="E238" s="158">
        <v>1.364583333333333</v>
      </c>
      <c r="F238" s="89" t="s">
        <v>112</v>
      </c>
      <c r="G238" s="91">
        <v>9</v>
      </c>
      <c r="H238" s="154">
        <v>436</v>
      </c>
      <c r="I238" s="2"/>
    </row>
    <row r="239" spans="1:9" ht="19.8" customHeight="1" x14ac:dyDescent="0.3">
      <c r="A239" s="157">
        <v>45995</v>
      </c>
      <c r="B239" s="89" t="s">
        <v>110</v>
      </c>
      <c r="C239" s="90" t="s">
        <v>131</v>
      </c>
      <c r="D239" s="89" t="s">
        <v>1</v>
      </c>
      <c r="E239" s="158">
        <v>1.333333333333333</v>
      </c>
      <c r="F239" s="89" t="s">
        <v>112</v>
      </c>
      <c r="G239" s="91">
        <v>9</v>
      </c>
      <c r="H239" s="154">
        <v>436</v>
      </c>
      <c r="I239" s="2"/>
    </row>
    <row r="240" spans="1:9" ht="19.8" customHeight="1" x14ac:dyDescent="0.3">
      <c r="A240" s="157">
        <v>45995</v>
      </c>
      <c r="B240" s="89" t="s">
        <v>110</v>
      </c>
      <c r="C240" s="90" t="s">
        <v>160</v>
      </c>
      <c r="D240" s="89" t="s">
        <v>1</v>
      </c>
      <c r="E240" s="158">
        <v>1.114583333333333</v>
      </c>
      <c r="F240" s="89" t="s">
        <v>112</v>
      </c>
      <c r="G240" s="91">
        <v>1</v>
      </c>
      <c r="H240" s="154">
        <v>436</v>
      </c>
      <c r="I240" s="2"/>
    </row>
    <row r="241" spans="1:9" ht="19.8" customHeight="1" x14ac:dyDescent="0.3">
      <c r="A241" s="155">
        <v>45995</v>
      </c>
      <c r="B241" s="85" t="s">
        <v>54</v>
      </c>
      <c r="C241" s="86" t="s">
        <v>74</v>
      </c>
      <c r="D241" s="85" t="s">
        <v>1</v>
      </c>
      <c r="E241" s="156">
        <v>1.645833333333333</v>
      </c>
      <c r="F241" s="85" t="s">
        <v>190</v>
      </c>
      <c r="G241" s="87">
        <v>5</v>
      </c>
      <c r="H241" s="153">
        <v>449</v>
      </c>
      <c r="I241" s="2"/>
    </row>
    <row r="242" spans="1:9" ht="19.8" customHeight="1" x14ac:dyDescent="0.3">
      <c r="A242" s="155">
        <v>45995</v>
      </c>
      <c r="B242" s="85" t="s">
        <v>78</v>
      </c>
      <c r="C242" s="86" t="s">
        <v>90</v>
      </c>
      <c r="D242" s="85" t="s">
        <v>1</v>
      </c>
      <c r="E242" s="156">
        <v>1.788194444444444</v>
      </c>
      <c r="F242" s="85" t="s">
        <v>80</v>
      </c>
      <c r="G242" s="87">
        <v>4</v>
      </c>
      <c r="H242" s="153">
        <v>459</v>
      </c>
      <c r="I242" s="2"/>
    </row>
    <row r="243" spans="1:9" ht="19.8" customHeight="1" x14ac:dyDescent="0.3">
      <c r="A243" s="157">
        <v>45995</v>
      </c>
      <c r="B243" s="89" t="s">
        <v>110</v>
      </c>
      <c r="C243" s="90" t="s">
        <v>164</v>
      </c>
      <c r="D243" s="89" t="s">
        <v>1</v>
      </c>
      <c r="E243" s="158">
        <v>1.0486111111111109</v>
      </c>
      <c r="F243" s="89" t="s">
        <v>112</v>
      </c>
      <c r="G243" s="91">
        <v>9</v>
      </c>
      <c r="H243" s="154">
        <v>471</v>
      </c>
      <c r="I243" s="2"/>
    </row>
    <row r="244" spans="1:9" ht="19.8" customHeight="1" x14ac:dyDescent="0.3">
      <c r="A244" s="155">
        <v>45995</v>
      </c>
      <c r="B244" s="85" t="s">
        <v>54</v>
      </c>
      <c r="C244" s="86" t="s">
        <v>72</v>
      </c>
      <c r="D244" s="85" t="s">
        <v>1</v>
      </c>
      <c r="E244" s="156">
        <v>1.7986111111111109</v>
      </c>
      <c r="F244" s="85" t="s">
        <v>190</v>
      </c>
      <c r="G244" s="87">
        <v>1</v>
      </c>
      <c r="H244" s="153">
        <v>489</v>
      </c>
      <c r="I244" s="2"/>
    </row>
    <row r="245" spans="1:9" ht="19.8" customHeight="1" x14ac:dyDescent="0.3">
      <c r="A245" s="155">
        <v>45995</v>
      </c>
      <c r="B245" s="85" t="s">
        <v>78</v>
      </c>
      <c r="C245" s="86" t="s">
        <v>79</v>
      </c>
      <c r="D245" s="85" t="s">
        <v>1</v>
      </c>
      <c r="E245" s="156">
        <v>1.1284722222222221</v>
      </c>
      <c r="F245" s="85" t="s">
        <v>83</v>
      </c>
      <c r="G245" s="87">
        <v>3</v>
      </c>
      <c r="H245" s="153">
        <v>509</v>
      </c>
      <c r="I245" s="2"/>
    </row>
    <row r="246" spans="1:9" ht="19.8" customHeight="1" x14ac:dyDescent="0.3">
      <c r="A246" s="155">
        <v>45995</v>
      </c>
      <c r="B246" s="85" t="s">
        <v>78</v>
      </c>
      <c r="C246" s="86" t="s">
        <v>87</v>
      </c>
      <c r="D246" s="85" t="s">
        <v>1</v>
      </c>
      <c r="E246" s="156">
        <v>1.302083333333333</v>
      </c>
      <c r="F246" s="85" t="s">
        <v>83</v>
      </c>
      <c r="G246" s="87">
        <v>4</v>
      </c>
      <c r="H246" s="153">
        <v>509</v>
      </c>
      <c r="I246" s="2"/>
    </row>
    <row r="247" spans="1:9" ht="19.8" customHeight="1" x14ac:dyDescent="0.3">
      <c r="A247" s="155">
        <v>45995</v>
      </c>
      <c r="B247" s="85" t="s">
        <v>78</v>
      </c>
      <c r="C247" s="86" t="s">
        <v>89</v>
      </c>
      <c r="D247" s="85" t="s">
        <v>1</v>
      </c>
      <c r="E247" s="156">
        <v>1.8888888888888891</v>
      </c>
      <c r="F247" s="85" t="s">
        <v>83</v>
      </c>
      <c r="G247" s="87">
        <v>2</v>
      </c>
      <c r="H247" s="153">
        <v>539</v>
      </c>
      <c r="I247" s="2"/>
    </row>
    <row r="248" spans="1:9" ht="19.8" customHeight="1" x14ac:dyDescent="0.3">
      <c r="A248" s="155">
        <v>45995</v>
      </c>
      <c r="B248" s="85" t="s">
        <v>136</v>
      </c>
      <c r="C248" s="86" t="s">
        <v>137</v>
      </c>
      <c r="D248" s="85" t="s">
        <v>1</v>
      </c>
      <c r="E248" s="156">
        <v>1.229166666666667</v>
      </c>
      <c r="F248" s="85" t="s">
        <v>138</v>
      </c>
      <c r="G248" s="87">
        <v>9</v>
      </c>
      <c r="H248" s="153">
        <v>579</v>
      </c>
      <c r="I248" s="2"/>
    </row>
    <row r="249" spans="1:9" ht="19.8" customHeight="1" x14ac:dyDescent="0.3">
      <c r="A249" s="155">
        <v>45995</v>
      </c>
      <c r="B249" s="85" t="s">
        <v>136</v>
      </c>
      <c r="C249" s="86" t="s">
        <v>149</v>
      </c>
      <c r="D249" s="85" t="s">
        <v>1</v>
      </c>
      <c r="E249" s="156">
        <v>1.0138888888888891</v>
      </c>
      <c r="F249" s="85" t="s">
        <v>138</v>
      </c>
      <c r="G249" s="87">
        <v>9</v>
      </c>
      <c r="H249" s="153">
        <v>579</v>
      </c>
      <c r="I249" s="2"/>
    </row>
    <row r="250" spans="1:9" ht="19.8" customHeight="1" x14ac:dyDescent="0.3">
      <c r="A250" s="155">
        <v>45995</v>
      </c>
      <c r="B250" s="85" t="s">
        <v>136</v>
      </c>
      <c r="C250" s="86" t="s">
        <v>140</v>
      </c>
      <c r="D250" s="85" t="s">
        <v>1</v>
      </c>
      <c r="E250" s="156">
        <v>1.145833333333333</v>
      </c>
      <c r="F250" s="85" t="s">
        <v>138</v>
      </c>
      <c r="G250" s="87">
        <v>9</v>
      </c>
      <c r="H250" s="153">
        <v>579</v>
      </c>
      <c r="I250" s="2"/>
    </row>
    <row r="251" spans="1:9" ht="19.8" customHeight="1" x14ac:dyDescent="0.3">
      <c r="A251" s="155">
        <v>45995</v>
      </c>
      <c r="B251" s="85" t="s">
        <v>136</v>
      </c>
      <c r="C251" s="86" t="s">
        <v>142</v>
      </c>
      <c r="D251" s="85" t="s">
        <v>1</v>
      </c>
      <c r="E251" s="156">
        <v>1.4861111111111109</v>
      </c>
      <c r="F251" s="85" t="s">
        <v>138</v>
      </c>
      <c r="G251" s="87">
        <v>9</v>
      </c>
      <c r="H251" s="153">
        <v>579</v>
      </c>
      <c r="I251" s="2"/>
    </row>
    <row r="252" spans="1:9" ht="19.8" customHeight="1" x14ac:dyDescent="0.3">
      <c r="A252" s="155">
        <v>45995</v>
      </c>
      <c r="B252" s="85" t="s">
        <v>136</v>
      </c>
      <c r="C252" s="86" t="s">
        <v>143</v>
      </c>
      <c r="D252" s="85" t="s">
        <v>1</v>
      </c>
      <c r="E252" s="156">
        <v>1.506944444444444</v>
      </c>
      <c r="F252" s="85" t="s">
        <v>138</v>
      </c>
      <c r="G252" s="87">
        <v>9</v>
      </c>
      <c r="H252" s="153">
        <v>579</v>
      </c>
      <c r="I252" s="2"/>
    </row>
    <row r="253" spans="1:9" ht="19.8" customHeight="1" x14ac:dyDescent="0.3">
      <c r="A253" s="157">
        <v>45995</v>
      </c>
      <c r="B253" s="89" t="s">
        <v>110</v>
      </c>
      <c r="C253" s="90" t="s">
        <v>124</v>
      </c>
      <c r="D253" s="89" t="s">
        <v>1</v>
      </c>
      <c r="E253" s="158">
        <v>1.739583333333333</v>
      </c>
      <c r="F253" s="89" t="s">
        <v>112</v>
      </c>
      <c r="G253" s="91">
        <v>2</v>
      </c>
      <c r="H253" s="154">
        <v>586</v>
      </c>
      <c r="I253" s="2"/>
    </row>
    <row r="254" spans="1:9" ht="19.8" customHeight="1" x14ac:dyDescent="0.3">
      <c r="A254" s="155">
        <v>45995</v>
      </c>
      <c r="B254" s="85" t="s">
        <v>78</v>
      </c>
      <c r="C254" s="86" t="s">
        <v>90</v>
      </c>
      <c r="D254" s="85" t="s">
        <v>1</v>
      </c>
      <c r="E254" s="156">
        <v>1.788194444444444</v>
      </c>
      <c r="F254" s="85" t="s">
        <v>83</v>
      </c>
      <c r="G254" s="87">
        <v>4</v>
      </c>
      <c r="H254" s="153">
        <v>609</v>
      </c>
      <c r="I254" s="2"/>
    </row>
    <row r="255" spans="1:9" ht="19.8" customHeight="1" x14ac:dyDescent="0.3">
      <c r="A255" s="155">
        <v>45995</v>
      </c>
      <c r="B255" s="85" t="s">
        <v>136</v>
      </c>
      <c r="C255" s="86" t="s">
        <v>144</v>
      </c>
      <c r="D255" s="85" t="s">
        <v>1</v>
      </c>
      <c r="E255" s="156">
        <v>1.9652777777777779</v>
      </c>
      <c r="F255" s="85" t="s">
        <v>145</v>
      </c>
      <c r="G255" s="87">
        <v>4</v>
      </c>
      <c r="H255" s="153">
        <v>637</v>
      </c>
      <c r="I255" s="2"/>
    </row>
    <row r="256" spans="1:9" ht="19.8" customHeight="1" x14ac:dyDescent="0.3">
      <c r="A256" s="157">
        <v>45995</v>
      </c>
      <c r="B256" s="89" t="s">
        <v>110</v>
      </c>
      <c r="C256" s="90" t="s">
        <v>118</v>
      </c>
      <c r="D256" s="89" t="s">
        <v>1</v>
      </c>
      <c r="E256" s="158">
        <v>1.583333333333333</v>
      </c>
      <c r="F256" s="89" t="s">
        <v>112</v>
      </c>
      <c r="G256" s="91">
        <v>9</v>
      </c>
      <c r="H256" s="154">
        <v>646</v>
      </c>
      <c r="I256" s="2"/>
    </row>
    <row r="257" spans="1:9" ht="19.8" customHeight="1" x14ac:dyDescent="0.3">
      <c r="A257" s="155">
        <v>45995</v>
      </c>
      <c r="B257" s="85" t="s">
        <v>26</v>
      </c>
      <c r="C257" s="86" t="s">
        <v>49</v>
      </c>
      <c r="D257" s="85" t="s">
        <v>1</v>
      </c>
      <c r="E257" s="156">
        <v>1.1423611111111109</v>
      </c>
      <c r="F257" s="85" t="s">
        <v>31</v>
      </c>
      <c r="G257" s="87">
        <v>9</v>
      </c>
      <c r="H257" s="153">
        <v>678</v>
      </c>
      <c r="I257" s="2"/>
    </row>
    <row r="258" spans="1:9" ht="19.8" customHeight="1" x14ac:dyDescent="0.3">
      <c r="A258" s="155">
        <v>45995</v>
      </c>
      <c r="B258" s="85" t="s">
        <v>26</v>
      </c>
      <c r="C258" s="86" t="s">
        <v>35</v>
      </c>
      <c r="D258" s="85" t="s">
        <v>1</v>
      </c>
      <c r="E258" s="156">
        <v>1.3784722222222221</v>
      </c>
      <c r="F258" s="85" t="s">
        <v>31</v>
      </c>
      <c r="G258" s="87">
        <v>9</v>
      </c>
      <c r="H258" s="153">
        <v>678</v>
      </c>
      <c r="I258" s="2"/>
    </row>
    <row r="259" spans="1:9" ht="19.8" customHeight="1" x14ac:dyDescent="0.3">
      <c r="A259" s="155">
        <v>45995</v>
      </c>
      <c r="B259" s="85" t="s">
        <v>26</v>
      </c>
      <c r="C259" s="86" t="s">
        <v>40</v>
      </c>
      <c r="D259" s="85" t="s">
        <v>1</v>
      </c>
      <c r="E259" s="156">
        <v>1.243055555555556</v>
      </c>
      <c r="F259" s="85" t="s">
        <v>31</v>
      </c>
      <c r="G259" s="87">
        <v>9</v>
      </c>
      <c r="H259" s="153">
        <v>678</v>
      </c>
      <c r="I259" s="2"/>
    </row>
    <row r="260" spans="1:9" ht="19.8" customHeight="1" x14ac:dyDescent="0.3">
      <c r="A260" s="155">
        <v>45995</v>
      </c>
      <c r="B260" s="85" t="s">
        <v>26</v>
      </c>
      <c r="C260" s="86" t="s">
        <v>49</v>
      </c>
      <c r="D260" s="85" t="s">
        <v>1</v>
      </c>
      <c r="E260" s="156">
        <v>1.1423611111111109</v>
      </c>
      <c r="F260" s="85" t="s">
        <v>33</v>
      </c>
      <c r="G260" s="87">
        <v>9</v>
      </c>
      <c r="H260" s="153">
        <v>723</v>
      </c>
      <c r="I260" s="2"/>
    </row>
    <row r="261" spans="1:9" ht="19.8" customHeight="1" x14ac:dyDescent="0.3">
      <c r="A261" s="155">
        <v>45995</v>
      </c>
      <c r="B261" s="85" t="s">
        <v>26</v>
      </c>
      <c r="C261" s="86" t="s">
        <v>35</v>
      </c>
      <c r="D261" s="85" t="s">
        <v>1</v>
      </c>
      <c r="E261" s="156">
        <v>1.3784722222222221</v>
      </c>
      <c r="F261" s="85" t="s">
        <v>33</v>
      </c>
      <c r="G261" s="87">
        <v>9</v>
      </c>
      <c r="H261" s="153">
        <v>723</v>
      </c>
      <c r="I261" s="2"/>
    </row>
    <row r="262" spans="1:9" ht="19.8" customHeight="1" x14ac:dyDescent="0.3">
      <c r="A262" s="155">
        <v>45995</v>
      </c>
      <c r="B262" s="85" t="s">
        <v>26</v>
      </c>
      <c r="C262" s="86" t="s">
        <v>40</v>
      </c>
      <c r="D262" s="85" t="s">
        <v>1</v>
      </c>
      <c r="E262" s="156">
        <v>1.243055555555556</v>
      </c>
      <c r="F262" s="85" t="s">
        <v>33</v>
      </c>
      <c r="G262" s="87">
        <v>9</v>
      </c>
      <c r="H262" s="153">
        <v>723</v>
      </c>
      <c r="I262" s="2"/>
    </row>
    <row r="263" spans="1:9" ht="19.8" customHeight="1" x14ac:dyDescent="0.3">
      <c r="A263" s="155">
        <v>45995</v>
      </c>
      <c r="B263" s="85" t="s">
        <v>136</v>
      </c>
      <c r="C263" s="86" t="s">
        <v>147</v>
      </c>
      <c r="D263" s="85" t="s">
        <v>1</v>
      </c>
      <c r="E263" s="156">
        <v>1.770833333333333</v>
      </c>
      <c r="F263" s="85" t="s">
        <v>145</v>
      </c>
      <c r="G263" s="87">
        <v>9</v>
      </c>
      <c r="H263" s="153">
        <v>795</v>
      </c>
      <c r="I263" s="2"/>
    </row>
    <row r="264" spans="1:9" ht="19.8" customHeight="1" x14ac:dyDescent="0.3">
      <c r="A264" s="155">
        <v>45995</v>
      </c>
      <c r="B264" s="85" t="s">
        <v>26</v>
      </c>
      <c r="C264" s="86" t="s">
        <v>39</v>
      </c>
      <c r="D264" s="85" t="s">
        <v>1</v>
      </c>
      <c r="E264" s="156">
        <v>1.6111111111111109</v>
      </c>
      <c r="F264" s="85" t="s">
        <v>31</v>
      </c>
      <c r="G264" s="87">
        <v>9</v>
      </c>
      <c r="H264" s="153">
        <v>797</v>
      </c>
      <c r="I264" s="2"/>
    </row>
    <row r="265" spans="1:9" ht="19.8" customHeight="1" x14ac:dyDescent="0.3">
      <c r="A265" s="155">
        <v>45995</v>
      </c>
      <c r="B265" s="85" t="s">
        <v>26</v>
      </c>
      <c r="C265" s="86" t="s">
        <v>39</v>
      </c>
      <c r="D265" s="85" t="s">
        <v>1</v>
      </c>
      <c r="E265" s="156">
        <v>1.6111111111111109</v>
      </c>
      <c r="F265" s="85" t="s">
        <v>33</v>
      </c>
      <c r="G265" s="87">
        <v>9</v>
      </c>
      <c r="H265" s="153">
        <v>842</v>
      </c>
      <c r="I265" s="2"/>
    </row>
    <row r="266" spans="1:9" ht="19.8" customHeight="1" x14ac:dyDescent="0.3">
      <c r="A266" s="155">
        <v>45995</v>
      </c>
      <c r="B266" s="85" t="s">
        <v>26</v>
      </c>
      <c r="C266" s="86" t="s">
        <v>46</v>
      </c>
      <c r="D266" s="85" t="s">
        <v>1</v>
      </c>
      <c r="E266" s="156">
        <v>1.006944444444444</v>
      </c>
      <c r="F266" s="85" t="s">
        <v>31</v>
      </c>
      <c r="G266" s="87">
        <v>9</v>
      </c>
      <c r="H266" s="153">
        <v>935</v>
      </c>
      <c r="I266" s="2"/>
    </row>
    <row r="267" spans="1:9" ht="19.8" customHeight="1" x14ac:dyDescent="0.3">
      <c r="A267" s="155">
        <v>45995</v>
      </c>
      <c r="B267" s="85" t="s">
        <v>26</v>
      </c>
      <c r="C267" s="86" t="s">
        <v>27</v>
      </c>
      <c r="D267" s="85" t="s">
        <v>1</v>
      </c>
      <c r="E267" s="156">
        <v>1.930555555555556</v>
      </c>
      <c r="F267" s="85" t="s">
        <v>31</v>
      </c>
      <c r="G267" s="87">
        <v>9</v>
      </c>
      <c r="H267" s="153">
        <v>935</v>
      </c>
      <c r="I267" s="2"/>
    </row>
    <row r="268" spans="1:9" ht="19.8" customHeight="1" x14ac:dyDescent="0.3">
      <c r="A268" s="155">
        <v>45995</v>
      </c>
      <c r="B268" s="85" t="s">
        <v>26</v>
      </c>
      <c r="C268" s="86" t="s">
        <v>46</v>
      </c>
      <c r="D268" s="85" t="s">
        <v>1</v>
      </c>
      <c r="E268" s="156">
        <v>1.006944444444444</v>
      </c>
      <c r="F268" s="85" t="s">
        <v>33</v>
      </c>
      <c r="G268" s="87">
        <v>9</v>
      </c>
      <c r="H268" s="153">
        <v>980</v>
      </c>
      <c r="I268" s="2"/>
    </row>
    <row r="269" spans="1:9" ht="19.8" customHeight="1" x14ac:dyDescent="0.3">
      <c r="A269" s="155">
        <v>45995</v>
      </c>
      <c r="B269" s="85" t="s">
        <v>26</v>
      </c>
      <c r="C269" s="86" t="s">
        <v>27</v>
      </c>
      <c r="D269" s="85" t="s">
        <v>1</v>
      </c>
      <c r="E269" s="156">
        <v>1.930555555555556</v>
      </c>
      <c r="F269" s="85" t="s">
        <v>33</v>
      </c>
      <c r="G269" s="87">
        <v>9</v>
      </c>
      <c r="H269" s="153">
        <v>980</v>
      </c>
      <c r="I269" s="2"/>
    </row>
    <row r="270" spans="1:9" ht="19.8" customHeight="1" x14ac:dyDescent="0.3">
      <c r="A270" s="155">
        <v>45995</v>
      </c>
      <c r="B270" s="85" t="s">
        <v>136</v>
      </c>
      <c r="C270" s="86" t="s">
        <v>141</v>
      </c>
      <c r="D270" s="85" t="s">
        <v>1</v>
      </c>
      <c r="E270" s="156">
        <v>1.274305555555556</v>
      </c>
      <c r="F270" s="85" t="s">
        <v>145</v>
      </c>
      <c r="G270" s="87">
        <v>1</v>
      </c>
      <c r="H270" s="153">
        <v>993</v>
      </c>
      <c r="I270" s="2"/>
    </row>
    <row r="271" spans="1:9" ht="19.8" customHeight="1" x14ac:dyDescent="0.3">
      <c r="A271" s="155">
        <v>45995</v>
      </c>
      <c r="B271" s="85" t="s">
        <v>26</v>
      </c>
      <c r="C271" s="86" t="s">
        <v>50</v>
      </c>
      <c r="D271" s="85" t="s">
        <v>1</v>
      </c>
      <c r="E271" s="156">
        <v>1.71875</v>
      </c>
      <c r="F271" s="85" t="s">
        <v>31</v>
      </c>
      <c r="G271" s="87">
        <v>9</v>
      </c>
      <c r="H271" s="92" t="s">
        <v>215</v>
      </c>
      <c r="I271" s="2"/>
    </row>
    <row r="272" spans="1:9" ht="19.8" customHeight="1" x14ac:dyDescent="0.3">
      <c r="A272" s="155">
        <v>45995</v>
      </c>
      <c r="B272" s="85" t="s">
        <v>78</v>
      </c>
      <c r="C272" s="86" t="s">
        <v>79</v>
      </c>
      <c r="D272" s="85" t="s">
        <v>1</v>
      </c>
      <c r="E272" s="156">
        <v>1.1284722222222221</v>
      </c>
      <c r="F272" s="85" t="s">
        <v>85</v>
      </c>
      <c r="G272" s="87">
        <v>3</v>
      </c>
      <c r="H272" s="92" t="s">
        <v>86</v>
      </c>
      <c r="I272" s="2"/>
    </row>
    <row r="273" spans="1:9" ht="19.8" customHeight="1" x14ac:dyDescent="0.3">
      <c r="A273" s="155">
        <v>45995</v>
      </c>
      <c r="B273" s="85" t="s">
        <v>78</v>
      </c>
      <c r="C273" s="86" t="s">
        <v>87</v>
      </c>
      <c r="D273" s="85" t="s">
        <v>1</v>
      </c>
      <c r="E273" s="156">
        <v>1.302083333333333</v>
      </c>
      <c r="F273" s="85" t="s">
        <v>85</v>
      </c>
      <c r="G273" s="87">
        <v>4</v>
      </c>
      <c r="H273" s="92" t="s">
        <v>86</v>
      </c>
      <c r="I273" s="2"/>
    </row>
    <row r="274" spans="1:9" ht="19.8" customHeight="1" x14ac:dyDescent="0.3">
      <c r="A274" s="155">
        <v>45995</v>
      </c>
      <c r="B274" s="85" t="s">
        <v>78</v>
      </c>
      <c r="C274" s="86" t="s">
        <v>89</v>
      </c>
      <c r="D274" s="85" t="s">
        <v>1</v>
      </c>
      <c r="E274" s="156">
        <v>1.8888888888888891</v>
      </c>
      <c r="F274" s="85" t="s">
        <v>85</v>
      </c>
      <c r="G274" s="87">
        <v>2</v>
      </c>
      <c r="H274" s="92" t="s">
        <v>86</v>
      </c>
      <c r="I274" s="2"/>
    </row>
    <row r="275" spans="1:9" ht="19.8" customHeight="1" x14ac:dyDescent="0.3">
      <c r="A275" s="155">
        <v>45995</v>
      </c>
      <c r="B275" s="85" t="s">
        <v>78</v>
      </c>
      <c r="C275" s="86" t="s">
        <v>90</v>
      </c>
      <c r="D275" s="85" t="s">
        <v>1</v>
      </c>
      <c r="E275" s="156">
        <v>1.788194444444444</v>
      </c>
      <c r="F275" s="85" t="s">
        <v>85</v>
      </c>
      <c r="G275" s="87">
        <v>4</v>
      </c>
      <c r="H275" s="92" t="s">
        <v>86</v>
      </c>
      <c r="I275" s="2"/>
    </row>
    <row r="276" spans="1:9" ht="19.8" customHeight="1" x14ac:dyDescent="0.3">
      <c r="A276" s="155">
        <v>45995</v>
      </c>
      <c r="B276" s="85" t="s">
        <v>26</v>
      </c>
      <c r="C276" s="86" t="s">
        <v>50</v>
      </c>
      <c r="D276" s="85" t="s">
        <v>1</v>
      </c>
      <c r="E276" s="156">
        <v>1.71875</v>
      </c>
      <c r="F276" s="85" t="s">
        <v>33</v>
      </c>
      <c r="G276" s="87">
        <v>9</v>
      </c>
      <c r="H276" s="92" t="s">
        <v>216</v>
      </c>
      <c r="I276" s="2"/>
    </row>
    <row r="277" spans="1:9" ht="19.8" customHeight="1" x14ac:dyDescent="0.3">
      <c r="A277" s="155">
        <v>45995</v>
      </c>
      <c r="B277" s="85" t="s">
        <v>26</v>
      </c>
      <c r="C277" s="86" t="s">
        <v>44</v>
      </c>
      <c r="D277" s="85" t="s">
        <v>1</v>
      </c>
      <c r="E277" s="156">
        <v>1.302083333333333</v>
      </c>
      <c r="F277" s="85" t="s">
        <v>33</v>
      </c>
      <c r="G277" s="87">
        <v>4</v>
      </c>
      <c r="H277" s="92" t="s">
        <v>174</v>
      </c>
      <c r="I277" s="2"/>
    </row>
    <row r="278" spans="1:9" ht="19.8" customHeight="1" x14ac:dyDescent="0.3">
      <c r="A278" s="155">
        <v>45995</v>
      </c>
      <c r="B278" s="85" t="s">
        <v>26</v>
      </c>
      <c r="C278" s="86" t="s">
        <v>45</v>
      </c>
      <c r="D278" s="85" t="s">
        <v>1</v>
      </c>
      <c r="E278" s="156">
        <v>1.1284722222222221</v>
      </c>
      <c r="F278" s="85" t="s">
        <v>33</v>
      </c>
      <c r="G278" s="87">
        <v>4</v>
      </c>
      <c r="H278" s="92" t="s">
        <v>43</v>
      </c>
      <c r="I278" s="2"/>
    </row>
    <row r="279" spans="1:9" ht="19.8" customHeight="1" x14ac:dyDescent="0.3">
      <c r="A279" s="155">
        <v>45995</v>
      </c>
      <c r="B279" s="85" t="s">
        <v>26</v>
      </c>
      <c r="C279" s="86" t="s">
        <v>41</v>
      </c>
      <c r="D279" s="85" t="s">
        <v>1</v>
      </c>
      <c r="E279" s="156">
        <v>1.8888888888888891</v>
      </c>
      <c r="F279" s="85" t="s">
        <v>33</v>
      </c>
      <c r="G279" s="87">
        <v>4</v>
      </c>
      <c r="H279" s="92" t="s">
        <v>175</v>
      </c>
      <c r="I279" s="2"/>
    </row>
    <row r="280" spans="1:9" ht="19.8" customHeight="1" x14ac:dyDescent="0.3">
      <c r="A280" s="155">
        <v>45995</v>
      </c>
      <c r="B280" s="85" t="s">
        <v>26</v>
      </c>
      <c r="C280" s="86" t="s">
        <v>52</v>
      </c>
      <c r="D280" s="85" t="s">
        <v>1</v>
      </c>
      <c r="E280" s="156">
        <v>1.788194444444444</v>
      </c>
      <c r="F280" s="85" t="s">
        <v>33</v>
      </c>
      <c r="G280" s="87">
        <v>4</v>
      </c>
      <c r="H280" s="92" t="s">
        <v>175</v>
      </c>
      <c r="I280" s="2"/>
    </row>
    <row r="281" spans="1:9" ht="19.8" customHeight="1" x14ac:dyDescent="0.3">
      <c r="A281" s="155">
        <v>45995</v>
      </c>
      <c r="B281" s="85" t="s">
        <v>26</v>
      </c>
      <c r="C281" s="86" t="s">
        <v>51</v>
      </c>
      <c r="D281" s="85" t="s">
        <v>1</v>
      </c>
      <c r="E281" s="156">
        <v>1.8298611111111109</v>
      </c>
      <c r="F281" s="85" t="s">
        <v>31</v>
      </c>
      <c r="G281" s="87">
        <v>9</v>
      </c>
      <c r="H281" s="92" t="s">
        <v>217</v>
      </c>
      <c r="I281" s="2"/>
    </row>
    <row r="282" spans="1:9" ht="19.8" customHeight="1" x14ac:dyDescent="0.3">
      <c r="A282" s="159">
        <v>45995</v>
      </c>
      <c r="B282" s="93" t="s">
        <v>26</v>
      </c>
      <c r="C282" s="94" t="s">
        <v>51</v>
      </c>
      <c r="D282" s="93" t="s">
        <v>1</v>
      </c>
      <c r="E282" s="160">
        <v>1.8298611111111109</v>
      </c>
      <c r="F282" s="93" t="s">
        <v>33</v>
      </c>
      <c r="G282" s="95">
        <v>9</v>
      </c>
      <c r="H282" s="96" t="s">
        <v>218</v>
      </c>
      <c r="I282" s="2"/>
    </row>
    <row r="283" spans="1:9" ht="19.8" customHeight="1" x14ac:dyDescent="0.3">
      <c r="A283" s="155">
        <v>45996</v>
      </c>
      <c r="B283" s="85" t="s">
        <v>78</v>
      </c>
      <c r="C283" s="86" t="s">
        <v>79</v>
      </c>
      <c r="D283" s="85" t="s">
        <v>1</v>
      </c>
      <c r="E283" s="156">
        <v>1.1284722222222221</v>
      </c>
      <c r="F283" s="85" t="s">
        <v>80</v>
      </c>
      <c r="G283" s="87">
        <v>2</v>
      </c>
      <c r="H283" s="153">
        <v>329</v>
      </c>
      <c r="I283" s="2"/>
    </row>
    <row r="284" spans="1:9" ht="19.8" customHeight="1" x14ac:dyDescent="0.3">
      <c r="A284" s="155">
        <v>45996</v>
      </c>
      <c r="B284" s="85" t="s">
        <v>78</v>
      </c>
      <c r="C284" s="86" t="s">
        <v>87</v>
      </c>
      <c r="D284" s="85" t="s">
        <v>1</v>
      </c>
      <c r="E284" s="156">
        <v>1.302083333333333</v>
      </c>
      <c r="F284" s="85" t="s">
        <v>80</v>
      </c>
      <c r="G284" s="87">
        <v>1</v>
      </c>
      <c r="H284" s="153">
        <v>329</v>
      </c>
      <c r="I284" s="2"/>
    </row>
    <row r="285" spans="1:9" ht="19.8" customHeight="1" x14ac:dyDescent="0.3">
      <c r="A285" s="155">
        <v>45996</v>
      </c>
      <c r="B285" s="85" t="s">
        <v>78</v>
      </c>
      <c r="C285" s="86" t="s">
        <v>89</v>
      </c>
      <c r="D285" s="85" t="s">
        <v>1</v>
      </c>
      <c r="E285" s="156">
        <v>1.8888888888888891</v>
      </c>
      <c r="F285" s="85" t="s">
        <v>80</v>
      </c>
      <c r="G285" s="87">
        <v>1</v>
      </c>
      <c r="H285" s="153">
        <v>329</v>
      </c>
      <c r="I285" s="2"/>
    </row>
    <row r="286" spans="1:9" ht="19.8" customHeight="1" x14ac:dyDescent="0.3">
      <c r="A286" s="155">
        <v>45996</v>
      </c>
      <c r="B286" s="85" t="s">
        <v>102</v>
      </c>
      <c r="C286" s="86" t="s">
        <v>107</v>
      </c>
      <c r="D286" s="85" t="s">
        <v>1</v>
      </c>
      <c r="E286" s="156">
        <v>1.3923611111111109</v>
      </c>
      <c r="F286" s="85" t="s">
        <v>193</v>
      </c>
      <c r="G286" s="87">
        <v>9</v>
      </c>
      <c r="H286" s="153">
        <v>355</v>
      </c>
      <c r="I286" s="2"/>
    </row>
    <row r="287" spans="1:9" ht="19.8" customHeight="1" x14ac:dyDescent="0.3">
      <c r="A287" s="155">
        <v>45996</v>
      </c>
      <c r="B287" s="85" t="s">
        <v>102</v>
      </c>
      <c r="C287" s="86" t="s">
        <v>221</v>
      </c>
      <c r="D287" s="85" t="s">
        <v>1</v>
      </c>
      <c r="E287" s="156">
        <v>1.975694444444444</v>
      </c>
      <c r="F287" s="85" t="s">
        <v>193</v>
      </c>
      <c r="G287" s="87">
        <v>9</v>
      </c>
      <c r="H287" s="153">
        <v>355</v>
      </c>
      <c r="I287" s="2"/>
    </row>
    <row r="288" spans="1:9" ht="19.8" customHeight="1" x14ac:dyDescent="0.3">
      <c r="A288" s="155">
        <v>45996</v>
      </c>
      <c r="B288" s="85" t="s">
        <v>78</v>
      </c>
      <c r="C288" s="86" t="s">
        <v>90</v>
      </c>
      <c r="D288" s="85" t="s">
        <v>1</v>
      </c>
      <c r="E288" s="156">
        <v>1.788194444444444</v>
      </c>
      <c r="F288" s="85" t="s">
        <v>80</v>
      </c>
      <c r="G288" s="87">
        <v>6</v>
      </c>
      <c r="H288" s="153">
        <v>359</v>
      </c>
      <c r="I288" s="2"/>
    </row>
    <row r="289" spans="1:9" ht="19.8" customHeight="1" x14ac:dyDescent="0.3">
      <c r="A289" s="155">
        <v>45996</v>
      </c>
      <c r="B289" s="85" t="s">
        <v>54</v>
      </c>
      <c r="C289" s="86" t="s">
        <v>63</v>
      </c>
      <c r="D289" s="85" t="s">
        <v>1</v>
      </c>
      <c r="E289" s="156">
        <v>1.854166666666667</v>
      </c>
      <c r="F289" s="85" t="s">
        <v>56</v>
      </c>
      <c r="G289" s="87">
        <v>3</v>
      </c>
      <c r="H289" s="153">
        <v>369</v>
      </c>
      <c r="I289" s="2"/>
    </row>
    <row r="290" spans="1:9" ht="19.8" customHeight="1" x14ac:dyDescent="0.3">
      <c r="A290" s="155">
        <v>45996</v>
      </c>
      <c r="B290" s="85" t="s">
        <v>54</v>
      </c>
      <c r="C290" s="86" t="s">
        <v>68</v>
      </c>
      <c r="D290" s="85" t="s">
        <v>1</v>
      </c>
      <c r="E290" s="156">
        <v>1.256944444444444</v>
      </c>
      <c r="F290" s="85" t="s">
        <v>56</v>
      </c>
      <c r="G290" s="87">
        <v>9</v>
      </c>
      <c r="H290" s="153">
        <v>369</v>
      </c>
      <c r="I290" s="2"/>
    </row>
    <row r="291" spans="1:9" ht="19.8" customHeight="1" x14ac:dyDescent="0.3">
      <c r="A291" s="155">
        <v>45996</v>
      </c>
      <c r="B291" s="85" t="s">
        <v>54</v>
      </c>
      <c r="C291" s="86" t="s">
        <v>69</v>
      </c>
      <c r="D291" s="85" t="s">
        <v>1</v>
      </c>
      <c r="E291" s="156">
        <v>1.46875</v>
      </c>
      <c r="F291" s="85" t="s">
        <v>56</v>
      </c>
      <c r="G291" s="87">
        <v>2</v>
      </c>
      <c r="H291" s="153">
        <v>369</v>
      </c>
      <c r="I291" s="2"/>
    </row>
    <row r="292" spans="1:9" ht="19.8" customHeight="1" x14ac:dyDescent="0.3">
      <c r="A292" s="155">
        <v>45996</v>
      </c>
      <c r="B292" s="85" t="s">
        <v>54</v>
      </c>
      <c r="C292" s="86" t="s">
        <v>70</v>
      </c>
      <c r="D292" s="85" t="s">
        <v>1</v>
      </c>
      <c r="E292" s="156">
        <v>1.5173611111111109</v>
      </c>
      <c r="F292" s="85" t="s">
        <v>56</v>
      </c>
      <c r="G292" s="87">
        <v>9</v>
      </c>
      <c r="H292" s="153">
        <v>369</v>
      </c>
      <c r="I292" s="2"/>
    </row>
    <row r="293" spans="1:9" ht="19.8" customHeight="1" x14ac:dyDescent="0.3">
      <c r="A293" s="155">
        <v>45996</v>
      </c>
      <c r="B293" s="85" t="s">
        <v>54</v>
      </c>
      <c r="C293" s="86" t="s">
        <v>72</v>
      </c>
      <c r="D293" s="85" t="s">
        <v>1</v>
      </c>
      <c r="E293" s="156">
        <v>1.7986111111111109</v>
      </c>
      <c r="F293" s="85" t="s">
        <v>56</v>
      </c>
      <c r="G293" s="87">
        <v>3</v>
      </c>
      <c r="H293" s="153">
        <v>369</v>
      </c>
      <c r="I293" s="2"/>
    </row>
    <row r="294" spans="1:9" ht="19.8" customHeight="1" x14ac:dyDescent="0.3">
      <c r="A294" s="155">
        <v>45996</v>
      </c>
      <c r="B294" s="85" t="s">
        <v>54</v>
      </c>
      <c r="C294" s="86" t="s">
        <v>55</v>
      </c>
      <c r="D294" s="85" t="s">
        <v>1</v>
      </c>
      <c r="E294" s="156">
        <v>1.395833333333333</v>
      </c>
      <c r="F294" s="85" t="s">
        <v>56</v>
      </c>
      <c r="G294" s="87">
        <v>5</v>
      </c>
      <c r="H294" s="153">
        <v>369</v>
      </c>
      <c r="I294" s="2"/>
    </row>
    <row r="295" spans="1:9" ht="19.8" customHeight="1" x14ac:dyDescent="0.3">
      <c r="A295" s="155">
        <v>45996</v>
      </c>
      <c r="B295" s="85" t="s">
        <v>54</v>
      </c>
      <c r="C295" s="86" t="s">
        <v>74</v>
      </c>
      <c r="D295" s="85" t="s">
        <v>1</v>
      </c>
      <c r="E295" s="156">
        <v>1.645833333333333</v>
      </c>
      <c r="F295" s="85" t="s">
        <v>56</v>
      </c>
      <c r="G295" s="87">
        <v>7</v>
      </c>
      <c r="H295" s="153">
        <v>369</v>
      </c>
      <c r="I295" s="2"/>
    </row>
    <row r="296" spans="1:9" ht="19.8" customHeight="1" x14ac:dyDescent="0.3">
      <c r="A296" s="155">
        <v>45996</v>
      </c>
      <c r="B296" s="85" t="s">
        <v>102</v>
      </c>
      <c r="C296" s="86" t="s">
        <v>222</v>
      </c>
      <c r="D296" s="85" t="s">
        <v>1</v>
      </c>
      <c r="E296" s="156">
        <v>1.677083333333333</v>
      </c>
      <c r="F296" s="85" t="s">
        <v>193</v>
      </c>
      <c r="G296" s="87">
        <v>9</v>
      </c>
      <c r="H296" s="153">
        <v>393</v>
      </c>
      <c r="I296" s="2"/>
    </row>
    <row r="297" spans="1:9" ht="19.8" customHeight="1" x14ac:dyDescent="0.3">
      <c r="A297" s="157">
        <v>45996</v>
      </c>
      <c r="B297" s="89" t="s">
        <v>110</v>
      </c>
      <c r="C297" s="90" t="s">
        <v>124</v>
      </c>
      <c r="D297" s="89" t="s">
        <v>1</v>
      </c>
      <c r="E297" s="158">
        <v>1.614583333333333</v>
      </c>
      <c r="F297" s="89" t="s">
        <v>112</v>
      </c>
      <c r="G297" s="91">
        <v>9</v>
      </c>
      <c r="H297" s="154">
        <v>401</v>
      </c>
      <c r="I297" s="2"/>
    </row>
    <row r="298" spans="1:9" ht="19.8" customHeight="1" x14ac:dyDescent="0.3">
      <c r="A298" s="157">
        <v>45996</v>
      </c>
      <c r="B298" s="89" t="s">
        <v>110</v>
      </c>
      <c r="C298" s="90" t="s">
        <v>131</v>
      </c>
      <c r="D298" s="89" t="s">
        <v>1</v>
      </c>
      <c r="E298" s="158">
        <v>1.319444444444444</v>
      </c>
      <c r="F298" s="89" t="s">
        <v>112</v>
      </c>
      <c r="G298" s="91">
        <v>1</v>
      </c>
      <c r="H298" s="154">
        <v>401</v>
      </c>
      <c r="I298" s="2"/>
    </row>
    <row r="299" spans="1:9" ht="19.8" customHeight="1" x14ac:dyDescent="0.3">
      <c r="A299" s="157">
        <v>45996</v>
      </c>
      <c r="B299" s="89" t="s">
        <v>110</v>
      </c>
      <c r="C299" s="90" t="s">
        <v>164</v>
      </c>
      <c r="D299" s="89" t="s">
        <v>1</v>
      </c>
      <c r="E299" s="158">
        <v>1.114583333333333</v>
      </c>
      <c r="F299" s="89" t="s">
        <v>112</v>
      </c>
      <c r="G299" s="91">
        <v>9</v>
      </c>
      <c r="H299" s="154">
        <v>401</v>
      </c>
      <c r="I299" s="2"/>
    </row>
    <row r="300" spans="1:9" ht="19.8" customHeight="1" x14ac:dyDescent="0.3">
      <c r="A300" s="155">
        <v>45996</v>
      </c>
      <c r="B300" s="85" t="s">
        <v>98</v>
      </c>
      <c r="C300" s="86" t="s">
        <v>101</v>
      </c>
      <c r="D300" s="85" t="s">
        <v>1</v>
      </c>
      <c r="E300" s="156">
        <v>1.666666666666667</v>
      </c>
      <c r="F300" s="85" t="s">
        <v>95</v>
      </c>
      <c r="G300" s="87">
        <v>9</v>
      </c>
      <c r="H300" s="153">
        <v>401</v>
      </c>
      <c r="I300" s="2"/>
    </row>
    <row r="301" spans="1:9" ht="19.8" customHeight="1" x14ac:dyDescent="0.3">
      <c r="A301" s="157">
        <v>45996</v>
      </c>
      <c r="B301" s="89" t="s">
        <v>110</v>
      </c>
      <c r="C301" s="90" t="s">
        <v>118</v>
      </c>
      <c r="D301" s="89" t="s">
        <v>1</v>
      </c>
      <c r="E301" s="158">
        <v>1.458333333333333</v>
      </c>
      <c r="F301" s="89" t="s">
        <v>112</v>
      </c>
      <c r="G301" s="91">
        <v>5</v>
      </c>
      <c r="H301" s="154">
        <v>436</v>
      </c>
      <c r="I301" s="2"/>
    </row>
    <row r="302" spans="1:9" ht="19.8" customHeight="1" x14ac:dyDescent="0.3">
      <c r="A302" s="155">
        <v>45996</v>
      </c>
      <c r="B302" s="85" t="s">
        <v>54</v>
      </c>
      <c r="C302" s="86" t="s">
        <v>71</v>
      </c>
      <c r="D302" s="85" t="s">
        <v>1</v>
      </c>
      <c r="E302" s="156">
        <v>1.9027777777777779</v>
      </c>
      <c r="F302" s="85" t="s">
        <v>56</v>
      </c>
      <c r="G302" s="87">
        <v>9</v>
      </c>
      <c r="H302" s="153">
        <v>449</v>
      </c>
      <c r="I302" s="2"/>
    </row>
    <row r="303" spans="1:9" ht="19.8" customHeight="1" x14ac:dyDescent="0.3">
      <c r="A303" s="155">
        <v>45996</v>
      </c>
      <c r="B303" s="85" t="s">
        <v>54</v>
      </c>
      <c r="C303" s="86" t="s">
        <v>63</v>
      </c>
      <c r="D303" s="85" t="s">
        <v>1</v>
      </c>
      <c r="E303" s="156">
        <v>1.854166666666667</v>
      </c>
      <c r="F303" s="85" t="s">
        <v>59</v>
      </c>
      <c r="G303" s="87">
        <v>3</v>
      </c>
      <c r="H303" s="153">
        <v>469</v>
      </c>
      <c r="I303" s="2"/>
    </row>
    <row r="304" spans="1:9" ht="19.8" customHeight="1" x14ac:dyDescent="0.3">
      <c r="A304" s="155">
        <v>45996</v>
      </c>
      <c r="B304" s="85" t="s">
        <v>54</v>
      </c>
      <c r="C304" s="86" t="s">
        <v>68</v>
      </c>
      <c r="D304" s="85" t="s">
        <v>1</v>
      </c>
      <c r="E304" s="156">
        <v>1.256944444444444</v>
      </c>
      <c r="F304" s="85" t="s">
        <v>59</v>
      </c>
      <c r="G304" s="87">
        <v>9</v>
      </c>
      <c r="H304" s="153">
        <v>469</v>
      </c>
      <c r="I304" s="2"/>
    </row>
    <row r="305" spans="1:9" ht="19.8" customHeight="1" x14ac:dyDescent="0.3">
      <c r="A305" s="155">
        <v>45996</v>
      </c>
      <c r="B305" s="85" t="s">
        <v>54</v>
      </c>
      <c r="C305" s="86" t="s">
        <v>69</v>
      </c>
      <c r="D305" s="85" t="s">
        <v>1</v>
      </c>
      <c r="E305" s="156">
        <v>1.46875</v>
      </c>
      <c r="F305" s="85" t="s">
        <v>59</v>
      </c>
      <c r="G305" s="87">
        <v>2</v>
      </c>
      <c r="H305" s="153">
        <v>469</v>
      </c>
      <c r="I305" s="2"/>
    </row>
    <row r="306" spans="1:9" ht="19.8" customHeight="1" x14ac:dyDescent="0.3">
      <c r="A306" s="155">
        <v>45996</v>
      </c>
      <c r="B306" s="85" t="s">
        <v>54</v>
      </c>
      <c r="C306" s="86" t="s">
        <v>70</v>
      </c>
      <c r="D306" s="85" t="s">
        <v>1</v>
      </c>
      <c r="E306" s="156">
        <v>1.5173611111111109</v>
      </c>
      <c r="F306" s="85" t="s">
        <v>59</v>
      </c>
      <c r="G306" s="87">
        <v>9</v>
      </c>
      <c r="H306" s="153">
        <v>469</v>
      </c>
      <c r="I306" s="2"/>
    </row>
    <row r="307" spans="1:9" ht="19.8" customHeight="1" x14ac:dyDescent="0.3">
      <c r="A307" s="155">
        <v>45996</v>
      </c>
      <c r="B307" s="85" t="s">
        <v>54</v>
      </c>
      <c r="C307" s="86" t="s">
        <v>72</v>
      </c>
      <c r="D307" s="85" t="s">
        <v>1</v>
      </c>
      <c r="E307" s="156">
        <v>1.7986111111111109</v>
      </c>
      <c r="F307" s="85" t="s">
        <v>59</v>
      </c>
      <c r="G307" s="87">
        <v>3</v>
      </c>
      <c r="H307" s="153">
        <v>469</v>
      </c>
      <c r="I307" s="2"/>
    </row>
    <row r="308" spans="1:9" ht="19.8" customHeight="1" x14ac:dyDescent="0.3">
      <c r="A308" s="155">
        <v>45996</v>
      </c>
      <c r="B308" s="85" t="s">
        <v>54</v>
      </c>
      <c r="C308" s="86" t="s">
        <v>55</v>
      </c>
      <c r="D308" s="85" t="s">
        <v>1</v>
      </c>
      <c r="E308" s="156">
        <v>1.395833333333333</v>
      </c>
      <c r="F308" s="85" t="s">
        <v>59</v>
      </c>
      <c r="G308" s="87">
        <v>5</v>
      </c>
      <c r="H308" s="153">
        <v>469</v>
      </c>
      <c r="I308" s="2"/>
    </row>
    <row r="309" spans="1:9" ht="19.8" customHeight="1" x14ac:dyDescent="0.3">
      <c r="A309" s="155">
        <v>45996</v>
      </c>
      <c r="B309" s="85" t="s">
        <v>54</v>
      </c>
      <c r="C309" s="86" t="s">
        <v>74</v>
      </c>
      <c r="D309" s="85" t="s">
        <v>1</v>
      </c>
      <c r="E309" s="156">
        <v>1.645833333333333</v>
      </c>
      <c r="F309" s="85" t="s">
        <v>59</v>
      </c>
      <c r="G309" s="87">
        <v>7</v>
      </c>
      <c r="H309" s="153">
        <v>469</v>
      </c>
      <c r="I309" s="2"/>
    </row>
    <row r="310" spans="1:9" ht="19.8" customHeight="1" x14ac:dyDescent="0.3">
      <c r="A310" s="157">
        <v>45996</v>
      </c>
      <c r="B310" s="89" t="s">
        <v>110</v>
      </c>
      <c r="C310" s="90" t="s">
        <v>160</v>
      </c>
      <c r="D310" s="89" t="s">
        <v>1</v>
      </c>
      <c r="E310" s="158">
        <v>1.7361111111111109</v>
      </c>
      <c r="F310" s="89" t="s">
        <v>112</v>
      </c>
      <c r="G310" s="91">
        <v>4</v>
      </c>
      <c r="H310" s="154">
        <v>471</v>
      </c>
      <c r="I310" s="2"/>
    </row>
    <row r="311" spans="1:9" ht="19.8" customHeight="1" x14ac:dyDescent="0.3">
      <c r="A311" s="155">
        <v>45996</v>
      </c>
      <c r="B311" s="85" t="s">
        <v>78</v>
      </c>
      <c r="C311" s="86" t="s">
        <v>79</v>
      </c>
      <c r="D311" s="85" t="s">
        <v>1</v>
      </c>
      <c r="E311" s="156">
        <v>1.1284722222222221</v>
      </c>
      <c r="F311" s="85" t="s">
        <v>83</v>
      </c>
      <c r="G311" s="87">
        <v>2</v>
      </c>
      <c r="H311" s="153">
        <v>479</v>
      </c>
      <c r="I311" s="2"/>
    </row>
    <row r="312" spans="1:9" ht="19.8" customHeight="1" x14ac:dyDescent="0.3">
      <c r="A312" s="155">
        <v>45996</v>
      </c>
      <c r="B312" s="85" t="s">
        <v>78</v>
      </c>
      <c r="C312" s="86" t="s">
        <v>87</v>
      </c>
      <c r="D312" s="85" t="s">
        <v>1</v>
      </c>
      <c r="E312" s="156">
        <v>1.302083333333333</v>
      </c>
      <c r="F312" s="85" t="s">
        <v>83</v>
      </c>
      <c r="G312" s="87">
        <v>1</v>
      </c>
      <c r="H312" s="153">
        <v>479</v>
      </c>
      <c r="I312" s="2"/>
    </row>
    <row r="313" spans="1:9" ht="19.8" customHeight="1" x14ac:dyDescent="0.3">
      <c r="A313" s="155">
        <v>45996</v>
      </c>
      <c r="B313" s="85" t="s">
        <v>78</v>
      </c>
      <c r="C313" s="86" t="s">
        <v>89</v>
      </c>
      <c r="D313" s="85" t="s">
        <v>1</v>
      </c>
      <c r="E313" s="156">
        <v>1.8888888888888891</v>
      </c>
      <c r="F313" s="85" t="s">
        <v>83</v>
      </c>
      <c r="G313" s="87">
        <v>1</v>
      </c>
      <c r="H313" s="153">
        <v>479</v>
      </c>
      <c r="I313" s="2"/>
    </row>
    <row r="314" spans="1:9" ht="19.8" customHeight="1" x14ac:dyDescent="0.3">
      <c r="A314" s="155">
        <v>45996</v>
      </c>
      <c r="B314" s="85" t="s">
        <v>78</v>
      </c>
      <c r="C314" s="86" t="s">
        <v>90</v>
      </c>
      <c r="D314" s="85" t="s">
        <v>1</v>
      </c>
      <c r="E314" s="156">
        <v>1.788194444444444</v>
      </c>
      <c r="F314" s="85" t="s">
        <v>83</v>
      </c>
      <c r="G314" s="87">
        <v>6</v>
      </c>
      <c r="H314" s="153">
        <v>509</v>
      </c>
      <c r="I314" s="2"/>
    </row>
    <row r="315" spans="1:9" ht="19.8" customHeight="1" x14ac:dyDescent="0.3">
      <c r="A315" s="155">
        <v>45996</v>
      </c>
      <c r="B315" s="85" t="s">
        <v>54</v>
      </c>
      <c r="C315" s="86" t="s">
        <v>71</v>
      </c>
      <c r="D315" s="85" t="s">
        <v>1</v>
      </c>
      <c r="E315" s="156">
        <v>1.9027777777777779</v>
      </c>
      <c r="F315" s="85" t="s">
        <v>59</v>
      </c>
      <c r="G315" s="87">
        <v>9</v>
      </c>
      <c r="H315" s="153">
        <v>549</v>
      </c>
      <c r="I315" s="2"/>
    </row>
    <row r="316" spans="1:9" ht="19.8" customHeight="1" x14ac:dyDescent="0.3">
      <c r="A316" s="155">
        <v>45996</v>
      </c>
      <c r="B316" s="85" t="s">
        <v>54</v>
      </c>
      <c r="C316" s="86" t="s">
        <v>63</v>
      </c>
      <c r="D316" s="85" t="s">
        <v>1</v>
      </c>
      <c r="E316" s="156">
        <v>1.854166666666667</v>
      </c>
      <c r="F316" s="85" t="s">
        <v>61</v>
      </c>
      <c r="G316" s="87">
        <v>3</v>
      </c>
      <c r="H316" s="153">
        <v>559</v>
      </c>
      <c r="I316" s="2"/>
    </row>
    <row r="317" spans="1:9" ht="19.8" customHeight="1" x14ac:dyDescent="0.3">
      <c r="A317" s="155">
        <v>45996</v>
      </c>
      <c r="B317" s="85" t="s">
        <v>54</v>
      </c>
      <c r="C317" s="86" t="s">
        <v>68</v>
      </c>
      <c r="D317" s="85" t="s">
        <v>1</v>
      </c>
      <c r="E317" s="156">
        <v>1.256944444444444</v>
      </c>
      <c r="F317" s="85" t="s">
        <v>61</v>
      </c>
      <c r="G317" s="87">
        <v>9</v>
      </c>
      <c r="H317" s="153">
        <v>559</v>
      </c>
      <c r="I317" s="2"/>
    </row>
    <row r="318" spans="1:9" ht="19.8" customHeight="1" x14ac:dyDescent="0.3">
      <c r="A318" s="155">
        <v>45996</v>
      </c>
      <c r="B318" s="85" t="s">
        <v>54</v>
      </c>
      <c r="C318" s="86" t="s">
        <v>69</v>
      </c>
      <c r="D318" s="85" t="s">
        <v>1</v>
      </c>
      <c r="E318" s="156">
        <v>1.46875</v>
      </c>
      <c r="F318" s="85" t="s">
        <v>61</v>
      </c>
      <c r="G318" s="87">
        <v>2</v>
      </c>
      <c r="H318" s="153">
        <v>559</v>
      </c>
      <c r="I318" s="2"/>
    </row>
    <row r="319" spans="1:9" ht="19.8" customHeight="1" x14ac:dyDescent="0.3">
      <c r="A319" s="155">
        <v>45996</v>
      </c>
      <c r="B319" s="85" t="s">
        <v>54</v>
      </c>
      <c r="C319" s="86" t="s">
        <v>70</v>
      </c>
      <c r="D319" s="85" t="s">
        <v>1</v>
      </c>
      <c r="E319" s="156">
        <v>1.5173611111111109</v>
      </c>
      <c r="F319" s="85" t="s">
        <v>61</v>
      </c>
      <c r="G319" s="87">
        <v>9</v>
      </c>
      <c r="H319" s="153">
        <v>559</v>
      </c>
      <c r="I319" s="2"/>
    </row>
    <row r="320" spans="1:9" ht="19.8" customHeight="1" x14ac:dyDescent="0.3">
      <c r="A320" s="155">
        <v>45996</v>
      </c>
      <c r="B320" s="85" t="s">
        <v>54</v>
      </c>
      <c r="C320" s="86" t="s">
        <v>72</v>
      </c>
      <c r="D320" s="85" t="s">
        <v>1</v>
      </c>
      <c r="E320" s="156">
        <v>1.7986111111111109</v>
      </c>
      <c r="F320" s="85" t="s">
        <v>61</v>
      </c>
      <c r="G320" s="87">
        <v>3</v>
      </c>
      <c r="H320" s="153">
        <v>559</v>
      </c>
      <c r="I320" s="2"/>
    </row>
    <row r="321" spans="1:9" ht="19.8" customHeight="1" x14ac:dyDescent="0.3">
      <c r="A321" s="155">
        <v>45996</v>
      </c>
      <c r="B321" s="85" t="s">
        <v>54</v>
      </c>
      <c r="C321" s="86" t="s">
        <v>55</v>
      </c>
      <c r="D321" s="85" t="s">
        <v>1</v>
      </c>
      <c r="E321" s="156">
        <v>1.395833333333333</v>
      </c>
      <c r="F321" s="85" t="s">
        <v>61</v>
      </c>
      <c r="G321" s="87">
        <v>5</v>
      </c>
      <c r="H321" s="153">
        <v>559</v>
      </c>
      <c r="I321" s="2"/>
    </row>
    <row r="322" spans="1:9" ht="19.8" customHeight="1" x14ac:dyDescent="0.3">
      <c r="A322" s="155">
        <v>45996</v>
      </c>
      <c r="B322" s="85" t="s">
        <v>54</v>
      </c>
      <c r="C322" s="86" t="s">
        <v>74</v>
      </c>
      <c r="D322" s="85" t="s">
        <v>1</v>
      </c>
      <c r="E322" s="156">
        <v>1.645833333333333</v>
      </c>
      <c r="F322" s="85" t="s">
        <v>61</v>
      </c>
      <c r="G322" s="87">
        <v>7</v>
      </c>
      <c r="H322" s="153">
        <v>559</v>
      </c>
      <c r="I322" s="2"/>
    </row>
    <row r="323" spans="1:9" ht="19.8" customHeight="1" x14ac:dyDescent="0.3">
      <c r="A323" s="155">
        <v>45996</v>
      </c>
      <c r="B323" s="85" t="s">
        <v>136</v>
      </c>
      <c r="C323" s="86" t="s">
        <v>140</v>
      </c>
      <c r="D323" s="85" t="s">
        <v>1</v>
      </c>
      <c r="E323" s="156">
        <v>1.145833333333333</v>
      </c>
      <c r="F323" s="85" t="s">
        <v>138</v>
      </c>
      <c r="G323" s="87">
        <v>9</v>
      </c>
      <c r="H323" s="153">
        <v>579</v>
      </c>
      <c r="I323" s="2"/>
    </row>
    <row r="324" spans="1:9" ht="19.8" customHeight="1" x14ac:dyDescent="0.3">
      <c r="A324" s="155">
        <v>45996</v>
      </c>
      <c r="B324" s="85" t="s">
        <v>136</v>
      </c>
      <c r="C324" s="86" t="s">
        <v>141</v>
      </c>
      <c r="D324" s="85" t="s">
        <v>1</v>
      </c>
      <c r="E324" s="156">
        <v>1.2777777777777779</v>
      </c>
      <c r="F324" s="85" t="s">
        <v>138</v>
      </c>
      <c r="G324" s="87">
        <v>9</v>
      </c>
      <c r="H324" s="153">
        <v>579</v>
      </c>
      <c r="I324" s="2"/>
    </row>
    <row r="325" spans="1:9" ht="19.8" customHeight="1" x14ac:dyDescent="0.3">
      <c r="A325" s="155">
        <v>45996</v>
      </c>
      <c r="B325" s="85" t="s">
        <v>136</v>
      </c>
      <c r="C325" s="86" t="s">
        <v>142</v>
      </c>
      <c r="D325" s="85" t="s">
        <v>1</v>
      </c>
      <c r="E325" s="156">
        <v>1.4861111111111109</v>
      </c>
      <c r="F325" s="85" t="s">
        <v>138</v>
      </c>
      <c r="G325" s="87">
        <v>9</v>
      </c>
      <c r="H325" s="153">
        <v>579</v>
      </c>
      <c r="I325" s="2"/>
    </row>
    <row r="326" spans="1:9" ht="19.8" customHeight="1" x14ac:dyDescent="0.3">
      <c r="A326" s="155">
        <v>45996</v>
      </c>
      <c r="B326" s="85" t="s">
        <v>136</v>
      </c>
      <c r="C326" s="86" t="s">
        <v>137</v>
      </c>
      <c r="D326" s="85" t="s">
        <v>1</v>
      </c>
      <c r="E326" s="156">
        <v>1.229166666666667</v>
      </c>
      <c r="F326" s="85" t="s">
        <v>138</v>
      </c>
      <c r="G326" s="87">
        <v>9</v>
      </c>
      <c r="H326" s="153">
        <v>583</v>
      </c>
      <c r="I326" s="2"/>
    </row>
    <row r="327" spans="1:9" ht="19.8" customHeight="1" x14ac:dyDescent="0.3">
      <c r="A327" s="155">
        <v>45996</v>
      </c>
      <c r="B327" s="85" t="s">
        <v>54</v>
      </c>
      <c r="C327" s="86" t="s">
        <v>71</v>
      </c>
      <c r="D327" s="85" t="s">
        <v>1</v>
      </c>
      <c r="E327" s="156">
        <v>1.9027777777777779</v>
      </c>
      <c r="F327" s="85" t="s">
        <v>61</v>
      </c>
      <c r="G327" s="87">
        <v>9</v>
      </c>
      <c r="H327" s="153">
        <v>639</v>
      </c>
      <c r="I327" s="2"/>
    </row>
    <row r="328" spans="1:9" ht="19.8" customHeight="1" x14ac:dyDescent="0.3">
      <c r="A328" s="155">
        <v>45996</v>
      </c>
      <c r="B328" s="85" t="s">
        <v>26</v>
      </c>
      <c r="C328" s="86" t="s">
        <v>49</v>
      </c>
      <c r="D328" s="85" t="s">
        <v>1</v>
      </c>
      <c r="E328" s="156">
        <v>1.1423611111111109</v>
      </c>
      <c r="F328" s="85" t="s">
        <v>31</v>
      </c>
      <c r="G328" s="87">
        <v>9</v>
      </c>
      <c r="H328" s="153">
        <v>678</v>
      </c>
      <c r="I328" s="2"/>
    </row>
    <row r="329" spans="1:9" ht="19.8" customHeight="1" x14ac:dyDescent="0.3">
      <c r="A329" s="155">
        <v>45996</v>
      </c>
      <c r="B329" s="85" t="s">
        <v>26</v>
      </c>
      <c r="C329" s="86" t="s">
        <v>50</v>
      </c>
      <c r="D329" s="85" t="s">
        <v>1</v>
      </c>
      <c r="E329" s="156">
        <v>1.71875</v>
      </c>
      <c r="F329" s="85" t="s">
        <v>31</v>
      </c>
      <c r="G329" s="87">
        <v>4</v>
      </c>
      <c r="H329" s="153">
        <v>678</v>
      </c>
      <c r="I329" s="2"/>
    </row>
    <row r="330" spans="1:9" ht="19.8" customHeight="1" x14ac:dyDescent="0.3">
      <c r="A330" s="155">
        <v>45996</v>
      </c>
      <c r="B330" s="85" t="s">
        <v>26</v>
      </c>
      <c r="C330" s="86" t="s">
        <v>35</v>
      </c>
      <c r="D330" s="85" t="s">
        <v>1</v>
      </c>
      <c r="E330" s="156">
        <v>1.3784722222222221</v>
      </c>
      <c r="F330" s="85" t="s">
        <v>31</v>
      </c>
      <c r="G330" s="87">
        <v>9</v>
      </c>
      <c r="H330" s="153">
        <v>678</v>
      </c>
      <c r="I330" s="2"/>
    </row>
    <row r="331" spans="1:9" ht="19.8" customHeight="1" x14ac:dyDescent="0.3">
      <c r="A331" s="155">
        <v>45996</v>
      </c>
      <c r="B331" s="85" t="s">
        <v>26</v>
      </c>
      <c r="C331" s="86" t="s">
        <v>39</v>
      </c>
      <c r="D331" s="85" t="s">
        <v>1</v>
      </c>
      <c r="E331" s="156">
        <v>1.6111111111111109</v>
      </c>
      <c r="F331" s="85" t="s">
        <v>31</v>
      </c>
      <c r="G331" s="87">
        <v>9</v>
      </c>
      <c r="H331" s="153">
        <v>678</v>
      </c>
      <c r="I331" s="2"/>
    </row>
    <row r="332" spans="1:9" ht="19.8" customHeight="1" x14ac:dyDescent="0.3">
      <c r="A332" s="155">
        <v>45996</v>
      </c>
      <c r="B332" s="85" t="s">
        <v>26</v>
      </c>
      <c r="C332" s="86" t="s">
        <v>40</v>
      </c>
      <c r="D332" s="85" t="s">
        <v>1</v>
      </c>
      <c r="E332" s="156">
        <v>1.239583333333333</v>
      </c>
      <c r="F332" s="85" t="s">
        <v>31</v>
      </c>
      <c r="G332" s="87">
        <v>9</v>
      </c>
      <c r="H332" s="153">
        <v>678</v>
      </c>
      <c r="I332" s="2"/>
    </row>
    <row r="333" spans="1:9" ht="19.8" customHeight="1" x14ac:dyDescent="0.3">
      <c r="A333" s="155">
        <v>45996</v>
      </c>
      <c r="B333" s="85" t="s">
        <v>26</v>
      </c>
      <c r="C333" s="86" t="s">
        <v>49</v>
      </c>
      <c r="D333" s="85" t="s">
        <v>1</v>
      </c>
      <c r="E333" s="156">
        <v>1.1423611111111109</v>
      </c>
      <c r="F333" s="85" t="s">
        <v>33</v>
      </c>
      <c r="G333" s="87">
        <v>9</v>
      </c>
      <c r="H333" s="153">
        <v>723</v>
      </c>
      <c r="I333" s="2"/>
    </row>
    <row r="334" spans="1:9" ht="19.8" customHeight="1" x14ac:dyDescent="0.3">
      <c r="A334" s="155">
        <v>45996</v>
      </c>
      <c r="B334" s="85" t="s">
        <v>26</v>
      </c>
      <c r="C334" s="86" t="s">
        <v>50</v>
      </c>
      <c r="D334" s="85" t="s">
        <v>1</v>
      </c>
      <c r="E334" s="156">
        <v>1.71875</v>
      </c>
      <c r="F334" s="85" t="s">
        <v>33</v>
      </c>
      <c r="G334" s="87">
        <v>4</v>
      </c>
      <c r="H334" s="153">
        <v>723</v>
      </c>
      <c r="I334" s="2"/>
    </row>
    <row r="335" spans="1:9" ht="19.8" customHeight="1" x14ac:dyDescent="0.3">
      <c r="A335" s="155">
        <v>45996</v>
      </c>
      <c r="B335" s="85" t="s">
        <v>26</v>
      </c>
      <c r="C335" s="86" t="s">
        <v>35</v>
      </c>
      <c r="D335" s="85" t="s">
        <v>1</v>
      </c>
      <c r="E335" s="156">
        <v>1.3784722222222221</v>
      </c>
      <c r="F335" s="85" t="s">
        <v>33</v>
      </c>
      <c r="G335" s="87">
        <v>9</v>
      </c>
      <c r="H335" s="153">
        <v>723</v>
      </c>
      <c r="I335" s="2"/>
    </row>
    <row r="336" spans="1:9" ht="19.8" customHeight="1" x14ac:dyDescent="0.3">
      <c r="A336" s="155">
        <v>45996</v>
      </c>
      <c r="B336" s="85" t="s">
        <v>26</v>
      </c>
      <c r="C336" s="86" t="s">
        <v>39</v>
      </c>
      <c r="D336" s="85" t="s">
        <v>1</v>
      </c>
      <c r="E336" s="156">
        <v>1.6111111111111109</v>
      </c>
      <c r="F336" s="85" t="s">
        <v>33</v>
      </c>
      <c r="G336" s="87">
        <v>9</v>
      </c>
      <c r="H336" s="153">
        <v>723</v>
      </c>
      <c r="I336" s="2"/>
    </row>
    <row r="337" spans="1:9" ht="19.8" customHeight="1" x14ac:dyDescent="0.3">
      <c r="A337" s="155">
        <v>45996</v>
      </c>
      <c r="B337" s="85" t="s">
        <v>26</v>
      </c>
      <c r="C337" s="86" t="s">
        <v>40</v>
      </c>
      <c r="D337" s="85" t="s">
        <v>1</v>
      </c>
      <c r="E337" s="156">
        <v>1.239583333333333</v>
      </c>
      <c r="F337" s="85" t="s">
        <v>33</v>
      </c>
      <c r="G337" s="87">
        <v>9</v>
      </c>
      <c r="H337" s="153">
        <v>723</v>
      </c>
      <c r="I337" s="2"/>
    </row>
    <row r="338" spans="1:9" ht="19.8" customHeight="1" x14ac:dyDescent="0.3">
      <c r="A338" s="157">
        <v>45996</v>
      </c>
      <c r="B338" s="89" t="s">
        <v>110</v>
      </c>
      <c r="C338" s="90" t="s">
        <v>111</v>
      </c>
      <c r="D338" s="89" t="s">
        <v>1</v>
      </c>
      <c r="E338" s="158">
        <v>1.9375</v>
      </c>
      <c r="F338" s="89" t="s">
        <v>112</v>
      </c>
      <c r="G338" s="91">
        <v>9</v>
      </c>
      <c r="H338" s="154">
        <v>781</v>
      </c>
      <c r="I338" s="2"/>
    </row>
    <row r="339" spans="1:9" ht="19.8" customHeight="1" x14ac:dyDescent="0.3">
      <c r="A339" s="155">
        <v>45996</v>
      </c>
      <c r="B339" s="85" t="s">
        <v>136</v>
      </c>
      <c r="C339" s="86" t="s">
        <v>147</v>
      </c>
      <c r="D339" s="85" t="s">
        <v>1</v>
      </c>
      <c r="E339" s="156">
        <v>1.770833333333333</v>
      </c>
      <c r="F339" s="85" t="s">
        <v>145</v>
      </c>
      <c r="G339" s="87">
        <v>9</v>
      </c>
      <c r="H339" s="153">
        <v>795</v>
      </c>
      <c r="I339" s="2"/>
    </row>
    <row r="340" spans="1:9" ht="19.8" customHeight="1" x14ac:dyDescent="0.3">
      <c r="A340" s="155">
        <v>45996</v>
      </c>
      <c r="B340" s="85" t="s">
        <v>26</v>
      </c>
      <c r="C340" s="86" t="s">
        <v>46</v>
      </c>
      <c r="D340" s="85" t="s">
        <v>1</v>
      </c>
      <c r="E340" s="156">
        <v>1.006944444444444</v>
      </c>
      <c r="F340" s="85" t="s">
        <v>31</v>
      </c>
      <c r="G340" s="87">
        <v>9</v>
      </c>
      <c r="H340" s="153">
        <v>935</v>
      </c>
      <c r="I340" s="2"/>
    </row>
    <row r="341" spans="1:9" ht="19.8" customHeight="1" x14ac:dyDescent="0.3">
      <c r="A341" s="155">
        <v>45996</v>
      </c>
      <c r="B341" s="85" t="s">
        <v>26</v>
      </c>
      <c r="C341" s="86" t="s">
        <v>27</v>
      </c>
      <c r="D341" s="85" t="s">
        <v>1</v>
      </c>
      <c r="E341" s="156">
        <v>1.930555555555556</v>
      </c>
      <c r="F341" s="85" t="s">
        <v>31</v>
      </c>
      <c r="G341" s="87">
        <v>9</v>
      </c>
      <c r="H341" s="153">
        <v>935</v>
      </c>
      <c r="I341" s="2"/>
    </row>
    <row r="342" spans="1:9" ht="19.8" customHeight="1" x14ac:dyDescent="0.3">
      <c r="A342" s="155">
        <v>45996</v>
      </c>
      <c r="B342" s="85" t="s">
        <v>26</v>
      </c>
      <c r="C342" s="86" t="s">
        <v>46</v>
      </c>
      <c r="D342" s="85" t="s">
        <v>1</v>
      </c>
      <c r="E342" s="156">
        <v>1.006944444444444</v>
      </c>
      <c r="F342" s="85" t="s">
        <v>33</v>
      </c>
      <c r="G342" s="87">
        <v>9</v>
      </c>
      <c r="H342" s="153">
        <v>980</v>
      </c>
      <c r="I342" s="2"/>
    </row>
    <row r="343" spans="1:9" ht="19.8" customHeight="1" x14ac:dyDescent="0.3">
      <c r="A343" s="155">
        <v>45996</v>
      </c>
      <c r="B343" s="85" t="s">
        <v>26</v>
      </c>
      <c r="C343" s="86" t="s">
        <v>27</v>
      </c>
      <c r="D343" s="85" t="s">
        <v>1</v>
      </c>
      <c r="E343" s="156">
        <v>1.930555555555556</v>
      </c>
      <c r="F343" s="85" t="s">
        <v>33</v>
      </c>
      <c r="G343" s="87">
        <v>9</v>
      </c>
      <c r="H343" s="153">
        <v>980</v>
      </c>
      <c r="I343" s="2"/>
    </row>
    <row r="344" spans="1:9" ht="19.8" customHeight="1" x14ac:dyDescent="0.3">
      <c r="A344" s="155">
        <v>45996</v>
      </c>
      <c r="B344" s="85" t="s">
        <v>78</v>
      </c>
      <c r="C344" s="86" t="s">
        <v>79</v>
      </c>
      <c r="D344" s="85" t="s">
        <v>1</v>
      </c>
      <c r="E344" s="156">
        <v>1.1284722222222221</v>
      </c>
      <c r="F344" s="85" t="s">
        <v>85</v>
      </c>
      <c r="G344" s="87">
        <v>2</v>
      </c>
      <c r="H344" s="92" t="s">
        <v>86</v>
      </c>
      <c r="I344" s="2"/>
    </row>
    <row r="345" spans="1:9" ht="19.8" customHeight="1" x14ac:dyDescent="0.3">
      <c r="A345" s="155">
        <v>45996</v>
      </c>
      <c r="B345" s="85" t="s">
        <v>78</v>
      </c>
      <c r="C345" s="86" t="s">
        <v>87</v>
      </c>
      <c r="D345" s="85" t="s">
        <v>1</v>
      </c>
      <c r="E345" s="156">
        <v>1.302083333333333</v>
      </c>
      <c r="F345" s="85" t="s">
        <v>85</v>
      </c>
      <c r="G345" s="87">
        <v>1</v>
      </c>
      <c r="H345" s="92" t="s">
        <v>86</v>
      </c>
      <c r="I345" s="2"/>
    </row>
    <row r="346" spans="1:9" ht="19.8" customHeight="1" x14ac:dyDescent="0.3">
      <c r="A346" s="155">
        <v>45996</v>
      </c>
      <c r="B346" s="85" t="s">
        <v>78</v>
      </c>
      <c r="C346" s="86" t="s">
        <v>89</v>
      </c>
      <c r="D346" s="85" t="s">
        <v>1</v>
      </c>
      <c r="E346" s="156">
        <v>1.8888888888888891</v>
      </c>
      <c r="F346" s="85" t="s">
        <v>85</v>
      </c>
      <c r="G346" s="87">
        <v>1</v>
      </c>
      <c r="H346" s="92" t="s">
        <v>86</v>
      </c>
      <c r="I346" s="2"/>
    </row>
    <row r="347" spans="1:9" ht="19.8" customHeight="1" x14ac:dyDescent="0.3">
      <c r="A347" s="155">
        <v>45996</v>
      </c>
      <c r="B347" s="85" t="s">
        <v>78</v>
      </c>
      <c r="C347" s="86" t="s">
        <v>90</v>
      </c>
      <c r="D347" s="85" t="s">
        <v>1</v>
      </c>
      <c r="E347" s="156">
        <v>1.788194444444444</v>
      </c>
      <c r="F347" s="85" t="s">
        <v>85</v>
      </c>
      <c r="G347" s="87">
        <v>6</v>
      </c>
      <c r="H347" s="92" t="s">
        <v>86</v>
      </c>
      <c r="I347" s="2"/>
    </row>
    <row r="348" spans="1:9" ht="19.8" customHeight="1" x14ac:dyDescent="0.3">
      <c r="A348" s="155">
        <v>45996</v>
      </c>
      <c r="B348" s="85" t="s">
        <v>26</v>
      </c>
      <c r="C348" s="86" t="s">
        <v>41</v>
      </c>
      <c r="D348" s="85" t="s">
        <v>1</v>
      </c>
      <c r="E348" s="156">
        <v>1.8888888888888891</v>
      </c>
      <c r="F348" s="85" t="s">
        <v>33</v>
      </c>
      <c r="G348" s="87">
        <v>4</v>
      </c>
      <c r="H348" s="92" t="s">
        <v>174</v>
      </c>
      <c r="I348" s="2"/>
    </row>
    <row r="349" spans="1:9" ht="19.8" customHeight="1" x14ac:dyDescent="0.3">
      <c r="A349" s="155">
        <v>45996</v>
      </c>
      <c r="B349" s="85" t="s">
        <v>26</v>
      </c>
      <c r="C349" s="86" t="s">
        <v>44</v>
      </c>
      <c r="D349" s="85" t="s">
        <v>1</v>
      </c>
      <c r="E349" s="156">
        <v>1.302083333333333</v>
      </c>
      <c r="F349" s="85" t="s">
        <v>33</v>
      </c>
      <c r="G349" s="87">
        <v>4</v>
      </c>
      <c r="H349" s="92" t="s">
        <v>174</v>
      </c>
      <c r="I349" s="2"/>
    </row>
    <row r="350" spans="1:9" ht="19.8" customHeight="1" x14ac:dyDescent="0.3">
      <c r="A350" s="155">
        <v>45996</v>
      </c>
      <c r="B350" s="85" t="s">
        <v>26</v>
      </c>
      <c r="C350" s="86" t="s">
        <v>45</v>
      </c>
      <c r="D350" s="85" t="s">
        <v>1</v>
      </c>
      <c r="E350" s="156">
        <v>1.1284722222222221</v>
      </c>
      <c r="F350" s="85" t="s">
        <v>33</v>
      </c>
      <c r="G350" s="87">
        <v>4</v>
      </c>
      <c r="H350" s="92" t="s">
        <v>174</v>
      </c>
      <c r="I350" s="2"/>
    </row>
    <row r="351" spans="1:9" ht="19.8" customHeight="1" x14ac:dyDescent="0.3">
      <c r="A351" s="155">
        <v>45996</v>
      </c>
      <c r="B351" s="85" t="s">
        <v>26</v>
      </c>
      <c r="C351" s="86" t="s">
        <v>52</v>
      </c>
      <c r="D351" s="85" t="s">
        <v>1</v>
      </c>
      <c r="E351" s="156">
        <v>1.788194444444444</v>
      </c>
      <c r="F351" s="85" t="s">
        <v>33</v>
      </c>
      <c r="G351" s="87">
        <v>4</v>
      </c>
      <c r="H351" s="92" t="s">
        <v>174</v>
      </c>
      <c r="I351" s="2"/>
    </row>
    <row r="352" spans="1:9" ht="19.8" customHeight="1" x14ac:dyDescent="0.3">
      <c r="A352" s="155">
        <v>45996</v>
      </c>
      <c r="B352" s="85" t="s">
        <v>26</v>
      </c>
      <c r="C352" s="86" t="s">
        <v>51</v>
      </c>
      <c r="D352" s="85" t="s">
        <v>1</v>
      </c>
      <c r="E352" s="156">
        <v>1.8298611111111109</v>
      </c>
      <c r="F352" s="85" t="s">
        <v>31</v>
      </c>
      <c r="G352" s="87">
        <v>9</v>
      </c>
      <c r="H352" s="92" t="s">
        <v>47</v>
      </c>
      <c r="I352" s="2"/>
    </row>
    <row r="353" spans="1:9" ht="19.8" customHeight="1" x14ac:dyDescent="0.3">
      <c r="A353" s="159">
        <v>45996</v>
      </c>
      <c r="B353" s="93" t="s">
        <v>26</v>
      </c>
      <c r="C353" s="94" t="s">
        <v>51</v>
      </c>
      <c r="D353" s="93" t="s">
        <v>1</v>
      </c>
      <c r="E353" s="160">
        <v>1.8298611111111109</v>
      </c>
      <c r="F353" s="93" t="s">
        <v>33</v>
      </c>
      <c r="G353" s="95">
        <v>9</v>
      </c>
      <c r="H353" s="96" t="s">
        <v>48</v>
      </c>
      <c r="I35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8" t="s">
        <v>359</v>
      </c>
      <c r="B1" s="98" t="s">
        <v>8</v>
      </c>
      <c r="C1" s="98" t="s">
        <v>9</v>
      </c>
      <c r="D1" s="98" t="s">
        <v>360</v>
      </c>
      <c r="E1" s="98" t="s">
        <v>10</v>
      </c>
      <c r="F1" s="98" t="s">
        <v>11</v>
      </c>
      <c r="G1" s="98" t="s">
        <v>12</v>
      </c>
      <c r="H1" s="98" t="s">
        <v>13</v>
      </c>
      <c r="I1" s="98" t="s">
        <v>378</v>
      </c>
    </row>
    <row r="2" spans="1:9" ht="15.6" x14ac:dyDescent="0.3">
      <c r="A2" s="99" t="s">
        <v>361</v>
      </c>
      <c r="B2" s="99" t="s">
        <v>110</v>
      </c>
      <c r="C2" s="99" t="s">
        <v>111</v>
      </c>
      <c r="D2" s="99" t="s">
        <v>1</v>
      </c>
      <c r="E2" s="99" t="s">
        <v>287</v>
      </c>
      <c r="F2" s="99" t="s">
        <v>112</v>
      </c>
      <c r="G2" s="99" t="s">
        <v>73</v>
      </c>
      <c r="H2" s="99" t="s">
        <v>113</v>
      </c>
      <c r="I2" s="100" t="s">
        <v>379</v>
      </c>
    </row>
    <row r="3" spans="1:9" ht="15.6" x14ac:dyDescent="0.3">
      <c r="A3" s="99" t="s">
        <v>361</v>
      </c>
      <c r="B3" s="99" t="s">
        <v>110</v>
      </c>
      <c r="C3" s="99" t="s">
        <v>118</v>
      </c>
      <c r="D3" s="99" t="s">
        <v>1</v>
      </c>
      <c r="E3" s="99" t="s">
        <v>279</v>
      </c>
      <c r="F3" s="99" t="s">
        <v>112</v>
      </c>
      <c r="G3" s="99" t="s">
        <v>119</v>
      </c>
      <c r="H3" s="99" t="s">
        <v>120</v>
      </c>
      <c r="I3" s="100" t="s">
        <v>379</v>
      </c>
    </row>
    <row r="4" spans="1:9" ht="15.6" x14ac:dyDescent="0.3">
      <c r="A4" s="99" t="s">
        <v>361</v>
      </c>
      <c r="B4" s="99" t="s">
        <v>110</v>
      </c>
      <c r="C4" s="99" t="s">
        <v>124</v>
      </c>
      <c r="D4" s="99" t="s">
        <v>1</v>
      </c>
      <c r="E4" s="99" t="s">
        <v>266</v>
      </c>
      <c r="F4" s="99" t="s">
        <v>112</v>
      </c>
      <c r="G4" s="99" t="s">
        <v>125</v>
      </c>
      <c r="H4" s="99" t="s">
        <v>126</v>
      </c>
      <c r="I4" s="100" t="s">
        <v>379</v>
      </c>
    </row>
    <row r="5" spans="1:9" ht="15.6" x14ac:dyDescent="0.3">
      <c r="A5" s="99" t="s">
        <v>361</v>
      </c>
      <c r="B5" s="99" t="s">
        <v>110</v>
      </c>
      <c r="C5" s="99" t="s">
        <v>131</v>
      </c>
      <c r="D5" s="99" t="s">
        <v>1</v>
      </c>
      <c r="E5" s="99" t="s">
        <v>273</v>
      </c>
      <c r="F5" s="99" t="s">
        <v>112</v>
      </c>
      <c r="G5" s="99" t="s">
        <v>42</v>
      </c>
      <c r="H5" s="99" t="s">
        <v>126</v>
      </c>
      <c r="I5" s="100" t="s">
        <v>379</v>
      </c>
    </row>
    <row r="6" spans="1:9" ht="15.6" x14ac:dyDescent="0.3">
      <c r="A6" s="101" t="s">
        <v>361</v>
      </c>
      <c r="B6" s="101" t="s">
        <v>54</v>
      </c>
      <c r="C6" s="101" t="s">
        <v>55</v>
      </c>
      <c r="D6" s="101" t="s">
        <v>1</v>
      </c>
      <c r="E6" s="101" t="s">
        <v>363</v>
      </c>
      <c r="F6" s="101" t="s">
        <v>56</v>
      </c>
      <c r="G6" s="101" t="s">
        <v>57</v>
      </c>
      <c r="H6" s="101" t="s">
        <v>58</v>
      </c>
      <c r="I6" s="102" t="s">
        <v>380</v>
      </c>
    </row>
    <row r="7" spans="1:9" ht="15.6" x14ac:dyDescent="0.3">
      <c r="A7" s="101" t="s">
        <v>361</v>
      </c>
      <c r="B7" s="101" t="s">
        <v>93</v>
      </c>
      <c r="C7" s="101" t="s">
        <v>94</v>
      </c>
      <c r="D7" s="101" t="s">
        <v>1</v>
      </c>
      <c r="E7" s="101" t="s">
        <v>367</v>
      </c>
      <c r="F7" s="101" t="s">
        <v>95</v>
      </c>
      <c r="G7" s="101" t="s">
        <v>96</v>
      </c>
      <c r="H7" s="101" t="s">
        <v>97</v>
      </c>
      <c r="I7" s="103" t="s">
        <v>381</v>
      </c>
    </row>
    <row r="8" spans="1:9" ht="15.6" x14ac:dyDescent="0.3">
      <c r="A8" s="101" t="s">
        <v>361</v>
      </c>
      <c r="B8" s="101" t="s">
        <v>98</v>
      </c>
      <c r="C8" s="101" t="s">
        <v>99</v>
      </c>
      <c r="D8" s="101" t="s">
        <v>1</v>
      </c>
      <c r="E8" s="101" t="s">
        <v>368</v>
      </c>
      <c r="F8" s="101" t="s">
        <v>95</v>
      </c>
      <c r="G8" s="101" t="s">
        <v>36</v>
      </c>
      <c r="H8" s="101" t="s">
        <v>100</v>
      </c>
      <c r="I8" s="103" t="s">
        <v>381</v>
      </c>
    </row>
    <row r="9" spans="1:9" ht="15.6" x14ac:dyDescent="0.3">
      <c r="A9" s="101" t="s">
        <v>361</v>
      </c>
      <c r="B9" s="101" t="s">
        <v>98</v>
      </c>
      <c r="C9" s="101" t="s">
        <v>101</v>
      </c>
      <c r="D9" s="101" t="s">
        <v>1</v>
      </c>
      <c r="E9" s="101" t="s">
        <v>369</v>
      </c>
      <c r="F9" s="101" t="s">
        <v>95</v>
      </c>
      <c r="G9" s="101" t="s">
        <v>73</v>
      </c>
      <c r="H9" s="101" t="s">
        <v>100</v>
      </c>
      <c r="I9" s="103" t="s">
        <v>382</v>
      </c>
    </row>
    <row r="10" spans="1:9" ht="15.6" x14ac:dyDescent="0.3">
      <c r="A10" s="101" t="s">
        <v>361</v>
      </c>
      <c r="B10" s="101" t="s">
        <v>54</v>
      </c>
      <c r="C10" s="101" t="s">
        <v>68</v>
      </c>
      <c r="D10" s="101" t="s">
        <v>1</v>
      </c>
      <c r="E10" s="101" t="s">
        <v>371</v>
      </c>
      <c r="F10" s="101" t="s">
        <v>56</v>
      </c>
      <c r="G10" s="101" t="s">
        <v>64</v>
      </c>
      <c r="H10" s="101" t="s">
        <v>65</v>
      </c>
      <c r="I10" s="102" t="s">
        <v>383</v>
      </c>
    </row>
    <row r="11" spans="1:9" ht="15.6" x14ac:dyDescent="0.3">
      <c r="A11" s="101" t="s">
        <v>361</v>
      </c>
      <c r="B11" s="101" t="s">
        <v>54</v>
      </c>
      <c r="C11" s="101" t="s">
        <v>69</v>
      </c>
      <c r="D11" s="101" t="s">
        <v>1</v>
      </c>
      <c r="E11" s="101" t="s">
        <v>372</v>
      </c>
      <c r="F11" s="101" t="s">
        <v>56</v>
      </c>
      <c r="G11" s="101" t="s">
        <v>64</v>
      </c>
      <c r="H11" s="101" t="s">
        <v>65</v>
      </c>
      <c r="I11" s="102" t="s">
        <v>383</v>
      </c>
    </row>
    <row r="12" spans="1:9" ht="15.6" x14ac:dyDescent="0.3">
      <c r="A12" s="101" t="s">
        <v>361</v>
      </c>
      <c r="B12" s="101" t="s">
        <v>54</v>
      </c>
      <c r="C12" s="101" t="s">
        <v>70</v>
      </c>
      <c r="D12" s="101" t="s">
        <v>1</v>
      </c>
      <c r="E12" s="101" t="s">
        <v>318</v>
      </c>
      <c r="F12" s="101" t="s">
        <v>56</v>
      </c>
      <c r="G12" s="101" t="s">
        <v>29</v>
      </c>
      <c r="H12" s="101" t="s">
        <v>65</v>
      </c>
      <c r="I12" s="102" t="s">
        <v>383</v>
      </c>
    </row>
    <row r="13" spans="1:9" ht="15.6" x14ac:dyDescent="0.3">
      <c r="A13" s="101" t="s">
        <v>361</v>
      </c>
      <c r="B13" s="101" t="s">
        <v>102</v>
      </c>
      <c r="C13" s="101" t="s">
        <v>103</v>
      </c>
      <c r="D13" s="101" t="s">
        <v>1</v>
      </c>
      <c r="E13" s="101" t="s">
        <v>375</v>
      </c>
      <c r="F13" s="101" t="s">
        <v>104</v>
      </c>
      <c r="G13" s="101" t="s">
        <v>64</v>
      </c>
      <c r="H13" s="101" t="s">
        <v>105</v>
      </c>
      <c r="I13" s="103" t="s">
        <v>384</v>
      </c>
    </row>
    <row r="14" spans="1:9" ht="15.6" x14ac:dyDescent="0.3">
      <c r="A14" s="101" t="s">
        <v>361</v>
      </c>
      <c r="B14" s="101" t="s">
        <v>26</v>
      </c>
      <c r="C14" s="101" t="s">
        <v>27</v>
      </c>
      <c r="D14" s="101" t="s">
        <v>1</v>
      </c>
      <c r="E14" s="101" t="s">
        <v>362</v>
      </c>
      <c r="F14" s="101" t="s">
        <v>33</v>
      </c>
      <c r="G14" s="101" t="s">
        <v>29</v>
      </c>
      <c r="H14" s="101" t="s">
        <v>34</v>
      </c>
      <c r="I14" s="104" t="s">
        <v>385</v>
      </c>
    </row>
    <row r="15" spans="1:9" ht="15.6" x14ac:dyDescent="0.3">
      <c r="A15" s="101" t="s">
        <v>361</v>
      </c>
      <c r="B15" s="101" t="s">
        <v>54</v>
      </c>
      <c r="C15" s="101" t="s">
        <v>55</v>
      </c>
      <c r="D15" s="101" t="s">
        <v>1</v>
      </c>
      <c r="E15" s="101" t="s">
        <v>363</v>
      </c>
      <c r="F15" s="101" t="s">
        <v>59</v>
      </c>
      <c r="G15" s="101" t="s">
        <v>57</v>
      </c>
      <c r="H15" s="101" t="s">
        <v>60</v>
      </c>
      <c r="I15" s="103" t="s">
        <v>386</v>
      </c>
    </row>
    <row r="16" spans="1:9" ht="15.6" x14ac:dyDescent="0.3">
      <c r="A16" s="101" t="s">
        <v>361</v>
      </c>
      <c r="B16" s="101" t="s">
        <v>102</v>
      </c>
      <c r="C16" s="101" t="s">
        <v>107</v>
      </c>
      <c r="D16" s="101" t="s">
        <v>1</v>
      </c>
      <c r="E16" s="101" t="s">
        <v>377</v>
      </c>
      <c r="F16" s="101" t="s">
        <v>104</v>
      </c>
      <c r="G16" s="101" t="s">
        <v>64</v>
      </c>
      <c r="H16" s="101" t="s">
        <v>108</v>
      </c>
      <c r="I16" s="103" t="s">
        <v>387</v>
      </c>
    </row>
    <row r="17" spans="1:9" ht="15.6" x14ac:dyDescent="0.3">
      <c r="A17" s="101" t="s">
        <v>361</v>
      </c>
      <c r="B17" s="101" t="s">
        <v>54</v>
      </c>
      <c r="C17" s="101" t="s">
        <v>68</v>
      </c>
      <c r="D17" s="101" t="s">
        <v>1</v>
      </c>
      <c r="E17" s="101" t="s">
        <v>371</v>
      </c>
      <c r="F17" s="101" t="s">
        <v>59</v>
      </c>
      <c r="G17" s="101" t="s">
        <v>64</v>
      </c>
      <c r="H17" s="101" t="s">
        <v>66</v>
      </c>
      <c r="I17" s="102" t="s">
        <v>388</v>
      </c>
    </row>
    <row r="18" spans="1:9" ht="15.6" x14ac:dyDescent="0.3">
      <c r="A18" s="101" t="s">
        <v>361</v>
      </c>
      <c r="B18" s="101" t="s">
        <v>54</v>
      </c>
      <c r="C18" s="101" t="s">
        <v>69</v>
      </c>
      <c r="D18" s="101" t="s">
        <v>1</v>
      </c>
      <c r="E18" s="101" t="s">
        <v>372</v>
      </c>
      <c r="F18" s="101" t="s">
        <v>59</v>
      </c>
      <c r="G18" s="101" t="s">
        <v>64</v>
      </c>
      <c r="H18" s="101" t="s">
        <v>66</v>
      </c>
      <c r="I18" s="102" t="s">
        <v>388</v>
      </c>
    </row>
    <row r="19" spans="1:9" ht="15.6" x14ac:dyDescent="0.3">
      <c r="A19" s="101" t="s">
        <v>361</v>
      </c>
      <c r="B19" s="101" t="s">
        <v>54</v>
      </c>
      <c r="C19" s="101" t="s">
        <v>70</v>
      </c>
      <c r="D19" s="101" t="s">
        <v>1</v>
      </c>
      <c r="E19" s="101" t="s">
        <v>318</v>
      </c>
      <c r="F19" s="101" t="s">
        <v>59</v>
      </c>
      <c r="G19" s="101" t="s">
        <v>29</v>
      </c>
      <c r="H19" s="101" t="s">
        <v>66</v>
      </c>
      <c r="I19" s="102" t="s">
        <v>388</v>
      </c>
    </row>
    <row r="20" spans="1:9" ht="15.6" x14ac:dyDescent="0.3">
      <c r="A20" s="101" t="s">
        <v>361</v>
      </c>
      <c r="B20" s="101" t="s">
        <v>102</v>
      </c>
      <c r="C20" s="101" t="s">
        <v>103</v>
      </c>
      <c r="D20" s="101" t="s">
        <v>1</v>
      </c>
      <c r="E20" s="101" t="s">
        <v>375</v>
      </c>
      <c r="F20" s="101" t="s">
        <v>85</v>
      </c>
      <c r="G20" s="101" t="s">
        <v>64</v>
      </c>
      <c r="H20" s="101" t="s">
        <v>106</v>
      </c>
      <c r="I20" s="104" t="s">
        <v>389</v>
      </c>
    </row>
    <row r="21" spans="1:9" ht="15.6" x14ac:dyDescent="0.3">
      <c r="A21" s="101" t="s">
        <v>361</v>
      </c>
      <c r="B21" s="101" t="s">
        <v>54</v>
      </c>
      <c r="C21" s="101" t="s">
        <v>55</v>
      </c>
      <c r="D21" s="101" t="s">
        <v>1</v>
      </c>
      <c r="E21" s="101" t="s">
        <v>363</v>
      </c>
      <c r="F21" s="101" t="s">
        <v>61</v>
      </c>
      <c r="G21" s="101" t="s">
        <v>57</v>
      </c>
      <c r="H21" s="101" t="s">
        <v>62</v>
      </c>
      <c r="I21" s="104" t="s">
        <v>390</v>
      </c>
    </row>
    <row r="22" spans="1:9" ht="15.6" x14ac:dyDescent="0.3">
      <c r="A22" s="101" t="s">
        <v>361</v>
      </c>
      <c r="B22" s="101" t="s">
        <v>102</v>
      </c>
      <c r="C22" s="101" t="s">
        <v>107</v>
      </c>
      <c r="D22" s="101" t="s">
        <v>1</v>
      </c>
      <c r="E22" s="101" t="s">
        <v>377</v>
      </c>
      <c r="F22" s="101" t="s">
        <v>85</v>
      </c>
      <c r="G22" s="101" t="s">
        <v>64</v>
      </c>
      <c r="H22" s="101" t="s">
        <v>109</v>
      </c>
      <c r="I22" s="104" t="s">
        <v>391</v>
      </c>
    </row>
    <row r="23" spans="1:9" ht="15.6" x14ac:dyDescent="0.3">
      <c r="A23" s="101" t="s">
        <v>361</v>
      </c>
      <c r="B23" s="101" t="s">
        <v>54</v>
      </c>
      <c r="C23" s="101" t="s">
        <v>63</v>
      </c>
      <c r="D23" s="101" t="s">
        <v>1</v>
      </c>
      <c r="E23" s="101" t="s">
        <v>370</v>
      </c>
      <c r="F23" s="101" t="s">
        <v>61</v>
      </c>
      <c r="G23" s="101" t="s">
        <v>64</v>
      </c>
      <c r="H23" s="101" t="s">
        <v>67</v>
      </c>
      <c r="I23" s="104" t="s">
        <v>392</v>
      </c>
    </row>
    <row r="24" spans="1:9" ht="15.6" x14ac:dyDescent="0.3">
      <c r="A24" s="101" t="s">
        <v>361</v>
      </c>
      <c r="B24" s="101" t="s">
        <v>54</v>
      </c>
      <c r="C24" s="101" t="s">
        <v>68</v>
      </c>
      <c r="D24" s="101" t="s">
        <v>1</v>
      </c>
      <c r="E24" s="101" t="s">
        <v>371</v>
      </c>
      <c r="F24" s="101" t="s">
        <v>61</v>
      </c>
      <c r="G24" s="101" t="s">
        <v>64</v>
      </c>
      <c r="H24" s="101" t="s">
        <v>67</v>
      </c>
      <c r="I24" s="104" t="s">
        <v>391</v>
      </c>
    </row>
    <row r="25" spans="1:9" ht="15.6" x14ac:dyDescent="0.3">
      <c r="A25" s="101" t="s">
        <v>361</v>
      </c>
      <c r="B25" s="101" t="s">
        <v>54</v>
      </c>
      <c r="C25" s="101" t="s">
        <v>69</v>
      </c>
      <c r="D25" s="101" t="s">
        <v>1</v>
      </c>
      <c r="E25" s="101" t="s">
        <v>372</v>
      </c>
      <c r="F25" s="101" t="s">
        <v>61</v>
      </c>
      <c r="G25" s="101" t="s">
        <v>64</v>
      </c>
      <c r="H25" s="101" t="s">
        <v>67</v>
      </c>
      <c r="I25" s="104" t="s">
        <v>391</v>
      </c>
    </row>
    <row r="26" spans="1:9" ht="15.6" x14ac:dyDescent="0.3">
      <c r="A26" s="101" t="s">
        <v>361</v>
      </c>
      <c r="B26" s="101" t="s">
        <v>54</v>
      </c>
      <c r="C26" s="101" t="s">
        <v>70</v>
      </c>
      <c r="D26" s="101" t="s">
        <v>1</v>
      </c>
      <c r="E26" s="101" t="s">
        <v>318</v>
      </c>
      <c r="F26" s="101" t="s">
        <v>61</v>
      </c>
      <c r="G26" s="101" t="s">
        <v>29</v>
      </c>
      <c r="H26" s="101" t="s">
        <v>67</v>
      </c>
      <c r="I26" s="104" t="s">
        <v>391</v>
      </c>
    </row>
    <row r="27" spans="1:9" ht="15.6" x14ac:dyDescent="0.3">
      <c r="A27" s="101" t="s">
        <v>361</v>
      </c>
      <c r="B27" s="101" t="s">
        <v>54</v>
      </c>
      <c r="C27" s="101" t="s">
        <v>71</v>
      </c>
      <c r="D27" s="101" t="s">
        <v>1</v>
      </c>
      <c r="E27" s="101" t="s">
        <v>373</v>
      </c>
      <c r="F27" s="101" t="s">
        <v>61</v>
      </c>
      <c r="G27" s="101" t="s">
        <v>64</v>
      </c>
      <c r="H27" s="101" t="s">
        <v>67</v>
      </c>
      <c r="I27" s="104" t="s">
        <v>392</v>
      </c>
    </row>
    <row r="28" spans="1:9" ht="15.6" x14ac:dyDescent="0.3">
      <c r="A28" s="101" t="s">
        <v>361</v>
      </c>
      <c r="B28" s="101" t="s">
        <v>54</v>
      </c>
      <c r="C28" s="101" t="s">
        <v>72</v>
      </c>
      <c r="D28" s="101" t="s">
        <v>1</v>
      </c>
      <c r="E28" s="101" t="s">
        <v>374</v>
      </c>
      <c r="F28" s="101" t="s">
        <v>61</v>
      </c>
      <c r="G28" s="101" t="s">
        <v>73</v>
      </c>
      <c r="H28" s="101" t="s">
        <v>67</v>
      </c>
      <c r="I28" s="104" t="s">
        <v>392</v>
      </c>
    </row>
    <row r="29" spans="1:9" ht="15.6" x14ac:dyDescent="0.3">
      <c r="A29" s="101" t="s">
        <v>361</v>
      </c>
      <c r="B29" s="101" t="s">
        <v>136</v>
      </c>
      <c r="C29" s="101" t="s">
        <v>144</v>
      </c>
      <c r="D29" s="101" t="s">
        <v>1</v>
      </c>
      <c r="E29" s="101" t="s">
        <v>393</v>
      </c>
      <c r="F29" s="101" t="s">
        <v>145</v>
      </c>
      <c r="G29" s="101" t="s">
        <v>29</v>
      </c>
      <c r="H29" s="101" t="s">
        <v>146</v>
      </c>
      <c r="I29" s="102" t="s">
        <v>380</v>
      </c>
    </row>
    <row r="30" spans="1:9" ht="15.6" x14ac:dyDescent="0.3">
      <c r="A30" s="101" t="s">
        <v>361</v>
      </c>
      <c r="B30" s="101" t="s">
        <v>54</v>
      </c>
      <c r="C30" s="101" t="s">
        <v>74</v>
      </c>
      <c r="D30" s="101" t="s">
        <v>1</v>
      </c>
      <c r="E30" s="101" t="s">
        <v>394</v>
      </c>
      <c r="F30" s="101" t="s">
        <v>61</v>
      </c>
      <c r="G30" s="101" t="s">
        <v>64</v>
      </c>
      <c r="H30" s="101" t="s">
        <v>77</v>
      </c>
      <c r="I30" s="104" t="s">
        <v>395</v>
      </c>
    </row>
    <row r="31" spans="1:9" ht="15.6" x14ac:dyDescent="0.3">
      <c r="A31" s="101" t="s">
        <v>361</v>
      </c>
      <c r="B31" s="101" t="s">
        <v>136</v>
      </c>
      <c r="C31" s="101" t="s">
        <v>149</v>
      </c>
      <c r="D31" s="101" t="s">
        <v>1</v>
      </c>
      <c r="E31" s="101" t="s">
        <v>396</v>
      </c>
      <c r="F31" s="101" t="s">
        <v>145</v>
      </c>
      <c r="G31" s="101" t="s">
        <v>96</v>
      </c>
      <c r="H31" s="101" t="s">
        <v>148</v>
      </c>
      <c r="I31" s="102" t="s">
        <v>383</v>
      </c>
    </row>
    <row r="32" spans="1:9" ht="15.6" x14ac:dyDescent="0.3">
      <c r="A32" s="101" t="s">
        <v>361</v>
      </c>
      <c r="B32" s="101" t="s">
        <v>26</v>
      </c>
      <c r="C32" s="101" t="s">
        <v>35</v>
      </c>
      <c r="D32" s="101" t="s">
        <v>1</v>
      </c>
      <c r="E32" s="101" t="s">
        <v>397</v>
      </c>
      <c r="F32" s="101" t="s">
        <v>33</v>
      </c>
      <c r="G32" s="101" t="s">
        <v>36</v>
      </c>
      <c r="H32" s="101" t="s">
        <v>38</v>
      </c>
      <c r="I32" s="104" t="s">
        <v>398</v>
      </c>
    </row>
    <row r="33" spans="1:9" ht="15.6" x14ac:dyDescent="0.3">
      <c r="A33" s="101" t="s">
        <v>361</v>
      </c>
      <c r="B33" s="101" t="s">
        <v>26</v>
      </c>
      <c r="C33" s="101" t="s">
        <v>39</v>
      </c>
      <c r="D33" s="101" t="s">
        <v>1</v>
      </c>
      <c r="E33" s="101" t="s">
        <v>399</v>
      </c>
      <c r="F33" s="101" t="s">
        <v>33</v>
      </c>
      <c r="G33" s="101" t="s">
        <v>36</v>
      </c>
      <c r="H33" s="101" t="s">
        <v>38</v>
      </c>
      <c r="I33" s="104" t="s">
        <v>400</v>
      </c>
    </row>
    <row r="34" spans="1:9" ht="15.6" x14ac:dyDescent="0.3">
      <c r="A34" s="101" t="s">
        <v>361</v>
      </c>
      <c r="B34" s="101" t="s">
        <v>26</v>
      </c>
      <c r="C34" s="101" t="s">
        <v>40</v>
      </c>
      <c r="D34" s="101" t="s">
        <v>1</v>
      </c>
      <c r="E34" s="101" t="s">
        <v>401</v>
      </c>
      <c r="F34" s="101" t="s">
        <v>33</v>
      </c>
      <c r="G34" s="101" t="s">
        <v>36</v>
      </c>
      <c r="H34" s="101" t="s">
        <v>38</v>
      </c>
      <c r="I34" s="104" t="s">
        <v>398</v>
      </c>
    </row>
    <row r="35" spans="1:9" ht="15.6" x14ac:dyDescent="0.3">
      <c r="A35" s="101" t="s">
        <v>361</v>
      </c>
      <c r="B35" s="101" t="s">
        <v>78</v>
      </c>
      <c r="C35" s="101" t="s">
        <v>79</v>
      </c>
      <c r="D35" s="101" t="s">
        <v>1</v>
      </c>
      <c r="E35" s="101" t="s">
        <v>364</v>
      </c>
      <c r="F35" s="101" t="s">
        <v>85</v>
      </c>
      <c r="G35" s="101" t="s">
        <v>81</v>
      </c>
      <c r="H35" s="101" t="s">
        <v>86</v>
      </c>
      <c r="I35" s="104" t="s">
        <v>402</v>
      </c>
    </row>
    <row r="36" spans="1:9" ht="15.6" x14ac:dyDescent="0.3">
      <c r="A36" s="101" t="s">
        <v>361</v>
      </c>
      <c r="B36" s="101" t="s">
        <v>78</v>
      </c>
      <c r="C36" s="101" t="s">
        <v>87</v>
      </c>
      <c r="D36" s="101" t="s">
        <v>1</v>
      </c>
      <c r="E36" s="101" t="s">
        <v>365</v>
      </c>
      <c r="F36" s="101" t="s">
        <v>85</v>
      </c>
      <c r="G36" s="101" t="s">
        <v>88</v>
      </c>
      <c r="H36" s="101" t="s">
        <v>86</v>
      </c>
      <c r="I36" s="104" t="s">
        <v>402</v>
      </c>
    </row>
    <row r="37" spans="1:9" ht="15.6" x14ac:dyDescent="0.3">
      <c r="A37" s="101" t="s">
        <v>361</v>
      </c>
      <c r="B37" s="101" t="s">
        <v>78</v>
      </c>
      <c r="C37" s="101" t="s">
        <v>89</v>
      </c>
      <c r="D37" s="101" t="s">
        <v>1</v>
      </c>
      <c r="E37" s="101" t="s">
        <v>366</v>
      </c>
      <c r="F37" s="101" t="s">
        <v>85</v>
      </c>
      <c r="G37" s="101" t="s">
        <v>73</v>
      </c>
      <c r="H37" s="101" t="s">
        <v>86</v>
      </c>
      <c r="I37" s="103" t="s">
        <v>386</v>
      </c>
    </row>
    <row r="38" spans="1:9" ht="15.6" x14ac:dyDescent="0.3">
      <c r="A38" s="101" t="s">
        <v>361</v>
      </c>
      <c r="B38" s="101" t="s">
        <v>78</v>
      </c>
      <c r="C38" s="101" t="s">
        <v>90</v>
      </c>
      <c r="D38" s="101" t="s">
        <v>1</v>
      </c>
      <c r="E38" s="101" t="s">
        <v>376</v>
      </c>
      <c r="F38" s="101" t="s">
        <v>85</v>
      </c>
      <c r="G38" s="101" t="s">
        <v>57</v>
      </c>
      <c r="H38" s="101" t="s">
        <v>86</v>
      </c>
      <c r="I38" s="103" t="s">
        <v>403</v>
      </c>
    </row>
    <row r="39" spans="1:9" ht="15.6" x14ac:dyDescent="0.3">
      <c r="A39" s="101" t="s">
        <v>361</v>
      </c>
      <c r="B39" s="101" t="s">
        <v>26</v>
      </c>
      <c r="C39" s="101" t="s">
        <v>41</v>
      </c>
      <c r="D39" s="101" t="s">
        <v>1</v>
      </c>
      <c r="E39" s="101" t="s">
        <v>366</v>
      </c>
      <c r="F39" s="101" t="s">
        <v>33</v>
      </c>
      <c r="G39" s="101" t="s">
        <v>42</v>
      </c>
      <c r="H39" s="101" t="s">
        <v>43</v>
      </c>
      <c r="I39" s="103" t="s">
        <v>384</v>
      </c>
    </row>
    <row r="40" spans="1:9" ht="15.6" x14ac:dyDescent="0.3">
      <c r="A40" s="101" t="s">
        <v>361</v>
      </c>
      <c r="B40" s="101" t="s">
        <v>26</v>
      </c>
      <c r="C40" s="101" t="s">
        <v>44</v>
      </c>
      <c r="D40" s="101" t="s">
        <v>1</v>
      </c>
      <c r="E40" s="101" t="s">
        <v>365</v>
      </c>
      <c r="F40" s="101" t="s">
        <v>33</v>
      </c>
      <c r="G40" s="101" t="s">
        <v>42</v>
      </c>
      <c r="H40" s="101" t="s">
        <v>43</v>
      </c>
      <c r="I40" s="104" t="s">
        <v>404</v>
      </c>
    </row>
    <row r="41" spans="1:9" ht="15.6" x14ac:dyDescent="0.3">
      <c r="A41" s="101" t="s">
        <v>361</v>
      </c>
      <c r="B41" s="101" t="s">
        <v>26</v>
      </c>
      <c r="C41" s="101" t="s">
        <v>45</v>
      </c>
      <c r="D41" s="101" t="s">
        <v>1</v>
      </c>
      <c r="E41" s="101" t="s">
        <v>364</v>
      </c>
      <c r="F41" s="101" t="s">
        <v>33</v>
      </c>
      <c r="G41" s="101" t="s">
        <v>42</v>
      </c>
      <c r="H41" s="101" t="s">
        <v>43</v>
      </c>
      <c r="I41" s="104" t="s">
        <v>404</v>
      </c>
    </row>
    <row r="42" spans="1:9" ht="15.6" x14ac:dyDescent="0.3">
      <c r="A42" s="101" t="s">
        <v>361</v>
      </c>
      <c r="B42" s="101" t="s">
        <v>26</v>
      </c>
      <c r="C42" s="101" t="s">
        <v>46</v>
      </c>
      <c r="D42" s="101" t="s">
        <v>1</v>
      </c>
      <c r="E42" s="101" t="s">
        <v>266</v>
      </c>
      <c r="F42" s="101" t="s">
        <v>33</v>
      </c>
      <c r="G42" s="101" t="s">
        <v>29</v>
      </c>
      <c r="H42" s="101" t="s">
        <v>48</v>
      </c>
      <c r="I42" s="104" t="s">
        <v>405</v>
      </c>
    </row>
    <row r="43" spans="1:9" ht="15.6" x14ac:dyDescent="0.3">
      <c r="A43" s="101" t="s">
        <v>361</v>
      </c>
      <c r="B43" s="101" t="s">
        <v>26</v>
      </c>
      <c r="C43" s="101" t="s">
        <v>49</v>
      </c>
      <c r="D43" s="101" t="s">
        <v>1</v>
      </c>
      <c r="E43" s="101" t="s">
        <v>406</v>
      </c>
      <c r="F43" s="101" t="s">
        <v>33</v>
      </c>
      <c r="G43" s="101" t="s">
        <v>36</v>
      </c>
      <c r="H43" s="101" t="s">
        <v>48</v>
      </c>
      <c r="I43" s="104" t="s">
        <v>405</v>
      </c>
    </row>
    <row r="44" spans="1:9" ht="15.6" x14ac:dyDescent="0.3">
      <c r="A44" s="101" t="s">
        <v>361</v>
      </c>
      <c r="B44" s="101" t="s">
        <v>26</v>
      </c>
      <c r="C44" s="101" t="s">
        <v>50</v>
      </c>
      <c r="D44" s="101" t="s">
        <v>1</v>
      </c>
      <c r="E44" s="101" t="s">
        <v>407</v>
      </c>
      <c r="F44" s="101" t="s">
        <v>33</v>
      </c>
      <c r="G44" s="101" t="s">
        <v>36</v>
      </c>
      <c r="H44" s="101" t="s">
        <v>48</v>
      </c>
      <c r="I44" s="103" t="s">
        <v>382</v>
      </c>
    </row>
    <row r="45" spans="1:9" ht="15.6" x14ac:dyDescent="0.3">
      <c r="A45" s="101" t="s">
        <v>361</v>
      </c>
      <c r="B45" s="101" t="s">
        <v>26</v>
      </c>
      <c r="C45" s="101" t="s">
        <v>51</v>
      </c>
      <c r="D45" s="101" t="s">
        <v>1</v>
      </c>
      <c r="E45" s="101" t="s">
        <v>408</v>
      </c>
      <c r="F45" s="101" t="s">
        <v>33</v>
      </c>
      <c r="G45" s="101" t="s">
        <v>36</v>
      </c>
      <c r="H45" s="101" t="s">
        <v>48</v>
      </c>
      <c r="I45" s="102" t="s">
        <v>380</v>
      </c>
    </row>
    <row r="46" spans="1:9" ht="15.6" x14ac:dyDescent="0.3">
      <c r="A46" s="99" t="s">
        <v>409</v>
      </c>
      <c r="B46" s="99" t="s">
        <v>110</v>
      </c>
      <c r="C46" s="99" t="s">
        <v>131</v>
      </c>
      <c r="D46" s="99" t="s">
        <v>1</v>
      </c>
      <c r="E46" s="99" t="s">
        <v>313</v>
      </c>
      <c r="F46" s="99" t="s">
        <v>112</v>
      </c>
      <c r="G46" s="99" t="s">
        <v>42</v>
      </c>
      <c r="H46" s="99" t="s">
        <v>156</v>
      </c>
      <c r="I46" s="100" t="s">
        <v>379</v>
      </c>
    </row>
    <row r="47" spans="1:9" ht="15.6" x14ac:dyDescent="0.3">
      <c r="A47" s="99" t="s">
        <v>409</v>
      </c>
      <c r="B47" s="99" t="s">
        <v>110</v>
      </c>
      <c r="C47" s="99" t="s">
        <v>160</v>
      </c>
      <c r="D47" s="99" t="s">
        <v>1</v>
      </c>
      <c r="E47" s="99" t="s">
        <v>297</v>
      </c>
      <c r="F47" s="99" t="s">
        <v>112</v>
      </c>
      <c r="G47" s="99" t="s">
        <v>36</v>
      </c>
      <c r="H47" s="99" t="s">
        <v>156</v>
      </c>
      <c r="I47" s="100" t="s">
        <v>379</v>
      </c>
    </row>
    <row r="48" spans="1:9" ht="15.6" x14ac:dyDescent="0.3">
      <c r="A48" s="99" t="s">
        <v>409</v>
      </c>
      <c r="B48" s="99" t="s">
        <v>110</v>
      </c>
      <c r="C48" s="99" t="s">
        <v>164</v>
      </c>
      <c r="D48" s="99" t="s">
        <v>1</v>
      </c>
      <c r="E48" s="99" t="s">
        <v>310</v>
      </c>
      <c r="F48" s="99" t="s">
        <v>112</v>
      </c>
      <c r="G48" s="99" t="s">
        <v>36</v>
      </c>
      <c r="H48" s="99" t="s">
        <v>156</v>
      </c>
      <c r="I48" s="100" t="s">
        <v>379</v>
      </c>
    </row>
    <row r="49" spans="1:9" ht="15.6" x14ac:dyDescent="0.3">
      <c r="A49" s="99" t="s">
        <v>409</v>
      </c>
      <c r="B49" s="99" t="s">
        <v>110</v>
      </c>
      <c r="C49" s="99" t="s">
        <v>111</v>
      </c>
      <c r="D49" s="99" t="s">
        <v>1</v>
      </c>
      <c r="E49" s="99" t="s">
        <v>306</v>
      </c>
      <c r="F49" s="99" t="s">
        <v>112</v>
      </c>
      <c r="G49" s="99" t="s">
        <v>119</v>
      </c>
      <c r="H49" s="99" t="s">
        <v>156</v>
      </c>
      <c r="I49" s="100" t="s">
        <v>379</v>
      </c>
    </row>
    <row r="50" spans="1:9" ht="15.6" x14ac:dyDescent="0.3">
      <c r="A50" s="99" t="s">
        <v>409</v>
      </c>
      <c r="B50" s="99" t="s">
        <v>110</v>
      </c>
      <c r="C50" s="99" t="s">
        <v>124</v>
      </c>
      <c r="D50" s="99" t="s">
        <v>1</v>
      </c>
      <c r="E50" s="99" t="s">
        <v>299</v>
      </c>
      <c r="F50" s="99" t="s">
        <v>112</v>
      </c>
      <c r="G50" s="99" t="s">
        <v>36</v>
      </c>
      <c r="H50" s="99" t="s">
        <v>113</v>
      </c>
      <c r="I50" s="100" t="s">
        <v>379</v>
      </c>
    </row>
    <row r="51" spans="1:9" ht="15.6" x14ac:dyDescent="0.3">
      <c r="A51" s="99" t="s">
        <v>409</v>
      </c>
      <c r="B51" s="99" t="s">
        <v>110</v>
      </c>
      <c r="C51" s="99" t="s">
        <v>118</v>
      </c>
      <c r="D51" s="99" t="s">
        <v>1</v>
      </c>
      <c r="E51" s="99" t="s">
        <v>279</v>
      </c>
      <c r="F51" s="99" t="s">
        <v>112</v>
      </c>
      <c r="G51" s="99" t="s">
        <v>125</v>
      </c>
      <c r="H51" s="99" t="s">
        <v>113</v>
      </c>
      <c r="I51" s="100" t="s">
        <v>379</v>
      </c>
    </row>
    <row r="52" spans="1:9" ht="15.6" x14ac:dyDescent="0.3">
      <c r="A52" s="101" t="s">
        <v>409</v>
      </c>
      <c r="B52" s="101" t="s">
        <v>93</v>
      </c>
      <c r="C52" s="101" t="s">
        <v>94</v>
      </c>
      <c r="D52" s="101" t="s">
        <v>1</v>
      </c>
      <c r="E52" s="101" t="s">
        <v>342</v>
      </c>
      <c r="F52" s="101" t="s">
        <v>95</v>
      </c>
      <c r="G52" s="101" t="s">
        <v>42</v>
      </c>
      <c r="H52" s="101" t="s">
        <v>97</v>
      </c>
      <c r="I52" s="102" t="s">
        <v>410</v>
      </c>
    </row>
    <row r="53" spans="1:9" ht="15.6" x14ac:dyDescent="0.3">
      <c r="A53" s="101" t="s">
        <v>409</v>
      </c>
      <c r="B53" s="101" t="s">
        <v>93</v>
      </c>
      <c r="C53" s="101" t="s">
        <v>152</v>
      </c>
      <c r="D53" s="101" t="s">
        <v>1</v>
      </c>
      <c r="E53" s="101" t="s">
        <v>411</v>
      </c>
      <c r="F53" s="101" t="s">
        <v>95</v>
      </c>
      <c r="G53" s="101" t="s">
        <v>73</v>
      </c>
      <c r="H53" s="101" t="s">
        <v>97</v>
      </c>
      <c r="I53" s="102" t="s">
        <v>410</v>
      </c>
    </row>
    <row r="54" spans="1:9" ht="15.6" x14ac:dyDescent="0.3">
      <c r="A54" s="101" t="s">
        <v>409</v>
      </c>
      <c r="B54" s="101" t="s">
        <v>98</v>
      </c>
      <c r="C54" s="101" t="s">
        <v>153</v>
      </c>
      <c r="D54" s="101" t="s">
        <v>1</v>
      </c>
      <c r="E54" s="101" t="s">
        <v>412</v>
      </c>
      <c r="F54" s="101" t="s">
        <v>95</v>
      </c>
      <c r="G54" s="101" t="s">
        <v>36</v>
      </c>
      <c r="H54" s="101" t="s">
        <v>100</v>
      </c>
      <c r="I54" s="102" t="s">
        <v>380</v>
      </c>
    </row>
    <row r="55" spans="1:9" ht="15.6" x14ac:dyDescent="0.3">
      <c r="A55" s="101" t="s">
        <v>409</v>
      </c>
      <c r="B55" s="101" t="s">
        <v>98</v>
      </c>
      <c r="C55" s="101" t="s">
        <v>101</v>
      </c>
      <c r="D55" s="101" t="s">
        <v>1</v>
      </c>
      <c r="E55" s="101" t="s">
        <v>369</v>
      </c>
      <c r="F55" s="101" t="s">
        <v>95</v>
      </c>
      <c r="G55" s="101" t="s">
        <v>36</v>
      </c>
      <c r="H55" s="101" t="s">
        <v>100</v>
      </c>
      <c r="I55" s="102" t="s">
        <v>380</v>
      </c>
    </row>
    <row r="56" spans="1:9" ht="15.6" x14ac:dyDescent="0.3">
      <c r="A56" s="101" t="s">
        <v>409</v>
      </c>
      <c r="B56" s="101" t="s">
        <v>102</v>
      </c>
      <c r="C56" s="101" t="s">
        <v>103</v>
      </c>
      <c r="D56" s="101" t="s">
        <v>1</v>
      </c>
      <c r="E56" s="101" t="s">
        <v>413</v>
      </c>
      <c r="F56" s="101" t="s">
        <v>104</v>
      </c>
      <c r="G56" s="101" t="s">
        <v>64</v>
      </c>
      <c r="H56" s="101" t="s">
        <v>154</v>
      </c>
      <c r="I56" s="102" t="s">
        <v>414</v>
      </c>
    </row>
    <row r="57" spans="1:9" ht="15.6" x14ac:dyDescent="0.3">
      <c r="A57" s="101" t="s">
        <v>409</v>
      </c>
      <c r="B57" s="101" t="s">
        <v>54</v>
      </c>
      <c r="C57" s="101" t="s">
        <v>55</v>
      </c>
      <c r="D57" s="101" t="s">
        <v>1</v>
      </c>
      <c r="E57" s="101" t="s">
        <v>363</v>
      </c>
      <c r="F57" s="101" t="s">
        <v>59</v>
      </c>
      <c r="G57" s="101" t="s">
        <v>64</v>
      </c>
      <c r="H57" s="101" t="s">
        <v>60</v>
      </c>
      <c r="I57" s="102" t="s">
        <v>415</v>
      </c>
    </row>
    <row r="58" spans="1:9" ht="15.6" x14ac:dyDescent="0.3">
      <c r="A58" s="101" t="s">
        <v>409</v>
      </c>
      <c r="B58" s="101" t="s">
        <v>102</v>
      </c>
      <c r="C58" s="101" t="s">
        <v>103</v>
      </c>
      <c r="D58" s="101" t="s">
        <v>1</v>
      </c>
      <c r="E58" s="101" t="s">
        <v>413</v>
      </c>
      <c r="F58" s="101" t="s">
        <v>85</v>
      </c>
      <c r="G58" s="101" t="s">
        <v>64</v>
      </c>
      <c r="H58" s="101" t="s">
        <v>155</v>
      </c>
      <c r="I58" s="104" t="s">
        <v>392</v>
      </c>
    </row>
    <row r="59" spans="1:9" ht="15.6" x14ac:dyDescent="0.3">
      <c r="A59" s="101" t="s">
        <v>409</v>
      </c>
      <c r="B59" s="101" t="s">
        <v>54</v>
      </c>
      <c r="C59" s="101" t="s">
        <v>63</v>
      </c>
      <c r="D59" s="101" t="s">
        <v>1</v>
      </c>
      <c r="E59" s="101" t="s">
        <v>370</v>
      </c>
      <c r="F59" s="101" t="s">
        <v>61</v>
      </c>
      <c r="G59" s="101" t="s">
        <v>96</v>
      </c>
      <c r="H59" s="101" t="s">
        <v>62</v>
      </c>
      <c r="I59" s="104" t="s">
        <v>416</v>
      </c>
    </row>
    <row r="60" spans="1:9" ht="15.6" x14ac:dyDescent="0.3">
      <c r="A60" s="101" t="s">
        <v>409</v>
      </c>
      <c r="B60" s="101" t="s">
        <v>54</v>
      </c>
      <c r="C60" s="101" t="s">
        <v>68</v>
      </c>
      <c r="D60" s="101" t="s">
        <v>1</v>
      </c>
      <c r="E60" s="101" t="s">
        <v>371</v>
      </c>
      <c r="F60" s="101" t="s">
        <v>61</v>
      </c>
      <c r="G60" s="101" t="s">
        <v>29</v>
      </c>
      <c r="H60" s="101" t="s">
        <v>62</v>
      </c>
      <c r="I60" s="104" t="s">
        <v>416</v>
      </c>
    </row>
    <row r="61" spans="1:9" ht="15.6" x14ac:dyDescent="0.3">
      <c r="A61" s="101" t="s">
        <v>409</v>
      </c>
      <c r="B61" s="101" t="s">
        <v>54</v>
      </c>
      <c r="C61" s="101" t="s">
        <v>55</v>
      </c>
      <c r="D61" s="101" t="s">
        <v>1</v>
      </c>
      <c r="E61" s="101" t="s">
        <v>363</v>
      </c>
      <c r="F61" s="101" t="s">
        <v>61</v>
      </c>
      <c r="G61" s="101" t="s">
        <v>64</v>
      </c>
      <c r="H61" s="101" t="s">
        <v>62</v>
      </c>
      <c r="I61" s="104" t="s">
        <v>417</v>
      </c>
    </row>
    <row r="62" spans="1:9" ht="15.6" x14ac:dyDescent="0.3">
      <c r="A62" s="101" t="s">
        <v>409</v>
      </c>
      <c r="B62" s="101" t="s">
        <v>54</v>
      </c>
      <c r="C62" s="101" t="s">
        <v>69</v>
      </c>
      <c r="D62" s="101" t="s">
        <v>1</v>
      </c>
      <c r="E62" s="101" t="s">
        <v>365</v>
      </c>
      <c r="F62" s="101" t="s">
        <v>61</v>
      </c>
      <c r="G62" s="101" t="s">
        <v>42</v>
      </c>
      <c r="H62" s="101" t="s">
        <v>67</v>
      </c>
      <c r="I62" s="104" t="s">
        <v>418</v>
      </c>
    </row>
    <row r="63" spans="1:9" ht="15.6" x14ac:dyDescent="0.3">
      <c r="A63" s="101" t="s">
        <v>409</v>
      </c>
      <c r="B63" s="101" t="s">
        <v>54</v>
      </c>
      <c r="C63" s="101" t="s">
        <v>70</v>
      </c>
      <c r="D63" s="101" t="s">
        <v>1</v>
      </c>
      <c r="E63" s="101" t="s">
        <v>318</v>
      </c>
      <c r="F63" s="101" t="s">
        <v>61</v>
      </c>
      <c r="G63" s="101" t="s">
        <v>125</v>
      </c>
      <c r="H63" s="101" t="s">
        <v>67</v>
      </c>
      <c r="I63" s="104" t="s">
        <v>392</v>
      </c>
    </row>
    <row r="64" spans="1:9" ht="15.6" x14ac:dyDescent="0.3">
      <c r="A64" s="101" t="s">
        <v>409</v>
      </c>
      <c r="B64" s="101" t="s">
        <v>54</v>
      </c>
      <c r="C64" s="101" t="s">
        <v>71</v>
      </c>
      <c r="D64" s="101" t="s">
        <v>1</v>
      </c>
      <c r="E64" s="101" t="s">
        <v>373</v>
      </c>
      <c r="F64" s="101" t="s">
        <v>61</v>
      </c>
      <c r="G64" s="101" t="s">
        <v>64</v>
      </c>
      <c r="H64" s="101" t="s">
        <v>67</v>
      </c>
      <c r="I64" s="104" t="s">
        <v>418</v>
      </c>
    </row>
    <row r="65" spans="1:9" ht="15.6" x14ac:dyDescent="0.3">
      <c r="A65" s="101" t="s">
        <v>409</v>
      </c>
      <c r="B65" s="101" t="s">
        <v>54</v>
      </c>
      <c r="C65" s="101" t="s">
        <v>72</v>
      </c>
      <c r="D65" s="101" t="s">
        <v>1</v>
      </c>
      <c r="E65" s="101" t="s">
        <v>374</v>
      </c>
      <c r="F65" s="101" t="s">
        <v>61</v>
      </c>
      <c r="G65" s="101" t="s">
        <v>119</v>
      </c>
      <c r="H65" s="101" t="s">
        <v>67</v>
      </c>
      <c r="I65" s="104" t="s">
        <v>418</v>
      </c>
    </row>
    <row r="66" spans="1:9" ht="15.6" x14ac:dyDescent="0.3">
      <c r="A66" s="101" t="s">
        <v>409</v>
      </c>
      <c r="B66" s="101" t="s">
        <v>54</v>
      </c>
      <c r="C66" s="101" t="s">
        <v>74</v>
      </c>
      <c r="D66" s="101" t="s">
        <v>1</v>
      </c>
      <c r="E66" s="101" t="s">
        <v>394</v>
      </c>
      <c r="F66" s="101" t="s">
        <v>61</v>
      </c>
      <c r="G66" s="101" t="s">
        <v>125</v>
      </c>
      <c r="H66" s="101" t="s">
        <v>67</v>
      </c>
      <c r="I66" s="104" t="s">
        <v>392</v>
      </c>
    </row>
    <row r="67" spans="1:9" ht="15.6" x14ac:dyDescent="0.3">
      <c r="A67" s="101" t="s">
        <v>409</v>
      </c>
      <c r="B67" s="101" t="s">
        <v>26</v>
      </c>
      <c r="C67" s="101" t="s">
        <v>40</v>
      </c>
      <c r="D67" s="101" t="s">
        <v>1</v>
      </c>
      <c r="E67" s="101" t="s">
        <v>401</v>
      </c>
      <c r="F67" s="101" t="s">
        <v>33</v>
      </c>
      <c r="G67" s="101" t="s">
        <v>36</v>
      </c>
      <c r="H67" s="101" t="s">
        <v>173</v>
      </c>
      <c r="I67" s="104" t="s">
        <v>392</v>
      </c>
    </row>
    <row r="68" spans="1:9" ht="15.6" x14ac:dyDescent="0.3">
      <c r="A68" s="101" t="s">
        <v>409</v>
      </c>
      <c r="B68" s="101" t="s">
        <v>26</v>
      </c>
      <c r="C68" s="101" t="s">
        <v>46</v>
      </c>
      <c r="D68" s="101" t="s">
        <v>1</v>
      </c>
      <c r="E68" s="101" t="s">
        <v>266</v>
      </c>
      <c r="F68" s="101" t="s">
        <v>33</v>
      </c>
      <c r="G68" s="101" t="s">
        <v>36</v>
      </c>
      <c r="H68" s="101" t="s">
        <v>38</v>
      </c>
      <c r="I68" s="104" t="s">
        <v>419</v>
      </c>
    </row>
    <row r="69" spans="1:9" ht="15.6" x14ac:dyDescent="0.3">
      <c r="A69" s="101" t="s">
        <v>409</v>
      </c>
      <c r="B69" s="101" t="s">
        <v>26</v>
      </c>
      <c r="C69" s="101" t="s">
        <v>49</v>
      </c>
      <c r="D69" s="101" t="s">
        <v>1</v>
      </c>
      <c r="E69" s="101" t="s">
        <v>406</v>
      </c>
      <c r="F69" s="101" t="s">
        <v>33</v>
      </c>
      <c r="G69" s="101" t="s">
        <v>36</v>
      </c>
      <c r="H69" s="101" t="s">
        <v>38</v>
      </c>
      <c r="I69" s="104" t="s">
        <v>420</v>
      </c>
    </row>
    <row r="70" spans="1:9" ht="15.6" x14ac:dyDescent="0.3">
      <c r="A70" s="101" t="s">
        <v>409</v>
      </c>
      <c r="B70" s="101" t="s">
        <v>26</v>
      </c>
      <c r="C70" s="101" t="s">
        <v>27</v>
      </c>
      <c r="D70" s="101" t="s">
        <v>1</v>
      </c>
      <c r="E70" s="101" t="s">
        <v>362</v>
      </c>
      <c r="F70" s="101" t="s">
        <v>33</v>
      </c>
      <c r="G70" s="101" t="s">
        <v>36</v>
      </c>
      <c r="H70" s="101" t="s">
        <v>38</v>
      </c>
      <c r="I70" s="104" t="s">
        <v>420</v>
      </c>
    </row>
    <row r="71" spans="1:9" ht="15.6" x14ac:dyDescent="0.3">
      <c r="A71" s="101" t="s">
        <v>409</v>
      </c>
      <c r="B71" s="101" t="s">
        <v>26</v>
      </c>
      <c r="C71" s="101" t="s">
        <v>50</v>
      </c>
      <c r="D71" s="101" t="s">
        <v>1</v>
      </c>
      <c r="E71" s="101" t="s">
        <v>407</v>
      </c>
      <c r="F71" s="101" t="s">
        <v>33</v>
      </c>
      <c r="G71" s="101" t="s">
        <v>36</v>
      </c>
      <c r="H71" s="101" t="s">
        <v>38</v>
      </c>
      <c r="I71" s="104" t="s">
        <v>420</v>
      </c>
    </row>
    <row r="72" spans="1:9" ht="15.6" x14ac:dyDescent="0.3">
      <c r="A72" s="101" t="s">
        <v>409</v>
      </c>
      <c r="B72" s="101" t="s">
        <v>26</v>
      </c>
      <c r="C72" s="101" t="s">
        <v>51</v>
      </c>
      <c r="D72" s="101" t="s">
        <v>1</v>
      </c>
      <c r="E72" s="101" t="s">
        <v>408</v>
      </c>
      <c r="F72" s="101" t="s">
        <v>33</v>
      </c>
      <c r="G72" s="101" t="s">
        <v>36</v>
      </c>
      <c r="H72" s="101" t="s">
        <v>38</v>
      </c>
      <c r="I72" s="104" t="s">
        <v>420</v>
      </c>
    </row>
    <row r="73" spans="1:9" ht="15.6" x14ac:dyDescent="0.3">
      <c r="A73" s="101" t="s">
        <v>409</v>
      </c>
      <c r="B73" s="101" t="s">
        <v>26</v>
      </c>
      <c r="C73" s="101" t="s">
        <v>35</v>
      </c>
      <c r="D73" s="101" t="s">
        <v>1</v>
      </c>
      <c r="E73" s="101" t="s">
        <v>397</v>
      </c>
      <c r="F73" s="101" t="s">
        <v>33</v>
      </c>
      <c r="G73" s="101" t="s">
        <v>36</v>
      </c>
      <c r="H73" s="101" t="s">
        <v>38</v>
      </c>
      <c r="I73" s="104" t="s">
        <v>420</v>
      </c>
    </row>
    <row r="74" spans="1:9" ht="15.6" x14ac:dyDescent="0.3">
      <c r="A74" s="101" t="s">
        <v>409</v>
      </c>
      <c r="B74" s="101" t="s">
        <v>26</v>
      </c>
      <c r="C74" s="101" t="s">
        <v>39</v>
      </c>
      <c r="D74" s="101" t="s">
        <v>1</v>
      </c>
      <c r="E74" s="101" t="s">
        <v>399</v>
      </c>
      <c r="F74" s="101" t="s">
        <v>33</v>
      </c>
      <c r="G74" s="101" t="s">
        <v>36</v>
      </c>
      <c r="H74" s="101" t="s">
        <v>38</v>
      </c>
      <c r="I74" s="104" t="s">
        <v>419</v>
      </c>
    </row>
    <row r="75" spans="1:9" ht="15.6" x14ac:dyDescent="0.3">
      <c r="A75" s="101" t="s">
        <v>409</v>
      </c>
      <c r="B75" s="101" t="s">
        <v>78</v>
      </c>
      <c r="C75" s="101" t="s">
        <v>79</v>
      </c>
      <c r="D75" s="101" t="s">
        <v>1</v>
      </c>
      <c r="E75" s="101" t="s">
        <v>364</v>
      </c>
      <c r="F75" s="101" t="s">
        <v>85</v>
      </c>
      <c r="G75" s="101" t="s">
        <v>119</v>
      </c>
      <c r="H75" s="101" t="s">
        <v>86</v>
      </c>
      <c r="I75" s="102" t="s">
        <v>421</v>
      </c>
    </row>
    <row r="76" spans="1:9" ht="15.6" x14ac:dyDescent="0.3">
      <c r="A76" s="101" t="s">
        <v>409</v>
      </c>
      <c r="B76" s="101" t="s">
        <v>78</v>
      </c>
      <c r="C76" s="101" t="s">
        <v>87</v>
      </c>
      <c r="D76" s="101" t="s">
        <v>1</v>
      </c>
      <c r="E76" s="101" t="s">
        <v>365</v>
      </c>
      <c r="F76" s="101" t="s">
        <v>85</v>
      </c>
      <c r="G76" s="101" t="s">
        <v>96</v>
      </c>
      <c r="H76" s="101" t="s">
        <v>86</v>
      </c>
      <c r="I76" s="102" t="s">
        <v>421</v>
      </c>
    </row>
    <row r="77" spans="1:9" ht="15.6" x14ac:dyDescent="0.3">
      <c r="A77" s="101" t="s">
        <v>409</v>
      </c>
      <c r="B77" s="101" t="s">
        <v>78</v>
      </c>
      <c r="C77" s="101" t="s">
        <v>89</v>
      </c>
      <c r="D77" s="101" t="s">
        <v>1</v>
      </c>
      <c r="E77" s="101" t="s">
        <v>366</v>
      </c>
      <c r="F77" s="101" t="s">
        <v>85</v>
      </c>
      <c r="G77" s="101" t="s">
        <v>96</v>
      </c>
      <c r="H77" s="101" t="s">
        <v>86</v>
      </c>
      <c r="I77" s="102" t="s">
        <v>421</v>
      </c>
    </row>
    <row r="78" spans="1:9" ht="15.6" x14ac:dyDescent="0.3">
      <c r="A78" s="101" t="s">
        <v>409</v>
      </c>
      <c r="B78" s="101" t="s">
        <v>78</v>
      </c>
      <c r="C78" s="101" t="s">
        <v>90</v>
      </c>
      <c r="D78" s="101" t="s">
        <v>1</v>
      </c>
      <c r="E78" s="101" t="s">
        <v>376</v>
      </c>
      <c r="F78" s="101" t="s">
        <v>85</v>
      </c>
      <c r="G78" s="101" t="s">
        <v>119</v>
      </c>
      <c r="H78" s="101" t="s">
        <v>86</v>
      </c>
      <c r="I78" s="102" t="s">
        <v>421</v>
      </c>
    </row>
    <row r="79" spans="1:9" ht="15.6" x14ac:dyDescent="0.3">
      <c r="A79" s="101" t="s">
        <v>409</v>
      </c>
      <c r="B79" s="101" t="s">
        <v>26</v>
      </c>
      <c r="C79" s="101" t="s">
        <v>45</v>
      </c>
      <c r="D79" s="101" t="s">
        <v>1</v>
      </c>
      <c r="E79" s="101" t="s">
        <v>364</v>
      </c>
      <c r="F79" s="101" t="s">
        <v>33</v>
      </c>
      <c r="G79" s="101" t="s">
        <v>42</v>
      </c>
      <c r="H79" s="101" t="s">
        <v>174</v>
      </c>
      <c r="I79" s="103" t="s">
        <v>422</v>
      </c>
    </row>
    <row r="80" spans="1:9" ht="15.6" x14ac:dyDescent="0.3">
      <c r="A80" s="101" t="s">
        <v>409</v>
      </c>
      <c r="B80" s="101" t="s">
        <v>26</v>
      </c>
      <c r="C80" s="101" t="s">
        <v>41</v>
      </c>
      <c r="D80" s="101" t="s">
        <v>1</v>
      </c>
      <c r="E80" s="101" t="s">
        <v>366</v>
      </c>
      <c r="F80" s="101" t="s">
        <v>33</v>
      </c>
      <c r="G80" s="101" t="s">
        <v>42</v>
      </c>
      <c r="H80" s="101" t="s">
        <v>43</v>
      </c>
      <c r="I80" s="103" t="s">
        <v>387</v>
      </c>
    </row>
    <row r="81" spans="1:9" ht="15.6" x14ac:dyDescent="0.3">
      <c r="A81" s="101" t="s">
        <v>409</v>
      </c>
      <c r="B81" s="101" t="s">
        <v>26</v>
      </c>
      <c r="C81" s="101" t="s">
        <v>44</v>
      </c>
      <c r="D81" s="101" t="s">
        <v>1</v>
      </c>
      <c r="E81" s="101" t="s">
        <v>365</v>
      </c>
      <c r="F81" s="101" t="s">
        <v>33</v>
      </c>
      <c r="G81" s="101" t="s">
        <v>42</v>
      </c>
      <c r="H81" s="101" t="s">
        <v>175</v>
      </c>
      <c r="I81" s="102" t="s">
        <v>414</v>
      </c>
    </row>
    <row r="82" spans="1:9" ht="15.6" x14ac:dyDescent="0.3">
      <c r="A82" s="101" t="s">
        <v>409</v>
      </c>
      <c r="B82" s="101" t="s">
        <v>26</v>
      </c>
      <c r="C82" s="101" t="s">
        <v>52</v>
      </c>
      <c r="D82" s="101" t="s">
        <v>1</v>
      </c>
      <c r="E82" s="101" t="s">
        <v>376</v>
      </c>
      <c r="F82" s="101" t="s">
        <v>33</v>
      </c>
      <c r="G82" s="101" t="s">
        <v>42</v>
      </c>
      <c r="H82" s="101" t="s">
        <v>175</v>
      </c>
      <c r="I82" s="102" t="s">
        <v>414</v>
      </c>
    </row>
    <row r="83" spans="1:9" ht="15.6" x14ac:dyDescent="0.3">
      <c r="A83" s="99" t="s">
        <v>423</v>
      </c>
      <c r="B83" s="99" t="s">
        <v>110</v>
      </c>
      <c r="C83" s="99" t="s">
        <v>118</v>
      </c>
      <c r="D83" s="99" t="s">
        <v>1</v>
      </c>
      <c r="E83" s="99" t="s">
        <v>279</v>
      </c>
      <c r="F83" s="99" t="s">
        <v>112</v>
      </c>
      <c r="G83" s="99" t="s">
        <v>36</v>
      </c>
      <c r="H83" s="99" t="s">
        <v>113</v>
      </c>
      <c r="I83" s="100" t="s">
        <v>379</v>
      </c>
    </row>
    <row r="84" spans="1:9" ht="15.6" x14ac:dyDescent="0.3">
      <c r="A84" s="99" t="s">
        <v>423</v>
      </c>
      <c r="B84" s="99" t="s">
        <v>110</v>
      </c>
      <c r="C84" s="99" t="s">
        <v>131</v>
      </c>
      <c r="D84" s="99" t="s">
        <v>1</v>
      </c>
      <c r="E84" s="99" t="s">
        <v>318</v>
      </c>
      <c r="F84" s="99" t="s">
        <v>112</v>
      </c>
      <c r="G84" s="99" t="s">
        <v>36</v>
      </c>
      <c r="H84" s="99" t="s">
        <v>113</v>
      </c>
      <c r="I84" s="100" t="s">
        <v>379</v>
      </c>
    </row>
    <row r="85" spans="1:9" ht="15.6" x14ac:dyDescent="0.3">
      <c r="A85" s="99" t="s">
        <v>423</v>
      </c>
      <c r="B85" s="99" t="s">
        <v>110</v>
      </c>
      <c r="C85" s="99" t="s">
        <v>111</v>
      </c>
      <c r="D85" s="99" t="s">
        <v>1</v>
      </c>
      <c r="E85" s="99" t="s">
        <v>322</v>
      </c>
      <c r="F85" s="99" t="s">
        <v>112</v>
      </c>
      <c r="G85" s="99" t="s">
        <v>36</v>
      </c>
      <c r="H85" s="99" t="s">
        <v>186</v>
      </c>
      <c r="I85" s="100" t="s">
        <v>379</v>
      </c>
    </row>
    <row r="86" spans="1:9" ht="15.6" x14ac:dyDescent="0.3">
      <c r="A86" s="101" t="s">
        <v>423</v>
      </c>
      <c r="B86" s="101" t="s">
        <v>93</v>
      </c>
      <c r="C86" s="101" t="s">
        <v>152</v>
      </c>
      <c r="D86" s="101" t="s">
        <v>1</v>
      </c>
      <c r="E86" s="101" t="s">
        <v>424</v>
      </c>
      <c r="F86" s="101" t="s">
        <v>95</v>
      </c>
      <c r="G86" s="101" t="s">
        <v>125</v>
      </c>
      <c r="H86" s="101" t="s">
        <v>97</v>
      </c>
      <c r="I86" s="104" t="s">
        <v>391</v>
      </c>
    </row>
    <row r="87" spans="1:9" ht="15.6" x14ac:dyDescent="0.3">
      <c r="A87" s="101" t="s">
        <v>423</v>
      </c>
      <c r="B87" s="101" t="s">
        <v>98</v>
      </c>
      <c r="C87" s="101" t="s">
        <v>101</v>
      </c>
      <c r="D87" s="101" t="s">
        <v>1</v>
      </c>
      <c r="E87" s="101" t="s">
        <v>369</v>
      </c>
      <c r="F87" s="101" t="s">
        <v>95</v>
      </c>
      <c r="G87" s="101" t="s">
        <v>36</v>
      </c>
      <c r="H87" s="101" t="s">
        <v>100</v>
      </c>
      <c r="I87" s="102" t="s">
        <v>380</v>
      </c>
    </row>
    <row r="88" spans="1:9" ht="15.6" x14ac:dyDescent="0.3">
      <c r="A88" s="101" t="s">
        <v>423</v>
      </c>
      <c r="B88" s="101" t="s">
        <v>102</v>
      </c>
      <c r="C88" s="101" t="s">
        <v>107</v>
      </c>
      <c r="D88" s="101" t="s">
        <v>1</v>
      </c>
      <c r="E88" s="101" t="s">
        <v>377</v>
      </c>
      <c r="F88" s="101" t="s">
        <v>104</v>
      </c>
      <c r="G88" s="101" t="s">
        <v>64</v>
      </c>
      <c r="H88" s="101" t="s">
        <v>182</v>
      </c>
      <c r="I88" s="102" t="s">
        <v>383</v>
      </c>
    </row>
    <row r="89" spans="1:9" ht="15.6" x14ac:dyDescent="0.3">
      <c r="A89" s="101" t="s">
        <v>423</v>
      </c>
      <c r="B89" s="101" t="s">
        <v>54</v>
      </c>
      <c r="C89" s="101" t="s">
        <v>68</v>
      </c>
      <c r="D89" s="101" t="s">
        <v>1</v>
      </c>
      <c r="E89" s="101" t="s">
        <v>371</v>
      </c>
      <c r="F89" s="101" t="s">
        <v>59</v>
      </c>
      <c r="G89" s="101" t="s">
        <v>125</v>
      </c>
      <c r="H89" s="101" t="s">
        <v>60</v>
      </c>
      <c r="I89" s="102" t="s">
        <v>415</v>
      </c>
    </row>
    <row r="90" spans="1:9" ht="15.6" x14ac:dyDescent="0.3">
      <c r="A90" s="101" t="s">
        <v>423</v>
      </c>
      <c r="B90" s="101" t="s">
        <v>54</v>
      </c>
      <c r="C90" s="101" t="s">
        <v>69</v>
      </c>
      <c r="D90" s="101" t="s">
        <v>1</v>
      </c>
      <c r="E90" s="101" t="s">
        <v>365</v>
      </c>
      <c r="F90" s="101" t="s">
        <v>59</v>
      </c>
      <c r="G90" s="101" t="s">
        <v>64</v>
      </c>
      <c r="H90" s="101" t="s">
        <v>60</v>
      </c>
      <c r="I90" s="102" t="s">
        <v>415</v>
      </c>
    </row>
    <row r="91" spans="1:9" ht="15.6" x14ac:dyDescent="0.3">
      <c r="A91" s="101" t="s">
        <v>423</v>
      </c>
      <c r="B91" s="101" t="s">
        <v>102</v>
      </c>
      <c r="C91" s="101" t="s">
        <v>107</v>
      </c>
      <c r="D91" s="101" t="s">
        <v>1</v>
      </c>
      <c r="E91" s="101" t="s">
        <v>377</v>
      </c>
      <c r="F91" s="101" t="s">
        <v>85</v>
      </c>
      <c r="G91" s="101" t="s">
        <v>64</v>
      </c>
      <c r="H91" s="101" t="s">
        <v>62</v>
      </c>
      <c r="I91" s="104" t="s">
        <v>417</v>
      </c>
    </row>
    <row r="92" spans="1:9" ht="15.6" x14ac:dyDescent="0.3">
      <c r="A92" s="101" t="s">
        <v>423</v>
      </c>
      <c r="B92" s="101" t="s">
        <v>54</v>
      </c>
      <c r="C92" s="101" t="s">
        <v>68</v>
      </c>
      <c r="D92" s="101" t="s">
        <v>1</v>
      </c>
      <c r="E92" s="101" t="s">
        <v>371</v>
      </c>
      <c r="F92" s="101" t="s">
        <v>61</v>
      </c>
      <c r="G92" s="101" t="s">
        <v>125</v>
      </c>
      <c r="H92" s="101" t="s">
        <v>62</v>
      </c>
      <c r="I92" s="104" t="s">
        <v>417</v>
      </c>
    </row>
    <row r="93" spans="1:9" ht="15.6" x14ac:dyDescent="0.3">
      <c r="A93" s="101" t="s">
        <v>423</v>
      </c>
      <c r="B93" s="101" t="s">
        <v>54</v>
      </c>
      <c r="C93" s="101" t="s">
        <v>69</v>
      </c>
      <c r="D93" s="101" t="s">
        <v>1</v>
      </c>
      <c r="E93" s="101" t="s">
        <v>365</v>
      </c>
      <c r="F93" s="101" t="s">
        <v>61</v>
      </c>
      <c r="G93" s="101" t="s">
        <v>64</v>
      </c>
      <c r="H93" s="101" t="s">
        <v>62</v>
      </c>
      <c r="I93" s="104" t="s">
        <v>417</v>
      </c>
    </row>
    <row r="94" spans="1:9" ht="15.6" x14ac:dyDescent="0.3">
      <c r="A94" s="101" t="s">
        <v>423</v>
      </c>
      <c r="B94" s="101" t="s">
        <v>54</v>
      </c>
      <c r="C94" s="101" t="s">
        <v>63</v>
      </c>
      <c r="D94" s="101" t="s">
        <v>1</v>
      </c>
      <c r="E94" s="101" t="s">
        <v>370</v>
      </c>
      <c r="F94" s="101" t="s">
        <v>61</v>
      </c>
      <c r="G94" s="101" t="s">
        <v>64</v>
      </c>
      <c r="H94" s="101" t="s">
        <v>67</v>
      </c>
      <c r="I94" s="104" t="s">
        <v>392</v>
      </c>
    </row>
    <row r="95" spans="1:9" ht="15.6" x14ac:dyDescent="0.3">
      <c r="A95" s="101" t="s">
        <v>423</v>
      </c>
      <c r="B95" s="101" t="s">
        <v>54</v>
      </c>
      <c r="C95" s="101" t="s">
        <v>70</v>
      </c>
      <c r="D95" s="101" t="s">
        <v>1</v>
      </c>
      <c r="E95" s="101" t="s">
        <v>318</v>
      </c>
      <c r="F95" s="101" t="s">
        <v>61</v>
      </c>
      <c r="G95" s="101" t="s">
        <v>64</v>
      </c>
      <c r="H95" s="101" t="s">
        <v>67</v>
      </c>
      <c r="I95" s="104" t="s">
        <v>392</v>
      </c>
    </row>
    <row r="96" spans="1:9" ht="15.6" x14ac:dyDescent="0.3">
      <c r="A96" s="101" t="s">
        <v>423</v>
      </c>
      <c r="B96" s="101" t="s">
        <v>54</v>
      </c>
      <c r="C96" s="101" t="s">
        <v>72</v>
      </c>
      <c r="D96" s="101" t="s">
        <v>1</v>
      </c>
      <c r="E96" s="101" t="s">
        <v>374</v>
      </c>
      <c r="F96" s="101" t="s">
        <v>61</v>
      </c>
      <c r="G96" s="101" t="s">
        <v>57</v>
      </c>
      <c r="H96" s="101" t="s">
        <v>67</v>
      </c>
      <c r="I96" s="104" t="s">
        <v>392</v>
      </c>
    </row>
    <row r="97" spans="1:9" ht="15.6" x14ac:dyDescent="0.3">
      <c r="A97" s="101" t="s">
        <v>423</v>
      </c>
      <c r="B97" s="101" t="s">
        <v>54</v>
      </c>
      <c r="C97" s="101" t="s">
        <v>55</v>
      </c>
      <c r="D97" s="101" t="s">
        <v>1</v>
      </c>
      <c r="E97" s="101" t="s">
        <v>363</v>
      </c>
      <c r="F97" s="101" t="s">
        <v>61</v>
      </c>
      <c r="G97" s="101" t="s">
        <v>64</v>
      </c>
      <c r="H97" s="101" t="s">
        <v>67</v>
      </c>
      <c r="I97" s="104" t="s">
        <v>392</v>
      </c>
    </row>
    <row r="98" spans="1:9" ht="15.6" x14ac:dyDescent="0.3">
      <c r="A98" s="101" t="s">
        <v>423</v>
      </c>
      <c r="B98" s="101" t="s">
        <v>54</v>
      </c>
      <c r="C98" s="101" t="s">
        <v>74</v>
      </c>
      <c r="D98" s="101" t="s">
        <v>1</v>
      </c>
      <c r="E98" s="101" t="s">
        <v>394</v>
      </c>
      <c r="F98" s="101" t="s">
        <v>61</v>
      </c>
      <c r="G98" s="101" t="s">
        <v>73</v>
      </c>
      <c r="H98" s="101" t="s">
        <v>67</v>
      </c>
      <c r="I98" s="104" t="s">
        <v>392</v>
      </c>
    </row>
    <row r="99" spans="1:9" ht="15.6" x14ac:dyDescent="0.3">
      <c r="A99" s="101" t="s">
        <v>423</v>
      </c>
      <c r="B99" s="101" t="s">
        <v>54</v>
      </c>
      <c r="C99" s="101" t="s">
        <v>71</v>
      </c>
      <c r="D99" s="101" t="s">
        <v>1</v>
      </c>
      <c r="E99" s="101" t="s">
        <v>373</v>
      </c>
      <c r="F99" s="101" t="s">
        <v>61</v>
      </c>
      <c r="G99" s="101" t="s">
        <v>81</v>
      </c>
      <c r="H99" s="101" t="s">
        <v>180</v>
      </c>
      <c r="I99" s="104" t="s">
        <v>425</v>
      </c>
    </row>
    <row r="100" spans="1:9" ht="15.6" x14ac:dyDescent="0.3">
      <c r="A100" s="101" t="s">
        <v>423</v>
      </c>
      <c r="B100" s="101" t="s">
        <v>26</v>
      </c>
      <c r="C100" s="101" t="s">
        <v>46</v>
      </c>
      <c r="D100" s="101" t="s">
        <v>1</v>
      </c>
      <c r="E100" s="101" t="s">
        <v>266</v>
      </c>
      <c r="F100" s="101" t="s">
        <v>33</v>
      </c>
      <c r="G100" s="101" t="s">
        <v>36</v>
      </c>
      <c r="H100" s="101" t="s">
        <v>173</v>
      </c>
      <c r="I100" s="104" t="s">
        <v>392</v>
      </c>
    </row>
    <row r="101" spans="1:9" ht="15.6" x14ac:dyDescent="0.3">
      <c r="A101" s="101" t="s">
        <v>423</v>
      </c>
      <c r="B101" s="101" t="s">
        <v>26</v>
      </c>
      <c r="C101" s="101" t="s">
        <v>49</v>
      </c>
      <c r="D101" s="101" t="s">
        <v>1</v>
      </c>
      <c r="E101" s="101" t="s">
        <v>406</v>
      </c>
      <c r="F101" s="101" t="s">
        <v>33</v>
      </c>
      <c r="G101" s="101" t="s">
        <v>36</v>
      </c>
      <c r="H101" s="101" t="s">
        <v>173</v>
      </c>
      <c r="I101" s="104" t="s">
        <v>392</v>
      </c>
    </row>
    <row r="102" spans="1:9" ht="15.6" x14ac:dyDescent="0.3">
      <c r="A102" s="101" t="s">
        <v>423</v>
      </c>
      <c r="B102" s="101" t="s">
        <v>26</v>
      </c>
      <c r="C102" s="101" t="s">
        <v>35</v>
      </c>
      <c r="D102" s="101" t="s">
        <v>1</v>
      </c>
      <c r="E102" s="101" t="s">
        <v>397</v>
      </c>
      <c r="F102" s="101" t="s">
        <v>33</v>
      </c>
      <c r="G102" s="101" t="s">
        <v>36</v>
      </c>
      <c r="H102" s="101" t="s">
        <v>173</v>
      </c>
      <c r="I102" s="104" t="s">
        <v>426</v>
      </c>
    </row>
    <row r="103" spans="1:9" ht="15.6" x14ac:dyDescent="0.3">
      <c r="A103" s="101" t="s">
        <v>423</v>
      </c>
      <c r="B103" s="101" t="s">
        <v>26</v>
      </c>
      <c r="C103" s="101" t="s">
        <v>40</v>
      </c>
      <c r="D103" s="101" t="s">
        <v>1</v>
      </c>
      <c r="E103" s="101" t="s">
        <v>401</v>
      </c>
      <c r="F103" s="101" t="s">
        <v>33</v>
      </c>
      <c r="G103" s="101" t="s">
        <v>36</v>
      </c>
      <c r="H103" s="101" t="s">
        <v>173</v>
      </c>
      <c r="I103" s="104" t="s">
        <v>392</v>
      </c>
    </row>
    <row r="104" spans="1:9" ht="15.6" x14ac:dyDescent="0.3">
      <c r="A104" s="101" t="s">
        <v>423</v>
      </c>
      <c r="B104" s="101" t="s">
        <v>26</v>
      </c>
      <c r="C104" s="101" t="s">
        <v>51</v>
      </c>
      <c r="D104" s="101" t="s">
        <v>1</v>
      </c>
      <c r="E104" s="101" t="s">
        <v>408</v>
      </c>
      <c r="F104" s="101" t="s">
        <v>33</v>
      </c>
      <c r="G104" s="101" t="s">
        <v>36</v>
      </c>
      <c r="H104" s="101" t="s">
        <v>38</v>
      </c>
      <c r="I104" s="104" t="s">
        <v>419</v>
      </c>
    </row>
    <row r="105" spans="1:9" ht="15.6" x14ac:dyDescent="0.3">
      <c r="A105" s="101" t="s">
        <v>423</v>
      </c>
      <c r="B105" s="101" t="s">
        <v>26</v>
      </c>
      <c r="C105" s="101" t="s">
        <v>39</v>
      </c>
      <c r="D105" s="101" t="s">
        <v>1</v>
      </c>
      <c r="E105" s="101" t="s">
        <v>399</v>
      </c>
      <c r="F105" s="101" t="s">
        <v>33</v>
      </c>
      <c r="G105" s="101" t="s">
        <v>36</v>
      </c>
      <c r="H105" s="101" t="s">
        <v>38</v>
      </c>
      <c r="I105" s="104" t="s">
        <v>419</v>
      </c>
    </row>
    <row r="106" spans="1:9" ht="15.6" x14ac:dyDescent="0.3">
      <c r="A106" s="101" t="s">
        <v>423</v>
      </c>
      <c r="B106" s="101" t="s">
        <v>78</v>
      </c>
      <c r="C106" s="101" t="s">
        <v>79</v>
      </c>
      <c r="D106" s="101" t="s">
        <v>1</v>
      </c>
      <c r="E106" s="101" t="s">
        <v>364</v>
      </c>
      <c r="F106" s="101" t="s">
        <v>85</v>
      </c>
      <c r="G106" s="101" t="s">
        <v>88</v>
      </c>
      <c r="H106" s="101" t="s">
        <v>86</v>
      </c>
      <c r="I106" s="102" t="s">
        <v>421</v>
      </c>
    </row>
    <row r="107" spans="1:9" ht="15.6" x14ac:dyDescent="0.3">
      <c r="A107" s="101" t="s">
        <v>423</v>
      </c>
      <c r="B107" s="101" t="s">
        <v>78</v>
      </c>
      <c r="C107" s="101" t="s">
        <v>87</v>
      </c>
      <c r="D107" s="101" t="s">
        <v>1</v>
      </c>
      <c r="E107" s="101" t="s">
        <v>365</v>
      </c>
      <c r="F107" s="101" t="s">
        <v>85</v>
      </c>
      <c r="G107" s="101" t="s">
        <v>96</v>
      </c>
      <c r="H107" s="101" t="s">
        <v>86</v>
      </c>
      <c r="I107" s="103" t="s">
        <v>386</v>
      </c>
    </row>
    <row r="108" spans="1:9" ht="15.6" x14ac:dyDescent="0.3">
      <c r="A108" s="101" t="s">
        <v>423</v>
      </c>
      <c r="B108" s="101" t="s">
        <v>78</v>
      </c>
      <c r="C108" s="101" t="s">
        <v>89</v>
      </c>
      <c r="D108" s="101" t="s">
        <v>1</v>
      </c>
      <c r="E108" s="101" t="s">
        <v>366</v>
      </c>
      <c r="F108" s="101" t="s">
        <v>85</v>
      </c>
      <c r="G108" s="101" t="s">
        <v>96</v>
      </c>
      <c r="H108" s="101" t="s">
        <v>86</v>
      </c>
      <c r="I108" s="103" t="s">
        <v>386</v>
      </c>
    </row>
    <row r="109" spans="1:9" ht="15.6" x14ac:dyDescent="0.3">
      <c r="A109" s="101" t="s">
        <v>423</v>
      </c>
      <c r="B109" s="101" t="s">
        <v>78</v>
      </c>
      <c r="C109" s="101" t="s">
        <v>90</v>
      </c>
      <c r="D109" s="101" t="s">
        <v>1</v>
      </c>
      <c r="E109" s="101" t="s">
        <v>376</v>
      </c>
      <c r="F109" s="101" t="s">
        <v>85</v>
      </c>
      <c r="G109" s="101" t="s">
        <v>42</v>
      </c>
      <c r="H109" s="101" t="s">
        <v>86</v>
      </c>
      <c r="I109" s="103" t="s">
        <v>386</v>
      </c>
    </row>
    <row r="110" spans="1:9" ht="15.6" x14ac:dyDescent="0.3">
      <c r="A110" s="101" t="s">
        <v>423</v>
      </c>
      <c r="B110" s="101" t="s">
        <v>26</v>
      </c>
      <c r="C110" s="101" t="s">
        <v>45</v>
      </c>
      <c r="D110" s="101" t="s">
        <v>1</v>
      </c>
      <c r="E110" s="101" t="s">
        <v>364</v>
      </c>
      <c r="F110" s="101" t="s">
        <v>33</v>
      </c>
      <c r="G110" s="101" t="s">
        <v>42</v>
      </c>
      <c r="H110" s="101" t="s">
        <v>174</v>
      </c>
      <c r="I110" s="103" t="s">
        <v>422</v>
      </c>
    </row>
    <row r="111" spans="1:9" ht="15.6" x14ac:dyDescent="0.3">
      <c r="A111" s="101" t="s">
        <v>423</v>
      </c>
      <c r="B111" s="101" t="s">
        <v>26</v>
      </c>
      <c r="C111" s="101" t="s">
        <v>44</v>
      </c>
      <c r="D111" s="101" t="s">
        <v>1</v>
      </c>
      <c r="E111" s="101" t="s">
        <v>365</v>
      </c>
      <c r="F111" s="101" t="s">
        <v>33</v>
      </c>
      <c r="G111" s="101" t="s">
        <v>42</v>
      </c>
      <c r="H111" s="101" t="s">
        <v>43</v>
      </c>
      <c r="I111" s="103" t="s">
        <v>384</v>
      </c>
    </row>
    <row r="112" spans="1:9" ht="15.6" x14ac:dyDescent="0.3">
      <c r="A112" s="101" t="s">
        <v>423</v>
      </c>
      <c r="B112" s="101" t="s">
        <v>26</v>
      </c>
      <c r="C112" s="101" t="s">
        <v>27</v>
      </c>
      <c r="D112" s="101" t="s">
        <v>1</v>
      </c>
      <c r="E112" s="101" t="s">
        <v>362</v>
      </c>
      <c r="F112" s="101" t="s">
        <v>33</v>
      </c>
      <c r="G112" s="101" t="s">
        <v>36</v>
      </c>
      <c r="H112" s="101" t="s">
        <v>48</v>
      </c>
      <c r="I112" s="102" t="s">
        <v>380</v>
      </c>
    </row>
    <row r="113" spans="1:9" ht="15.6" x14ac:dyDescent="0.3">
      <c r="A113" s="101" t="s">
        <v>423</v>
      </c>
      <c r="B113" s="101" t="s">
        <v>26</v>
      </c>
      <c r="C113" s="101" t="s">
        <v>50</v>
      </c>
      <c r="D113" s="101" t="s">
        <v>1</v>
      </c>
      <c r="E113" s="101" t="s">
        <v>407</v>
      </c>
      <c r="F113" s="101" t="s">
        <v>33</v>
      </c>
      <c r="G113" s="101" t="s">
        <v>36</v>
      </c>
      <c r="H113" s="101" t="s">
        <v>48</v>
      </c>
      <c r="I113" s="102" t="s">
        <v>380</v>
      </c>
    </row>
    <row r="114" spans="1:9" ht="15.6" x14ac:dyDescent="0.3">
      <c r="A114" s="101" t="s">
        <v>423</v>
      </c>
      <c r="B114" s="101" t="s">
        <v>26</v>
      </c>
      <c r="C114" s="101" t="s">
        <v>41</v>
      </c>
      <c r="D114" s="101" t="s">
        <v>1</v>
      </c>
      <c r="E114" s="101" t="s">
        <v>366</v>
      </c>
      <c r="F114" s="101" t="s">
        <v>33</v>
      </c>
      <c r="G114" s="101" t="s">
        <v>42</v>
      </c>
      <c r="H114" s="101" t="s">
        <v>175</v>
      </c>
      <c r="I114" s="102" t="s">
        <v>427</v>
      </c>
    </row>
    <row r="115" spans="1:9" ht="15.6" x14ac:dyDescent="0.3">
      <c r="A115" s="99" t="s">
        <v>428</v>
      </c>
      <c r="B115" s="99" t="s">
        <v>110</v>
      </c>
      <c r="C115" s="99" t="s">
        <v>195</v>
      </c>
      <c r="D115" s="99" t="s">
        <v>1</v>
      </c>
      <c r="E115" s="99" t="s">
        <v>330</v>
      </c>
      <c r="F115" s="99" t="s">
        <v>112</v>
      </c>
      <c r="G115" s="99" t="s">
        <v>73</v>
      </c>
      <c r="H115" s="99" t="s">
        <v>182</v>
      </c>
      <c r="I115" s="100" t="s">
        <v>379</v>
      </c>
    </row>
    <row r="116" spans="1:9" ht="15.6" x14ac:dyDescent="0.3">
      <c r="A116" s="99" t="s">
        <v>428</v>
      </c>
      <c r="B116" s="99" t="s">
        <v>110</v>
      </c>
      <c r="C116" s="99" t="s">
        <v>199</v>
      </c>
      <c r="D116" s="99" t="s">
        <v>1</v>
      </c>
      <c r="E116" s="99" t="s">
        <v>336</v>
      </c>
      <c r="F116" s="99" t="s">
        <v>112</v>
      </c>
      <c r="G116" s="99" t="s">
        <v>36</v>
      </c>
      <c r="H116" s="99" t="s">
        <v>182</v>
      </c>
      <c r="I116" s="100" t="s">
        <v>379</v>
      </c>
    </row>
    <row r="117" spans="1:9" ht="15.6" x14ac:dyDescent="0.3">
      <c r="A117" s="99" t="s">
        <v>428</v>
      </c>
      <c r="B117" s="99" t="s">
        <v>110</v>
      </c>
      <c r="C117" s="99" t="s">
        <v>131</v>
      </c>
      <c r="D117" s="99" t="s">
        <v>1</v>
      </c>
      <c r="E117" s="99" t="s">
        <v>333</v>
      </c>
      <c r="F117" s="99" t="s">
        <v>112</v>
      </c>
      <c r="G117" s="99" t="s">
        <v>36</v>
      </c>
      <c r="H117" s="99" t="s">
        <v>182</v>
      </c>
      <c r="I117" s="100" t="s">
        <v>379</v>
      </c>
    </row>
    <row r="118" spans="1:9" ht="15.6" x14ac:dyDescent="0.3">
      <c r="A118" s="99" t="s">
        <v>428</v>
      </c>
      <c r="B118" s="99" t="s">
        <v>110</v>
      </c>
      <c r="C118" s="99" t="s">
        <v>160</v>
      </c>
      <c r="D118" s="99" t="s">
        <v>1</v>
      </c>
      <c r="E118" s="99" t="s">
        <v>329</v>
      </c>
      <c r="F118" s="99" t="s">
        <v>112</v>
      </c>
      <c r="G118" s="99" t="s">
        <v>96</v>
      </c>
      <c r="H118" s="99" t="s">
        <v>182</v>
      </c>
      <c r="I118" s="100" t="s">
        <v>379</v>
      </c>
    </row>
    <row r="119" spans="1:9" ht="15.6" x14ac:dyDescent="0.3">
      <c r="A119" s="99" t="s">
        <v>428</v>
      </c>
      <c r="B119" s="99" t="s">
        <v>110</v>
      </c>
      <c r="C119" s="99" t="s">
        <v>164</v>
      </c>
      <c r="D119" s="99" t="s">
        <v>1</v>
      </c>
      <c r="E119" s="99" t="s">
        <v>326</v>
      </c>
      <c r="F119" s="99" t="s">
        <v>112</v>
      </c>
      <c r="G119" s="99" t="s">
        <v>36</v>
      </c>
      <c r="H119" s="99" t="s">
        <v>156</v>
      </c>
      <c r="I119" s="100" t="s">
        <v>379</v>
      </c>
    </row>
    <row r="120" spans="1:9" ht="15.6" x14ac:dyDescent="0.3">
      <c r="A120" s="99" t="s">
        <v>428</v>
      </c>
      <c r="B120" s="99" t="s">
        <v>110</v>
      </c>
      <c r="C120" s="99" t="s">
        <v>124</v>
      </c>
      <c r="D120" s="99" t="s">
        <v>1</v>
      </c>
      <c r="E120" s="99" t="s">
        <v>342</v>
      </c>
      <c r="F120" s="99" t="s">
        <v>112</v>
      </c>
      <c r="G120" s="99" t="s">
        <v>29</v>
      </c>
      <c r="H120" s="99" t="s">
        <v>120</v>
      </c>
      <c r="I120" s="100" t="s">
        <v>379</v>
      </c>
    </row>
    <row r="121" spans="1:9" ht="15.6" x14ac:dyDescent="0.3">
      <c r="A121" s="99" t="s">
        <v>428</v>
      </c>
      <c r="B121" s="99" t="s">
        <v>110</v>
      </c>
      <c r="C121" s="99" t="s">
        <v>118</v>
      </c>
      <c r="D121" s="99" t="s">
        <v>1</v>
      </c>
      <c r="E121" s="99" t="s">
        <v>338</v>
      </c>
      <c r="F121" s="99" t="s">
        <v>112</v>
      </c>
      <c r="G121" s="99" t="s">
        <v>36</v>
      </c>
      <c r="H121" s="99" t="s">
        <v>126</v>
      </c>
      <c r="I121" s="100" t="s">
        <v>379</v>
      </c>
    </row>
    <row r="122" spans="1:9" ht="15.6" x14ac:dyDescent="0.3">
      <c r="A122" s="101" t="s">
        <v>428</v>
      </c>
      <c r="B122" s="101" t="s">
        <v>102</v>
      </c>
      <c r="C122" s="101" t="s">
        <v>107</v>
      </c>
      <c r="D122" s="101" t="s">
        <v>1</v>
      </c>
      <c r="E122" s="101" t="s">
        <v>429</v>
      </c>
      <c r="F122" s="101" t="s">
        <v>193</v>
      </c>
      <c r="G122" s="101" t="s">
        <v>64</v>
      </c>
      <c r="H122" s="101" t="s">
        <v>194</v>
      </c>
      <c r="I122" s="102" t="s">
        <v>410</v>
      </c>
    </row>
    <row r="123" spans="1:9" ht="15.6" x14ac:dyDescent="0.3">
      <c r="A123" s="101" t="s">
        <v>428</v>
      </c>
      <c r="B123" s="101" t="s">
        <v>54</v>
      </c>
      <c r="C123" s="101" t="s">
        <v>70</v>
      </c>
      <c r="D123" s="101" t="s">
        <v>1</v>
      </c>
      <c r="E123" s="101" t="s">
        <v>318</v>
      </c>
      <c r="F123" s="101" t="s">
        <v>190</v>
      </c>
      <c r="G123" s="101" t="s">
        <v>57</v>
      </c>
      <c r="H123" s="101" t="s">
        <v>58</v>
      </c>
      <c r="I123" s="102" t="s">
        <v>380</v>
      </c>
    </row>
    <row r="124" spans="1:9" ht="15.6" x14ac:dyDescent="0.3">
      <c r="A124" s="101" t="s">
        <v>428</v>
      </c>
      <c r="B124" s="101" t="s">
        <v>54</v>
      </c>
      <c r="C124" s="101" t="s">
        <v>71</v>
      </c>
      <c r="D124" s="101" t="s">
        <v>1</v>
      </c>
      <c r="E124" s="101" t="s">
        <v>373</v>
      </c>
      <c r="F124" s="101" t="s">
        <v>190</v>
      </c>
      <c r="G124" s="101" t="s">
        <v>96</v>
      </c>
      <c r="H124" s="101" t="s">
        <v>58</v>
      </c>
      <c r="I124" s="102" t="s">
        <v>410</v>
      </c>
    </row>
    <row r="125" spans="1:9" ht="15.6" x14ac:dyDescent="0.3">
      <c r="A125" s="101" t="s">
        <v>428</v>
      </c>
      <c r="B125" s="101" t="s">
        <v>93</v>
      </c>
      <c r="C125" s="101" t="s">
        <v>94</v>
      </c>
      <c r="D125" s="101" t="s">
        <v>1</v>
      </c>
      <c r="E125" s="101" t="s">
        <v>430</v>
      </c>
      <c r="F125" s="101" t="s">
        <v>95</v>
      </c>
      <c r="G125" s="101" t="s">
        <v>57</v>
      </c>
      <c r="H125" s="101" t="s">
        <v>97</v>
      </c>
      <c r="I125" s="103" t="s">
        <v>381</v>
      </c>
    </row>
    <row r="126" spans="1:9" ht="15.6" x14ac:dyDescent="0.3">
      <c r="A126" s="101" t="s">
        <v>428</v>
      </c>
      <c r="B126" s="101" t="s">
        <v>98</v>
      </c>
      <c r="C126" s="101" t="s">
        <v>101</v>
      </c>
      <c r="D126" s="101" t="s">
        <v>1</v>
      </c>
      <c r="E126" s="101" t="s">
        <v>369</v>
      </c>
      <c r="F126" s="101" t="s">
        <v>95</v>
      </c>
      <c r="G126" s="101" t="s">
        <v>36</v>
      </c>
      <c r="H126" s="101" t="s">
        <v>100</v>
      </c>
      <c r="I126" s="103" t="s">
        <v>382</v>
      </c>
    </row>
    <row r="127" spans="1:9" ht="15.6" x14ac:dyDescent="0.3">
      <c r="A127" s="101" t="s">
        <v>428</v>
      </c>
      <c r="B127" s="101" t="s">
        <v>136</v>
      </c>
      <c r="C127" s="101" t="s">
        <v>144</v>
      </c>
      <c r="D127" s="101" t="s">
        <v>1</v>
      </c>
      <c r="E127" s="101" t="s">
        <v>431</v>
      </c>
      <c r="F127" s="101" t="s">
        <v>145</v>
      </c>
      <c r="G127" s="101" t="s">
        <v>42</v>
      </c>
      <c r="H127" s="101" t="s">
        <v>146</v>
      </c>
      <c r="I127" s="103" t="s">
        <v>382</v>
      </c>
    </row>
    <row r="128" spans="1:9" ht="15.6" x14ac:dyDescent="0.3">
      <c r="A128" s="101" t="s">
        <v>428</v>
      </c>
      <c r="B128" s="101" t="s">
        <v>26</v>
      </c>
      <c r="C128" s="101" t="s">
        <v>49</v>
      </c>
      <c r="D128" s="101" t="s">
        <v>1</v>
      </c>
      <c r="E128" s="101" t="s">
        <v>406</v>
      </c>
      <c r="F128" s="101" t="s">
        <v>33</v>
      </c>
      <c r="G128" s="101" t="s">
        <v>36</v>
      </c>
      <c r="H128" s="101" t="s">
        <v>173</v>
      </c>
      <c r="I128" s="104" t="s">
        <v>425</v>
      </c>
    </row>
    <row r="129" spans="1:9" ht="15.6" x14ac:dyDescent="0.3">
      <c r="A129" s="101" t="s">
        <v>428</v>
      </c>
      <c r="B129" s="101" t="s">
        <v>26</v>
      </c>
      <c r="C129" s="101" t="s">
        <v>35</v>
      </c>
      <c r="D129" s="101" t="s">
        <v>1</v>
      </c>
      <c r="E129" s="101" t="s">
        <v>397</v>
      </c>
      <c r="F129" s="101" t="s">
        <v>33</v>
      </c>
      <c r="G129" s="101" t="s">
        <v>36</v>
      </c>
      <c r="H129" s="101" t="s">
        <v>173</v>
      </c>
      <c r="I129" s="104" t="s">
        <v>425</v>
      </c>
    </row>
    <row r="130" spans="1:9" ht="15.6" x14ac:dyDescent="0.3">
      <c r="A130" s="101" t="s">
        <v>428</v>
      </c>
      <c r="B130" s="101" t="s">
        <v>26</v>
      </c>
      <c r="C130" s="101" t="s">
        <v>40</v>
      </c>
      <c r="D130" s="101" t="s">
        <v>1</v>
      </c>
      <c r="E130" s="101" t="s">
        <v>432</v>
      </c>
      <c r="F130" s="101" t="s">
        <v>33</v>
      </c>
      <c r="G130" s="101" t="s">
        <v>36</v>
      </c>
      <c r="H130" s="101" t="s">
        <v>173</v>
      </c>
      <c r="I130" s="104" t="s">
        <v>425</v>
      </c>
    </row>
    <row r="131" spans="1:9" ht="15.6" x14ac:dyDescent="0.3">
      <c r="A131" s="101" t="s">
        <v>428</v>
      </c>
      <c r="B131" s="101" t="s">
        <v>26</v>
      </c>
      <c r="C131" s="101" t="s">
        <v>39</v>
      </c>
      <c r="D131" s="101" t="s">
        <v>1</v>
      </c>
      <c r="E131" s="101" t="s">
        <v>399</v>
      </c>
      <c r="F131" s="101" t="s">
        <v>33</v>
      </c>
      <c r="G131" s="101" t="s">
        <v>36</v>
      </c>
      <c r="H131" s="101" t="s">
        <v>214</v>
      </c>
      <c r="I131" s="104" t="s">
        <v>426</v>
      </c>
    </row>
    <row r="132" spans="1:9" ht="15.6" x14ac:dyDescent="0.3">
      <c r="A132" s="101" t="s">
        <v>428</v>
      </c>
      <c r="B132" s="101" t="s">
        <v>26</v>
      </c>
      <c r="C132" s="101" t="s">
        <v>46</v>
      </c>
      <c r="D132" s="101" t="s">
        <v>1</v>
      </c>
      <c r="E132" s="101" t="s">
        <v>266</v>
      </c>
      <c r="F132" s="101" t="s">
        <v>33</v>
      </c>
      <c r="G132" s="101" t="s">
        <v>36</v>
      </c>
      <c r="H132" s="101" t="s">
        <v>38</v>
      </c>
      <c r="I132" s="104" t="s">
        <v>420</v>
      </c>
    </row>
    <row r="133" spans="1:9" ht="15.6" x14ac:dyDescent="0.3">
      <c r="A133" s="101" t="s">
        <v>428</v>
      </c>
      <c r="B133" s="101" t="s">
        <v>26</v>
      </c>
      <c r="C133" s="101" t="s">
        <v>27</v>
      </c>
      <c r="D133" s="101" t="s">
        <v>1</v>
      </c>
      <c r="E133" s="101" t="s">
        <v>362</v>
      </c>
      <c r="F133" s="101" t="s">
        <v>33</v>
      </c>
      <c r="G133" s="101" t="s">
        <v>36</v>
      </c>
      <c r="H133" s="101" t="s">
        <v>38</v>
      </c>
      <c r="I133" s="104" t="s">
        <v>400</v>
      </c>
    </row>
    <row r="134" spans="1:9" ht="15.6" x14ac:dyDescent="0.3">
      <c r="A134" s="101" t="s">
        <v>428</v>
      </c>
      <c r="B134" s="101" t="s">
        <v>78</v>
      </c>
      <c r="C134" s="101" t="s">
        <v>79</v>
      </c>
      <c r="D134" s="101" t="s">
        <v>1</v>
      </c>
      <c r="E134" s="101" t="s">
        <v>364</v>
      </c>
      <c r="F134" s="101" t="s">
        <v>85</v>
      </c>
      <c r="G134" s="101" t="s">
        <v>57</v>
      </c>
      <c r="H134" s="101" t="s">
        <v>86</v>
      </c>
      <c r="I134" s="102" t="s">
        <v>383</v>
      </c>
    </row>
    <row r="135" spans="1:9" ht="15.6" x14ac:dyDescent="0.3">
      <c r="A135" s="101" t="s">
        <v>428</v>
      </c>
      <c r="B135" s="101" t="s">
        <v>78</v>
      </c>
      <c r="C135" s="101" t="s">
        <v>87</v>
      </c>
      <c r="D135" s="101" t="s">
        <v>1</v>
      </c>
      <c r="E135" s="101" t="s">
        <v>365</v>
      </c>
      <c r="F135" s="101" t="s">
        <v>85</v>
      </c>
      <c r="G135" s="101" t="s">
        <v>42</v>
      </c>
      <c r="H135" s="101" t="s">
        <v>86</v>
      </c>
      <c r="I135" s="102" t="s">
        <v>383</v>
      </c>
    </row>
    <row r="136" spans="1:9" ht="15.6" x14ac:dyDescent="0.3">
      <c r="A136" s="101" t="s">
        <v>428</v>
      </c>
      <c r="B136" s="101" t="s">
        <v>78</v>
      </c>
      <c r="C136" s="101" t="s">
        <v>89</v>
      </c>
      <c r="D136" s="101" t="s">
        <v>1</v>
      </c>
      <c r="E136" s="101" t="s">
        <v>366</v>
      </c>
      <c r="F136" s="101" t="s">
        <v>85</v>
      </c>
      <c r="G136" s="101" t="s">
        <v>29</v>
      </c>
      <c r="H136" s="101" t="s">
        <v>86</v>
      </c>
      <c r="I136" s="103" t="s">
        <v>403</v>
      </c>
    </row>
    <row r="137" spans="1:9" ht="15.6" x14ac:dyDescent="0.3">
      <c r="A137" s="101" t="s">
        <v>428</v>
      </c>
      <c r="B137" s="101" t="s">
        <v>78</v>
      </c>
      <c r="C137" s="101" t="s">
        <v>90</v>
      </c>
      <c r="D137" s="101" t="s">
        <v>1</v>
      </c>
      <c r="E137" s="101" t="s">
        <v>376</v>
      </c>
      <c r="F137" s="101" t="s">
        <v>85</v>
      </c>
      <c r="G137" s="101" t="s">
        <v>42</v>
      </c>
      <c r="H137" s="101" t="s">
        <v>86</v>
      </c>
      <c r="I137" s="103" t="s">
        <v>403</v>
      </c>
    </row>
    <row r="138" spans="1:9" ht="15.6" x14ac:dyDescent="0.3">
      <c r="A138" s="101" t="s">
        <v>428</v>
      </c>
      <c r="B138" s="101" t="s">
        <v>26</v>
      </c>
      <c r="C138" s="101" t="s">
        <v>50</v>
      </c>
      <c r="D138" s="101" t="s">
        <v>1</v>
      </c>
      <c r="E138" s="101" t="s">
        <v>407</v>
      </c>
      <c r="F138" s="101" t="s">
        <v>33</v>
      </c>
      <c r="G138" s="101" t="s">
        <v>36</v>
      </c>
      <c r="H138" s="101" t="s">
        <v>216</v>
      </c>
      <c r="I138" s="104" t="s">
        <v>433</v>
      </c>
    </row>
    <row r="139" spans="1:9" ht="15.6" x14ac:dyDescent="0.3">
      <c r="A139" s="101" t="s">
        <v>428</v>
      </c>
      <c r="B139" s="101" t="s">
        <v>26</v>
      </c>
      <c r="C139" s="101" t="s">
        <v>44</v>
      </c>
      <c r="D139" s="101" t="s">
        <v>1</v>
      </c>
      <c r="E139" s="101" t="s">
        <v>365</v>
      </c>
      <c r="F139" s="101" t="s">
        <v>33</v>
      </c>
      <c r="G139" s="101" t="s">
        <v>42</v>
      </c>
      <c r="H139" s="101" t="s">
        <v>174</v>
      </c>
      <c r="I139" s="103" t="s">
        <v>382</v>
      </c>
    </row>
    <row r="140" spans="1:9" ht="15.6" x14ac:dyDescent="0.3">
      <c r="A140" s="101" t="s">
        <v>428</v>
      </c>
      <c r="B140" s="101" t="s">
        <v>26</v>
      </c>
      <c r="C140" s="101" t="s">
        <v>45</v>
      </c>
      <c r="D140" s="101" t="s">
        <v>1</v>
      </c>
      <c r="E140" s="101" t="s">
        <v>364</v>
      </c>
      <c r="F140" s="101" t="s">
        <v>33</v>
      </c>
      <c r="G140" s="101" t="s">
        <v>42</v>
      </c>
      <c r="H140" s="101" t="s">
        <v>43</v>
      </c>
      <c r="I140" s="102" t="s">
        <v>388</v>
      </c>
    </row>
    <row r="141" spans="1:9" ht="15.6" x14ac:dyDescent="0.3">
      <c r="A141" s="101" t="s">
        <v>428</v>
      </c>
      <c r="B141" s="101" t="s">
        <v>26</v>
      </c>
      <c r="C141" s="101" t="s">
        <v>41</v>
      </c>
      <c r="D141" s="101" t="s">
        <v>1</v>
      </c>
      <c r="E141" s="101" t="s">
        <v>366</v>
      </c>
      <c r="F141" s="101" t="s">
        <v>33</v>
      </c>
      <c r="G141" s="101" t="s">
        <v>42</v>
      </c>
      <c r="H141" s="101" t="s">
        <v>175</v>
      </c>
      <c r="I141" s="103" t="s">
        <v>387</v>
      </c>
    </row>
    <row r="142" spans="1:9" ht="15.6" x14ac:dyDescent="0.3">
      <c r="A142" s="101" t="s">
        <v>428</v>
      </c>
      <c r="B142" s="101" t="s">
        <v>26</v>
      </c>
      <c r="C142" s="101" t="s">
        <v>52</v>
      </c>
      <c r="D142" s="101" t="s">
        <v>1</v>
      </c>
      <c r="E142" s="101" t="s">
        <v>376</v>
      </c>
      <c r="F142" s="101" t="s">
        <v>33</v>
      </c>
      <c r="G142" s="101" t="s">
        <v>42</v>
      </c>
      <c r="H142" s="101" t="s">
        <v>175</v>
      </c>
      <c r="I142" s="103" t="s">
        <v>387</v>
      </c>
    </row>
    <row r="143" spans="1:9" ht="15.6" x14ac:dyDescent="0.3">
      <c r="A143" s="101" t="s">
        <v>428</v>
      </c>
      <c r="B143" s="101" t="s">
        <v>26</v>
      </c>
      <c r="C143" s="101" t="s">
        <v>51</v>
      </c>
      <c r="D143" s="101" t="s">
        <v>1</v>
      </c>
      <c r="E143" s="101" t="s">
        <v>408</v>
      </c>
      <c r="F143" s="101" t="s">
        <v>33</v>
      </c>
      <c r="G143" s="101" t="s">
        <v>36</v>
      </c>
      <c r="H143" s="101" t="s">
        <v>218</v>
      </c>
      <c r="I143" s="102" t="s">
        <v>415</v>
      </c>
    </row>
    <row r="144" spans="1:9" ht="15.6" x14ac:dyDescent="0.3">
      <c r="A144" s="99" t="s">
        <v>434</v>
      </c>
      <c r="B144" s="99" t="s">
        <v>110</v>
      </c>
      <c r="C144" s="99" t="s">
        <v>124</v>
      </c>
      <c r="D144" s="99" t="s">
        <v>1</v>
      </c>
      <c r="E144" s="99" t="s">
        <v>279</v>
      </c>
      <c r="F144" s="99" t="s">
        <v>112</v>
      </c>
      <c r="G144" s="99" t="s">
        <v>36</v>
      </c>
      <c r="H144" s="99" t="s">
        <v>100</v>
      </c>
      <c r="I144" s="100" t="s">
        <v>379</v>
      </c>
    </row>
    <row r="145" spans="1:9" ht="15.6" x14ac:dyDescent="0.3">
      <c r="A145" s="99" t="s">
        <v>434</v>
      </c>
      <c r="B145" s="99" t="s">
        <v>110</v>
      </c>
      <c r="C145" s="99" t="s">
        <v>131</v>
      </c>
      <c r="D145" s="99" t="s">
        <v>1</v>
      </c>
      <c r="E145" s="99" t="s">
        <v>347</v>
      </c>
      <c r="F145" s="99" t="s">
        <v>112</v>
      </c>
      <c r="G145" s="99" t="s">
        <v>96</v>
      </c>
      <c r="H145" s="99" t="s">
        <v>100</v>
      </c>
      <c r="I145" s="100" t="s">
        <v>379</v>
      </c>
    </row>
    <row r="146" spans="1:9" ht="15.6" x14ac:dyDescent="0.3">
      <c r="A146" s="99" t="s">
        <v>434</v>
      </c>
      <c r="B146" s="99" t="s">
        <v>110</v>
      </c>
      <c r="C146" s="99" t="s">
        <v>164</v>
      </c>
      <c r="D146" s="99" t="s">
        <v>1</v>
      </c>
      <c r="E146" s="99" t="s">
        <v>329</v>
      </c>
      <c r="F146" s="99" t="s">
        <v>112</v>
      </c>
      <c r="G146" s="99" t="s">
        <v>36</v>
      </c>
      <c r="H146" s="99" t="s">
        <v>100</v>
      </c>
      <c r="I146" s="100" t="s">
        <v>379</v>
      </c>
    </row>
    <row r="147" spans="1:9" ht="15.6" x14ac:dyDescent="0.3">
      <c r="A147" s="99" t="s">
        <v>434</v>
      </c>
      <c r="B147" s="99" t="s">
        <v>110</v>
      </c>
      <c r="C147" s="99" t="s">
        <v>118</v>
      </c>
      <c r="D147" s="99" t="s">
        <v>1</v>
      </c>
      <c r="E147" s="99" t="s">
        <v>348</v>
      </c>
      <c r="F147" s="99" t="s">
        <v>112</v>
      </c>
      <c r="G147" s="99" t="s">
        <v>119</v>
      </c>
      <c r="H147" s="99" t="s">
        <v>182</v>
      </c>
      <c r="I147" s="100" t="s">
        <v>379</v>
      </c>
    </row>
    <row r="148" spans="1:9" ht="15.6" x14ac:dyDescent="0.3">
      <c r="A148" s="99" t="s">
        <v>434</v>
      </c>
      <c r="B148" s="99" t="s">
        <v>110</v>
      </c>
      <c r="C148" s="99" t="s">
        <v>160</v>
      </c>
      <c r="D148" s="99" t="s">
        <v>1</v>
      </c>
      <c r="E148" s="99" t="s">
        <v>352</v>
      </c>
      <c r="F148" s="99" t="s">
        <v>112</v>
      </c>
      <c r="G148" s="99" t="s">
        <v>42</v>
      </c>
      <c r="H148" s="99" t="s">
        <v>156</v>
      </c>
      <c r="I148" s="100" t="s">
        <v>379</v>
      </c>
    </row>
    <row r="149" spans="1:9" ht="15.6" x14ac:dyDescent="0.3">
      <c r="A149" s="99" t="s">
        <v>434</v>
      </c>
      <c r="B149" s="99" t="s">
        <v>110</v>
      </c>
      <c r="C149" s="99" t="s">
        <v>111</v>
      </c>
      <c r="D149" s="99" t="s">
        <v>1</v>
      </c>
      <c r="E149" s="99" t="s">
        <v>357</v>
      </c>
      <c r="F149" s="99" t="s">
        <v>112</v>
      </c>
      <c r="G149" s="99" t="s">
        <v>36</v>
      </c>
      <c r="H149" s="99" t="s">
        <v>231</v>
      </c>
      <c r="I149" s="100" t="s">
        <v>379</v>
      </c>
    </row>
    <row r="150" spans="1:9" ht="15.6" x14ac:dyDescent="0.3">
      <c r="A150" s="101" t="s">
        <v>434</v>
      </c>
      <c r="B150" s="101" t="s">
        <v>78</v>
      </c>
      <c r="C150" s="101" t="s">
        <v>89</v>
      </c>
      <c r="D150" s="101" t="s">
        <v>1</v>
      </c>
      <c r="E150" s="101" t="s">
        <v>366</v>
      </c>
      <c r="F150" s="101" t="s">
        <v>80</v>
      </c>
      <c r="G150" s="101" t="s">
        <v>96</v>
      </c>
      <c r="H150" s="101" t="s">
        <v>191</v>
      </c>
      <c r="I150" s="103" t="s">
        <v>384</v>
      </c>
    </row>
    <row r="151" spans="1:9" ht="15.6" x14ac:dyDescent="0.3">
      <c r="A151" s="101" t="s">
        <v>434</v>
      </c>
      <c r="B151" s="101" t="s">
        <v>102</v>
      </c>
      <c r="C151" s="101" t="s">
        <v>107</v>
      </c>
      <c r="D151" s="101" t="s">
        <v>1</v>
      </c>
      <c r="E151" s="101" t="s">
        <v>377</v>
      </c>
      <c r="F151" s="101" t="s">
        <v>193</v>
      </c>
      <c r="G151" s="101" t="s">
        <v>64</v>
      </c>
      <c r="H151" s="101" t="s">
        <v>220</v>
      </c>
      <c r="I151" s="102" t="s">
        <v>435</v>
      </c>
    </row>
    <row r="152" spans="1:9" ht="15.6" x14ac:dyDescent="0.3">
      <c r="A152" s="101" t="s">
        <v>434</v>
      </c>
      <c r="B152" s="101" t="s">
        <v>102</v>
      </c>
      <c r="C152" s="101" t="s">
        <v>221</v>
      </c>
      <c r="D152" s="101" t="s">
        <v>1</v>
      </c>
      <c r="E152" s="101" t="s">
        <v>436</v>
      </c>
      <c r="F152" s="101" t="s">
        <v>193</v>
      </c>
      <c r="G152" s="101" t="s">
        <v>64</v>
      </c>
      <c r="H152" s="101" t="s">
        <v>220</v>
      </c>
      <c r="I152" s="104" t="s">
        <v>437</v>
      </c>
    </row>
    <row r="153" spans="1:9" ht="15.6" x14ac:dyDescent="0.3">
      <c r="A153" s="101" t="s">
        <v>434</v>
      </c>
      <c r="B153" s="101" t="s">
        <v>54</v>
      </c>
      <c r="C153" s="101" t="s">
        <v>63</v>
      </c>
      <c r="D153" s="101" t="s">
        <v>1</v>
      </c>
      <c r="E153" s="101" t="s">
        <v>370</v>
      </c>
      <c r="F153" s="101" t="s">
        <v>56</v>
      </c>
      <c r="G153" s="101" t="s">
        <v>57</v>
      </c>
      <c r="H153" s="101" t="s">
        <v>58</v>
      </c>
      <c r="I153" s="104" t="s">
        <v>438</v>
      </c>
    </row>
    <row r="154" spans="1:9" ht="15.6" x14ac:dyDescent="0.3">
      <c r="A154" s="101" t="s">
        <v>434</v>
      </c>
      <c r="B154" s="101" t="s">
        <v>102</v>
      </c>
      <c r="C154" s="101" t="s">
        <v>222</v>
      </c>
      <c r="D154" s="101" t="s">
        <v>1</v>
      </c>
      <c r="E154" s="101" t="s">
        <v>439</v>
      </c>
      <c r="F154" s="101" t="s">
        <v>193</v>
      </c>
      <c r="G154" s="101" t="s">
        <v>64</v>
      </c>
      <c r="H154" s="101" t="s">
        <v>223</v>
      </c>
      <c r="I154" s="102" t="s">
        <v>435</v>
      </c>
    </row>
    <row r="155" spans="1:9" ht="15.6" x14ac:dyDescent="0.3">
      <c r="A155" s="101" t="s">
        <v>434</v>
      </c>
      <c r="B155" s="101" t="s">
        <v>54</v>
      </c>
      <c r="C155" s="101" t="s">
        <v>71</v>
      </c>
      <c r="D155" s="101" t="s">
        <v>1</v>
      </c>
      <c r="E155" s="101" t="s">
        <v>373</v>
      </c>
      <c r="F155" s="101" t="s">
        <v>56</v>
      </c>
      <c r="G155" s="101" t="s">
        <v>64</v>
      </c>
      <c r="H155" s="101" t="s">
        <v>178</v>
      </c>
      <c r="I155" s="103" t="s">
        <v>386</v>
      </c>
    </row>
    <row r="156" spans="1:9" ht="15.6" x14ac:dyDescent="0.3">
      <c r="A156" s="101" t="s">
        <v>434</v>
      </c>
      <c r="B156" s="101" t="s">
        <v>54</v>
      </c>
      <c r="C156" s="101" t="s">
        <v>63</v>
      </c>
      <c r="D156" s="101" t="s">
        <v>1</v>
      </c>
      <c r="E156" s="101" t="s">
        <v>370</v>
      </c>
      <c r="F156" s="101" t="s">
        <v>59</v>
      </c>
      <c r="G156" s="101" t="s">
        <v>57</v>
      </c>
      <c r="H156" s="101" t="s">
        <v>60</v>
      </c>
      <c r="I156" s="104" t="s">
        <v>440</v>
      </c>
    </row>
    <row r="157" spans="1:9" ht="15.6" x14ac:dyDescent="0.3">
      <c r="A157" s="101" t="s">
        <v>434</v>
      </c>
      <c r="B157" s="101" t="s">
        <v>78</v>
      </c>
      <c r="C157" s="101" t="s">
        <v>89</v>
      </c>
      <c r="D157" s="101" t="s">
        <v>1</v>
      </c>
      <c r="E157" s="101" t="s">
        <v>366</v>
      </c>
      <c r="F157" s="101" t="s">
        <v>83</v>
      </c>
      <c r="G157" s="101" t="s">
        <v>96</v>
      </c>
      <c r="H157" s="101" t="s">
        <v>219</v>
      </c>
      <c r="I157" s="103" t="s">
        <v>384</v>
      </c>
    </row>
    <row r="158" spans="1:9" ht="15.6" x14ac:dyDescent="0.3">
      <c r="A158" s="101" t="s">
        <v>434</v>
      </c>
      <c r="B158" s="101" t="s">
        <v>54</v>
      </c>
      <c r="C158" s="101" t="s">
        <v>71</v>
      </c>
      <c r="D158" s="101" t="s">
        <v>1</v>
      </c>
      <c r="E158" s="101" t="s">
        <v>373</v>
      </c>
      <c r="F158" s="101" t="s">
        <v>59</v>
      </c>
      <c r="G158" s="101" t="s">
        <v>64</v>
      </c>
      <c r="H158" s="101" t="s">
        <v>179</v>
      </c>
      <c r="I158" s="103" t="s">
        <v>384</v>
      </c>
    </row>
    <row r="159" spans="1:9" ht="15.6" x14ac:dyDescent="0.3">
      <c r="A159" s="101" t="s">
        <v>434</v>
      </c>
      <c r="B159" s="101" t="s">
        <v>54</v>
      </c>
      <c r="C159" s="101" t="s">
        <v>63</v>
      </c>
      <c r="D159" s="101" t="s">
        <v>1</v>
      </c>
      <c r="E159" s="101" t="s">
        <v>370</v>
      </c>
      <c r="F159" s="101" t="s">
        <v>61</v>
      </c>
      <c r="G159" s="101" t="s">
        <v>57</v>
      </c>
      <c r="H159" s="101" t="s">
        <v>62</v>
      </c>
      <c r="I159" s="104" t="s">
        <v>441</v>
      </c>
    </row>
    <row r="160" spans="1:9" ht="15.6" x14ac:dyDescent="0.3">
      <c r="A160" s="101" t="s">
        <v>434</v>
      </c>
      <c r="B160" s="101" t="s">
        <v>54</v>
      </c>
      <c r="C160" s="101" t="s">
        <v>68</v>
      </c>
      <c r="D160" s="101" t="s">
        <v>1</v>
      </c>
      <c r="E160" s="101" t="s">
        <v>371</v>
      </c>
      <c r="F160" s="101" t="s">
        <v>61</v>
      </c>
      <c r="G160" s="101" t="s">
        <v>64</v>
      </c>
      <c r="H160" s="101" t="s">
        <v>62</v>
      </c>
      <c r="I160" s="104" t="s">
        <v>442</v>
      </c>
    </row>
    <row r="161" spans="1:9" ht="15.6" x14ac:dyDescent="0.3">
      <c r="A161" s="101" t="s">
        <v>434</v>
      </c>
      <c r="B161" s="101" t="s">
        <v>54</v>
      </c>
      <c r="C161" s="101" t="s">
        <v>69</v>
      </c>
      <c r="D161" s="101" t="s">
        <v>1</v>
      </c>
      <c r="E161" s="101" t="s">
        <v>372</v>
      </c>
      <c r="F161" s="101" t="s">
        <v>61</v>
      </c>
      <c r="G161" s="101" t="s">
        <v>29</v>
      </c>
      <c r="H161" s="101" t="s">
        <v>62</v>
      </c>
      <c r="I161" s="104" t="s">
        <v>443</v>
      </c>
    </row>
    <row r="162" spans="1:9" ht="15.6" x14ac:dyDescent="0.3">
      <c r="A162" s="101" t="s">
        <v>434</v>
      </c>
      <c r="B162" s="101" t="s">
        <v>54</v>
      </c>
      <c r="C162" s="101" t="s">
        <v>70</v>
      </c>
      <c r="D162" s="101" t="s">
        <v>1</v>
      </c>
      <c r="E162" s="101" t="s">
        <v>318</v>
      </c>
      <c r="F162" s="101" t="s">
        <v>61</v>
      </c>
      <c r="G162" s="101" t="s">
        <v>64</v>
      </c>
      <c r="H162" s="101" t="s">
        <v>62</v>
      </c>
      <c r="I162" s="104" t="s">
        <v>443</v>
      </c>
    </row>
    <row r="163" spans="1:9" ht="15.6" x14ac:dyDescent="0.3">
      <c r="A163" s="101" t="s">
        <v>434</v>
      </c>
      <c r="B163" s="101" t="s">
        <v>54</v>
      </c>
      <c r="C163" s="101" t="s">
        <v>72</v>
      </c>
      <c r="D163" s="101" t="s">
        <v>1</v>
      </c>
      <c r="E163" s="101" t="s">
        <v>374</v>
      </c>
      <c r="F163" s="101" t="s">
        <v>61</v>
      </c>
      <c r="G163" s="101" t="s">
        <v>57</v>
      </c>
      <c r="H163" s="101" t="s">
        <v>62</v>
      </c>
      <c r="I163" s="104" t="s">
        <v>416</v>
      </c>
    </row>
    <row r="164" spans="1:9" ht="15.6" x14ac:dyDescent="0.3">
      <c r="A164" s="101" t="s">
        <v>434</v>
      </c>
      <c r="B164" s="101" t="s">
        <v>54</v>
      </c>
      <c r="C164" s="101" t="s">
        <v>55</v>
      </c>
      <c r="D164" s="101" t="s">
        <v>1</v>
      </c>
      <c r="E164" s="101" t="s">
        <v>363</v>
      </c>
      <c r="F164" s="101" t="s">
        <v>61</v>
      </c>
      <c r="G164" s="101" t="s">
        <v>119</v>
      </c>
      <c r="H164" s="101" t="s">
        <v>62</v>
      </c>
      <c r="I164" s="104" t="s">
        <v>443</v>
      </c>
    </row>
    <row r="165" spans="1:9" ht="15.6" x14ac:dyDescent="0.3">
      <c r="A165" s="101" t="s">
        <v>434</v>
      </c>
      <c r="B165" s="101" t="s">
        <v>54</v>
      </c>
      <c r="C165" s="101" t="s">
        <v>74</v>
      </c>
      <c r="D165" s="101" t="s">
        <v>1</v>
      </c>
      <c r="E165" s="101" t="s">
        <v>394</v>
      </c>
      <c r="F165" s="101" t="s">
        <v>61</v>
      </c>
      <c r="G165" s="101" t="s">
        <v>125</v>
      </c>
      <c r="H165" s="101" t="s">
        <v>62</v>
      </c>
      <c r="I165" s="104" t="s">
        <v>442</v>
      </c>
    </row>
    <row r="166" spans="1:9" ht="15.6" x14ac:dyDescent="0.3">
      <c r="A166" s="101" t="s">
        <v>434</v>
      </c>
      <c r="B166" s="101" t="s">
        <v>54</v>
      </c>
      <c r="C166" s="101" t="s">
        <v>71</v>
      </c>
      <c r="D166" s="101" t="s">
        <v>1</v>
      </c>
      <c r="E166" s="101" t="s">
        <v>373</v>
      </c>
      <c r="F166" s="101" t="s">
        <v>61</v>
      </c>
      <c r="G166" s="101" t="s">
        <v>64</v>
      </c>
      <c r="H166" s="101" t="s">
        <v>180</v>
      </c>
      <c r="I166" s="104" t="s">
        <v>444</v>
      </c>
    </row>
    <row r="167" spans="1:9" ht="15.6" x14ac:dyDescent="0.3">
      <c r="A167" s="101" t="s">
        <v>434</v>
      </c>
      <c r="B167" s="101" t="s">
        <v>26</v>
      </c>
      <c r="C167" s="101" t="s">
        <v>49</v>
      </c>
      <c r="D167" s="101" t="s">
        <v>1</v>
      </c>
      <c r="E167" s="101" t="s">
        <v>406</v>
      </c>
      <c r="F167" s="101" t="s">
        <v>33</v>
      </c>
      <c r="G167" s="101" t="s">
        <v>36</v>
      </c>
      <c r="H167" s="101" t="s">
        <v>173</v>
      </c>
      <c r="I167" s="104" t="s">
        <v>445</v>
      </c>
    </row>
    <row r="168" spans="1:9" ht="15.6" x14ac:dyDescent="0.3">
      <c r="A168" s="101" t="s">
        <v>434</v>
      </c>
      <c r="B168" s="101" t="s">
        <v>26</v>
      </c>
      <c r="C168" s="101" t="s">
        <v>50</v>
      </c>
      <c r="D168" s="101" t="s">
        <v>1</v>
      </c>
      <c r="E168" s="101" t="s">
        <v>407</v>
      </c>
      <c r="F168" s="101" t="s">
        <v>33</v>
      </c>
      <c r="G168" s="101" t="s">
        <v>42</v>
      </c>
      <c r="H168" s="101" t="s">
        <v>173</v>
      </c>
      <c r="I168" s="104" t="s">
        <v>392</v>
      </c>
    </row>
    <row r="169" spans="1:9" ht="15.6" x14ac:dyDescent="0.3">
      <c r="A169" s="101" t="s">
        <v>434</v>
      </c>
      <c r="B169" s="101" t="s">
        <v>26</v>
      </c>
      <c r="C169" s="101" t="s">
        <v>35</v>
      </c>
      <c r="D169" s="101" t="s">
        <v>1</v>
      </c>
      <c r="E169" s="101" t="s">
        <v>397</v>
      </c>
      <c r="F169" s="101" t="s">
        <v>33</v>
      </c>
      <c r="G169" s="101" t="s">
        <v>36</v>
      </c>
      <c r="H169" s="101" t="s">
        <v>173</v>
      </c>
      <c r="I169" s="104" t="s">
        <v>445</v>
      </c>
    </row>
    <row r="170" spans="1:9" ht="15.6" x14ac:dyDescent="0.3">
      <c r="A170" s="101" t="s">
        <v>434</v>
      </c>
      <c r="B170" s="101" t="s">
        <v>26</v>
      </c>
      <c r="C170" s="101" t="s">
        <v>39</v>
      </c>
      <c r="D170" s="101" t="s">
        <v>1</v>
      </c>
      <c r="E170" s="101" t="s">
        <v>399</v>
      </c>
      <c r="F170" s="101" t="s">
        <v>33</v>
      </c>
      <c r="G170" s="101" t="s">
        <v>36</v>
      </c>
      <c r="H170" s="101" t="s">
        <v>173</v>
      </c>
      <c r="I170" s="104" t="s">
        <v>445</v>
      </c>
    </row>
    <row r="171" spans="1:9" ht="15.6" x14ac:dyDescent="0.3">
      <c r="A171" s="101" t="s">
        <v>434</v>
      </c>
      <c r="B171" s="101" t="s">
        <v>26</v>
      </c>
      <c r="C171" s="101" t="s">
        <v>40</v>
      </c>
      <c r="D171" s="101" t="s">
        <v>1</v>
      </c>
      <c r="E171" s="101" t="s">
        <v>401</v>
      </c>
      <c r="F171" s="101" t="s">
        <v>33</v>
      </c>
      <c r="G171" s="101" t="s">
        <v>36</v>
      </c>
      <c r="H171" s="101" t="s">
        <v>173</v>
      </c>
      <c r="I171" s="104" t="s">
        <v>445</v>
      </c>
    </row>
    <row r="172" spans="1:9" ht="15.6" x14ac:dyDescent="0.3">
      <c r="A172" s="101" t="s">
        <v>434</v>
      </c>
      <c r="B172" s="101" t="s">
        <v>26</v>
      </c>
      <c r="C172" s="101" t="s">
        <v>46</v>
      </c>
      <c r="D172" s="101" t="s">
        <v>1</v>
      </c>
      <c r="E172" s="101" t="s">
        <v>266</v>
      </c>
      <c r="F172" s="101" t="s">
        <v>33</v>
      </c>
      <c r="G172" s="101" t="s">
        <v>36</v>
      </c>
      <c r="H172" s="101" t="s">
        <v>38</v>
      </c>
      <c r="I172" s="104" t="s">
        <v>404</v>
      </c>
    </row>
    <row r="173" spans="1:9" ht="15.6" x14ac:dyDescent="0.3">
      <c r="A173" s="101" t="s">
        <v>434</v>
      </c>
      <c r="B173" s="101" t="s">
        <v>26</v>
      </c>
      <c r="C173" s="101" t="s">
        <v>27</v>
      </c>
      <c r="D173" s="101" t="s">
        <v>1</v>
      </c>
      <c r="E173" s="101" t="s">
        <v>362</v>
      </c>
      <c r="F173" s="101" t="s">
        <v>33</v>
      </c>
      <c r="G173" s="101" t="s">
        <v>36</v>
      </c>
      <c r="H173" s="101" t="s">
        <v>38</v>
      </c>
      <c r="I173" s="104" t="s">
        <v>426</v>
      </c>
    </row>
    <row r="174" spans="1:9" ht="15.6" x14ac:dyDescent="0.3">
      <c r="A174" s="101" t="s">
        <v>434</v>
      </c>
      <c r="B174" s="101" t="s">
        <v>78</v>
      </c>
      <c r="C174" s="101" t="s">
        <v>79</v>
      </c>
      <c r="D174" s="101" t="s">
        <v>1</v>
      </c>
      <c r="E174" s="101" t="s">
        <v>364</v>
      </c>
      <c r="F174" s="101" t="s">
        <v>85</v>
      </c>
      <c r="G174" s="101" t="s">
        <v>29</v>
      </c>
      <c r="H174" s="101" t="s">
        <v>86</v>
      </c>
      <c r="I174" s="102" t="s">
        <v>414</v>
      </c>
    </row>
    <row r="175" spans="1:9" ht="15.6" x14ac:dyDescent="0.3">
      <c r="A175" s="101" t="s">
        <v>434</v>
      </c>
      <c r="B175" s="101" t="s">
        <v>78</v>
      </c>
      <c r="C175" s="101" t="s">
        <v>87</v>
      </c>
      <c r="D175" s="101" t="s">
        <v>1</v>
      </c>
      <c r="E175" s="101" t="s">
        <v>365</v>
      </c>
      <c r="F175" s="101" t="s">
        <v>85</v>
      </c>
      <c r="G175" s="101" t="s">
        <v>96</v>
      </c>
      <c r="H175" s="101" t="s">
        <v>86</v>
      </c>
      <c r="I175" s="102" t="s">
        <v>414</v>
      </c>
    </row>
    <row r="176" spans="1:9" ht="15.6" x14ac:dyDescent="0.3">
      <c r="A176" s="101" t="s">
        <v>434</v>
      </c>
      <c r="B176" s="101" t="s">
        <v>78</v>
      </c>
      <c r="C176" s="101" t="s">
        <v>89</v>
      </c>
      <c r="D176" s="101" t="s">
        <v>1</v>
      </c>
      <c r="E176" s="101" t="s">
        <v>366</v>
      </c>
      <c r="F176" s="101" t="s">
        <v>85</v>
      </c>
      <c r="G176" s="101" t="s">
        <v>96</v>
      </c>
      <c r="H176" s="101" t="s">
        <v>86</v>
      </c>
      <c r="I176" s="104" t="s">
        <v>437</v>
      </c>
    </row>
    <row r="177" spans="1:9" ht="15.6" x14ac:dyDescent="0.3">
      <c r="A177" s="101" t="s">
        <v>434</v>
      </c>
      <c r="B177" s="101" t="s">
        <v>78</v>
      </c>
      <c r="C177" s="101" t="s">
        <v>90</v>
      </c>
      <c r="D177" s="101" t="s">
        <v>1</v>
      </c>
      <c r="E177" s="101" t="s">
        <v>376</v>
      </c>
      <c r="F177" s="101" t="s">
        <v>85</v>
      </c>
      <c r="G177" s="101" t="s">
        <v>81</v>
      </c>
      <c r="H177" s="101" t="s">
        <v>86</v>
      </c>
      <c r="I177" s="102" t="s">
        <v>421</v>
      </c>
    </row>
    <row r="178" spans="1:9" ht="15.6" x14ac:dyDescent="0.3">
      <c r="A178" s="101" t="s">
        <v>434</v>
      </c>
      <c r="B178" s="101" t="s">
        <v>26</v>
      </c>
      <c r="C178" s="101" t="s">
        <v>41</v>
      </c>
      <c r="D178" s="101" t="s">
        <v>1</v>
      </c>
      <c r="E178" s="101" t="s">
        <v>366</v>
      </c>
      <c r="F178" s="101" t="s">
        <v>33</v>
      </c>
      <c r="G178" s="101" t="s">
        <v>42</v>
      </c>
      <c r="H178" s="101" t="s">
        <v>174</v>
      </c>
      <c r="I178" s="104" t="s">
        <v>446</v>
      </c>
    </row>
    <row r="179" spans="1:9" ht="15.6" x14ac:dyDescent="0.3">
      <c r="A179" s="101" t="s">
        <v>434</v>
      </c>
      <c r="B179" s="101" t="s">
        <v>26</v>
      </c>
      <c r="C179" s="101" t="s">
        <v>44</v>
      </c>
      <c r="D179" s="101" t="s">
        <v>1</v>
      </c>
      <c r="E179" s="101" t="s">
        <v>365</v>
      </c>
      <c r="F179" s="101" t="s">
        <v>33</v>
      </c>
      <c r="G179" s="101" t="s">
        <v>42</v>
      </c>
      <c r="H179" s="101" t="s">
        <v>174</v>
      </c>
      <c r="I179" s="103" t="s">
        <v>447</v>
      </c>
    </row>
    <row r="180" spans="1:9" ht="15.6" x14ac:dyDescent="0.3">
      <c r="A180" s="101" t="s">
        <v>434</v>
      </c>
      <c r="B180" s="101" t="s">
        <v>26</v>
      </c>
      <c r="C180" s="101" t="s">
        <v>45</v>
      </c>
      <c r="D180" s="101" t="s">
        <v>1</v>
      </c>
      <c r="E180" s="101" t="s">
        <v>364</v>
      </c>
      <c r="F180" s="101" t="s">
        <v>33</v>
      </c>
      <c r="G180" s="101" t="s">
        <v>42</v>
      </c>
      <c r="H180" s="101" t="s">
        <v>174</v>
      </c>
      <c r="I180" s="103" t="s">
        <v>447</v>
      </c>
    </row>
    <row r="181" spans="1:9" ht="15.6" x14ac:dyDescent="0.3">
      <c r="A181" s="101" t="s">
        <v>434</v>
      </c>
      <c r="B181" s="101" t="s">
        <v>26</v>
      </c>
      <c r="C181" s="101" t="s">
        <v>52</v>
      </c>
      <c r="D181" s="101" t="s">
        <v>1</v>
      </c>
      <c r="E181" s="101" t="s">
        <v>376</v>
      </c>
      <c r="F181" s="101" t="s">
        <v>33</v>
      </c>
      <c r="G181" s="101" t="s">
        <v>42</v>
      </c>
      <c r="H181" s="101" t="s">
        <v>174</v>
      </c>
      <c r="I181" s="103" t="s">
        <v>422</v>
      </c>
    </row>
    <row r="182" spans="1:9" ht="15.6" x14ac:dyDescent="0.3">
      <c r="A182" s="101" t="s">
        <v>434</v>
      </c>
      <c r="B182" s="101" t="s">
        <v>26</v>
      </c>
      <c r="C182" s="101" t="s">
        <v>51</v>
      </c>
      <c r="D182" s="101" t="s">
        <v>1</v>
      </c>
      <c r="E182" s="101" t="s">
        <v>408</v>
      </c>
      <c r="F182" s="101" t="s">
        <v>33</v>
      </c>
      <c r="G182" s="101" t="s">
        <v>36</v>
      </c>
      <c r="H182" s="101" t="s">
        <v>48</v>
      </c>
      <c r="I182" s="102" t="s">
        <v>435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2025-11-29T16:09:18Z</dcterms:created>
  <dcterms:modified xsi:type="dcterms:W3CDTF">2025-11-29T16:09:44Z</dcterms:modified>
</cp:coreProperties>
</file>