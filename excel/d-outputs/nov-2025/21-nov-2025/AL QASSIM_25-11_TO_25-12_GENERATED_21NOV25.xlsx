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3902F5C-FF89-42FA-A77B-31A83B7D7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" sheetId="1" r:id="rId1"/>
    <sheet name="ELQ-CAI LF LEGACY" sheetId="2" r:id="rId2"/>
    <sheet name="ELQ-CAI - FOCUS MODE" sheetId="3" r:id="rId3"/>
    <sheet name="ELQ-ATZ" sheetId="4" r:id="rId4"/>
    <sheet name="ELQ-ATZ LF LEGACY" sheetId="5" r:id="rId5"/>
    <sheet name="ELQ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5" l="1"/>
  <c r="E7" i="5"/>
  <c r="G7" i="5"/>
  <c r="H7" i="5"/>
  <c r="I7" i="5"/>
  <c r="J7" i="5"/>
  <c r="M7" i="5"/>
  <c r="N7" i="5"/>
  <c r="O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C80B8978-9C6D-42B8-A7E4-7738250276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O10 &amp; I46</t>
        </r>
      </text>
    </comment>
    <comment ref="F20" authorId="0" shapeId="0" xr:uid="{A182DDF7-E1DB-42B8-AEF3-A204C59259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W4 &amp; O11</t>
        </r>
      </text>
    </comment>
    <comment ref="F24" authorId="0" shapeId="0" xr:uid="{C9C08609-EC25-49D5-A686-7F54773FC38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W4 &amp; O62</t>
        </r>
      </text>
    </comment>
    <comment ref="F37" authorId="0" shapeId="0" xr:uid="{1FB3BF31-0185-41D0-88EF-26C8520C1E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T1 &amp; X6 &amp; U10 &amp; O50</t>
        </r>
      </text>
    </comment>
    <comment ref="F45" authorId="0" shapeId="0" xr:uid="{94A6752B-DF5B-4979-876D-39F8BF2607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U9 &amp; O10</t>
        </r>
      </text>
    </comment>
    <comment ref="F49" authorId="0" shapeId="0" xr:uid="{D188CB04-A7E1-4B39-88E7-281C5DD3750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U9 &amp; O33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89428765-0812-4ADA-A0F3-6C87B32C87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X1 &amp; U9 &amp; O60</t>
        </r>
      </text>
    </comment>
    <comment ref="F3" authorId="0" shapeId="0" xr:uid="{01885EC9-7CA2-4D8F-82F6-F9D1A13FE1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U18 &amp; O30</t>
        </r>
      </text>
    </comment>
    <comment ref="F6" authorId="0" shapeId="0" xr:uid="{772E35D0-DA89-4924-BE8C-9A97CC9D81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X2 &amp; U7 &amp; O30</t>
        </r>
      </text>
    </comment>
    <comment ref="F7" authorId="0" shapeId="0" xr:uid="{220DA53F-1EF0-4DF8-91EB-B967BC41586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U4 &amp; O25</t>
        </r>
      </text>
    </comment>
    <comment ref="F10" authorId="0" shapeId="0" xr:uid="{54196F06-6ADA-48D7-86BE-875F91D4777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U6 &amp; O43</t>
        </r>
      </text>
    </comment>
  </commentList>
</comments>
</file>

<file path=xl/sharedStrings.xml><?xml version="1.0" encoding="utf-8"?>
<sst xmlns="http://schemas.openxmlformats.org/spreadsheetml/2006/main" count="1275" uniqueCount="175">
  <si>
    <t>COMPREHENSIVE REPORT</t>
  </si>
  <si>
    <t>ELQ-CAI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</si>
  <si>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</si>
  <si>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</si>
  <si>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</si>
  <si>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</si>
  <si>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</si>
  <si>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</si>
  <si>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</si>
  <si>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</si>
  <si>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</si>
  <si>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</si>
  <si>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</si>
  <si>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</si>
  <si>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</si>
  <si>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</si>
  <si>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</si>
  <si>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</si>
  <si>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</si>
  <si>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</si>
  <si>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</si>
  <si>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</si>
  <si>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</si>
  <si>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</si>
  <si>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</si>
  <si>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</si>
  <si>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Nesma Airlines</t>
  </si>
  <si>
    <t>NE-141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</si>
  <si>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</si>
  <si>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</si>
  <si>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350 SAR</t>
  </si>
  <si>
    <t>Nile Air</t>
  </si>
  <si>
    <t>NP-106</t>
  </si>
  <si>
    <t>401 SAR</t>
  </si>
  <si>
    <t>EgyptAir</t>
  </si>
  <si>
    <t>MS-634</t>
  </si>
  <si>
    <t>Cabin: 7 KG | Check-in: 2 PIECE</t>
  </si>
  <si>
    <t>528 SAR</t>
  </si>
  <si>
    <t>Air Arabia Egypt</t>
  </si>
  <si>
    <t>E5-592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</si>
  <si>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</si>
  <si>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</si>
  <si>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324 SAR</t>
  </si>
  <si>
    <t>Cabin: 10 KG / Check-in: 2 x 40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</si>
  <si>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</si>
  <si>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447 SAR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</si>
  <si>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</si>
  <si>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</si>
  <si>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300 SAR</t>
  </si>
  <si>
    <t>Cabin: 7 KG</t>
  </si>
  <si>
    <t>305 SAR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</si>
  <si>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</si>
  <si>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Air Cairo</t>
  </si>
  <si>
    <t>SM-428</t>
  </si>
  <si>
    <t>355 SAR</t>
  </si>
  <si>
    <t>SM428</t>
  </si>
  <si>
    <t>2025-11-21 00:00:00</t>
  </si>
  <si>
    <t>O9</t>
  </si>
  <si>
    <t>S1 &amp; W2 &amp; O10 &amp; I46</t>
  </si>
  <si>
    <t>451 SAR</t>
  </si>
  <si>
    <t>Cabin: 7 KG | Check-in: 1 PIECE</t>
  </si>
  <si>
    <t>327 SAR</t>
  </si>
  <si>
    <t>NP-116</t>
  </si>
  <si>
    <t>2025-11-20 00:00:00</t>
  </si>
  <si>
    <t>S2 &amp; W4 &amp; O11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</si>
  <si>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</si>
  <si>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O6</t>
  </si>
  <si>
    <t>S8 &amp; W4 &amp; O62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</si>
  <si>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</si>
  <si>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S1 &amp; T1 &amp; X6 &amp; U10 &amp; O50</t>
  </si>
  <si>
    <t>372 SAR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</si>
  <si>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</si>
  <si>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330 SAR</t>
  </si>
  <si>
    <t>453 SAR</t>
  </si>
  <si>
    <t>S2 &amp; X1 &amp; U9 &amp; O10</t>
  </si>
  <si>
    <t>S1 &amp; U9 &amp; O33</t>
  </si>
  <si>
    <t>521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</si>
  <si>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</si>
  <si>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</si>
  <si>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</si>
  <si>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</si>
  <si>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</si>
  <si>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</si>
  <si>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</si>
  <si>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</si>
  <si>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</si>
  <si>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</si>
  <si>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</si>
  <si>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</si>
  <si>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</si>
  <si>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</si>
  <si>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</si>
  <si>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</si>
  <si>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</si>
  <si>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</si>
  <si>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</si>
  <si>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</si>
  <si>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</si>
  <si>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</si>
  <si>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</si>
  <si>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</si>
  <si>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</si>
  <si>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</si>
  <si>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</si>
  <si>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</si>
  <si>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</si>
  <si>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</si>
  <si>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19:10</t>
  </si>
  <si>
    <t>320</t>
  </si>
  <si>
    <t>UPCOMING</t>
  </si>
  <si>
    <t>S1</t>
  </si>
  <si>
    <t>W2</t>
  </si>
  <si>
    <t>O10</t>
  </si>
  <si>
    <t>I46</t>
  </si>
  <si>
    <t>SATURDAY</t>
  </si>
  <si>
    <t>00:01</t>
  </si>
  <si>
    <t>S2</t>
  </si>
  <si>
    <t>W4</t>
  </si>
  <si>
    <t>O11</t>
  </si>
  <si>
    <t>SUNDAY</t>
  </si>
  <si>
    <t>S8</t>
  </si>
  <si>
    <t>O62</t>
  </si>
  <si>
    <t>T1</t>
  </si>
  <si>
    <t>X6</t>
  </si>
  <si>
    <t>U10</t>
  </si>
  <si>
    <t>O50</t>
  </si>
  <si>
    <t>X1</t>
  </si>
  <si>
    <t>U9</t>
  </si>
  <si>
    <t>O33</t>
  </si>
  <si>
    <t>DATE</t>
  </si>
  <si>
    <t>ROUTE</t>
  </si>
  <si>
    <t>2025-11-25</t>
  </si>
  <si>
    <t>14:35</t>
  </si>
  <si>
    <t>15:45</t>
  </si>
  <si>
    <t>00:50</t>
  </si>
  <si>
    <t>2025-11-26</t>
  </si>
  <si>
    <t>22:30</t>
  </si>
  <si>
    <t>15:00</t>
  </si>
  <si>
    <t>2025-11-27</t>
  </si>
  <si>
    <t>ELQ-ATZ</t>
  </si>
  <si>
    <t>SM-436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</si>
  <si>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</si>
  <si>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363 SAR</t>
  </si>
  <si>
    <t>SM436</t>
  </si>
  <si>
    <t>O8</t>
  </si>
  <si>
    <t>W1 &amp; X1 &amp; U9 &amp; O60</t>
  </si>
  <si>
    <t>413 SAR</t>
  </si>
  <si>
    <t>U2</t>
  </si>
  <si>
    <t>W1 &amp; U18 &amp; O30</t>
  </si>
  <si>
    <t>Indirect competition route ELQ – CAI - diversion ratio &amp; passenger leakage</t>
  </si>
  <si>
    <t>SM-70</t>
  </si>
  <si>
    <t>2 FOR SAME CLASS</t>
  </si>
  <si>
    <t>4,277 EGP</t>
  </si>
  <si>
    <t>2025-11-19 00:00:00</t>
  </si>
  <si>
    <t>X2 &amp; U7 &amp; O30</t>
  </si>
  <si>
    <t>S2 &amp; U4 &amp; O25</t>
  </si>
  <si>
    <t>+9 FOR SAME CLASS</t>
  </si>
  <si>
    <t>30KG + 7KG CABIN</t>
  </si>
  <si>
    <t>SEATS AVAILABLE</t>
  </si>
  <si>
    <t>S2 &amp; X1 &amp; U6 &amp; O43</t>
  </si>
  <si>
    <t>WEDNESDAY</t>
  </si>
  <si>
    <t>00:30</t>
  </si>
  <si>
    <t>W1</t>
  </si>
  <si>
    <t>O60</t>
  </si>
  <si>
    <t>20:30</t>
  </si>
  <si>
    <t>U18</t>
  </si>
  <si>
    <t>O30</t>
  </si>
  <si>
    <t>X2</t>
  </si>
  <si>
    <t>U7</t>
  </si>
  <si>
    <t>U4</t>
  </si>
  <si>
    <t>O25</t>
  </si>
  <si>
    <t>U6</t>
  </si>
  <si>
    <t>O43</t>
  </si>
  <si>
    <t>ELQ-CAI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</si>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</sst>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67" fontId="12" fillId="9" borderId="13" xfId="0" applyNumberFormat="1" applyFont="1" applyFill="1" applyBorder="1" applyAlignment="1">
      <alignment horizontal="center" vertical="center"/>
    </xf>
    <xf numFmtId="168" fontId="11" fillId="9" borderId="13" xfId="0" applyNumberFormat="1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167" fontId="12" fillId="10" borderId="13" xfId="0" applyNumberFormat="1" applyFont="1" applyFill="1" applyBorder="1" applyAlignment="1">
      <alignment horizontal="center" vertical="center"/>
    </xf>
    <xf numFmtId="168" fontId="11" fillId="10" borderId="13" xfId="0" applyNumberFormat="1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167" fontId="12" fillId="11" borderId="13" xfId="0" applyNumberFormat="1" applyFont="1" applyFill="1" applyBorder="1" applyAlignment="1">
      <alignment horizontal="center" vertical="center"/>
    </xf>
    <xf numFmtId="168" fontId="11" fillId="11" borderId="13" xfId="0" applyNumberFormat="1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67" fontId="12" fillId="10" borderId="16" xfId="0" applyNumberFormat="1" applyFont="1" applyFill="1" applyBorder="1" applyAlignment="1">
      <alignment horizontal="center" vertical="center"/>
    </xf>
    <xf numFmtId="168" fontId="11" fillId="10" borderId="16" xfId="0" applyNumberFormat="1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67" fontId="12" fillId="9" borderId="16" xfId="0" applyNumberFormat="1" applyFont="1" applyFill="1" applyBorder="1" applyAlignment="1">
      <alignment horizontal="center" vertical="center"/>
    </xf>
    <xf numFmtId="168" fontId="11" fillId="9" borderId="16" xfId="0" applyNumberFormat="1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167" fontId="12" fillId="12" borderId="16" xfId="0" applyNumberFormat="1" applyFont="1" applyFill="1" applyBorder="1" applyAlignment="1">
      <alignment horizontal="center" vertical="center"/>
    </xf>
    <xf numFmtId="168" fontId="11" fillId="12" borderId="16" xfId="0" applyNumberFormat="1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71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71" fontId="14" fillId="0" borderId="30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71" fontId="15" fillId="0" borderId="27" xfId="0" applyNumberFormat="1" applyFont="1" applyBorder="1" applyAlignment="1">
      <alignment horizontal="center" vertical="center"/>
    </xf>
    <xf numFmtId="172" fontId="14" fillId="0" borderId="28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2" fontId="14" fillId="0" borderId="25" xfId="0" applyNumberFormat="1" applyFont="1" applyBorder="1" applyAlignment="1">
      <alignment horizontal="center" vertical="center"/>
    </xf>
    <xf numFmtId="173" fontId="14" fillId="0" borderId="26" xfId="0" applyNumberFormat="1" applyFont="1" applyBorder="1" applyAlignment="1">
      <alignment horizontal="center" vertical="center"/>
    </xf>
    <xf numFmtId="172" fontId="15" fillId="0" borderId="28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173" fontId="15" fillId="0" borderId="29" xfId="0" applyNumberFormat="1" applyFont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71" fontId="15" fillId="0" borderId="30" xfId="0" applyNumberFormat="1" applyFont="1" applyBorder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173" fontId="15" fillId="0" borderId="26" xfId="0" applyNumberFormat="1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1" fillId="14" borderId="12" xfId="0" applyFont="1" applyFill="1" applyBorder="1" applyAlignment="1">
      <alignment horizontal="center" vertical="center"/>
    </xf>
    <xf numFmtId="167" fontId="12" fillId="14" borderId="13" xfId="0" applyNumberFormat="1" applyFont="1" applyFill="1" applyBorder="1" applyAlignment="1">
      <alignment horizontal="center" vertical="center"/>
    </xf>
    <xf numFmtId="168" fontId="11" fillId="14" borderId="13" xfId="0" applyNumberFormat="1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167" fontId="12" fillId="11" borderId="16" xfId="0" applyNumberFormat="1" applyFont="1" applyFill="1" applyBorder="1" applyAlignment="1">
      <alignment horizontal="center" vertical="center"/>
    </xf>
    <xf numFmtId="168" fontId="11" fillId="11" borderId="16" xfId="0" applyNumberFormat="1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1" fillId="15" borderId="12" xfId="0" applyFont="1" applyFill="1" applyBorder="1" applyAlignment="1">
      <alignment horizontal="center" vertical="center"/>
    </xf>
    <xf numFmtId="167" fontId="12" fillId="15" borderId="13" xfId="0" applyNumberFormat="1" applyFont="1" applyFill="1" applyBorder="1" applyAlignment="1">
      <alignment horizontal="center" vertical="center"/>
    </xf>
    <xf numFmtId="168" fontId="11" fillId="15" borderId="13" xfId="0" applyNumberFormat="1" applyFont="1" applyFill="1" applyBorder="1" applyAlignment="1">
      <alignment horizontal="center" vertical="center"/>
    </xf>
    <xf numFmtId="0" fontId="11" fillId="15" borderId="13" xfId="0" applyFont="1" applyFill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7" fillId="0" borderId="26" xfId="0" applyFont="1" applyBorder="1" applyAlignment="1">
      <alignment horizontal="center" vertical="center"/>
    </xf>
    <xf numFmtId="0" fontId="0" fillId="0" borderId="27" xfId="0" applyBorder="1"/>
    <xf numFmtId="0" fontId="14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32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1" xfId="0" applyBorder="1"/>
    <xf numFmtId="0" fontId="22" fillId="0" borderId="0" xfId="0" applyFont="1" applyAlignment="1">
      <alignment horizontal="center" vertical="center"/>
    </xf>
    <xf numFmtId="0" fontId="22" fillId="0" borderId="0" xfId="0" applyFont="1"/>
    <xf numFmtId="169" fontId="22" fillId="0" borderId="0" xfId="0" applyNumberFormat="1" applyFont="1" applyAlignment="1">
      <alignment horizontal="center" vertical="center"/>
    </xf>
    <xf numFmtId="15" fontId="22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170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22" fillId="0" borderId="0" xfId="0" applyNumberFormat="1" applyFont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15" fontId="23" fillId="16" borderId="0" xfId="0" applyNumberFormat="1" applyFont="1" applyFill="1" applyAlignment="1">
      <alignment horizontal="center" vertical="center"/>
    </xf>
    <xf numFmtId="167" fontId="23" fillId="16" borderId="0" xfId="0" applyNumberFormat="1" applyFont="1" applyFill="1" applyAlignment="1">
      <alignment horizontal="center" vertical="center"/>
    </xf>
    <xf numFmtId="1" fontId="23" fillId="16" borderId="0" xfId="0" applyNumberFormat="1" applyFont="1" applyFill="1" applyAlignment="1">
      <alignment horizontal="center" vertical="center"/>
    </xf>
    <xf numFmtId="0" fontId="23" fillId="16" borderId="0" xfId="0" applyNumberFormat="1" applyFont="1" applyFill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Q_CAI_LF_LEGACY" displayName="ELQ_CAI_LF_LEGACY" ref="A1:AJ8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ELQ_CAI" displayName="FocusMode_ELQ_CAI" ref="A1:H55" totalsRowShown="0">
  <autoFilter ref="A1:H5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LQ_ATZ_LF_LEGACY" displayName="ELQ_ATZ_LF_LEGACY" ref="A1:AJ7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ELQ_ATZ" displayName="FocusMode_ELQ_ATZ" ref="A1:H10" totalsRowShown="0">
  <autoFilter ref="A1:H1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9.33203125" bestFit="1" customWidth="1"/>
  </cols>
  <sheetData>
    <row r="1" spans="1:18" ht="25.05" customHeight="1" x14ac:dyDescent="0.3">
      <c r="A1" s="117" t="s">
        <v>0</v>
      </c>
      <c r="B1" s="116"/>
      <c r="C1" s="116"/>
      <c r="D1" s="116"/>
      <c r="E1" s="116"/>
      <c r="F1" s="1" t="s">
        <v>1</v>
      </c>
      <c r="G1" s="2" t="s">
        <v>2</v>
      </c>
      <c r="H1" s="115">
        <v>45986</v>
      </c>
      <c r="I1" s="116"/>
      <c r="J1" s="116"/>
      <c r="K1" s="116"/>
      <c r="L1" s="116"/>
      <c r="M1" s="1" t="s">
        <v>3</v>
      </c>
      <c r="N1" s="121">
        <v>46001</v>
      </c>
      <c r="O1" s="116"/>
      <c r="P1" s="116"/>
      <c r="Q1" s="116"/>
      <c r="R1" s="116"/>
    </row>
    <row r="2" spans="1:18" ht="18" customHeight="1" x14ac:dyDescent="0.3">
      <c r="A2" s="118" t="s">
        <v>4</v>
      </c>
      <c r="B2" s="116"/>
      <c r="C2" s="116"/>
      <c r="D2" s="116"/>
      <c r="E2" s="116"/>
      <c r="F2" s="116"/>
      <c r="G2" s="120">
        <v>45982.825500290543</v>
      </c>
      <c r="H2" s="116"/>
      <c r="I2" s="116"/>
      <c r="J2" s="116"/>
      <c r="K2" s="122">
        <v>45982.825500290848</v>
      </c>
      <c r="L2" s="116"/>
      <c r="M2" s="116"/>
      <c r="N2" s="116"/>
      <c r="O2" s="116"/>
      <c r="P2" s="116"/>
      <c r="Q2" s="116"/>
      <c r="R2" s="116"/>
    </row>
    <row r="3" spans="1:18" ht="24" customHeight="1" x14ac:dyDescent="0.3">
      <c r="A3" s="119" t="s">
        <v>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1:18" ht="22.05" customHeight="1" x14ac:dyDescent="0.3">
      <c r="A4" s="112" t="s">
        <v>6</v>
      </c>
      <c r="B4" s="113"/>
      <c r="C4" s="113"/>
      <c r="D4" s="113"/>
      <c r="E4" s="113"/>
      <c r="F4" s="114"/>
      <c r="G4" s="3">
        <v>45986</v>
      </c>
      <c r="H4" s="112" t="s">
        <v>7</v>
      </c>
      <c r="I4" s="113"/>
      <c r="J4" s="113"/>
      <c r="K4" s="113"/>
      <c r="L4" s="113"/>
      <c r="M4" s="113"/>
      <c r="N4" s="113"/>
      <c r="O4" s="113"/>
      <c r="P4" s="113"/>
      <c r="Q4" s="113"/>
      <c r="R4" s="11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0.60763888888888895</v>
      </c>
      <c r="D6" s="7" t="s">
        <v>28</v>
      </c>
      <c r="E6" s="7" t="s">
        <v>29</v>
      </c>
      <c r="F6" s="7" t="s">
        <v>30</v>
      </c>
      <c r="G6" s="116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49.95" customHeight="1" x14ac:dyDescent="0.3">
      <c r="A7" s="11" t="s">
        <v>31</v>
      </c>
      <c r="B7" s="11" t="s">
        <v>32</v>
      </c>
      <c r="C7" s="11">
        <v>0.65625</v>
      </c>
      <c r="D7" s="11" t="s">
        <v>28</v>
      </c>
      <c r="E7" s="11" t="s">
        <v>29</v>
      </c>
      <c r="F7" s="11" t="s">
        <v>33</v>
      </c>
      <c r="G7" s="116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49.95" customHeight="1" x14ac:dyDescent="0.3">
      <c r="A8" s="12" t="s">
        <v>34</v>
      </c>
      <c r="B8" s="12" t="s">
        <v>35</v>
      </c>
      <c r="C8" s="12">
        <v>3.4722222222222217E-2</v>
      </c>
      <c r="D8" s="12" t="s">
        <v>36</v>
      </c>
      <c r="E8" s="12" t="s">
        <v>29</v>
      </c>
      <c r="F8" s="12" t="s">
        <v>37</v>
      </c>
      <c r="G8" s="116"/>
      <c r="H8" s="13"/>
      <c r="I8" s="14"/>
      <c r="J8" s="14"/>
      <c r="K8" s="14"/>
      <c r="L8" s="14"/>
      <c r="M8" s="14"/>
      <c r="N8" s="14"/>
      <c r="O8" s="14"/>
      <c r="P8" s="14"/>
      <c r="Q8" s="14"/>
      <c r="R8" s="15"/>
    </row>
    <row r="9" spans="1:18" ht="17.399999999999999" customHeight="1" x14ac:dyDescent="0.3">
      <c r="A9" s="141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3"/>
    </row>
    <row r="10" spans="1:18" ht="22.05" customHeight="1" x14ac:dyDescent="0.3">
      <c r="A10" s="112" t="s">
        <v>6</v>
      </c>
      <c r="B10" s="113"/>
      <c r="C10" s="113"/>
      <c r="D10" s="113"/>
      <c r="E10" s="113"/>
      <c r="F10" s="114"/>
      <c r="G10" s="3">
        <v>45987</v>
      </c>
      <c r="H10" s="112" t="s">
        <v>7</v>
      </c>
      <c r="I10" s="113"/>
      <c r="J10" s="113"/>
      <c r="K10" s="113"/>
      <c r="L10" s="113"/>
      <c r="M10" s="113"/>
      <c r="N10" s="113"/>
      <c r="O10" s="113"/>
      <c r="P10" s="113"/>
      <c r="Q10" s="113"/>
      <c r="R10" s="114"/>
    </row>
    <row r="11" spans="1:18" ht="24" customHeight="1" x14ac:dyDescent="0.3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5" t="s">
        <v>13</v>
      </c>
      <c r="G11" s="6" t="s">
        <v>14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4" t="s">
        <v>20</v>
      </c>
      <c r="N11" s="4" t="s">
        <v>21</v>
      </c>
      <c r="O11" s="4" t="s">
        <v>22</v>
      </c>
      <c r="P11" s="4" t="s">
        <v>23</v>
      </c>
      <c r="Q11" s="4" t="s">
        <v>24</v>
      </c>
      <c r="R11" s="4" t="s">
        <v>25</v>
      </c>
    </row>
    <row r="12" spans="1:18" ht="49.95" customHeight="1" x14ac:dyDescent="0.3">
      <c r="A12" s="7" t="s">
        <v>38</v>
      </c>
      <c r="B12" s="7" t="s">
        <v>39</v>
      </c>
      <c r="C12" s="7">
        <v>0.9375</v>
      </c>
      <c r="D12" s="7" t="s">
        <v>40</v>
      </c>
      <c r="E12" s="7" t="s">
        <v>41</v>
      </c>
      <c r="F12" s="7" t="s">
        <v>42</v>
      </c>
      <c r="G12" s="116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49.95" customHeight="1" x14ac:dyDescent="0.3">
      <c r="A13" s="16" t="s">
        <v>38</v>
      </c>
      <c r="B13" s="16" t="s">
        <v>39</v>
      </c>
      <c r="C13" s="16">
        <v>0.9375</v>
      </c>
      <c r="D13" s="16" t="s">
        <v>43</v>
      </c>
      <c r="E13" s="16" t="s">
        <v>44</v>
      </c>
      <c r="F13" s="16" t="s">
        <v>45</v>
      </c>
      <c r="G13" s="116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49.95" customHeight="1" x14ac:dyDescent="0.3">
      <c r="A14" s="11" t="s">
        <v>26</v>
      </c>
      <c r="B14" s="11" t="s">
        <v>27</v>
      </c>
      <c r="C14" s="11">
        <v>0.625</v>
      </c>
      <c r="D14" s="11" t="s">
        <v>28</v>
      </c>
      <c r="E14" s="11" t="s">
        <v>29</v>
      </c>
      <c r="F14" s="11" t="s">
        <v>30</v>
      </c>
      <c r="G14" s="116"/>
      <c r="H14" s="8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 ht="49.95" customHeight="1" x14ac:dyDescent="0.3">
      <c r="A15" s="12" t="s">
        <v>31</v>
      </c>
      <c r="B15" s="12" t="s">
        <v>32</v>
      </c>
      <c r="C15" s="12">
        <v>0.65625</v>
      </c>
      <c r="D15" s="12" t="s">
        <v>28</v>
      </c>
      <c r="E15" s="12" t="s">
        <v>46</v>
      </c>
      <c r="F15" s="12" t="s">
        <v>30</v>
      </c>
      <c r="G15" s="116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5"/>
    </row>
    <row r="16" spans="1:18" ht="17.399999999999999" customHeight="1" x14ac:dyDescent="0.3">
      <c r="A16" s="141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</row>
    <row r="17" spans="1:18" ht="22.05" customHeight="1" x14ac:dyDescent="0.3">
      <c r="A17" s="112" t="s">
        <v>6</v>
      </c>
      <c r="B17" s="113"/>
      <c r="C17" s="113"/>
      <c r="D17" s="113"/>
      <c r="E17" s="113"/>
      <c r="F17" s="114"/>
      <c r="G17" s="3">
        <v>45988</v>
      </c>
      <c r="H17" s="112" t="s">
        <v>7</v>
      </c>
      <c r="I17" s="113"/>
      <c r="J17" s="113"/>
      <c r="K17" s="113"/>
      <c r="L17" s="113"/>
      <c r="M17" s="113"/>
      <c r="N17" s="113"/>
      <c r="O17" s="113"/>
      <c r="P17" s="113"/>
      <c r="Q17" s="113"/>
      <c r="R17" s="114"/>
    </row>
    <row r="18" spans="1:18" ht="24" customHeight="1" x14ac:dyDescent="0.3">
      <c r="A18" s="4" t="s">
        <v>8</v>
      </c>
      <c r="B18" s="4" t="s">
        <v>9</v>
      </c>
      <c r="C18" s="4" t="s">
        <v>10</v>
      </c>
      <c r="D18" s="4" t="s">
        <v>11</v>
      </c>
      <c r="E18" s="4" t="s">
        <v>12</v>
      </c>
      <c r="F18" s="5" t="s">
        <v>13</v>
      </c>
      <c r="G18" s="6" t="s">
        <v>14</v>
      </c>
      <c r="H18" s="4" t="s">
        <v>15</v>
      </c>
      <c r="I18" s="4" t="s">
        <v>16</v>
      </c>
      <c r="J18" s="4" t="s">
        <v>17</v>
      </c>
      <c r="K18" s="4" t="s">
        <v>18</v>
      </c>
      <c r="L18" s="4" t="s">
        <v>19</v>
      </c>
      <c r="M18" s="4" t="s">
        <v>20</v>
      </c>
      <c r="N18" s="4" t="s">
        <v>21</v>
      </c>
      <c r="O18" s="4" t="s">
        <v>22</v>
      </c>
      <c r="P18" s="4" t="s">
        <v>23</v>
      </c>
      <c r="Q18" s="4" t="s">
        <v>24</v>
      </c>
      <c r="R18" s="4" t="s">
        <v>25</v>
      </c>
    </row>
    <row r="19" spans="1:18" ht="15" customHeight="1" x14ac:dyDescent="0.3">
      <c r="A19" s="7" t="s">
        <v>26</v>
      </c>
      <c r="B19" s="7" t="s">
        <v>27</v>
      </c>
      <c r="C19" s="7">
        <v>0.625</v>
      </c>
      <c r="D19" s="7" t="s">
        <v>28</v>
      </c>
      <c r="E19" s="7" t="s">
        <v>47</v>
      </c>
      <c r="F19" s="7" t="s">
        <v>48</v>
      </c>
      <c r="G19" s="116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11" t="s">
        <v>34</v>
      </c>
      <c r="B20" s="11" t="s">
        <v>35</v>
      </c>
      <c r="C20" s="11">
        <v>3.4722222222222217E-2</v>
      </c>
      <c r="D20" s="11" t="s">
        <v>49</v>
      </c>
      <c r="E20" s="11" t="s">
        <v>29</v>
      </c>
      <c r="F20" s="11" t="s">
        <v>50</v>
      </c>
      <c r="G20" s="116"/>
      <c r="H20" s="8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 ht="15" customHeight="1" x14ac:dyDescent="0.3">
      <c r="A21" s="11" t="s">
        <v>38</v>
      </c>
      <c r="B21" s="11" t="s">
        <v>39</v>
      </c>
      <c r="C21" s="11">
        <v>0.9375</v>
      </c>
      <c r="D21" s="11" t="s">
        <v>40</v>
      </c>
      <c r="E21" s="11" t="s">
        <v>41</v>
      </c>
      <c r="F21" s="11" t="s">
        <v>42</v>
      </c>
      <c r="G21" s="116"/>
      <c r="H21" s="8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 ht="15" customHeight="1" x14ac:dyDescent="0.3">
      <c r="A22" s="16" t="s">
        <v>38</v>
      </c>
      <c r="B22" s="16" t="s">
        <v>39</v>
      </c>
      <c r="C22" s="16">
        <v>0.9375</v>
      </c>
      <c r="D22" s="16" t="s">
        <v>43</v>
      </c>
      <c r="E22" s="16" t="s">
        <v>44</v>
      </c>
      <c r="F22" s="16" t="s">
        <v>45</v>
      </c>
      <c r="G22" s="116"/>
      <c r="H22" s="8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 ht="15" customHeight="1" x14ac:dyDescent="0.3">
      <c r="A23" s="11" t="s">
        <v>31</v>
      </c>
      <c r="B23" s="11" t="s">
        <v>32</v>
      </c>
      <c r="C23" s="11">
        <v>0.65625</v>
      </c>
      <c r="D23" s="11" t="s">
        <v>28</v>
      </c>
      <c r="E23" s="11" t="s">
        <v>51</v>
      </c>
      <c r="F23" s="11" t="s">
        <v>30</v>
      </c>
      <c r="G23" s="116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15" customHeight="1" x14ac:dyDescent="0.3">
      <c r="A24" s="17" t="s">
        <v>52</v>
      </c>
      <c r="B24" s="17" t="s">
        <v>53</v>
      </c>
      <c r="C24" s="17">
        <v>0.79861111111111116</v>
      </c>
      <c r="D24" s="17" t="s">
        <v>28</v>
      </c>
      <c r="E24" s="17" t="s">
        <v>29</v>
      </c>
      <c r="F24" s="17" t="s">
        <v>54</v>
      </c>
      <c r="G24" s="116"/>
      <c r="H24" s="18" t="s">
        <v>55</v>
      </c>
      <c r="I24" s="19">
        <v>0.35120000000000001</v>
      </c>
      <c r="J24" s="20">
        <v>59</v>
      </c>
      <c r="K24" s="21" t="s">
        <v>56</v>
      </c>
      <c r="L24" s="20">
        <v>25</v>
      </c>
      <c r="M24" s="20">
        <v>2</v>
      </c>
      <c r="N24" s="20">
        <v>2</v>
      </c>
      <c r="O24" s="21" t="s">
        <v>57</v>
      </c>
      <c r="P24" s="21">
        <v>0.79861111111111116</v>
      </c>
      <c r="Q24" s="20">
        <v>168</v>
      </c>
      <c r="R24" s="22" t="s">
        <v>58</v>
      </c>
    </row>
    <row r="25" spans="1:18" ht="17.399999999999999" customHeight="1" x14ac:dyDescent="0.3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3"/>
    </row>
    <row r="26" spans="1:18" ht="22.05" customHeight="1" x14ac:dyDescent="0.3">
      <c r="A26" s="112" t="s">
        <v>6</v>
      </c>
      <c r="B26" s="113"/>
      <c r="C26" s="113"/>
      <c r="D26" s="113"/>
      <c r="E26" s="113"/>
      <c r="F26" s="114"/>
      <c r="G26" s="3">
        <v>45989</v>
      </c>
      <c r="H26" s="112" t="s">
        <v>7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4"/>
    </row>
    <row r="27" spans="1:18" ht="24" customHeight="1" x14ac:dyDescent="0.3">
      <c r="A27" s="4" t="s">
        <v>8</v>
      </c>
      <c r="B27" s="4" t="s">
        <v>9</v>
      </c>
      <c r="C27" s="4" t="s">
        <v>10</v>
      </c>
      <c r="D27" s="4" t="s">
        <v>11</v>
      </c>
      <c r="E27" s="4" t="s">
        <v>12</v>
      </c>
      <c r="F27" s="5" t="s">
        <v>13</v>
      </c>
      <c r="G27" s="6" t="s">
        <v>14</v>
      </c>
      <c r="H27" s="4" t="s">
        <v>15</v>
      </c>
      <c r="I27" s="4" t="s">
        <v>16</v>
      </c>
      <c r="J27" s="4" t="s">
        <v>17</v>
      </c>
      <c r="K27" s="4" t="s">
        <v>18</v>
      </c>
      <c r="L27" s="4" t="s">
        <v>19</v>
      </c>
      <c r="M27" s="4" t="s">
        <v>20</v>
      </c>
      <c r="N27" s="4" t="s">
        <v>21</v>
      </c>
      <c r="O27" s="4" t="s">
        <v>22</v>
      </c>
      <c r="P27" s="4" t="s">
        <v>23</v>
      </c>
      <c r="Q27" s="4" t="s">
        <v>24</v>
      </c>
      <c r="R27" s="4" t="s">
        <v>25</v>
      </c>
    </row>
    <row r="28" spans="1:18" ht="49.95" customHeight="1" x14ac:dyDescent="0.3">
      <c r="A28" s="7" t="s">
        <v>26</v>
      </c>
      <c r="B28" s="7" t="s">
        <v>27</v>
      </c>
      <c r="C28" s="7">
        <v>0.86805555555555547</v>
      </c>
      <c r="D28" s="7" t="s">
        <v>28</v>
      </c>
      <c r="E28" s="7" t="s">
        <v>29</v>
      </c>
      <c r="F28" s="7" t="s">
        <v>48</v>
      </c>
      <c r="G28" s="116"/>
      <c r="H28" s="8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 ht="49.95" customHeight="1" x14ac:dyDescent="0.3">
      <c r="A29" s="11" t="s">
        <v>31</v>
      </c>
      <c r="B29" s="11" t="s">
        <v>32</v>
      </c>
      <c r="C29" s="11">
        <v>0.65625</v>
      </c>
      <c r="D29" s="11" t="s">
        <v>28</v>
      </c>
      <c r="E29" s="11" t="s">
        <v>46</v>
      </c>
      <c r="F29" s="11" t="s">
        <v>30</v>
      </c>
      <c r="G29" s="116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49.95" customHeight="1" x14ac:dyDescent="0.3">
      <c r="A30" s="12" t="s">
        <v>34</v>
      </c>
      <c r="B30" s="12" t="s">
        <v>35</v>
      </c>
      <c r="C30" s="12">
        <v>3.4722222222222217E-2</v>
      </c>
      <c r="D30" s="12" t="s">
        <v>36</v>
      </c>
      <c r="E30" s="12" t="s">
        <v>29</v>
      </c>
      <c r="F30" s="12" t="s">
        <v>59</v>
      </c>
      <c r="G30" s="116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5"/>
    </row>
    <row r="31" spans="1:18" ht="17.399999999999999" customHeight="1" x14ac:dyDescent="0.3">
      <c r="A31" s="141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3"/>
    </row>
    <row r="32" spans="1:18" ht="22.05" customHeight="1" x14ac:dyDescent="0.3">
      <c r="A32" s="112" t="s">
        <v>6</v>
      </c>
      <c r="B32" s="113"/>
      <c r="C32" s="113"/>
      <c r="D32" s="113"/>
      <c r="E32" s="113"/>
      <c r="F32" s="114"/>
      <c r="G32" s="3">
        <v>45990</v>
      </c>
      <c r="H32" s="112" t="s">
        <v>7</v>
      </c>
      <c r="I32" s="113"/>
      <c r="J32" s="113"/>
      <c r="K32" s="113"/>
      <c r="L32" s="113"/>
      <c r="M32" s="113"/>
      <c r="N32" s="113"/>
      <c r="O32" s="113"/>
      <c r="P32" s="113"/>
      <c r="Q32" s="113"/>
      <c r="R32" s="114"/>
    </row>
    <row r="33" spans="1:18" ht="24" customHeight="1" x14ac:dyDescent="0.3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</v>
      </c>
      <c r="F33" s="5" t="s">
        <v>13</v>
      </c>
      <c r="G33" s="6" t="s">
        <v>14</v>
      </c>
      <c r="H33" s="4" t="s">
        <v>15</v>
      </c>
      <c r="I33" s="4" t="s">
        <v>16</v>
      </c>
      <c r="J33" s="4" t="s">
        <v>17</v>
      </c>
      <c r="K33" s="4" t="s">
        <v>18</v>
      </c>
      <c r="L33" s="4" t="s">
        <v>19</v>
      </c>
      <c r="M33" s="4" t="s">
        <v>20</v>
      </c>
      <c r="N33" s="4" t="s">
        <v>21</v>
      </c>
      <c r="O33" s="4" t="s">
        <v>22</v>
      </c>
      <c r="P33" s="4" t="s">
        <v>23</v>
      </c>
      <c r="Q33" s="4" t="s">
        <v>24</v>
      </c>
      <c r="R33" s="4" t="s">
        <v>25</v>
      </c>
    </row>
    <row r="34" spans="1:18" ht="49.95" customHeight="1" x14ac:dyDescent="0.3">
      <c r="A34" s="7" t="s">
        <v>34</v>
      </c>
      <c r="B34" s="7" t="s">
        <v>35</v>
      </c>
      <c r="C34" s="7">
        <v>3.4722222222222217E-2</v>
      </c>
      <c r="D34" s="7" t="s">
        <v>60</v>
      </c>
      <c r="E34" s="7" t="s">
        <v>29</v>
      </c>
      <c r="F34" s="7" t="s">
        <v>61</v>
      </c>
      <c r="G34" s="116"/>
      <c r="H34" s="8"/>
      <c r="I34" s="9"/>
      <c r="J34" s="9"/>
      <c r="K34" s="9"/>
      <c r="L34" s="9"/>
      <c r="M34" s="9"/>
      <c r="N34" s="9"/>
      <c r="O34" s="9"/>
      <c r="P34" s="9"/>
      <c r="Q34" s="9"/>
      <c r="R34" s="10"/>
    </row>
    <row r="35" spans="1:18" ht="49.95" customHeight="1" x14ac:dyDescent="0.3">
      <c r="A35" s="11" t="s">
        <v>31</v>
      </c>
      <c r="B35" s="11" t="s">
        <v>62</v>
      </c>
      <c r="C35" s="11">
        <v>0.97916666666666663</v>
      </c>
      <c r="D35" s="11" t="s">
        <v>28</v>
      </c>
      <c r="E35" s="11" t="s">
        <v>29</v>
      </c>
      <c r="F35" s="11" t="s">
        <v>30</v>
      </c>
      <c r="G35" s="116"/>
      <c r="H35" s="8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49.95" customHeight="1" x14ac:dyDescent="0.3">
      <c r="A36" s="23" t="s">
        <v>52</v>
      </c>
      <c r="B36" s="23" t="s">
        <v>53</v>
      </c>
      <c r="C36" s="23">
        <v>6.9444444444444447E-4</v>
      </c>
      <c r="D36" s="23" t="s">
        <v>28</v>
      </c>
      <c r="E36" s="23" t="s">
        <v>29</v>
      </c>
      <c r="F36" s="23" t="s">
        <v>54</v>
      </c>
      <c r="G36" s="116"/>
      <c r="H36" s="24" t="s">
        <v>55</v>
      </c>
      <c r="I36" s="25">
        <v>0.1012</v>
      </c>
      <c r="J36" s="26">
        <v>17</v>
      </c>
      <c r="K36" s="27" t="s">
        <v>63</v>
      </c>
      <c r="L36" s="26">
        <v>1</v>
      </c>
      <c r="M36" s="26">
        <v>0</v>
      </c>
      <c r="N36" s="26">
        <v>1</v>
      </c>
      <c r="O36" s="27" t="s">
        <v>57</v>
      </c>
      <c r="P36" s="27">
        <v>6.9444444444444447E-4</v>
      </c>
      <c r="Q36" s="26">
        <v>168</v>
      </c>
      <c r="R36" s="28" t="s">
        <v>64</v>
      </c>
    </row>
    <row r="37" spans="1:18" ht="17.399999999999999" customHeight="1" x14ac:dyDescent="0.3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3"/>
    </row>
    <row r="38" spans="1:18" ht="22.05" customHeight="1" x14ac:dyDescent="0.3">
      <c r="A38" s="112" t="s">
        <v>6</v>
      </c>
      <c r="B38" s="113"/>
      <c r="C38" s="113"/>
      <c r="D38" s="113"/>
      <c r="E38" s="113"/>
      <c r="F38" s="114"/>
      <c r="G38" s="3">
        <v>45991</v>
      </c>
      <c r="H38" s="112" t="s">
        <v>7</v>
      </c>
      <c r="I38" s="113"/>
      <c r="J38" s="113"/>
      <c r="K38" s="113"/>
      <c r="L38" s="113"/>
      <c r="M38" s="113"/>
      <c r="N38" s="113"/>
      <c r="O38" s="113"/>
      <c r="P38" s="113"/>
      <c r="Q38" s="113"/>
      <c r="R38" s="114"/>
    </row>
    <row r="39" spans="1:18" ht="24" customHeight="1" x14ac:dyDescent="0.3">
      <c r="A39" s="4" t="s">
        <v>8</v>
      </c>
      <c r="B39" s="4" t="s">
        <v>9</v>
      </c>
      <c r="C39" s="4" t="s">
        <v>10</v>
      </c>
      <c r="D39" s="4" t="s">
        <v>11</v>
      </c>
      <c r="E39" s="4" t="s">
        <v>12</v>
      </c>
      <c r="F39" s="5" t="s">
        <v>13</v>
      </c>
      <c r="G39" s="6" t="s">
        <v>14</v>
      </c>
      <c r="H39" s="4" t="s">
        <v>15</v>
      </c>
      <c r="I39" s="4" t="s">
        <v>16</v>
      </c>
      <c r="J39" s="4" t="s">
        <v>17</v>
      </c>
      <c r="K39" s="4" t="s">
        <v>18</v>
      </c>
      <c r="L39" s="4" t="s">
        <v>19</v>
      </c>
      <c r="M39" s="4" t="s">
        <v>20</v>
      </c>
      <c r="N39" s="4" t="s">
        <v>21</v>
      </c>
      <c r="O39" s="4" t="s">
        <v>22</v>
      </c>
      <c r="P39" s="4" t="s">
        <v>23</v>
      </c>
      <c r="Q39" s="4" t="s">
        <v>24</v>
      </c>
      <c r="R39" s="4" t="s">
        <v>25</v>
      </c>
    </row>
    <row r="40" spans="1:18" ht="49.95" customHeight="1" x14ac:dyDescent="0.3">
      <c r="A40" s="7" t="s">
        <v>26</v>
      </c>
      <c r="B40" s="7" t="s">
        <v>27</v>
      </c>
      <c r="C40" s="7">
        <v>0.60763888888888895</v>
      </c>
      <c r="D40" s="7" t="s">
        <v>28</v>
      </c>
      <c r="E40" s="7" t="s">
        <v>29</v>
      </c>
      <c r="F40" s="7" t="s">
        <v>48</v>
      </c>
      <c r="G40" s="116"/>
      <c r="H40" s="8"/>
      <c r="I40" s="9"/>
      <c r="J40" s="9"/>
      <c r="K40" s="9"/>
      <c r="L40" s="9"/>
      <c r="M40" s="9"/>
      <c r="N40" s="9"/>
      <c r="O40" s="9"/>
      <c r="P40" s="9"/>
      <c r="Q40" s="9"/>
      <c r="R40" s="10"/>
    </row>
    <row r="41" spans="1:18" ht="49.95" customHeight="1" x14ac:dyDescent="0.3">
      <c r="A41" s="11" t="s">
        <v>34</v>
      </c>
      <c r="B41" s="11" t="s">
        <v>35</v>
      </c>
      <c r="C41" s="11">
        <v>3.125E-2</v>
      </c>
      <c r="D41" s="11" t="s">
        <v>60</v>
      </c>
      <c r="E41" s="11" t="s">
        <v>29</v>
      </c>
      <c r="F41" s="11" t="s">
        <v>61</v>
      </c>
      <c r="G41" s="116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49.95" customHeight="1" x14ac:dyDescent="0.3">
      <c r="A42" s="11" t="s">
        <v>31</v>
      </c>
      <c r="B42" s="11" t="s">
        <v>32</v>
      </c>
      <c r="C42" s="11">
        <v>0.65625</v>
      </c>
      <c r="D42" s="11" t="s">
        <v>28</v>
      </c>
      <c r="E42" s="11" t="s">
        <v>46</v>
      </c>
      <c r="F42" s="11" t="s">
        <v>30</v>
      </c>
      <c r="G42" s="116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49.95" customHeight="1" x14ac:dyDescent="0.3">
      <c r="A43" s="29" t="s">
        <v>52</v>
      </c>
      <c r="B43" s="29" t="s">
        <v>53</v>
      </c>
      <c r="C43" s="29">
        <v>0.79861111111111116</v>
      </c>
      <c r="D43" s="29" t="s">
        <v>28</v>
      </c>
      <c r="E43" s="29" t="s">
        <v>65</v>
      </c>
      <c r="F43" s="29" t="s">
        <v>54</v>
      </c>
      <c r="G43" s="116"/>
      <c r="H43" s="30" t="s">
        <v>55</v>
      </c>
      <c r="I43" s="31">
        <v>0.4405</v>
      </c>
      <c r="J43" s="32">
        <v>74</v>
      </c>
      <c r="K43" s="33" t="s">
        <v>56</v>
      </c>
      <c r="L43" s="32">
        <v>19</v>
      </c>
      <c r="M43" s="32">
        <v>1</v>
      </c>
      <c r="N43" s="32">
        <v>0</v>
      </c>
      <c r="O43" s="33" t="s">
        <v>66</v>
      </c>
      <c r="P43" s="33">
        <v>0.79861111111111116</v>
      </c>
      <c r="Q43" s="32">
        <v>168</v>
      </c>
      <c r="R43" s="34" t="s">
        <v>67</v>
      </c>
    </row>
    <row r="44" spans="1:18" ht="17.399999999999999" customHeight="1" x14ac:dyDescent="0.3">
      <c r="A44" s="141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3"/>
    </row>
    <row r="45" spans="1:18" ht="22.05" customHeight="1" x14ac:dyDescent="0.3">
      <c r="A45" s="112" t="s">
        <v>6</v>
      </c>
      <c r="B45" s="113"/>
      <c r="C45" s="113"/>
      <c r="D45" s="113"/>
      <c r="E45" s="113"/>
      <c r="F45" s="114"/>
      <c r="G45" s="3">
        <v>45992</v>
      </c>
      <c r="H45" s="112" t="s">
        <v>7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4"/>
    </row>
    <row r="46" spans="1:18" ht="24" customHeight="1" x14ac:dyDescent="0.3">
      <c r="A46" s="4" t="s">
        <v>8</v>
      </c>
      <c r="B46" s="4" t="s">
        <v>9</v>
      </c>
      <c r="C46" s="4" t="s">
        <v>10</v>
      </c>
      <c r="D46" s="4" t="s">
        <v>11</v>
      </c>
      <c r="E46" s="4" t="s">
        <v>12</v>
      </c>
      <c r="F46" s="5" t="s">
        <v>13</v>
      </c>
      <c r="G46" s="6" t="s">
        <v>14</v>
      </c>
      <c r="H46" s="4" t="s">
        <v>15</v>
      </c>
      <c r="I46" s="4" t="s">
        <v>16</v>
      </c>
      <c r="J46" s="4" t="s">
        <v>17</v>
      </c>
      <c r="K46" s="4" t="s">
        <v>18</v>
      </c>
      <c r="L46" s="4" t="s">
        <v>19</v>
      </c>
      <c r="M46" s="4" t="s">
        <v>20</v>
      </c>
      <c r="N46" s="4" t="s">
        <v>21</v>
      </c>
      <c r="O46" s="4" t="s">
        <v>22</v>
      </c>
      <c r="P46" s="4" t="s">
        <v>23</v>
      </c>
      <c r="Q46" s="4" t="s">
        <v>24</v>
      </c>
      <c r="R46" s="4" t="s">
        <v>25</v>
      </c>
    </row>
    <row r="47" spans="1:18" ht="49.95" customHeight="1" x14ac:dyDescent="0.3">
      <c r="A47" s="7" t="s">
        <v>38</v>
      </c>
      <c r="B47" s="7" t="s">
        <v>39</v>
      </c>
      <c r="C47" s="7">
        <v>0.9375</v>
      </c>
      <c r="D47" s="7" t="s">
        <v>40</v>
      </c>
      <c r="E47" s="7" t="s">
        <v>41</v>
      </c>
      <c r="F47" s="7" t="s">
        <v>42</v>
      </c>
      <c r="G47" s="116"/>
      <c r="H47" s="8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49.95" customHeight="1" x14ac:dyDescent="0.3">
      <c r="A48" s="16" t="s">
        <v>38</v>
      </c>
      <c r="B48" s="16" t="s">
        <v>39</v>
      </c>
      <c r="C48" s="16">
        <v>0.9375</v>
      </c>
      <c r="D48" s="16" t="s">
        <v>43</v>
      </c>
      <c r="E48" s="16" t="s">
        <v>44</v>
      </c>
      <c r="F48" s="16" t="s">
        <v>45</v>
      </c>
      <c r="G48" s="116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49.95" customHeight="1" x14ac:dyDescent="0.3">
      <c r="A49" s="12" t="s">
        <v>31</v>
      </c>
      <c r="B49" s="12" t="s">
        <v>32</v>
      </c>
      <c r="C49" s="12">
        <v>0.65625</v>
      </c>
      <c r="D49" s="12" t="s">
        <v>28</v>
      </c>
      <c r="E49" s="12" t="s">
        <v>29</v>
      </c>
      <c r="F49" s="12" t="s">
        <v>30</v>
      </c>
      <c r="G49" s="116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5"/>
    </row>
    <row r="50" spans="1:18" ht="17.399999999999999" customHeight="1" x14ac:dyDescent="0.3">
      <c r="A50" s="14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3"/>
    </row>
    <row r="51" spans="1:18" ht="22.05" customHeight="1" x14ac:dyDescent="0.3">
      <c r="A51" s="112" t="s">
        <v>6</v>
      </c>
      <c r="B51" s="113"/>
      <c r="C51" s="113"/>
      <c r="D51" s="113"/>
      <c r="E51" s="113"/>
      <c r="F51" s="114"/>
      <c r="G51" s="3">
        <v>45993</v>
      </c>
      <c r="H51" s="112" t="s">
        <v>7</v>
      </c>
      <c r="I51" s="113"/>
      <c r="J51" s="113"/>
      <c r="K51" s="113"/>
      <c r="L51" s="113"/>
      <c r="M51" s="113"/>
      <c r="N51" s="113"/>
      <c r="O51" s="113"/>
      <c r="P51" s="113"/>
      <c r="Q51" s="113"/>
      <c r="R51" s="114"/>
    </row>
    <row r="52" spans="1:18" ht="24" customHeight="1" x14ac:dyDescent="0.3">
      <c r="A52" s="4" t="s">
        <v>8</v>
      </c>
      <c r="B52" s="4" t="s">
        <v>9</v>
      </c>
      <c r="C52" s="4" t="s">
        <v>10</v>
      </c>
      <c r="D52" s="4" t="s">
        <v>11</v>
      </c>
      <c r="E52" s="4" t="s">
        <v>12</v>
      </c>
      <c r="F52" s="5" t="s">
        <v>13</v>
      </c>
      <c r="G52" s="6" t="s">
        <v>14</v>
      </c>
      <c r="H52" s="4" t="s">
        <v>15</v>
      </c>
      <c r="I52" s="4" t="s">
        <v>16</v>
      </c>
      <c r="J52" s="4" t="s">
        <v>17</v>
      </c>
      <c r="K52" s="4" t="s">
        <v>18</v>
      </c>
      <c r="L52" s="4" t="s">
        <v>19</v>
      </c>
      <c r="M52" s="4" t="s">
        <v>20</v>
      </c>
      <c r="N52" s="4" t="s">
        <v>21</v>
      </c>
      <c r="O52" s="4" t="s">
        <v>22</v>
      </c>
      <c r="P52" s="4" t="s">
        <v>23</v>
      </c>
      <c r="Q52" s="4" t="s">
        <v>24</v>
      </c>
      <c r="R52" s="4" t="s">
        <v>25</v>
      </c>
    </row>
    <row r="53" spans="1:18" ht="49.95" customHeight="1" x14ac:dyDescent="0.3">
      <c r="A53" s="7" t="s">
        <v>26</v>
      </c>
      <c r="B53" s="7" t="s">
        <v>27</v>
      </c>
      <c r="C53" s="7">
        <v>0.60763888888888895</v>
      </c>
      <c r="D53" s="7" t="s">
        <v>28</v>
      </c>
      <c r="E53" s="7" t="s">
        <v>29</v>
      </c>
      <c r="F53" s="7" t="s">
        <v>30</v>
      </c>
      <c r="G53" s="116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49.95" customHeight="1" x14ac:dyDescent="0.3">
      <c r="A54" s="11" t="s">
        <v>31</v>
      </c>
      <c r="B54" s="11" t="s">
        <v>32</v>
      </c>
      <c r="C54" s="11">
        <v>0.65625</v>
      </c>
      <c r="D54" s="11" t="s">
        <v>28</v>
      </c>
      <c r="E54" s="11" t="s">
        <v>51</v>
      </c>
      <c r="F54" s="11" t="s">
        <v>30</v>
      </c>
      <c r="G54" s="116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49.95" customHeight="1" x14ac:dyDescent="0.3">
      <c r="A55" s="12" t="s">
        <v>34</v>
      </c>
      <c r="B55" s="12" t="s">
        <v>35</v>
      </c>
      <c r="C55" s="12">
        <v>3.125E-2</v>
      </c>
      <c r="D55" s="12" t="s">
        <v>36</v>
      </c>
      <c r="E55" s="12" t="s">
        <v>29</v>
      </c>
      <c r="F55" s="12" t="s">
        <v>59</v>
      </c>
      <c r="G55" s="116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5"/>
    </row>
    <row r="56" spans="1:18" ht="17.399999999999999" customHeight="1" x14ac:dyDescent="0.3">
      <c r="A56" s="141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3"/>
    </row>
    <row r="57" spans="1:18" ht="22.05" customHeight="1" x14ac:dyDescent="0.3">
      <c r="A57" s="112" t="s">
        <v>6</v>
      </c>
      <c r="B57" s="113"/>
      <c r="C57" s="113"/>
      <c r="D57" s="113"/>
      <c r="E57" s="113"/>
      <c r="F57" s="114"/>
      <c r="G57" s="3">
        <v>45994</v>
      </c>
      <c r="H57" s="112" t="s">
        <v>7</v>
      </c>
      <c r="I57" s="113"/>
      <c r="J57" s="113"/>
      <c r="K57" s="113"/>
      <c r="L57" s="113"/>
      <c r="M57" s="113"/>
      <c r="N57" s="113"/>
      <c r="O57" s="113"/>
      <c r="P57" s="113"/>
      <c r="Q57" s="113"/>
      <c r="R57" s="114"/>
    </row>
    <row r="58" spans="1:18" ht="24" customHeight="1" x14ac:dyDescent="0.3">
      <c r="A58" s="4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5" t="s">
        <v>13</v>
      </c>
      <c r="G58" s="6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  <c r="P58" s="4" t="s">
        <v>23</v>
      </c>
      <c r="Q58" s="4" t="s">
        <v>24</v>
      </c>
      <c r="R58" s="4" t="s">
        <v>25</v>
      </c>
    </row>
    <row r="59" spans="1:18" ht="49.95" customHeight="1" x14ac:dyDescent="0.3">
      <c r="A59" s="7" t="s">
        <v>38</v>
      </c>
      <c r="B59" s="7" t="s">
        <v>39</v>
      </c>
      <c r="C59" s="7">
        <v>0.9375</v>
      </c>
      <c r="D59" s="7" t="s">
        <v>40</v>
      </c>
      <c r="E59" s="7" t="s">
        <v>41</v>
      </c>
      <c r="F59" s="7" t="s">
        <v>42</v>
      </c>
      <c r="G59" s="116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49.95" customHeight="1" x14ac:dyDescent="0.3">
      <c r="A60" s="16" t="s">
        <v>38</v>
      </c>
      <c r="B60" s="16" t="s">
        <v>39</v>
      </c>
      <c r="C60" s="16">
        <v>0.9375</v>
      </c>
      <c r="D60" s="16" t="s">
        <v>43</v>
      </c>
      <c r="E60" s="16" t="s">
        <v>44</v>
      </c>
      <c r="F60" s="16" t="s">
        <v>45</v>
      </c>
      <c r="G60" s="116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49.95" customHeight="1" x14ac:dyDescent="0.3">
      <c r="A61" s="12" t="s">
        <v>31</v>
      </c>
      <c r="B61" s="12" t="s">
        <v>32</v>
      </c>
      <c r="C61" s="12">
        <v>0.65625</v>
      </c>
      <c r="D61" s="12" t="s">
        <v>28</v>
      </c>
      <c r="E61" s="12" t="s">
        <v>51</v>
      </c>
      <c r="F61" s="12" t="s">
        <v>30</v>
      </c>
      <c r="G61" s="116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5"/>
    </row>
    <row r="62" spans="1:18" ht="17.399999999999999" customHeight="1" x14ac:dyDescent="0.3">
      <c r="A62" s="141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3"/>
    </row>
    <row r="63" spans="1:18" ht="22.05" customHeight="1" x14ac:dyDescent="0.3">
      <c r="A63" s="112" t="s">
        <v>6</v>
      </c>
      <c r="B63" s="113"/>
      <c r="C63" s="113"/>
      <c r="D63" s="113"/>
      <c r="E63" s="113"/>
      <c r="F63" s="114"/>
      <c r="G63" s="3">
        <v>45995</v>
      </c>
      <c r="H63" s="112" t="s">
        <v>7</v>
      </c>
      <c r="I63" s="113"/>
      <c r="J63" s="113"/>
      <c r="K63" s="113"/>
      <c r="L63" s="113"/>
      <c r="M63" s="113"/>
      <c r="N63" s="113"/>
      <c r="O63" s="113"/>
      <c r="P63" s="113"/>
      <c r="Q63" s="113"/>
      <c r="R63" s="114"/>
    </row>
    <row r="64" spans="1:18" ht="24" customHeight="1" x14ac:dyDescent="0.3">
      <c r="A64" s="4" t="s">
        <v>8</v>
      </c>
      <c r="B64" s="4" t="s">
        <v>9</v>
      </c>
      <c r="C64" s="4" t="s">
        <v>10</v>
      </c>
      <c r="D64" s="4" t="s">
        <v>11</v>
      </c>
      <c r="E64" s="4" t="s">
        <v>12</v>
      </c>
      <c r="F64" s="5" t="s">
        <v>13</v>
      </c>
      <c r="G64" s="6" t="s">
        <v>14</v>
      </c>
      <c r="H64" s="4" t="s">
        <v>15</v>
      </c>
      <c r="I64" s="4" t="s">
        <v>16</v>
      </c>
      <c r="J64" s="4" t="s">
        <v>17</v>
      </c>
      <c r="K64" s="4" t="s">
        <v>18</v>
      </c>
      <c r="L64" s="4" t="s">
        <v>19</v>
      </c>
      <c r="M64" s="4" t="s">
        <v>20</v>
      </c>
      <c r="N64" s="4" t="s">
        <v>21</v>
      </c>
      <c r="O64" s="4" t="s">
        <v>22</v>
      </c>
      <c r="P64" s="4" t="s">
        <v>23</v>
      </c>
      <c r="Q64" s="4" t="s">
        <v>24</v>
      </c>
      <c r="R64" s="4" t="s">
        <v>25</v>
      </c>
    </row>
    <row r="65" spans="1:18" ht="15" customHeight="1" x14ac:dyDescent="0.3">
      <c r="A65" s="7" t="s">
        <v>38</v>
      </c>
      <c r="B65" s="7" t="s">
        <v>39</v>
      </c>
      <c r="C65" s="7">
        <v>0.9375</v>
      </c>
      <c r="D65" s="7" t="s">
        <v>40</v>
      </c>
      <c r="E65" s="7" t="s">
        <v>41</v>
      </c>
      <c r="F65" s="7" t="s">
        <v>42</v>
      </c>
      <c r="G65" s="116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16" t="s">
        <v>38</v>
      </c>
      <c r="B66" s="16" t="s">
        <v>39</v>
      </c>
      <c r="C66" s="16">
        <v>0.9375</v>
      </c>
      <c r="D66" s="16" t="s">
        <v>43</v>
      </c>
      <c r="E66" s="16" t="s">
        <v>44</v>
      </c>
      <c r="F66" s="16" t="s">
        <v>45</v>
      </c>
      <c r="G66" s="116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15" customHeight="1" x14ac:dyDescent="0.3">
      <c r="A67" s="11" t="s">
        <v>26</v>
      </c>
      <c r="B67" s="11" t="s">
        <v>27</v>
      </c>
      <c r="C67" s="11">
        <v>0.625</v>
      </c>
      <c r="D67" s="11" t="s">
        <v>28</v>
      </c>
      <c r="E67" s="11" t="s">
        <v>29</v>
      </c>
      <c r="F67" s="11" t="s">
        <v>30</v>
      </c>
      <c r="G67" s="116"/>
      <c r="H67" s="8"/>
      <c r="I67" s="9"/>
      <c r="J67" s="9"/>
      <c r="K67" s="9"/>
      <c r="L67" s="9"/>
      <c r="M67" s="9"/>
      <c r="N67" s="9"/>
      <c r="O67" s="9"/>
      <c r="P67" s="9"/>
      <c r="Q67" s="9"/>
      <c r="R67" s="10"/>
    </row>
    <row r="68" spans="1:18" ht="15" customHeight="1" x14ac:dyDescent="0.3">
      <c r="A68" s="11" t="s">
        <v>31</v>
      </c>
      <c r="B68" s="11" t="s">
        <v>32</v>
      </c>
      <c r="C68" s="11">
        <v>0.65625</v>
      </c>
      <c r="D68" s="11" t="s">
        <v>28</v>
      </c>
      <c r="E68" s="11" t="s">
        <v>68</v>
      </c>
      <c r="F68" s="11" t="s">
        <v>30</v>
      </c>
      <c r="G68" s="116"/>
      <c r="H68" s="8"/>
      <c r="I68" s="9"/>
      <c r="J68" s="9"/>
      <c r="K68" s="9"/>
      <c r="L68" s="9"/>
      <c r="M68" s="9"/>
      <c r="N68" s="9"/>
      <c r="O68" s="9"/>
      <c r="P68" s="9"/>
      <c r="Q68" s="9"/>
      <c r="R68" s="10"/>
    </row>
    <row r="69" spans="1:18" ht="15" customHeight="1" x14ac:dyDescent="0.3">
      <c r="A69" s="35" t="s">
        <v>52</v>
      </c>
      <c r="B69" s="35" t="s">
        <v>53</v>
      </c>
      <c r="C69" s="35">
        <v>0.79861111111111116</v>
      </c>
      <c r="D69" s="35" t="s">
        <v>28</v>
      </c>
      <c r="E69" s="35" t="s">
        <v>29</v>
      </c>
      <c r="F69" s="35" t="s">
        <v>54</v>
      </c>
      <c r="G69" s="116"/>
      <c r="H69" s="36" t="s">
        <v>55</v>
      </c>
      <c r="I69" s="37">
        <v>0.40479999999999999</v>
      </c>
      <c r="J69" s="38">
        <v>68</v>
      </c>
      <c r="K69" s="39" t="s">
        <v>56</v>
      </c>
      <c r="L69" s="38">
        <v>15</v>
      </c>
      <c r="M69" s="38">
        <v>2</v>
      </c>
      <c r="N69" s="38">
        <v>4</v>
      </c>
      <c r="O69" s="39" t="s">
        <v>57</v>
      </c>
      <c r="P69" s="39">
        <v>0.79861111111111116</v>
      </c>
      <c r="Q69" s="38">
        <v>168</v>
      </c>
      <c r="R69" s="40" t="s">
        <v>69</v>
      </c>
    </row>
    <row r="70" spans="1:18" ht="15" customHeight="1" x14ac:dyDescent="0.3">
      <c r="A70" s="12" t="s">
        <v>34</v>
      </c>
      <c r="B70" s="12" t="s">
        <v>35</v>
      </c>
      <c r="C70" s="12">
        <v>3.125E-2</v>
      </c>
      <c r="D70" s="12" t="s">
        <v>36</v>
      </c>
      <c r="E70" s="12" t="s">
        <v>29</v>
      </c>
      <c r="F70" s="12" t="s">
        <v>70</v>
      </c>
      <c r="G70" s="116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5"/>
    </row>
    <row r="71" spans="1:18" ht="17.399999999999999" customHeight="1" x14ac:dyDescent="0.3">
      <c r="A71" s="141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3"/>
    </row>
    <row r="72" spans="1:18" ht="22.05" customHeight="1" x14ac:dyDescent="0.3">
      <c r="A72" s="112" t="s">
        <v>6</v>
      </c>
      <c r="B72" s="113"/>
      <c r="C72" s="113"/>
      <c r="D72" s="113"/>
      <c r="E72" s="113"/>
      <c r="F72" s="114"/>
      <c r="G72" s="3">
        <v>45996</v>
      </c>
      <c r="H72" s="112" t="s">
        <v>7</v>
      </c>
      <c r="I72" s="113"/>
      <c r="J72" s="113"/>
      <c r="K72" s="113"/>
      <c r="L72" s="113"/>
      <c r="M72" s="113"/>
      <c r="N72" s="113"/>
      <c r="O72" s="113"/>
      <c r="P72" s="113"/>
      <c r="Q72" s="113"/>
      <c r="R72" s="114"/>
    </row>
    <row r="73" spans="1:18" ht="24" customHeight="1" x14ac:dyDescent="0.3">
      <c r="A73" s="4" t="s">
        <v>8</v>
      </c>
      <c r="B73" s="4" t="s">
        <v>9</v>
      </c>
      <c r="C73" s="4" t="s">
        <v>10</v>
      </c>
      <c r="D73" s="4" t="s">
        <v>11</v>
      </c>
      <c r="E73" s="4" t="s">
        <v>12</v>
      </c>
      <c r="F73" s="5" t="s">
        <v>13</v>
      </c>
      <c r="G73" s="6" t="s">
        <v>14</v>
      </c>
      <c r="H73" s="4" t="s">
        <v>15</v>
      </c>
      <c r="I73" s="4" t="s">
        <v>16</v>
      </c>
      <c r="J73" s="4" t="s">
        <v>17</v>
      </c>
      <c r="K73" s="4" t="s">
        <v>18</v>
      </c>
      <c r="L73" s="4" t="s">
        <v>19</v>
      </c>
      <c r="M73" s="4" t="s">
        <v>20</v>
      </c>
      <c r="N73" s="4" t="s">
        <v>21</v>
      </c>
      <c r="O73" s="4" t="s">
        <v>22</v>
      </c>
      <c r="P73" s="4" t="s">
        <v>23</v>
      </c>
      <c r="Q73" s="4" t="s">
        <v>24</v>
      </c>
      <c r="R73" s="4" t="s">
        <v>25</v>
      </c>
    </row>
    <row r="74" spans="1:18" ht="49.95" customHeight="1" x14ac:dyDescent="0.3">
      <c r="A74" s="7" t="s">
        <v>31</v>
      </c>
      <c r="B74" s="7" t="s">
        <v>32</v>
      </c>
      <c r="C74" s="7">
        <v>0.65625</v>
      </c>
      <c r="D74" s="7" t="s">
        <v>28</v>
      </c>
      <c r="E74" s="7" t="s">
        <v>71</v>
      </c>
      <c r="F74" s="7" t="s">
        <v>30</v>
      </c>
      <c r="G74" s="116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49.95" customHeight="1" x14ac:dyDescent="0.3">
      <c r="A75" s="12" t="s">
        <v>34</v>
      </c>
      <c r="B75" s="12" t="s">
        <v>35</v>
      </c>
      <c r="C75" s="12">
        <v>3.125E-2</v>
      </c>
      <c r="D75" s="12" t="s">
        <v>36</v>
      </c>
      <c r="E75" s="12" t="s">
        <v>29</v>
      </c>
      <c r="F75" s="12" t="s">
        <v>70</v>
      </c>
      <c r="G75" s="116"/>
      <c r="H75" s="13"/>
      <c r="I75" s="14"/>
      <c r="J75" s="14"/>
      <c r="K75" s="14"/>
      <c r="L75" s="14"/>
      <c r="M75" s="14"/>
      <c r="N75" s="14"/>
      <c r="O75" s="14"/>
      <c r="P75" s="14"/>
      <c r="Q75" s="14"/>
      <c r="R75" s="15"/>
    </row>
    <row r="76" spans="1:18" ht="17.399999999999999" customHeight="1" x14ac:dyDescent="0.3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3"/>
    </row>
    <row r="77" spans="1:18" ht="22.05" customHeight="1" x14ac:dyDescent="0.3">
      <c r="A77" s="112" t="s">
        <v>6</v>
      </c>
      <c r="B77" s="113"/>
      <c r="C77" s="113"/>
      <c r="D77" s="113"/>
      <c r="E77" s="113"/>
      <c r="F77" s="114"/>
      <c r="G77" s="3">
        <v>45997</v>
      </c>
      <c r="H77" s="112" t="s">
        <v>7</v>
      </c>
      <c r="I77" s="113"/>
      <c r="J77" s="113"/>
      <c r="K77" s="113"/>
      <c r="L77" s="113"/>
      <c r="M77" s="113"/>
      <c r="N77" s="113"/>
      <c r="O77" s="113"/>
      <c r="P77" s="113"/>
      <c r="Q77" s="113"/>
      <c r="R77" s="114"/>
    </row>
    <row r="78" spans="1:18" ht="24" customHeight="1" x14ac:dyDescent="0.3">
      <c r="A78" s="4" t="s">
        <v>8</v>
      </c>
      <c r="B78" s="4" t="s">
        <v>9</v>
      </c>
      <c r="C78" s="4" t="s">
        <v>10</v>
      </c>
      <c r="D78" s="4" t="s">
        <v>11</v>
      </c>
      <c r="E78" s="4" t="s">
        <v>12</v>
      </c>
      <c r="F78" s="5" t="s">
        <v>13</v>
      </c>
      <c r="G78" s="6" t="s">
        <v>14</v>
      </c>
      <c r="H78" s="4" t="s">
        <v>15</v>
      </c>
      <c r="I78" s="4" t="s">
        <v>16</v>
      </c>
      <c r="J78" s="4" t="s">
        <v>17</v>
      </c>
      <c r="K78" s="4" t="s">
        <v>18</v>
      </c>
      <c r="L78" s="4" t="s">
        <v>19</v>
      </c>
      <c r="M78" s="4" t="s">
        <v>20</v>
      </c>
      <c r="N78" s="4" t="s">
        <v>21</v>
      </c>
      <c r="O78" s="4" t="s">
        <v>22</v>
      </c>
      <c r="P78" s="4" t="s">
        <v>23</v>
      </c>
      <c r="Q78" s="4" t="s">
        <v>24</v>
      </c>
      <c r="R78" s="4" t="s">
        <v>25</v>
      </c>
    </row>
    <row r="79" spans="1:18" ht="15" customHeight="1" x14ac:dyDescent="0.3">
      <c r="A79" s="7" t="s">
        <v>38</v>
      </c>
      <c r="B79" s="7" t="s">
        <v>39</v>
      </c>
      <c r="C79" s="7">
        <v>0.9375</v>
      </c>
      <c r="D79" s="7" t="s">
        <v>40</v>
      </c>
      <c r="E79" s="7" t="s">
        <v>41</v>
      </c>
      <c r="F79" s="7" t="s">
        <v>72</v>
      </c>
      <c r="G79" s="116"/>
      <c r="H79" s="8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spans="1:18" ht="15" customHeight="1" x14ac:dyDescent="0.3">
      <c r="A80" s="16" t="s">
        <v>38</v>
      </c>
      <c r="B80" s="16" t="s">
        <v>39</v>
      </c>
      <c r="C80" s="16">
        <v>0.9375</v>
      </c>
      <c r="D80" s="16" t="s">
        <v>43</v>
      </c>
      <c r="E80" s="16" t="s">
        <v>44</v>
      </c>
      <c r="F80" s="16" t="s">
        <v>73</v>
      </c>
      <c r="G80" s="116"/>
      <c r="H80" s="8"/>
      <c r="I80" s="9"/>
      <c r="J80" s="9"/>
      <c r="K80" s="9"/>
      <c r="L80" s="9"/>
      <c r="M80" s="9"/>
      <c r="N80" s="9"/>
      <c r="O80" s="9"/>
      <c r="P80" s="9"/>
      <c r="Q80" s="9"/>
      <c r="R80" s="10"/>
    </row>
    <row r="81" spans="1:18" ht="15" customHeight="1" x14ac:dyDescent="0.3">
      <c r="A81" s="11" t="s">
        <v>26</v>
      </c>
      <c r="B81" s="11" t="s">
        <v>27</v>
      </c>
      <c r="C81" s="11">
        <v>0.60763888888888895</v>
      </c>
      <c r="D81" s="11" t="s">
        <v>28</v>
      </c>
      <c r="E81" s="11" t="s">
        <v>29</v>
      </c>
      <c r="F81" s="11" t="s">
        <v>30</v>
      </c>
      <c r="G81" s="116"/>
      <c r="H81" s="8"/>
      <c r="I81" s="9"/>
      <c r="J81" s="9"/>
      <c r="K81" s="9"/>
      <c r="L81" s="9"/>
      <c r="M81" s="9"/>
      <c r="N81" s="9"/>
      <c r="O81" s="9"/>
      <c r="P81" s="9"/>
      <c r="Q81" s="9"/>
      <c r="R81" s="10"/>
    </row>
    <row r="82" spans="1:18" ht="15" customHeight="1" x14ac:dyDescent="0.3">
      <c r="A82" s="11" t="s">
        <v>31</v>
      </c>
      <c r="B82" s="11" t="s">
        <v>62</v>
      </c>
      <c r="C82" s="11">
        <v>0.97916666666666663</v>
      </c>
      <c r="D82" s="11" t="s">
        <v>28</v>
      </c>
      <c r="E82" s="11" t="s">
        <v>68</v>
      </c>
      <c r="F82" s="11" t="s">
        <v>30</v>
      </c>
      <c r="G82" s="116"/>
      <c r="H82" s="8"/>
      <c r="I82" s="9"/>
      <c r="J82" s="9"/>
      <c r="K82" s="9"/>
      <c r="L82" s="9"/>
      <c r="M82" s="9"/>
      <c r="N82" s="9"/>
      <c r="O82" s="9"/>
      <c r="P82" s="9"/>
      <c r="Q82" s="9"/>
      <c r="R82" s="10"/>
    </row>
    <row r="83" spans="1:18" ht="15" customHeight="1" x14ac:dyDescent="0.3">
      <c r="A83" s="41" t="s">
        <v>52</v>
      </c>
      <c r="B83" s="41" t="s">
        <v>53</v>
      </c>
      <c r="C83" s="41">
        <v>6.9444444444444447E-4</v>
      </c>
      <c r="D83" s="41" t="s">
        <v>28</v>
      </c>
      <c r="E83" s="41" t="s">
        <v>29</v>
      </c>
      <c r="F83" s="41" t="s">
        <v>54</v>
      </c>
      <c r="G83" s="116"/>
      <c r="H83" s="42" t="s">
        <v>55</v>
      </c>
      <c r="I83" s="43">
        <v>0.13100000000000001</v>
      </c>
      <c r="J83" s="44">
        <v>22</v>
      </c>
      <c r="K83" s="45" t="s">
        <v>56</v>
      </c>
      <c r="L83" s="44">
        <v>8</v>
      </c>
      <c r="M83" s="44">
        <v>1</v>
      </c>
      <c r="N83" s="44">
        <v>0</v>
      </c>
      <c r="O83" s="45" t="s">
        <v>57</v>
      </c>
      <c r="P83" s="45">
        <v>6.9444444444444447E-4</v>
      </c>
      <c r="Q83" s="44">
        <v>168</v>
      </c>
      <c r="R83" s="46" t="s">
        <v>74</v>
      </c>
    </row>
    <row r="84" spans="1:18" ht="15" customHeight="1" x14ac:dyDescent="0.3">
      <c r="A84" s="12" t="s">
        <v>34</v>
      </c>
      <c r="B84" s="12" t="s">
        <v>35</v>
      </c>
      <c r="C84" s="12">
        <v>3.125E-2</v>
      </c>
      <c r="D84" s="12" t="s">
        <v>36</v>
      </c>
      <c r="E84" s="12" t="s">
        <v>29</v>
      </c>
      <c r="F84" s="12" t="s">
        <v>70</v>
      </c>
      <c r="G84" s="116"/>
      <c r="H84" s="13"/>
      <c r="I84" s="14"/>
      <c r="J84" s="14"/>
      <c r="K84" s="14"/>
      <c r="L84" s="14"/>
      <c r="M84" s="14"/>
      <c r="N84" s="14"/>
      <c r="O84" s="14"/>
      <c r="P84" s="14"/>
      <c r="Q84" s="14"/>
      <c r="R84" s="15"/>
    </row>
    <row r="85" spans="1:18" ht="17.399999999999999" customHeight="1" x14ac:dyDescent="0.3">
      <c r="A85" s="141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3"/>
    </row>
    <row r="86" spans="1:18" ht="22.05" customHeight="1" x14ac:dyDescent="0.3">
      <c r="A86" s="112" t="s">
        <v>6</v>
      </c>
      <c r="B86" s="113"/>
      <c r="C86" s="113"/>
      <c r="D86" s="113"/>
      <c r="E86" s="113"/>
      <c r="F86" s="114"/>
      <c r="G86" s="3">
        <v>45998</v>
      </c>
      <c r="H86" s="112" t="s">
        <v>7</v>
      </c>
      <c r="I86" s="113"/>
      <c r="J86" s="113"/>
      <c r="K86" s="113"/>
      <c r="L86" s="113"/>
      <c r="M86" s="113"/>
      <c r="N86" s="113"/>
      <c r="O86" s="113"/>
      <c r="P86" s="113"/>
      <c r="Q86" s="113"/>
      <c r="R86" s="114"/>
    </row>
    <row r="87" spans="1:18" ht="24" customHeight="1" x14ac:dyDescent="0.3">
      <c r="A87" s="4" t="s">
        <v>8</v>
      </c>
      <c r="B87" s="4" t="s">
        <v>9</v>
      </c>
      <c r="C87" s="4" t="s">
        <v>10</v>
      </c>
      <c r="D87" s="4" t="s">
        <v>11</v>
      </c>
      <c r="E87" s="4" t="s">
        <v>12</v>
      </c>
      <c r="F87" s="5" t="s">
        <v>13</v>
      </c>
      <c r="G87" s="6" t="s">
        <v>14</v>
      </c>
      <c r="H87" s="4" t="s">
        <v>15</v>
      </c>
      <c r="I87" s="4" t="s">
        <v>16</v>
      </c>
      <c r="J87" s="4" t="s">
        <v>17</v>
      </c>
      <c r="K87" s="4" t="s">
        <v>18</v>
      </c>
      <c r="L87" s="4" t="s">
        <v>19</v>
      </c>
      <c r="M87" s="4" t="s">
        <v>20</v>
      </c>
      <c r="N87" s="4" t="s">
        <v>21</v>
      </c>
      <c r="O87" s="4" t="s">
        <v>22</v>
      </c>
      <c r="P87" s="4" t="s">
        <v>23</v>
      </c>
      <c r="Q87" s="4" t="s">
        <v>24</v>
      </c>
      <c r="R87" s="4" t="s">
        <v>25</v>
      </c>
    </row>
    <row r="88" spans="1:18" ht="49.95" customHeight="1" x14ac:dyDescent="0.3">
      <c r="A88" s="7" t="s">
        <v>31</v>
      </c>
      <c r="B88" s="7" t="s">
        <v>32</v>
      </c>
      <c r="C88" s="7">
        <v>0.65625</v>
      </c>
      <c r="D88" s="7" t="s">
        <v>28</v>
      </c>
      <c r="E88" s="7" t="s">
        <v>68</v>
      </c>
      <c r="F88" s="7" t="s">
        <v>30</v>
      </c>
      <c r="G88" s="116"/>
      <c r="H88" s="8"/>
      <c r="I88" s="9"/>
      <c r="J88" s="9"/>
      <c r="K88" s="9"/>
      <c r="L88" s="9"/>
      <c r="M88" s="9"/>
      <c r="N88" s="9"/>
      <c r="O88" s="9"/>
      <c r="P88" s="9"/>
      <c r="Q88" s="9"/>
      <c r="R88" s="10"/>
    </row>
    <row r="89" spans="1:18" ht="49.95" customHeight="1" x14ac:dyDescent="0.3">
      <c r="A89" s="47" t="s">
        <v>52</v>
      </c>
      <c r="B89" s="47" t="s">
        <v>53</v>
      </c>
      <c r="C89" s="47">
        <v>0.79861111111111116</v>
      </c>
      <c r="D89" s="47" t="s">
        <v>28</v>
      </c>
      <c r="E89" s="47" t="s">
        <v>29</v>
      </c>
      <c r="F89" s="47" t="s">
        <v>54</v>
      </c>
      <c r="G89" s="116"/>
      <c r="H89" s="48" t="s">
        <v>55</v>
      </c>
      <c r="I89" s="49">
        <v>0.25600000000000001</v>
      </c>
      <c r="J89" s="50">
        <v>43</v>
      </c>
      <c r="K89" s="51" t="s">
        <v>63</v>
      </c>
      <c r="L89" s="50">
        <v>9</v>
      </c>
      <c r="M89" s="50">
        <v>0</v>
      </c>
      <c r="N89" s="50">
        <v>5</v>
      </c>
      <c r="O89" s="51" t="s">
        <v>57</v>
      </c>
      <c r="P89" s="51">
        <v>0.79861111111111116</v>
      </c>
      <c r="Q89" s="50">
        <v>168</v>
      </c>
      <c r="R89" s="52" t="s">
        <v>75</v>
      </c>
    </row>
    <row r="90" spans="1:18" ht="49.95" customHeight="1" x14ac:dyDescent="0.3">
      <c r="A90" s="12" t="s">
        <v>34</v>
      </c>
      <c r="B90" s="12" t="s">
        <v>35</v>
      </c>
      <c r="C90" s="12">
        <v>3.125E-2</v>
      </c>
      <c r="D90" s="12" t="s">
        <v>36</v>
      </c>
      <c r="E90" s="12" t="s">
        <v>29</v>
      </c>
      <c r="F90" s="12" t="s">
        <v>70</v>
      </c>
      <c r="G90" s="116"/>
      <c r="H90" s="13"/>
      <c r="I90" s="14"/>
      <c r="J90" s="14"/>
      <c r="K90" s="14"/>
      <c r="L90" s="14"/>
      <c r="M90" s="14"/>
      <c r="N90" s="14"/>
      <c r="O90" s="14"/>
      <c r="P90" s="14"/>
      <c r="Q90" s="14"/>
      <c r="R90" s="15"/>
    </row>
    <row r="91" spans="1:18" ht="17.399999999999999" customHeight="1" x14ac:dyDescent="0.3">
      <c r="A91" s="141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3"/>
    </row>
    <row r="92" spans="1:18" ht="22.05" customHeight="1" x14ac:dyDescent="0.3">
      <c r="A92" s="112" t="s">
        <v>6</v>
      </c>
      <c r="B92" s="113"/>
      <c r="C92" s="113"/>
      <c r="D92" s="113"/>
      <c r="E92" s="113"/>
      <c r="F92" s="114"/>
      <c r="G92" s="3">
        <v>45999</v>
      </c>
      <c r="H92" s="112" t="s">
        <v>7</v>
      </c>
      <c r="I92" s="113"/>
      <c r="J92" s="113"/>
      <c r="K92" s="113"/>
      <c r="L92" s="113"/>
      <c r="M92" s="113"/>
      <c r="N92" s="113"/>
      <c r="O92" s="113"/>
      <c r="P92" s="113"/>
      <c r="Q92" s="113"/>
      <c r="R92" s="114"/>
    </row>
    <row r="93" spans="1:18" ht="24" customHeight="1" x14ac:dyDescent="0.3">
      <c r="A93" s="4" t="s">
        <v>8</v>
      </c>
      <c r="B93" s="4" t="s">
        <v>9</v>
      </c>
      <c r="C93" s="4" t="s">
        <v>10</v>
      </c>
      <c r="D93" s="4" t="s">
        <v>11</v>
      </c>
      <c r="E93" s="4" t="s">
        <v>12</v>
      </c>
      <c r="F93" s="5" t="s">
        <v>13</v>
      </c>
      <c r="G93" s="6" t="s">
        <v>14</v>
      </c>
      <c r="H93" s="4" t="s">
        <v>15</v>
      </c>
      <c r="I93" s="4" t="s">
        <v>16</v>
      </c>
      <c r="J93" s="4" t="s">
        <v>17</v>
      </c>
      <c r="K93" s="4" t="s">
        <v>18</v>
      </c>
      <c r="L93" s="4" t="s">
        <v>19</v>
      </c>
      <c r="M93" s="4" t="s">
        <v>20</v>
      </c>
      <c r="N93" s="4" t="s">
        <v>21</v>
      </c>
      <c r="O93" s="4" t="s">
        <v>22</v>
      </c>
      <c r="P93" s="4" t="s">
        <v>23</v>
      </c>
      <c r="Q93" s="4" t="s">
        <v>24</v>
      </c>
      <c r="R93" s="4" t="s">
        <v>25</v>
      </c>
    </row>
    <row r="94" spans="1:18" ht="49.95" customHeight="1" x14ac:dyDescent="0.3">
      <c r="A94" s="53" t="s">
        <v>31</v>
      </c>
      <c r="B94" s="53" t="s">
        <v>32</v>
      </c>
      <c r="C94" s="53">
        <v>0.65625</v>
      </c>
      <c r="D94" s="53" t="s">
        <v>28</v>
      </c>
      <c r="E94" s="53" t="s">
        <v>47</v>
      </c>
      <c r="F94" s="53" t="s">
        <v>30</v>
      </c>
      <c r="G94" s="116"/>
      <c r="H94" s="13"/>
      <c r="I94" s="14"/>
      <c r="J94" s="14"/>
      <c r="K94" s="14"/>
      <c r="L94" s="14"/>
      <c r="M94" s="14"/>
      <c r="N94" s="14"/>
      <c r="O94" s="14"/>
      <c r="P94" s="14"/>
      <c r="Q94" s="14"/>
      <c r="R94" s="15"/>
    </row>
    <row r="95" spans="1:18" ht="17.399999999999999" customHeight="1" x14ac:dyDescent="0.3">
      <c r="A95" s="141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3"/>
    </row>
    <row r="96" spans="1:18" ht="22.05" customHeight="1" x14ac:dyDescent="0.3">
      <c r="A96" s="112" t="s">
        <v>6</v>
      </c>
      <c r="B96" s="113"/>
      <c r="C96" s="113"/>
      <c r="D96" s="113"/>
      <c r="E96" s="113"/>
      <c r="F96" s="114"/>
      <c r="G96" s="3">
        <v>46000</v>
      </c>
      <c r="H96" s="112" t="s">
        <v>7</v>
      </c>
      <c r="I96" s="113"/>
      <c r="J96" s="113"/>
      <c r="K96" s="113"/>
      <c r="L96" s="113"/>
      <c r="M96" s="113"/>
      <c r="N96" s="113"/>
      <c r="O96" s="113"/>
      <c r="P96" s="113"/>
      <c r="Q96" s="113"/>
      <c r="R96" s="114"/>
    </row>
    <row r="97" spans="1:18" ht="24" customHeight="1" x14ac:dyDescent="0.3">
      <c r="A97" s="4" t="s">
        <v>8</v>
      </c>
      <c r="B97" s="4" t="s">
        <v>9</v>
      </c>
      <c r="C97" s="4" t="s">
        <v>10</v>
      </c>
      <c r="D97" s="4" t="s">
        <v>11</v>
      </c>
      <c r="E97" s="4" t="s">
        <v>12</v>
      </c>
      <c r="F97" s="5" t="s">
        <v>13</v>
      </c>
      <c r="G97" s="6" t="s">
        <v>14</v>
      </c>
      <c r="H97" s="4" t="s">
        <v>15</v>
      </c>
      <c r="I97" s="4" t="s">
        <v>16</v>
      </c>
      <c r="J97" s="4" t="s">
        <v>17</v>
      </c>
      <c r="K97" s="4" t="s">
        <v>18</v>
      </c>
      <c r="L97" s="4" t="s">
        <v>19</v>
      </c>
      <c r="M97" s="4" t="s">
        <v>20</v>
      </c>
      <c r="N97" s="4" t="s">
        <v>21</v>
      </c>
      <c r="O97" s="4" t="s">
        <v>22</v>
      </c>
      <c r="P97" s="4" t="s">
        <v>23</v>
      </c>
      <c r="Q97" s="4" t="s">
        <v>24</v>
      </c>
      <c r="R97" s="4" t="s">
        <v>25</v>
      </c>
    </row>
    <row r="98" spans="1:18" ht="49.95" customHeight="1" x14ac:dyDescent="0.3">
      <c r="A98" s="7" t="s">
        <v>34</v>
      </c>
      <c r="B98" s="7" t="s">
        <v>35</v>
      </c>
      <c r="C98" s="7">
        <v>3.125E-2</v>
      </c>
      <c r="D98" s="7" t="s">
        <v>60</v>
      </c>
      <c r="E98" s="7" t="s">
        <v>29</v>
      </c>
      <c r="F98" s="7" t="s">
        <v>61</v>
      </c>
      <c r="G98" s="116"/>
      <c r="H98" s="8"/>
      <c r="I98" s="9"/>
      <c r="J98" s="9"/>
      <c r="K98" s="9"/>
      <c r="L98" s="9"/>
      <c r="M98" s="9"/>
      <c r="N98" s="9"/>
      <c r="O98" s="9"/>
      <c r="P98" s="9"/>
      <c r="Q98" s="9"/>
      <c r="R98" s="10"/>
    </row>
    <row r="99" spans="1:18" ht="49.95" customHeight="1" x14ac:dyDescent="0.3">
      <c r="A99" s="11" t="s">
        <v>26</v>
      </c>
      <c r="B99" s="11" t="s">
        <v>27</v>
      </c>
      <c r="C99" s="11">
        <v>0.60763888888888895</v>
      </c>
      <c r="D99" s="11" t="s">
        <v>28</v>
      </c>
      <c r="E99" s="11" t="s">
        <v>29</v>
      </c>
      <c r="F99" s="11" t="s">
        <v>30</v>
      </c>
      <c r="G99" s="116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49.95" customHeight="1" x14ac:dyDescent="0.3">
      <c r="A100" s="12" t="s">
        <v>31</v>
      </c>
      <c r="B100" s="12" t="s">
        <v>32</v>
      </c>
      <c r="C100" s="12">
        <v>0.65625</v>
      </c>
      <c r="D100" s="12" t="s">
        <v>28</v>
      </c>
      <c r="E100" s="12" t="s">
        <v>65</v>
      </c>
      <c r="F100" s="12" t="s">
        <v>30</v>
      </c>
      <c r="G100" s="116"/>
      <c r="H100" s="13"/>
      <c r="I100" s="14"/>
      <c r="J100" s="14"/>
      <c r="K100" s="14"/>
      <c r="L100" s="14"/>
      <c r="M100" s="14"/>
      <c r="N100" s="14"/>
      <c r="O100" s="14"/>
      <c r="P100" s="14"/>
      <c r="Q100" s="14"/>
      <c r="R100" s="15"/>
    </row>
    <row r="101" spans="1:18" ht="17.399999999999999" customHeight="1" x14ac:dyDescent="0.3">
      <c r="A101" s="141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3"/>
    </row>
    <row r="102" spans="1:18" ht="22.05" customHeight="1" x14ac:dyDescent="0.3">
      <c r="A102" s="112" t="s">
        <v>6</v>
      </c>
      <c r="B102" s="113"/>
      <c r="C102" s="113"/>
      <c r="D102" s="113"/>
      <c r="E102" s="113"/>
      <c r="F102" s="114"/>
      <c r="G102" s="3">
        <v>46001</v>
      </c>
      <c r="H102" s="112" t="s">
        <v>7</v>
      </c>
      <c r="I102" s="113"/>
      <c r="J102" s="113"/>
      <c r="K102" s="113"/>
      <c r="L102" s="113"/>
      <c r="M102" s="113"/>
      <c r="N102" s="113"/>
      <c r="O102" s="113"/>
      <c r="P102" s="113"/>
      <c r="Q102" s="113"/>
      <c r="R102" s="114"/>
    </row>
    <row r="103" spans="1:18" ht="24" customHeight="1" x14ac:dyDescent="0.3">
      <c r="A103" s="4" t="s">
        <v>8</v>
      </c>
      <c r="B103" s="4" t="s">
        <v>9</v>
      </c>
      <c r="C103" s="4" t="s">
        <v>10</v>
      </c>
      <c r="D103" s="4" t="s">
        <v>11</v>
      </c>
      <c r="E103" s="4" t="s">
        <v>12</v>
      </c>
      <c r="F103" s="5" t="s">
        <v>13</v>
      </c>
      <c r="G103" s="6" t="s">
        <v>14</v>
      </c>
      <c r="H103" s="4" t="s">
        <v>15</v>
      </c>
      <c r="I103" s="4" t="s">
        <v>16</v>
      </c>
      <c r="J103" s="4" t="s">
        <v>17</v>
      </c>
      <c r="K103" s="4" t="s">
        <v>18</v>
      </c>
      <c r="L103" s="4" t="s">
        <v>19</v>
      </c>
      <c r="M103" s="4" t="s">
        <v>20</v>
      </c>
      <c r="N103" s="4" t="s">
        <v>21</v>
      </c>
      <c r="O103" s="4" t="s">
        <v>22</v>
      </c>
      <c r="P103" s="4" t="s">
        <v>23</v>
      </c>
      <c r="Q103" s="4" t="s">
        <v>24</v>
      </c>
      <c r="R103" s="4" t="s">
        <v>25</v>
      </c>
    </row>
    <row r="104" spans="1:18" ht="49.95" customHeight="1" x14ac:dyDescent="0.3">
      <c r="A104" s="53" t="s">
        <v>31</v>
      </c>
      <c r="B104" s="53" t="s">
        <v>32</v>
      </c>
      <c r="C104" s="53">
        <v>0.65625</v>
      </c>
      <c r="D104" s="53" t="s">
        <v>28</v>
      </c>
      <c r="E104" s="53" t="s">
        <v>68</v>
      </c>
      <c r="F104" s="53" t="s">
        <v>76</v>
      </c>
      <c r="G104" s="116"/>
      <c r="H104" s="13"/>
      <c r="I104" s="14"/>
      <c r="J104" s="14"/>
      <c r="K104" s="14"/>
      <c r="L104" s="14"/>
      <c r="M104" s="14"/>
      <c r="N104" s="14"/>
      <c r="O104" s="14"/>
      <c r="P104" s="14"/>
      <c r="Q104" s="14"/>
      <c r="R104" s="15"/>
    </row>
  </sheetData>
  <mergeCells count="70">
    <mergeCell ref="G104"/>
    <mergeCell ref="G40:G43"/>
    <mergeCell ref="G98:G100"/>
    <mergeCell ref="A51:F51"/>
    <mergeCell ref="G79:G84"/>
    <mergeCell ref="G53:G55"/>
    <mergeCell ref="H96:R96"/>
    <mergeCell ref="H77:R77"/>
    <mergeCell ref="H86:R86"/>
    <mergeCell ref="N1:R1"/>
    <mergeCell ref="A38:F38"/>
    <mergeCell ref="A62:R62"/>
    <mergeCell ref="A63:F63"/>
    <mergeCell ref="A10:F10"/>
    <mergeCell ref="H17:R17"/>
    <mergeCell ref="H45:R45"/>
    <mergeCell ref="K2:R2"/>
    <mergeCell ref="A44:R44"/>
    <mergeCell ref="H32:R32"/>
    <mergeCell ref="A9:R9"/>
    <mergeCell ref="H57:R57"/>
    <mergeCell ref="A31:R31"/>
    <mergeCell ref="A45:F45"/>
    <mergeCell ref="G34:G36"/>
    <mergeCell ref="G28:G30"/>
    <mergeCell ref="G2:J2"/>
    <mergeCell ref="A17:F17"/>
    <mergeCell ref="A4:F4"/>
    <mergeCell ref="G19:G24"/>
    <mergeCell ref="H51:R51"/>
    <mergeCell ref="G12:G15"/>
    <mergeCell ref="G6:G8"/>
    <mergeCell ref="A101:R101"/>
    <mergeCell ref="H102:R102"/>
    <mergeCell ref="A95:R95"/>
    <mergeCell ref="A71:R71"/>
    <mergeCell ref="G47:G49"/>
    <mergeCell ref="G74:G75"/>
    <mergeCell ref="A76:R76"/>
    <mergeCell ref="A85:R85"/>
    <mergeCell ref="A96:F96"/>
    <mergeCell ref="A72:F72"/>
    <mergeCell ref="A91:R91"/>
    <mergeCell ref="G65:G70"/>
    <mergeCell ref="A102:F102"/>
    <mergeCell ref="H72:R72"/>
    <mergeCell ref="A77:F77"/>
    <mergeCell ref="A92:F92"/>
    <mergeCell ref="H1:L1"/>
    <mergeCell ref="A1:E1"/>
    <mergeCell ref="G94"/>
    <mergeCell ref="H63:R63"/>
    <mergeCell ref="A37:R37"/>
    <mergeCell ref="H10:R10"/>
    <mergeCell ref="A26:F26"/>
    <mergeCell ref="H4:R4"/>
    <mergeCell ref="G59:G61"/>
    <mergeCell ref="A86:F86"/>
    <mergeCell ref="A56:R56"/>
    <mergeCell ref="A50:R50"/>
    <mergeCell ref="A57:F57"/>
    <mergeCell ref="A2:F2"/>
    <mergeCell ref="A3:R3"/>
    <mergeCell ref="G88:G90"/>
    <mergeCell ref="H92:R92"/>
    <mergeCell ref="H26:R26"/>
    <mergeCell ref="A25:R25"/>
    <mergeCell ref="A16:R16"/>
    <mergeCell ref="H38:R38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9.88671875" style="128" bestFit="1" customWidth="1"/>
    <col min="2" max="2" width="10.44140625" style="128" bestFit="1" customWidth="1"/>
    <col min="3" max="3" width="6.77734375" style="128" bestFit="1" customWidth="1"/>
    <col min="4" max="4" width="5.5546875" style="128" bestFit="1" customWidth="1"/>
    <col min="5" max="5" width="7.88671875" style="128" bestFit="1" customWidth="1"/>
    <col min="6" max="6" width="4.21875" style="128" bestFit="1" customWidth="1"/>
    <col min="7" max="7" width="10" style="128" bestFit="1" customWidth="1"/>
    <col min="8" max="8" width="8.5546875" style="128" bestFit="1" customWidth="1"/>
    <col min="9" max="10" width="7" style="128" bestFit="1" customWidth="1"/>
    <col min="11" max="11" width="10.5546875" style="128" bestFit="1" customWidth="1"/>
    <col min="12" max="12" width="18.109375" style="128" bestFit="1" customWidth="1"/>
    <col min="13" max="13" width="7.6640625" style="128" bestFit="1" customWidth="1" outlineLevel="1"/>
    <col min="14" max="14" width="6.33203125" style="128" bestFit="1" customWidth="1" outlineLevel="1"/>
    <col min="15" max="15" width="8" style="128" bestFit="1" customWidth="1" outlineLevel="1"/>
    <col min="16" max="16" width="13.6640625" style="128" bestFit="1" customWidth="1"/>
    <col min="17" max="26" width="3.88671875" style="128" bestFit="1" customWidth="1"/>
    <col min="27" max="27" width="4" style="128" bestFit="1" customWidth="1"/>
    <col min="28" max="29" width="3.88671875" style="128" bestFit="1" customWidth="1"/>
    <col min="30" max="31" width="4.5546875" style="128" bestFit="1" customWidth="1"/>
    <col min="32" max="36" width="3.88671875" style="128" bestFit="1" customWidth="1"/>
    <col min="37" max="16384" width="8.88671875" style="128"/>
  </cols>
  <sheetData>
    <row r="1" spans="1:36" x14ac:dyDescent="0.3">
      <c r="A1" s="127" t="s">
        <v>77</v>
      </c>
      <c r="B1" s="127" t="s">
        <v>78</v>
      </c>
      <c r="C1" s="127" t="s">
        <v>79</v>
      </c>
      <c r="D1" s="127" t="s">
        <v>23</v>
      </c>
      <c r="E1" s="127" t="s">
        <v>80</v>
      </c>
      <c r="F1" s="127" t="s">
        <v>81</v>
      </c>
      <c r="G1" s="127" t="s">
        <v>16</v>
      </c>
      <c r="H1" s="127" t="s">
        <v>82</v>
      </c>
      <c r="I1" s="127" t="s">
        <v>83</v>
      </c>
      <c r="J1" s="127" t="s">
        <v>84</v>
      </c>
      <c r="K1" s="127" t="s">
        <v>85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86</v>
      </c>
      <c r="R1" s="127" t="s">
        <v>87</v>
      </c>
      <c r="S1" s="127" t="s">
        <v>88</v>
      </c>
      <c r="T1" s="127" t="s">
        <v>89</v>
      </c>
      <c r="U1" s="127" t="s">
        <v>90</v>
      </c>
      <c r="V1" s="127" t="s">
        <v>91</v>
      </c>
      <c r="W1" s="127" t="s">
        <v>92</v>
      </c>
      <c r="X1" s="127" t="s">
        <v>93</v>
      </c>
      <c r="Y1" s="127" t="s">
        <v>94</v>
      </c>
      <c r="Z1" s="127" t="s">
        <v>95</v>
      </c>
      <c r="AA1" s="127" t="s">
        <v>96</v>
      </c>
      <c r="AB1" s="127" t="s">
        <v>97</v>
      </c>
      <c r="AC1" s="127" t="s">
        <v>98</v>
      </c>
      <c r="AD1" s="127" t="s">
        <v>99</v>
      </c>
      <c r="AE1" s="127" t="s">
        <v>100</v>
      </c>
      <c r="AF1" s="127" t="s">
        <v>101</v>
      </c>
      <c r="AG1" s="127" t="s">
        <v>102</v>
      </c>
      <c r="AH1" s="127" t="s">
        <v>103</v>
      </c>
      <c r="AI1" s="127" t="s">
        <v>104</v>
      </c>
      <c r="AJ1" s="127" t="s">
        <v>105</v>
      </c>
    </row>
    <row r="2" spans="1:36" x14ac:dyDescent="0.3">
      <c r="A2" s="129" t="s">
        <v>106</v>
      </c>
      <c r="B2" s="130">
        <v>45988</v>
      </c>
      <c r="C2" s="131" t="s">
        <v>55</v>
      </c>
      <c r="D2" s="132" t="s">
        <v>107</v>
      </c>
      <c r="E2" s="131" t="s">
        <v>1</v>
      </c>
      <c r="F2" s="131" t="s">
        <v>108</v>
      </c>
      <c r="G2" s="133">
        <v>0.35120000000000001</v>
      </c>
      <c r="H2" s="134">
        <v>168</v>
      </c>
      <c r="I2" s="134">
        <v>59</v>
      </c>
      <c r="J2" s="134">
        <v>0</v>
      </c>
      <c r="K2" s="131" t="s">
        <v>109</v>
      </c>
      <c r="L2" s="135" t="s">
        <v>56</v>
      </c>
      <c r="M2" s="134">
        <v>2</v>
      </c>
      <c r="N2" s="134">
        <v>2</v>
      </c>
      <c r="O2" s="134">
        <v>25</v>
      </c>
      <c r="P2" s="131" t="s">
        <v>57</v>
      </c>
      <c r="Q2" s="127"/>
      <c r="R2" s="127"/>
      <c r="S2" s="127"/>
      <c r="T2" s="127"/>
      <c r="U2" s="127"/>
      <c r="V2" s="127"/>
      <c r="W2" s="127"/>
      <c r="X2" s="127"/>
      <c r="Y2" s="127"/>
      <c r="Z2" s="134" t="s">
        <v>110</v>
      </c>
      <c r="AA2" s="134" t="s">
        <v>111</v>
      </c>
      <c r="AB2" s="127"/>
      <c r="AC2" s="127"/>
      <c r="AD2" s="127"/>
      <c r="AE2" s="134" t="s">
        <v>112</v>
      </c>
      <c r="AF2" s="134" t="s">
        <v>113</v>
      </c>
      <c r="AG2" s="127"/>
      <c r="AH2" s="127"/>
      <c r="AI2" s="127"/>
      <c r="AJ2" s="127"/>
    </row>
    <row r="3" spans="1:36" x14ac:dyDescent="0.3">
      <c r="A3" s="129" t="s">
        <v>114</v>
      </c>
      <c r="B3" s="130">
        <v>45990</v>
      </c>
      <c r="C3" s="131" t="s">
        <v>55</v>
      </c>
      <c r="D3" s="132" t="s">
        <v>115</v>
      </c>
      <c r="E3" s="131" t="s">
        <v>1</v>
      </c>
      <c r="F3" s="131" t="s">
        <v>108</v>
      </c>
      <c r="G3" s="133">
        <v>0.1012</v>
      </c>
      <c r="H3" s="134">
        <v>168</v>
      </c>
      <c r="I3" s="134">
        <v>17</v>
      </c>
      <c r="J3" s="134">
        <v>0</v>
      </c>
      <c r="K3" s="131" t="s">
        <v>109</v>
      </c>
      <c r="L3" s="135" t="s">
        <v>63</v>
      </c>
      <c r="M3" s="134">
        <v>0</v>
      </c>
      <c r="N3" s="134">
        <v>1</v>
      </c>
      <c r="O3" s="134">
        <v>1</v>
      </c>
      <c r="P3" s="131" t="s">
        <v>57</v>
      </c>
      <c r="Q3" s="127"/>
      <c r="R3" s="127"/>
      <c r="S3" s="127"/>
      <c r="T3" s="127"/>
      <c r="U3" s="127"/>
      <c r="V3" s="127"/>
      <c r="W3" s="127"/>
      <c r="X3" s="127"/>
      <c r="Y3" s="127"/>
      <c r="Z3" s="134" t="s">
        <v>116</v>
      </c>
      <c r="AA3" s="134" t="s">
        <v>117</v>
      </c>
      <c r="AB3" s="127"/>
      <c r="AC3" s="127"/>
      <c r="AD3" s="127"/>
      <c r="AE3" s="134" t="s">
        <v>118</v>
      </c>
      <c r="AF3" s="127"/>
      <c r="AG3" s="127"/>
      <c r="AH3" s="127"/>
      <c r="AI3" s="127"/>
      <c r="AJ3" s="127"/>
    </row>
    <row r="4" spans="1:36" x14ac:dyDescent="0.3">
      <c r="A4" s="129" t="s">
        <v>119</v>
      </c>
      <c r="B4" s="130">
        <v>45991</v>
      </c>
      <c r="C4" s="131" t="s">
        <v>55</v>
      </c>
      <c r="D4" s="132" t="s">
        <v>107</v>
      </c>
      <c r="E4" s="131" t="s">
        <v>1</v>
      </c>
      <c r="F4" s="131" t="s">
        <v>108</v>
      </c>
      <c r="G4" s="133">
        <v>0.4405</v>
      </c>
      <c r="H4" s="134">
        <v>168</v>
      </c>
      <c r="I4" s="134">
        <v>74</v>
      </c>
      <c r="J4" s="134">
        <v>0</v>
      </c>
      <c r="K4" s="131" t="s">
        <v>109</v>
      </c>
      <c r="L4" s="135" t="s">
        <v>56</v>
      </c>
      <c r="M4" s="134">
        <v>1</v>
      </c>
      <c r="N4" s="134">
        <v>0</v>
      </c>
      <c r="O4" s="134">
        <v>19</v>
      </c>
      <c r="P4" s="131" t="s">
        <v>66</v>
      </c>
      <c r="Q4" s="127"/>
      <c r="R4" s="127"/>
      <c r="S4" s="127"/>
      <c r="T4" s="127"/>
      <c r="U4" s="127"/>
      <c r="V4" s="127"/>
      <c r="W4" s="127"/>
      <c r="X4" s="127"/>
      <c r="Y4" s="127"/>
      <c r="Z4" s="134" t="s">
        <v>120</v>
      </c>
      <c r="AA4" s="134" t="s">
        <v>117</v>
      </c>
      <c r="AB4" s="127"/>
      <c r="AC4" s="127"/>
      <c r="AD4" s="127"/>
      <c r="AE4" s="134" t="s">
        <v>121</v>
      </c>
      <c r="AF4" s="127"/>
      <c r="AG4" s="127"/>
      <c r="AH4" s="127"/>
      <c r="AI4" s="127"/>
      <c r="AJ4" s="127"/>
    </row>
    <row r="5" spans="1:36" x14ac:dyDescent="0.3">
      <c r="A5" s="129" t="s">
        <v>106</v>
      </c>
      <c r="B5" s="130">
        <v>45995</v>
      </c>
      <c r="C5" s="131" t="s">
        <v>55</v>
      </c>
      <c r="D5" s="132" t="s">
        <v>107</v>
      </c>
      <c r="E5" s="131" t="s">
        <v>1</v>
      </c>
      <c r="F5" s="131" t="s">
        <v>108</v>
      </c>
      <c r="G5" s="133">
        <v>0.40479999999999999</v>
      </c>
      <c r="H5" s="134">
        <v>168</v>
      </c>
      <c r="I5" s="134">
        <v>68</v>
      </c>
      <c r="J5" s="134">
        <v>0</v>
      </c>
      <c r="K5" s="131" t="s">
        <v>109</v>
      </c>
      <c r="L5" s="135" t="s">
        <v>56</v>
      </c>
      <c r="M5" s="134">
        <v>2</v>
      </c>
      <c r="N5" s="134">
        <v>4</v>
      </c>
      <c r="O5" s="134">
        <v>15</v>
      </c>
      <c r="P5" s="131" t="s">
        <v>57</v>
      </c>
      <c r="Q5" s="127"/>
      <c r="R5" s="127"/>
      <c r="S5" s="127"/>
      <c r="T5" s="127"/>
      <c r="U5" s="127"/>
      <c r="V5" s="127"/>
      <c r="W5" s="127"/>
      <c r="X5" s="127"/>
      <c r="Y5" s="127"/>
      <c r="Z5" s="134" t="s">
        <v>110</v>
      </c>
      <c r="AA5" s="127"/>
      <c r="AB5" s="134" t="s">
        <v>122</v>
      </c>
      <c r="AC5" s="134" t="s">
        <v>123</v>
      </c>
      <c r="AD5" s="134" t="s">
        <v>124</v>
      </c>
      <c r="AE5" s="134" t="s">
        <v>125</v>
      </c>
      <c r="AF5" s="127"/>
      <c r="AG5" s="127"/>
      <c r="AH5" s="127"/>
      <c r="AI5" s="127"/>
      <c r="AJ5" s="127"/>
    </row>
    <row r="6" spans="1:36" x14ac:dyDescent="0.3">
      <c r="A6" s="129" t="s">
        <v>114</v>
      </c>
      <c r="B6" s="130">
        <v>45997</v>
      </c>
      <c r="C6" s="131" t="s">
        <v>55</v>
      </c>
      <c r="D6" s="132" t="s">
        <v>115</v>
      </c>
      <c r="E6" s="131" t="s">
        <v>1</v>
      </c>
      <c r="F6" s="131" t="s">
        <v>108</v>
      </c>
      <c r="G6" s="133">
        <v>0.13100000000000001</v>
      </c>
      <c r="H6" s="134">
        <v>168</v>
      </c>
      <c r="I6" s="134">
        <v>22</v>
      </c>
      <c r="J6" s="134">
        <v>0</v>
      </c>
      <c r="K6" s="131" t="s">
        <v>109</v>
      </c>
      <c r="L6" s="135" t="s">
        <v>56</v>
      </c>
      <c r="M6" s="134">
        <v>1</v>
      </c>
      <c r="N6" s="134">
        <v>0</v>
      </c>
      <c r="O6" s="134">
        <v>8</v>
      </c>
      <c r="P6" s="131" t="s">
        <v>57</v>
      </c>
      <c r="Q6" s="127"/>
      <c r="R6" s="127"/>
      <c r="S6" s="127"/>
      <c r="T6" s="127"/>
      <c r="U6" s="127"/>
      <c r="V6" s="127"/>
      <c r="W6" s="127"/>
      <c r="X6" s="127"/>
      <c r="Y6" s="127"/>
      <c r="Z6" s="134" t="s">
        <v>116</v>
      </c>
      <c r="AA6" s="127"/>
      <c r="AB6" s="127"/>
      <c r="AC6" s="134" t="s">
        <v>126</v>
      </c>
      <c r="AD6" s="134" t="s">
        <v>127</v>
      </c>
      <c r="AE6" s="134" t="s">
        <v>112</v>
      </c>
      <c r="AF6" s="127"/>
      <c r="AG6" s="127"/>
      <c r="AH6" s="127"/>
      <c r="AI6" s="127"/>
      <c r="AJ6" s="127"/>
    </row>
    <row r="7" spans="1:36" x14ac:dyDescent="0.3">
      <c r="A7" s="129" t="s">
        <v>119</v>
      </c>
      <c r="B7" s="130">
        <v>45998</v>
      </c>
      <c r="C7" s="131" t="s">
        <v>55</v>
      </c>
      <c r="D7" s="132" t="s">
        <v>107</v>
      </c>
      <c r="E7" s="131" t="s">
        <v>1</v>
      </c>
      <c r="F7" s="131" t="s">
        <v>108</v>
      </c>
      <c r="G7" s="133">
        <v>0.25600000000000001</v>
      </c>
      <c r="H7" s="134">
        <v>168</v>
      </c>
      <c r="I7" s="134">
        <v>43</v>
      </c>
      <c r="J7" s="134">
        <v>0</v>
      </c>
      <c r="K7" s="131" t="s">
        <v>109</v>
      </c>
      <c r="L7" s="135" t="s">
        <v>63</v>
      </c>
      <c r="M7" s="134">
        <v>0</v>
      </c>
      <c r="N7" s="134">
        <v>5</v>
      </c>
      <c r="O7" s="134">
        <v>9</v>
      </c>
      <c r="P7" s="131" t="s">
        <v>57</v>
      </c>
      <c r="Q7" s="127"/>
      <c r="R7" s="127"/>
      <c r="S7" s="127"/>
      <c r="T7" s="127"/>
      <c r="U7" s="127"/>
      <c r="V7" s="127"/>
      <c r="W7" s="127"/>
      <c r="X7" s="127"/>
      <c r="Y7" s="127"/>
      <c r="Z7" s="134" t="s">
        <v>110</v>
      </c>
      <c r="AA7" s="127"/>
      <c r="AB7" s="127"/>
      <c r="AC7" s="127"/>
      <c r="AD7" s="134" t="s">
        <v>127</v>
      </c>
      <c r="AE7" s="134" t="s">
        <v>128</v>
      </c>
      <c r="AF7" s="127"/>
      <c r="AG7" s="127"/>
      <c r="AH7" s="127"/>
      <c r="AI7" s="127"/>
      <c r="AJ7" s="127"/>
    </row>
    <row r="8" spans="1:36" ht="21" x14ac:dyDescent="0.3">
      <c r="A8" s="136" t="s">
        <v>174</v>
      </c>
      <c r="B8" s="137"/>
      <c r="C8" s="136">
        <f>SUBTOTAL(103,ELQ_CAI_LF_LEGACY[Flt])</f>
        <v>6</v>
      </c>
      <c r="D8" s="136"/>
      <c r="E8" s="136">
        <f>SUBTOTAL(103,ELQ_CAI_LF_LEGACY[Brd-Off])</f>
        <v>6</v>
      </c>
      <c r="F8" s="136"/>
      <c r="G8" s="138">
        <f>SUBTOTAL(101,ELQ_CAI_LF_LEGACY[LF%])</f>
        <v>0.28078333333333333</v>
      </c>
      <c r="H8" s="139">
        <f>SUBTOTAL(109,ELQ_CAI_LF_LEGACY[CAP])</f>
        <v>1008</v>
      </c>
      <c r="I8" s="139">
        <f>SUBTOTAL(109,ELQ_CAI_LF_LEGACY[BKG(Y)])</f>
        <v>283</v>
      </c>
      <c r="J8" s="139">
        <f>SUBTOTAL(109,ELQ_CAI_LF_LEGACY[GRP(Y)])</f>
        <v>0</v>
      </c>
      <c r="K8" s="136"/>
      <c r="L8" s="137"/>
      <c r="M8" s="139">
        <f>SUBTOTAL(109,ELQ_CAI_LF_LEGACY[TO-DAY])</f>
        <v>6</v>
      </c>
      <c r="N8" s="139">
        <f>SUBTOTAL(109,ELQ_CAI_LF_LEGACY[Y-DAY])</f>
        <v>12</v>
      </c>
      <c r="O8" s="139">
        <f>SUBTOTAL(109,ELQ_CAI_LF_LEGACY[WEEKLY])</f>
        <v>77</v>
      </c>
      <c r="P8" s="140"/>
      <c r="Q8" s="139">
        <f>SUBTOTAL(109,ELQ_CAI_LF_LEGACY[Y])</f>
        <v>0</v>
      </c>
      <c r="R8" s="139">
        <f>SUBTOTAL(109,ELQ_CAI_LF_LEGACY[B])</f>
        <v>0</v>
      </c>
      <c r="S8" s="139">
        <f>SUBTOTAL(109,ELQ_CAI_LF_LEGACY[M])</f>
        <v>0</v>
      </c>
      <c r="T8" s="139">
        <f>SUBTOTAL(109,ELQ_CAI_LF_LEGACY[H])</f>
        <v>0</v>
      </c>
      <c r="U8" s="139">
        <f>SUBTOTAL(109,ELQ_CAI_LF_LEGACY[Q])</f>
        <v>0</v>
      </c>
      <c r="V8" s="139">
        <f>SUBTOTAL(109,ELQ_CAI_LF_LEGACY[K])</f>
        <v>0</v>
      </c>
      <c r="W8" s="139">
        <f>SUBTOTAL(109,ELQ_CAI_LF_LEGACY[V])</f>
        <v>0</v>
      </c>
      <c r="X8" s="139">
        <f>SUBTOTAL(109,ELQ_CAI_LF_LEGACY[L])</f>
        <v>0</v>
      </c>
      <c r="Y8" s="139">
        <f>SUBTOTAL(109,ELQ_CAI_LF_LEGACY[G])</f>
        <v>0</v>
      </c>
      <c r="Z8" s="139">
        <f>SUBTOTAL(109,ELQ_CAI_LF_LEGACY[S])</f>
        <v>0</v>
      </c>
      <c r="AA8" s="139">
        <f>SUBTOTAL(109,ELQ_CAI_LF_LEGACY[W])</f>
        <v>0</v>
      </c>
      <c r="AB8" s="139">
        <f>SUBTOTAL(109,ELQ_CAI_LF_LEGACY[T])</f>
        <v>0</v>
      </c>
      <c r="AC8" s="139">
        <f>SUBTOTAL(109,ELQ_CAI_LF_LEGACY[X])</f>
        <v>0</v>
      </c>
      <c r="AD8" s="139">
        <f>SUBTOTAL(109,ELQ_CAI_LF_LEGACY[U])</f>
        <v>0</v>
      </c>
      <c r="AE8" s="139">
        <f>SUBTOTAL(109,ELQ_CAI_LF_LEGACY[O])</f>
        <v>0</v>
      </c>
      <c r="AF8" s="139">
        <f>SUBTOTAL(109,ELQ_CAI_LF_LEGACY[I])</f>
        <v>0</v>
      </c>
      <c r="AG8" s="139">
        <f>SUBTOTAL(109,ELQ_CAI_LF_LEGACY[E])</f>
        <v>0</v>
      </c>
      <c r="AH8" s="139">
        <f>SUBTOTAL(109,ELQ_CAI_LF_LEGACY[A])</f>
        <v>0</v>
      </c>
      <c r="AI8" s="139">
        <f>SUBTOTAL(109,ELQ_CAI_LF_LEGACY[P])</f>
        <v>0</v>
      </c>
      <c r="AJ8" s="139">
        <f>SUBTOTAL(103,ELQ_CAI_LF_LEGACY[N])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0.44140625" hidden="1" customWidth="1"/>
  </cols>
  <sheetData>
    <row r="1" spans="1:8" ht="18" x14ac:dyDescent="0.3">
      <c r="A1" s="55" t="s">
        <v>129</v>
      </c>
      <c r="B1" s="56" t="s">
        <v>8</v>
      </c>
      <c r="C1" s="56" t="s">
        <v>9</v>
      </c>
      <c r="D1" s="56" t="s">
        <v>130</v>
      </c>
      <c r="E1" s="56" t="s">
        <v>10</v>
      </c>
      <c r="F1" s="56" t="s">
        <v>11</v>
      </c>
      <c r="G1" s="56" t="s">
        <v>12</v>
      </c>
      <c r="H1" s="57" t="s">
        <v>13</v>
      </c>
    </row>
    <row r="2" spans="1:8" ht="19.8" customHeight="1" x14ac:dyDescent="0.3">
      <c r="A2" s="58" t="s">
        <v>131</v>
      </c>
      <c r="B2" s="59" t="s">
        <v>26</v>
      </c>
      <c r="C2" s="60" t="s">
        <v>27</v>
      </c>
      <c r="D2" s="59" t="s">
        <v>1</v>
      </c>
      <c r="E2" s="59" t="s">
        <v>132</v>
      </c>
      <c r="F2" s="59" t="s">
        <v>28</v>
      </c>
      <c r="G2" s="61">
        <v>9</v>
      </c>
      <c r="H2" s="62">
        <v>350</v>
      </c>
    </row>
    <row r="3" spans="1:8" ht="19.8" customHeight="1" x14ac:dyDescent="0.3">
      <c r="A3" s="58" t="s">
        <v>131</v>
      </c>
      <c r="B3" s="59" t="s">
        <v>31</v>
      </c>
      <c r="C3" s="60" t="s">
        <v>32</v>
      </c>
      <c r="D3" s="59" t="s">
        <v>1</v>
      </c>
      <c r="E3" s="59" t="s">
        <v>133</v>
      </c>
      <c r="F3" s="59" t="s">
        <v>28</v>
      </c>
      <c r="G3" s="61">
        <v>9</v>
      </c>
      <c r="H3" s="62">
        <v>401</v>
      </c>
    </row>
    <row r="4" spans="1:8" ht="19.8" customHeight="1" x14ac:dyDescent="0.3">
      <c r="A4" s="63" t="s">
        <v>131</v>
      </c>
      <c r="B4" s="64" t="s">
        <v>34</v>
      </c>
      <c r="C4" s="65" t="s">
        <v>35</v>
      </c>
      <c r="D4" s="64" t="s">
        <v>1</v>
      </c>
      <c r="E4" s="64" t="s">
        <v>134</v>
      </c>
      <c r="F4" s="64" t="s">
        <v>36</v>
      </c>
      <c r="G4" s="66">
        <v>9</v>
      </c>
      <c r="H4" s="67">
        <v>528</v>
      </c>
    </row>
    <row r="5" spans="1:8" ht="19.8" customHeight="1" x14ac:dyDescent="0.3">
      <c r="A5" s="58" t="s">
        <v>135</v>
      </c>
      <c r="B5" s="59" t="s">
        <v>38</v>
      </c>
      <c r="C5" s="60" t="s">
        <v>39</v>
      </c>
      <c r="D5" s="59" t="s">
        <v>1</v>
      </c>
      <c r="E5" s="59" t="s">
        <v>136</v>
      </c>
      <c r="F5" s="59" t="s">
        <v>40</v>
      </c>
      <c r="G5" s="61">
        <v>9</v>
      </c>
      <c r="H5" s="62">
        <v>324</v>
      </c>
    </row>
    <row r="6" spans="1:8" ht="19.8" customHeight="1" x14ac:dyDescent="0.3">
      <c r="A6" s="58" t="s">
        <v>135</v>
      </c>
      <c r="B6" s="59" t="s">
        <v>26</v>
      </c>
      <c r="C6" s="60" t="s">
        <v>27</v>
      </c>
      <c r="D6" s="59" t="s">
        <v>1</v>
      </c>
      <c r="E6" s="59" t="s">
        <v>137</v>
      </c>
      <c r="F6" s="59" t="s">
        <v>28</v>
      </c>
      <c r="G6" s="61">
        <v>9</v>
      </c>
      <c r="H6" s="62">
        <v>350</v>
      </c>
    </row>
    <row r="7" spans="1:8" ht="19.8" customHeight="1" x14ac:dyDescent="0.3">
      <c r="A7" s="58" t="s">
        <v>135</v>
      </c>
      <c r="B7" s="59" t="s">
        <v>31</v>
      </c>
      <c r="C7" s="60" t="s">
        <v>32</v>
      </c>
      <c r="D7" s="59" t="s">
        <v>1</v>
      </c>
      <c r="E7" s="59" t="s">
        <v>133</v>
      </c>
      <c r="F7" s="59" t="s">
        <v>28</v>
      </c>
      <c r="G7" s="61">
        <v>7</v>
      </c>
      <c r="H7" s="62">
        <v>350</v>
      </c>
    </row>
    <row r="8" spans="1:8" ht="19.8" customHeight="1" x14ac:dyDescent="0.3">
      <c r="A8" s="63" t="s">
        <v>135</v>
      </c>
      <c r="B8" s="64" t="s">
        <v>38</v>
      </c>
      <c r="C8" s="65" t="s">
        <v>39</v>
      </c>
      <c r="D8" s="64" t="s">
        <v>1</v>
      </c>
      <c r="E8" s="64" t="s">
        <v>136</v>
      </c>
      <c r="F8" s="64" t="s">
        <v>43</v>
      </c>
      <c r="G8" s="66">
        <v>9</v>
      </c>
      <c r="H8" s="67">
        <v>447</v>
      </c>
    </row>
    <row r="9" spans="1:8" ht="19.8" customHeight="1" x14ac:dyDescent="0.3">
      <c r="A9" s="58" t="s">
        <v>138</v>
      </c>
      <c r="B9" s="59" t="s">
        <v>26</v>
      </c>
      <c r="C9" s="60" t="s">
        <v>27</v>
      </c>
      <c r="D9" s="59" t="s">
        <v>1</v>
      </c>
      <c r="E9" s="59" t="s">
        <v>137</v>
      </c>
      <c r="F9" s="59" t="s">
        <v>28</v>
      </c>
      <c r="G9" s="61">
        <v>4</v>
      </c>
      <c r="H9" s="62">
        <v>300</v>
      </c>
    </row>
    <row r="10" spans="1:8" ht="19.8" customHeight="1" x14ac:dyDescent="0.3">
      <c r="A10" s="58" t="s">
        <v>138</v>
      </c>
      <c r="B10" s="59" t="s">
        <v>34</v>
      </c>
      <c r="C10" s="60" t="s">
        <v>35</v>
      </c>
      <c r="D10" s="59" t="s">
        <v>1</v>
      </c>
      <c r="E10" s="59" t="s">
        <v>134</v>
      </c>
      <c r="F10" s="59" t="s">
        <v>49</v>
      </c>
      <c r="G10" s="61">
        <v>9</v>
      </c>
      <c r="H10" s="62">
        <v>305</v>
      </c>
    </row>
    <row r="11" spans="1:8" ht="19.8" customHeight="1" x14ac:dyDescent="0.3">
      <c r="A11" s="58" t="s">
        <v>138</v>
      </c>
      <c r="B11" s="59" t="s">
        <v>38</v>
      </c>
      <c r="C11" s="60" t="s">
        <v>39</v>
      </c>
      <c r="D11" s="59" t="s">
        <v>1</v>
      </c>
      <c r="E11" s="59" t="s">
        <v>136</v>
      </c>
      <c r="F11" s="59" t="s">
        <v>40</v>
      </c>
      <c r="G11" s="61">
        <v>9</v>
      </c>
      <c r="H11" s="62">
        <v>324</v>
      </c>
    </row>
    <row r="12" spans="1:8" ht="19.8" customHeight="1" x14ac:dyDescent="0.3">
      <c r="A12" s="58" t="s">
        <v>138</v>
      </c>
      <c r="B12" s="59" t="s">
        <v>31</v>
      </c>
      <c r="C12" s="60" t="s">
        <v>32</v>
      </c>
      <c r="D12" s="59" t="s">
        <v>1</v>
      </c>
      <c r="E12" s="59" t="s">
        <v>133</v>
      </c>
      <c r="F12" s="59" t="s">
        <v>28</v>
      </c>
      <c r="G12" s="61">
        <v>3</v>
      </c>
      <c r="H12" s="62">
        <v>350</v>
      </c>
    </row>
    <row r="13" spans="1:8" ht="19.8" customHeight="1" x14ac:dyDescent="0.3">
      <c r="A13" s="68" t="s">
        <v>138</v>
      </c>
      <c r="B13" s="69" t="s">
        <v>52</v>
      </c>
      <c r="C13" s="70" t="s">
        <v>53</v>
      </c>
      <c r="D13" s="69" t="s">
        <v>1</v>
      </c>
      <c r="E13" s="69" t="s">
        <v>107</v>
      </c>
      <c r="F13" s="69" t="s">
        <v>28</v>
      </c>
      <c r="G13" s="71">
        <v>9</v>
      </c>
      <c r="H13" s="72">
        <v>355</v>
      </c>
    </row>
    <row r="14" spans="1:8" ht="19.8" customHeight="1" x14ac:dyDescent="0.3">
      <c r="A14" s="73">
        <v>45988</v>
      </c>
      <c r="B14" s="64" t="s">
        <v>38</v>
      </c>
      <c r="C14" s="65" t="s">
        <v>39</v>
      </c>
      <c r="D14" s="64" t="s">
        <v>1</v>
      </c>
      <c r="E14" s="74">
        <v>1.9375</v>
      </c>
      <c r="F14" s="64" t="s">
        <v>43</v>
      </c>
      <c r="G14" s="66">
        <v>9</v>
      </c>
      <c r="H14" s="67">
        <v>447</v>
      </c>
    </row>
    <row r="15" spans="1:8" ht="19.8" customHeight="1" x14ac:dyDescent="0.3">
      <c r="A15" s="75">
        <v>45989</v>
      </c>
      <c r="B15" s="59" t="s">
        <v>26</v>
      </c>
      <c r="C15" s="60" t="s">
        <v>27</v>
      </c>
      <c r="D15" s="59" t="s">
        <v>1</v>
      </c>
      <c r="E15" s="76">
        <v>1.868055555555556</v>
      </c>
      <c r="F15" s="59" t="s">
        <v>28</v>
      </c>
      <c r="G15" s="61">
        <v>9</v>
      </c>
      <c r="H15" s="62">
        <v>300</v>
      </c>
    </row>
    <row r="16" spans="1:8" ht="19.8" customHeight="1" x14ac:dyDescent="0.3">
      <c r="A16" s="75">
        <v>45989</v>
      </c>
      <c r="B16" s="59" t="s">
        <v>31</v>
      </c>
      <c r="C16" s="60" t="s">
        <v>32</v>
      </c>
      <c r="D16" s="59" t="s">
        <v>1</v>
      </c>
      <c r="E16" s="76">
        <v>1.65625</v>
      </c>
      <c r="F16" s="59" t="s">
        <v>28</v>
      </c>
      <c r="G16" s="61">
        <v>7</v>
      </c>
      <c r="H16" s="62">
        <v>350</v>
      </c>
    </row>
    <row r="17" spans="1:8" ht="19.8" customHeight="1" x14ac:dyDescent="0.3">
      <c r="A17" s="73">
        <v>45989</v>
      </c>
      <c r="B17" s="64" t="s">
        <v>34</v>
      </c>
      <c r="C17" s="65" t="s">
        <v>35</v>
      </c>
      <c r="D17" s="64" t="s">
        <v>1</v>
      </c>
      <c r="E17" s="74">
        <v>1.0347222222222221</v>
      </c>
      <c r="F17" s="64" t="s">
        <v>36</v>
      </c>
      <c r="G17" s="66">
        <v>9</v>
      </c>
      <c r="H17" s="67">
        <v>451</v>
      </c>
    </row>
    <row r="18" spans="1:8" ht="19.8" customHeight="1" x14ac:dyDescent="0.3">
      <c r="A18" s="75">
        <v>45990</v>
      </c>
      <c r="B18" s="59" t="s">
        <v>34</v>
      </c>
      <c r="C18" s="60" t="s">
        <v>35</v>
      </c>
      <c r="D18" s="59" t="s">
        <v>1</v>
      </c>
      <c r="E18" s="76">
        <v>1.0347222222222221</v>
      </c>
      <c r="F18" s="59" t="s">
        <v>60</v>
      </c>
      <c r="G18" s="61">
        <v>9</v>
      </c>
      <c r="H18" s="62">
        <v>327</v>
      </c>
    </row>
    <row r="19" spans="1:8" ht="19.8" customHeight="1" x14ac:dyDescent="0.3">
      <c r="A19" s="75">
        <v>45990</v>
      </c>
      <c r="B19" s="59" t="s">
        <v>31</v>
      </c>
      <c r="C19" s="60" t="s">
        <v>62</v>
      </c>
      <c r="D19" s="59" t="s">
        <v>1</v>
      </c>
      <c r="E19" s="76">
        <v>1.979166666666667</v>
      </c>
      <c r="F19" s="59" t="s">
        <v>28</v>
      </c>
      <c r="G19" s="61">
        <v>9</v>
      </c>
      <c r="H19" s="62">
        <v>350</v>
      </c>
    </row>
    <row r="20" spans="1:8" ht="19.8" customHeight="1" x14ac:dyDescent="0.3">
      <c r="A20" s="77">
        <v>45990</v>
      </c>
      <c r="B20" s="78" t="s">
        <v>52</v>
      </c>
      <c r="C20" s="79" t="s">
        <v>53</v>
      </c>
      <c r="D20" s="78" t="s">
        <v>1</v>
      </c>
      <c r="E20" s="80">
        <v>1.000694444444445</v>
      </c>
      <c r="F20" s="78" t="s">
        <v>28</v>
      </c>
      <c r="G20" s="81">
        <v>9</v>
      </c>
      <c r="H20" s="82">
        <v>355</v>
      </c>
    </row>
    <row r="21" spans="1:8" ht="19.8" customHeight="1" x14ac:dyDescent="0.3">
      <c r="A21" s="75">
        <v>45991</v>
      </c>
      <c r="B21" s="59" t="s">
        <v>26</v>
      </c>
      <c r="C21" s="60" t="s">
        <v>27</v>
      </c>
      <c r="D21" s="59" t="s">
        <v>1</v>
      </c>
      <c r="E21" s="76">
        <v>1.6076388888888891</v>
      </c>
      <c r="F21" s="59" t="s">
        <v>28</v>
      </c>
      <c r="G21" s="61">
        <v>9</v>
      </c>
      <c r="H21" s="62">
        <v>300</v>
      </c>
    </row>
    <row r="22" spans="1:8" ht="19.8" customHeight="1" x14ac:dyDescent="0.3">
      <c r="A22" s="75">
        <v>45991</v>
      </c>
      <c r="B22" s="59" t="s">
        <v>34</v>
      </c>
      <c r="C22" s="60" t="s">
        <v>35</v>
      </c>
      <c r="D22" s="59" t="s">
        <v>1</v>
      </c>
      <c r="E22" s="76">
        <v>1.03125</v>
      </c>
      <c r="F22" s="59" t="s">
        <v>60</v>
      </c>
      <c r="G22" s="61">
        <v>9</v>
      </c>
      <c r="H22" s="62">
        <v>327</v>
      </c>
    </row>
    <row r="23" spans="1:8" ht="19.8" customHeight="1" x14ac:dyDescent="0.3">
      <c r="A23" s="75">
        <v>45991</v>
      </c>
      <c r="B23" s="59" t="s">
        <v>31</v>
      </c>
      <c r="C23" s="60" t="s">
        <v>32</v>
      </c>
      <c r="D23" s="59" t="s">
        <v>1</v>
      </c>
      <c r="E23" s="76">
        <v>1.65625</v>
      </c>
      <c r="F23" s="59" t="s">
        <v>28</v>
      </c>
      <c r="G23" s="61">
        <v>7</v>
      </c>
      <c r="H23" s="62">
        <v>350</v>
      </c>
    </row>
    <row r="24" spans="1:8" ht="19.8" customHeight="1" x14ac:dyDescent="0.3">
      <c r="A24" s="77">
        <v>45991</v>
      </c>
      <c r="B24" s="78" t="s">
        <v>52</v>
      </c>
      <c r="C24" s="79" t="s">
        <v>53</v>
      </c>
      <c r="D24" s="78" t="s">
        <v>1</v>
      </c>
      <c r="E24" s="80">
        <v>1.7986111111111109</v>
      </c>
      <c r="F24" s="78" t="s">
        <v>28</v>
      </c>
      <c r="G24" s="81">
        <v>6</v>
      </c>
      <c r="H24" s="82">
        <v>355</v>
      </c>
    </row>
    <row r="25" spans="1:8" ht="19.8" customHeight="1" x14ac:dyDescent="0.3">
      <c r="A25" s="75">
        <v>45992</v>
      </c>
      <c r="B25" s="59" t="s">
        <v>38</v>
      </c>
      <c r="C25" s="60" t="s">
        <v>39</v>
      </c>
      <c r="D25" s="59" t="s">
        <v>1</v>
      </c>
      <c r="E25" s="76">
        <v>1.9375</v>
      </c>
      <c r="F25" s="59" t="s">
        <v>40</v>
      </c>
      <c r="G25" s="61">
        <v>9</v>
      </c>
      <c r="H25" s="62">
        <v>324</v>
      </c>
    </row>
    <row r="26" spans="1:8" ht="19.8" customHeight="1" x14ac:dyDescent="0.3">
      <c r="A26" s="75">
        <v>45992</v>
      </c>
      <c r="B26" s="59" t="s">
        <v>31</v>
      </c>
      <c r="C26" s="60" t="s">
        <v>32</v>
      </c>
      <c r="D26" s="59" t="s">
        <v>1</v>
      </c>
      <c r="E26" s="76">
        <v>1.65625</v>
      </c>
      <c r="F26" s="59" t="s">
        <v>28</v>
      </c>
      <c r="G26" s="61">
        <v>9</v>
      </c>
      <c r="H26" s="62">
        <v>350</v>
      </c>
    </row>
    <row r="27" spans="1:8" ht="19.8" customHeight="1" x14ac:dyDescent="0.3">
      <c r="A27" s="73">
        <v>45992</v>
      </c>
      <c r="B27" s="64" t="s">
        <v>38</v>
      </c>
      <c r="C27" s="65" t="s">
        <v>39</v>
      </c>
      <c r="D27" s="64" t="s">
        <v>1</v>
      </c>
      <c r="E27" s="74">
        <v>1.9375</v>
      </c>
      <c r="F27" s="64" t="s">
        <v>43</v>
      </c>
      <c r="G27" s="66">
        <v>9</v>
      </c>
      <c r="H27" s="67">
        <v>447</v>
      </c>
    </row>
    <row r="28" spans="1:8" ht="19.8" customHeight="1" x14ac:dyDescent="0.3">
      <c r="A28" s="75">
        <v>45993</v>
      </c>
      <c r="B28" s="59" t="s">
        <v>26</v>
      </c>
      <c r="C28" s="60" t="s">
        <v>27</v>
      </c>
      <c r="D28" s="59" t="s">
        <v>1</v>
      </c>
      <c r="E28" s="76">
        <v>1.6076388888888891</v>
      </c>
      <c r="F28" s="59" t="s">
        <v>28</v>
      </c>
      <c r="G28" s="61">
        <v>9</v>
      </c>
      <c r="H28" s="62">
        <v>350</v>
      </c>
    </row>
    <row r="29" spans="1:8" ht="19.8" customHeight="1" x14ac:dyDescent="0.3">
      <c r="A29" s="75">
        <v>45993</v>
      </c>
      <c r="B29" s="59" t="s">
        <v>31</v>
      </c>
      <c r="C29" s="60" t="s">
        <v>32</v>
      </c>
      <c r="D29" s="59" t="s">
        <v>1</v>
      </c>
      <c r="E29" s="76">
        <v>1.65625</v>
      </c>
      <c r="F29" s="59" t="s">
        <v>28</v>
      </c>
      <c r="G29" s="61">
        <v>3</v>
      </c>
      <c r="H29" s="62">
        <v>350</v>
      </c>
    </row>
    <row r="30" spans="1:8" ht="19.8" customHeight="1" x14ac:dyDescent="0.3">
      <c r="A30" s="73">
        <v>45993</v>
      </c>
      <c r="B30" s="64" t="s">
        <v>34</v>
      </c>
      <c r="C30" s="65" t="s">
        <v>35</v>
      </c>
      <c r="D30" s="64" t="s">
        <v>1</v>
      </c>
      <c r="E30" s="74">
        <v>1.03125</v>
      </c>
      <c r="F30" s="64" t="s">
        <v>36</v>
      </c>
      <c r="G30" s="66">
        <v>9</v>
      </c>
      <c r="H30" s="67">
        <v>451</v>
      </c>
    </row>
    <row r="31" spans="1:8" ht="19.8" customHeight="1" x14ac:dyDescent="0.3">
      <c r="A31" s="75">
        <v>45994</v>
      </c>
      <c r="B31" s="59" t="s">
        <v>38</v>
      </c>
      <c r="C31" s="60" t="s">
        <v>39</v>
      </c>
      <c r="D31" s="59" t="s">
        <v>1</v>
      </c>
      <c r="E31" s="76">
        <v>1.9375</v>
      </c>
      <c r="F31" s="59" t="s">
        <v>40</v>
      </c>
      <c r="G31" s="61">
        <v>9</v>
      </c>
      <c r="H31" s="62">
        <v>324</v>
      </c>
    </row>
    <row r="32" spans="1:8" ht="19.8" customHeight="1" x14ac:dyDescent="0.3">
      <c r="A32" s="75">
        <v>45994</v>
      </c>
      <c r="B32" s="59" t="s">
        <v>31</v>
      </c>
      <c r="C32" s="60" t="s">
        <v>32</v>
      </c>
      <c r="D32" s="59" t="s">
        <v>1</v>
      </c>
      <c r="E32" s="76">
        <v>1.65625</v>
      </c>
      <c r="F32" s="59" t="s">
        <v>28</v>
      </c>
      <c r="G32" s="61">
        <v>3</v>
      </c>
      <c r="H32" s="62">
        <v>350</v>
      </c>
    </row>
    <row r="33" spans="1:8" ht="19.8" customHeight="1" x14ac:dyDescent="0.3">
      <c r="A33" s="73">
        <v>45994</v>
      </c>
      <c r="B33" s="64" t="s">
        <v>38</v>
      </c>
      <c r="C33" s="65" t="s">
        <v>39</v>
      </c>
      <c r="D33" s="64" t="s">
        <v>1</v>
      </c>
      <c r="E33" s="74">
        <v>1.9375</v>
      </c>
      <c r="F33" s="64" t="s">
        <v>43</v>
      </c>
      <c r="G33" s="66">
        <v>9</v>
      </c>
      <c r="H33" s="67">
        <v>447</v>
      </c>
    </row>
    <row r="34" spans="1:8" ht="19.8" customHeight="1" x14ac:dyDescent="0.3">
      <c r="A34" s="75">
        <v>45995</v>
      </c>
      <c r="B34" s="59" t="s">
        <v>38</v>
      </c>
      <c r="C34" s="60" t="s">
        <v>39</v>
      </c>
      <c r="D34" s="59" t="s">
        <v>1</v>
      </c>
      <c r="E34" s="76">
        <v>1.9375</v>
      </c>
      <c r="F34" s="59" t="s">
        <v>40</v>
      </c>
      <c r="G34" s="61">
        <v>9</v>
      </c>
      <c r="H34" s="62">
        <v>324</v>
      </c>
    </row>
    <row r="35" spans="1:8" ht="19.8" customHeight="1" x14ac:dyDescent="0.3">
      <c r="A35" s="75">
        <v>45995</v>
      </c>
      <c r="B35" s="59" t="s">
        <v>26</v>
      </c>
      <c r="C35" s="60" t="s">
        <v>27</v>
      </c>
      <c r="D35" s="59" t="s">
        <v>1</v>
      </c>
      <c r="E35" s="76">
        <v>1.625</v>
      </c>
      <c r="F35" s="59" t="s">
        <v>28</v>
      </c>
      <c r="G35" s="61">
        <v>9</v>
      </c>
      <c r="H35" s="62">
        <v>350</v>
      </c>
    </row>
    <row r="36" spans="1:8" ht="19.8" customHeight="1" x14ac:dyDescent="0.3">
      <c r="A36" s="75">
        <v>45995</v>
      </c>
      <c r="B36" s="59" t="s">
        <v>31</v>
      </c>
      <c r="C36" s="60" t="s">
        <v>32</v>
      </c>
      <c r="D36" s="59" t="s">
        <v>1</v>
      </c>
      <c r="E36" s="76">
        <v>1.65625</v>
      </c>
      <c r="F36" s="59" t="s">
        <v>28</v>
      </c>
      <c r="G36" s="61">
        <v>5</v>
      </c>
      <c r="H36" s="62">
        <v>350</v>
      </c>
    </row>
    <row r="37" spans="1:8" ht="19.8" customHeight="1" x14ac:dyDescent="0.3">
      <c r="A37" s="83">
        <v>45995</v>
      </c>
      <c r="B37" s="69" t="s">
        <v>52</v>
      </c>
      <c r="C37" s="70" t="s">
        <v>53</v>
      </c>
      <c r="D37" s="69" t="s">
        <v>1</v>
      </c>
      <c r="E37" s="84">
        <v>1.7986111111111109</v>
      </c>
      <c r="F37" s="69" t="s">
        <v>28</v>
      </c>
      <c r="G37" s="71">
        <v>9</v>
      </c>
      <c r="H37" s="72">
        <v>355</v>
      </c>
    </row>
    <row r="38" spans="1:8" ht="19.8" customHeight="1" x14ac:dyDescent="0.3">
      <c r="A38" s="75">
        <v>45995</v>
      </c>
      <c r="B38" s="59" t="s">
        <v>34</v>
      </c>
      <c r="C38" s="60" t="s">
        <v>35</v>
      </c>
      <c r="D38" s="59" t="s">
        <v>1</v>
      </c>
      <c r="E38" s="76">
        <v>1.03125</v>
      </c>
      <c r="F38" s="59" t="s">
        <v>36</v>
      </c>
      <c r="G38" s="61">
        <v>9</v>
      </c>
      <c r="H38" s="62">
        <v>372</v>
      </c>
    </row>
    <row r="39" spans="1:8" ht="19.8" customHeight="1" x14ac:dyDescent="0.3">
      <c r="A39" s="73">
        <v>45995</v>
      </c>
      <c r="B39" s="64" t="s">
        <v>38</v>
      </c>
      <c r="C39" s="65" t="s">
        <v>39</v>
      </c>
      <c r="D39" s="64" t="s">
        <v>1</v>
      </c>
      <c r="E39" s="74">
        <v>1.9375</v>
      </c>
      <c r="F39" s="64" t="s">
        <v>43</v>
      </c>
      <c r="G39" s="66">
        <v>9</v>
      </c>
      <c r="H39" s="67">
        <v>447</v>
      </c>
    </row>
    <row r="40" spans="1:8" ht="19.8" customHeight="1" x14ac:dyDescent="0.3">
      <c r="A40" s="75">
        <v>45996</v>
      </c>
      <c r="B40" s="59" t="s">
        <v>31</v>
      </c>
      <c r="C40" s="60" t="s">
        <v>32</v>
      </c>
      <c r="D40" s="59" t="s">
        <v>1</v>
      </c>
      <c r="E40" s="76">
        <v>1.65625</v>
      </c>
      <c r="F40" s="59" t="s">
        <v>28</v>
      </c>
      <c r="G40" s="61">
        <v>2</v>
      </c>
      <c r="H40" s="62">
        <v>350</v>
      </c>
    </row>
    <row r="41" spans="1:8" ht="19.8" customHeight="1" x14ac:dyDescent="0.3">
      <c r="A41" s="73">
        <v>45996</v>
      </c>
      <c r="B41" s="64" t="s">
        <v>34</v>
      </c>
      <c r="C41" s="65" t="s">
        <v>35</v>
      </c>
      <c r="D41" s="64" t="s">
        <v>1</v>
      </c>
      <c r="E41" s="74">
        <v>1.03125</v>
      </c>
      <c r="F41" s="64" t="s">
        <v>36</v>
      </c>
      <c r="G41" s="66">
        <v>9</v>
      </c>
      <c r="H41" s="67">
        <v>372</v>
      </c>
    </row>
    <row r="42" spans="1:8" ht="19.8" customHeight="1" x14ac:dyDescent="0.3">
      <c r="A42" s="75">
        <v>45997</v>
      </c>
      <c r="B42" s="59" t="s">
        <v>38</v>
      </c>
      <c r="C42" s="60" t="s">
        <v>39</v>
      </c>
      <c r="D42" s="59" t="s">
        <v>1</v>
      </c>
      <c r="E42" s="76">
        <v>1.9375</v>
      </c>
      <c r="F42" s="59" t="s">
        <v>40</v>
      </c>
      <c r="G42" s="61">
        <v>9</v>
      </c>
      <c r="H42" s="62">
        <v>330</v>
      </c>
    </row>
    <row r="43" spans="1:8" ht="19.8" customHeight="1" x14ac:dyDescent="0.3">
      <c r="A43" s="75">
        <v>45997</v>
      </c>
      <c r="B43" s="59" t="s">
        <v>26</v>
      </c>
      <c r="C43" s="60" t="s">
        <v>27</v>
      </c>
      <c r="D43" s="59" t="s">
        <v>1</v>
      </c>
      <c r="E43" s="76">
        <v>1.6076388888888891</v>
      </c>
      <c r="F43" s="59" t="s">
        <v>28</v>
      </c>
      <c r="G43" s="61">
        <v>9</v>
      </c>
      <c r="H43" s="62">
        <v>350</v>
      </c>
    </row>
    <row r="44" spans="1:8" ht="19.8" customHeight="1" x14ac:dyDescent="0.3">
      <c r="A44" s="75">
        <v>45997</v>
      </c>
      <c r="B44" s="59" t="s">
        <v>31</v>
      </c>
      <c r="C44" s="60" t="s">
        <v>62</v>
      </c>
      <c r="D44" s="59" t="s">
        <v>1</v>
      </c>
      <c r="E44" s="76">
        <v>1.979166666666667</v>
      </c>
      <c r="F44" s="59" t="s">
        <v>28</v>
      </c>
      <c r="G44" s="61">
        <v>5</v>
      </c>
      <c r="H44" s="62">
        <v>350</v>
      </c>
    </row>
    <row r="45" spans="1:8" ht="19.8" customHeight="1" x14ac:dyDescent="0.3">
      <c r="A45" s="83">
        <v>45997</v>
      </c>
      <c r="B45" s="69" t="s">
        <v>52</v>
      </c>
      <c r="C45" s="70" t="s">
        <v>53</v>
      </c>
      <c r="D45" s="69" t="s">
        <v>1</v>
      </c>
      <c r="E45" s="84">
        <v>1.000694444444445</v>
      </c>
      <c r="F45" s="69" t="s">
        <v>28</v>
      </c>
      <c r="G45" s="71">
        <v>9</v>
      </c>
      <c r="H45" s="72">
        <v>355</v>
      </c>
    </row>
    <row r="46" spans="1:8" ht="19.8" customHeight="1" x14ac:dyDescent="0.3">
      <c r="A46" s="75">
        <v>45997</v>
      </c>
      <c r="B46" s="59" t="s">
        <v>34</v>
      </c>
      <c r="C46" s="60" t="s">
        <v>35</v>
      </c>
      <c r="D46" s="59" t="s">
        <v>1</v>
      </c>
      <c r="E46" s="76">
        <v>1.03125</v>
      </c>
      <c r="F46" s="59" t="s">
        <v>36</v>
      </c>
      <c r="G46" s="61">
        <v>9</v>
      </c>
      <c r="H46" s="62">
        <v>372</v>
      </c>
    </row>
    <row r="47" spans="1:8" ht="19.8" customHeight="1" x14ac:dyDescent="0.3">
      <c r="A47" s="73">
        <v>45997</v>
      </c>
      <c r="B47" s="64" t="s">
        <v>38</v>
      </c>
      <c r="C47" s="65" t="s">
        <v>39</v>
      </c>
      <c r="D47" s="64" t="s">
        <v>1</v>
      </c>
      <c r="E47" s="74">
        <v>1.9375</v>
      </c>
      <c r="F47" s="64" t="s">
        <v>43</v>
      </c>
      <c r="G47" s="66">
        <v>9</v>
      </c>
      <c r="H47" s="67">
        <v>453</v>
      </c>
    </row>
    <row r="48" spans="1:8" ht="19.8" customHeight="1" x14ac:dyDescent="0.3">
      <c r="A48" s="75">
        <v>45998</v>
      </c>
      <c r="B48" s="59" t="s">
        <v>31</v>
      </c>
      <c r="C48" s="60" t="s">
        <v>32</v>
      </c>
      <c r="D48" s="59" t="s">
        <v>1</v>
      </c>
      <c r="E48" s="76">
        <v>1.65625</v>
      </c>
      <c r="F48" s="59" t="s">
        <v>28</v>
      </c>
      <c r="G48" s="61">
        <v>5</v>
      </c>
      <c r="H48" s="62">
        <v>350</v>
      </c>
    </row>
    <row r="49" spans="1:8" ht="19.8" customHeight="1" x14ac:dyDescent="0.3">
      <c r="A49" s="83">
        <v>45998</v>
      </c>
      <c r="B49" s="69" t="s">
        <v>52</v>
      </c>
      <c r="C49" s="70" t="s">
        <v>53</v>
      </c>
      <c r="D49" s="69" t="s">
        <v>1</v>
      </c>
      <c r="E49" s="84">
        <v>1.7986111111111109</v>
      </c>
      <c r="F49" s="69" t="s">
        <v>28</v>
      </c>
      <c r="G49" s="71">
        <v>9</v>
      </c>
      <c r="H49" s="72">
        <v>355</v>
      </c>
    </row>
    <row r="50" spans="1:8" ht="19.8" customHeight="1" x14ac:dyDescent="0.3">
      <c r="A50" s="73">
        <v>45998</v>
      </c>
      <c r="B50" s="64" t="s">
        <v>34</v>
      </c>
      <c r="C50" s="65" t="s">
        <v>35</v>
      </c>
      <c r="D50" s="64" t="s">
        <v>1</v>
      </c>
      <c r="E50" s="74">
        <v>1.03125</v>
      </c>
      <c r="F50" s="64" t="s">
        <v>36</v>
      </c>
      <c r="G50" s="66">
        <v>9</v>
      </c>
      <c r="H50" s="67">
        <v>372</v>
      </c>
    </row>
    <row r="51" spans="1:8" ht="19.8" customHeight="1" x14ac:dyDescent="0.3">
      <c r="A51" s="73">
        <v>45999</v>
      </c>
      <c r="B51" s="64" t="s">
        <v>31</v>
      </c>
      <c r="C51" s="65" t="s">
        <v>32</v>
      </c>
      <c r="D51" s="64" t="s">
        <v>1</v>
      </c>
      <c r="E51" s="74">
        <v>1.65625</v>
      </c>
      <c r="F51" s="64" t="s">
        <v>28</v>
      </c>
      <c r="G51" s="66">
        <v>4</v>
      </c>
      <c r="H51" s="67">
        <v>350</v>
      </c>
    </row>
    <row r="52" spans="1:8" ht="19.8" customHeight="1" x14ac:dyDescent="0.3">
      <c r="A52" s="75">
        <v>46000</v>
      </c>
      <c r="B52" s="59" t="s">
        <v>34</v>
      </c>
      <c r="C52" s="60" t="s">
        <v>35</v>
      </c>
      <c r="D52" s="59" t="s">
        <v>1</v>
      </c>
      <c r="E52" s="76">
        <v>1.03125</v>
      </c>
      <c r="F52" s="59" t="s">
        <v>60</v>
      </c>
      <c r="G52" s="61">
        <v>9</v>
      </c>
      <c r="H52" s="62">
        <v>327</v>
      </c>
    </row>
    <row r="53" spans="1:8" ht="19.8" customHeight="1" x14ac:dyDescent="0.3">
      <c r="A53" s="75">
        <v>46000</v>
      </c>
      <c r="B53" s="59" t="s">
        <v>26</v>
      </c>
      <c r="C53" s="60" t="s">
        <v>27</v>
      </c>
      <c r="D53" s="59" t="s">
        <v>1</v>
      </c>
      <c r="E53" s="76">
        <v>1.6076388888888891</v>
      </c>
      <c r="F53" s="59" t="s">
        <v>28</v>
      </c>
      <c r="G53" s="61">
        <v>9</v>
      </c>
      <c r="H53" s="62">
        <v>350</v>
      </c>
    </row>
    <row r="54" spans="1:8" ht="19.8" customHeight="1" x14ac:dyDescent="0.3">
      <c r="A54" s="73">
        <v>46000</v>
      </c>
      <c r="B54" s="64" t="s">
        <v>31</v>
      </c>
      <c r="C54" s="65" t="s">
        <v>32</v>
      </c>
      <c r="D54" s="64" t="s">
        <v>1</v>
      </c>
      <c r="E54" s="74">
        <v>1.65625</v>
      </c>
      <c r="F54" s="64" t="s">
        <v>28</v>
      </c>
      <c r="G54" s="66">
        <v>6</v>
      </c>
      <c r="H54" s="67">
        <v>350</v>
      </c>
    </row>
    <row r="55" spans="1:8" ht="19.8" customHeight="1" x14ac:dyDescent="0.3">
      <c r="A55" s="73">
        <v>46001</v>
      </c>
      <c r="B55" s="64" t="s">
        <v>31</v>
      </c>
      <c r="C55" s="65" t="s">
        <v>32</v>
      </c>
      <c r="D55" s="64" t="s">
        <v>1</v>
      </c>
      <c r="E55" s="74">
        <v>1.65625</v>
      </c>
      <c r="F55" s="64" t="s">
        <v>28</v>
      </c>
      <c r="G55" s="66">
        <v>5</v>
      </c>
      <c r="H55" s="67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3.77734375" bestFit="1" customWidth="1"/>
  </cols>
  <sheetData>
    <row r="1" spans="1:18" ht="25.05" customHeight="1" x14ac:dyDescent="0.3">
      <c r="A1" s="117" t="s">
        <v>0</v>
      </c>
      <c r="B1" s="116"/>
      <c r="C1" s="116"/>
      <c r="D1" s="116"/>
      <c r="E1" s="116"/>
      <c r="F1" s="1" t="s">
        <v>139</v>
      </c>
      <c r="G1" s="2" t="s">
        <v>2</v>
      </c>
      <c r="H1" s="115">
        <v>45986</v>
      </c>
      <c r="I1" s="116"/>
      <c r="J1" s="116"/>
      <c r="K1" s="116"/>
      <c r="L1" s="116"/>
      <c r="M1" s="1" t="s">
        <v>3</v>
      </c>
      <c r="N1" s="121">
        <v>46001</v>
      </c>
      <c r="O1" s="116"/>
      <c r="P1" s="116"/>
      <c r="Q1" s="116"/>
      <c r="R1" s="116"/>
    </row>
    <row r="2" spans="1:18" ht="18" customHeight="1" x14ac:dyDescent="0.3">
      <c r="A2" s="118" t="s">
        <v>4</v>
      </c>
      <c r="B2" s="116"/>
      <c r="C2" s="116"/>
      <c r="D2" s="116"/>
      <c r="E2" s="116"/>
      <c r="F2" s="116"/>
      <c r="G2" s="120">
        <v>45982.825502754662</v>
      </c>
      <c r="H2" s="116"/>
      <c r="I2" s="116"/>
      <c r="J2" s="116"/>
      <c r="K2" s="122">
        <v>45982.82550275515</v>
      </c>
      <c r="L2" s="116"/>
      <c r="M2" s="116"/>
      <c r="N2" s="116"/>
      <c r="O2" s="116"/>
      <c r="P2" s="116"/>
      <c r="Q2" s="116"/>
      <c r="R2" s="116"/>
    </row>
    <row r="3" spans="1:18" ht="24" customHeight="1" x14ac:dyDescent="0.3">
      <c r="A3" s="119" t="s">
        <v>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1:18" ht="17.399999999999999" customHeight="1" x14ac:dyDescent="0.3">
      <c r="A4" s="144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6"/>
    </row>
    <row r="5" spans="1:18" ht="22.05" customHeight="1" x14ac:dyDescent="0.3">
      <c r="A5" s="112" t="s">
        <v>6</v>
      </c>
      <c r="B5" s="113"/>
      <c r="C5" s="113"/>
      <c r="D5" s="113"/>
      <c r="E5" s="113"/>
      <c r="F5" s="114"/>
      <c r="G5" s="3">
        <v>45987</v>
      </c>
      <c r="H5" s="112" t="s">
        <v>7</v>
      </c>
      <c r="I5" s="113"/>
      <c r="J5" s="113"/>
      <c r="K5" s="113"/>
      <c r="L5" s="113"/>
      <c r="M5" s="113"/>
      <c r="N5" s="113"/>
      <c r="O5" s="113"/>
      <c r="P5" s="113"/>
      <c r="Q5" s="113"/>
      <c r="R5" s="114"/>
    </row>
    <row r="6" spans="1:18" ht="24" customHeight="1" x14ac:dyDescent="0.3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5" t="s">
        <v>13</v>
      </c>
      <c r="G6" s="6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R6" s="4" t="s">
        <v>25</v>
      </c>
    </row>
    <row r="7" spans="1:18" ht="49.95" customHeight="1" x14ac:dyDescent="0.3">
      <c r="A7" s="85" t="s">
        <v>52</v>
      </c>
      <c r="B7" s="85" t="s">
        <v>140</v>
      </c>
      <c r="C7" s="85">
        <v>2.0833333333333329E-2</v>
      </c>
      <c r="D7" s="85" t="s">
        <v>28</v>
      </c>
      <c r="E7" s="85" t="s">
        <v>141</v>
      </c>
      <c r="F7" s="85" t="s">
        <v>142</v>
      </c>
      <c r="G7" s="116"/>
      <c r="H7" s="86" t="s">
        <v>143</v>
      </c>
      <c r="I7" s="87">
        <v>0.42259999999999998</v>
      </c>
      <c r="J7" s="88">
        <v>71</v>
      </c>
      <c r="K7" s="89" t="s">
        <v>56</v>
      </c>
      <c r="L7" s="88">
        <v>44</v>
      </c>
      <c r="M7" s="88">
        <v>1</v>
      </c>
      <c r="N7" s="88">
        <v>7</v>
      </c>
      <c r="O7" s="89" t="s">
        <v>144</v>
      </c>
      <c r="P7" s="89">
        <v>2.0833333333333329E-2</v>
      </c>
      <c r="Q7" s="88">
        <v>168</v>
      </c>
      <c r="R7" s="90" t="s">
        <v>145</v>
      </c>
    </row>
    <row r="8" spans="1:18" ht="17.399999999999999" customHeight="1" x14ac:dyDescent="0.3">
      <c r="A8" s="141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3"/>
    </row>
    <row r="9" spans="1:18" ht="17.399999999999999" customHeight="1" x14ac:dyDescent="0.3">
      <c r="A9" s="141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3"/>
    </row>
    <row r="10" spans="1:18" ht="17.399999999999999" customHeight="1" x14ac:dyDescent="0.3">
      <c r="A10" s="141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3"/>
    </row>
    <row r="11" spans="1:18" ht="22.05" customHeight="1" x14ac:dyDescent="0.3">
      <c r="A11" s="112" t="s">
        <v>6</v>
      </c>
      <c r="B11" s="113"/>
      <c r="C11" s="113"/>
      <c r="D11" s="113"/>
      <c r="E11" s="113"/>
      <c r="F11" s="114"/>
      <c r="G11" s="3">
        <v>45990</v>
      </c>
      <c r="H11" s="112" t="s">
        <v>7</v>
      </c>
      <c r="I11" s="113"/>
      <c r="J11" s="113"/>
      <c r="K11" s="113"/>
      <c r="L11" s="113"/>
      <c r="M11" s="113"/>
      <c r="N11" s="113"/>
      <c r="O11" s="113"/>
      <c r="P11" s="113"/>
      <c r="Q11" s="113"/>
      <c r="R11" s="114"/>
    </row>
    <row r="12" spans="1:18" ht="24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5" t="s">
        <v>13</v>
      </c>
      <c r="G12" s="6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</row>
    <row r="13" spans="1:18" ht="49.95" customHeight="1" x14ac:dyDescent="0.3">
      <c r="A13" s="91" t="s">
        <v>52</v>
      </c>
      <c r="B13" s="91" t="s">
        <v>140</v>
      </c>
      <c r="C13" s="91">
        <v>0.85416666666666663</v>
      </c>
      <c r="D13" s="91" t="s">
        <v>28</v>
      </c>
      <c r="E13" s="91" t="s">
        <v>71</v>
      </c>
      <c r="F13" s="91" t="s">
        <v>146</v>
      </c>
      <c r="G13" s="126"/>
      <c r="H13" s="92" t="s">
        <v>143</v>
      </c>
      <c r="I13" s="93">
        <v>0.29170000000000001</v>
      </c>
      <c r="J13" s="94">
        <v>49</v>
      </c>
      <c r="K13" s="95" t="s">
        <v>56</v>
      </c>
      <c r="L13" s="94">
        <v>22</v>
      </c>
      <c r="M13" s="94">
        <v>1</v>
      </c>
      <c r="N13" s="94">
        <v>6</v>
      </c>
      <c r="O13" s="95" t="s">
        <v>147</v>
      </c>
      <c r="P13" s="95">
        <v>0.85416666666666663</v>
      </c>
      <c r="Q13" s="94">
        <v>168</v>
      </c>
      <c r="R13" s="96" t="s">
        <v>148</v>
      </c>
    </row>
    <row r="14" spans="1:18" ht="15.6" x14ac:dyDescent="0.3">
      <c r="A14" s="123" t="s">
        <v>149</v>
      </c>
      <c r="B14" s="124"/>
      <c r="C14" s="124"/>
      <c r="D14" s="124"/>
      <c r="E14" s="124"/>
      <c r="F14" s="125"/>
      <c r="G14" s="116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</row>
    <row r="15" spans="1:18" ht="49.95" customHeight="1" x14ac:dyDescent="0.3">
      <c r="A15" s="97" t="s">
        <v>52</v>
      </c>
      <c r="B15" s="97" t="s">
        <v>150</v>
      </c>
      <c r="C15" s="97" t="s">
        <v>136</v>
      </c>
      <c r="D15" s="97" t="s">
        <v>60</v>
      </c>
      <c r="E15" s="97" t="s">
        <v>151</v>
      </c>
      <c r="F15" s="97" t="s">
        <v>152</v>
      </c>
      <c r="G15" s="126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</row>
    <row r="16" spans="1:18" ht="17.399999999999999" customHeight="1" x14ac:dyDescent="0.3">
      <c r="A16" s="141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</row>
    <row r="17" spans="1:18" ht="17.399999999999999" customHeight="1" x14ac:dyDescent="0.3">
      <c r="A17" s="141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</row>
    <row r="18" spans="1:18" ht="17.399999999999999" customHeight="1" x14ac:dyDescent="0.3">
      <c r="A18" s="141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3"/>
    </row>
    <row r="19" spans="1:18" ht="17.399999999999999" customHeight="1" x14ac:dyDescent="0.3">
      <c r="A19" s="141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3"/>
    </row>
    <row r="20" spans="1:18" ht="22.05" customHeight="1" x14ac:dyDescent="0.3">
      <c r="A20" s="112" t="s">
        <v>6</v>
      </c>
      <c r="B20" s="113"/>
      <c r="C20" s="113"/>
      <c r="D20" s="113"/>
      <c r="E20" s="113"/>
      <c r="F20" s="114"/>
      <c r="G20" s="3">
        <v>45994</v>
      </c>
      <c r="H20" s="112" t="s">
        <v>7</v>
      </c>
      <c r="I20" s="113"/>
      <c r="J20" s="113"/>
      <c r="K20" s="113"/>
      <c r="L20" s="113"/>
      <c r="M20" s="113"/>
      <c r="N20" s="113"/>
      <c r="O20" s="113"/>
      <c r="P20" s="113"/>
      <c r="Q20" s="113"/>
      <c r="R20" s="114"/>
    </row>
    <row r="21" spans="1:18" ht="24" customHeight="1" x14ac:dyDescent="0.3">
      <c r="A21" s="4" t="s">
        <v>8</v>
      </c>
      <c r="B21" s="4" t="s">
        <v>9</v>
      </c>
      <c r="C21" s="4" t="s">
        <v>10</v>
      </c>
      <c r="D21" s="4" t="s">
        <v>11</v>
      </c>
      <c r="E21" s="4" t="s">
        <v>12</v>
      </c>
      <c r="F21" s="5" t="s">
        <v>13</v>
      </c>
      <c r="G21" s="6" t="s">
        <v>14</v>
      </c>
      <c r="H21" s="4" t="s">
        <v>15</v>
      </c>
      <c r="I21" s="4" t="s">
        <v>16</v>
      </c>
      <c r="J21" s="4" t="s">
        <v>17</v>
      </c>
      <c r="K21" s="4" t="s">
        <v>18</v>
      </c>
      <c r="L21" s="4" t="s">
        <v>19</v>
      </c>
      <c r="M21" s="4" t="s">
        <v>20</v>
      </c>
      <c r="N21" s="4" t="s">
        <v>21</v>
      </c>
      <c r="O21" s="4" t="s">
        <v>22</v>
      </c>
      <c r="P21" s="4" t="s">
        <v>23</v>
      </c>
      <c r="Q21" s="4" t="s">
        <v>24</v>
      </c>
      <c r="R21" s="4" t="s">
        <v>25</v>
      </c>
    </row>
    <row r="22" spans="1:18" ht="49.95" customHeight="1" x14ac:dyDescent="0.3">
      <c r="A22" s="99" t="s">
        <v>52</v>
      </c>
      <c r="B22" s="99" t="s">
        <v>140</v>
      </c>
      <c r="C22" s="99">
        <v>2.0833333333333329E-2</v>
      </c>
      <c r="D22" s="99" t="s">
        <v>28</v>
      </c>
      <c r="E22" s="99" t="s">
        <v>29</v>
      </c>
      <c r="F22" s="99" t="s">
        <v>146</v>
      </c>
      <c r="G22" s="116"/>
      <c r="H22" s="100" t="s">
        <v>143</v>
      </c>
      <c r="I22" s="101">
        <v>0.2321</v>
      </c>
      <c r="J22" s="102">
        <v>39</v>
      </c>
      <c r="K22" s="103" t="s">
        <v>153</v>
      </c>
      <c r="L22" s="102">
        <v>17</v>
      </c>
      <c r="M22" s="102">
        <v>0</v>
      </c>
      <c r="N22" s="102">
        <v>0</v>
      </c>
      <c r="O22" s="103" t="s">
        <v>127</v>
      </c>
      <c r="P22" s="103">
        <v>2.0833333333333329E-2</v>
      </c>
      <c r="Q22" s="102">
        <v>168</v>
      </c>
      <c r="R22" s="104" t="s">
        <v>154</v>
      </c>
    </row>
    <row r="23" spans="1:18" ht="17.399999999999999" customHeight="1" x14ac:dyDescent="0.3">
      <c r="A23" s="14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</row>
    <row r="24" spans="1:18" ht="17.399999999999999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</row>
    <row r="25" spans="1:18" ht="17.399999999999999" customHeight="1" x14ac:dyDescent="0.3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3"/>
    </row>
    <row r="26" spans="1:18" ht="22.05" customHeight="1" x14ac:dyDescent="0.3">
      <c r="A26" s="112" t="s">
        <v>6</v>
      </c>
      <c r="B26" s="113"/>
      <c r="C26" s="113"/>
      <c r="D26" s="113"/>
      <c r="E26" s="113"/>
      <c r="F26" s="114"/>
      <c r="G26" s="3">
        <v>45997</v>
      </c>
      <c r="H26" s="112" t="s">
        <v>7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4"/>
    </row>
    <row r="27" spans="1:18" ht="24" customHeight="1" x14ac:dyDescent="0.3">
      <c r="A27" s="4" t="s">
        <v>8</v>
      </c>
      <c r="B27" s="4" t="s">
        <v>9</v>
      </c>
      <c r="C27" s="4" t="s">
        <v>10</v>
      </c>
      <c r="D27" s="4" t="s">
        <v>11</v>
      </c>
      <c r="E27" s="4" t="s">
        <v>12</v>
      </c>
      <c r="F27" s="5" t="s">
        <v>13</v>
      </c>
      <c r="G27" s="6" t="s">
        <v>14</v>
      </c>
      <c r="H27" s="4" t="s">
        <v>15</v>
      </c>
      <c r="I27" s="4" t="s">
        <v>16</v>
      </c>
      <c r="J27" s="4" t="s">
        <v>17</v>
      </c>
      <c r="K27" s="4" t="s">
        <v>18</v>
      </c>
      <c r="L27" s="4" t="s">
        <v>19</v>
      </c>
      <c r="M27" s="4" t="s">
        <v>20</v>
      </c>
      <c r="N27" s="4" t="s">
        <v>21</v>
      </c>
      <c r="O27" s="4" t="s">
        <v>22</v>
      </c>
      <c r="P27" s="4" t="s">
        <v>23</v>
      </c>
      <c r="Q27" s="4" t="s">
        <v>24</v>
      </c>
      <c r="R27" s="4" t="s">
        <v>25</v>
      </c>
    </row>
    <row r="28" spans="1:18" ht="49.95" customHeight="1" x14ac:dyDescent="0.3">
      <c r="A28" s="41" t="s">
        <v>52</v>
      </c>
      <c r="B28" s="41" t="s">
        <v>140</v>
      </c>
      <c r="C28" s="41">
        <v>0.85416666666666663</v>
      </c>
      <c r="D28" s="41" t="s">
        <v>28</v>
      </c>
      <c r="E28" s="41" t="s">
        <v>29</v>
      </c>
      <c r="F28" s="41" t="s">
        <v>142</v>
      </c>
      <c r="G28" s="126"/>
      <c r="H28" s="42" t="s">
        <v>143</v>
      </c>
      <c r="I28" s="43">
        <v>0.1845</v>
      </c>
      <c r="J28" s="44">
        <v>31</v>
      </c>
      <c r="K28" s="45" t="s">
        <v>63</v>
      </c>
      <c r="L28" s="44">
        <v>6</v>
      </c>
      <c r="M28" s="44">
        <v>0</v>
      </c>
      <c r="N28" s="44">
        <v>2</v>
      </c>
      <c r="O28" s="45" t="s">
        <v>57</v>
      </c>
      <c r="P28" s="45">
        <v>0.85416666666666663</v>
      </c>
      <c r="Q28" s="44">
        <v>168</v>
      </c>
      <c r="R28" s="46" t="s">
        <v>155</v>
      </c>
    </row>
    <row r="29" spans="1:18" ht="15.6" x14ac:dyDescent="0.3">
      <c r="A29" s="123" t="s">
        <v>149</v>
      </c>
      <c r="B29" s="124"/>
      <c r="C29" s="124"/>
      <c r="D29" s="124"/>
      <c r="E29" s="124"/>
      <c r="F29" s="125"/>
      <c r="G29" s="116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</row>
    <row r="30" spans="1:18" ht="49.95" customHeight="1" x14ac:dyDescent="0.3">
      <c r="A30" s="97" t="s">
        <v>52</v>
      </c>
      <c r="B30" s="97" t="s">
        <v>150</v>
      </c>
      <c r="C30" s="97" t="s">
        <v>136</v>
      </c>
      <c r="D30" s="97" t="s">
        <v>60</v>
      </c>
      <c r="E30" s="97" t="s">
        <v>156</v>
      </c>
      <c r="F30" s="97" t="s">
        <v>152</v>
      </c>
      <c r="G30" s="126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</row>
    <row r="31" spans="1:18" ht="17.399999999999999" customHeight="1" x14ac:dyDescent="0.3">
      <c r="A31" s="141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3"/>
    </row>
    <row r="32" spans="1:18" ht="17.399999999999999" customHeight="1" x14ac:dyDescent="0.3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</row>
    <row r="33" spans="1:18" ht="17.399999999999999" customHeight="1" x14ac:dyDescent="0.3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3"/>
    </row>
    <row r="34" spans="1:18" ht="17.399999999999999" customHeight="1" x14ac:dyDescent="0.3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3"/>
    </row>
    <row r="35" spans="1:18" ht="22.05" customHeight="1" x14ac:dyDescent="0.3">
      <c r="A35" s="112" t="s">
        <v>6</v>
      </c>
      <c r="B35" s="113"/>
      <c r="C35" s="113"/>
      <c r="D35" s="113"/>
      <c r="E35" s="113"/>
      <c r="F35" s="114"/>
      <c r="G35" s="3">
        <v>46001</v>
      </c>
      <c r="H35" s="112" t="s">
        <v>7</v>
      </c>
      <c r="I35" s="113"/>
      <c r="J35" s="113"/>
      <c r="K35" s="113"/>
      <c r="L35" s="113"/>
      <c r="M35" s="113"/>
      <c r="N35" s="113"/>
      <c r="O35" s="113"/>
      <c r="P35" s="113"/>
      <c r="Q35" s="113"/>
      <c r="R35" s="114"/>
    </row>
    <row r="36" spans="1:18" ht="24" customHeight="1" x14ac:dyDescent="0.3">
      <c r="A36" s="4" t="s">
        <v>8</v>
      </c>
      <c r="B36" s="4" t="s">
        <v>9</v>
      </c>
      <c r="C36" s="4" t="s">
        <v>10</v>
      </c>
      <c r="D36" s="4" t="s">
        <v>11</v>
      </c>
      <c r="E36" s="4" t="s">
        <v>12</v>
      </c>
      <c r="F36" s="5" t="s">
        <v>13</v>
      </c>
      <c r="G36" s="6" t="s">
        <v>14</v>
      </c>
      <c r="H36" s="4" t="s">
        <v>15</v>
      </c>
      <c r="I36" s="4" t="s">
        <v>16</v>
      </c>
      <c r="J36" s="4" t="s">
        <v>17</v>
      </c>
      <c r="K36" s="4" t="s">
        <v>18</v>
      </c>
      <c r="L36" s="4" t="s">
        <v>19</v>
      </c>
      <c r="M36" s="4" t="s">
        <v>20</v>
      </c>
      <c r="N36" s="4" t="s">
        <v>21</v>
      </c>
      <c r="O36" s="4" t="s">
        <v>22</v>
      </c>
      <c r="P36" s="4" t="s">
        <v>23</v>
      </c>
      <c r="Q36" s="4" t="s">
        <v>24</v>
      </c>
      <c r="R36" s="4" t="s">
        <v>25</v>
      </c>
    </row>
    <row r="37" spans="1:18" ht="49.95" customHeight="1" x14ac:dyDescent="0.3">
      <c r="A37" s="91" t="s">
        <v>52</v>
      </c>
      <c r="B37" s="91" t="s">
        <v>143</v>
      </c>
      <c r="C37" s="91">
        <v>2.0833333333333329E-2</v>
      </c>
      <c r="D37" s="91" t="s">
        <v>157</v>
      </c>
      <c r="E37" s="91"/>
      <c r="F37" s="91" t="s">
        <v>158</v>
      </c>
      <c r="G37" s="116"/>
      <c r="H37" s="30" t="s">
        <v>143</v>
      </c>
      <c r="I37" s="31">
        <v>0.3095</v>
      </c>
      <c r="J37" s="32">
        <v>52</v>
      </c>
      <c r="K37" s="33" t="s">
        <v>56</v>
      </c>
      <c r="L37" s="32">
        <v>30</v>
      </c>
      <c r="M37" s="32">
        <v>3</v>
      </c>
      <c r="N37" s="32">
        <v>7</v>
      </c>
      <c r="O37" s="33" t="s">
        <v>57</v>
      </c>
      <c r="P37" s="33">
        <v>2.0833333333333329E-2</v>
      </c>
      <c r="Q37" s="32">
        <v>168</v>
      </c>
      <c r="R37" s="34" t="s">
        <v>159</v>
      </c>
    </row>
  </sheetData>
  <mergeCells count="39">
    <mergeCell ref="K2:R2"/>
    <mergeCell ref="A9:R9"/>
    <mergeCell ref="A31:R31"/>
    <mergeCell ref="A34:R34"/>
    <mergeCell ref="G37"/>
    <mergeCell ref="A11:F11"/>
    <mergeCell ref="A24:R24"/>
    <mergeCell ref="G28:G30"/>
    <mergeCell ref="H5:R5"/>
    <mergeCell ref="H11:R11"/>
    <mergeCell ref="A19:R19"/>
    <mergeCell ref="A10:R10"/>
    <mergeCell ref="G7"/>
    <mergeCell ref="G13:G15"/>
    <mergeCell ref="H1:L1"/>
    <mergeCell ref="A1:E1"/>
    <mergeCell ref="A26:F26"/>
    <mergeCell ref="G22"/>
    <mergeCell ref="A18:R18"/>
    <mergeCell ref="A2:F2"/>
    <mergeCell ref="A3:R3"/>
    <mergeCell ref="A14:F14"/>
    <mergeCell ref="A5:F5"/>
    <mergeCell ref="G2:J2"/>
    <mergeCell ref="A17:R17"/>
    <mergeCell ref="A23:R23"/>
    <mergeCell ref="A20:F20"/>
    <mergeCell ref="A8:R8"/>
    <mergeCell ref="A4:R4"/>
    <mergeCell ref="N1:R1"/>
    <mergeCell ref="H26:R26"/>
    <mergeCell ref="A25:R25"/>
    <mergeCell ref="H35:R35"/>
    <mergeCell ref="A16:R16"/>
    <mergeCell ref="H20:R20"/>
    <mergeCell ref="A33:R33"/>
    <mergeCell ref="A32:R32"/>
    <mergeCell ref="A35:F35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7"/>
  <sheetViews>
    <sheetView workbookViewId="0"/>
  </sheetViews>
  <sheetFormatPr defaultRowHeight="15.6" outlineLevelCol="1" x14ac:dyDescent="0.3"/>
  <cols>
    <col min="1" max="1" width="11.5546875" style="128" bestFit="1" customWidth="1"/>
    <col min="2" max="2" width="10.44140625" style="128" bestFit="1" customWidth="1"/>
    <col min="3" max="3" width="6.77734375" style="128" bestFit="1" customWidth="1"/>
    <col min="4" max="4" width="5.5546875" style="128" bestFit="1" customWidth="1"/>
    <col min="5" max="5" width="8.109375" style="128" bestFit="1" customWidth="1"/>
    <col min="6" max="6" width="4.21875" style="128" bestFit="1" customWidth="1"/>
    <col min="7" max="7" width="10" style="128" bestFit="1" customWidth="1"/>
    <col min="8" max="10" width="7" style="128" bestFit="1" customWidth="1"/>
    <col min="11" max="11" width="10.5546875" style="128" bestFit="1" customWidth="1"/>
    <col min="12" max="12" width="18.109375" style="128" bestFit="1" customWidth="1"/>
    <col min="13" max="13" width="7.6640625" style="128" bestFit="1" customWidth="1" outlineLevel="1"/>
    <col min="14" max="14" width="6.33203125" style="128" bestFit="1" customWidth="1" outlineLevel="1"/>
    <col min="15" max="15" width="8" style="128" bestFit="1" customWidth="1" outlineLevel="1"/>
    <col min="16" max="16" width="13.6640625" style="128" bestFit="1" customWidth="1"/>
    <col min="17" max="26" width="3.88671875" style="128" bestFit="1" customWidth="1"/>
    <col min="27" max="27" width="4" style="128" bestFit="1" customWidth="1"/>
    <col min="28" max="29" width="3.88671875" style="128" bestFit="1" customWidth="1"/>
    <col min="30" max="31" width="4.5546875" style="128" bestFit="1" customWidth="1"/>
    <col min="32" max="36" width="3.88671875" style="128" bestFit="1" customWidth="1"/>
    <col min="37" max="16384" width="8.88671875" style="128"/>
  </cols>
  <sheetData>
    <row r="1" spans="1:36" x14ac:dyDescent="0.3">
      <c r="A1" s="127" t="s">
        <v>77</v>
      </c>
      <c r="B1" s="127" t="s">
        <v>78</v>
      </c>
      <c r="C1" s="127" t="s">
        <v>79</v>
      </c>
      <c r="D1" s="127" t="s">
        <v>23</v>
      </c>
      <c r="E1" s="127" t="s">
        <v>80</v>
      </c>
      <c r="F1" s="127" t="s">
        <v>81</v>
      </c>
      <c r="G1" s="127" t="s">
        <v>16</v>
      </c>
      <c r="H1" s="127" t="s">
        <v>82</v>
      </c>
      <c r="I1" s="127" t="s">
        <v>83</v>
      </c>
      <c r="J1" s="127" t="s">
        <v>84</v>
      </c>
      <c r="K1" s="127" t="s">
        <v>85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86</v>
      </c>
      <c r="R1" s="127" t="s">
        <v>87</v>
      </c>
      <c r="S1" s="127" t="s">
        <v>88</v>
      </c>
      <c r="T1" s="127" t="s">
        <v>89</v>
      </c>
      <c r="U1" s="127" t="s">
        <v>90</v>
      </c>
      <c r="V1" s="127" t="s">
        <v>91</v>
      </c>
      <c r="W1" s="127" t="s">
        <v>92</v>
      </c>
      <c r="X1" s="127" t="s">
        <v>93</v>
      </c>
      <c r="Y1" s="127" t="s">
        <v>94</v>
      </c>
      <c r="Z1" s="127" t="s">
        <v>95</v>
      </c>
      <c r="AA1" s="127" t="s">
        <v>96</v>
      </c>
      <c r="AB1" s="127" t="s">
        <v>97</v>
      </c>
      <c r="AC1" s="127" t="s">
        <v>98</v>
      </c>
      <c r="AD1" s="127" t="s">
        <v>99</v>
      </c>
      <c r="AE1" s="127" t="s">
        <v>100</v>
      </c>
      <c r="AF1" s="127" t="s">
        <v>101</v>
      </c>
      <c r="AG1" s="127" t="s">
        <v>102</v>
      </c>
      <c r="AH1" s="127" t="s">
        <v>103</v>
      </c>
      <c r="AI1" s="127" t="s">
        <v>104</v>
      </c>
      <c r="AJ1" s="127" t="s">
        <v>105</v>
      </c>
    </row>
    <row r="2" spans="1:36" x14ac:dyDescent="0.3">
      <c r="A2" s="129" t="s">
        <v>160</v>
      </c>
      <c r="B2" s="130">
        <v>45987</v>
      </c>
      <c r="C2" s="131" t="s">
        <v>143</v>
      </c>
      <c r="D2" s="132" t="s">
        <v>161</v>
      </c>
      <c r="E2" s="131" t="s">
        <v>139</v>
      </c>
      <c r="F2" s="131" t="s">
        <v>108</v>
      </c>
      <c r="G2" s="133">
        <v>0.42259999999999998</v>
      </c>
      <c r="H2" s="134">
        <v>168</v>
      </c>
      <c r="I2" s="134">
        <v>71</v>
      </c>
      <c r="J2" s="134">
        <v>0</v>
      </c>
      <c r="K2" s="131" t="s">
        <v>109</v>
      </c>
      <c r="L2" s="135" t="s">
        <v>56</v>
      </c>
      <c r="M2" s="134">
        <v>1</v>
      </c>
      <c r="N2" s="134">
        <v>7</v>
      </c>
      <c r="O2" s="134">
        <v>44</v>
      </c>
      <c r="P2" s="131" t="s">
        <v>144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34" t="s">
        <v>162</v>
      </c>
      <c r="AB2" s="127"/>
      <c r="AC2" s="134" t="s">
        <v>126</v>
      </c>
      <c r="AD2" s="134" t="s">
        <v>127</v>
      </c>
      <c r="AE2" s="134" t="s">
        <v>163</v>
      </c>
      <c r="AF2" s="127"/>
      <c r="AG2" s="127"/>
      <c r="AH2" s="127"/>
      <c r="AI2" s="127"/>
      <c r="AJ2" s="127"/>
    </row>
    <row r="3" spans="1:36" x14ac:dyDescent="0.3">
      <c r="A3" s="129" t="s">
        <v>114</v>
      </c>
      <c r="B3" s="130">
        <v>45990</v>
      </c>
      <c r="C3" s="131" t="s">
        <v>143</v>
      </c>
      <c r="D3" s="132" t="s">
        <v>164</v>
      </c>
      <c r="E3" s="131" t="s">
        <v>139</v>
      </c>
      <c r="F3" s="131" t="s">
        <v>108</v>
      </c>
      <c r="G3" s="133">
        <v>0.29170000000000001</v>
      </c>
      <c r="H3" s="134">
        <v>168</v>
      </c>
      <c r="I3" s="134">
        <v>49</v>
      </c>
      <c r="J3" s="134">
        <v>0</v>
      </c>
      <c r="K3" s="131" t="s">
        <v>109</v>
      </c>
      <c r="L3" s="135" t="s">
        <v>56</v>
      </c>
      <c r="M3" s="134">
        <v>1</v>
      </c>
      <c r="N3" s="134">
        <v>6</v>
      </c>
      <c r="O3" s="134">
        <v>22</v>
      </c>
      <c r="P3" s="131" t="s">
        <v>147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34" t="s">
        <v>162</v>
      </c>
      <c r="AB3" s="127"/>
      <c r="AC3" s="127"/>
      <c r="AD3" s="134" t="s">
        <v>165</v>
      </c>
      <c r="AE3" s="134" t="s">
        <v>166</v>
      </c>
      <c r="AF3" s="127"/>
      <c r="AG3" s="127"/>
      <c r="AH3" s="127"/>
      <c r="AI3" s="127"/>
      <c r="AJ3" s="127"/>
    </row>
    <row r="4" spans="1:36" x14ac:dyDescent="0.3">
      <c r="A4" s="129" t="s">
        <v>160</v>
      </c>
      <c r="B4" s="130">
        <v>45994</v>
      </c>
      <c r="C4" s="131" t="s">
        <v>143</v>
      </c>
      <c r="D4" s="132" t="s">
        <v>161</v>
      </c>
      <c r="E4" s="131" t="s">
        <v>139</v>
      </c>
      <c r="F4" s="131" t="s">
        <v>108</v>
      </c>
      <c r="G4" s="133">
        <v>0.2321</v>
      </c>
      <c r="H4" s="134">
        <v>168</v>
      </c>
      <c r="I4" s="134">
        <v>39</v>
      </c>
      <c r="J4" s="134">
        <v>0</v>
      </c>
      <c r="K4" s="131" t="s">
        <v>109</v>
      </c>
      <c r="L4" s="135" t="s">
        <v>153</v>
      </c>
      <c r="M4" s="134">
        <v>0</v>
      </c>
      <c r="N4" s="134">
        <v>0</v>
      </c>
      <c r="O4" s="134">
        <v>17</v>
      </c>
      <c r="P4" s="131" t="s">
        <v>127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34" t="s">
        <v>167</v>
      </c>
      <c r="AD4" s="134" t="s">
        <v>168</v>
      </c>
      <c r="AE4" s="134" t="s">
        <v>166</v>
      </c>
      <c r="AF4" s="127"/>
      <c r="AG4" s="127"/>
      <c r="AH4" s="127"/>
      <c r="AI4" s="127"/>
      <c r="AJ4" s="127"/>
    </row>
    <row r="5" spans="1:36" x14ac:dyDescent="0.3">
      <c r="A5" s="129" t="s">
        <v>114</v>
      </c>
      <c r="B5" s="130">
        <v>45997</v>
      </c>
      <c r="C5" s="131" t="s">
        <v>143</v>
      </c>
      <c r="D5" s="132" t="s">
        <v>164</v>
      </c>
      <c r="E5" s="131" t="s">
        <v>139</v>
      </c>
      <c r="F5" s="131" t="s">
        <v>108</v>
      </c>
      <c r="G5" s="133">
        <v>0.1845</v>
      </c>
      <c r="H5" s="134">
        <v>168</v>
      </c>
      <c r="I5" s="134">
        <v>31</v>
      </c>
      <c r="J5" s="134">
        <v>0</v>
      </c>
      <c r="K5" s="131" t="s">
        <v>109</v>
      </c>
      <c r="L5" s="135" t="s">
        <v>63</v>
      </c>
      <c r="M5" s="134">
        <v>0</v>
      </c>
      <c r="N5" s="134">
        <v>2</v>
      </c>
      <c r="O5" s="134">
        <v>6</v>
      </c>
      <c r="P5" s="131" t="s">
        <v>57</v>
      </c>
      <c r="Q5" s="127"/>
      <c r="R5" s="127"/>
      <c r="S5" s="127"/>
      <c r="T5" s="127"/>
      <c r="U5" s="127"/>
      <c r="V5" s="127"/>
      <c r="W5" s="127"/>
      <c r="X5" s="127"/>
      <c r="Y5" s="127"/>
      <c r="Z5" s="134" t="s">
        <v>116</v>
      </c>
      <c r="AA5" s="127"/>
      <c r="AB5" s="127"/>
      <c r="AC5" s="127"/>
      <c r="AD5" s="134" t="s">
        <v>169</v>
      </c>
      <c r="AE5" s="134" t="s">
        <v>170</v>
      </c>
      <c r="AF5" s="127"/>
      <c r="AG5" s="127"/>
      <c r="AH5" s="127"/>
      <c r="AI5" s="127"/>
      <c r="AJ5" s="127"/>
    </row>
    <row r="6" spans="1:36" x14ac:dyDescent="0.3">
      <c r="A6" s="129" t="s">
        <v>160</v>
      </c>
      <c r="B6" s="130">
        <v>46001</v>
      </c>
      <c r="C6" s="131" t="s">
        <v>143</v>
      </c>
      <c r="D6" s="132" t="s">
        <v>161</v>
      </c>
      <c r="E6" s="131" t="s">
        <v>139</v>
      </c>
      <c r="F6" s="131" t="s">
        <v>108</v>
      </c>
      <c r="G6" s="133">
        <v>0.3095</v>
      </c>
      <c r="H6" s="134">
        <v>168</v>
      </c>
      <c r="I6" s="134">
        <v>52</v>
      </c>
      <c r="J6" s="134">
        <v>0</v>
      </c>
      <c r="K6" s="131" t="s">
        <v>109</v>
      </c>
      <c r="L6" s="135" t="s">
        <v>56</v>
      </c>
      <c r="M6" s="134">
        <v>3</v>
      </c>
      <c r="N6" s="134">
        <v>7</v>
      </c>
      <c r="O6" s="134">
        <v>30</v>
      </c>
      <c r="P6" s="131" t="s">
        <v>57</v>
      </c>
      <c r="Q6" s="127"/>
      <c r="R6" s="127"/>
      <c r="S6" s="127"/>
      <c r="T6" s="127"/>
      <c r="U6" s="127"/>
      <c r="V6" s="127"/>
      <c r="W6" s="127"/>
      <c r="X6" s="127"/>
      <c r="Y6" s="127"/>
      <c r="Z6" s="134" t="s">
        <v>116</v>
      </c>
      <c r="AA6" s="127"/>
      <c r="AB6" s="127"/>
      <c r="AC6" s="134" t="s">
        <v>126</v>
      </c>
      <c r="AD6" s="134" t="s">
        <v>171</v>
      </c>
      <c r="AE6" s="134" t="s">
        <v>172</v>
      </c>
      <c r="AF6" s="127"/>
      <c r="AG6" s="127"/>
      <c r="AH6" s="127"/>
      <c r="AI6" s="127"/>
      <c r="AJ6" s="127"/>
    </row>
    <row r="7" spans="1:36" ht="21" x14ac:dyDescent="0.3">
      <c r="A7" s="136" t="s">
        <v>174</v>
      </c>
      <c r="B7" s="137"/>
      <c r="C7" s="136">
        <f>SUBTOTAL(103,ELQ_ATZ_LF_LEGACY[Flt])</f>
        <v>5</v>
      </c>
      <c r="D7" s="136"/>
      <c r="E7" s="136">
        <f>SUBTOTAL(103,ELQ_ATZ_LF_LEGACY[Brd-Off])</f>
        <v>5</v>
      </c>
      <c r="F7" s="136"/>
      <c r="G7" s="138">
        <f>SUBTOTAL(101,ELQ_ATZ_LF_LEGACY[LF%])</f>
        <v>0.28808</v>
      </c>
      <c r="H7" s="139">
        <f>SUBTOTAL(109,ELQ_ATZ_LF_LEGACY[CAP])</f>
        <v>840</v>
      </c>
      <c r="I7" s="139">
        <f>SUBTOTAL(109,ELQ_ATZ_LF_LEGACY[BKG(Y)])</f>
        <v>242</v>
      </c>
      <c r="J7" s="139">
        <f>SUBTOTAL(109,ELQ_ATZ_LF_LEGACY[GRP(Y)])</f>
        <v>0</v>
      </c>
      <c r="K7" s="136"/>
      <c r="L7" s="137"/>
      <c r="M7" s="139">
        <f>SUBTOTAL(109,ELQ_ATZ_LF_LEGACY[TO-DAY])</f>
        <v>5</v>
      </c>
      <c r="N7" s="139">
        <f>SUBTOTAL(109,ELQ_ATZ_LF_LEGACY[Y-DAY])</f>
        <v>22</v>
      </c>
      <c r="O7" s="139">
        <f>SUBTOTAL(109,ELQ_ATZ_LF_LEGACY[WEEKLY])</f>
        <v>119</v>
      </c>
      <c r="P7" s="140"/>
      <c r="Q7" s="139">
        <f>SUBTOTAL(109,ELQ_ATZ_LF_LEGACY[Y])</f>
        <v>0</v>
      </c>
      <c r="R7" s="139">
        <f>SUBTOTAL(109,ELQ_ATZ_LF_LEGACY[B])</f>
        <v>0</v>
      </c>
      <c r="S7" s="139">
        <f>SUBTOTAL(109,ELQ_ATZ_LF_LEGACY[M])</f>
        <v>0</v>
      </c>
      <c r="T7" s="139">
        <f>SUBTOTAL(109,ELQ_ATZ_LF_LEGACY[H])</f>
        <v>0</v>
      </c>
      <c r="U7" s="139">
        <f>SUBTOTAL(109,ELQ_ATZ_LF_LEGACY[Q])</f>
        <v>0</v>
      </c>
      <c r="V7" s="139">
        <f>SUBTOTAL(109,ELQ_ATZ_LF_LEGACY[K])</f>
        <v>0</v>
      </c>
      <c r="W7" s="139">
        <f>SUBTOTAL(109,ELQ_ATZ_LF_LEGACY[V])</f>
        <v>0</v>
      </c>
      <c r="X7" s="139">
        <f>SUBTOTAL(109,ELQ_ATZ_LF_LEGACY[L])</f>
        <v>0</v>
      </c>
      <c r="Y7" s="139">
        <f>SUBTOTAL(109,ELQ_ATZ_LF_LEGACY[G])</f>
        <v>0</v>
      </c>
      <c r="Z7" s="139">
        <f>SUBTOTAL(109,ELQ_ATZ_LF_LEGACY[S])</f>
        <v>0</v>
      </c>
      <c r="AA7" s="139">
        <f>SUBTOTAL(109,ELQ_ATZ_LF_LEGACY[W])</f>
        <v>0</v>
      </c>
      <c r="AB7" s="139">
        <f>SUBTOTAL(109,ELQ_ATZ_LF_LEGACY[T])</f>
        <v>0</v>
      </c>
      <c r="AC7" s="139">
        <f>SUBTOTAL(109,ELQ_ATZ_LF_LEGACY[X])</f>
        <v>0</v>
      </c>
      <c r="AD7" s="139">
        <f>SUBTOTAL(109,ELQ_ATZ_LF_LEGACY[U])</f>
        <v>0</v>
      </c>
      <c r="AE7" s="139">
        <f>SUBTOTAL(109,ELQ_ATZ_LF_LEGACY[O])</f>
        <v>0</v>
      </c>
      <c r="AF7" s="139">
        <f>SUBTOTAL(109,ELQ_ATZ_LF_LEGACY[I])</f>
        <v>0</v>
      </c>
      <c r="AG7" s="139">
        <f>SUBTOTAL(109,ELQ_ATZ_LF_LEGACY[E])</f>
        <v>0</v>
      </c>
      <c r="AH7" s="139">
        <f>SUBTOTAL(109,ELQ_ATZ_LF_LEGACY[A])</f>
        <v>0</v>
      </c>
      <c r="AI7" s="139">
        <f>SUBTOTAL(109,ELQ_ATZ_LF_LEGACY[P])</f>
        <v>0</v>
      </c>
      <c r="AJ7" s="139">
        <f>SUBTOTAL(103,ELQ_ATZ_LF_LEGACY[N])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33203125" bestFit="1" customWidth="1"/>
    <col min="7" max="7" width="20" bestFit="1" customWidth="1"/>
    <col min="8" max="8" width="23.6640625" bestFit="1" customWidth="1"/>
    <col min="9" max="9" width="166" hidden="1" customWidth="1"/>
  </cols>
  <sheetData>
    <row r="1" spans="1:8" ht="18" x14ac:dyDescent="0.3">
      <c r="A1" s="55" t="s">
        <v>129</v>
      </c>
      <c r="B1" s="56" t="s">
        <v>8</v>
      </c>
      <c r="C1" s="56" t="s">
        <v>9</v>
      </c>
      <c r="D1" s="56" t="s">
        <v>130</v>
      </c>
      <c r="E1" s="56" t="s">
        <v>10</v>
      </c>
      <c r="F1" s="56" t="s">
        <v>11</v>
      </c>
      <c r="G1" s="56" t="s">
        <v>12</v>
      </c>
      <c r="H1" s="57" t="s">
        <v>13</v>
      </c>
    </row>
    <row r="2" spans="1:8" ht="19.8" customHeight="1" x14ac:dyDescent="0.3">
      <c r="A2" s="105" t="s">
        <v>135</v>
      </c>
      <c r="B2" s="78" t="s">
        <v>52</v>
      </c>
      <c r="C2" s="79" t="s">
        <v>140</v>
      </c>
      <c r="D2" s="78" t="s">
        <v>139</v>
      </c>
      <c r="E2" s="78" t="s">
        <v>161</v>
      </c>
      <c r="F2" s="78" t="s">
        <v>28</v>
      </c>
      <c r="G2" s="81">
        <v>8</v>
      </c>
      <c r="H2" s="82">
        <v>363</v>
      </c>
    </row>
    <row r="3" spans="1:8" ht="19.8" customHeight="1" x14ac:dyDescent="0.3">
      <c r="A3" s="83">
        <v>45990</v>
      </c>
      <c r="B3" s="69" t="s">
        <v>52</v>
      </c>
      <c r="C3" s="70" t="s">
        <v>140</v>
      </c>
      <c r="D3" s="69" t="s">
        <v>139</v>
      </c>
      <c r="E3" s="84">
        <v>1.854166666666667</v>
      </c>
      <c r="F3" s="69" t="s">
        <v>28</v>
      </c>
      <c r="G3" s="71">
        <v>2</v>
      </c>
      <c r="H3" s="72">
        <v>413</v>
      </c>
    </row>
    <row r="4" spans="1:8" ht="19.8" customHeight="1" x14ac:dyDescent="0.3">
      <c r="A4" s="106"/>
      <c r="B4" s="107"/>
      <c r="C4" s="107"/>
      <c r="D4" s="107"/>
      <c r="E4" s="107"/>
      <c r="F4" s="108" t="s">
        <v>173</v>
      </c>
      <c r="G4" s="107"/>
      <c r="H4" s="109"/>
    </row>
    <row r="5" spans="1:8" ht="19.8" customHeight="1" x14ac:dyDescent="0.3">
      <c r="A5" s="73">
        <v>45990</v>
      </c>
      <c r="B5" s="64" t="s">
        <v>52</v>
      </c>
      <c r="C5" s="65" t="s">
        <v>150</v>
      </c>
      <c r="D5" s="64" t="s">
        <v>1</v>
      </c>
      <c r="E5" s="74">
        <v>1.9375</v>
      </c>
      <c r="F5" s="64" t="s">
        <v>60</v>
      </c>
      <c r="G5" s="66">
        <v>2</v>
      </c>
      <c r="H5" s="110" t="s">
        <v>152</v>
      </c>
    </row>
    <row r="6" spans="1:8" ht="19.8" customHeight="1" x14ac:dyDescent="0.3">
      <c r="A6" s="77">
        <v>45994</v>
      </c>
      <c r="B6" s="78" t="s">
        <v>52</v>
      </c>
      <c r="C6" s="79" t="s">
        <v>140</v>
      </c>
      <c r="D6" s="78" t="s">
        <v>139</v>
      </c>
      <c r="E6" s="80">
        <v>1.020833333333333</v>
      </c>
      <c r="F6" s="78" t="s">
        <v>28</v>
      </c>
      <c r="G6" s="81">
        <v>9</v>
      </c>
      <c r="H6" s="82">
        <v>413</v>
      </c>
    </row>
    <row r="7" spans="1:8" ht="19.8" customHeight="1" x14ac:dyDescent="0.3">
      <c r="A7" s="83">
        <v>45997</v>
      </c>
      <c r="B7" s="69" t="s">
        <v>52</v>
      </c>
      <c r="C7" s="70" t="s">
        <v>140</v>
      </c>
      <c r="D7" s="69" t="s">
        <v>139</v>
      </c>
      <c r="E7" s="84">
        <v>1.854166666666667</v>
      </c>
      <c r="F7" s="69" t="s">
        <v>28</v>
      </c>
      <c r="G7" s="71">
        <v>9</v>
      </c>
      <c r="H7" s="72">
        <v>363</v>
      </c>
    </row>
    <row r="8" spans="1:8" ht="19.8" customHeight="1" x14ac:dyDescent="0.3">
      <c r="A8" s="106"/>
      <c r="B8" s="107"/>
      <c r="C8" s="107"/>
      <c r="D8" s="107"/>
      <c r="E8" s="107"/>
      <c r="F8" s="108" t="s">
        <v>173</v>
      </c>
      <c r="G8" s="107"/>
      <c r="H8" s="109"/>
    </row>
    <row r="9" spans="1:8" ht="19.8" customHeight="1" x14ac:dyDescent="0.3">
      <c r="A9" s="73">
        <v>45997</v>
      </c>
      <c r="B9" s="64" t="s">
        <v>52</v>
      </c>
      <c r="C9" s="65" t="s">
        <v>150</v>
      </c>
      <c r="D9" s="64" t="s">
        <v>1</v>
      </c>
      <c r="E9" s="74">
        <v>1.9375</v>
      </c>
      <c r="F9" s="64" t="s">
        <v>60</v>
      </c>
      <c r="G9" s="66">
        <v>9</v>
      </c>
      <c r="H9" s="110" t="s">
        <v>152</v>
      </c>
    </row>
    <row r="10" spans="1:8" ht="19.8" customHeight="1" x14ac:dyDescent="0.3">
      <c r="A10" s="77">
        <v>46001</v>
      </c>
      <c r="B10" s="78" t="s">
        <v>52</v>
      </c>
      <c r="C10" s="79" t="s">
        <v>140</v>
      </c>
      <c r="D10" s="78" t="s">
        <v>139</v>
      </c>
      <c r="E10" s="80">
        <v>1.020833333333333</v>
      </c>
      <c r="F10" s="78"/>
      <c r="G10" s="78"/>
      <c r="H10" s="111" t="s">
        <v>158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</vt:lpstr>
      <vt:lpstr>ELQ-CAI LF LEGACY</vt:lpstr>
      <vt:lpstr>ELQ-CAI - FOCUS MODE</vt:lpstr>
      <vt:lpstr>ELQ-ATZ</vt:lpstr>
      <vt:lpstr>ELQ-ATZ LF LEGACY</vt:lpstr>
      <vt:lpstr>ELQ-ATZ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2025-11-21T16:51:30Z</dcterms:created>
  <dcterms:modified xsi:type="dcterms:W3CDTF">2025-11-21T16:51:39Z</dcterms:modified>
</cp:coreProperties>
</file>