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77F3A8F-40D2-4835-9B54-FAF18050D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- FOCUS MODE" sheetId="3" r:id="rId3"/>
    <sheet name="MED-HBE" sheetId="4" r:id="rId4"/>
    <sheet name="MED-HBE LF LEGACY" sheetId="5" r:id="rId5"/>
    <sheet name="MED-HBE - FOCUS MODE" sheetId="6" r:id="rId6"/>
    <sheet name="MED-ATZ" sheetId="7" r:id="rId7"/>
    <sheet name="MED-ATZ LF LEGACY" sheetId="8" r:id="rId8"/>
    <sheet name="MED-ATZ - FOCUS MOD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8" l="1"/>
  <c r="E9" i="8"/>
  <c r="G9" i="8"/>
  <c r="H9" i="8"/>
  <c r="I9" i="8"/>
  <c r="J9" i="8"/>
  <c r="M9" i="8"/>
  <c r="N9" i="8"/>
  <c r="O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C12" i="5"/>
  <c r="E12" i="5"/>
  <c r="G12" i="5"/>
  <c r="H12" i="5"/>
  <c r="I12" i="5"/>
  <c r="J12" i="5"/>
  <c r="M12" i="5"/>
  <c r="N12" i="5"/>
  <c r="O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C17" i="2"/>
  <c r="E17" i="2"/>
  <c r="G17" i="2"/>
  <c r="H17" i="2"/>
  <c r="I17" i="2"/>
  <c r="J17" i="2"/>
  <c r="M17" i="2"/>
  <c r="N17" i="2"/>
  <c r="O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30B9E207-AE81-47F9-A239-963F1AE711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L5 &amp; G14 &amp; S10 &amp; W10 &amp; T10 &amp; X10 &amp; U10 &amp; O10 &amp; I10</t>
        </r>
      </text>
    </comment>
    <comment ref="F9" authorId="0" shapeId="0" xr:uid="{EA32E4D0-76EC-4507-86A7-4E229E4FE31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I4 &amp; E44 &amp; P114</t>
        </r>
      </text>
    </comment>
    <comment ref="F22" authorId="0" shapeId="0" xr:uid="{B14C628F-853B-42A6-9EC8-0EB632A465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Q2 &amp; K5 &amp; V4 &amp; S11 &amp; X3 &amp; U5 &amp; O9 &amp; I17 &amp; P123</t>
        </r>
      </text>
    </comment>
    <comment ref="F39" authorId="0" shapeId="0" xr:uid="{2F85FD8D-8006-489C-B173-CDD809F4E0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B4]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L2 &amp; S1 &amp; U6 &amp; O9 &amp; I17 &amp; P128 &amp; N1</t>
        </r>
      </text>
    </comment>
    <comment ref="F72" authorId="0" shapeId="0" xr:uid="{6CD5F141-A2A0-4F2B-BEC5-07D5DE6E7F9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103.0%]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G2 &amp; S12 &amp; I22 &amp; P133 &amp; N4</t>
        </r>
      </text>
    </comment>
    <comment ref="F79" authorId="0" shapeId="0" xr:uid="{BEC5F649-39A3-42B3-92B9-998DEB34627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L4 &amp; G3 &amp; S4 &amp; W4 &amp; T4 &amp; X4 &amp; U4 &amp; O4 &amp; I4 &amp; P133</t>
        </r>
      </text>
    </comment>
    <comment ref="F98" authorId="0" shapeId="0" xr:uid="{4E2BE3EB-C365-4167-94F8-38750E4799F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V9]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L10 &amp; G10 &amp; S10 &amp; W10 &amp; T10 &amp; X10 &amp; U10 &amp; O10 &amp; I10 &amp; P41</t>
        </r>
      </text>
    </comment>
    <comment ref="F100" authorId="0" shapeId="0" xr:uid="{EC2B8A45-4F71-42CC-BC6B-C045ACC977F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K6]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X9 &amp; U8 &amp; O8 &amp; I17 &amp; E29 &amp; P90 &amp; N1</t>
        </r>
      </text>
    </comment>
    <comment ref="F110" authorId="0" shapeId="0" xr:uid="{890410EC-05ED-4E9E-93EC-A84973BDEC0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S5 &amp; O9 &amp; I17 &amp; E46 &amp; P90 &amp; N2</t>
        </r>
      </text>
    </comment>
    <comment ref="F133" authorId="0" shapeId="0" xr:uid="{995EB951-2AFC-4A07-AE61-4D12DD98CA2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Y3 &amp; S4 &amp; U1 &amp; O9 &amp; I17 &amp; P135</t>
        </r>
      </text>
    </comment>
    <comment ref="F157" authorId="0" shapeId="0" xr:uid="{6F4423F4-4628-4EC2-A436-8A075207A3F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104.2%]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X1 &amp; U8 &amp; O9 &amp; I17 &amp; P137 &amp; N2</t>
        </r>
      </text>
    </comment>
    <comment ref="F171" authorId="0" shapeId="0" xr:uid="{3C5E8BF6-9337-4C83-9C72-8537685997F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S4 &amp; W4 &amp; T4 &amp; X4 &amp; U6 &amp; O4 &amp; I4 &amp; P145</t>
        </r>
      </text>
    </comment>
    <comment ref="F184" authorId="0" shapeId="0" xr:uid="{EE804333-C9E1-438D-A38D-689D1C8A262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X2 &amp; U7 &amp; O8 &amp; I17 &amp; P132</t>
        </r>
      </text>
    </comment>
    <comment ref="F185" authorId="0" shapeId="0" xr:uid="{FE974F37-4FED-4C17-BBED-9C83D85E072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G6 &amp; S16 &amp; W4 &amp; T10 &amp; X10 &amp; U10 &amp; O10 &amp; I10 &amp; P90</t>
        </r>
      </text>
    </comment>
    <comment ref="F196" authorId="0" shapeId="0" xr:uid="{74A551FC-A2EF-49C5-B3D9-5989A733192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U8 &amp; O6 &amp; I19 &amp; E40 &amp; P89 &amp; N4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A8C652B0-9844-4C0F-9671-3EABB785039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Q2]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Q1 &amp; K4 &amp; V2 &amp; L6 &amp; X8 &amp; P153</t>
        </r>
      </text>
    </comment>
    <comment ref="F3" authorId="0" shapeId="0" xr:uid="{4C6EE7D4-7F6C-4174-892D-0B34BDA9D2D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H5]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Q3 &amp; S2 &amp; X7 &amp; U8 &amp; O8 &amp; I6 &amp; P135</t>
        </r>
      </text>
    </comment>
    <comment ref="F4" authorId="0" shapeId="0" xr:uid="{AB5555D1-A18B-4E30-9E5A-D72FCBE103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M4]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 &amp; L6 &amp; S29 &amp; T8 &amp; X10 &amp; P121</t>
        </r>
      </text>
    </comment>
    <comment ref="F5" authorId="0" shapeId="0" xr:uid="{4A95786B-DB51-46D2-A127-01B0C816D95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B9]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H3 &amp; S14 &amp; X9 &amp; P144</t>
        </r>
      </text>
    </comment>
    <comment ref="F6" authorId="0" shapeId="0" xr:uid="{0EDF0EBC-E3DE-4B5E-9606-C9DF3968EA8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O7 &amp; I8 &amp; P161</t>
        </r>
      </text>
    </comment>
    <comment ref="F7" authorId="0" shapeId="0" xr:uid="{BA56A893-66B0-463D-A5AE-DA2830D07ED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100.0%]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I4 &amp; P173</t>
        </r>
      </text>
    </comment>
    <comment ref="F9" authorId="0" shapeId="0" xr:uid="{C317FEB4-742D-4AB7-B0D6-C7C2430909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Y5]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Y1 &amp; L7 &amp; S9 &amp; U4 &amp; O10 &amp; I9 &amp; P130</t>
        </r>
      </text>
    </comment>
    <comment ref="F11" authorId="0" shapeId="0" xr:uid="{7E4632B1-BBAF-4D36-BB8A-4C937DBBFEA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95.5%]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G4 &amp; S6 &amp; X1 &amp; U6 &amp; O10 &amp; I10 &amp; P134</t>
        </r>
      </text>
    </comment>
    <comment ref="F12" authorId="0" shapeId="0" xr:uid="{F3C37306-D753-4F1E-AC2F-D518155B3E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G9 &amp; S2 &amp; I5 &amp; P161</t>
        </r>
      </text>
    </comment>
    <comment ref="F13" authorId="0" shapeId="0" xr:uid="{BECBE060-775F-46CB-985E-9BF44FEC121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P2]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L3 &amp; G4 &amp; S4 &amp; W4 &amp; T8 &amp; X8 &amp; P133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A5F62B43-3387-4E98-898E-E688BF47168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S12 &amp; X4 &amp; U14 &amp; O25 &amp; I25 &amp; P50</t>
        </r>
      </text>
    </comment>
    <comment ref="F3" authorId="0" shapeId="0" xr:uid="{674EFDA9-97CE-4467-870E-A4FC809533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48.8%]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X5 &amp; U21 &amp; O30 &amp; I20</t>
        </r>
      </text>
    </comment>
    <comment ref="F6" authorId="0" shapeId="0" xr:uid="{64C50F7F-7778-468E-A09C-F7E7CB29655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X18 &amp; U5 &amp; O3 &amp; I9 &amp; P86</t>
        </r>
      </text>
    </comment>
    <comment ref="F7" authorId="0" shapeId="0" xr:uid="{C90FAA95-A38B-4FA3-A125-134BFDE110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X3 &amp; U8 &amp; O9 &amp; I23 &amp; P79</t>
        </r>
      </text>
    </comment>
    <comment ref="F8" authorId="0" shapeId="0" xr:uid="{3B9BBFC4-787D-4F91-8962-0B95B3504D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U1 &amp; O6 &amp; I19</t>
        </r>
      </text>
    </comment>
    <comment ref="F11" authorId="0" shapeId="0" xr:uid="{0B9C79EF-572C-446A-ADCC-15A7BC3647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47.0%]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16-NOV]_x000D_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X7 &amp; U5 &amp; O3 &amp; I9 &amp; P52</t>
        </r>
      </text>
    </comment>
    <comment ref="F12" authorId="0" shapeId="0" xr:uid="{007D15C6-AC00-4D84-B5F6-468B52B416F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51.8%]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X1 &amp; U5 &amp; O13 &amp; I17 &amp; P49</t>
        </r>
      </text>
    </comment>
  </commentList>
</comments>
</file>

<file path=xl/sharedStrings.xml><?xml version="1.0" encoding="utf-8"?>
<sst xmlns="http://schemas.openxmlformats.org/spreadsheetml/2006/main" count="3616" uniqueCount="391">
  <si>
    <t>COMPREHENSIVE REPORT</t>
  </si>
  <si>
    <t>MED-CAI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</si>
  <si>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</si>
  <si>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</si>
  <si>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</si>
  <si>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</si>
  <si>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</si>
  <si>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</si>
  <si>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</si>
  <si>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</si>
  <si>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</si>
  <si>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</si>
  <si>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</si>
  <si>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</si>
  <si>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</si>
  <si>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</si>
  <si>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</si>
  <si>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</si>
  <si>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</si>
  <si>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</si>
  <si>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</si>
  <si>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</si>
  <si>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</si>
  <si>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</si>
  <si>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</si>
  <si>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</si>
  <si>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</si>
  <si>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</si>
  <si>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</si>
  <si>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</si>
  <si>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559 SAR</t>
  </si>
  <si>
    <t>Cabin: 10 KG / Check-in: 25 KG</t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</si>
  <si>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</si>
  <si>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709 SAR</t>
  </si>
  <si>
    <t>Cabin: 10 KG / Check-in: 2 x 40 KG</t>
  </si>
  <si>
    <t>1,099 SAR</t>
  </si>
  <si>
    <t>flynas</t>
  </si>
  <si>
    <t>XY-576</t>
  </si>
  <si>
    <t>Cabin: 7 KG / Check-in: 20 KG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</si>
  <si>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</si>
  <si>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639 SAR</t>
  </si>
  <si>
    <t>Cabin: 7 KG / Check-in: 30 KG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</si>
  <si>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</si>
  <si>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739 SAR</t>
  </si>
  <si>
    <t>Cabin: 7 KG / Check-in: 2 x 40 KG</t>
  </si>
  <si>
    <t>829 SAR</t>
  </si>
  <si>
    <t>Air Cairo</t>
  </si>
  <si>
    <t>SM-488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</si>
  <si>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</si>
  <si>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</si>
  <si>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758 SAR</t>
  </si>
  <si>
    <t>SM488</t>
  </si>
  <si>
    <t>2025-11-20 00:00:00</t>
  </si>
  <si>
    <t>G9</t>
  </si>
  <si>
    <t>L5 &amp; G14 &amp; S10 &amp; W10 &amp; T10 &amp; X10 &amp; U10 &amp; O10 &amp; I10</t>
  </si>
  <si>
    <t>SM-496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</si>
  <si>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</si>
  <si>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t>914 SAR</t>
  </si>
  <si>
    <t>SM496</t>
  </si>
  <si>
    <t>2025-11-04 00:00:00</t>
  </si>
  <si>
    <t>V8</t>
  </si>
  <si>
    <t>L1 &amp; I4 &amp; E44 &amp; P114</t>
  </si>
  <si>
    <t>SM494</t>
  </si>
  <si>
    <t>30KG + 7KG CABIN</t>
  </si>
  <si>
    <t>FULLY BOOKED</t>
  </si>
  <si>
    <t>2025-11-19 00:00:00</t>
  </si>
  <si>
    <t>CLOSED</t>
  </si>
  <si>
    <t>Q2 &amp; K5 &amp; V4 &amp; S11 &amp; X3 &amp; U5 &amp; O9 &amp; I17 &amp; P123</t>
  </si>
  <si>
    <t>EgyptAir</t>
  </si>
  <si>
    <t>MS-676</t>
  </si>
  <si>
    <t>Cabin: 7 KG | Check-in: 2 PIECE</t>
  </si>
  <si>
    <t>866 SAR</t>
  </si>
  <si>
    <t>MS-694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</si>
  <si>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</si>
  <si>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962 SAR</t>
  </si>
  <si>
    <t>MS-696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</si>
  <si>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</si>
  <si>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t>MS-640</t>
  </si>
  <si>
    <t>MS-678</t>
  </si>
  <si>
    <t>1,654 SAR</t>
  </si>
  <si>
    <t>Saudia</t>
  </si>
  <si>
    <t>SV-319</t>
  </si>
  <si>
    <t>Cabin: 7 KG / Check-in: 23 KG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</si>
  <si>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</si>
  <si>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1,020 SAR</t>
  </si>
  <si>
    <t>Cabin: 7 KG / Check-in: 2 x 46 KG</t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</si>
  <si>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</si>
  <si>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1,160 SAR</t>
  </si>
  <si>
    <t>SV-6903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</si>
  <si>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</si>
  <si>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</si>
  <si>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SV-381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</si>
  <si>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</si>
  <si>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t>1,868 SAR</t>
  </si>
  <si>
    <t>2,009 SAR</t>
  </si>
  <si>
    <t>SV-391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</si>
  <si>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</si>
  <si>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757 SAR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</si>
  <si>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</si>
  <si>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1,121 SAR</t>
  </si>
  <si>
    <t>1,465 SAR</t>
  </si>
  <si>
    <t>1,385 SAR</t>
  </si>
  <si>
    <t>1,525 SAR</t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</si>
  <si>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</si>
  <si>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</si>
  <si>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</si>
  <si>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1,945 SAR</t>
  </si>
  <si>
    <t>SM-494</t>
  </si>
  <si>
    <t>1,472 SAR</t>
  </si>
  <si>
    <t>B4</t>
  </si>
  <si>
    <t>V7 &amp; L2 &amp; S1 &amp; U6 &amp; O9 &amp; I17 &amp; P128 &amp; N1</t>
  </si>
  <si>
    <t>2,165 SAR</t>
  </si>
  <si>
    <t>2,305 SAR</t>
  </si>
  <si>
    <t>619 SAR</t>
  </si>
  <si>
    <t>769 SAR</t>
  </si>
  <si>
    <t>XY-793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</si>
  <si>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</si>
  <si>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749 SAR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</si>
  <si>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</si>
  <si>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849 SAR</t>
  </si>
  <si>
    <t>939 SAR</t>
  </si>
  <si>
    <t>1,259 SAR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</si>
  <si>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</si>
  <si>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1,313 SAR</t>
  </si>
  <si>
    <t>1,399 SAR</t>
  </si>
  <si>
    <t>2025-11-09 00:00:00</t>
  </si>
  <si>
    <t>G2 &amp; S12 &amp; I22 &amp; P133 &amp; N4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</si>
  <si>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</si>
  <si>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</si>
  <si>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889 SAR</t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</si>
  <si>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</si>
  <si>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989 SAR</t>
  </si>
  <si>
    <t>1,079 SAR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</si>
  <si>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</si>
  <si>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1,298 SAR</t>
  </si>
  <si>
    <t>2025-11-14 00:00:00</t>
  </si>
  <si>
    <t>M5</t>
  </si>
  <si>
    <t>L4 &amp; G3 &amp; S4 &amp; W4 &amp; T4 &amp; X4 &amp; U4 &amp; O4 &amp; I4 &amp; P133</t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</si>
  <si>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</si>
  <si>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699 SAR</t>
  </si>
  <si>
    <t>V9</t>
  </si>
  <si>
    <t>L10 &amp; G10 &amp; S10 &amp; W10 &amp; T10 &amp; X10 &amp; U10 &amp; O10 &amp; I10 &amp; P41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</si>
  <si>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</si>
  <si>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992 SAR</t>
  </si>
  <si>
    <t>2025-11-13 00:00:00</t>
  </si>
  <si>
    <t>K6</t>
  </si>
  <si>
    <t>S6 &amp; X9 &amp; U8 &amp; O8 &amp; I17 &amp; E29 &amp; P90 &amp; N1</t>
  </si>
  <si>
    <t>2025-11-10 00:00:00</t>
  </si>
  <si>
    <t>S5 &amp; O9 &amp; I17 &amp; E46 &amp; P90 &amp; N2</t>
  </si>
  <si>
    <t>1,249 SAR</t>
  </si>
  <si>
    <t>745 SAR</t>
  </si>
  <si>
    <t>885 SAR</t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</si>
  <si>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</si>
  <si>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Y3 &amp; S4 &amp; U1 &amp; O9 &amp; I17 &amp; P135</t>
  </si>
  <si>
    <t>Cabin: 0 KG | Check-in: 15 KG</t>
  </si>
  <si>
    <t>Cabin: 7 KG | Check-in: 20 KG</t>
  </si>
  <si>
    <t>682 SAR</t>
  </si>
  <si>
    <t>S1 &amp; X1 &amp; U8 &amp; O9 &amp; I17 &amp; P137 &amp; N2</t>
  </si>
  <si>
    <t>799 SAR</t>
  </si>
  <si>
    <t>G3 &amp; S4 &amp; W4 &amp; T4 &amp; X4 &amp; U6 &amp; O4 &amp; I4 &amp; P145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</si>
  <si>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</si>
  <si>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455 SAR</t>
  </si>
  <si>
    <t>2025-11-21 00:00:00</t>
  </si>
  <si>
    <t>U1</t>
  </si>
  <si>
    <t>S1 &amp; X2 &amp; U7 &amp; O8 &amp; I17 &amp; P132</t>
  </si>
  <si>
    <t>G2</t>
  </si>
  <si>
    <t>G6 &amp; S16 &amp; W4 &amp; T10 &amp; X10 &amp; U10 &amp; O10 &amp; I10 &amp; P90</t>
  </si>
  <si>
    <t>S4 &amp; U8 &amp; O6 &amp; I19 &amp; E40 &amp; P89 &amp; N4</t>
  </si>
  <si>
    <t>870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</si>
  <si>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</si>
  <si>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</si>
  <si>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</si>
  <si>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</si>
  <si>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</si>
  <si>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</si>
  <si>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</si>
  <si>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</si>
  <si>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</si>
  <si>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</si>
  <si>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</si>
  <si>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</si>
  <si>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</si>
  <si>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</si>
  <si>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</si>
  <si>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</si>
  <si>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</si>
  <si>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</si>
  <si>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</si>
  <si>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</si>
  <si>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</si>
  <si>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</si>
  <si>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</si>
  <si>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</si>
  <si>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</si>
  <si>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</si>
  <si>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</si>
  <si>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</si>
  <si>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</si>
  <si>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</si>
  <si>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01:10</t>
  </si>
  <si>
    <t>320</t>
  </si>
  <si>
    <t>UPCOMING</t>
  </si>
  <si>
    <t>L1</t>
  </si>
  <si>
    <t>I4</t>
  </si>
  <si>
    <t>E44</t>
  </si>
  <si>
    <t>P114</t>
  </si>
  <si>
    <t>06:40</t>
  </si>
  <si>
    <t>L5</t>
  </si>
  <si>
    <t>G14</t>
  </si>
  <si>
    <t>S10</t>
  </si>
  <si>
    <t>W10</t>
  </si>
  <si>
    <t>T10</t>
  </si>
  <si>
    <t>X10</t>
  </si>
  <si>
    <t>U10</t>
  </si>
  <si>
    <t>O10</t>
  </si>
  <si>
    <t>I10</t>
  </si>
  <si>
    <t>23:30</t>
  </si>
  <si>
    <t>Q2</t>
  </si>
  <si>
    <t>K5</t>
  </si>
  <si>
    <t>V4</t>
  </si>
  <si>
    <t>S11</t>
  </si>
  <si>
    <t>X3</t>
  </si>
  <si>
    <t>U5</t>
  </si>
  <si>
    <t>O9</t>
  </si>
  <si>
    <t>I17</t>
  </si>
  <si>
    <t>P123</t>
  </si>
  <si>
    <t>THURSDAY</t>
  </si>
  <si>
    <t>12:55</t>
  </si>
  <si>
    <t>V7</t>
  </si>
  <si>
    <t>L2</t>
  </si>
  <si>
    <t>S1</t>
  </si>
  <si>
    <t>U6</t>
  </si>
  <si>
    <t>P128</t>
  </si>
  <si>
    <t>N1</t>
  </si>
  <si>
    <t>SATURDAY</t>
  </si>
  <si>
    <t>09:30</t>
  </si>
  <si>
    <t>S12</t>
  </si>
  <si>
    <t>I22</t>
  </si>
  <si>
    <t>P133</t>
  </si>
  <si>
    <t>N4</t>
  </si>
  <si>
    <t>SUNDAY</t>
  </si>
  <si>
    <t>21:40</t>
  </si>
  <si>
    <t>L4</t>
  </si>
  <si>
    <t>G3</t>
  </si>
  <si>
    <t>S4</t>
  </si>
  <si>
    <t>W4</t>
  </si>
  <si>
    <t>T4</t>
  </si>
  <si>
    <t>X4</t>
  </si>
  <si>
    <t>U4</t>
  </si>
  <si>
    <t>O4</t>
  </si>
  <si>
    <t>S6</t>
  </si>
  <si>
    <t>X9</t>
  </si>
  <si>
    <t>U8</t>
  </si>
  <si>
    <t>O8</t>
  </si>
  <si>
    <t>E29</t>
  </si>
  <si>
    <t>P90</t>
  </si>
  <si>
    <t>L10</t>
  </si>
  <si>
    <t>G10</t>
  </si>
  <si>
    <t>P41</t>
  </si>
  <si>
    <t>S5</t>
  </si>
  <si>
    <t>E46</t>
  </si>
  <si>
    <t>N2</t>
  </si>
  <si>
    <t>Y3</t>
  </si>
  <si>
    <t>P135</t>
  </si>
  <si>
    <t>X1</t>
  </si>
  <si>
    <t>P137</t>
  </si>
  <si>
    <t>P145</t>
  </si>
  <si>
    <t>X2</t>
  </si>
  <si>
    <t>U7</t>
  </si>
  <si>
    <t>P132</t>
  </si>
  <si>
    <t>G6</t>
  </si>
  <si>
    <t>S16</t>
  </si>
  <si>
    <t>O6</t>
  </si>
  <si>
    <t>I19</t>
  </si>
  <si>
    <t>E40</t>
  </si>
  <si>
    <t>P89</t>
  </si>
  <si>
    <t>DATE</t>
  </si>
  <si>
    <t>ROUTE</t>
  </si>
  <si>
    <t>2025-11-25</t>
  </si>
  <si>
    <t>10:05</t>
  </si>
  <si>
    <t>18:10</t>
  </si>
  <si>
    <t>MED-HBE</t>
  </si>
  <si>
    <t>SM486</t>
  </si>
  <si>
    <t>LAST SEATS</t>
  </si>
  <si>
    <t>Q1 &amp; K4 &amp; V2 &amp; L6 &amp; X8 &amp; P153</t>
  </si>
  <si>
    <t>SM-486</t>
  </si>
  <si>
    <t>1,184 SAR</t>
  </si>
  <si>
    <t>H5</t>
  </si>
  <si>
    <t>Q3 &amp; S2 &amp; X7 &amp; U8 &amp; O8 &amp; I6 &amp; P135</t>
  </si>
  <si>
    <t>M4</t>
  </si>
  <si>
    <t>V1 &amp; L6 &amp; S29 &amp; T8 &amp; X10 &amp; P121</t>
  </si>
  <si>
    <t>HIGH DEMAND</t>
  </si>
  <si>
    <t>B9</t>
  </si>
  <si>
    <t>H3 &amp; S14 &amp; X9 &amp; P144</t>
  </si>
  <si>
    <t>2025-11-17 00:00:00</t>
  </si>
  <si>
    <t>S3 &amp; O7 &amp; I8 &amp; P161</t>
  </si>
  <si>
    <t>S2 &amp; I4 &amp; P173</t>
  </si>
  <si>
    <t>MS-680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</si>
  <si>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</si>
  <si>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1,251 SAR</t>
  </si>
  <si>
    <t>1,691 SAR</t>
  </si>
  <si>
    <t>Y5</t>
  </si>
  <si>
    <t>Y1 &amp; L7 &amp; S9 &amp; U4 &amp; O10 &amp; I9 &amp; P130</t>
  </si>
  <si>
    <t>941 SAR</t>
  </si>
  <si>
    <t>G4</t>
  </si>
  <si>
    <t>G4 &amp; S6 &amp; X1 &amp; U6 &amp; O10 &amp; I10 &amp; P134</t>
  </si>
  <si>
    <t>G9 &amp; S2 &amp; I5 &amp; P161</t>
  </si>
  <si>
    <t>836 SAR</t>
  </si>
  <si>
    <t>P2</t>
  </si>
  <si>
    <t>L3 &amp; G4 &amp; S4 &amp; W4 &amp; T8 &amp; X8 &amp; P133</t>
  </si>
  <si>
    <t>07:50</t>
  </si>
  <si>
    <t>Q1</t>
  </si>
  <si>
    <t>K4</t>
  </si>
  <si>
    <t>V2</t>
  </si>
  <si>
    <t>L6</t>
  </si>
  <si>
    <t>X8</t>
  </si>
  <si>
    <t>P153</t>
  </si>
  <si>
    <t>WEDNESDAY</t>
  </si>
  <si>
    <t>22:40</t>
  </si>
  <si>
    <t>Q3</t>
  </si>
  <si>
    <t>S2</t>
  </si>
  <si>
    <t>X7</t>
  </si>
  <si>
    <t>I6</t>
  </si>
  <si>
    <t>15:30</t>
  </si>
  <si>
    <t>V1</t>
  </si>
  <si>
    <t>S29</t>
  </si>
  <si>
    <t>T8</t>
  </si>
  <si>
    <t>P121</t>
  </si>
  <si>
    <t>09:40</t>
  </si>
  <si>
    <t>H3</t>
  </si>
  <si>
    <t>S14</t>
  </si>
  <si>
    <t>P144</t>
  </si>
  <si>
    <t>S3</t>
  </si>
  <si>
    <t>O7</t>
  </si>
  <si>
    <t>I8</t>
  </si>
  <si>
    <t>P161</t>
  </si>
  <si>
    <t>P173</t>
  </si>
  <si>
    <t>Y1</t>
  </si>
  <si>
    <t>L7</t>
  </si>
  <si>
    <t>S9</t>
  </si>
  <si>
    <t>I9</t>
  </si>
  <si>
    <t>P130</t>
  </si>
  <si>
    <t>P134</t>
  </si>
  <si>
    <t>I5</t>
  </si>
  <si>
    <t>L3</t>
  </si>
  <si>
    <t>MED-ATZ</t>
  </si>
  <si>
    <t>SM490</t>
  </si>
  <si>
    <t>SEATS AVAILABLE</t>
  </si>
  <si>
    <t>S12 &amp; X4 &amp; U14 &amp; O25 &amp; I25 &amp; P50</t>
  </si>
  <si>
    <t>U9</t>
  </si>
  <si>
    <t>S6 &amp; X5 &amp; U21 &amp; O30 &amp; I20</t>
  </si>
  <si>
    <t>Indirect competition route MED – CAI - diversion ratio &amp; passenger leakage</t>
  </si>
  <si>
    <t>SM-70</t>
  </si>
  <si>
    <t>22:30</t>
  </si>
  <si>
    <t>Cabin: 7 KG | Check-in: 1 PIECE</t>
  </si>
  <si>
    <t>2 FOR SAME CLASS</t>
  </si>
  <si>
    <t>4,277 EGP</t>
  </si>
  <si>
    <t>S3 &amp; X18 &amp; U5 &amp; O3 &amp; I9 &amp; P86</t>
  </si>
  <si>
    <t>SM-490</t>
  </si>
  <si>
    <t>500 SAR</t>
  </si>
  <si>
    <t>S4 &amp; X3 &amp; U8 &amp; O9 &amp; I23 &amp; P79</t>
  </si>
  <si>
    <t>401 SAR</t>
  </si>
  <si>
    <t>I1</t>
  </si>
  <si>
    <t>X1 &amp; U1 &amp; O6 &amp; I19</t>
  </si>
  <si>
    <t>+9 FOR SAME CLASS</t>
  </si>
  <si>
    <t>2025-11-16 00:00:00</t>
  </si>
  <si>
    <t>S3 &amp; X7 &amp; U5 &amp; O3 &amp; I9 &amp; P52</t>
  </si>
  <si>
    <t>S2 &amp; X1 &amp; U5 &amp; O13 &amp; I17 &amp; P49</t>
  </si>
  <si>
    <t>14:50</t>
  </si>
  <si>
    <t>U14</t>
  </si>
  <si>
    <t>O25</t>
  </si>
  <si>
    <t>I25</t>
  </si>
  <si>
    <t>P50</t>
  </si>
  <si>
    <t>22:55</t>
  </si>
  <si>
    <t>X5</t>
  </si>
  <si>
    <t>U21</t>
  </si>
  <si>
    <t>O30</t>
  </si>
  <si>
    <t>I20</t>
  </si>
  <si>
    <t>MONDAY</t>
  </si>
  <si>
    <t>19:20</t>
  </si>
  <si>
    <t>X18</t>
  </si>
  <si>
    <t>O3</t>
  </si>
  <si>
    <t>P86</t>
  </si>
  <si>
    <t>I23</t>
  </si>
  <si>
    <t>P79</t>
  </si>
  <si>
    <t>P52</t>
  </si>
  <si>
    <t>O13</t>
  </si>
  <si>
    <t>P49</t>
  </si>
  <si>
    <t>2025-11-26</t>
  </si>
  <si>
    <t>MED-CAI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</si>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</sst>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31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color rgb="FF9C0006"/>
      <name val="Calibri"/>
    </font>
    <font>
      <b/>
      <i/>
      <sz val="14"/>
      <name val="Calibri"/>
    </font>
    <font>
      <b/>
      <i/>
      <sz val="11"/>
      <color rgb="FF006100"/>
      <name val="Calibri"/>
    </font>
    <font>
      <b/>
      <i/>
      <sz val="11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i/>
      <sz val="11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167" fontId="12" fillId="8" borderId="9" xfId="0" applyNumberFormat="1" applyFont="1" applyFill="1" applyBorder="1" applyAlignment="1">
      <alignment horizontal="center" vertical="center"/>
    </xf>
    <xf numFmtId="168" fontId="11" fillId="8" borderId="9" xfId="0" applyNumberFormat="1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167" fontId="14" fillId="9" borderId="9" xfId="0" applyNumberFormat="1" applyFont="1" applyFill="1" applyBorder="1" applyAlignment="1">
      <alignment horizontal="center" vertical="center"/>
    </xf>
    <xf numFmtId="168" fontId="11" fillId="9" borderId="9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167" fontId="14" fillId="10" borderId="9" xfId="0" applyNumberFormat="1" applyFont="1" applyFill="1" applyBorder="1" applyAlignment="1">
      <alignment horizontal="center" vertical="center"/>
    </xf>
    <xf numFmtId="168" fontId="11" fillId="10" borderId="9" xfId="0" applyNumberFormat="1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167" fontId="14" fillId="12" borderId="16" xfId="0" applyNumberFormat="1" applyFont="1" applyFill="1" applyBorder="1" applyAlignment="1">
      <alignment horizontal="center" vertical="center"/>
    </xf>
    <xf numFmtId="168" fontId="11" fillId="12" borderId="16" xfId="0" applyNumberFormat="1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167" fontId="14" fillId="10" borderId="16" xfId="0" applyNumberFormat="1" applyFont="1" applyFill="1" applyBorder="1" applyAlignment="1">
      <alignment horizontal="center" vertical="center"/>
    </xf>
    <xf numFmtId="168" fontId="11" fillId="10" borderId="16" xfId="0" applyNumberFormat="1" applyFont="1" applyFill="1" applyBorder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1" fillId="13" borderId="8" xfId="0" applyFont="1" applyFill="1" applyBorder="1" applyAlignment="1">
      <alignment horizontal="center" vertical="center"/>
    </xf>
    <xf numFmtId="167" fontId="15" fillId="13" borderId="9" xfId="0" applyNumberFormat="1" applyFont="1" applyFill="1" applyBorder="1" applyAlignment="1">
      <alignment horizontal="center" vertical="center"/>
    </xf>
    <xf numFmtId="168" fontId="11" fillId="13" borderId="9" xfId="0" applyNumberFormat="1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7" fontId="14" fillId="8" borderId="9" xfId="0" applyNumberFormat="1" applyFont="1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167" fontId="14" fillId="14" borderId="16" xfId="0" applyNumberFormat="1" applyFont="1" applyFill="1" applyBorder="1" applyAlignment="1">
      <alignment horizontal="center" vertical="center"/>
    </xf>
    <xf numFmtId="168" fontId="11" fillId="14" borderId="16" xfId="0" applyNumberFormat="1" applyFont="1" applyFill="1" applyBorder="1" applyAlignment="1">
      <alignment horizontal="center" vertical="center"/>
    </xf>
    <xf numFmtId="0" fontId="11" fillId="14" borderId="16" xfId="0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167" fontId="14" fillId="8" borderId="16" xfId="0" applyNumberFormat="1" applyFont="1" applyFill="1" applyBorder="1" applyAlignment="1">
      <alignment horizontal="center" vertical="center"/>
    </xf>
    <xf numFmtId="168" fontId="11" fillId="8" borderId="16" xfId="0" applyNumberFormat="1" applyFont="1" applyFill="1" applyBorder="1" applyAlignment="1">
      <alignment horizontal="center" vertical="center"/>
    </xf>
    <xf numFmtId="0" fontId="11" fillId="8" borderId="16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167" fontId="14" fillId="15" borderId="9" xfId="0" applyNumberFormat="1" applyFont="1" applyFill="1" applyBorder="1" applyAlignment="1">
      <alignment horizontal="center" vertical="center"/>
    </xf>
    <xf numFmtId="168" fontId="11" fillId="15" borderId="9" xfId="0" applyNumberFormat="1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/>
    </xf>
    <xf numFmtId="0" fontId="11" fillId="15" borderId="10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167" fontId="14" fillId="13" borderId="9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/>
    </xf>
    <xf numFmtId="167" fontId="14" fillId="14" borderId="9" xfId="0" applyNumberFormat="1" applyFont="1" applyFill="1" applyBorder="1" applyAlignment="1">
      <alignment horizontal="center" vertical="center"/>
    </xf>
    <xf numFmtId="168" fontId="11" fillId="14" borderId="9" xfId="0" applyNumberFormat="1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14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6" borderId="22" xfId="0" applyFont="1" applyFill="1" applyBorder="1" applyAlignment="1">
      <alignment horizontal="center" vertical="center"/>
    </xf>
    <xf numFmtId="0" fontId="16" fillId="16" borderId="23" xfId="0" applyFont="1" applyFill="1" applyBorder="1" applyAlignment="1">
      <alignment horizontal="center" vertical="center"/>
    </xf>
    <xf numFmtId="0" fontId="16" fillId="16" borderId="24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49" fontId="17" fillId="0" borderId="26" xfId="0" applyNumberFormat="1" applyFont="1" applyBorder="1" applyAlignment="1">
      <alignment horizontal="center" vertical="center"/>
    </xf>
    <xf numFmtId="1" fontId="17" fillId="0" borderId="26" xfId="0" applyNumberFormat="1" applyFont="1" applyBorder="1" applyAlignment="1">
      <alignment horizontal="center" vertical="center"/>
    </xf>
    <xf numFmtId="171" fontId="17" fillId="0" borderId="27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49" fontId="18" fillId="0" borderId="26" xfId="0" applyNumberFormat="1" applyFont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171" fontId="18" fillId="0" borderId="27" xfId="0" applyNumberFormat="1" applyFont="1" applyBorder="1" applyAlignment="1">
      <alignment horizontal="center" vertical="center"/>
    </xf>
    <xf numFmtId="172" fontId="17" fillId="0" borderId="25" xfId="0" applyNumberFormat="1" applyFont="1" applyBorder="1" applyAlignment="1">
      <alignment horizontal="center" vertical="center"/>
    </xf>
    <xf numFmtId="173" fontId="17" fillId="0" borderId="26" xfId="0" applyNumberFormat="1" applyFont="1" applyBorder="1" applyAlignment="1">
      <alignment horizontal="center" vertical="center"/>
    </xf>
    <xf numFmtId="172" fontId="18" fillId="0" borderId="25" xfId="0" applyNumberFormat="1" applyFont="1" applyBorder="1" applyAlignment="1">
      <alignment horizontal="center" vertical="center"/>
    </xf>
    <xf numFmtId="173" fontId="18" fillId="0" borderId="26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172" fontId="18" fillId="0" borderId="28" xfId="0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49" fontId="18" fillId="0" borderId="29" xfId="0" applyNumberFormat="1" applyFont="1" applyBorder="1" applyAlignment="1">
      <alignment horizontal="center" vertical="center"/>
    </xf>
    <xf numFmtId="173" fontId="18" fillId="0" borderId="29" xfId="0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72" fontId="17" fillId="0" borderId="28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49" fontId="17" fillId="0" borderId="29" xfId="0" applyNumberFormat="1" applyFont="1" applyBorder="1" applyAlignment="1">
      <alignment horizontal="center" vertical="center"/>
    </xf>
    <xf numFmtId="173" fontId="17" fillId="0" borderId="29" xfId="0" applyNumberFormat="1" applyFont="1" applyBorder="1" applyAlignment="1">
      <alignment horizontal="center" vertical="center"/>
    </xf>
    <xf numFmtId="1" fontId="17" fillId="0" borderId="29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1" fillId="17" borderId="15" xfId="0" applyFont="1" applyFill="1" applyBorder="1" applyAlignment="1">
      <alignment horizontal="center" vertical="center"/>
    </xf>
    <xf numFmtId="167" fontId="14" fillId="17" borderId="16" xfId="0" applyNumberFormat="1" applyFont="1" applyFill="1" applyBorder="1" applyAlignment="1">
      <alignment horizontal="center" vertical="center"/>
    </xf>
    <xf numFmtId="168" fontId="11" fillId="17" borderId="16" xfId="0" applyNumberFormat="1" applyFont="1" applyFill="1" applyBorder="1" applyAlignment="1">
      <alignment horizontal="center" vertical="center"/>
    </xf>
    <xf numFmtId="0" fontId="11" fillId="17" borderId="16" xfId="0" applyFont="1" applyFill="1" applyBorder="1" applyAlignment="1">
      <alignment horizontal="center" vertical="center"/>
    </xf>
    <xf numFmtId="0" fontId="11" fillId="17" borderId="17" xfId="0" applyFont="1" applyFill="1" applyBorder="1" applyAlignment="1">
      <alignment horizontal="center" vertical="center"/>
    </xf>
    <xf numFmtId="0" fontId="11" fillId="13" borderId="15" xfId="0" applyFont="1" applyFill="1" applyBorder="1" applyAlignment="1">
      <alignment horizontal="center" vertical="center"/>
    </xf>
    <xf numFmtId="167" fontId="14" fillId="13" borderId="16" xfId="0" applyNumberFormat="1" applyFont="1" applyFill="1" applyBorder="1" applyAlignment="1">
      <alignment horizontal="center" vertical="center"/>
    </xf>
    <xf numFmtId="168" fontId="11" fillId="13" borderId="16" xfId="0" applyNumberFormat="1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167" fontId="14" fillId="9" borderId="16" xfId="0" applyNumberFormat="1" applyFont="1" applyFill="1" applyBorder="1" applyAlignment="1">
      <alignment horizontal="center" vertical="center"/>
    </xf>
    <xf numFmtId="168" fontId="11" fillId="9" borderId="16" xfId="0" applyNumberFormat="1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167" fontId="14" fillId="15" borderId="16" xfId="0" applyNumberFormat="1" applyFont="1" applyFill="1" applyBorder="1" applyAlignment="1">
      <alignment horizontal="center" vertical="center"/>
    </xf>
    <xf numFmtId="168" fontId="11" fillId="15" borderId="16" xfId="0" applyNumberFormat="1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11" fillId="15" borderId="17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" fontId="18" fillId="0" borderId="29" xfId="0" applyNumberFormat="1" applyFont="1" applyBorder="1" applyAlignment="1">
      <alignment horizontal="center" vertical="center"/>
    </xf>
    <xf numFmtId="171" fontId="17" fillId="0" borderId="30" xfId="0" applyNumberFormat="1" applyFont="1" applyBorder="1" applyAlignment="1">
      <alignment horizontal="center" vertical="center"/>
    </xf>
    <xf numFmtId="171" fontId="18" fillId="0" borderId="30" xfId="0" applyNumberFormat="1" applyFont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67" fontId="15" fillId="14" borderId="16" xfId="0" applyNumberFormat="1" applyFont="1" applyFill="1" applyBorder="1" applyAlignment="1">
      <alignment horizontal="center" vertical="center"/>
    </xf>
    <xf numFmtId="167" fontId="12" fillId="15" borderId="9" xfId="0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7" fontId="15" fillId="15" borderId="16" xfId="0" applyNumberFormat="1" applyFont="1" applyFill="1" applyBorder="1" applyAlignment="1">
      <alignment horizontal="center" vertical="center"/>
    </xf>
    <xf numFmtId="167" fontId="15" fillId="10" borderId="16" xfId="0" applyNumberFormat="1" applyFont="1" applyFill="1" applyBorder="1" applyAlignment="1">
      <alignment horizontal="center" vertical="center"/>
    </xf>
    <xf numFmtId="0" fontId="11" fillId="17" borderId="8" xfId="0" applyFont="1" applyFill="1" applyBorder="1" applyAlignment="1">
      <alignment horizontal="center" vertical="center"/>
    </xf>
    <xf numFmtId="167" fontId="12" fillId="17" borderId="9" xfId="0" applyNumberFormat="1" applyFont="1" applyFill="1" applyBorder="1" applyAlignment="1">
      <alignment horizontal="center" vertical="center"/>
    </xf>
    <xf numFmtId="168" fontId="11" fillId="17" borderId="9" xfId="0" applyNumberFormat="1" applyFont="1" applyFill="1" applyBorder="1" applyAlignment="1">
      <alignment horizontal="center" vertical="center"/>
    </xf>
    <xf numFmtId="0" fontId="11" fillId="17" borderId="9" xfId="0" applyFont="1" applyFill="1" applyBorder="1" applyAlignment="1">
      <alignment horizontal="center" vertical="center"/>
    </xf>
    <xf numFmtId="0" fontId="11" fillId="17" borderId="10" xfId="0" applyFont="1" applyFill="1" applyBorder="1" applyAlignment="1">
      <alignment horizontal="center" vertical="center"/>
    </xf>
    <xf numFmtId="167" fontId="12" fillId="10" borderId="16" xfId="0" applyNumberFormat="1" applyFont="1" applyFill="1" applyBorder="1" applyAlignment="1">
      <alignment horizontal="center" vertical="center"/>
    </xf>
    <xf numFmtId="167" fontId="12" fillId="15" borderId="16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20" fillId="0" borderId="26" xfId="0" applyFont="1" applyBorder="1" applyAlignment="1">
      <alignment horizontal="center" vertical="center"/>
    </xf>
    <xf numFmtId="0" fontId="0" fillId="0" borderId="27" xfId="0" applyBorder="1"/>
    <xf numFmtId="0" fontId="5" fillId="4" borderId="1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31" xfId="0" applyBorder="1"/>
    <xf numFmtId="0" fontId="20" fillId="0" borderId="32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26" fillId="0" borderId="0" xfId="0" applyFont="1" applyAlignment="1">
      <alignment horizontal="center" vertical="center"/>
    </xf>
    <xf numFmtId="0" fontId="26" fillId="0" borderId="0" xfId="0" applyFont="1"/>
    <xf numFmtId="169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70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15" fontId="27" fillId="18" borderId="0" xfId="0" applyNumberFormat="1" applyFont="1" applyFill="1" applyAlignment="1">
      <alignment horizontal="center" vertical="center"/>
    </xf>
    <xf numFmtId="167" fontId="27" fillId="18" borderId="0" xfId="0" applyNumberFormat="1" applyFont="1" applyFill="1" applyAlignment="1">
      <alignment horizontal="center" vertical="center"/>
    </xf>
    <xf numFmtId="1" fontId="27" fillId="18" borderId="0" xfId="0" applyNumberFormat="1" applyFont="1" applyFill="1" applyAlignment="1">
      <alignment horizontal="center" vertical="center"/>
    </xf>
    <xf numFmtId="0" fontId="27" fillId="18" borderId="0" xfId="0" applyNumberFormat="1" applyFont="1" applyFill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19" fillId="11" borderId="35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19" fillId="11" borderId="21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17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CAI" displayName="FocusMode_MED_CAI" ref="A1:H206" totalsRowShown="0">
  <autoFilter ref="A1:H20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D_HBE_LF_LEGACY" displayName="MED_HBE_LF_LEGACY" ref="A1:AJ12" totalsRowCount="1" headerRowDxfId="149" dataDxfId="112" totalsRowDxfId="75">
  <tableColumns count="36">
    <tableColumn id="1" xr3:uid="{00000000-0010-0000-0200-000001000000}" name="Day" totalsRowLabel="TOTAL" dataDxfId="148" totalsRowDxfId="111"/>
    <tableColumn id="2" xr3:uid="{00000000-0010-0000-0200-000002000000}" name="Flt Dt" dataDxfId="147" totalsRowDxfId="110"/>
    <tableColumn id="3" xr3:uid="{00000000-0010-0000-0200-000003000000}" name="Flt" totalsRowFunction="count" dataDxfId="146" totalsRowDxfId="109"/>
    <tableColumn id="4" xr3:uid="{00000000-0010-0000-0200-000004000000}" name="DEP" dataDxfId="145" totalsRowDxfId="108"/>
    <tableColumn id="5" xr3:uid="{00000000-0010-0000-0200-000005000000}" name="Brd-Off" totalsRowFunction="count" dataDxfId="144" totalsRowDxfId="107"/>
    <tableColumn id="6" xr3:uid="{00000000-0010-0000-0200-000006000000}" name="Eqp" dataDxfId="143" totalsRowDxfId="106"/>
    <tableColumn id="7" xr3:uid="{00000000-0010-0000-0200-000007000000}" name="LF%" totalsRowFunction="average" dataDxfId="142" totalsRowDxfId="105"/>
    <tableColumn id="8" xr3:uid="{00000000-0010-0000-0200-000008000000}" name="CAP" totalsRowFunction="sum" dataDxfId="141" totalsRowDxfId="104"/>
    <tableColumn id="9" xr3:uid="{00000000-0010-0000-0200-000009000000}" name="BKG(Y)" totalsRowFunction="sum" dataDxfId="140" totalsRowDxfId="103"/>
    <tableColumn id="10" xr3:uid="{00000000-0010-0000-0200-00000A000000}" name="GRP(Y)" totalsRowFunction="sum" dataDxfId="139" totalsRowDxfId="102"/>
    <tableColumn id="11" xr3:uid="{00000000-0010-0000-0200-00000B000000}" name="FLT ST" dataDxfId="138" totalsRowDxfId="101"/>
    <tableColumn id="12" xr3:uid="{00000000-0010-0000-0200-00000C000000}" name="LST-SOLD" dataDxfId="137" totalsRowDxfId="100"/>
    <tableColumn id="13" xr3:uid="{00000000-0010-0000-0200-00000D000000}" name="TO-DAY" totalsRowFunction="sum" dataDxfId="136" totalsRowDxfId="99"/>
    <tableColumn id="14" xr3:uid="{00000000-0010-0000-0200-00000E000000}" name="Y-DAY" totalsRowFunction="sum" dataDxfId="135" totalsRowDxfId="98"/>
    <tableColumn id="15" xr3:uid="{00000000-0010-0000-0200-00000F000000}" name="WEEKLY" totalsRowFunction="sum" dataDxfId="134" totalsRowDxfId="97"/>
    <tableColumn id="16" xr3:uid="{00000000-0010-0000-0200-000010000000}" name="LOWEST AVAIL" dataDxfId="133" totalsRowDxfId="96"/>
    <tableColumn id="17" xr3:uid="{00000000-0010-0000-0200-000011000000}" name="Y" totalsRowFunction="sum" dataDxfId="132" totalsRowDxfId="95"/>
    <tableColumn id="18" xr3:uid="{00000000-0010-0000-0200-000012000000}" name="B" totalsRowFunction="sum" dataDxfId="131" totalsRowDxfId="94"/>
    <tableColumn id="19" xr3:uid="{00000000-0010-0000-0200-000013000000}" name="M" totalsRowFunction="sum" dataDxfId="130" totalsRowDxfId="93"/>
    <tableColumn id="20" xr3:uid="{00000000-0010-0000-0200-000014000000}" name="H" totalsRowFunction="sum" dataDxfId="129" totalsRowDxfId="92"/>
    <tableColumn id="21" xr3:uid="{00000000-0010-0000-0200-000015000000}" name="Q" totalsRowFunction="sum" dataDxfId="128" totalsRowDxfId="91"/>
    <tableColumn id="22" xr3:uid="{00000000-0010-0000-0200-000016000000}" name="K" totalsRowFunction="sum" dataDxfId="127" totalsRowDxfId="90"/>
    <tableColumn id="23" xr3:uid="{00000000-0010-0000-0200-000017000000}" name="V" totalsRowFunction="sum" dataDxfId="126" totalsRowDxfId="89"/>
    <tableColumn id="24" xr3:uid="{00000000-0010-0000-0200-000018000000}" name="L" totalsRowFunction="sum" dataDxfId="125" totalsRowDxfId="88"/>
    <tableColumn id="25" xr3:uid="{00000000-0010-0000-0200-000019000000}" name="G" totalsRowFunction="sum" dataDxfId="124" totalsRowDxfId="87"/>
    <tableColumn id="26" xr3:uid="{00000000-0010-0000-0200-00001A000000}" name="S" totalsRowFunction="sum" dataDxfId="123" totalsRowDxfId="86"/>
    <tableColumn id="27" xr3:uid="{00000000-0010-0000-0200-00001B000000}" name="W" totalsRowFunction="sum" dataDxfId="122" totalsRowDxfId="85"/>
    <tableColumn id="28" xr3:uid="{00000000-0010-0000-0200-00001C000000}" name="T" totalsRowFunction="sum" dataDxfId="121" totalsRowDxfId="84"/>
    <tableColumn id="29" xr3:uid="{00000000-0010-0000-0200-00001D000000}" name="X" totalsRowFunction="sum" dataDxfId="120" totalsRowDxfId="83"/>
    <tableColumn id="30" xr3:uid="{00000000-0010-0000-0200-00001E000000}" name="U" totalsRowFunction="sum" dataDxfId="119" totalsRowDxfId="82"/>
    <tableColumn id="31" xr3:uid="{00000000-0010-0000-0200-00001F000000}" name="O" totalsRowFunction="sum" dataDxfId="118" totalsRowDxfId="81"/>
    <tableColumn id="32" xr3:uid="{00000000-0010-0000-0200-000020000000}" name="I" totalsRowFunction="sum" dataDxfId="117" totalsRowDxfId="80"/>
    <tableColumn id="33" xr3:uid="{00000000-0010-0000-0200-000021000000}" name="E" totalsRowFunction="sum" dataDxfId="116" totalsRowDxfId="79"/>
    <tableColumn id="34" xr3:uid="{00000000-0010-0000-0200-000022000000}" name="A" totalsRowFunction="sum" dataDxfId="115" totalsRowDxfId="78"/>
    <tableColumn id="35" xr3:uid="{00000000-0010-0000-0200-000023000000}" name="P" totalsRowFunction="sum" dataDxfId="114" totalsRowDxfId="77"/>
    <tableColumn id="36" xr3:uid="{00000000-0010-0000-0200-000024000000}" name="N" totalsRowFunction="count" dataDxfId="113" totalsRow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MED_HBE" displayName="FocusMode_MED_HBE" ref="A1:H13" totalsRowShown="0">
  <autoFilter ref="A1:H13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D_ATZ_LF_LEGACY" displayName="MED_ATZ_LF_LEGACY" ref="A1:AJ9" totalsRowCount="1" headerRowDxfId="74" dataDxfId="37" totalsRowDxfId="0">
  <tableColumns count="36">
    <tableColumn id="1" xr3:uid="{00000000-0010-0000-0400-000001000000}" name="Day" totalsRowLabel="TOTAL" dataDxfId="73" totalsRowDxfId="36"/>
    <tableColumn id="2" xr3:uid="{00000000-0010-0000-0400-000002000000}" name="Flt Dt" dataDxfId="72" totalsRowDxfId="35"/>
    <tableColumn id="3" xr3:uid="{00000000-0010-0000-0400-000003000000}" name="Flt" totalsRowFunction="count" dataDxfId="71" totalsRowDxfId="34"/>
    <tableColumn id="4" xr3:uid="{00000000-0010-0000-0400-000004000000}" name="DEP" dataDxfId="70" totalsRowDxfId="33"/>
    <tableColumn id="5" xr3:uid="{00000000-0010-0000-0400-000005000000}" name="Brd-Off" totalsRowFunction="count" dataDxfId="69" totalsRowDxfId="32"/>
    <tableColumn id="6" xr3:uid="{00000000-0010-0000-0400-000006000000}" name="Eqp" dataDxfId="68" totalsRowDxfId="31"/>
    <tableColumn id="7" xr3:uid="{00000000-0010-0000-0400-000007000000}" name="LF%" totalsRowFunction="average" dataDxfId="67" totalsRowDxfId="30"/>
    <tableColumn id="8" xr3:uid="{00000000-0010-0000-0400-000008000000}" name="CAP" totalsRowFunction="sum" dataDxfId="66" totalsRowDxfId="29"/>
    <tableColumn id="9" xr3:uid="{00000000-0010-0000-0400-000009000000}" name="BKG(Y)" totalsRowFunction="sum" dataDxfId="65" totalsRowDxfId="28"/>
    <tableColumn id="10" xr3:uid="{00000000-0010-0000-0400-00000A000000}" name="GRP(Y)" totalsRowFunction="sum" dataDxfId="64" totalsRowDxfId="27"/>
    <tableColumn id="11" xr3:uid="{00000000-0010-0000-0400-00000B000000}" name="FLT ST" dataDxfId="63" totalsRowDxfId="26"/>
    <tableColumn id="12" xr3:uid="{00000000-0010-0000-0400-00000C000000}" name="LST-SOLD" dataDxfId="62" totalsRowDxfId="25"/>
    <tableColumn id="13" xr3:uid="{00000000-0010-0000-0400-00000D000000}" name="TO-DAY" totalsRowFunction="sum" dataDxfId="61" totalsRowDxfId="24"/>
    <tableColumn id="14" xr3:uid="{00000000-0010-0000-0400-00000E000000}" name="Y-DAY" totalsRowFunction="sum" dataDxfId="60" totalsRowDxfId="23"/>
    <tableColumn id="15" xr3:uid="{00000000-0010-0000-0400-00000F000000}" name="WEEKLY" totalsRowFunction="sum" dataDxfId="59" totalsRowDxfId="22"/>
    <tableColumn id="16" xr3:uid="{00000000-0010-0000-0400-000010000000}" name="LOWEST AVAIL" dataDxfId="58" totalsRowDxfId="21"/>
    <tableColumn id="17" xr3:uid="{00000000-0010-0000-0400-000011000000}" name="Y" totalsRowFunction="sum" dataDxfId="57" totalsRowDxfId="20"/>
    <tableColumn id="18" xr3:uid="{00000000-0010-0000-0400-000012000000}" name="B" totalsRowFunction="sum" dataDxfId="56" totalsRowDxfId="19"/>
    <tableColumn id="19" xr3:uid="{00000000-0010-0000-0400-000013000000}" name="M" totalsRowFunction="sum" dataDxfId="55" totalsRowDxfId="18"/>
    <tableColumn id="20" xr3:uid="{00000000-0010-0000-0400-000014000000}" name="H" totalsRowFunction="sum" dataDxfId="54" totalsRowDxfId="17"/>
    <tableColumn id="21" xr3:uid="{00000000-0010-0000-0400-000015000000}" name="Q" totalsRowFunction="sum" dataDxfId="53" totalsRowDxfId="16"/>
    <tableColumn id="22" xr3:uid="{00000000-0010-0000-0400-000016000000}" name="K" totalsRowFunction="sum" dataDxfId="52" totalsRowDxfId="15"/>
    <tableColumn id="23" xr3:uid="{00000000-0010-0000-0400-000017000000}" name="V" totalsRowFunction="sum" dataDxfId="51" totalsRowDxfId="14"/>
    <tableColumn id="24" xr3:uid="{00000000-0010-0000-0400-000018000000}" name="L" totalsRowFunction="sum" dataDxfId="50" totalsRowDxfId="13"/>
    <tableColumn id="25" xr3:uid="{00000000-0010-0000-0400-000019000000}" name="G" totalsRowFunction="sum" dataDxfId="49" totalsRowDxfId="12"/>
    <tableColumn id="26" xr3:uid="{00000000-0010-0000-0400-00001A000000}" name="S" totalsRowFunction="sum" dataDxfId="48" totalsRowDxfId="11"/>
    <tableColumn id="27" xr3:uid="{00000000-0010-0000-0400-00001B000000}" name="W" totalsRowFunction="sum" dataDxfId="47" totalsRowDxfId="10"/>
    <tableColumn id="28" xr3:uid="{00000000-0010-0000-0400-00001C000000}" name="T" totalsRowFunction="sum" dataDxfId="46" totalsRowDxfId="9"/>
    <tableColumn id="29" xr3:uid="{00000000-0010-0000-0400-00001D000000}" name="X" totalsRowFunction="sum" dataDxfId="45" totalsRowDxfId="8"/>
    <tableColumn id="30" xr3:uid="{00000000-0010-0000-0400-00001E000000}" name="U" totalsRowFunction="sum" dataDxfId="44" totalsRowDxfId="7"/>
    <tableColumn id="31" xr3:uid="{00000000-0010-0000-0400-00001F000000}" name="O" totalsRowFunction="sum" dataDxfId="43" totalsRowDxfId="6"/>
    <tableColumn id="32" xr3:uid="{00000000-0010-0000-0400-000020000000}" name="I" totalsRowFunction="sum" dataDxfId="42" totalsRowDxfId="5"/>
    <tableColumn id="33" xr3:uid="{00000000-0010-0000-0400-000021000000}" name="E" totalsRowFunction="sum" dataDxfId="41" totalsRowDxfId="4"/>
    <tableColumn id="34" xr3:uid="{00000000-0010-0000-0400-000022000000}" name="A" totalsRowFunction="sum" dataDxfId="40" totalsRowDxfId="3"/>
    <tableColumn id="35" xr3:uid="{00000000-0010-0000-0400-000023000000}" name="P" totalsRowFunction="sum" dataDxfId="39" totalsRowDxfId="2"/>
    <tableColumn id="36" xr3:uid="{00000000-0010-0000-0400-000024000000}" name="N" totalsRowFunction="count" dataDxfId="38" totalsRow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MED_ATZ" displayName="FocusMode_MED_ATZ" ref="A1:H12" totalsRowShown="0">
  <autoFilter ref="A1:H12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5"/>
  <sheetViews>
    <sheetView tabSelected="1" workbookViewId="0">
      <selection sqref="A1:E1"/>
    </sheetView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67.5546875" bestFit="1" customWidth="1"/>
  </cols>
  <sheetData>
    <row r="1" spans="1:18" ht="25.05" customHeight="1" x14ac:dyDescent="0.3">
      <c r="A1" s="166" t="s">
        <v>0</v>
      </c>
      <c r="B1" s="164"/>
      <c r="C1" s="164"/>
      <c r="D1" s="164"/>
      <c r="E1" s="164"/>
      <c r="F1" s="1" t="s">
        <v>1</v>
      </c>
      <c r="G1" s="2" t="s">
        <v>2</v>
      </c>
      <c r="H1" s="165">
        <v>45986</v>
      </c>
      <c r="I1" s="164"/>
      <c r="J1" s="164"/>
      <c r="K1" s="164"/>
      <c r="L1" s="164"/>
      <c r="M1" s="1" t="s">
        <v>3</v>
      </c>
      <c r="N1" s="170">
        <v>46001</v>
      </c>
      <c r="O1" s="164"/>
      <c r="P1" s="164"/>
      <c r="Q1" s="164"/>
      <c r="R1" s="164"/>
    </row>
    <row r="2" spans="1:18" ht="18" customHeight="1" x14ac:dyDescent="0.3">
      <c r="A2" s="167" t="s">
        <v>4</v>
      </c>
      <c r="B2" s="164"/>
      <c r="C2" s="164"/>
      <c r="D2" s="164"/>
      <c r="E2" s="164"/>
      <c r="F2" s="164"/>
      <c r="G2" s="169">
        <v>45982.825417738219</v>
      </c>
      <c r="H2" s="164"/>
      <c r="I2" s="164"/>
      <c r="J2" s="164"/>
      <c r="K2" s="171">
        <v>45982.825417738502</v>
      </c>
      <c r="L2" s="164"/>
      <c r="M2" s="164"/>
      <c r="N2" s="164"/>
      <c r="O2" s="164"/>
      <c r="P2" s="164"/>
      <c r="Q2" s="164"/>
      <c r="R2" s="164"/>
    </row>
    <row r="3" spans="1:18" ht="24" customHeight="1" x14ac:dyDescent="0.3">
      <c r="A3" s="168" t="s">
        <v>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</row>
    <row r="4" spans="1:18" ht="22.05" customHeight="1" x14ac:dyDescent="0.3">
      <c r="A4" s="161" t="s">
        <v>6</v>
      </c>
      <c r="B4" s="162"/>
      <c r="C4" s="162"/>
      <c r="D4" s="162"/>
      <c r="E4" s="162"/>
      <c r="F4" s="163"/>
      <c r="G4" s="3">
        <v>45986</v>
      </c>
      <c r="H4" s="161" t="s">
        <v>7</v>
      </c>
      <c r="I4" s="162"/>
      <c r="J4" s="162"/>
      <c r="K4" s="162"/>
      <c r="L4" s="162"/>
      <c r="M4" s="162"/>
      <c r="N4" s="162"/>
      <c r="O4" s="162"/>
      <c r="P4" s="162"/>
      <c r="Q4" s="162"/>
      <c r="R4" s="163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15" customHeight="1" x14ac:dyDescent="0.3">
      <c r="A6" s="7" t="s">
        <v>26</v>
      </c>
      <c r="B6" s="7" t="s">
        <v>27</v>
      </c>
      <c r="C6" s="7">
        <v>0.4201388888888889</v>
      </c>
      <c r="D6" s="7" t="s">
        <v>28</v>
      </c>
      <c r="E6" s="7" t="s">
        <v>29</v>
      </c>
      <c r="F6" s="7" t="s">
        <v>30</v>
      </c>
      <c r="G6" s="164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5" customHeight="1" x14ac:dyDescent="0.3">
      <c r="A7" s="11" t="s">
        <v>26</v>
      </c>
      <c r="B7" s="11" t="s">
        <v>27</v>
      </c>
      <c r="C7" s="11">
        <v>0.4201388888888889</v>
      </c>
      <c r="D7" s="11" t="s">
        <v>31</v>
      </c>
      <c r="E7" s="11" t="s">
        <v>32</v>
      </c>
      <c r="F7" s="11" t="s">
        <v>33</v>
      </c>
      <c r="G7" s="164"/>
      <c r="H7" s="8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15" customHeight="1" x14ac:dyDescent="0.3">
      <c r="A8" s="11" t="s">
        <v>26</v>
      </c>
      <c r="B8" s="11" t="s">
        <v>27</v>
      </c>
      <c r="C8" s="11">
        <v>0.4201388888888889</v>
      </c>
      <c r="D8" s="11" t="s">
        <v>34</v>
      </c>
      <c r="E8" s="11" t="s">
        <v>32</v>
      </c>
      <c r="F8" s="11" t="s">
        <v>35</v>
      </c>
      <c r="G8" s="164"/>
      <c r="H8" s="8"/>
      <c r="I8" s="9"/>
      <c r="J8" s="9"/>
      <c r="K8" s="9"/>
      <c r="L8" s="9"/>
      <c r="M8" s="9"/>
      <c r="N8" s="9"/>
      <c r="O8" s="9"/>
      <c r="P8" s="9"/>
      <c r="Q8" s="9"/>
      <c r="R8" s="10"/>
    </row>
    <row r="9" spans="1:18" ht="15" customHeight="1" x14ac:dyDescent="0.3">
      <c r="A9" s="12" t="s">
        <v>36</v>
      </c>
      <c r="B9" s="12" t="s">
        <v>37</v>
      </c>
      <c r="C9" s="12">
        <v>0.75694444444444453</v>
      </c>
      <c r="D9" s="12" t="s">
        <v>38</v>
      </c>
      <c r="E9" s="12" t="s">
        <v>39</v>
      </c>
      <c r="F9" s="12" t="s">
        <v>40</v>
      </c>
      <c r="G9" s="164"/>
      <c r="H9" s="8"/>
      <c r="I9" s="9"/>
      <c r="J9" s="9"/>
      <c r="K9" s="9"/>
      <c r="L9" s="9"/>
      <c r="M9" s="9"/>
      <c r="N9" s="9"/>
      <c r="O9" s="9"/>
      <c r="P9" s="9"/>
      <c r="Q9" s="9"/>
      <c r="R9" s="10"/>
    </row>
    <row r="10" spans="1:18" ht="15" customHeight="1" x14ac:dyDescent="0.3">
      <c r="A10" s="11" t="s">
        <v>36</v>
      </c>
      <c r="B10" s="11" t="s">
        <v>37</v>
      </c>
      <c r="C10" s="11">
        <v>0.75694444444444453</v>
      </c>
      <c r="D10" s="11" t="s">
        <v>41</v>
      </c>
      <c r="E10" s="11" t="s">
        <v>42</v>
      </c>
      <c r="F10" s="11" t="s">
        <v>43</v>
      </c>
      <c r="G10" s="164"/>
      <c r="H10" s="8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1:18" ht="15" customHeight="1" x14ac:dyDescent="0.3">
      <c r="A11" s="11" t="s">
        <v>36</v>
      </c>
      <c r="B11" s="11" t="s">
        <v>37</v>
      </c>
      <c r="C11" s="11">
        <v>0.75694444444444453</v>
      </c>
      <c r="D11" s="11" t="s">
        <v>44</v>
      </c>
      <c r="E11" s="11" t="s">
        <v>42</v>
      </c>
      <c r="F11" s="11" t="s">
        <v>45</v>
      </c>
      <c r="G11" s="164"/>
      <c r="H11" s="8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15" customHeight="1" x14ac:dyDescent="0.3">
      <c r="A12" s="13" t="s">
        <v>46</v>
      </c>
      <c r="B12" s="13" t="s">
        <v>47</v>
      </c>
      <c r="C12" s="13">
        <v>0.27777777777777779</v>
      </c>
      <c r="D12" s="13" t="s">
        <v>48</v>
      </c>
      <c r="E12" s="13" t="s">
        <v>49</v>
      </c>
      <c r="F12" s="13" t="s">
        <v>50</v>
      </c>
      <c r="G12" s="164"/>
      <c r="H12" s="14" t="s">
        <v>51</v>
      </c>
      <c r="I12" s="15">
        <v>0.52980000000000005</v>
      </c>
      <c r="J12" s="16">
        <v>89</v>
      </c>
      <c r="K12" s="17" t="s">
        <v>52</v>
      </c>
      <c r="L12" s="16">
        <v>20</v>
      </c>
      <c r="M12" s="16">
        <v>0</v>
      </c>
      <c r="N12" s="16">
        <v>4</v>
      </c>
      <c r="O12" s="17" t="s">
        <v>53</v>
      </c>
      <c r="P12" s="17">
        <v>0.27777777777777779</v>
      </c>
      <c r="Q12" s="16">
        <v>168</v>
      </c>
      <c r="R12" s="18" t="s">
        <v>54</v>
      </c>
    </row>
    <row r="13" spans="1:18" ht="15" customHeight="1" x14ac:dyDescent="0.3">
      <c r="A13" s="19" t="s">
        <v>46</v>
      </c>
      <c r="B13" s="19" t="s">
        <v>55</v>
      </c>
      <c r="C13" s="19">
        <v>4.8611111111111112E-2</v>
      </c>
      <c r="D13" s="19" t="s">
        <v>48</v>
      </c>
      <c r="E13" s="19" t="s">
        <v>56</v>
      </c>
      <c r="F13" s="19" t="s">
        <v>57</v>
      </c>
      <c r="G13" s="164"/>
      <c r="H13" s="20" t="s">
        <v>58</v>
      </c>
      <c r="I13" s="21">
        <v>0.91059999999999997</v>
      </c>
      <c r="J13" s="22">
        <v>163</v>
      </c>
      <c r="K13" s="23" t="s">
        <v>59</v>
      </c>
      <c r="L13" s="22">
        <v>0</v>
      </c>
      <c r="M13" s="22">
        <v>0</v>
      </c>
      <c r="N13" s="22">
        <v>0</v>
      </c>
      <c r="O13" s="23" t="s">
        <v>60</v>
      </c>
      <c r="P13" s="23">
        <v>4.8611111111111112E-2</v>
      </c>
      <c r="Q13" s="22">
        <v>179</v>
      </c>
      <c r="R13" s="24" t="s">
        <v>61</v>
      </c>
    </row>
    <row r="14" spans="1:18" ht="15" customHeight="1" x14ac:dyDescent="0.3">
      <c r="A14" s="25" t="s">
        <v>46</v>
      </c>
      <c r="B14" s="25" t="s">
        <v>62</v>
      </c>
      <c r="C14" s="25">
        <v>0.97916666666666663</v>
      </c>
      <c r="D14" s="25" t="s">
        <v>63</v>
      </c>
      <c r="E14" s="25"/>
      <c r="F14" s="25" t="s">
        <v>64</v>
      </c>
      <c r="G14" s="164"/>
      <c r="H14" s="26" t="s">
        <v>62</v>
      </c>
      <c r="I14" s="27">
        <v>1</v>
      </c>
      <c r="J14" s="28">
        <v>179</v>
      </c>
      <c r="K14" s="29" t="s">
        <v>65</v>
      </c>
      <c r="L14" s="28">
        <v>6</v>
      </c>
      <c r="M14" s="28">
        <v>0</v>
      </c>
      <c r="N14" s="28">
        <v>0</v>
      </c>
      <c r="O14" s="29" t="s">
        <v>66</v>
      </c>
      <c r="P14" s="29">
        <v>0.97916666666666663</v>
      </c>
      <c r="Q14" s="28">
        <v>179</v>
      </c>
      <c r="R14" s="30" t="s">
        <v>67</v>
      </c>
    </row>
    <row r="15" spans="1:18" ht="15" customHeight="1" x14ac:dyDescent="0.3">
      <c r="A15" s="12" t="s">
        <v>68</v>
      </c>
      <c r="B15" s="12" t="s">
        <v>69</v>
      </c>
      <c r="C15" s="12">
        <v>9.7222222222222224E-2</v>
      </c>
      <c r="D15" s="12" t="s">
        <v>70</v>
      </c>
      <c r="E15" s="12" t="s">
        <v>49</v>
      </c>
      <c r="F15" s="12" t="s">
        <v>71</v>
      </c>
      <c r="G15" s="164"/>
      <c r="H15" s="8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spans="1:18" ht="15" customHeight="1" x14ac:dyDescent="0.3">
      <c r="A16" s="31" t="s">
        <v>68</v>
      </c>
      <c r="B16" s="31" t="s">
        <v>72</v>
      </c>
      <c r="C16" s="31">
        <v>0.22222222222222221</v>
      </c>
      <c r="D16" s="31" t="s">
        <v>70</v>
      </c>
      <c r="E16" s="31" t="s">
        <v>73</v>
      </c>
      <c r="F16" s="31" t="s">
        <v>74</v>
      </c>
      <c r="G16" s="164"/>
      <c r="H16" s="8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spans="1:18" ht="15" customHeight="1" x14ac:dyDescent="0.3">
      <c r="A17" s="31" t="s">
        <v>68</v>
      </c>
      <c r="B17" s="31" t="s">
        <v>75</v>
      </c>
      <c r="C17" s="31">
        <v>0.44444444444444442</v>
      </c>
      <c r="D17" s="31" t="s">
        <v>70</v>
      </c>
      <c r="E17" s="31" t="s">
        <v>76</v>
      </c>
      <c r="F17" s="31" t="s">
        <v>74</v>
      </c>
      <c r="G17" s="164"/>
      <c r="H17" s="8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spans="1:18" ht="15" customHeight="1" x14ac:dyDescent="0.3">
      <c r="A18" s="31" t="s">
        <v>68</v>
      </c>
      <c r="B18" s="31" t="s">
        <v>77</v>
      </c>
      <c r="C18" s="31">
        <v>0.49305555555555558</v>
      </c>
      <c r="D18" s="31" t="s">
        <v>70</v>
      </c>
      <c r="E18" s="31" t="s">
        <v>73</v>
      </c>
      <c r="F18" s="31" t="s">
        <v>74</v>
      </c>
      <c r="G18" s="164"/>
      <c r="H18" s="8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 ht="15" customHeight="1" x14ac:dyDescent="0.3">
      <c r="A19" s="31" t="s">
        <v>68</v>
      </c>
      <c r="B19" s="31" t="s">
        <v>78</v>
      </c>
      <c r="C19" s="31">
        <v>0.85416666666666663</v>
      </c>
      <c r="D19" s="31" t="s">
        <v>70</v>
      </c>
      <c r="E19" s="31" t="s">
        <v>73</v>
      </c>
      <c r="F19" s="31" t="s">
        <v>79</v>
      </c>
      <c r="G19" s="164"/>
      <c r="H19" s="8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 ht="15" customHeight="1" x14ac:dyDescent="0.3">
      <c r="A20" s="12" t="s">
        <v>80</v>
      </c>
      <c r="B20" s="12" t="s">
        <v>81</v>
      </c>
      <c r="C20" s="12">
        <v>0.60416666666666663</v>
      </c>
      <c r="D20" s="12" t="s">
        <v>82</v>
      </c>
      <c r="E20" s="12" t="s">
        <v>83</v>
      </c>
      <c r="F20" s="12" t="s">
        <v>84</v>
      </c>
      <c r="G20" s="164"/>
      <c r="H20" s="8"/>
      <c r="I20" s="9"/>
      <c r="J20" s="9"/>
      <c r="K20" s="9"/>
      <c r="L20" s="9"/>
      <c r="M20" s="9"/>
      <c r="N20" s="9"/>
      <c r="O20" s="9"/>
      <c r="P20" s="9"/>
      <c r="Q20" s="9"/>
      <c r="R20" s="10"/>
    </row>
    <row r="21" spans="1:18" ht="15" customHeight="1" x14ac:dyDescent="0.3">
      <c r="A21" s="11" t="s">
        <v>80</v>
      </c>
      <c r="B21" s="11" t="s">
        <v>81</v>
      </c>
      <c r="C21" s="11">
        <v>0.60416666666666663</v>
      </c>
      <c r="D21" s="11" t="s">
        <v>85</v>
      </c>
      <c r="E21" s="11" t="s">
        <v>86</v>
      </c>
      <c r="F21" s="11" t="s">
        <v>87</v>
      </c>
      <c r="G21" s="164"/>
      <c r="H21" s="8"/>
      <c r="I21" s="9"/>
      <c r="J21" s="9"/>
      <c r="K21" s="9"/>
      <c r="L21" s="9"/>
      <c r="M21" s="9"/>
      <c r="N21" s="9"/>
      <c r="O21" s="9"/>
      <c r="P21" s="9"/>
      <c r="Q21" s="9"/>
      <c r="R21" s="10"/>
    </row>
    <row r="22" spans="1:18" ht="15" customHeight="1" x14ac:dyDescent="0.3">
      <c r="A22" s="31" t="s">
        <v>80</v>
      </c>
      <c r="B22" s="31" t="s">
        <v>88</v>
      </c>
      <c r="C22" s="31">
        <v>0.4201388888888889</v>
      </c>
      <c r="D22" s="31" t="s">
        <v>85</v>
      </c>
      <c r="E22" s="31" t="s">
        <v>89</v>
      </c>
      <c r="F22" s="31" t="s">
        <v>90</v>
      </c>
      <c r="G22" s="164"/>
      <c r="H22" s="8"/>
      <c r="I22" s="9"/>
      <c r="J22" s="9"/>
      <c r="K22" s="9"/>
      <c r="L22" s="9"/>
      <c r="M22" s="9"/>
      <c r="N22" s="9"/>
      <c r="O22" s="9"/>
      <c r="P22" s="9"/>
      <c r="Q22" s="9"/>
      <c r="R22" s="10"/>
    </row>
    <row r="23" spans="1:18" ht="15" customHeight="1" x14ac:dyDescent="0.3">
      <c r="A23" s="31" t="s">
        <v>80</v>
      </c>
      <c r="B23" s="31" t="s">
        <v>91</v>
      </c>
      <c r="C23" s="31">
        <v>0.79513888888888884</v>
      </c>
      <c r="D23" s="31" t="s">
        <v>82</v>
      </c>
      <c r="E23" s="31" t="s">
        <v>92</v>
      </c>
      <c r="F23" s="31" t="s">
        <v>93</v>
      </c>
      <c r="G23" s="164"/>
      <c r="H23" s="8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spans="1:18" ht="15" customHeight="1" x14ac:dyDescent="0.3">
      <c r="A24" s="11" t="s">
        <v>80</v>
      </c>
      <c r="B24" s="11" t="s">
        <v>91</v>
      </c>
      <c r="C24" s="11">
        <v>0.79513888888888884</v>
      </c>
      <c r="D24" s="11" t="s">
        <v>85</v>
      </c>
      <c r="E24" s="11" t="s">
        <v>32</v>
      </c>
      <c r="F24" s="11" t="s">
        <v>94</v>
      </c>
      <c r="G24" s="164"/>
      <c r="H24" s="8"/>
      <c r="I24" s="9"/>
      <c r="J24" s="9"/>
      <c r="K24" s="9"/>
      <c r="L24" s="9"/>
      <c r="M24" s="9"/>
      <c r="N24" s="9"/>
      <c r="O24" s="9"/>
      <c r="P24" s="9"/>
      <c r="Q24" s="9"/>
      <c r="R24" s="10"/>
    </row>
    <row r="25" spans="1:18" ht="15" customHeight="1" x14ac:dyDescent="0.3">
      <c r="A25" s="31" t="s">
        <v>80</v>
      </c>
      <c r="B25" s="31" t="s">
        <v>95</v>
      </c>
      <c r="C25" s="31">
        <v>8.6805555555555566E-2</v>
      </c>
      <c r="D25" s="31" t="s">
        <v>82</v>
      </c>
      <c r="E25" s="31" t="s">
        <v>73</v>
      </c>
      <c r="F25" s="31" t="s">
        <v>93</v>
      </c>
      <c r="G25" s="164"/>
      <c r="H25" s="8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 ht="15" customHeight="1" x14ac:dyDescent="0.3">
      <c r="A26" s="32" t="s">
        <v>80</v>
      </c>
      <c r="B26" s="32" t="s">
        <v>95</v>
      </c>
      <c r="C26" s="32">
        <v>8.6805555555555566E-2</v>
      </c>
      <c r="D26" s="32" t="s">
        <v>85</v>
      </c>
      <c r="E26" s="32" t="s">
        <v>96</v>
      </c>
      <c r="F26" s="32" t="s">
        <v>94</v>
      </c>
      <c r="G26" s="164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5"/>
    </row>
    <row r="27" spans="1:18" ht="17.399999999999999" customHeight="1" x14ac:dyDescent="0.3">
      <c r="A27" s="190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2"/>
    </row>
    <row r="28" spans="1:18" ht="22.05" customHeight="1" x14ac:dyDescent="0.3">
      <c r="A28" s="161" t="s">
        <v>6</v>
      </c>
      <c r="B28" s="162"/>
      <c r="C28" s="162"/>
      <c r="D28" s="162"/>
      <c r="E28" s="162"/>
      <c r="F28" s="163"/>
      <c r="G28" s="3">
        <v>45987</v>
      </c>
      <c r="H28" s="161" t="s">
        <v>7</v>
      </c>
      <c r="I28" s="162"/>
      <c r="J28" s="162"/>
      <c r="K28" s="162"/>
      <c r="L28" s="162"/>
      <c r="M28" s="162"/>
      <c r="N28" s="162"/>
      <c r="O28" s="162"/>
      <c r="P28" s="162"/>
      <c r="Q28" s="162"/>
      <c r="R28" s="163"/>
    </row>
    <row r="29" spans="1:18" ht="24" customHeight="1" x14ac:dyDescent="0.3">
      <c r="A29" s="4" t="s">
        <v>8</v>
      </c>
      <c r="B29" s="4" t="s">
        <v>9</v>
      </c>
      <c r="C29" s="4" t="s">
        <v>10</v>
      </c>
      <c r="D29" s="4" t="s">
        <v>11</v>
      </c>
      <c r="E29" s="4" t="s">
        <v>12</v>
      </c>
      <c r="F29" s="5" t="s">
        <v>13</v>
      </c>
      <c r="G29" s="6" t="s">
        <v>14</v>
      </c>
      <c r="H29" s="4" t="s">
        <v>15</v>
      </c>
      <c r="I29" s="4" t="s">
        <v>16</v>
      </c>
      <c r="J29" s="4" t="s">
        <v>17</v>
      </c>
      <c r="K29" s="4" t="s">
        <v>18</v>
      </c>
      <c r="L29" s="4" t="s">
        <v>19</v>
      </c>
      <c r="M29" s="4" t="s">
        <v>20</v>
      </c>
      <c r="N29" s="4" t="s">
        <v>21</v>
      </c>
      <c r="O29" s="4" t="s">
        <v>22</v>
      </c>
      <c r="P29" s="4" t="s">
        <v>23</v>
      </c>
      <c r="Q29" s="4" t="s">
        <v>24</v>
      </c>
      <c r="R29" s="4" t="s">
        <v>25</v>
      </c>
    </row>
    <row r="30" spans="1:18" ht="15" customHeight="1" x14ac:dyDescent="0.3">
      <c r="A30" s="7" t="s">
        <v>68</v>
      </c>
      <c r="B30" s="7" t="s">
        <v>75</v>
      </c>
      <c r="C30" s="7">
        <v>0.44444444444444442</v>
      </c>
      <c r="D30" s="7" t="s">
        <v>70</v>
      </c>
      <c r="E30" s="7" t="s">
        <v>49</v>
      </c>
      <c r="F30" s="7" t="s">
        <v>97</v>
      </c>
      <c r="G30" s="164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5" customHeight="1" x14ac:dyDescent="0.3">
      <c r="A31" s="31" t="s">
        <v>68</v>
      </c>
      <c r="B31" s="31" t="s">
        <v>78</v>
      </c>
      <c r="C31" s="31">
        <v>0.84722222222222221</v>
      </c>
      <c r="D31" s="31" t="s">
        <v>70</v>
      </c>
      <c r="E31" s="31" t="s">
        <v>98</v>
      </c>
      <c r="F31" s="31" t="s">
        <v>99</v>
      </c>
      <c r="G31" s="164"/>
      <c r="H31" s="8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ht="15" customHeight="1" x14ac:dyDescent="0.3">
      <c r="A32" s="31" t="s">
        <v>68</v>
      </c>
      <c r="B32" s="31" t="s">
        <v>72</v>
      </c>
      <c r="C32" s="31">
        <v>0.22222222222222221</v>
      </c>
      <c r="D32" s="31" t="s">
        <v>70</v>
      </c>
      <c r="E32" s="31" t="s">
        <v>73</v>
      </c>
      <c r="F32" s="31" t="s">
        <v>100</v>
      </c>
      <c r="G32" s="164"/>
      <c r="H32" s="8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ht="15" customHeight="1" x14ac:dyDescent="0.3">
      <c r="A33" s="12" t="s">
        <v>80</v>
      </c>
      <c r="B33" s="12" t="s">
        <v>91</v>
      </c>
      <c r="C33" s="12">
        <v>0.79513888888888884</v>
      </c>
      <c r="D33" s="12" t="s">
        <v>82</v>
      </c>
      <c r="E33" s="12" t="s">
        <v>49</v>
      </c>
      <c r="F33" s="12" t="s">
        <v>101</v>
      </c>
      <c r="G33" s="164"/>
      <c r="H33" s="8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5" customHeight="1" x14ac:dyDescent="0.3">
      <c r="A34" s="11" t="s">
        <v>80</v>
      </c>
      <c r="B34" s="11" t="s">
        <v>91</v>
      </c>
      <c r="C34" s="11">
        <v>0.79513888888888884</v>
      </c>
      <c r="D34" s="11" t="s">
        <v>85</v>
      </c>
      <c r="E34" s="11" t="s">
        <v>96</v>
      </c>
      <c r="F34" s="11" t="s">
        <v>102</v>
      </c>
      <c r="G34" s="164"/>
      <c r="H34" s="8"/>
      <c r="I34" s="9"/>
      <c r="J34" s="9"/>
      <c r="K34" s="9"/>
      <c r="L34" s="9"/>
      <c r="M34" s="9"/>
      <c r="N34" s="9"/>
      <c r="O34" s="9"/>
      <c r="P34" s="9"/>
      <c r="Q34" s="9"/>
      <c r="R34" s="10"/>
    </row>
    <row r="35" spans="1:18" ht="15" customHeight="1" x14ac:dyDescent="0.3">
      <c r="A35" s="31" t="s">
        <v>80</v>
      </c>
      <c r="B35" s="31" t="s">
        <v>81</v>
      </c>
      <c r="C35" s="31">
        <v>0.60416666666666663</v>
      </c>
      <c r="D35" s="31" t="s">
        <v>82</v>
      </c>
      <c r="E35" s="31" t="s">
        <v>73</v>
      </c>
      <c r="F35" s="31" t="s">
        <v>101</v>
      </c>
      <c r="G35" s="164"/>
      <c r="H35" s="8"/>
      <c r="I35" s="9"/>
      <c r="J35" s="9"/>
      <c r="K35" s="9"/>
      <c r="L35" s="9"/>
      <c r="M35" s="9"/>
      <c r="N35" s="9"/>
      <c r="O35" s="9"/>
      <c r="P35" s="9"/>
      <c r="Q35" s="9"/>
      <c r="R35" s="10"/>
    </row>
    <row r="36" spans="1:18" ht="15" customHeight="1" x14ac:dyDescent="0.3">
      <c r="A36" s="11" t="s">
        <v>80</v>
      </c>
      <c r="B36" s="11" t="s">
        <v>81</v>
      </c>
      <c r="C36" s="11">
        <v>0.60416666666666663</v>
      </c>
      <c r="D36" s="11" t="s">
        <v>85</v>
      </c>
      <c r="E36" s="11" t="s">
        <v>96</v>
      </c>
      <c r="F36" s="11" t="s">
        <v>102</v>
      </c>
      <c r="G36" s="164"/>
      <c r="H36" s="8"/>
      <c r="I36" s="9"/>
      <c r="J36" s="9"/>
      <c r="K36" s="9"/>
      <c r="L36" s="9"/>
      <c r="M36" s="9"/>
      <c r="N36" s="9"/>
      <c r="O36" s="9"/>
      <c r="P36" s="9"/>
      <c r="Q36" s="9"/>
      <c r="R36" s="10"/>
    </row>
    <row r="37" spans="1:18" ht="15" customHeight="1" x14ac:dyDescent="0.3">
      <c r="A37" s="31" t="s">
        <v>80</v>
      </c>
      <c r="B37" s="31" t="s">
        <v>95</v>
      </c>
      <c r="C37" s="31">
        <v>8.6805555555555566E-2</v>
      </c>
      <c r="D37" s="31" t="s">
        <v>82</v>
      </c>
      <c r="E37" s="31" t="s">
        <v>73</v>
      </c>
      <c r="F37" s="31" t="s">
        <v>101</v>
      </c>
      <c r="G37" s="164"/>
      <c r="H37" s="8"/>
      <c r="I37" s="9"/>
      <c r="J37" s="9"/>
      <c r="K37" s="9"/>
      <c r="L37" s="9"/>
      <c r="M37" s="9"/>
      <c r="N37" s="9"/>
      <c r="O37" s="9"/>
      <c r="P37" s="9"/>
      <c r="Q37" s="9"/>
      <c r="R37" s="10"/>
    </row>
    <row r="38" spans="1:18" ht="15" customHeight="1" x14ac:dyDescent="0.3">
      <c r="A38" s="11" t="s">
        <v>80</v>
      </c>
      <c r="B38" s="11" t="s">
        <v>95</v>
      </c>
      <c r="C38" s="11">
        <v>8.6805555555555566E-2</v>
      </c>
      <c r="D38" s="11" t="s">
        <v>85</v>
      </c>
      <c r="E38" s="11" t="s">
        <v>96</v>
      </c>
      <c r="F38" s="11" t="s">
        <v>102</v>
      </c>
      <c r="G38" s="164"/>
      <c r="H38" s="8"/>
      <c r="I38" s="9"/>
      <c r="J38" s="9"/>
      <c r="K38" s="9"/>
      <c r="L38" s="9"/>
      <c r="M38" s="9"/>
      <c r="N38" s="9"/>
      <c r="O38" s="9"/>
      <c r="P38" s="9"/>
      <c r="Q38" s="9"/>
      <c r="R38" s="10"/>
    </row>
    <row r="39" spans="1:18" ht="15" customHeight="1" x14ac:dyDescent="0.3">
      <c r="A39" s="36" t="s">
        <v>80</v>
      </c>
      <c r="B39" s="36" t="s">
        <v>88</v>
      </c>
      <c r="C39" s="36">
        <v>0.4201388888888889</v>
      </c>
      <c r="D39" s="36" t="s">
        <v>85</v>
      </c>
      <c r="E39" s="36" t="s">
        <v>89</v>
      </c>
      <c r="F39" s="36" t="s">
        <v>90</v>
      </c>
      <c r="G39" s="164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5"/>
    </row>
    <row r="40" spans="1:18" ht="17.399999999999999" customHeight="1" x14ac:dyDescent="0.3">
      <c r="A40" s="190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2"/>
    </row>
    <row r="41" spans="1:18" ht="22.05" customHeight="1" x14ac:dyDescent="0.3">
      <c r="A41" s="161" t="s">
        <v>6</v>
      </c>
      <c r="B41" s="162"/>
      <c r="C41" s="162"/>
      <c r="D41" s="162"/>
      <c r="E41" s="162"/>
      <c r="F41" s="163"/>
      <c r="G41" s="3">
        <v>45988</v>
      </c>
      <c r="H41" s="161" t="s">
        <v>7</v>
      </c>
      <c r="I41" s="162"/>
      <c r="J41" s="162"/>
      <c r="K41" s="162"/>
      <c r="L41" s="162"/>
      <c r="M41" s="162"/>
      <c r="N41" s="162"/>
      <c r="O41" s="162"/>
      <c r="P41" s="162"/>
      <c r="Q41" s="162"/>
      <c r="R41" s="163"/>
    </row>
    <row r="42" spans="1:18" ht="24" customHeight="1" x14ac:dyDescent="0.3">
      <c r="A42" s="4" t="s">
        <v>8</v>
      </c>
      <c r="B42" s="4" t="s">
        <v>9</v>
      </c>
      <c r="C42" s="4" t="s">
        <v>10</v>
      </c>
      <c r="D42" s="4" t="s">
        <v>11</v>
      </c>
      <c r="E42" s="4" t="s">
        <v>12</v>
      </c>
      <c r="F42" s="5" t="s">
        <v>13</v>
      </c>
      <c r="G42" s="6" t="s">
        <v>14</v>
      </c>
      <c r="H42" s="4" t="s">
        <v>15</v>
      </c>
      <c r="I42" s="4" t="s">
        <v>16</v>
      </c>
      <c r="J42" s="4" t="s">
        <v>17</v>
      </c>
      <c r="K42" s="4" t="s">
        <v>18</v>
      </c>
      <c r="L42" s="4" t="s">
        <v>19</v>
      </c>
      <c r="M42" s="4" t="s">
        <v>20</v>
      </c>
      <c r="N42" s="4" t="s">
        <v>21</v>
      </c>
      <c r="O42" s="4" t="s">
        <v>22</v>
      </c>
      <c r="P42" s="4" t="s">
        <v>23</v>
      </c>
      <c r="Q42" s="4" t="s">
        <v>24</v>
      </c>
      <c r="R42" s="4" t="s">
        <v>25</v>
      </c>
    </row>
    <row r="43" spans="1:18" ht="15" customHeight="1" x14ac:dyDescent="0.3">
      <c r="A43" s="7" t="s">
        <v>68</v>
      </c>
      <c r="B43" s="7" t="s">
        <v>75</v>
      </c>
      <c r="C43" s="7">
        <v>0.43055555555555558</v>
      </c>
      <c r="D43" s="7" t="s">
        <v>70</v>
      </c>
      <c r="E43" s="7" t="s">
        <v>49</v>
      </c>
      <c r="F43" s="7" t="s">
        <v>71</v>
      </c>
      <c r="G43" s="164"/>
      <c r="H43" s="8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15" customHeight="1" x14ac:dyDescent="0.3">
      <c r="A44" s="31" t="s">
        <v>68</v>
      </c>
      <c r="B44" s="31" t="s">
        <v>77</v>
      </c>
      <c r="C44" s="31">
        <v>0.49305555555555558</v>
      </c>
      <c r="D44" s="31" t="s">
        <v>70</v>
      </c>
      <c r="E44" s="31" t="s">
        <v>73</v>
      </c>
      <c r="F44" s="31" t="s">
        <v>74</v>
      </c>
      <c r="G44" s="164"/>
      <c r="H44" s="8"/>
      <c r="I44" s="9"/>
      <c r="J44" s="9"/>
      <c r="K44" s="9"/>
      <c r="L44" s="9"/>
      <c r="M44" s="9"/>
      <c r="N44" s="9"/>
      <c r="O44" s="9"/>
      <c r="P44" s="9"/>
      <c r="Q44" s="9"/>
      <c r="R44" s="10"/>
    </row>
    <row r="45" spans="1:18" ht="15" customHeight="1" x14ac:dyDescent="0.3">
      <c r="A45" s="31" t="s">
        <v>68</v>
      </c>
      <c r="B45" s="31" t="s">
        <v>72</v>
      </c>
      <c r="C45" s="31">
        <v>0.22222222222222221</v>
      </c>
      <c r="D45" s="31" t="s">
        <v>70</v>
      </c>
      <c r="E45" s="31" t="s">
        <v>73</v>
      </c>
      <c r="F45" s="31" t="s">
        <v>74</v>
      </c>
      <c r="G45" s="164"/>
      <c r="H45" s="8"/>
      <c r="I45" s="9"/>
      <c r="J45" s="9"/>
      <c r="K45" s="9"/>
      <c r="L45" s="9"/>
      <c r="M45" s="9"/>
      <c r="N45" s="9"/>
      <c r="O45" s="9"/>
      <c r="P45" s="9"/>
      <c r="Q45" s="9"/>
      <c r="R45" s="10"/>
    </row>
    <row r="46" spans="1:18" ht="15" customHeight="1" x14ac:dyDescent="0.3">
      <c r="A46" s="31" t="s">
        <v>68</v>
      </c>
      <c r="B46" s="31" t="s">
        <v>69</v>
      </c>
      <c r="C46" s="31">
        <v>0.1076388888888889</v>
      </c>
      <c r="D46" s="31" t="s">
        <v>70</v>
      </c>
      <c r="E46" s="31" t="s">
        <v>98</v>
      </c>
      <c r="F46" s="31" t="s">
        <v>79</v>
      </c>
      <c r="G46" s="164"/>
      <c r="H46" s="8"/>
      <c r="I46" s="9"/>
      <c r="J46" s="9"/>
      <c r="K46" s="9"/>
      <c r="L46" s="9"/>
      <c r="M46" s="9"/>
      <c r="N46" s="9"/>
      <c r="O46" s="9"/>
      <c r="P46" s="9"/>
      <c r="Q46" s="9"/>
      <c r="R46" s="10"/>
    </row>
    <row r="47" spans="1:18" ht="15" customHeight="1" x14ac:dyDescent="0.3">
      <c r="A47" s="31" t="s">
        <v>68</v>
      </c>
      <c r="B47" s="31" t="s">
        <v>78</v>
      </c>
      <c r="C47" s="31">
        <v>0.85416666666666663</v>
      </c>
      <c r="D47" s="31" t="s">
        <v>70</v>
      </c>
      <c r="E47" s="31" t="s">
        <v>103</v>
      </c>
      <c r="F47" s="31" t="s">
        <v>79</v>
      </c>
      <c r="G47" s="164"/>
      <c r="H47" s="8"/>
      <c r="I47" s="9"/>
      <c r="J47" s="9"/>
      <c r="K47" s="9"/>
      <c r="L47" s="9"/>
      <c r="M47" s="9"/>
      <c r="N47" s="9"/>
      <c r="O47" s="9"/>
      <c r="P47" s="9"/>
      <c r="Q47" s="9"/>
      <c r="R47" s="10"/>
    </row>
    <row r="48" spans="1:18" ht="15" customHeight="1" x14ac:dyDescent="0.3">
      <c r="A48" s="12" t="s">
        <v>80</v>
      </c>
      <c r="B48" s="12" t="s">
        <v>81</v>
      </c>
      <c r="C48" s="12">
        <v>0.60416666666666663</v>
      </c>
      <c r="D48" s="12" t="s">
        <v>82</v>
      </c>
      <c r="E48" s="12" t="s">
        <v>49</v>
      </c>
      <c r="F48" s="12" t="s">
        <v>101</v>
      </c>
      <c r="G48" s="164"/>
      <c r="H48" s="8"/>
      <c r="I48" s="9"/>
      <c r="J48" s="9"/>
      <c r="K48" s="9"/>
      <c r="L48" s="9"/>
      <c r="M48" s="9"/>
      <c r="N48" s="9"/>
      <c r="O48" s="9"/>
      <c r="P48" s="9"/>
      <c r="Q48" s="9"/>
      <c r="R48" s="10"/>
    </row>
    <row r="49" spans="1:18" ht="15" customHeight="1" x14ac:dyDescent="0.3">
      <c r="A49" s="11" t="s">
        <v>80</v>
      </c>
      <c r="B49" s="11" t="s">
        <v>81</v>
      </c>
      <c r="C49" s="11">
        <v>0.60416666666666663</v>
      </c>
      <c r="D49" s="11" t="s">
        <v>85</v>
      </c>
      <c r="E49" s="11" t="s">
        <v>96</v>
      </c>
      <c r="F49" s="11" t="s">
        <v>102</v>
      </c>
      <c r="G49" s="164"/>
      <c r="H49" s="8"/>
      <c r="I49" s="9"/>
      <c r="J49" s="9"/>
      <c r="K49" s="9"/>
      <c r="L49" s="9"/>
      <c r="M49" s="9"/>
      <c r="N49" s="9"/>
      <c r="O49" s="9"/>
      <c r="P49" s="9"/>
      <c r="Q49" s="9"/>
      <c r="R49" s="10"/>
    </row>
    <row r="50" spans="1:18" ht="15" customHeight="1" x14ac:dyDescent="0.3">
      <c r="A50" s="31" t="s">
        <v>80</v>
      </c>
      <c r="B50" s="31" t="s">
        <v>95</v>
      </c>
      <c r="C50" s="31">
        <v>8.6805555555555566E-2</v>
      </c>
      <c r="D50" s="31" t="s">
        <v>82</v>
      </c>
      <c r="E50" s="31" t="s">
        <v>73</v>
      </c>
      <c r="F50" s="31" t="s">
        <v>101</v>
      </c>
      <c r="G50" s="164"/>
      <c r="H50" s="8"/>
      <c r="I50" s="9"/>
      <c r="J50" s="9"/>
      <c r="K50" s="9"/>
      <c r="L50" s="9"/>
      <c r="M50" s="9"/>
      <c r="N50" s="9"/>
      <c r="O50" s="9"/>
      <c r="P50" s="9"/>
      <c r="Q50" s="9"/>
      <c r="R50" s="10"/>
    </row>
    <row r="51" spans="1:18" ht="15" customHeight="1" x14ac:dyDescent="0.3">
      <c r="A51" s="11" t="s">
        <v>80</v>
      </c>
      <c r="B51" s="11" t="s">
        <v>95</v>
      </c>
      <c r="C51" s="11">
        <v>8.6805555555555566E-2</v>
      </c>
      <c r="D51" s="11" t="s">
        <v>85</v>
      </c>
      <c r="E51" s="11" t="s">
        <v>96</v>
      </c>
      <c r="F51" s="11" t="s">
        <v>102</v>
      </c>
      <c r="G51" s="164"/>
      <c r="H51" s="8"/>
      <c r="I51" s="9"/>
      <c r="J51" s="9"/>
      <c r="K51" s="9"/>
      <c r="L51" s="9"/>
      <c r="M51" s="9"/>
      <c r="N51" s="9"/>
      <c r="O51" s="9"/>
      <c r="P51" s="9"/>
      <c r="Q51" s="9"/>
      <c r="R51" s="10"/>
    </row>
    <row r="52" spans="1:18" ht="15" customHeight="1" x14ac:dyDescent="0.3">
      <c r="A52" s="31" t="s">
        <v>80</v>
      </c>
      <c r="B52" s="31" t="s">
        <v>91</v>
      </c>
      <c r="C52" s="31">
        <v>0.79513888888888884</v>
      </c>
      <c r="D52" s="31" t="s">
        <v>82</v>
      </c>
      <c r="E52" s="31" t="s">
        <v>104</v>
      </c>
      <c r="F52" s="31" t="s">
        <v>101</v>
      </c>
      <c r="G52" s="164"/>
      <c r="H52" s="8"/>
      <c r="I52" s="9"/>
      <c r="J52" s="9"/>
      <c r="K52" s="9"/>
      <c r="L52" s="9"/>
      <c r="M52" s="9"/>
      <c r="N52" s="9"/>
      <c r="O52" s="9"/>
      <c r="P52" s="9"/>
      <c r="Q52" s="9"/>
      <c r="R52" s="10"/>
    </row>
    <row r="53" spans="1:18" ht="15" customHeight="1" x14ac:dyDescent="0.3">
      <c r="A53" s="11" t="s">
        <v>80</v>
      </c>
      <c r="B53" s="11" t="s">
        <v>91</v>
      </c>
      <c r="C53" s="11">
        <v>0.79513888888888884</v>
      </c>
      <c r="D53" s="11" t="s">
        <v>85</v>
      </c>
      <c r="E53" s="11" t="s">
        <v>105</v>
      </c>
      <c r="F53" s="11" t="s">
        <v>102</v>
      </c>
      <c r="G53" s="164"/>
      <c r="H53" s="8"/>
      <c r="I53" s="9"/>
      <c r="J53" s="9"/>
      <c r="K53" s="9"/>
      <c r="L53" s="9"/>
      <c r="M53" s="9"/>
      <c r="N53" s="9"/>
      <c r="O53" s="9"/>
      <c r="P53" s="9"/>
      <c r="Q53" s="9"/>
      <c r="R53" s="10"/>
    </row>
    <row r="54" spans="1:18" ht="15" customHeight="1" x14ac:dyDescent="0.3">
      <c r="A54" s="31" t="s">
        <v>80</v>
      </c>
      <c r="B54" s="31" t="s">
        <v>88</v>
      </c>
      <c r="C54" s="31">
        <v>0.4201388888888889</v>
      </c>
      <c r="D54" s="31" t="s">
        <v>85</v>
      </c>
      <c r="E54" s="31" t="s">
        <v>89</v>
      </c>
      <c r="F54" s="31" t="s">
        <v>106</v>
      </c>
      <c r="G54" s="164"/>
      <c r="H54" s="8"/>
      <c r="I54" s="9"/>
      <c r="J54" s="9"/>
      <c r="K54" s="9"/>
      <c r="L54" s="9"/>
      <c r="M54" s="9"/>
      <c r="N54" s="9"/>
      <c r="O54" s="9"/>
      <c r="P54" s="9"/>
      <c r="Q54" s="9"/>
      <c r="R54" s="10"/>
    </row>
    <row r="55" spans="1:18" ht="15" customHeight="1" x14ac:dyDescent="0.3">
      <c r="A55" s="37" t="s">
        <v>46</v>
      </c>
      <c r="B55" s="37" t="s">
        <v>107</v>
      </c>
      <c r="C55" s="37">
        <v>0.53819444444444442</v>
      </c>
      <c r="D55" s="37" t="s">
        <v>48</v>
      </c>
      <c r="E55" s="37" t="s">
        <v>39</v>
      </c>
      <c r="F55" s="37" t="s">
        <v>108</v>
      </c>
      <c r="G55" s="164"/>
      <c r="H55" s="38" t="s">
        <v>62</v>
      </c>
      <c r="I55" s="39">
        <v>0.98280000000000001</v>
      </c>
      <c r="J55" s="40">
        <v>171</v>
      </c>
      <c r="K55" s="41" t="s">
        <v>52</v>
      </c>
      <c r="L55" s="40">
        <v>7</v>
      </c>
      <c r="M55" s="40">
        <v>0</v>
      </c>
      <c r="N55" s="40">
        <v>1</v>
      </c>
      <c r="O55" s="41" t="s">
        <v>109</v>
      </c>
      <c r="P55" s="41">
        <v>0.53819444444444442</v>
      </c>
      <c r="Q55" s="40">
        <v>174</v>
      </c>
      <c r="R55" s="42" t="s">
        <v>110</v>
      </c>
    </row>
    <row r="56" spans="1:18" ht="17.399999999999999" customHeight="1" x14ac:dyDescent="0.3">
      <c r="A56" s="190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2"/>
    </row>
    <row r="57" spans="1:18" ht="22.05" customHeight="1" x14ac:dyDescent="0.3">
      <c r="A57" s="161" t="s">
        <v>6</v>
      </c>
      <c r="B57" s="162"/>
      <c r="C57" s="162"/>
      <c r="D57" s="162"/>
      <c r="E57" s="162"/>
      <c r="F57" s="163"/>
      <c r="G57" s="3">
        <v>45989</v>
      </c>
      <c r="H57" s="161" t="s">
        <v>7</v>
      </c>
      <c r="I57" s="162"/>
      <c r="J57" s="162"/>
      <c r="K57" s="162"/>
      <c r="L57" s="162"/>
      <c r="M57" s="162"/>
      <c r="N57" s="162"/>
      <c r="O57" s="162"/>
      <c r="P57" s="162"/>
      <c r="Q57" s="162"/>
      <c r="R57" s="163"/>
    </row>
    <row r="58" spans="1:18" ht="24" customHeight="1" x14ac:dyDescent="0.3">
      <c r="A58" s="4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5" t="s">
        <v>13</v>
      </c>
      <c r="G58" s="6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  <c r="P58" s="4" t="s">
        <v>23</v>
      </c>
      <c r="Q58" s="4" t="s">
        <v>24</v>
      </c>
      <c r="R58" s="4" t="s">
        <v>25</v>
      </c>
    </row>
    <row r="59" spans="1:18" ht="15" customHeight="1" x14ac:dyDescent="0.3">
      <c r="A59" s="7" t="s">
        <v>68</v>
      </c>
      <c r="B59" s="7" t="s">
        <v>69</v>
      </c>
      <c r="C59" s="7">
        <v>0.1076388888888889</v>
      </c>
      <c r="D59" s="7" t="s">
        <v>70</v>
      </c>
      <c r="E59" s="7" t="s">
        <v>49</v>
      </c>
      <c r="F59" s="7" t="s">
        <v>71</v>
      </c>
      <c r="G59" s="164"/>
      <c r="H59" s="8"/>
      <c r="I59" s="9"/>
      <c r="J59" s="9"/>
      <c r="K59" s="9"/>
      <c r="L59" s="9"/>
      <c r="M59" s="9"/>
      <c r="N59" s="9"/>
      <c r="O59" s="9"/>
      <c r="P59" s="9"/>
      <c r="Q59" s="9"/>
      <c r="R59" s="10"/>
    </row>
    <row r="60" spans="1:18" ht="15" customHeight="1" x14ac:dyDescent="0.3">
      <c r="A60" s="31" t="s">
        <v>68</v>
      </c>
      <c r="B60" s="31" t="s">
        <v>72</v>
      </c>
      <c r="C60" s="31">
        <v>0.22222222222222221</v>
      </c>
      <c r="D60" s="31" t="s">
        <v>70</v>
      </c>
      <c r="E60" s="31" t="s">
        <v>73</v>
      </c>
      <c r="F60" s="31" t="s">
        <v>71</v>
      </c>
      <c r="G60" s="164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15" customHeight="1" x14ac:dyDescent="0.3">
      <c r="A61" s="31" t="s">
        <v>68</v>
      </c>
      <c r="B61" s="31" t="s">
        <v>77</v>
      </c>
      <c r="C61" s="31">
        <v>0.49305555555555558</v>
      </c>
      <c r="D61" s="31" t="s">
        <v>70</v>
      </c>
      <c r="E61" s="31" t="s">
        <v>104</v>
      </c>
      <c r="F61" s="31" t="s">
        <v>79</v>
      </c>
      <c r="G61" s="164"/>
      <c r="H61" s="8"/>
      <c r="I61" s="9"/>
      <c r="J61" s="9"/>
      <c r="K61" s="9"/>
      <c r="L61" s="9"/>
      <c r="M61" s="9"/>
      <c r="N61" s="9"/>
      <c r="O61" s="9"/>
      <c r="P61" s="9"/>
      <c r="Q61" s="9"/>
      <c r="R61" s="10"/>
    </row>
    <row r="62" spans="1:18" ht="15" customHeight="1" x14ac:dyDescent="0.3">
      <c r="A62" s="12" t="s">
        <v>80</v>
      </c>
      <c r="B62" s="12" t="s">
        <v>81</v>
      </c>
      <c r="C62" s="12">
        <v>0.60416666666666663</v>
      </c>
      <c r="D62" s="12" t="s">
        <v>82</v>
      </c>
      <c r="E62" s="12" t="s">
        <v>49</v>
      </c>
      <c r="F62" s="12" t="s">
        <v>84</v>
      </c>
      <c r="G62" s="164"/>
      <c r="H62" s="8"/>
      <c r="I62" s="9"/>
      <c r="J62" s="9"/>
      <c r="K62" s="9"/>
      <c r="L62" s="9"/>
      <c r="M62" s="9"/>
      <c r="N62" s="9"/>
      <c r="O62" s="9"/>
      <c r="P62" s="9"/>
      <c r="Q62" s="9"/>
      <c r="R62" s="10"/>
    </row>
    <row r="63" spans="1:18" ht="15" customHeight="1" x14ac:dyDescent="0.3">
      <c r="A63" s="11" t="s">
        <v>80</v>
      </c>
      <c r="B63" s="11" t="s">
        <v>81</v>
      </c>
      <c r="C63" s="11">
        <v>0.60416666666666663</v>
      </c>
      <c r="D63" s="11" t="s">
        <v>85</v>
      </c>
      <c r="E63" s="11" t="s">
        <v>96</v>
      </c>
      <c r="F63" s="11" t="s">
        <v>87</v>
      </c>
      <c r="G63" s="164"/>
      <c r="H63" s="8"/>
      <c r="I63" s="9"/>
      <c r="J63" s="9"/>
      <c r="K63" s="9"/>
      <c r="L63" s="9"/>
      <c r="M63" s="9"/>
      <c r="N63" s="9"/>
      <c r="O63" s="9"/>
      <c r="P63" s="9"/>
      <c r="Q63" s="9"/>
      <c r="R63" s="10"/>
    </row>
    <row r="64" spans="1:18" ht="15" customHeight="1" x14ac:dyDescent="0.3">
      <c r="A64" s="31" t="s">
        <v>80</v>
      </c>
      <c r="B64" s="31" t="s">
        <v>95</v>
      </c>
      <c r="C64" s="31">
        <v>8.6805555555555566E-2</v>
      </c>
      <c r="D64" s="31" t="s">
        <v>82</v>
      </c>
      <c r="E64" s="31" t="s">
        <v>73</v>
      </c>
      <c r="F64" s="31" t="s">
        <v>101</v>
      </c>
      <c r="G64" s="164"/>
      <c r="H64" s="8"/>
      <c r="I64" s="9"/>
      <c r="J64" s="9"/>
      <c r="K64" s="9"/>
      <c r="L64" s="9"/>
      <c r="M64" s="9"/>
      <c r="N64" s="9"/>
      <c r="O64" s="9"/>
      <c r="P64" s="9"/>
      <c r="Q64" s="9"/>
      <c r="R64" s="10"/>
    </row>
    <row r="65" spans="1:18" ht="15" customHeight="1" x14ac:dyDescent="0.3">
      <c r="A65" s="11" t="s">
        <v>80</v>
      </c>
      <c r="B65" s="11" t="s">
        <v>95</v>
      </c>
      <c r="C65" s="11">
        <v>8.6805555555555566E-2</v>
      </c>
      <c r="D65" s="11" t="s">
        <v>85</v>
      </c>
      <c r="E65" s="11" t="s">
        <v>96</v>
      </c>
      <c r="F65" s="11" t="s">
        <v>102</v>
      </c>
      <c r="G65" s="164"/>
      <c r="H65" s="8"/>
      <c r="I65" s="9"/>
      <c r="J65" s="9"/>
      <c r="K65" s="9"/>
      <c r="L65" s="9"/>
      <c r="M65" s="9"/>
      <c r="N65" s="9"/>
      <c r="O65" s="9"/>
      <c r="P65" s="9"/>
      <c r="Q65" s="9"/>
      <c r="R65" s="10"/>
    </row>
    <row r="66" spans="1:18" ht="15" customHeight="1" x14ac:dyDescent="0.3">
      <c r="A66" s="31" t="s">
        <v>80</v>
      </c>
      <c r="B66" s="31" t="s">
        <v>88</v>
      </c>
      <c r="C66" s="31">
        <v>0.4201388888888889</v>
      </c>
      <c r="D66" s="31" t="s">
        <v>85</v>
      </c>
      <c r="E66" s="31" t="s">
        <v>89</v>
      </c>
      <c r="F66" s="31" t="s">
        <v>90</v>
      </c>
      <c r="G66" s="164"/>
      <c r="H66" s="8"/>
      <c r="I66" s="9"/>
      <c r="J66" s="9"/>
      <c r="K66" s="9"/>
      <c r="L66" s="9"/>
      <c r="M66" s="9"/>
      <c r="N66" s="9"/>
      <c r="O66" s="9"/>
      <c r="P66" s="9"/>
      <c r="Q66" s="9"/>
      <c r="R66" s="10"/>
    </row>
    <row r="67" spans="1:18" ht="15" customHeight="1" x14ac:dyDescent="0.3">
      <c r="A67" s="31" t="s">
        <v>80</v>
      </c>
      <c r="B67" s="31" t="s">
        <v>91</v>
      </c>
      <c r="C67" s="31">
        <v>0.79513888888888884</v>
      </c>
      <c r="D67" s="31" t="s">
        <v>82</v>
      </c>
      <c r="E67" s="31" t="s">
        <v>104</v>
      </c>
      <c r="F67" s="31" t="s">
        <v>111</v>
      </c>
      <c r="G67" s="164"/>
      <c r="H67" s="8"/>
      <c r="I67" s="9"/>
      <c r="J67" s="9"/>
      <c r="K67" s="9"/>
      <c r="L67" s="9"/>
      <c r="M67" s="9"/>
      <c r="N67" s="9"/>
      <c r="O67" s="9"/>
      <c r="P67" s="9"/>
      <c r="Q67" s="9"/>
      <c r="R67" s="10"/>
    </row>
    <row r="68" spans="1:18" ht="15" customHeight="1" x14ac:dyDescent="0.3">
      <c r="A68" s="32" t="s">
        <v>80</v>
      </c>
      <c r="B68" s="32" t="s">
        <v>91</v>
      </c>
      <c r="C68" s="32">
        <v>0.79513888888888884</v>
      </c>
      <c r="D68" s="32" t="s">
        <v>85</v>
      </c>
      <c r="E68" s="32" t="s">
        <v>105</v>
      </c>
      <c r="F68" s="32" t="s">
        <v>112</v>
      </c>
      <c r="G68" s="164"/>
      <c r="H68" s="33"/>
      <c r="I68" s="34"/>
      <c r="J68" s="34"/>
      <c r="K68" s="34"/>
      <c r="L68" s="34"/>
      <c r="M68" s="34"/>
      <c r="N68" s="34"/>
      <c r="O68" s="34"/>
      <c r="P68" s="34"/>
      <c r="Q68" s="34"/>
      <c r="R68" s="35"/>
    </row>
    <row r="69" spans="1:18" ht="17.399999999999999" customHeight="1" x14ac:dyDescent="0.3">
      <c r="A69" s="190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2"/>
    </row>
    <row r="70" spans="1:18" ht="22.05" customHeight="1" x14ac:dyDescent="0.3">
      <c r="A70" s="161" t="s">
        <v>6</v>
      </c>
      <c r="B70" s="162"/>
      <c r="C70" s="162"/>
      <c r="D70" s="162"/>
      <c r="E70" s="162"/>
      <c r="F70" s="163"/>
      <c r="G70" s="3">
        <v>45990</v>
      </c>
      <c r="H70" s="161" t="s">
        <v>7</v>
      </c>
      <c r="I70" s="162"/>
      <c r="J70" s="162"/>
      <c r="K70" s="162"/>
      <c r="L70" s="162"/>
      <c r="M70" s="162"/>
      <c r="N70" s="162"/>
      <c r="O70" s="162"/>
      <c r="P70" s="162"/>
      <c r="Q70" s="162"/>
      <c r="R70" s="163"/>
    </row>
    <row r="71" spans="1:18" ht="24" customHeight="1" x14ac:dyDescent="0.3">
      <c r="A71" s="4" t="s">
        <v>8</v>
      </c>
      <c r="B71" s="4" t="s">
        <v>9</v>
      </c>
      <c r="C71" s="4" t="s">
        <v>10</v>
      </c>
      <c r="D71" s="4" t="s">
        <v>11</v>
      </c>
      <c r="E71" s="4" t="s">
        <v>12</v>
      </c>
      <c r="F71" s="5" t="s">
        <v>13</v>
      </c>
      <c r="G71" s="6" t="s">
        <v>14</v>
      </c>
      <c r="H71" s="4" t="s">
        <v>15</v>
      </c>
      <c r="I71" s="4" t="s">
        <v>16</v>
      </c>
      <c r="J71" s="4" t="s">
        <v>17</v>
      </c>
      <c r="K71" s="4" t="s">
        <v>18</v>
      </c>
      <c r="L71" s="4" t="s">
        <v>19</v>
      </c>
      <c r="M71" s="4" t="s">
        <v>20</v>
      </c>
      <c r="N71" s="4" t="s">
        <v>21</v>
      </c>
      <c r="O71" s="4" t="s">
        <v>22</v>
      </c>
      <c r="P71" s="4" t="s">
        <v>23</v>
      </c>
      <c r="Q71" s="4" t="s">
        <v>24</v>
      </c>
      <c r="R71" s="4" t="s">
        <v>25</v>
      </c>
    </row>
    <row r="72" spans="1:18" ht="15" customHeight="1" x14ac:dyDescent="0.3">
      <c r="A72" s="7" t="s">
        <v>26</v>
      </c>
      <c r="B72" s="7" t="s">
        <v>27</v>
      </c>
      <c r="C72" s="7">
        <v>0.4201388888888889</v>
      </c>
      <c r="D72" s="7" t="s">
        <v>28</v>
      </c>
      <c r="E72" s="7" t="s">
        <v>83</v>
      </c>
      <c r="F72" s="7" t="s">
        <v>113</v>
      </c>
      <c r="G72" s="164"/>
      <c r="H72" s="8"/>
      <c r="I72" s="9"/>
      <c r="J72" s="9"/>
      <c r="K72" s="9"/>
      <c r="L72" s="9"/>
      <c r="M72" s="9"/>
      <c r="N72" s="9"/>
      <c r="O72" s="9"/>
      <c r="P72" s="9"/>
      <c r="Q72" s="9"/>
      <c r="R72" s="10"/>
    </row>
    <row r="73" spans="1:18" ht="15" customHeight="1" x14ac:dyDescent="0.3">
      <c r="A73" s="11" t="s">
        <v>26</v>
      </c>
      <c r="B73" s="11" t="s">
        <v>27</v>
      </c>
      <c r="C73" s="11">
        <v>0.4201388888888889</v>
      </c>
      <c r="D73" s="11" t="s">
        <v>31</v>
      </c>
      <c r="E73" s="11" t="s">
        <v>86</v>
      </c>
      <c r="F73" s="11" t="s">
        <v>114</v>
      </c>
      <c r="G73" s="164"/>
      <c r="H73" s="8"/>
      <c r="I73" s="9"/>
      <c r="J73" s="9"/>
      <c r="K73" s="9"/>
      <c r="L73" s="9"/>
      <c r="M73" s="9"/>
      <c r="N73" s="9"/>
      <c r="O73" s="9"/>
      <c r="P73" s="9"/>
      <c r="Q73" s="9"/>
      <c r="R73" s="10"/>
    </row>
    <row r="74" spans="1:18" ht="15" customHeight="1" x14ac:dyDescent="0.3">
      <c r="A74" s="11" t="s">
        <v>26</v>
      </c>
      <c r="B74" s="11" t="s">
        <v>27</v>
      </c>
      <c r="C74" s="11">
        <v>0.4201388888888889</v>
      </c>
      <c r="D74" s="11" t="s">
        <v>34</v>
      </c>
      <c r="E74" s="11" t="s">
        <v>86</v>
      </c>
      <c r="F74" s="11" t="s">
        <v>35</v>
      </c>
      <c r="G74" s="164"/>
      <c r="H74" s="8"/>
      <c r="I74" s="9"/>
      <c r="J74" s="9"/>
      <c r="K74" s="9"/>
      <c r="L74" s="9"/>
      <c r="M74" s="9"/>
      <c r="N74" s="9"/>
      <c r="O74" s="9"/>
      <c r="P74" s="9"/>
      <c r="Q74" s="9"/>
      <c r="R74" s="10"/>
    </row>
    <row r="75" spans="1:18" ht="15" customHeight="1" x14ac:dyDescent="0.3">
      <c r="A75" s="12" t="s">
        <v>36</v>
      </c>
      <c r="B75" s="12" t="s">
        <v>115</v>
      </c>
      <c r="C75" s="12">
        <v>0.35416666666666669</v>
      </c>
      <c r="D75" s="12" t="s">
        <v>38</v>
      </c>
      <c r="E75" s="12" t="s">
        <v>116</v>
      </c>
      <c r="F75" s="12" t="s">
        <v>117</v>
      </c>
      <c r="G75" s="164"/>
      <c r="H75" s="8"/>
      <c r="I75" s="9"/>
      <c r="J75" s="9"/>
      <c r="K75" s="9"/>
      <c r="L75" s="9"/>
      <c r="M75" s="9"/>
      <c r="N75" s="9"/>
      <c r="O75" s="9"/>
      <c r="P75" s="9"/>
      <c r="Q75" s="9"/>
      <c r="R75" s="10"/>
    </row>
    <row r="76" spans="1:18" ht="15" customHeight="1" x14ac:dyDescent="0.3">
      <c r="A76" s="11" t="s">
        <v>36</v>
      </c>
      <c r="B76" s="11" t="s">
        <v>115</v>
      </c>
      <c r="C76" s="11">
        <v>0.35416666666666669</v>
      </c>
      <c r="D76" s="11" t="s">
        <v>41</v>
      </c>
      <c r="E76" s="11" t="s">
        <v>118</v>
      </c>
      <c r="F76" s="11" t="s">
        <v>119</v>
      </c>
      <c r="G76" s="164"/>
      <c r="H76" s="8"/>
      <c r="I76" s="9"/>
      <c r="J76" s="9"/>
      <c r="K76" s="9"/>
      <c r="L76" s="9"/>
      <c r="M76" s="9"/>
      <c r="N76" s="9"/>
      <c r="O76" s="9"/>
      <c r="P76" s="9"/>
      <c r="Q76" s="9"/>
      <c r="R76" s="10"/>
    </row>
    <row r="77" spans="1:18" ht="15" customHeight="1" x14ac:dyDescent="0.3">
      <c r="A77" s="11" t="s">
        <v>36</v>
      </c>
      <c r="B77" s="11" t="s">
        <v>115</v>
      </c>
      <c r="C77" s="11">
        <v>0.35416666666666669</v>
      </c>
      <c r="D77" s="11" t="s">
        <v>44</v>
      </c>
      <c r="E77" s="11" t="s">
        <v>118</v>
      </c>
      <c r="F77" s="11" t="s">
        <v>120</v>
      </c>
      <c r="G77" s="164"/>
      <c r="H77" s="8"/>
      <c r="I77" s="9"/>
      <c r="J77" s="9"/>
      <c r="K77" s="9"/>
      <c r="L77" s="9"/>
      <c r="M77" s="9"/>
      <c r="N77" s="9"/>
      <c r="O77" s="9"/>
      <c r="P77" s="9"/>
      <c r="Q77" s="9"/>
      <c r="R77" s="10"/>
    </row>
    <row r="78" spans="1:18" ht="15" customHeight="1" x14ac:dyDescent="0.3">
      <c r="A78" s="31" t="s">
        <v>36</v>
      </c>
      <c r="B78" s="31" t="s">
        <v>37</v>
      </c>
      <c r="C78" s="31">
        <v>0.75694444444444453</v>
      </c>
      <c r="D78" s="31" t="s">
        <v>44</v>
      </c>
      <c r="E78" s="31" t="s">
        <v>98</v>
      </c>
      <c r="F78" s="31" t="s">
        <v>121</v>
      </c>
      <c r="G78" s="164"/>
      <c r="H78" s="8"/>
      <c r="I78" s="9"/>
      <c r="J78" s="9"/>
      <c r="K78" s="9"/>
      <c r="L78" s="9"/>
      <c r="M78" s="9"/>
      <c r="N78" s="9"/>
      <c r="O78" s="9"/>
      <c r="P78" s="9"/>
      <c r="Q78" s="9"/>
      <c r="R78" s="10"/>
    </row>
    <row r="79" spans="1:18" ht="15" customHeight="1" x14ac:dyDescent="0.3">
      <c r="A79" s="11" t="s">
        <v>36</v>
      </c>
      <c r="B79" s="11" t="s">
        <v>37</v>
      </c>
      <c r="C79" s="11">
        <v>0.75694444444444453</v>
      </c>
      <c r="D79" s="11" t="s">
        <v>38</v>
      </c>
      <c r="E79" s="11" t="s">
        <v>122</v>
      </c>
      <c r="F79" s="11" t="s">
        <v>123</v>
      </c>
      <c r="G79" s="164"/>
      <c r="H79" s="8"/>
      <c r="I79" s="9"/>
      <c r="J79" s="9"/>
      <c r="K79" s="9"/>
      <c r="L79" s="9"/>
      <c r="M79" s="9"/>
      <c r="N79" s="9"/>
      <c r="O79" s="9"/>
      <c r="P79" s="9"/>
      <c r="Q79" s="9"/>
      <c r="R79" s="10"/>
    </row>
    <row r="80" spans="1:18" ht="15" customHeight="1" x14ac:dyDescent="0.3">
      <c r="A80" s="11" t="s">
        <v>36</v>
      </c>
      <c r="B80" s="11" t="s">
        <v>37</v>
      </c>
      <c r="C80" s="11">
        <v>0.75694444444444453</v>
      </c>
      <c r="D80" s="11" t="s">
        <v>41</v>
      </c>
      <c r="E80" s="11" t="s">
        <v>122</v>
      </c>
      <c r="F80" s="11" t="s">
        <v>124</v>
      </c>
      <c r="G80" s="164"/>
      <c r="H80" s="8"/>
      <c r="I80" s="9"/>
      <c r="J80" s="9"/>
      <c r="K80" s="9"/>
      <c r="L80" s="9"/>
      <c r="M80" s="9"/>
      <c r="N80" s="9"/>
      <c r="O80" s="9"/>
      <c r="P80" s="9"/>
      <c r="Q80" s="9"/>
      <c r="R80" s="10"/>
    </row>
    <row r="81" spans="1:18" ht="15" customHeight="1" x14ac:dyDescent="0.3">
      <c r="A81" s="12" t="s">
        <v>80</v>
      </c>
      <c r="B81" s="12" t="s">
        <v>91</v>
      </c>
      <c r="C81" s="12">
        <v>0.79513888888888884</v>
      </c>
      <c r="D81" s="12" t="s">
        <v>82</v>
      </c>
      <c r="E81" s="12" t="s">
        <v>29</v>
      </c>
      <c r="F81" s="12" t="s">
        <v>101</v>
      </c>
      <c r="G81" s="164"/>
      <c r="H81" s="8"/>
      <c r="I81" s="9"/>
      <c r="J81" s="9"/>
      <c r="K81" s="9"/>
      <c r="L81" s="9"/>
      <c r="M81" s="9"/>
      <c r="N81" s="9"/>
      <c r="O81" s="9"/>
      <c r="P81" s="9"/>
      <c r="Q81" s="9"/>
      <c r="R81" s="10"/>
    </row>
    <row r="82" spans="1:18" ht="15" customHeight="1" x14ac:dyDescent="0.3">
      <c r="A82" s="11" t="s">
        <v>80</v>
      </c>
      <c r="B82" s="11" t="s">
        <v>91</v>
      </c>
      <c r="C82" s="11">
        <v>0.79513888888888884</v>
      </c>
      <c r="D82" s="11" t="s">
        <v>85</v>
      </c>
      <c r="E82" s="11" t="s">
        <v>32</v>
      </c>
      <c r="F82" s="11" t="s">
        <v>102</v>
      </c>
      <c r="G82" s="164"/>
      <c r="H82" s="8"/>
      <c r="I82" s="9"/>
      <c r="J82" s="9"/>
      <c r="K82" s="9"/>
      <c r="L82" s="9"/>
      <c r="M82" s="9"/>
      <c r="N82" s="9"/>
      <c r="O82" s="9"/>
      <c r="P82" s="9"/>
      <c r="Q82" s="9"/>
      <c r="R82" s="10"/>
    </row>
    <row r="83" spans="1:18" ht="15" customHeight="1" x14ac:dyDescent="0.3">
      <c r="A83" s="31" t="s">
        <v>80</v>
      </c>
      <c r="B83" s="31" t="s">
        <v>81</v>
      </c>
      <c r="C83" s="31">
        <v>0.60416666666666663</v>
      </c>
      <c r="D83" s="31" t="s">
        <v>82</v>
      </c>
      <c r="E83" s="31" t="s">
        <v>104</v>
      </c>
      <c r="F83" s="31" t="s">
        <v>93</v>
      </c>
      <c r="G83" s="164"/>
      <c r="H83" s="8"/>
      <c r="I83" s="9"/>
      <c r="J83" s="9"/>
      <c r="K83" s="9"/>
      <c r="L83" s="9"/>
      <c r="M83" s="9"/>
      <c r="N83" s="9"/>
      <c r="O83" s="9"/>
      <c r="P83" s="9"/>
      <c r="Q83" s="9"/>
      <c r="R83" s="10"/>
    </row>
    <row r="84" spans="1:18" ht="15" customHeight="1" x14ac:dyDescent="0.3">
      <c r="A84" s="11" t="s">
        <v>80</v>
      </c>
      <c r="B84" s="11" t="s">
        <v>81</v>
      </c>
      <c r="C84" s="11">
        <v>0.60416666666666663</v>
      </c>
      <c r="D84" s="11" t="s">
        <v>85</v>
      </c>
      <c r="E84" s="11" t="s">
        <v>105</v>
      </c>
      <c r="F84" s="11" t="s">
        <v>94</v>
      </c>
      <c r="G84" s="164"/>
      <c r="H84" s="8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spans="1:18" ht="15" customHeight="1" x14ac:dyDescent="0.3">
      <c r="A85" s="31" t="s">
        <v>80</v>
      </c>
      <c r="B85" s="31" t="s">
        <v>95</v>
      </c>
      <c r="C85" s="31">
        <v>8.6805555555555566E-2</v>
      </c>
      <c r="D85" s="31" t="s">
        <v>82</v>
      </c>
      <c r="E85" s="31" t="s">
        <v>73</v>
      </c>
      <c r="F85" s="31" t="s">
        <v>93</v>
      </c>
      <c r="G85" s="164"/>
      <c r="H85" s="8"/>
      <c r="I85" s="9"/>
      <c r="J85" s="9"/>
      <c r="K85" s="9"/>
      <c r="L85" s="9"/>
      <c r="M85" s="9"/>
      <c r="N85" s="9"/>
      <c r="O85" s="9"/>
      <c r="P85" s="9"/>
      <c r="Q85" s="9"/>
      <c r="R85" s="10"/>
    </row>
    <row r="86" spans="1:18" ht="15" customHeight="1" x14ac:dyDescent="0.3">
      <c r="A86" s="11" t="s">
        <v>80</v>
      </c>
      <c r="B86" s="11" t="s">
        <v>95</v>
      </c>
      <c r="C86" s="11">
        <v>8.6805555555555566E-2</v>
      </c>
      <c r="D86" s="11" t="s">
        <v>85</v>
      </c>
      <c r="E86" s="11" t="s">
        <v>96</v>
      </c>
      <c r="F86" s="11" t="s">
        <v>94</v>
      </c>
      <c r="G86" s="164"/>
      <c r="H86" s="8"/>
      <c r="I86" s="9"/>
      <c r="J86" s="9"/>
      <c r="K86" s="9"/>
      <c r="L86" s="9"/>
      <c r="M86" s="9"/>
      <c r="N86" s="9"/>
      <c r="O86" s="9"/>
      <c r="P86" s="9"/>
      <c r="Q86" s="9"/>
      <c r="R86" s="10"/>
    </row>
    <row r="87" spans="1:18" ht="15" customHeight="1" x14ac:dyDescent="0.3">
      <c r="A87" s="31" t="s">
        <v>80</v>
      </c>
      <c r="B87" s="31" t="s">
        <v>88</v>
      </c>
      <c r="C87" s="31">
        <v>0.4201388888888889</v>
      </c>
      <c r="D87" s="31" t="s">
        <v>85</v>
      </c>
      <c r="E87" s="31" t="s">
        <v>89</v>
      </c>
      <c r="F87" s="31" t="s">
        <v>106</v>
      </c>
      <c r="G87" s="164"/>
      <c r="H87" s="8"/>
      <c r="I87" s="9"/>
      <c r="J87" s="9"/>
      <c r="K87" s="9"/>
      <c r="L87" s="9"/>
      <c r="M87" s="9"/>
      <c r="N87" s="9"/>
      <c r="O87" s="9"/>
      <c r="P87" s="9"/>
      <c r="Q87" s="9"/>
      <c r="R87" s="10"/>
    </row>
    <row r="88" spans="1:18" ht="15" customHeight="1" x14ac:dyDescent="0.3">
      <c r="A88" s="43" t="s">
        <v>46</v>
      </c>
      <c r="B88" s="43" t="s">
        <v>62</v>
      </c>
      <c r="C88" s="43">
        <v>0.39583333333333331</v>
      </c>
      <c r="D88" s="43" t="s">
        <v>63</v>
      </c>
      <c r="E88" s="43"/>
      <c r="F88" s="43" t="s">
        <v>64</v>
      </c>
      <c r="G88" s="164"/>
      <c r="H88" s="44" t="s">
        <v>62</v>
      </c>
      <c r="I88" s="45">
        <v>1.0298</v>
      </c>
      <c r="J88" s="46">
        <v>173</v>
      </c>
      <c r="K88" s="47" t="s">
        <v>125</v>
      </c>
      <c r="L88" s="46">
        <v>0</v>
      </c>
      <c r="M88" s="46">
        <v>0</v>
      </c>
      <c r="N88" s="46">
        <v>0</v>
      </c>
      <c r="O88" s="47" t="s">
        <v>66</v>
      </c>
      <c r="P88" s="47">
        <v>0.39583333333333331</v>
      </c>
      <c r="Q88" s="46">
        <v>168</v>
      </c>
      <c r="R88" s="48" t="s">
        <v>126</v>
      </c>
    </row>
    <row r="89" spans="1:18" ht="17.399999999999999" customHeight="1" x14ac:dyDescent="0.3">
      <c r="A89" s="190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2"/>
    </row>
    <row r="90" spans="1:18" ht="22.05" customHeight="1" x14ac:dyDescent="0.3">
      <c r="A90" s="161" t="s">
        <v>6</v>
      </c>
      <c r="B90" s="162"/>
      <c r="C90" s="162"/>
      <c r="D90" s="162"/>
      <c r="E90" s="162"/>
      <c r="F90" s="163"/>
      <c r="G90" s="3">
        <v>45991</v>
      </c>
      <c r="H90" s="161" t="s">
        <v>7</v>
      </c>
      <c r="I90" s="162"/>
      <c r="J90" s="162"/>
      <c r="K90" s="162"/>
      <c r="L90" s="162"/>
      <c r="M90" s="162"/>
      <c r="N90" s="162"/>
      <c r="O90" s="162"/>
      <c r="P90" s="162"/>
      <c r="Q90" s="162"/>
      <c r="R90" s="163"/>
    </row>
    <row r="91" spans="1:18" ht="24" customHeight="1" x14ac:dyDescent="0.3">
      <c r="A91" s="4" t="s">
        <v>8</v>
      </c>
      <c r="B91" s="4" t="s">
        <v>9</v>
      </c>
      <c r="C91" s="4" t="s">
        <v>10</v>
      </c>
      <c r="D91" s="4" t="s">
        <v>11</v>
      </c>
      <c r="E91" s="4" t="s">
        <v>12</v>
      </c>
      <c r="F91" s="5" t="s">
        <v>13</v>
      </c>
      <c r="G91" s="6" t="s">
        <v>14</v>
      </c>
      <c r="H91" s="4" t="s">
        <v>15</v>
      </c>
      <c r="I91" s="4" t="s">
        <v>16</v>
      </c>
      <c r="J91" s="4" t="s">
        <v>17</v>
      </c>
      <c r="K91" s="4" t="s">
        <v>18</v>
      </c>
      <c r="L91" s="4" t="s">
        <v>19</v>
      </c>
      <c r="M91" s="4" t="s">
        <v>20</v>
      </c>
      <c r="N91" s="4" t="s">
        <v>21</v>
      </c>
      <c r="O91" s="4" t="s">
        <v>22</v>
      </c>
      <c r="P91" s="4" t="s">
        <v>23</v>
      </c>
      <c r="Q91" s="4" t="s">
        <v>24</v>
      </c>
      <c r="R91" s="4" t="s">
        <v>25</v>
      </c>
    </row>
    <row r="92" spans="1:18" ht="15" customHeight="1" x14ac:dyDescent="0.3">
      <c r="A92" s="7" t="s">
        <v>26</v>
      </c>
      <c r="B92" s="7" t="s">
        <v>27</v>
      </c>
      <c r="C92" s="7">
        <v>0.4201388888888889</v>
      </c>
      <c r="D92" s="7" t="s">
        <v>28</v>
      </c>
      <c r="E92" s="7" t="s">
        <v>127</v>
      </c>
      <c r="F92" s="7" t="s">
        <v>30</v>
      </c>
      <c r="G92" s="164"/>
      <c r="H92" s="8"/>
      <c r="I92" s="9"/>
      <c r="J92" s="9"/>
      <c r="K92" s="9"/>
      <c r="L92" s="9"/>
      <c r="M92" s="9"/>
      <c r="N92" s="9"/>
      <c r="O92" s="9"/>
      <c r="P92" s="9"/>
      <c r="Q92" s="9"/>
      <c r="R92" s="10"/>
    </row>
    <row r="93" spans="1:18" ht="15" customHeight="1" x14ac:dyDescent="0.3">
      <c r="A93" s="11" t="s">
        <v>26</v>
      </c>
      <c r="B93" s="11" t="s">
        <v>27</v>
      </c>
      <c r="C93" s="11">
        <v>0.4201388888888889</v>
      </c>
      <c r="D93" s="11" t="s">
        <v>31</v>
      </c>
      <c r="E93" s="11" t="s">
        <v>122</v>
      </c>
      <c r="F93" s="11" t="s">
        <v>33</v>
      </c>
      <c r="G93" s="164"/>
      <c r="H93" s="8"/>
      <c r="I93" s="9"/>
      <c r="J93" s="9"/>
      <c r="K93" s="9"/>
      <c r="L93" s="9"/>
      <c r="M93" s="9"/>
      <c r="N93" s="9"/>
      <c r="O93" s="9"/>
      <c r="P93" s="9"/>
      <c r="Q93" s="9"/>
      <c r="R93" s="10"/>
    </row>
    <row r="94" spans="1:18" ht="15" customHeight="1" x14ac:dyDescent="0.3">
      <c r="A94" s="11" t="s">
        <v>26</v>
      </c>
      <c r="B94" s="11" t="s">
        <v>27</v>
      </c>
      <c r="C94" s="11">
        <v>0.4201388888888889</v>
      </c>
      <c r="D94" s="11" t="s">
        <v>34</v>
      </c>
      <c r="E94" s="11" t="s">
        <v>122</v>
      </c>
      <c r="F94" s="11" t="s">
        <v>35</v>
      </c>
      <c r="G94" s="164"/>
      <c r="H94" s="8"/>
      <c r="I94" s="9"/>
      <c r="J94" s="9"/>
      <c r="K94" s="9"/>
      <c r="L94" s="9"/>
      <c r="M94" s="9"/>
      <c r="N94" s="9"/>
      <c r="O94" s="9"/>
      <c r="P94" s="9"/>
      <c r="Q94" s="9"/>
      <c r="R94" s="10"/>
    </row>
    <row r="95" spans="1:18" ht="15" customHeight="1" x14ac:dyDescent="0.3">
      <c r="A95" s="12" t="s">
        <v>36</v>
      </c>
      <c r="B95" s="12" t="s">
        <v>37</v>
      </c>
      <c r="C95" s="12">
        <v>0.75694444444444453</v>
      </c>
      <c r="D95" s="12" t="s">
        <v>38</v>
      </c>
      <c r="E95" s="12" t="s">
        <v>128</v>
      </c>
      <c r="F95" s="12" t="s">
        <v>129</v>
      </c>
      <c r="G95" s="164"/>
      <c r="H95" s="8"/>
      <c r="I95" s="9"/>
      <c r="J95" s="9"/>
      <c r="K95" s="9"/>
      <c r="L95" s="9"/>
      <c r="M95" s="9"/>
      <c r="N95" s="9"/>
      <c r="O95" s="9"/>
      <c r="P95" s="9"/>
      <c r="Q95" s="9"/>
      <c r="R95" s="10"/>
    </row>
    <row r="96" spans="1:18" ht="15" customHeight="1" x14ac:dyDescent="0.3">
      <c r="A96" s="11" t="s">
        <v>36</v>
      </c>
      <c r="B96" s="11" t="s">
        <v>37</v>
      </c>
      <c r="C96" s="11">
        <v>0.75694444444444453</v>
      </c>
      <c r="D96" s="11" t="s">
        <v>41</v>
      </c>
      <c r="E96" s="11" t="s">
        <v>130</v>
      </c>
      <c r="F96" s="11" t="s">
        <v>131</v>
      </c>
      <c r="G96" s="164"/>
      <c r="H96" s="8"/>
      <c r="I96" s="9"/>
      <c r="J96" s="9"/>
      <c r="K96" s="9"/>
      <c r="L96" s="9"/>
      <c r="M96" s="9"/>
      <c r="N96" s="9"/>
      <c r="O96" s="9"/>
      <c r="P96" s="9"/>
      <c r="Q96" s="9"/>
      <c r="R96" s="10"/>
    </row>
    <row r="97" spans="1:18" ht="15" customHeight="1" x14ac:dyDescent="0.3">
      <c r="A97" s="11" t="s">
        <v>36</v>
      </c>
      <c r="B97" s="11" t="s">
        <v>37</v>
      </c>
      <c r="C97" s="11">
        <v>0.75694444444444453</v>
      </c>
      <c r="D97" s="11" t="s">
        <v>44</v>
      </c>
      <c r="E97" s="11" t="s">
        <v>130</v>
      </c>
      <c r="F97" s="11" t="s">
        <v>132</v>
      </c>
      <c r="G97" s="164"/>
      <c r="H97" s="8"/>
      <c r="I97" s="9"/>
      <c r="J97" s="9"/>
      <c r="K97" s="9"/>
      <c r="L97" s="9"/>
      <c r="M97" s="9"/>
      <c r="N97" s="9"/>
      <c r="O97" s="9"/>
      <c r="P97" s="9"/>
      <c r="Q97" s="9"/>
      <c r="R97" s="10"/>
    </row>
    <row r="98" spans="1:18" ht="15" customHeight="1" x14ac:dyDescent="0.3">
      <c r="A98" s="49" t="s">
        <v>46</v>
      </c>
      <c r="B98" s="49" t="s">
        <v>107</v>
      </c>
      <c r="C98" s="49">
        <v>0.90277777777777779</v>
      </c>
      <c r="D98" s="49" t="s">
        <v>48</v>
      </c>
      <c r="E98" s="49" t="s">
        <v>133</v>
      </c>
      <c r="F98" s="49" t="s">
        <v>134</v>
      </c>
      <c r="G98" s="164"/>
      <c r="H98" s="20" t="s">
        <v>62</v>
      </c>
      <c r="I98" s="21">
        <v>0.96550000000000002</v>
      </c>
      <c r="J98" s="22">
        <v>168</v>
      </c>
      <c r="K98" s="23" t="s">
        <v>135</v>
      </c>
      <c r="L98" s="22">
        <v>2</v>
      </c>
      <c r="M98" s="22">
        <v>0</v>
      </c>
      <c r="N98" s="22">
        <v>0</v>
      </c>
      <c r="O98" s="23" t="s">
        <v>136</v>
      </c>
      <c r="P98" s="23">
        <v>0.90277777777777779</v>
      </c>
      <c r="Q98" s="22">
        <v>174</v>
      </c>
      <c r="R98" s="24" t="s">
        <v>137</v>
      </c>
    </row>
    <row r="99" spans="1:18" ht="15" customHeight="1" x14ac:dyDescent="0.3">
      <c r="A99" s="12" t="s">
        <v>80</v>
      </c>
      <c r="B99" s="12" t="s">
        <v>81</v>
      </c>
      <c r="C99" s="12">
        <v>0.60416666666666663</v>
      </c>
      <c r="D99" s="12" t="s">
        <v>82</v>
      </c>
      <c r="E99" s="12" t="s">
        <v>49</v>
      </c>
      <c r="F99" s="12" t="s">
        <v>101</v>
      </c>
      <c r="G99" s="164"/>
      <c r="H99" s="8"/>
      <c r="I99" s="9"/>
      <c r="J99" s="9"/>
      <c r="K99" s="9"/>
      <c r="L99" s="9"/>
      <c r="M99" s="9"/>
      <c r="N99" s="9"/>
      <c r="O99" s="9"/>
      <c r="P99" s="9"/>
      <c r="Q99" s="9"/>
      <c r="R99" s="10"/>
    </row>
    <row r="100" spans="1:18" ht="15" customHeight="1" x14ac:dyDescent="0.3">
      <c r="A100" s="11" t="s">
        <v>80</v>
      </c>
      <c r="B100" s="11" t="s">
        <v>81</v>
      </c>
      <c r="C100" s="11">
        <v>0.60416666666666663</v>
      </c>
      <c r="D100" s="11" t="s">
        <v>85</v>
      </c>
      <c r="E100" s="11" t="s">
        <v>96</v>
      </c>
      <c r="F100" s="11" t="s">
        <v>102</v>
      </c>
      <c r="G100" s="164"/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10"/>
    </row>
    <row r="101" spans="1:18" ht="15" customHeight="1" x14ac:dyDescent="0.3">
      <c r="A101" s="31" t="s">
        <v>80</v>
      </c>
      <c r="B101" s="31" t="s">
        <v>88</v>
      </c>
      <c r="C101" s="31">
        <v>0.4201388888888889</v>
      </c>
      <c r="D101" s="31" t="s">
        <v>85</v>
      </c>
      <c r="E101" s="31" t="s">
        <v>89</v>
      </c>
      <c r="F101" s="31" t="s">
        <v>90</v>
      </c>
      <c r="G101" s="164"/>
      <c r="H101" s="8"/>
      <c r="I101" s="9"/>
      <c r="J101" s="9"/>
      <c r="K101" s="9"/>
      <c r="L101" s="9"/>
      <c r="M101" s="9"/>
      <c r="N101" s="9"/>
      <c r="O101" s="9"/>
      <c r="P101" s="9"/>
      <c r="Q101" s="9"/>
      <c r="R101" s="10"/>
    </row>
    <row r="102" spans="1:18" ht="15" customHeight="1" x14ac:dyDescent="0.3">
      <c r="A102" s="31" t="s">
        <v>80</v>
      </c>
      <c r="B102" s="31" t="s">
        <v>91</v>
      </c>
      <c r="C102" s="31">
        <v>0.79513888888888884</v>
      </c>
      <c r="D102" s="31" t="s">
        <v>82</v>
      </c>
      <c r="E102" s="31" t="s">
        <v>76</v>
      </c>
      <c r="F102" s="31" t="s">
        <v>93</v>
      </c>
      <c r="G102" s="164"/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10"/>
    </row>
    <row r="103" spans="1:18" ht="15" customHeight="1" x14ac:dyDescent="0.3">
      <c r="A103" s="11" t="s">
        <v>80</v>
      </c>
      <c r="B103" s="11" t="s">
        <v>91</v>
      </c>
      <c r="C103" s="11">
        <v>0.79513888888888884</v>
      </c>
      <c r="D103" s="11" t="s">
        <v>85</v>
      </c>
      <c r="E103" s="11" t="s">
        <v>138</v>
      </c>
      <c r="F103" s="11" t="s">
        <v>94</v>
      </c>
      <c r="G103" s="164"/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10"/>
    </row>
    <row r="104" spans="1:18" ht="15" customHeight="1" x14ac:dyDescent="0.3">
      <c r="A104" s="31" t="s">
        <v>80</v>
      </c>
      <c r="B104" s="31" t="s">
        <v>95</v>
      </c>
      <c r="C104" s="31">
        <v>8.6805555555555566E-2</v>
      </c>
      <c r="D104" s="31" t="s">
        <v>82</v>
      </c>
      <c r="E104" s="31" t="s">
        <v>73</v>
      </c>
      <c r="F104" s="31" t="s">
        <v>93</v>
      </c>
      <c r="G104" s="164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10"/>
    </row>
    <row r="105" spans="1:18" ht="15" customHeight="1" x14ac:dyDescent="0.3">
      <c r="A105" s="32" t="s">
        <v>80</v>
      </c>
      <c r="B105" s="32" t="s">
        <v>95</v>
      </c>
      <c r="C105" s="32">
        <v>8.6805555555555566E-2</v>
      </c>
      <c r="D105" s="32" t="s">
        <v>85</v>
      </c>
      <c r="E105" s="32" t="s">
        <v>96</v>
      </c>
      <c r="F105" s="32" t="s">
        <v>94</v>
      </c>
      <c r="G105" s="164"/>
      <c r="H105" s="33"/>
      <c r="I105" s="34"/>
      <c r="J105" s="34"/>
      <c r="K105" s="34"/>
      <c r="L105" s="34"/>
      <c r="M105" s="34"/>
      <c r="N105" s="34"/>
      <c r="O105" s="34"/>
      <c r="P105" s="34"/>
      <c r="Q105" s="34"/>
      <c r="R105" s="35"/>
    </row>
    <row r="106" spans="1:18" ht="17.399999999999999" customHeight="1" x14ac:dyDescent="0.3">
      <c r="A106" s="190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2"/>
    </row>
    <row r="107" spans="1:18" ht="22.05" customHeight="1" x14ac:dyDescent="0.3">
      <c r="A107" s="161" t="s">
        <v>6</v>
      </c>
      <c r="B107" s="162"/>
      <c r="C107" s="162"/>
      <c r="D107" s="162"/>
      <c r="E107" s="162"/>
      <c r="F107" s="163"/>
      <c r="G107" s="3">
        <v>45992</v>
      </c>
      <c r="H107" s="161" t="s">
        <v>7</v>
      </c>
      <c r="I107" s="162"/>
      <c r="J107" s="162"/>
      <c r="K107" s="162"/>
      <c r="L107" s="162"/>
      <c r="M107" s="162"/>
      <c r="N107" s="162"/>
      <c r="O107" s="162"/>
      <c r="P107" s="162"/>
      <c r="Q107" s="162"/>
      <c r="R107" s="163"/>
    </row>
    <row r="108" spans="1:18" ht="24" customHeight="1" x14ac:dyDescent="0.3">
      <c r="A108" s="4" t="s">
        <v>8</v>
      </c>
      <c r="B108" s="4" t="s">
        <v>9</v>
      </c>
      <c r="C108" s="4" t="s">
        <v>10</v>
      </c>
      <c r="D108" s="4" t="s">
        <v>11</v>
      </c>
      <c r="E108" s="4" t="s">
        <v>12</v>
      </c>
      <c r="F108" s="5" t="s">
        <v>13</v>
      </c>
      <c r="G108" s="6" t="s">
        <v>14</v>
      </c>
      <c r="H108" s="4" t="s">
        <v>15</v>
      </c>
      <c r="I108" s="4" t="s">
        <v>16</v>
      </c>
      <c r="J108" s="4" t="s">
        <v>17</v>
      </c>
      <c r="K108" s="4" t="s">
        <v>18</v>
      </c>
      <c r="L108" s="4" t="s">
        <v>19</v>
      </c>
      <c r="M108" s="4" t="s">
        <v>20</v>
      </c>
      <c r="N108" s="4" t="s">
        <v>21</v>
      </c>
      <c r="O108" s="4" t="s">
        <v>22</v>
      </c>
      <c r="P108" s="4" t="s">
        <v>23</v>
      </c>
      <c r="Q108" s="4" t="s">
        <v>24</v>
      </c>
      <c r="R108" s="4" t="s">
        <v>25</v>
      </c>
    </row>
    <row r="109" spans="1:18" ht="15" customHeight="1" x14ac:dyDescent="0.3">
      <c r="A109" s="7" t="s">
        <v>80</v>
      </c>
      <c r="B109" s="7" t="s">
        <v>91</v>
      </c>
      <c r="C109" s="7">
        <v>0.79513888888888884</v>
      </c>
      <c r="D109" s="7" t="s">
        <v>82</v>
      </c>
      <c r="E109" s="7" t="s">
        <v>49</v>
      </c>
      <c r="F109" s="7" t="s">
        <v>101</v>
      </c>
      <c r="G109" s="164"/>
      <c r="H109" s="8"/>
      <c r="I109" s="9"/>
      <c r="J109" s="9"/>
      <c r="K109" s="9"/>
      <c r="L109" s="9"/>
      <c r="M109" s="9"/>
      <c r="N109" s="9"/>
      <c r="O109" s="9"/>
      <c r="P109" s="9"/>
      <c r="Q109" s="9"/>
      <c r="R109" s="10"/>
    </row>
    <row r="110" spans="1:18" ht="15" customHeight="1" x14ac:dyDescent="0.3">
      <c r="A110" s="11" t="s">
        <v>80</v>
      </c>
      <c r="B110" s="11" t="s">
        <v>91</v>
      </c>
      <c r="C110" s="11">
        <v>0.79513888888888884</v>
      </c>
      <c r="D110" s="11" t="s">
        <v>85</v>
      </c>
      <c r="E110" s="11" t="s">
        <v>96</v>
      </c>
      <c r="F110" s="11" t="s">
        <v>102</v>
      </c>
      <c r="G110" s="164"/>
      <c r="H110" s="8"/>
      <c r="I110" s="9"/>
      <c r="J110" s="9"/>
      <c r="K110" s="9"/>
      <c r="L110" s="9"/>
      <c r="M110" s="9"/>
      <c r="N110" s="9"/>
      <c r="O110" s="9"/>
      <c r="P110" s="9"/>
      <c r="Q110" s="9"/>
      <c r="R110" s="10"/>
    </row>
    <row r="111" spans="1:18" ht="15" customHeight="1" x14ac:dyDescent="0.3">
      <c r="A111" s="31" t="s">
        <v>80</v>
      </c>
      <c r="B111" s="31" t="s">
        <v>81</v>
      </c>
      <c r="C111" s="31">
        <v>0.60416666666666663</v>
      </c>
      <c r="D111" s="31" t="s">
        <v>82</v>
      </c>
      <c r="E111" s="31" t="s">
        <v>73</v>
      </c>
      <c r="F111" s="31" t="s">
        <v>101</v>
      </c>
      <c r="G111" s="164"/>
      <c r="H111" s="8"/>
      <c r="I111" s="9"/>
      <c r="J111" s="9"/>
      <c r="K111" s="9"/>
      <c r="L111" s="9"/>
      <c r="M111" s="9"/>
      <c r="N111" s="9"/>
      <c r="O111" s="9"/>
      <c r="P111" s="9"/>
      <c r="Q111" s="9"/>
      <c r="R111" s="10"/>
    </row>
    <row r="112" spans="1:18" ht="15" customHeight="1" x14ac:dyDescent="0.3">
      <c r="A112" s="11" t="s">
        <v>80</v>
      </c>
      <c r="B112" s="11" t="s">
        <v>81</v>
      </c>
      <c r="C112" s="11">
        <v>0.60416666666666663</v>
      </c>
      <c r="D112" s="11" t="s">
        <v>85</v>
      </c>
      <c r="E112" s="11" t="s">
        <v>96</v>
      </c>
      <c r="F112" s="11" t="s">
        <v>102</v>
      </c>
      <c r="G112" s="164"/>
      <c r="H112" s="8"/>
      <c r="I112" s="9"/>
      <c r="J112" s="9"/>
      <c r="K112" s="9"/>
      <c r="L112" s="9"/>
      <c r="M112" s="9"/>
      <c r="N112" s="9"/>
      <c r="O112" s="9"/>
      <c r="P112" s="9"/>
      <c r="Q112" s="9"/>
      <c r="R112" s="10"/>
    </row>
    <row r="113" spans="1:18" ht="15" customHeight="1" x14ac:dyDescent="0.3">
      <c r="A113" s="31" t="s">
        <v>80</v>
      </c>
      <c r="B113" s="31" t="s">
        <v>95</v>
      </c>
      <c r="C113" s="31">
        <v>8.6805555555555566E-2</v>
      </c>
      <c r="D113" s="31" t="s">
        <v>82</v>
      </c>
      <c r="E113" s="31" t="s">
        <v>104</v>
      </c>
      <c r="F113" s="31" t="s">
        <v>93</v>
      </c>
      <c r="G113" s="164"/>
      <c r="H113" s="8"/>
      <c r="I113" s="9"/>
      <c r="J113" s="9"/>
      <c r="K113" s="9"/>
      <c r="L113" s="9"/>
      <c r="M113" s="9"/>
      <c r="N113" s="9"/>
      <c r="O113" s="9"/>
      <c r="P113" s="9"/>
      <c r="Q113" s="9"/>
      <c r="R113" s="10"/>
    </row>
    <row r="114" spans="1:18" ht="15" customHeight="1" x14ac:dyDescent="0.3">
      <c r="A114" s="11" t="s">
        <v>80</v>
      </c>
      <c r="B114" s="11" t="s">
        <v>95</v>
      </c>
      <c r="C114" s="11">
        <v>8.6805555555555566E-2</v>
      </c>
      <c r="D114" s="11" t="s">
        <v>85</v>
      </c>
      <c r="E114" s="11" t="s">
        <v>105</v>
      </c>
      <c r="F114" s="11" t="s">
        <v>94</v>
      </c>
      <c r="G114" s="164"/>
      <c r="H114" s="8"/>
      <c r="I114" s="9"/>
      <c r="J114" s="9"/>
      <c r="K114" s="9"/>
      <c r="L114" s="9"/>
      <c r="M114" s="9"/>
      <c r="N114" s="9"/>
      <c r="O114" s="9"/>
      <c r="P114" s="9"/>
      <c r="Q114" s="9"/>
      <c r="R114" s="10"/>
    </row>
    <row r="115" spans="1:18" ht="15" customHeight="1" x14ac:dyDescent="0.3">
      <c r="A115" s="31" t="s">
        <v>80</v>
      </c>
      <c r="B115" s="31" t="s">
        <v>88</v>
      </c>
      <c r="C115" s="31">
        <v>0.4201388888888889</v>
      </c>
      <c r="D115" s="31" t="s">
        <v>85</v>
      </c>
      <c r="E115" s="31" t="s">
        <v>89</v>
      </c>
      <c r="F115" s="31" t="s">
        <v>106</v>
      </c>
      <c r="G115" s="164"/>
      <c r="H115" s="8"/>
      <c r="I115" s="9"/>
      <c r="J115" s="9"/>
      <c r="K115" s="9"/>
      <c r="L115" s="9"/>
      <c r="M115" s="9"/>
      <c r="N115" s="9"/>
      <c r="O115" s="9"/>
      <c r="P115" s="9"/>
      <c r="Q115" s="9"/>
      <c r="R115" s="10"/>
    </row>
    <row r="116" spans="1:18" ht="15" customHeight="1" x14ac:dyDescent="0.3">
      <c r="A116" s="50" t="s">
        <v>68</v>
      </c>
      <c r="B116" s="50" t="s">
        <v>77</v>
      </c>
      <c r="C116" s="50">
        <v>0.48958333333333331</v>
      </c>
      <c r="D116" s="50" t="s">
        <v>70</v>
      </c>
      <c r="E116" s="50" t="s">
        <v>128</v>
      </c>
      <c r="F116" s="50" t="s">
        <v>79</v>
      </c>
      <c r="G116" s="164"/>
      <c r="H116" s="33"/>
      <c r="I116" s="34"/>
      <c r="J116" s="34"/>
      <c r="K116" s="34"/>
      <c r="L116" s="34"/>
      <c r="M116" s="34"/>
      <c r="N116" s="34"/>
      <c r="O116" s="34"/>
      <c r="P116" s="34"/>
      <c r="Q116" s="34"/>
      <c r="R116" s="35"/>
    </row>
    <row r="117" spans="1:18" ht="17.399999999999999" customHeight="1" x14ac:dyDescent="0.3">
      <c r="A117" s="190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2"/>
    </row>
    <row r="118" spans="1:18" ht="22.05" customHeight="1" x14ac:dyDescent="0.3">
      <c r="A118" s="161" t="s">
        <v>6</v>
      </c>
      <c r="B118" s="162"/>
      <c r="C118" s="162"/>
      <c r="D118" s="162"/>
      <c r="E118" s="162"/>
      <c r="F118" s="163"/>
      <c r="G118" s="3">
        <v>45993</v>
      </c>
      <c r="H118" s="161" t="s">
        <v>7</v>
      </c>
      <c r="I118" s="162"/>
      <c r="J118" s="162"/>
      <c r="K118" s="162"/>
      <c r="L118" s="162"/>
      <c r="M118" s="162"/>
      <c r="N118" s="162"/>
      <c r="O118" s="162"/>
      <c r="P118" s="162"/>
      <c r="Q118" s="162"/>
      <c r="R118" s="163"/>
    </row>
    <row r="119" spans="1:18" ht="24" customHeight="1" x14ac:dyDescent="0.3">
      <c r="A119" s="4" t="s">
        <v>8</v>
      </c>
      <c r="B119" s="4" t="s">
        <v>9</v>
      </c>
      <c r="C119" s="4" t="s">
        <v>10</v>
      </c>
      <c r="D119" s="4" t="s">
        <v>11</v>
      </c>
      <c r="E119" s="4" t="s">
        <v>12</v>
      </c>
      <c r="F119" s="5" t="s">
        <v>13</v>
      </c>
      <c r="G119" s="6" t="s">
        <v>14</v>
      </c>
      <c r="H119" s="4" t="s">
        <v>15</v>
      </c>
      <c r="I119" s="4" t="s">
        <v>16</v>
      </c>
      <c r="J119" s="4" t="s">
        <v>17</v>
      </c>
      <c r="K119" s="4" t="s">
        <v>18</v>
      </c>
      <c r="L119" s="4" t="s">
        <v>19</v>
      </c>
      <c r="M119" s="4" t="s">
        <v>20</v>
      </c>
      <c r="N119" s="4" t="s">
        <v>21</v>
      </c>
      <c r="O119" s="4" t="s">
        <v>22</v>
      </c>
      <c r="P119" s="4" t="s">
        <v>23</v>
      </c>
      <c r="Q119" s="4" t="s">
        <v>24</v>
      </c>
      <c r="R119" s="4" t="s">
        <v>25</v>
      </c>
    </row>
    <row r="120" spans="1:18" ht="15" customHeight="1" x14ac:dyDescent="0.3">
      <c r="A120" s="7" t="s">
        <v>26</v>
      </c>
      <c r="B120" s="7" t="s">
        <v>27</v>
      </c>
      <c r="C120" s="7">
        <v>0.4201388888888889</v>
      </c>
      <c r="D120" s="7" t="s">
        <v>28</v>
      </c>
      <c r="E120" s="7" t="s">
        <v>116</v>
      </c>
      <c r="F120" s="7" t="s">
        <v>139</v>
      </c>
      <c r="G120" s="164"/>
      <c r="H120" s="8"/>
      <c r="I120" s="9"/>
      <c r="J120" s="9"/>
      <c r="K120" s="9"/>
      <c r="L120" s="9"/>
      <c r="M120" s="9"/>
      <c r="N120" s="9"/>
      <c r="O120" s="9"/>
      <c r="P120" s="9"/>
      <c r="Q120" s="9"/>
      <c r="R120" s="10"/>
    </row>
    <row r="121" spans="1:18" ht="15" customHeight="1" x14ac:dyDescent="0.3">
      <c r="A121" s="11" t="s">
        <v>26</v>
      </c>
      <c r="B121" s="11" t="s">
        <v>27</v>
      </c>
      <c r="C121" s="11">
        <v>0.4201388888888889</v>
      </c>
      <c r="D121" s="11" t="s">
        <v>31</v>
      </c>
      <c r="E121" s="11" t="s">
        <v>118</v>
      </c>
      <c r="F121" s="11" t="s">
        <v>119</v>
      </c>
      <c r="G121" s="164"/>
      <c r="H121" s="8"/>
      <c r="I121" s="9"/>
      <c r="J121" s="9"/>
      <c r="K121" s="9"/>
      <c r="L121" s="9"/>
      <c r="M121" s="9"/>
      <c r="N121" s="9"/>
      <c r="O121" s="9"/>
      <c r="P121" s="9"/>
      <c r="Q121" s="9"/>
      <c r="R121" s="10"/>
    </row>
    <row r="122" spans="1:18" ht="15" customHeight="1" x14ac:dyDescent="0.3">
      <c r="A122" s="11" t="s">
        <v>26</v>
      </c>
      <c r="B122" s="11" t="s">
        <v>27</v>
      </c>
      <c r="C122" s="11">
        <v>0.4201388888888889</v>
      </c>
      <c r="D122" s="11" t="s">
        <v>34</v>
      </c>
      <c r="E122" s="11" t="s">
        <v>118</v>
      </c>
      <c r="F122" s="11" t="s">
        <v>35</v>
      </c>
      <c r="G122" s="164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10"/>
    </row>
    <row r="123" spans="1:18" ht="15" customHeight="1" x14ac:dyDescent="0.3">
      <c r="A123" s="12" t="s">
        <v>36</v>
      </c>
      <c r="B123" s="12" t="s">
        <v>37</v>
      </c>
      <c r="C123" s="12">
        <v>0.75694444444444453</v>
      </c>
      <c r="D123" s="12" t="s">
        <v>38</v>
      </c>
      <c r="E123" s="12" t="s">
        <v>39</v>
      </c>
      <c r="F123" s="12" t="s">
        <v>129</v>
      </c>
      <c r="G123" s="164"/>
      <c r="H123" s="8"/>
      <c r="I123" s="9"/>
      <c r="J123" s="9"/>
      <c r="K123" s="9"/>
      <c r="L123" s="9"/>
      <c r="M123" s="9"/>
      <c r="N123" s="9"/>
      <c r="O123" s="9"/>
      <c r="P123" s="9"/>
      <c r="Q123" s="9"/>
      <c r="R123" s="10"/>
    </row>
    <row r="124" spans="1:18" ht="15" customHeight="1" x14ac:dyDescent="0.3">
      <c r="A124" s="11" t="s">
        <v>36</v>
      </c>
      <c r="B124" s="11" t="s">
        <v>37</v>
      </c>
      <c r="C124" s="11">
        <v>0.75694444444444453</v>
      </c>
      <c r="D124" s="11" t="s">
        <v>41</v>
      </c>
      <c r="E124" s="11" t="s">
        <v>42</v>
      </c>
      <c r="F124" s="11" t="s">
        <v>131</v>
      </c>
      <c r="G124" s="164"/>
      <c r="H124" s="8"/>
      <c r="I124" s="9"/>
      <c r="J124" s="9"/>
      <c r="K124" s="9"/>
      <c r="L124" s="9"/>
      <c r="M124" s="9"/>
      <c r="N124" s="9"/>
      <c r="O124" s="9"/>
      <c r="P124" s="9"/>
      <c r="Q124" s="9"/>
      <c r="R124" s="10"/>
    </row>
    <row r="125" spans="1:18" ht="15" customHeight="1" x14ac:dyDescent="0.3">
      <c r="A125" s="11" t="s">
        <v>36</v>
      </c>
      <c r="B125" s="11" t="s">
        <v>37</v>
      </c>
      <c r="C125" s="11">
        <v>0.75694444444444453</v>
      </c>
      <c r="D125" s="11" t="s">
        <v>44</v>
      </c>
      <c r="E125" s="11" t="s">
        <v>42</v>
      </c>
      <c r="F125" s="11" t="s">
        <v>132</v>
      </c>
      <c r="G125" s="164"/>
      <c r="H125" s="8"/>
      <c r="I125" s="9"/>
      <c r="J125" s="9"/>
      <c r="K125" s="9"/>
      <c r="L125" s="9"/>
      <c r="M125" s="9"/>
      <c r="N125" s="9"/>
      <c r="O125" s="9"/>
      <c r="P125" s="9"/>
      <c r="Q125" s="9"/>
      <c r="R125" s="10"/>
    </row>
    <row r="126" spans="1:18" ht="15" customHeight="1" x14ac:dyDescent="0.3">
      <c r="A126" s="51" t="s">
        <v>46</v>
      </c>
      <c r="B126" s="51" t="s">
        <v>47</v>
      </c>
      <c r="C126" s="51">
        <v>0.27777777777777779</v>
      </c>
      <c r="D126" s="51" t="s">
        <v>48</v>
      </c>
      <c r="E126" s="51" t="s">
        <v>49</v>
      </c>
      <c r="F126" s="51" t="s">
        <v>57</v>
      </c>
      <c r="G126" s="164"/>
      <c r="H126" s="52" t="s">
        <v>51</v>
      </c>
      <c r="I126" s="53">
        <v>0.77980000000000005</v>
      </c>
      <c r="J126" s="54">
        <v>131</v>
      </c>
      <c r="K126" s="55" t="s">
        <v>52</v>
      </c>
      <c r="L126" s="54">
        <v>75</v>
      </c>
      <c r="M126" s="54">
        <v>0</v>
      </c>
      <c r="N126" s="54">
        <v>2</v>
      </c>
      <c r="O126" s="55" t="s">
        <v>140</v>
      </c>
      <c r="P126" s="55">
        <v>0.27777777777777779</v>
      </c>
      <c r="Q126" s="54">
        <v>168</v>
      </c>
      <c r="R126" s="56" t="s">
        <v>141</v>
      </c>
    </row>
    <row r="127" spans="1:18" ht="15" customHeight="1" x14ac:dyDescent="0.3">
      <c r="A127" s="25" t="s">
        <v>46</v>
      </c>
      <c r="B127" s="25" t="s">
        <v>55</v>
      </c>
      <c r="C127" s="25">
        <v>4.8611111111111112E-2</v>
      </c>
      <c r="D127" s="25" t="s">
        <v>48</v>
      </c>
      <c r="E127" s="25" t="s">
        <v>142</v>
      </c>
      <c r="F127" s="25" t="s">
        <v>143</v>
      </c>
      <c r="G127" s="164"/>
      <c r="H127" s="26" t="s">
        <v>58</v>
      </c>
      <c r="I127" s="27">
        <v>0.96</v>
      </c>
      <c r="J127" s="28">
        <v>168</v>
      </c>
      <c r="K127" s="29" t="s">
        <v>144</v>
      </c>
      <c r="L127" s="28">
        <v>0</v>
      </c>
      <c r="M127" s="28">
        <v>0</v>
      </c>
      <c r="N127" s="28">
        <v>0</v>
      </c>
      <c r="O127" s="29" t="s">
        <v>145</v>
      </c>
      <c r="P127" s="29">
        <v>4.8611111111111112E-2</v>
      </c>
      <c r="Q127" s="28">
        <v>175</v>
      </c>
      <c r="R127" s="30" t="s">
        <v>146</v>
      </c>
    </row>
    <row r="128" spans="1:18" ht="15" customHeight="1" x14ac:dyDescent="0.3">
      <c r="A128" s="57" t="s">
        <v>46</v>
      </c>
      <c r="B128" s="57" t="s">
        <v>62</v>
      </c>
      <c r="C128" s="57">
        <v>0.97916666666666663</v>
      </c>
      <c r="D128" s="57" t="s">
        <v>63</v>
      </c>
      <c r="E128" s="57"/>
      <c r="F128" s="57" t="s">
        <v>64</v>
      </c>
      <c r="G128" s="164"/>
      <c r="H128" s="14" t="s">
        <v>62</v>
      </c>
      <c r="I128" s="58">
        <v>1.006</v>
      </c>
      <c r="J128" s="16">
        <v>169</v>
      </c>
      <c r="K128" s="17" t="s">
        <v>147</v>
      </c>
      <c r="L128" s="16">
        <v>0</v>
      </c>
      <c r="M128" s="16">
        <v>0</v>
      </c>
      <c r="N128" s="16">
        <v>0</v>
      </c>
      <c r="O128" s="17" t="s">
        <v>66</v>
      </c>
      <c r="P128" s="17">
        <v>0.97916666666666663</v>
      </c>
      <c r="Q128" s="16">
        <v>168</v>
      </c>
      <c r="R128" s="18" t="s">
        <v>148</v>
      </c>
    </row>
    <row r="129" spans="1:18" ht="15" customHeight="1" x14ac:dyDescent="0.3">
      <c r="A129" s="12" t="s">
        <v>80</v>
      </c>
      <c r="B129" s="12" t="s">
        <v>91</v>
      </c>
      <c r="C129" s="12">
        <v>0.79513888888888884</v>
      </c>
      <c r="D129" s="12" t="s">
        <v>82</v>
      </c>
      <c r="E129" s="12" t="s">
        <v>49</v>
      </c>
      <c r="F129" s="12" t="s">
        <v>101</v>
      </c>
      <c r="G129" s="164"/>
      <c r="H129" s="8"/>
      <c r="I129" s="9"/>
      <c r="J129" s="9"/>
      <c r="K129" s="9"/>
      <c r="L129" s="9"/>
      <c r="M129" s="9"/>
      <c r="N129" s="9"/>
      <c r="O129" s="9"/>
      <c r="P129" s="9"/>
      <c r="Q129" s="9"/>
      <c r="R129" s="10"/>
    </row>
    <row r="130" spans="1:18" ht="15" customHeight="1" x14ac:dyDescent="0.3">
      <c r="A130" s="11" t="s">
        <v>80</v>
      </c>
      <c r="B130" s="11" t="s">
        <v>91</v>
      </c>
      <c r="C130" s="11">
        <v>0.79513888888888884</v>
      </c>
      <c r="D130" s="11" t="s">
        <v>85</v>
      </c>
      <c r="E130" s="11" t="s">
        <v>96</v>
      </c>
      <c r="F130" s="11" t="s">
        <v>102</v>
      </c>
      <c r="G130" s="164"/>
      <c r="H130" s="8"/>
      <c r="I130" s="9"/>
      <c r="J130" s="9"/>
      <c r="K130" s="9"/>
      <c r="L130" s="9"/>
      <c r="M130" s="9"/>
      <c r="N130" s="9"/>
      <c r="O130" s="9"/>
      <c r="P130" s="9"/>
      <c r="Q130" s="9"/>
      <c r="R130" s="10"/>
    </row>
    <row r="131" spans="1:18" ht="15" customHeight="1" x14ac:dyDescent="0.3">
      <c r="A131" s="31" t="s">
        <v>80</v>
      </c>
      <c r="B131" s="31" t="s">
        <v>95</v>
      </c>
      <c r="C131" s="31">
        <v>8.6805555555555566E-2</v>
      </c>
      <c r="D131" s="31" t="s">
        <v>82</v>
      </c>
      <c r="E131" s="31" t="s">
        <v>73</v>
      </c>
      <c r="F131" s="31" t="s">
        <v>101</v>
      </c>
      <c r="G131" s="164"/>
      <c r="H131" s="8"/>
      <c r="I131" s="9"/>
      <c r="J131" s="9"/>
      <c r="K131" s="9"/>
      <c r="L131" s="9"/>
      <c r="M131" s="9"/>
      <c r="N131" s="9"/>
      <c r="O131" s="9"/>
      <c r="P131" s="9"/>
      <c r="Q131" s="9"/>
      <c r="R131" s="10"/>
    </row>
    <row r="132" spans="1:18" ht="15" customHeight="1" x14ac:dyDescent="0.3">
      <c r="A132" s="11" t="s">
        <v>80</v>
      </c>
      <c r="B132" s="11" t="s">
        <v>95</v>
      </c>
      <c r="C132" s="11">
        <v>8.6805555555555566E-2</v>
      </c>
      <c r="D132" s="11" t="s">
        <v>85</v>
      </c>
      <c r="E132" s="11" t="s">
        <v>96</v>
      </c>
      <c r="F132" s="11" t="s">
        <v>102</v>
      </c>
      <c r="G132" s="164"/>
      <c r="H132" s="8"/>
      <c r="I132" s="9"/>
      <c r="J132" s="9"/>
      <c r="K132" s="9"/>
      <c r="L132" s="9"/>
      <c r="M132" s="9"/>
      <c r="N132" s="9"/>
      <c r="O132" s="9"/>
      <c r="P132" s="9"/>
      <c r="Q132" s="9"/>
      <c r="R132" s="10"/>
    </row>
    <row r="133" spans="1:18" ht="15" customHeight="1" x14ac:dyDescent="0.3">
      <c r="A133" s="31" t="s">
        <v>80</v>
      </c>
      <c r="B133" s="31" t="s">
        <v>81</v>
      </c>
      <c r="C133" s="31">
        <v>0.60416666666666663</v>
      </c>
      <c r="D133" s="31" t="s">
        <v>82</v>
      </c>
      <c r="E133" s="31" t="s">
        <v>76</v>
      </c>
      <c r="F133" s="31" t="s">
        <v>93</v>
      </c>
      <c r="G133" s="164"/>
      <c r="H133" s="8"/>
      <c r="I133" s="9"/>
      <c r="J133" s="9"/>
      <c r="K133" s="9"/>
      <c r="L133" s="9"/>
      <c r="M133" s="9"/>
      <c r="N133" s="9"/>
      <c r="O133" s="9"/>
      <c r="P133" s="9"/>
      <c r="Q133" s="9"/>
      <c r="R133" s="10"/>
    </row>
    <row r="134" spans="1:18" ht="15" customHeight="1" x14ac:dyDescent="0.3">
      <c r="A134" s="11" t="s">
        <v>80</v>
      </c>
      <c r="B134" s="11" t="s">
        <v>81</v>
      </c>
      <c r="C134" s="11">
        <v>0.60416666666666663</v>
      </c>
      <c r="D134" s="11" t="s">
        <v>85</v>
      </c>
      <c r="E134" s="11" t="s">
        <v>138</v>
      </c>
      <c r="F134" s="11" t="s">
        <v>94</v>
      </c>
      <c r="G134" s="164"/>
      <c r="H134" s="8"/>
      <c r="I134" s="9"/>
      <c r="J134" s="9"/>
      <c r="K134" s="9"/>
      <c r="L134" s="9"/>
      <c r="M134" s="9"/>
      <c r="N134" s="9"/>
      <c r="O134" s="9"/>
      <c r="P134" s="9"/>
      <c r="Q134" s="9"/>
      <c r="R134" s="10"/>
    </row>
    <row r="135" spans="1:18" ht="15" customHeight="1" x14ac:dyDescent="0.3">
      <c r="A135" s="36" t="s">
        <v>80</v>
      </c>
      <c r="B135" s="36" t="s">
        <v>88</v>
      </c>
      <c r="C135" s="36">
        <v>0.4201388888888889</v>
      </c>
      <c r="D135" s="36" t="s">
        <v>85</v>
      </c>
      <c r="E135" s="36" t="s">
        <v>89</v>
      </c>
      <c r="F135" s="36" t="s">
        <v>106</v>
      </c>
      <c r="G135" s="164"/>
      <c r="H135" s="33"/>
      <c r="I135" s="34"/>
      <c r="J135" s="34"/>
      <c r="K135" s="34"/>
      <c r="L135" s="34"/>
      <c r="M135" s="34"/>
      <c r="N135" s="34"/>
      <c r="O135" s="34"/>
      <c r="P135" s="34"/>
      <c r="Q135" s="34"/>
      <c r="R135" s="35"/>
    </row>
    <row r="136" spans="1:18" ht="17.399999999999999" customHeight="1" x14ac:dyDescent="0.3">
      <c r="A136" s="190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2"/>
    </row>
    <row r="137" spans="1:18" ht="22.05" customHeight="1" x14ac:dyDescent="0.3">
      <c r="A137" s="161" t="s">
        <v>6</v>
      </c>
      <c r="B137" s="162"/>
      <c r="C137" s="162"/>
      <c r="D137" s="162"/>
      <c r="E137" s="162"/>
      <c r="F137" s="163"/>
      <c r="G137" s="3">
        <v>45994</v>
      </c>
      <c r="H137" s="161" t="s">
        <v>7</v>
      </c>
      <c r="I137" s="162"/>
      <c r="J137" s="162"/>
      <c r="K137" s="162"/>
      <c r="L137" s="162"/>
      <c r="M137" s="162"/>
      <c r="N137" s="162"/>
      <c r="O137" s="162"/>
      <c r="P137" s="162"/>
      <c r="Q137" s="162"/>
      <c r="R137" s="163"/>
    </row>
    <row r="138" spans="1:18" ht="24" customHeight="1" x14ac:dyDescent="0.3">
      <c r="A138" s="4" t="s">
        <v>8</v>
      </c>
      <c r="B138" s="4" t="s">
        <v>9</v>
      </c>
      <c r="C138" s="4" t="s">
        <v>10</v>
      </c>
      <c r="D138" s="4" t="s">
        <v>11</v>
      </c>
      <c r="E138" s="4" t="s">
        <v>12</v>
      </c>
      <c r="F138" s="5" t="s">
        <v>13</v>
      </c>
      <c r="G138" s="6" t="s">
        <v>14</v>
      </c>
      <c r="H138" s="4" t="s">
        <v>15</v>
      </c>
      <c r="I138" s="4" t="s">
        <v>16</v>
      </c>
      <c r="J138" s="4" t="s">
        <v>17</v>
      </c>
      <c r="K138" s="4" t="s">
        <v>18</v>
      </c>
      <c r="L138" s="4" t="s">
        <v>19</v>
      </c>
      <c r="M138" s="4" t="s">
        <v>20</v>
      </c>
      <c r="N138" s="4" t="s">
        <v>21</v>
      </c>
      <c r="O138" s="4" t="s">
        <v>22</v>
      </c>
      <c r="P138" s="4" t="s">
        <v>23</v>
      </c>
      <c r="Q138" s="4" t="s">
        <v>24</v>
      </c>
      <c r="R138" s="4" t="s">
        <v>25</v>
      </c>
    </row>
    <row r="139" spans="1:18" ht="15" customHeight="1" x14ac:dyDescent="0.3">
      <c r="A139" s="7" t="s">
        <v>80</v>
      </c>
      <c r="B139" s="7" t="s">
        <v>95</v>
      </c>
      <c r="C139" s="7">
        <v>8.6805555555555566E-2</v>
      </c>
      <c r="D139" s="7" t="s">
        <v>82</v>
      </c>
      <c r="E139" s="7" t="s">
        <v>49</v>
      </c>
      <c r="F139" s="7" t="s">
        <v>84</v>
      </c>
      <c r="G139" s="164"/>
      <c r="H139" s="8"/>
      <c r="I139" s="9"/>
      <c r="J139" s="9"/>
      <c r="K139" s="9"/>
      <c r="L139" s="9"/>
      <c r="M139" s="9"/>
      <c r="N139" s="9"/>
      <c r="O139" s="9"/>
      <c r="P139" s="9"/>
      <c r="Q139" s="9"/>
      <c r="R139" s="10"/>
    </row>
    <row r="140" spans="1:18" ht="15" customHeight="1" x14ac:dyDescent="0.3">
      <c r="A140" s="11" t="s">
        <v>80</v>
      </c>
      <c r="B140" s="11" t="s">
        <v>95</v>
      </c>
      <c r="C140" s="11">
        <v>8.6805555555555566E-2</v>
      </c>
      <c r="D140" s="11" t="s">
        <v>85</v>
      </c>
      <c r="E140" s="11" t="s">
        <v>96</v>
      </c>
      <c r="F140" s="11" t="s">
        <v>87</v>
      </c>
      <c r="G140" s="164"/>
      <c r="H140" s="8"/>
      <c r="I140" s="9"/>
      <c r="J140" s="9"/>
      <c r="K140" s="9"/>
      <c r="L140" s="9"/>
      <c r="M140" s="9"/>
      <c r="N140" s="9"/>
      <c r="O140" s="9"/>
      <c r="P140" s="9"/>
      <c r="Q140" s="9"/>
      <c r="R140" s="10"/>
    </row>
    <row r="141" spans="1:18" ht="15" customHeight="1" x14ac:dyDescent="0.3">
      <c r="A141" s="31" t="s">
        <v>80</v>
      </c>
      <c r="B141" s="31" t="s">
        <v>91</v>
      </c>
      <c r="C141" s="31">
        <v>0.79513888888888884</v>
      </c>
      <c r="D141" s="31" t="s">
        <v>82</v>
      </c>
      <c r="E141" s="31" t="s">
        <v>89</v>
      </c>
      <c r="F141" s="31" t="s">
        <v>101</v>
      </c>
      <c r="G141" s="164"/>
      <c r="H141" s="8"/>
      <c r="I141" s="9"/>
      <c r="J141" s="9"/>
      <c r="K141" s="9"/>
      <c r="L141" s="9"/>
      <c r="M141" s="9"/>
      <c r="N141" s="9"/>
      <c r="O141" s="9"/>
      <c r="P141" s="9"/>
      <c r="Q141" s="9"/>
      <c r="R141" s="10"/>
    </row>
    <row r="142" spans="1:18" ht="15" customHeight="1" x14ac:dyDescent="0.3">
      <c r="A142" s="11" t="s">
        <v>80</v>
      </c>
      <c r="B142" s="11" t="s">
        <v>91</v>
      </c>
      <c r="C142" s="11">
        <v>0.79513888888888884</v>
      </c>
      <c r="D142" s="11" t="s">
        <v>85</v>
      </c>
      <c r="E142" s="11" t="s">
        <v>42</v>
      </c>
      <c r="F142" s="11" t="s">
        <v>102</v>
      </c>
      <c r="G142" s="164"/>
      <c r="H142" s="8"/>
      <c r="I142" s="9"/>
      <c r="J142" s="9"/>
      <c r="K142" s="9"/>
      <c r="L142" s="9"/>
      <c r="M142" s="9"/>
      <c r="N142" s="9"/>
      <c r="O142" s="9"/>
      <c r="P142" s="9"/>
      <c r="Q142" s="9"/>
      <c r="R142" s="10"/>
    </row>
    <row r="143" spans="1:18" ht="15" customHeight="1" x14ac:dyDescent="0.3">
      <c r="A143" s="31" t="s">
        <v>80</v>
      </c>
      <c r="B143" s="31" t="s">
        <v>81</v>
      </c>
      <c r="C143" s="31">
        <v>0.60416666666666663</v>
      </c>
      <c r="D143" s="31" t="s">
        <v>82</v>
      </c>
      <c r="E143" s="31" t="s">
        <v>142</v>
      </c>
      <c r="F143" s="31" t="s">
        <v>101</v>
      </c>
      <c r="G143" s="164"/>
      <c r="H143" s="8"/>
      <c r="I143" s="9"/>
      <c r="J143" s="9"/>
      <c r="K143" s="9"/>
      <c r="L143" s="9"/>
      <c r="M143" s="9"/>
      <c r="N143" s="9"/>
      <c r="O143" s="9"/>
      <c r="P143" s="9"/>
      <c r="Q143" s="9"/>
      <c r="R143" s="10"/>
    </row>
    <row r="144" spans="1:18" ht="15" customHeight="1" x14ac:dyDescent="0.3">
      <c r="A144" s="11" t="s">
        <v>80</v>
      </c>
      <c r="B144" s="11" t="s">
        <v>81</v>
      </c>
      <c r="C144" s="11">
        <v>0.60416666666666663</v>
      </c>
      <c r="D144" s="11" t="s">
        <v>85</v>
      </c>
      <c r="E144" s="11" t="s">
        <v>86</v>
      </c>
      <c r="F144" s="11" t="s">
        <v>102</v>
      </c>
      <c r="G144" s="164"/>
      <c r="H144" s="8"/>
      <c r="I144" s="9"/>
      <c r="J144" s="9"/>
      <c r="K144" s="9"/>
      <c r="L144" s="9"/>
      <c r="M144" s="9"/>
      <c r="N144" s="9"/>
      <c r="O144" s="9"/>
      <c r="P144" s="9"/>
      <c r="Q144" s="9"/>
      <c r="R144" s="10"/>
    </row>
    <row r="145" spans="1:18" ht="15" customHeight="1" x14ac:dyDescent="0.3">
      <c r="A145" s="31" t="s">
        <v>80</v>
      </c>
      <c r="B145" s="31" t="s">
        <v>88</v>
      </c>
      <c r="C145" s="31">
        <v>0.4201388888888889</v>
      </c>
      <c r="D145" s="31" t="s">
        <v>85</v>
      </c>
      <c r="E145" s="31" t="s">
        <v>89</v>
      </c>
      <c r="F145" s="31" t="s">
        <v>106</v>
      </c>
      <c r="G145" s="164"/>
      <c r="H145" s="8"/>
      <c r="I145" s="9"/>
      <c r="J145" s="9"/>
      <c r="K145" s="9"/>
      <c r="L145" s="9"/>
      <c r="M145" s="9"/>
      <c r="N145" s="9"/>
      <c r="O145" s="9"/>
      <c r="P145" s="9"/>
      <c r="Q145" s="9"/>
      <c r="R145" s="10"/>
    </row>
    <row r="146" spans="1:18" ht="15" customHeight="1" x14ac:dyDescent="0.3">
      <c r="A146" s="12" t="s">
        <v>68</v>
      </c>
      <c r="B146" s="12" t="s">
        <v>72</v>
      </c>
      <c r="C146" s="12">
        <v>0.22222222222222221</v>
      </c>
      <c r="D146" s="12" t="s">
        <v>70</v>
      </c>
      <c r="E146" s="12" t="s">
        <v>49</v>
      </c>
      <c r="F146" s="12" t="s">
        <v>149</v>
      </c>
      <c r="G146" s="164"/>
      <c r="H146" s="8"/>
      <c r="I146" s="9"/>
      <c r="J146" s="9"/>
      <c r="K146" s="9"/>
      <c r="L146" s="9"/>
      <c r="M146" s="9"/>
      <c r="N146" s="9"/>
      <c r="O146" s="9"/>
      <c r="P146" s="9"/>
      <c r="Q146" s="9"/>
      <c r="R146" s="10"/>
    </row>
    <row r="147" spans="1:18" ht="15" customHeight="1" x14ac:dyDescent="0.3">
      <c r="A147" s="31" t="s">
        <v>68</v>
      </c>
      <c r="B147" s="31" t="s">
        <v>69</v>
      </c>
      <c r="C147" s="31">
        <v>9.7222222222222224E-2</v>
      </c>
      <c r="D147" s="31" t="s">
        <v>70</v>
      </c>
      <c r="E147" s="31" t="s">
        <v>73</v>
      </c>
      <c r="F147" s="31" t="s">
        <v>79</v>
      </c>
      <c r="G147" s="164"/>
      <c r="H147" s="8"/>
      <c r="I147" s="9"/>
      <c r="J147" s="9"/>
      <c r="K147" s="9"/>
      <c r="L147" s="9"/>
      <c r="M147" s="9"/>
      <c r="N147" s="9"/>
      <c r="O147" s="9"/>
      <c r="P147" s="9"/>
      <c r="Q147" s="9"/>
      <c r="R147" s="10"/>
    </row>
    <row r="148" spans="1:18" ht="15" customHeight="1" x14ac:dyDescent="0.3">
      <c r="A148" s="31" t="s">
        <v>68</v>
      </c>
      <c r="B148" s="31" t="s">
        <v>78</v>
      </c>
      <c r="C148" s="31">
        <v>0.85416666666666663</v>
      </c>
      <c r="D148" s="31" t="s">
        <v>70</v>
      </c>
      <c r="E148" s="31" t="s">
        <v>76</v>
      </c>
      <c r="F148" s="31" t="s">
        <v>79</v>
      </c>
      <c r="G148" s="164"/>
      <c r="H148" s="8"/>
      <c r="I148" s="9"/>
      <c r="J148" s="9"/>
      <c r="K148" s="9"/>
      <c r="L148" s="9"/>
      <c r="M148" s="9"/>
      <c r="N148" s="9"/>
      <c r="O148" s="9"/>
      <c r="P148" s="9"/>
      <c r="Q148" s="9"/>
      <c r="R148" s="10"/>
    </row>
    <row r="149" spans="1:18" ht="15" customHeight="1" x14ac:dyDescent="0.3">
      <c r="A149" s="36" t="s">
        <v>68</v>
      </c>
      <c r="B149" s="36" t="s">
        <v>75</v>
      </c>
      <c r="C149" s="36">
        <v>0.44444444444444442</v>
      </c>
      <c r="D149" s="36" t="s">
        <v>70</v>
      </c>
      <c r="E149" s="36" t="s">
        <v>73</v>
      </c>
      <c r="F149" s="36" t="s">
        <v>79</v>
      </c>
      <c r="G149" s="164"/>
      <c r="H149" s="33"/>
      <c r="I149" s="34"/>
      <c r="J149" s="34"/>
      <c r="K149" s="34"/>
      <c r="L149" s="34"/>
      <c r="M149" s="34"/>
      <c r="N149" s="34"/>
      <c r="O149" s="34"/>
      <c r="P149" s="34"/>
      <c r="Q149" s="34"/>
      <c r="R149" s="35"/>
    </row>
    <row r="150" spans="1:18" ht="17.399999999999999" customHeight="1" x14ac:dyDescent="0.3">
      <c r="A150" s="190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2"/>
    </row>
    <row r="151" spans="1:18" ht="22.05" customHeight="1" x14ac:dyDescent="0.3">
      <c r="A151" s="161" t="s">
        <v>6</v>
      </c>
      <c r="B151" s="162"/>
      <c r="C151" s="162"/>
      <c r="D151" s="162"/>
      <c r="E151" s="162"/>
      <c r="F151" s="163"/>
      <c r="G151" s="3">
        <v>45995</v>
      </c>
      <c r="H151" s="161" t="s">
        <v>7</v>
      </c>
      <c r="I151" s="162"/>
      <c r="J151" s="162"/>
      <c r="K151" s="162"/>
      <c r="L151" s="162"/>
      <c r="M151" s="162"/>
      <c r="N151" s="162"/>
      <c r="O151" s="162"/>
      <c r="P151" s="162"/>
      <c r="Q151" s="162"/>
      <c r="R151" s="163"/>
    </row>
    <row r="152" spans="1:18" ht="24" customHeight="1" x14ac:dyDescent="0.3">
      <c r="A152" s="4" t="s">
        <v>8</v>
      </c>
      <c r="B152" s="4" t="s">
        <v>9</v>
      </c>
      <c r="C152" s="4" t="s">
        <v>10</v>
      </c>
      <c r="D152" s="4" t="s">
        <v>11</v>
      </c>
      <c r="E152" s="4" t="s">
        <v>12</v>
      </c>
      <c r="F152" s="5" t="s">
        <v>13</v>
      </c>
      <c r="G152" s="6" t="s">
        <v>14</v>
      </c>
      <c r="H152" s="4" t="s">
        <v>15</v>
      </c>
      <c r="I152" s="4" t="s">
        <v>16</v>
      </c>
      <c r="J152" s="4" t="s">
        <v>17</v>
      </c>
      <c r="K152" s="4" t="s">
        <v>18</v>
      </c>
      <c r="L152" s="4" t="s">
        <v>19</v>
      </c>
      <c r="M152" s="4" t="s">
        <v>20</v>
      </c>
      <c r="N152" s="4" t="s">
        <v>21</v>
      </c>
      <c r="O152" s="4" t="s">
        <v>22</v>
      </c>
      <c r="P152" s="4" t="s">
        <v>23</v>
      </c>
      <c r="Q152" s="4" t="s">
        <v>24</v>
      </c>
      <c r="R152" s="4" t="s">
        <v>25</v>
      </c>
    </row>
    <row r="153" spans="1:18" ht="15" customHeight="1" x14ac:dyDescent="0.3">
      <c r="A153" s="7" t="s">
        <v>80</v>
      </c>
      <c r="B153" s="7" t="s">
        <v>81</v>
      </c>
      <c r="C153" s="7">
        <v>0.60416666666666663</v>
      </c>
      <c r="D153" s="7" t="s">
        <v>82</v>
      </c>
      <c r="E153" s="7" t="s">
        <v>49</v>
      </c>
      <c r="F153" s="7" t="s">
        <v>150</v>
      </c>
      <c r="G153" s="164"/>
      <c r="H153" s="8"/>
      <c r="I153" s="9"/>
      <c r="J153" s="9"/>
      <c r="K153" s="9"/>
      <c r="L153" s="9"/>
      <c r="M153" s="9"/>
      <c r="N153" s="9"/>
      <c r="O153" s="9"/>
      <c r="P153" s="9"/>
      <c r="Q153" s="9"/>
      <c r="R153" s="10"/>
    </row>
    <row r="154" spans="1:18" ht="15" customHeight="1" x14ac:dyDescent="0.3">
      <c r="A154" s="11" t="s">
        <v>80</v>
      </c>
      <c r="B154" s="11" t="s">
        <v>81</v>
      </c>
      <c r="C154" s="11">
        <v>0.60416666666666663</v>
      </c>
      <c r="D154" s="11" t="s">
        <v>85</v>
      </c>
      <c r="E154" s="11" t="s">
        <v>96</v>
      </c>
      <c r="F154" s="11" t="s">
        <v>151</v>
      </c>
      <c r="G154" s="164"/>
      <c r="H154" s="8"/>
      <c r="I154" s="9"/>
      <c r="J154" s="9"/>
      <c r="K154" s="9"/>
      <c r="L154" s="9"/>
      <c r="M154" s="9"/>
      <c r="N154" s="9"/>
      <c r="O154" s="9"/>
      <c r="P154" s="9"/>
      <c r="Q154" s="9"/>
      <c r="R154" s="10"/>
    </row>
    <row r="155" spans="1:18" ht="15" customHeight="1" x14ac:dyDescent="0.3">
      <c r="A155" s="31" t="s">
        <v>80</v>
      </c>
      <c r="B155" s="31" t="s">
        <v>95</v>
      </c>
      <c r="C155" s="31">
        <v>8.6805555555555566E-2</v>
      </c>
      <c r="D155" s="31" t="s">
        <v>82</v>
      </c>
      <c r="E155" s="31" t="s">
        <v>73</v>
      </c>
      <c r="F155" s="31" t="s">
        <v>84</v>
      </c>
      <c r="G155" s="164"/>
      <c r="H155" s="8"/>
      <c r="I155" s="9"/>
      <c r="J155" s="9"/>
      <c r="K155" s="9"/>
      <c r="L155" s="9"/>
      <c r="M155" s="9"/>
      <c r="N155" s="9"/>
      <c r="O155" s="9"/>
      <c r="P155" s="9"/>
      <c r="Q155" s="9"/>
      <c r="R155" s="10"/>
    </row>
    <row r="156" spans="1:18" ht="15" customHeight="1" x14ac:dyDescent="0.3">
      <c r="A156" s="11" t="s">
        <v>80</v>
      </c>
      <c r="B156" s="11" t="s">
        <v>95</v>
      </c>
      <c r="C156" s="11">
        <v>8.6805555555555566E-2</v>
      </c>
      <c r="D156" s="11" t="s">
        <v>85</v>
      </c>
      <c r="E156" s="11" t="s">
        <v>96</v>
      </c>
      <c r="F156" s="11" t="s">
        <v>87</v>
      </c>
      <c r="G156" s="164"/>
      <c r="H156" s="8"/>
      <c r="I156" s="9"/>
      <c r="J156" s="9"/>
      <c r="K156" s="9"/>
      <c r="L156" s="9"/>
      <c r="M156" s="9"/>
      <c r="N156" s="9"/>
      <c r="O156" s="9"/>
      <c r="P156" s="9"/>
      <c r="Q156" s="9"/>
      <c r="R156" s="10"/>
    </row>
    <row r="157" spans="1:18" ht="15" customHeight="1" x14ac:dyDescent="0.3">
      <c r="A157" s="31" t="s">
        <v>80</v>
      </c>
      <c r="B157" s="31" t="s">
        <v>91</v>
      </c>
      <c r="C157" s="31">
        <v>0.79513888888888884</v>
      </c>
      <c r="D157" s="31" t="s">
        <v>82</v>
      </c>
      <c r="E157" s="31" t="s">
        <v>56</v>
      </c>
      <c r="F157" s="31" t="s">
        <v>101</v>
      </c>
      <c r="G157" s="164"/>
      <c r="H157" s="8"/>
      <c r="I157" s="9"/>
      <c r="J157" s="9"/>
      <c r="K157" s="9"/>
      <c r="L157" s="9"/>
      <c r="M157" s="9"/>
      <c r="N157" s="9"/>
      <c r="O157" s="9"/>
      <c r="P157" s="9"/>
      <c r="Q157" s="9"/>
      <c r="R157" s="10"/>
    </row>
    <row r="158" spans="1:18" ht="15" customHeight="1" x14ac:dyDescent="0.3">
      <c r="A158" s="11" t="s">
        <v>80</v>
      </c>
      <c r="B158" s="11" t="s">
        <v>91</v>
      </c>
      <c r="C158" s="11">
        <v>0.79513888888888884</v>
      </c>
      <c r="D158" s="11" t="s">
        <v>85</v>
      </c>
      <c r="E158" s="11" t="s">
        <v>152</v>
      </c>
      <c r="F158" s="11" t="s">
        <v>102</v>
      </c>
      <c r="G158" s="164"/>
      <c r="H158" s="8"/>
      <c r="I158" s="9"/>
      <c r="J158" s="9"/>
      <c r="K158" s="9"/>
      <c r="L158" s="9"/>
      <c r="M158" s="9"/>
      <c r="N158" s="9"/>
      <c r="O158" s="9"/>
      <c r="P158" s="9"/>
      <c r="Q158" s="9"/>
      <c r="R158" s="10"/>
    </row>
    <row r="159" spans="1:18" ht="15" customHeight="1" x14ac:dyDescent="0.3">
      <c r="A159" s="31" t="s">
        <v>80</v>
      </c>
      <c r="B159" s="31" t="s">
        <v>88</v>
      </c>
      <c r="C159" s="31">
        <v>0.4201388888888889</v>
      </c>
      <c r="D159" s="31" t="s">
        <v>85</v>
      </c>
      <c r="E159" s="31" t="s">
        <v>89</v>
      </c>
      <c r="F159" s="31" t="s">
        <v>106</v>
      </c>
      <c r="G159" s="164"/>
      <c r="H159" s="8"/>
      <c r="I159" s="9"/>
      <c r="J159" s="9"/>
      <c r="K159" s="9"/>
      <c r="L159" s="9"/>
      <c r="M159" s="9"/>
      <c r="N159" s="9"/>
      <c r="O159" s="9"/>
      <c r="P159" s="9"/>
      <c r="Q159" s="9"/>
      <c r="R159" s="10"/>
    </row>
    <row r="160" spans="1:18" ht="15" customHeight="1" x14ac:dyDescent="0.3">
      <c r="A160" s="12" t="s">
        <v>68</v>
      </c>
      <c r="B160" s="12" t="s">
        <v>69</v>
      </c>
      <c r="C160" s="12">
        <v>9.7222222222222224E-2</v>
      </c>
      <c r="D160" s="12" t="s">
        <v>70</v>
      </c>
      <c r="E160" s="12" t="s">
        <v>49</v>
      </c>
      <c r="F160" s="12" t="s">
        <v>97</v>
      </c>
      <c r="G160" s="164"/>
      <c r="H160" s="8"/>
      <c r="I160" s="9"/>
      <c r="J160" s="9"/>
      <c r="K160" s="9"/>
      <c r="L160" s="9"/>
      <c r="M160" s="9"/>
      <c r="N160" s="9"/>
      <c r="O160" s="9"/>
      <c r="P160" s="9"/>
      <c r="Q160" s="9"/>
      <c r="R160" s="10"/>
    </row>
    <row r="161" spans="1:18" ht="15" customHeight="1" x14ac:dyDescent="0.3">
      <c r="A161" s="31" t="s">
        <v>68</v>
      </c>
      <c r="B161" s="31" t="s">
        <v>72</v>
      </c>
      <c r="C161" s="31">
        <v>0.22222222222222221</v>
      </c>
      <c r="D161" s="31" t="s">
        <v>70</v>
      </c>
      <c r="E161" s="31" t="s">
        <v>73</v>
      </c>
      <c r="F161" s="31" t="s">
        <v>97</v>
      </c>
      <c r="G161" s="164"/>
      <c r="H161" s="8"/>
      <c r="I161" s="9"/>
      <c r="J161" s="9"/>
      <c r="K161" s="9"/>
      <c r="L161" s="9"/>
      <c r="M161" s="9"/>
      <c r="N161" s="9"/>
      <c r="O161" s="9"/>
      <c r="P161" s="9"/>
      <c r="Q161" s="9"/>
      <c r="R161" s="10"/>
    </row>
    <row r="162" spans="1:18" ht="15" customHeight="1" x14ac:dyDescent="0.3">
      <c r="A162" s="31" t="s">
        <v>68</v>
      </c>
      <c r="B162" s="31" t="s">
        <v>75</v>
      </c>
      <c r="C162" s="31">
        <v>0.44444444444444442</v>
      </c>
      <c r="D162" s="31" t="s">
        <v>70</v>
      </c>
      <c r="E162" s="31" t="s">
        <v>73</v>
      </c>
      <c r="F162" s="31" t="s">
        <v>74</v>
      </c>
      <c r="G162" s="164"/>
      <c r="H162" s="8"/>
      <c r="I162" s="9"/>
      <c r="J162" s="9"/>
      <c r="K162" s="9"/>
      <c r="L162" s="9"/>
      <c r="M162" s="9"/>
      <c r="N162" s="9"/>
      <c r="O162" s="9"/>
      <c r="P162" s="9"/>
      <c r="Q162" s="9"/>
      <c r="R162" s="10"/>
    </row>
    <row r="163" spans="1:18" ht="15" customHeight="1" x14ac:dyDescent="0.3">
      <c r="A163" s="31" t="s">
        <v>68</v>
      </c>
      <c r="B163" s="31" t="s">
        <v>78</v>
      </c>
      <c r="C163" s="31">
        <v>0.85416666666666663</v>
      </c>
      <c r="D163" s="31" t="s">
        <v>70</v>
      </c>
      <c r="E163" s="31" t="s">
        <v>73</v>
      </c>
      <c r="F163" s="31" t="s">
        <v>100</v>
      </c>
      <c r="G163" s="164"/>
      <c r="H163" s="8"/>
      <c r="I163" s="9"/>
      <c r="J163" s="9"/>
      <c r="K163" s="9"/>
      <c r="L163" s="9"/>
      <c r="M163" s="9"/>
      <c r="N163" s="9"/>
      <c r="O163" s="9"/>
      <c r="P163" s="9"/>
      <c r="Q163" s="9"/>
      <c r="R163" s="10"/>
    </row>
    <row r="164" spans="1:18" ht="15" customHeight="1" x14ac:dyDescent="0.3">
      <c r="A164" s="37" t="s">
        <v>46</v>
      </c>
      <c r="B164" s="37" t="s">
        <v>62</v>
      </c>
      <c r="C164" s="37">
        <v>0.53819444444444442</v>
      </c>
      <c r="D164" s="37" t="s">
        <v>63</v>
      </c>
      <c r="E164" s="37"/>
      <c r="F164" s="37" t="s">
        <v>64</v>
      </c>
      <c r="G164" s="164"/>
      <c r="H164" s="38" t="s">
        <v>62</v>
      </c>
      <c r="I164" s="39">
        <v>1.006</v>
      </c>
      <c r="J164" s="40">
        <v>169</v>
      </c>
      <c r="K164" s="41" t="s">
        <v>52</v>
      </c>
      <c r="L164" s="40">
        <v>1</v>
      </c>
      <c r="M164" s="40">
        <v>0</v>
      </c>
      <c r="N164" s="40">
        <v>1</v>
      </c>
      <c r="O164" s="41" t="s">
        <v>66</v>
      </c>
      <c r="P164" s="41">
        <v>0.53819444444444442</v>
      </c>
      <c r="Q164" s="40">
        <v>168</v>
      </c>
      <c r="R164" s="42" t="s">
        <v>153</v>
      </c>
    </row>
    <row r="165" spans="1:18" ht="17.399999999999999" customHeight="1" x14ac:dyDescent="0.3">
      <c r="A165" s="190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2"/>
    </row>
    <row r="166" spans="1:18" ht="22.05" customHeight="1" x14ac:dyDescent="0.3">
      <c r="A166" s="161" t="s">
        <v>6</v>
      </c>
      <c r="B166" s="162"/>
      <c r="C166" s="162"/>
      <c r="D166" s="162"/>
      <c r="E166" s="162"/>
      <c r="F166" s="163"/>
      <c r="G166" s="3">
        <v>45996</v>
      </c>
      <c r="H166" s="161" t="s">
        <v>7</v>
      </c>
      <c r="I166" s="162"/>
      <c r="J166" s="162"/>
      <c r="K166" s="162"/>
      <c r="L166" s="162"/>
      <c r="M166" s="162"/>
      <c r="N166" s="162"/>
      <c r="O166" s="162"/>
      <c r="P166" s="162"/>
      <c r="Q166" s="162"/>
      <c r="R166" s="163"/>
    </row>
    <row r="167" spans="1:18" ht="24" customHeight="1" x14ac:dyDescent="0.3">
      <c r="A167" s="4" t="s">
        <v>8</v>
      </c>
      <c r="B167" s="4" t="s">
        <v>9</v>
      </c>
      <c r="C167" s="4" t="s">
        <v>10</v>
      </c>
      <c r="D167" s="4" t="s">
        <v>11</v>
      </c>
      <c r="E167" s="4" t="s">
        <v>12</v>
      </c>
      <c r="F167" s="5" t="s">
        <v>13</v>
      </c>
      <c r="G167" s="6" t="s">
        <v>14</v>
      </c>
      <c r="H167" s="4" t="s">
        <v>15</v>
      </c>
      <c r="I167" s="4" t="s">
        <v>16</v>
      </c>
      <c r="J167" s="4" t="s">
        <v>17</v>
      </c>
      <c r="K167" s="4" t="s">
        <v>18</v>
      </c>
      <c r="L167" s="4" t="s">
        <v>19</v>
      </c>
      <c r="M167" s="4" t="s">
        <v>20</v>
      </c>
      <c r="N167" s="4" t="s">
        <v>21</v>
      </c>
      <c r="O167" s="4" t="s">
        <v>22</v>
      </c>
      <c r="P167" s="4" t="s">
        <v>23</v>
      </c>
      <c r="Q167" s="4" t="s">
        <v>24</v>
      </c>
      <c r="R167" s="4" t="s">
        <v>25</v>
      </c>
    </row>
    <row r="168" spans="1:18" ht="15" customHeight="1" x14ac:dyDescent="0.3">
      <c r="A168" s="7" t="s">
        <v>26</v>
      </c>
      <c r="B168" s="7" t="s">
        <v>27</v>
      </c>
      <c r="C168" s="7">
        <v>0.4201388888888889</v>
      </c>
      <c r="D168" s="7" t="s">
        <v>154</v>
      </c>
      <c r="E168" s="7" t="s">
        <v>133</v>
      </c>
      <c r="F168" s="7" t="s">
        <v>30</v>
      </c>
      <c r="G168" s="164"/>
      <c r="H168" s="8"/>
      <c r="I168" s="9"/>
      <c r="J168" s="9"/>
      <c r="K168" s="9"/>
      <c r="L168" s="9"/>
      <c r="M168" s="9"/>
      <c r="N168" s="9"/>
      <c r="O168" s="9"/>
      <c r="P168" s="9"/>
      <c r="Q168" s="9"/>
      <c r="R168" s="10"/>
    </row>
    <row r="169" spans="1:18" ht="15" customHeight="1" x14ac:dyDescent="0.3">
      <c r="A169" s="12" t="s">
        <v>36</v>
      </c>
      <c r="B169" s="12" t="s">
        <v>37</v>
      </c>
      <c r="C169" s="12">
        <v>0.75694444444444453</v>
      </c>
      <c r="D169" s="12" t="s">
        <v>155</v>
      </c>
      <c r="E169" s="12" t="s">
        <v>133</v>
      </c>
      <c r="F169" s="12" t="s">
        <v>40</v>
      </c>
      <c r="G169" s="164"/>
      <c r="H169" s="8"/>
      <c r="I169" s="9"/>
      <c r="J169" s="9"/>
      <c r="K169" s="9"/>
      <c r="L169" s="9"/>
      <c r="M169" s="9"/>
      <c r="N169" s="9"/>
      <c r="O169" s="9"/>
      <c r="P169" s="9"/>
      <c r="Q169" s="9"/>
      <c r="R169" s="10"/>
    </row>
    <row r="170" spans="1:18" ht="15" customHeight="1" x14ac:dyDescent="0.3">
      <c r="A170" s="12" t="s">
        <v>68</v>
      </c>
      <c r="B170" s="12" t="s">
        <v>69</v>
      </c>
      <c r="C170" s="12">
        <v>9.7222222222222224E-2</v>
      </c>
      <c r="D170" s="12" t="s">
        <v>70</v>
      </c>
      <c r="E170" s="12" t="s">
        <v>49</v>
      </c>
      <c r="F170" s="12" t="s">
        <v>156</v>
      </c>
      <c r="G170" s="164"/>
      <c r="H170" s="8"/>
      <c r="I170" s="9"/>
      <c r="J170" s="9"/>
      <c r="K170" s="9"/>
      <c r="L170" s="9"/>
      <c r="M170" s="9"/>
      <c r="N170" s="9"/>
      <c r="O170" s="9"/>
      <c r="P170" s="9"/>
      <c r="Q170" s="9"/>
      <c r="R170" s="10"/>
    </row>
    <row r="171" spans="1:18" ht="15" customHeight="1" x14ac:dyDescent="0.3">
      <c r="A171" s="31" t="s">
        <v>68</v>
      </c>
      <c r="B171" s="31" t="s">
        <v>72</v>
      </c>
      <c r="C171" s="31">
        <v>0.22222222222222221</v>
      </c>
      <c r="D171" s="31" t="s">
        <v>70</v>
      </c>
      <c r="E171" s="31" t="s">
        <v>73</v>
      </c>
      <c r="F171" s="31" t="s">
        <v>156</v>
      </c>
      <c r="G171" s="164"/>
      <c r="H171" s="8"/>
      <c r="I171" s="9"/>
      <c r="J171" s="9"/>
      <c r="K171" s="9"/>
      <c r="L171" s="9"/>
      <c r="M171" s="9"/>
      <c r="N171" s="9"/>
      <c r="O171" s="9"/>
      <c r="P171" s="9"/>
      <c r="Q171" s="9"/>
      <c r="R171" s="10"/>
    </row>
    <row r="172" spans="1:18" ht="15" customHeight="1" x14ac:dyDescent="0.3">
      <c r="A172" s="31" t="s">
        <v>68</v>
      </c>
      <c r="B172" s="31" t="s">
        <v>75</v>
      </c>
      <c r="C172" s="31">
        <v>0.44444444444444442</v>
      </c>
      <c r="D172" s="31" t="s">
        <v>70</v>
      </c>
      <c r="E172" s="31" t="s">
        <v>73</v>
      </c>
      <c r="F172" s="31" t="s">
        <v>156</v>
      </c>
      <c r="G172" s="164"/>
      <c r="H172" s="8"/>
      <c r="I172" s="9"/>
      <c r="J172" s="9"/>
      <c r="K172" s="9"/>
      <c r="L172" s="9"/>
      <c r="M172" s="9"/>
      <c r="N172" s="9"/>
      <c r="O172" s="9"/>
      <c r="P172" s="9"/>
      <c r="Q172" s="9"/>
      <c r="R172" s="10"/>
    </row>
    <row r="173" spans="1:18" ht="15" customHeight="1" x14ac:dyDescent="0.3">
      <c r="A173" s="31" t="s">
        <v>68</v>
      </c>
      <c r="B173" s="31" t="s">
        <v>77</v>
      </c>
      <c r="C173" s="31">
        <v>0.49305555555555558</v>
      </c>
      <c r="D173" s="31" t="s">
        <v>70</v>
      </c>
      <c r="E173" s="31" t="s">
        <v>73</v>
      </c>
      <c r="F173" s="31" t="s">
        <v>97</v>
      </c>
      <c r="G173" s="164"/>
      <c r="H173" s="8"/>
      <c r="I173" s="9"/>
      <c r="J173" s="9"/>
      <c r="K173" s="9"/>
      <c r="L173" s="9"/>
      <c r="M173" s="9"/>
      <c r="N173" s="9"/>
      <c r="O173" s="9"/>
      <c r="P173" s="9"/>
      <c r="Q173" s="9"/>
      <c r="R173" s="10"/>
    </row>
    <row r="174" spans="1:18" ht="15" customHeight="1" x14ac:dyDescent="0.3">
      <c r="A174" s="12" t="s">
        <v>80</v>
      </c>
      <c r="B174" s="12" t="s">
        <v>81</v>
      </c>
      <c r="C174" s="12">
        <v>0.60416666666666663</v>
      </c>
      <c r="D174" s="12" t="s">
        <v>82</v>
      </c>
      <c r="E174" s="12" t="s">
        <v>127</v>
      </c>
      <c r="F174" s="12" t="s">
        <v>84</v>
      </c>
      <c r="G174" s="164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10"/>
    </row>
    <row r="175" spans="1:18" ht="15" customHeight="1" x14ac:dyDescent="0.3">
      <c r="A175" s="11" t="s">
        <v>80</v>
      </c>
      <c r="B175" s="11" t="s">
        <v>81</v>
      </c>
      <c r="C175" s="11">
        <v>0.60416666666666663</v>
      </c>
      <c r="D175" s="11" t="s">
        <v>85</v>
      </c>
      <c r="E175" s="11" t="s">
        <v>122</v>
      </c>
      <c r="F175" s="11" t="s">
        <v>87</v>
      </c>
      <c r="G175" s="164"/>
      <c r="H175" s="8"/>
      <c r="I175" s="9"/>
      <c r="J175" s="9"/>
      <c r="K175" s="9"/>
      <c r="L175" s="9"/>
      <c r="M175" s="9"/>
      <c r="N175" s="9"/>
      <c r="O175" s="9"/>
      <c r="P175" s="9"/>
      <c r="Q175" s="9"/>
      <c r="R175" s="10"/>
    </row>
    <row r="176" spans="1:18" ht="15" customHeight="1" x14ac:dyDescent="0.3">
      <c r="A176" s="31" t="s">
        <v>80</v>
      </c>
      <c r="B176" s="31" t="s">
        <v>95</v>
      </c>
      <c r="C176" s="31">
        <v>8.6805555555555566E-2</v>
      </c>
      <c r="D176" s="31" t="s">
        <v>82</v>
      </c>
      <c r="E176" s="31" t="s">
        <v>73</v>
      </c>
      <c r="F176" s="31" t="s">
        <v>101</v>
      </c>
      <c r="G176" s="164"/>
      <c r="H176" s="8"/>
      <c r="I176" s="9"/>
      <c r="J176" s="9"/>
      <c r="K176" s="9"/>
      <c r="L176" s="9"/>
      <c r="M176" s="9"/>
      <c r="N176" s="9"/>
      <c r="O176" s="9"/>
      <c r="P176" s="9"/>
      <c r="Q176" s="9"/>
      <c r="R176" s="10"/>
    </row>
    <row r="177" spans="1:18" ht="15" customHeight="1" x14ac:dyDescent="0.3">
      <c r="A177" s="11" t="s">
        <v>80</v>
      </c>
      <c r="B177" s="11" t="s">
        <v>95</v>
      </c>
      <c r="C177" s="11">
        <v>8.6805555555555566E-2</v>
      </c>
      <c r="D177" s="11" t="s">
        <v>85</v>
      </c>
      <c r="E177" s="11" t="s">
        <v>96</v>
      </c>
      <c r="F177" s="11" t="s">
        <v>102</v>
      </c>
      <c r="G177" s="164"/>
      <c r="H177" s="8"/>
      <c r="I177" s="9"/>
      <c r="J177" s="9"/>
      <c r="K177" s="9"/>
      <c r="L177" s="9"/>
      <c r="M177" s="9"/>
      <c r="N177" s="9"/>
      <c r="O177" s="9"/>
      <c r="P177" s="9"/>
      <c r="Q177" s="9"/>
      <c r="R177" s="10"/>
    </row>
    <row r="178" spans="1:18" ht="15" customHeight="1" x14ac:dyDescent="0.3">
      <c r="A178" s="31" t="s">
        <v>80</v>
      </c>
      <c r="B178" s="31" t="s">
        <v>88</v>
      </c>
      <c r="C178" s="31">
        <v>0.4201388888888889</v>
      </c>
      <c r="D178" s="31" t="s">
        <v>85</v>
      </c>
      <c r="E178" s="31" t="s">
        <v>89</v>
      </c>
      <c r="F178" s="31" t="s">
        <v>90</v>
      </c>
      <c r="G178" s="164"/>
      <c r="H178" s="8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spans="1:18" ht="15" customHeight="1" x14ac:dyDescent="0.3">
      <c r="A179" s="31" t="s">
        <v>80</v>
      </c>
      <c r="B179" s="31" t="s">
        <v>91</v>
      </c>
      <c r="C179" s="31">
        <v>0.79513888888888884</v>
      </c>
      <c r="D179" s="31" t="s">
        <v>82</v>
      </c>
      <c r="E179" s="31" t="s">
        <v>76</v>
      </c>
      <c r="F179" s="31" t="s">
        <v>93</v>
      </c>
      <c r="G179" s="164"/>
      <c r="H179" s="8"/>
      <c r="I179" s="9"/>
      <c r="J179" s="9"/>
      <c r="K179" s="9"/>
      <c r="L179" s="9"/>
      <c r="M179" s="9"/>
      <c r="N179" s="9"/>
      <c r="O179" s="9"/>
      <c r="P179" s="9"/>
      <c r="Q179" s="9"/>
      <c r="R179" s="10"/>
    </row>
    <row r="180" spans="1:18" ht="15" customHeight="1" x14ac:dyDescent="0.3">
      <c r="A180" s="32" t="s">
        <v>80</v>
      </c>
      <c r="B180" s="32" t="s">
        <v>91</v>
      </c>
      <c r="C180" s="32">
        <v>0.79513888888888884</v>
      </c>
      <c r="D180" s="32" t="s">
        <v>85</v>
      </c>
      <c r="E180" s="32" t="s">
        <v>138</v>
      </c>
      <c r="F180" s="32" t="s">
        <v>94</v>
      </c>
      <c r="G180" s="164"/>
      <c r="H180" s="33"/>
      <c r="I180" s="34"/>
      <c r="J180" s="34"/>
      <c r="K180" s="34"/>
      <c r="L180" s="34"/>
      <c r="M180" s="34"/>
      <c r="N180" s="34"/>
      <c r="O180" s="34"/>
      <c r="P180" s="34"/>
      <c r="Q180" s="34"/>
      <c r="R180" s="35"/>
    </row>
    <row r="181" spans="1:18" ht="17.399999999999999" customHeight="1" x14ac:dyDescent="0.3">
      <c r="A181" s="190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2"/>
    </row>
    <row r="182" spans="1:18" ht="22.05" customHeight="1" x14ac:dyDescent="0.3">
      <c r="A182" s="161" t="s">
        <v>6</v>
      </c>
      <c r="B182" s="162"/>
      <c r="C182" s="162"/>
      <c r="D182" s="162"/>
      <c r="E182" s="162"/>
      <c r="F182" s="163"/>
      <c r="G182" s="3">
        <v>45997</v>
      </c>
      <c r="H182" s="161" t="s">
        <v>7</v>
      </c>
      <c r="I182" s="162"/>
      <c r="J182" s="162"/>
      <c r="K182" s="162"/>
      <c r="L182" s="162"/>
      <c r="M182" s="162"/>
      <c r="N182" s="162"/>
      <c r="O182" s="162"/>
      <c r="P182" s="162"/>
      <c r="Q182" s="162"/>
      <c r="R182" s="163"/>
    </row>
    <row r="183" spans="1:18" ht="24" customHeight="1" x14ac:dyDescent="0.3">
      <c r="A183" s="4" t="s">
        <v>8</v>
      </c>
      <c r="B183" s="4" t="s">
        <v>9</v>
      </c>
      <c r="C183" s="4" t="s">
        <v>10</v>
      </c>
      <c r="D183" s="4" t="s">
        <v>11</v>
      </c>
      <c r="E183" s="4" t="s">
        <v>12</v>
      </c>
      <c r="F183" s="5" t="s">
        <v>13</v>
      </c>
      <c r="G183" s="6" t="s">
        <v>14</v>
      </c>
      <c r="H183" s="4" t="s">
        <v>15</v>
      </c>
      <c r="I183" s="4" t="s">
        <v>16</v>
      </c>
      <c r="J183" s="4" t="s">
        <v>17</v>
      </c>
      <c r="K183" s="4" t="s">
        <v>18</v>
      </c>
      <c r="L183" s="4" t="s">
        <v>19</v>
      </c>
      <c r="M183" s="4" t="s">
        <v>20</v>
      </c>
      <c r="N183" s="4" t="s">
        <v>21</v>
      </c>
      <c r="O183" s="4" t="s">
        <v>22</v>
      </c>
      <c r="P183" s="4" t="s">
        <v>23</v>
      </c>
      <c r="Q183" s="4" t="s">
        <v>24</v>
      </c>
      <c r="R183" s="4" t="s">
        <v>25</v>
      </c>
    </row>
    <row r="184" spans="1:18" ht="15" customHeight="1" x14ac:dyDescent="0.3">
      <c r="A184" s="7" t="s">
        <v>68</v>
      </c>
      <c r="B184" s="7" t="s">
        <v>72</v>
      </c>
      <c r="C184" s="7">
        <v>0.22222222222222221</v>
      </c>
      <c r="D184" s="7" t="s">
        <v>70</v>
      </c>
      <c r="E184" s="7" t="s">
        <v>49</v>
      </c>
      <c r="F184" s="7" t="s">
        <v>99</v>
      </c>
      <c r="G184" s="164"/>
      <c r="H184" s="8"/>
      <c r="I184" s="9"/>
      <c r="J184" s="9"/>
      <c r="K184" s="9"/>
      <c r="L184" s="9"/>
      <c r="M184" s="9"/>
      <c r="N184" s="9"/>
      <c r="O184" s="9"/>
      <c r="P184" s="9"/>
      <c r="Q184" s="9"/>
      <c r="R184" s="10"/>
    </row>
    <row r="185" spans="1:18" ht="15" customHeight="1" x14ac:dyDescent="0.3">
      <c r="A185" s="31" t="s">
        <v>68</v>
      </c>
      <c r="B185" s="31" t="s">
        <v>78</v>
      </c>
      <c r="C185" s="31">
        <v>0.85416666666666663</v>
      </c>
      <c r="D185" s="31" t="s">
        <v>70</v>
      </c>
      <c r="E185" s="31" t="s">
        <v>98</v>
      </c>
      <c r="F185" s="31" t="s">
        <v>79</v>
      </c>
      <c r="G185" s="164"/>
      <c r="H185" s="8"/>
      <c r="I185" s="9"/>
      <c r="J185" s="9"/>
      <c r="K185" s="9"/>
      <c r="L185" s="9"/>
      <c r="M185" s="9"/>
      <c r="N185" s="9"/>
      <c r="O185" s="9"/>
      <c r="P185" s="9"/>
      <c r="Q185" s="9"/>
      <c r="R185" s="10"/>
    </row>
    <row r="186" spans="1:18" ht="15" customHeight="1" x14ac:dyDescent="0.3">
      <c r="A186" s="31" t="s">
        <v>68</v>
      </c>
      <c r="B186" s="31" t="s">
        <v>75</v>
      </c>
      <c r="C186" s="31">
        <v>0.44444444444444442</v>
      </c>
      <c r="D186" s="31" t="s">
        <v>70</v>
      </c>
      <c r="E186" s="31" t="s">
        <v>92</v>
      </c>
      <c r="F186" s="31" t="s">
        <v>79</v>
      </c>
      <c r="G186" s="164"/>
      <c r="H186" s="8"/>
      <c r="I186" s="9"/>
      <c r="J186" s="9"/>
      <c r="K186" s="9"/>
      <c r="L186" s="9"/>
      <c r="M186" s="9"/>
      <c r="N186" s="9"/>
      <c r="O186" s="9"/>
      <c r="P186" s="9"/>
      <c r="Q186" s="9"/>
      <c r="R186" s="10"/>
    </row>
    <row r="187" spans="1:18" ht="15" customHeight="1" x14ac:dyDescent="0.3">
      <c r="A187" s="12" t="s">
        <v>80</v>
      </c>
      <c r="B187" s="12" t="s">
        <v>88</v>
      </c>
      <c r="C187" s="12">
        <v>0.4201388888888889</v>
      </c>
      <c r="D187" s="12" t="s">
        <v>85</v>
      </c>
      <c r="E187" s="12" t="s">
        <v>39</v>
      </c>
      <c r="F187" s="12" t="s">
        <v>90</v>
      </c>
      <c r="G187" s="164"/>
      <c r="H187" s="8"/>
      <c r="I187" s="9"/>
      <c r="J187" s="9"/>
      <c r="K187" s="9"/>
      <c r="L187" s="9"/>
      <c r="M187" s="9"/>
      <c r="N187" s="9"/>
      <c r="O187" s="9"/>
      <c r="P187" s="9"/>
      <c r="Q187" s="9"/>
      <c r="R187" s="10"/>
    </row>
    <row r="188" spans="1:18" ht="15" customHeight="1" x14ac:dyDescent="0.3">
      <c r="A188" s="31" t="s">
        <v>80</v>
      </c>
      <c r="B188" s="31" t="s">
        <v>95</v>
      </c>
      <c r="C188" s="31">
        <v>8.6805555555555566E-2</v>
      </c>
      <c r="D188" s="31" t="s">
        <v>82</v>
      </c>
      <c r="E188" s="31" t="s">
        <v>73</v>
      </c>
      <c r="F188" s="31" t="s">
        <v>93</v>
      </c>
      <c r="G188" s="164"/>
      <c r="H188" s="8"/>
      <c r="I188" s="9"/>
      <c r="J188" s="9"/>
      <c r="K188" s="9"/>
      <c r="L188" s="9"/>
      <c r="M188" s="9"/>
      <c r="N188" s="9"/>
      <c r="O188" s="9"/>
      <c r="P188" s="9"/>
      <c r="Q188" s="9"/>
      <c r="R188" s="10"/>
    </row>
    <row r="189" spans="1:18" ht="15" customHeight="1" x14ac:dyDescent="0.3">
      <c r="A189" s="11" t="s">
        <v>80</v>
      </c>
      <c r="B189" s="11" t="s">
        <v>95</v>
      </c>
      <c r="C189" s="11">
        <v>8.6805555555555566E-2</v>
      </c>
      <c r="D189" s="11" t="s">
        <v>85</v>
      </c>
      <c r="E189" s="11" t="s">
        <v>96</v>
      </c>
      <c r="F189" s="11" t="s">
        <v>94</v>
      </c>
      <c r="G189" s="164"/>
      <c r="H189" s="8"/>
      <c r="I189" s="9"/>
      <c r="J189" s="9"/>
      <c r="K189" s="9"/>
      <c r="L189" s="9"/>
      <c r="M189" s="9"/>
      <c r="N189" s="9"/>
      <c r="O189" s="9"/>
      <c r="P189" s="9"/>
      <c r="Q189" s="9"/>
      <c r="R189" s="10"/>
    </row>
    <row r="190" spans="1:18" ht="15" customHeight="1" x14ac:dyDescent="0.3">
      <c r="A190" s="31" t="s">
        <v>80</v>
      </c>
      <c r="B190" s="31" t="s">
        <v>91</v>
      </c>
      <c r="C190" s="31">
        <v>0.79513888888888884</v>
      </c>
      <c r="D190" s="31" t="s">
        <v>82</v>
      </c>
      <c r="E190" s="31" t="s">
        <v>104</v>
      </c>
      <c r="F190" s="31" t="s">
        <v>111</v>
      </c>
      <c r="G190" s="164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10"/>
    </row>
    <row r="191" spans="1:18" ht="15" customHeight="1" x14ac:dyDescent="0.3">
      <c r="A191" s="11" t="s">
        <v>80</v>
      </c>
      <c r="B191" s="11" t="s">
        <v>91</v>
      </c>
      <c r="C191" s="11">
        <v>0.79513888888888884</v>
      </c>
      <c r="D191" s="11" t="s">
        <v>85</v>
      </c>
      <c r="E191" s="11" t="s">
        <v>105</v>
      </c>
      <c r="F191" s="11" t="s">
        <v>112</v>
      </c>
      <c r="G191" s="164"/>
      <c r="H191" s="8"/>
      <c r="I191" s="9"/>
      <c r="J191" s="9"/>
      <c r="K191" s="9"/>
      <c r="L191" s="9"/>
      <c r="M191" s="9"/>
      <c r="N191" s="9"/>
      <c r="O191" s="9"/>
      <c r="P191" s="9"/>
      <c r="Q191" s="9"/>
      <c r="R191" s="10"/>
    </row>
    <row r="192" spans="1:18" ht="15" customHeight="1" x14ac:dyDescent="0.3">
      <c r="A192" s="31" t="s">
        <v>80</v>
      </c>
      <c r="B192" s="31" t="s">
        <v>81</v>
      </c>
      <c r="C192" s="31">
        <v>0.60416666666666663</v>
      </c>
      <c r="D192" s="31" t="s">
        <v>82</v>
      </c>
      <c r="E192" s="31" t="s">
        <v>104</v>
      </c>
      <c r="F192" s="31" t="s">
        <v>111</v>
      </c>
      <c r="G192" s="164"/>
      <c r="H192" s="8"/>
      <c r="I192" s="9"/>
      <c r="J192" s="9"/>
      <c r="K192" s="9"/>
      <c r="L192" s="9"/>
      <c r="M192" s="9"/>
      <c r="N192" s="9"/>
      <c r="O192" s="9"/>
      <c r="P192" s="9"/>
      <c r="Q192" s="9"/>
      <c r="R192" s="10"/>
    </row>
    <row r="193" spans="1:18" ht="15" customHeight="1" x14ac:dyDescent="0.3">
      <c r="A193" s="11" t="s">
        <v>80</v>
      </c>
      <c r="B193" s="11" t="s">
        <v>81</v>
      </c>
      <c r="C193" s="11">
        <v>0.60416666666666663</v>
      </c>
      <c r="D193" s="11" t="s">
        <v>85</v>
      </c>
      <c r="E193" s="11" t="s">
        <v>105</v>
      </c>
      <c r="F193" s="11" t="s">
        <v>112</v>
      </c>
      <c r="G193" s="164"/>
      <c r="H193" s="8"/>
      <c r="I193" s="9"/>
      <c r="J193" s="9"/>
      <c r="K193" s="9"/>
      <c r="L193" s="9"/>
      <c r="M193" s="9"/>
      <c r="N193" s="9"/>
      <c r="O193" s="9"/>
      <c r="P193" s="9"/>
      <c r="Q193" s="9"/>
      <c r="R193" s="10"/>
    </row>
    <row r="194" spans="1:18" ht="15" customHeight="1" x14ac:dyDescent="0.3">
      <c r="A194" s="59" t="s">
        <v>46</v>
      </c>
      <c r="B194" s="59" t="s">
        <v>62</v>
      </c>
      <c r="C194" s="59">
        <v>0.39583333333333331</v>
      </c>
      <c r="D194" s="59" t="s">
        <v>63</v>
      </c>
      <c r="E194" s="59"/>
      <c r="F194" s="59" t="s">
        <v>64</v>
      </c>
      <c r="G194" s="164"/>
      <c r="H194" s="60" t="s">
        <v>62</v>
      </c>
      <c r="I194" s="61">
        <v>1.0417000000000001</v>
      </c>
      <c r="J194" s="62">
        <v>175</v>
      </c>
      <c r="K194" s="63" t="s">
        <v>65</v>
      </c>
      <c r="L194" s="62">
        <v>13</v>
      </c>
      <c r="M194" s="62">
        <v>0</v>
      </c>
      <c r="N194" s="62">
        <v>0</v>
      </c>
      <c r="O194" s="63" t="s">
        <v>66</v>
      </c>
      <c r="P194" s="63">
        <v>0.39583333333333331</v>
      </c>
      <c r="Q194" s="62">
        <v>168</v>
      </c>
      <c r="R194" s="64" t="s">
        <v>157</v>
      </c>
    </row>
    <row r="195" spans="1:18" ht="17.399999999999999" customHeight="1" x14ac:dyDescent="0.3">
      <c r="A195" s="190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2"/>
    </row>
    <row r="196" spans="1:18" ht="22.05" customHeight="1" x14ac:dyDescent="0.3">
      <c r="A196" s="161" t="s">
        <v>6</v>
      </c>
      <c r="B196" s="162"/>
      <c r="C196" s="162"/>
      <c r="D196" s="162"/>
      <c r="E196" s="162"/>
      <c r="F196" s="163"/>
      <c r="G196" s="3">
        <v>45998</v>
      </c>
      <c r="H196" s="161" t="s">
        <v>7</v>
      </c>
      <c r="I196" s="162"/>
      <c r="J196" s="162"/>
      <c r="K196" s="162"/>
      <c r="L196" s="162"/>
      <c r="M196" s="162"/>
      <c r="N196" s="162"/>
      <c r="O196" s="162"/>
      <c r="P196" s="162"/>
      <c r="Q196" s="162"/>
      <c r="R196" s="163"/>
    </row>
    <row r="197" spans="1:18" ht="24" customHeight="1" x14ac:dyDescent="0.3">
      <c r="A197" s="4" t="s">
        <v>8</v>
      </c>
      <c r="B197" s="4" t="s">
        <v>9</v>
      </c>
      <c r="C197" s="4" t="s">
        <v>10</v>
      </c>
      <c r="D197" s="4" t="s">
        <v>11</v>
      </c>
      <c r="E197" s="4" t="s">
        <v>12</v>
      </c>
      <c r="F197" s="5" t="s">
        <v>13</v>
      </c>
      <c r="G197" s="6" t="s">
        <v>14</v>
      </c>
      <c r="H197" s="4" t="s">
        <v>15</v>
      </c>
      <c r="I197" s="4" t="s">
        <v>16</v>
      </c>
      <c r="J197" s="4" t="s">
        <v>17</v>
      </c>
      <c r="K197" s="4" t="s">
        <v>18</v>
      </c>
      <c r="L197" s="4" t="s">
        <v>19</v>
      </c>
      <c r="M197" s="4" t="s">
        <v>20</v>
      </c>
      <c r="N197" s="4" t="s">
        <v>21</v>
      </c>
      <c r="O197" s="4" t="s">
        <v>22</v>
      </c>
      <c r="P197" s="4" t="s">
        <v>23</v>
      </c>
      <c r="Q197" s="4" t="s">
        <v>24</v>
      </c>
      <c r="R197" s="4" t="s">
        <v>25</v>
      </c>
    </row>
    <row r="198" spans="1:18" ht="15" customHeight="1" x14ac:dyDescent="0.3">
      <c r="A198" s="7" t="s">
        <v>26</v>
      </c>
      <c r="B198" s="7" t="s">
        <v>27</v>
      </c>
      <c r="C198" s="7">
        <v>0.4201388888888889</v>
      </c>
      <c r="D198" s="7" t="s">
        <v>28</v>
      </c>
      <c r="E198" s="7" t="s">
        <v>39</v>
      </c>
      <c r="F198" s="7" t="s">
        <v>30</v>
      </c>
      <c r="G198" s="164"/>
      <c r="H198" s="8"/>
      <c r="I198" s="9"/>
      <c r="J198" s="9"/>
      <c r="K198" s="9"/>
      <c r="L198" s="9"/>
      <c r="M198" s="9"/>
      <c r="N198" s="9"/>
      <c r="O198" s="9"/>
      <c r="P198" s="9"/>
      <c r="Q198" s="9"/>
      <c r="R198" s="10"/>
    </row>
    <row r="199" spans="1:18" ht="15" customHeight="1" x14ac:dyDescent="0.3">
      <c r="A199" s="11" t="s">
        <v>26</v>
      </c>
      <c r="B199" s="11" t="s">
        <v>27</v>
      </c>
      <c r="C199" s="11">
        <v>0.4201388888888889</v>
      </c>
      <c r="D199" s="11" t="s">
        <v>31</v>
      </c>
      <c r="E199" s="11" t="s">
        <v>42</v>
      </c>
      <c r="F199" s="11" t="s">
        <v>33</v>
      </c>
      <c r="G199" s="164"/>
      <c r="H199" s="8"/>
      <c r="I199" s="9"/>
      <c r="J199" s="9"/>
      <c r="K199" s="9"/>
      <c r="L199" s="9"/>
      <c r="M199" s="9"/>
      <c r="N199" s="9"/>
      <c r="O199" s="9"/>
      <c r="P199" s="9"/>
      <c r="Q199" s="9"/>
      <c r="R199" s="10"/>
    </row>
    <row r="200" spans="1:18" ht="15" customHeight="1" x14ac:dyDescent="0.3">
      <c r="A200" s="11" t="s">
        <v>26</v>
      </c>
      <c r="B200" s="11" t="s">
        <v>27</v>
      </c>
      <c r="C200" s="11">
        <v>0.4201388888888889</v>
      </c>
      <c r="D200" s="11" t="s">
        <v>34</v>
      </c>
      <c r="E200" s="11" t="s">
        <v>42</v>
      </c>
      <c r="F200" s="11" t="s">
        <v>158</v>
      </c>
      <c r="G200" s="164"/>
      <c r="H200" s="8"/>
      <c r="I200" s="9"/>
      <c r="J200" s="9"/>
      <c r="K200" s="9"/>
      <c r="L200" s="9"/>
      <c r="M200" s="9"/>
      <c r="N200" s="9"/>
      <c r="O200" s="9"/>
      <c r="P200" s="9"/>
      <c r="Q200" s="9"/>
      <c r="R200" s="10"/>
    </row>
    <row r="201" spans="1:18" ht="15" customHeight="1" x14ac:dyDescent="0.3">
      <c r="A201" s="12" t="s">
        <v>36</v>
      </c>
      <c r="B201" s="12" t="s">
        <v>37</v>
      </c>
      <c r="C201" s="12">
        <v>0.75694444444444453</v>
      </c>
      <c r="D201" s="12" t="s">
        <v>38</v>
      </c>
      <c r="E201" s="12" t="s">
        <v>127</v>
      </c>
      <c r="F201" s="12" t="s">
        <v>40</v>
      </c>
      <c r="G201" s="164"/>
      <c r="H201" s="8"/>
      <c r="I201" s="9"/>
      <c r="J201" s="9"/>
      <c r="K201" s="9"/>
      <c r="L201" s="9"/>
      <c r="M201" s="9"/>
      <c r="N201" s="9"/>
      <c r="O201" s="9"/>
      <c r="P201" s="9"/>
      <c r="Q201" s="9"/>
      <c r="R201" s="10"/>
    </row>
    <row r="202" spans="1:18" ht="15" customHeight="1" x14ac:dyDescent="0.3">
      <c r="A202" s="11" t="s">
        <v>36</v>
      </c>
      <c r="B202" s="11" t="s">
        <v>37</v>
      </c>
      <c r="C202" s="11">
        <v>0.75694444444444453</v>
      </c>
      <c r="D202" s="11" t="s">
        <v>41</v>
      </c>
      <c r="E202" s="11" t="s">
        <v>122</v>
      </c>
      <c r="F202" s="11" t="s">
        <v>43</v>
      </c>
      <c r="G202" s="164"/>
      <c r="H202" s="8"/>
      <c r="I202" s="9"/>
      <c r="J202" s="9"/>
      <c r="K202" s="9"/>
      <c r="L202" s="9"/>
      <c r="M202" s="9"/>
      <c r="N202" s="9"/>
      <c r="O202" s="9"/>
      <c r="P202" s="9"/>
      <c r="Q202" s="9"/>
      <c r="R202" s="10"/>
    </row>
    <row r="203" spans="1:18" ht="15" customHeight="1" x14ac:dyDescent="0.3">
      <c r="A203" s="11" t="s">
        <v>36</v>
      </c>
      <c r="B203" s="11" t="s">
        <v>37</v>
      </c>
      <c r="C203" s="11">
        <v>0.75694444444444453</v>
      </c>
      <c r="D203" s="11" t="s">
        <v>44</v>
      </c>
      <c r="E203" s="11" t="s">
        <v>122</v>
      </c>
      <c r="F203" s="11" t="s">
        <v>45</v>
      </c>
      <c r="G203" s="164"/>
      <c r="H203" s="8"/>
      <c r="I203" s="9"/>
      <c r="J203" s="9"/>
      <c r="K203" s="9"/>
      <c r="L203" s="9"/>
      <c r="M203" s="9"/>
      <c r="N203" s="9"/>
      <c r="O203" s="9"/>
      <c r="P203" s="9"/>
      <c r="Q203" s="9"/>
      <c r="R203" s="10"/>
    </row>
    <row r="204" spans="1:18" ht="15" customHeight="1" x14ac:dyDescent="0.3">
      <c r="A204" s="12" t="s">
        <v>80</v>
      </c>
      <c r="B204" s="12" t="s">
        <v>95</v>
      </c>
      <c r="C204" s="12">
        <v>8.6805555555555566E-2</v>
      </c>
      <c r="D204" s="12" t="s">
        <v>82</v>
      </c>
      <c r="E204" s="12" t="s">
        <v>49</v>
      </c>
      <c r="F204" s="12" t="s">
        <v>150</v>
      </c>
      <c r="G204" s="164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10"/>
    </row>
    <row r="205" spans="1:18" ht="15" customHeight="1" x14ac:dyDescent="0.3">
      <c r="A205" s="11" t="s">
        <v>80</v>
      </c>
      <c r="B205" s="11" t="s">
        <v>95</v>
      </c>
      <c r="C205" s="11">
        <v>8.6805555555555566E-2</v>
      </c>
      <c r="D205" s="11" t="s">
        <v>85</v>
      </c>
      <c r="E205" s="11" t="s">
        <v>96</v>
      </c>
      <c r="F205" s="11" t="s">
        <v>151</v>
      </c>
      <c r="G205" s="164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10"/>
    </row>
    <row r="206" spans="1:18" ht="15" customHeight="1" x14ac:dyDescent="0.3">
      <c r="A206" s="31" t="s">
        <v>80</v>
      </c>
      <c r="B206" s="31" t="s">
        <v>91</v>
      </c>
      <c r="C206" s="31">
        <v>0.79513888888888884</v>
      </c>
      <c r="D206" s="31" t="s">
        <v>82</v>
      </c>
      <c r="E206" s="31" t="s">
        <v>73</v>
      </c>
      <c r="F206" s="31" t="s">
        <v>101</v>
      </c>
      <c r="G206" s="164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10"/>
    </row>
    <row r="207" spans="1:18" ht="15" customHeight="1" x14ac:dyDescent="0.3">
      <c r="A207" s="11" t="s">
        <v>80</v>
      </c>
      <c r="B207" s="11" t="s">
        <v>91</v>
      </c>
      <c r="C207" s="11">
        <v>0.79513888888888884</v>
      </c>
      <c r="D207" s="11" t="s">
        <v>85</v>
      </c>
      <c r="E207" s="11" t="s">
        <v>96</v>
      </c>
      <c r="F207" s="11" t="s">
        <v>102</v>
      </c>
      <c r="G207" s="164"/>
      <c r="H207" s="8"/>
      <c r="I207" s="9"/>
      <c r="J207" s="9"/>
      <c r="K207" s="9"/>
      <c r="L207" s="9"/>
      <c r="M207" s="9"/>
      <c r="N207" s="9"/>
      <c r="O207" s="9"/>
      <c r="P207" s="9"/>
      <c r="Q207" s="9"/>
      <c r="R207" s="10"/>
    </row>
    <row r="208" spans="1:18" ht="15" customHeight="1" x14ac:dyDescent="0.3">
      <c r="A208" s="31" t="s">
        <v>80</v>
      </c>
      <c r="B208" s="31" t="s">
        <v>88</v>
      </c>
      <c r="C208" s="31">
        <v>0.4201388888888889</v>
      </c>
      <c r="D208" s="31" t="s">
        <v>85</v>
      </c>
      <c r="E208" s="31" t="s">
        <v>89</v>
      </c>
      <c r="F208" s="31" t="s">
        <v>90</v>
      </c>
      <c r="G208" s="164"/>
      <c r="H208" s="8"/>
      <c r="I208" s="9"/>
      <c r="J208" s="9"/>
      <c r="K208" s="9"/>
      <c r="L208" s="9"/>
      <c r="M208" s="9"/>
      <c r="N208" s="9"/>
      <c r="O208" s="9"/>
      <c r="P208" s="9"/>
      <c r="Q208" s="9"/>
      <c r="R208" s="10"/>
    </row>
    <row r="209" spans="1:18" ht="15" customHeight="1" x14ac:dyDescent="0.3">
      <c r="A209" s="31" t="s">
        <v>80</v>
      </c>
      <c r="B209" s="31" t="s">
        <v>81</v>
      </c>
      <c r="C209" s="31">
        <v>0.60416666666666663</v>
      </c>
      <c r="D209" s="31" t="s">
        <v>82</v>
      </c>
      <c r="E209" s="31" t="s">
        <v>73</v>
      </c>
      <c r="F209" s="31" t="s">
        <v>93</v>
      </c>
      <c r="G209" s="164"/>
      <c r="H209" s="8"/>
      <c r="I209" s="9"/>
      <c r="J209" s="9"/>
      <c r="K209" s="9"/>
      <c r="L209" s="9"/>
      <c r="M209" s="9"/>
      <c r="N209" s="9"/>
      <c r="O209" s="9"/>
      <c r="P209" s="9"/>
      <c r="Q209" s="9"/>
      <c r="R209" s="10"/>
    </row>
    <row r="210" spans="1:18" ht="15" customHeight="1" x14ac:dyDescent="0.3">
      <c r="A210" s="11" t="s">
        <v>80</v>
      </c>
      <c r="B210" s="11" t="s">
        <v>81</v>
      </c>
      <c r="C210" s="11">
        <v>0.60416666666666663</v>
      </c>
      <c r="D210" s="11" t="s">
        <v>85</v>
      </c>
      <c r="E210" s="11" t="s">
        <v>96</v>
      </c>
      <c r="F210" s="11" t="s">
        <v>94</v>
      </c>
      <c r="G210" s="164"/>
      <c r="H210" s="8"/>
      <c r="I210" s="9"/>
      <c r="J210" s="9"/>
      <c r="K210" s="9"/>
      <c r="L210" s="9"/>
      <c r="M210" s="9"/>
      <c r="N210" s="9"/>
      <c r="O210" s="9"/>
      <c r="P210" s="9"/>
      <c r="Q210" s="9"/>
      <c r="R210" s="10"/>
    </row>
    <row r="211" spans="1:18" ht="15" customHeight="1" x14ac:dyDescent="0.3">
      <c r="A211" s="65" t="s">
        <v>46</v>
      </c>
      <c r="B211" s="65" t="s">
        <v>62</v>
      </c>
      <c r="C211" s="65">
        <v>0.90277777777777779</v>
      </c>
      <c r="D211" s="65" t="s">
        <v>63</v>
      </c>
      <c r="E211" s="65"/>
      <c r="F211" s="65" t="s">
        <v>64</v>
      </c>
      <c r="G211" s="164"/>
      <c r="H211" s="66" t="s">
        <v>62</v>
      </c>
      <c r="I211" s="67">
        <v>1.0595000000000001</v>
      </c>
      <c r="J211" s="68">
        <v>178</v>
      </c>
      <c r="K211" s="69" t="s">
        <v>65</v>
      </c>
      <c r="L211" s="68">
        <v>11</v>
      </c>
      <c r="M211" s="68">
        <v>0</v>
      </c>
      <c r="N211" s="68">
        <v>0</v>
      </c>
      <c r="O211" s="69" t="s">
        <v>66</v>
      </c>
      <c r="P211" s="69">
        <v>0.90277777777777779</v>
      </c>
      <c r="Q211" s="68">
        <v>168</v>
      </c>
      <c r="R211" s="70" t="s">
        <v>159</v>
      </c>
    </row>
    <row r="212" spans="1:18" ht="17.399999999999999" customHeight="1" x14ac:dyDescent="0.3">
      <c r="A212" s="190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2"/>
    </row>
    <row r="213" spans="1:18" ht="22.05" customHeight="1" x14ac:dyDescent="0.3">
      <c r="A213" s="161" t="s">
        <v>6</v>
      </c>
      <c r="B213" s="162"/>
      <c r="C213" s="162"/>
      <c r="D213" s="162"/>
      <c r="E213" s="162"/>
      <c r="F213" s="163"/>
      <c r="G213" s="3">
        <v>45999</v>
      </c>
      <c r="H213" s="161" t="s">
        <v>7</v>
      </c>
      <c r="I213" s="162"/>
      <c r="J213" s="162"/>
      <c r="K213" s="162"/>
      <c r="L213" s="162"/>
      <c r="M213" s="162"/>
      <c r="N213" s="162"/>
      <c r="O213" s="162"/>
      <c r="P213" s="162"/>
      <c r="Q213" s="162"/>
      <c r="R213" s="163"/>
    </row>
    <row r="214" spans="1:18" ht="24" customHeight="1" x14ac:dyDescent="0.3">
      <c r="A214" s="4" t="s">
        <v>8</v>
      </c>
      <c r="B214" s="4" t="s">
        <v>9</v>
      </c>
      <c r="C214" s="4" t="s">
        <v>10</v>
      </c>
      <c r="D214" s="4" t="s">
        <v>11</v>
      </c>
      <c r="E214" s="4" t="s">
        <v>12</v>
      </c>
      <c r="F214" s="5" t="s">
        <v>13</v>
      </c>
      <c r="G214" s="6" t="s">
        <v>14</v>
      </c>
      <c r="H214" s="4" t="s">
        <v>15</v>
      </c>
      <c r="I214" s="4" t="s">
        <v>16</v>
      </c>
      <c r="J214" s="4" t="s">
        <v>17</v>
      </c>
      <c r="K214" s="4" t="s">
        <v>18</v>
      </c>
      <c r="L214" s="4" t="s">
        <v>19</v>
      </c>
      <c r="M214" s="4" t="s">
        <v>20</v>
      </c>
      <c r="N214" s="4" t="s">
        <v>21</v>
      </c>
      <c r="O214" s="4" t="s">
        <v>22</v>
      </c>
      <c r="P214" s="4" t="s">
        <v>23</v>
      </c>
      <c r="Q214" s="4" t="s">
        <v>24</v>
      </c>
      <c r="R214" s="4" t="s">
        <v>25</v>
      </c>
    </row>
    <row r="215" spans="1:18" ht="15" customHeight="1" x14ac:dyDescent="0.3">
      <c r="A215" s="7" t="s">
        <v>26</v>
      </c>
      <c r="B215" s="7" t="s">
        <v>27</v>
      </c>
      <c r="C215" s="7">
        <v>0.4201388888888889</v>
      </c>
      <c r="D215" s="7" t="s">
        <v>28</v>
      </c>
      <c r="E215" s="7" t="s">
        <v>83</v>
      </c>
      <c r="F215" s="7" t="s">
        <v>113</v>
      </c>
      <c r="G215" s="164"/>
      <c r="H215" s="8"/>
      <c r="I215" s="9"/>
      <c r="J215" s="9"/>
      <c r="K215" s="9"/>
      <c r="L215" s="9"/>
      <c r="M215" s="9"/>
      <c r="N215" s="9"/>
      <c r="O215" s="9"/>
      <c r="P215" s="9"/>
      <c r="Q215" s="9"/>
      <c r="R215" s="10"/>
    </row>
    <row r="216" spans="1:18" ht="15" customHeight="1" x14ac:dyDescent="0.3">
      <c r="A216" s="11" t="s">
        <v>26</v>
      </c>
      <c r="B216" s="11" t="s">
        <v>27</v>
      </c>
      <c r="C216" s="11">
        <v>0.4201388888888889</v>
      </c>
      <c r="D216" s="11" t="s">
        <v>31</v>
      </c>
      <c r="E216" s="11" t="s">
        <v>86</v>
      </c>
      <c r="F216" s="11" t="s">
        <v>114</v>
      </c>
      <c r="G216" s="164"/>
      <c r="H216" s="8"/>
      <c r="I216" s="9"/>
      <c r="J216" s="9"/>
      <c r="K216" s="9"/>
      <c r="L216" s="9"/>
      <c r="M216" s="9"/>
      <c r="N216" s="9"/>
      <c r="O216" s="9"/>
      <c r="P216" s="9"/>
      <c r="Q216" s="9"/>
      <c r="R216" s="10"/>
    </row>
    <row r="217" spans="1:18" ht="15" customHeight="1" x14ac:dyDescent="0.3">
      <c r="A217" s="11" t="s">
        <v>26</v>
      </c>
      <c r="B217" s="11" t="s">
        <v>27</v>
      </c>
      <c r="C217" s="11">
        <v>0.4201388888888889</v>
      </c>
      <c r="D217" s="11" t="s">
        <v>34</v>
      </c>
      <c r="E217" s="11" t="s">
        <v>86</v>
      </c>
      <c r="F217" s="11" t="s">
        <v>158</v>
      </c>
      <c r="G217" s="164"/>
      <c r="H217" s="8"/>
      <c r="I217" s="9"/>
      <c r="J217" s="9"/>
      <c r="K217" s="9"/>
      <c r="L217" s="9"/>
      <c r="M217" s="9"/>
      <c r="N217" s="9"/>
      <c r="O217" s="9"/>
      <c r="P217" s="9"/>
      <c r="Q217" s="9"/>
      <c r="R217" s="10"/>
    </row>
    <row r="218" spans="1:18" ht="15" customHeight="1" x14ac:dyDescent="0.3">
      <c r="A218" s="12" t="s">
        <v>80</v>
      </c>
      <c r="B218" s="12" t="s">
        <v>95</v>
      </c>
      <c r="C218" s="12">
        <v>8.6805555555555566E-2</v>
      </c>
      <c r="D218" s="12" t="s">
        <v>82</v>
      </c>
      <c r="E218" s="12" t="s">
        <v>49</v>
      </c>
      <c r="F218" s="12" t="s">
        <v>84</v>
      </c>
      <c r="G218" s="164"/>
      <c r="H218" s="8"/>
      <c r="I218" s="9"/>
      <c r="J218" s="9"/>
      <c r="K218" s="9"/>
      <c r="L218" s="9"/>
      <c r="M218" s="9"/>
      <c r="N218" s="9"/>
      <c r="O218" s="9"/>
      <c r="P218" s="9"/>
      <c r="Q218" s="9"/>
      <c r="R218" s="10"/>
    </row>
    <row r="219" spans="1:18" ht="15" customHeight="1" x14ac:dyDescent="0.3">
      <c r="A219" s="11" t="s">
        <v>80</v>
      </c>
      <c r="B219" s="11" t="s">
        <v>95</v>
      </c>
      <c r="C219" s="11">
        <v>8.6805555555555566E-2</v>
      </c>
      <c r="D219" s="11" t="s">
        <v>85</v>
      </c>
      <c r="E219" s="11" t="s">
        <v>96</v>
      </c>
      <c r="F219" s="11" t="s">
        <v>87</v>
      </c>
      <c r="G219" s="164"/>
      <c r="H219" s="8"/>
      <c r="I219" s="9"/>
      <c r="J219" s="9"/>
      <c r="K219" s="9"/>
      <c r="L219" s="9"/>
      <c r="M219" s="9"/>
      <c r="N219" s="9"/>
      <c r="O219" s="9"/>
      <c r="P219" s="9"/>
      <c r="Q219" s="9"/>
      <c r="R219" s="10"/>
    </row>
    <row r="220" spans="1:18" ht="15" customHeight="1" x14ac:dyDescent="0.3">
      <c r="A220" s="31" t="s">
        <v>80</v>
      </c>
      <c r="B220" s="31" t="s">
        <v>91</v>
      </c>
      <c r="C220" s="31">
        <v>0.79513888888888884</v>
      </c>
      <c r="D220" s="31" t="s">
        <v>82</v>
      </c>
      <c r="E220" s="31" t="s">
        <v>92</v>
      </c>
      <c r="F220" s="31" t="s">
        <v>101</v>
      </c>
      <c r="G220" s="164"/>
      <c r="H220" s="8"/>
      <c r="I220" s="9"/>
      <c r="J220" s="9"/>
      <c r="K220" s="9"/>
      <c r="L220" s="9"/>
      <c r="M220" s="9"/>
      <c r="N220" s="9"/>
      <c r="O220" s="9"/>
      <c r="P220" s="9"/>
      <c r="Q220" s="9"/>
      <c r="R220" s="10"/>
    </row>
    <row r="221" spans="1:18" ht="15" customHeight="1" x14ac:dyDescent="0.3">
      <c r="A221" s="11" t="s">
        <v>80</v>
      </c>
      <c r="B221" s="11" t="s">
        <v>91</v>
      </c>
      <c r="C221" s="11">
        <v>0.79513888888888884</v>
      </c>
      <c r="D221" s="11" t="s">
        <v>85</v>
      </c>
      <c r="E221" s="11" t="s">
        <v>32</v>
      </c>
      <c r="F221" s="11" t="s">
        <v>102</v>
      </c>
      <c r="G221" s="164"/>
      <c r="H221" s="8"/>
      <c r="I221" s="9"/>
      <c r="J221" s="9"/>
      <c r="K221" s="9"/>
      <c r="L221" s="9"/>
      <c r="M221" s="9"/>
      <c r="N221" s="9"/>
      <c r="O221" s="9"/>
      <c r="P221" s="9"/>
      <c r="Q221" s="9"/>
      <c r="R221" s="10"/>
    </row>
    <row r="222" spans="1:18" ht="15" customHeight="1" x14ac:dyDescent="0.3">
      <c r="A222" s="31" t="s">
        <v>80</v>
      </c>
      <c r="B222" s="31" t="s">
        <v>81</v>
      </c>
      <c r="C222" s="31">
        <v>0.60416666666666663</v>
      </c>
      <c r="D222" s="31" t="s">
        <v>82</v>
      </c>
      <c r="E222" s="31" t="s">
        <v>73</v>
      </c>
      <c r="F222" s="31" t="s">
        <v>101</v>
      </c>
      <c r="G222" s="164"/>
      <c r="H222" s="8"/>
      <c r="I222" s="9"/>
      <c r="J222" s="9"/>
      <c r="K222" s="9"/>
      <c r="L222" s="9"/>
      <c r="M222" s="9"/>
      <c r="N222" s="9"/>
      <c r="O222" s="9"/>
      <c r="P222" s="9"/>
      <c r="Q222" s="9"/>
      <c r="R222" s="10"/>
    </row>
    <row r="223" spans="1:18" ht="15" customHeight="1" x14ac:dyDescent="0.3">
      <c r="A223" s="11" t="s">
        <v>80</v>
      </c>
      <c r="B223" s="11" t="s">
        <v>81</v>
      </c>
      <c r="C223" s="11">
        <v>0.60416666666666663</v>
      </c>
      <c r="D223" s="11" t="s">
        <v>85</v>
      </c>
      <c r="E223" s="11" t="s">
        <v>96</v>
      </c>
      <c r="F223" s="11" t="s">
        <v>102</v>
      </c>
      <c r="G223" s="164"/>
      <c r="H223" s="8"/>
      <c r="I223" s="9"/>
      <c r="J223" s="9"/>
      <c r="K223" s="9"/>
      <c r="L223" s="9"/>
      <c r="M223" s="9"/>
      <c r="N223" s="9"/>
      <c r="O223" s="9"/>
      <c r="P223" s="9"/>
      <c r="Q223" s="9"/>
      <c r="R223" s="10"/>
    </row>
    <row r="224" spans="1:18" ht="15" customHeight="1" x14ac:dyDescent="0.3">
      <c r="A224" s="31" t="s">
        <v>80</v>
      </c>
      <c r="B224" s="31" t="s">
        <v>88</v>
      </c>
      <c r="C224" s="31">
        <v>0.4201388888888889</v>
      </c>
      <c r="D224" s="31" t="s">
        <v>85</v>
      </c>
      <c r="E224" s="31" t="s">
        <v>89</v>
      </c>
      <c r="F224" s="31" t="s">
        <v>90</v>
      </c>
      <c r="G224" s="164"/>
      <c r="H224" s="8"/>
      <c r="I224" s="9"/>
      <c r="J224" s="9"/>
      <c r="K224" s="9"/>
      <c r="L224" s="9"/>
      <c r="M224" s="9"/>
      <c r="N224" s="9"/>
      <c r="O224" s="9"/>
      <c r="P224" s="9"/>
      <c r="Q224" s="9"/>
      <c r="R224" s="10"/>
    </row>
    <row r="225" spans="1:18" ht="15" customHeight="1" x14ac:dyDescent="0.3">
      <c r="A225" s="12" t="s">
        <v>68</v>
      </c>
      <c r="B225" s="12" t="s">
        <v>72</v>
      </c>
      <c r="C225" s="12">
        <v>0.22222222222222221</v>
      </c>
      <c r="D225" s="12" t="s">
        <v>70</v>
      </c>
      <c r="E225" s="12" t="s">
        <v>49</v>
      </c>
      <c r="F225" s="12" t="s">
        <v>99</v>
      </c>
      <c r="G225" s="164"/>
      <c r="H225" s="8"/>
      <c r="I225" s="9"/>
      <c r="J225" s="9"/>
      <c r="K225" s="9"/>
      <c r="L225" s="9"/>
      <c r="M225" s="9"/>
      <c r="N225" s="9"/>
      <c r="O225" s="9"/>
      <c r="P225" s="9"/>
      <c r="Q225" s="9"/>
      <c r="R225" s="10"/>
    </row>
    <row r="226" spans="1:18" ht="15" customHeight="1" x14ac:dyDescent="0.3">
      <c r="A226" s="36" t="s">
        <v>68</v>
      </c>
      <c r="B226" s="36" t="s">
        <v>77</v>
      </c>
      <c r="C226" s="36">
        <v>0.49305555555555558</v>
      </c>
      <c r="D226" s="36" t="s">
        <v>70</v>
      </c>
      <c r="E226" s="36" t="s">
        <v>98</v>
      </c>
      <c r="F226" s="36" t="s">
        <v>79</v>
      </c>
      <c r="G226" s="164"/>
      <c r="H226" s="33"/>
      <c r="I226" s="34"/>
      <c r="J226" s="34"/>
      <c r="K226" s="34"/>
      <c r="L226" s="34"/>
      <c r="M226" s="34"/>
      <c r="N226" s="34"/>
      <c r="O226" s="34"/>
      <c r="P226" s="34"/>
      <c r="Q226" s="34"/>
      <c r="R226" s="35"/>
    </row>
    <row r="227" spans="1:18" ht="17.399999999999999" customHeight="1" x14ac:dyDescent="0.3">
      <c r="A227" s="190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2"/>
    </row>
    <row r="228" spans="1:18" ht="22.05" customHeight="1" x14ac:dyDescent="0.3">
      <c r="A228" s="161" t="s">
        <v>6</v>
      </c>
      <c r="B228" s="162"/>
      <c r="C228" s="162"/>
      <c r="D228" s="162"/>
      <c r="E228" s="162"/>
      <c r="F228" s="163"/>
      <c r="G228" s="3">
        <v>46000</v>
      </c>
      <c r="H228" s="161" t="s">
        <v>7</v>
      </c>
      <c r="I228" s="162"/>
      <c r="J228" s="162"/>
      <c r="K228" s="162"/>
      <c r="L228" s="162"/>
      <c r="M228" s="162"/>
      <c r="N228" s="162"/>
      <c r="O228" s="162"/>
      <c r="P228" s="162"/>
      <c r="Q228" s="162"/>
      <c r="R228" s="163"/>
    </row>
    <row r="229" spans="1:18" ht="24" customHeight="1" x14ac:dyDescent="0.3">
      <c r="A229" s="4" t="s">
        <v>8</v>
      </c>
      <c r="B229" s="4" t="s">
        <v>9</v>
      </c>
      <c r="C229" s="4" t="s">
        <v>10</v>
      </c>
      <c r="D229" s="4" t="s">
        <v>11</v>
      </c>
      <c r="E229" s="4" t="s">
        <v>12</v>
      </c>
      <c r="F229" s="5" t="s">
        <v>13</v>
      </c>
      <c r="G229" s="6" t="s">
        <v>14</v>
      </c>
      <c r="H229" s="4" t="s">
        <v>15</v>
      </c>
      <c r="I229" s="4" t="s">
        <v>16</v>
      </c>
      <c r="J229" s="4" t="s">
        <v>17</v>
      </c>
      <c r="K229" s="4" t="s">
        <v>18</v>
      </c>
      <c r="L229" s="4" t="s">
        <v>19</v>
      </c>
      <c r="M229" s="4" t="s">
        <v>20</v>
      </c>
      <c r="N229" s="4" t="s">
        <v>21</v>
      </c>
      <c r="O229" s="4" t="s">
        <v>22</v>
      </c>
      <c r="P229" s="4" t="s">
        <v>23</v>
      </c>
      <c r="Q229" s="4" t="s">
        <v>24</v>
      </c>
      <c r="R229" s="4" t="s">
        <v>25</v>
      </c>
    </row>
    <row r="230" spans="1:18" ht="15" customHeight="1" x14ac:dyDescent="0.3">
      <c r="A230" s="71" t="s">
        <v>46</v>
      </c>
      <c r="B230" s="71" t="s">
        <v>55</v>
      </c>
      <c r="C230" s="71">
        <v>4.8611111111111112E-2</v>
      </c>
      <c r="D230" s="71" t="s">
        <v>48</v>
      </c>
      <c r="E230" s="71" t="s">
        <v>160</v>
      </c>
      <c r="F230" s="71" t="s">
        <v>161</v>
      </c>
      <c r="G230" s="164"/>
      <c r="H230" s="72" t="s">
        <v>58</v>
      </c>
      <c r="I230" s="73">
        <v>0.99399999999999999</v>
      </c>
      <c r="J230" s="74">
        <v>167</v>
      </c>
      <c r="K230" s="75" t="s">
        <v>162</v>
      </c>
      <c r="L230" s="74">
        <v>4</v>
      </c>
      <c r="M230" s="74">
        <v>2</v>
      </c>
      <c r="N230" s="74">
        <v>0</v>
      </c>
      <c r="O230" s="75" t="s">
        <v>163</v>
      </c>
      <c r="P230" s="75">
        <v>4.8611111111111112E-2</v>
      </c>
      <c r="Q230" s="74">
        <v>168</v>
      </c>
      <c r="R230" s="76" t="s">
        <v>164</v>
      </c>
    </row>
    <row r="231" spans="1:18" ht="15" customHeight="1" x14ac:dyDescent="0.3">
      <c r="A231" s="77" t="s">
        <v>46</v>
      </c>
      <c r="B231" s="77" t="s">
        <v>47</v>
      </c>
      <c r="C231" s="77">
        <v>0.27777777777777779</v>
      </c>
      <c r="D231" s="77" t="s">
        <v>48</v>
      </c>
      <c r="E231" s="77" t="s">
        <v>98</v>
      </c>
      <c r="F231" s="77" t="s">
        <v>50</v>
      </c>
      <c r="G231" s="164"/>
      <c r="H231" s="52" t="s">
        <v>51</v>
      </c>
      <c r="I231" s="78">
        <v>0.98809999999999998</v>
      </c>
      <c r="J231" s="54">
        <v>166</v>
      </c>
      <c r="K231" s="55" t="s">
        <v>52</v>
      </c>
      <c r="L231" s="54">
        <v>40</v>
      </c>
      <c r="M231" s="54">
        <v>0</v>
      </c>
      <c r="N231" s="54">
        <v>1</v>
      </c>
      <c r="O231" s="55" t="s">
        <v>165</v>
      </c>
      <c r="P231" s="55">
        <v>0.27777777777777779</v>
      </c>
      <c r="Q231" s="54">
        <v>168</v>
      </c>
      <c r="R231" s="56" t="s">
        <v>166</v>
      </c>
    </row>
    <row r="232" spans="1:18" ht="15" customHeight="1" x14ac:dyDescent="0.3">
      <c r="A232" s="79" t="s">
        <v>46</v>
      </c>
      <c r="B232" s="79" t="s">
        <v>62</v>
      </c>
      <c r="C232" s="79">
        <v>0.97916666666666663</v>
      </c>
      <c r="D232" s="79" t="s">
        <v>63</v>
      </c>
      <c r="E232" s="79"/>
      <c r="F232" s="79" t="s">
        <v>64</v>
      </c>
      <c r="G232" s="164"/>
      <c r="H232" s="80" t="s">
        <v>62</v>
      </c>
      <c r="I232" s="81">
        <v>1.0119</v>
      </c>
      <c r="J232" s="82">
        <v>170</v>
      </c>
      <c r="K232" s="83" t="s">
        <v>65</v>
      </c>
      <c r="L232" s="82">
        <v>44</v>
      </c>
      <c r="M232" s="82">
        <v>0</v>
      </c>
      <c r="N232" s="82">
        <v>0</v>
      </c>
      <c r="O232" s="83" t="s">
        <v>66</v>
      </c>
      <c r="P232" s="83">
        <v>0.97916666666666663</v>
      </c>
      <c r="Q232" s="82">
        <v>168</v>
      </c>
      <c r="R232" s="84" t="s">
        <v>167</v>
      </c>
    </row>
    <row r="233" spans="1:18" ht="15" customHeight="1" x14ac:dyDescent="0.3">
      <c r="A233" s="12" t="s">
        <v>68</v>
      </c>
      <c r="B233" s="12" t="s">
        <v>72</v>
      </c>
      <c r="C233" s="12">
        <v>0.22222222222222221</v>
      </c>
      <c r="D233" s="12" t="s">
        <v>70</v>
      </c>
      <c r="E233" s="12" t="s">
        <v>49</v>
      </c>
      <c r="F233" s="12" t="s">
        <v>168</v>
      </c>
      <c r="G233" s="164"/>
      <c r="H233" s="8"/>
      <c r="I233" s="9"/>
      <c r="J233" s="9"/>
      <c r="K233" s="9"/>
      <c r="L233" s="9"/>
      <c r="M233" s="9"/>
      <c r="N233" s="9"/>
      <c r="O233" s="9"/>
      <c r="P233" s="9"/>
      <c r="Q233" s="9"/>
      <c r="R233" s="10"/>
    </row>
    <row r="234" spans="1:18" ht="15" customHeight="1" x14ac:dyDescent="0.3">
      <c r="A234" s="31" t="s">
        <v>68</v>
      </c>
      <c r="B234" s="31" t="s">
        <v>69</v>
      </c>
      <c r="C234" s="31">
        <v>9.7222222222222224E-2</v>
      </c>
      <c r="D234" s="31" t="s">
        <v>70</v>
      </c>
      <c r="E234" s="31" t="s">
        <v>73</v>
      </c>
      <c r="F234" s="31" t="s">
        <v>100</v>
      </c>
      <c r="G234" s="164"/>
      <c r="H234" s="8"/>
      <c r="I234" s="9"/>
      <c r="J234" s="9"/>
      <c r="K234" s="9"/>
      <c r="L234" s="9"/>
      <c r="M234" s="9"/>
      <c r="N234" s="9"/>
      <c r="O234" s="9"/>
      <c r="P234" s="9"/>
      <c r="Q234" s="9"/>
      <c r="R234" s="10"/>
    </row>
    <row r="235" spans="1:18" ht="15" customHeight="1" x14ac:dyDescent="0.3">
      <c r="A235" s="31" t="s">
        <v>68</v>
      </c>
      <c r="B235" s="31" t="s">
        <v>77</v>
      </c>
      <c r="C235" s="31">
        <v>0.49305555555555558</v>
      </c>
      <c r="D235" s="31" t="s">
        <v>70</v>
      </c>
      <c r="E235" s="31" t="s">
        <v>104</v>
      </c>
      <c r="F235" s="31" t="s">
        <v>79</v>
      </c>
      <c r="G235" s="164"/>
      <c r="H235" s="8"/>
      <c r="I235" s="9"/>
      <c r="J235" s="9"/>
      <c r="K235" s="9"/>
      <c r="L235" s="9"/>
      <c r="M235" s="9"/>
      <c r="N235" s="9"/>
      <c r="O235" s="9"/>
      <c r="P235" s="9"/>
      <c r="Q235" s="9"/>
      <c r="R235" s="10"/>
    </row>
    <row r="236" spans="1:18" ht="15" customHeight="1" x14ac:dyDescent="0.3">
      <c r="A236" s="12" t="s">
        <v>80</v>
      </c>
      <c r="B236" s="12" t="s">
        <v>81</v>
      </c>
      <c r="C236" s="12">
        <v>0.60416666666666663</v>
      </c>
      <c r="D236" s="12" t="s">
        <v>82</v>
      </c>
      <c r="E236" s="12" t="s">
        <v>49</v>
      </c>
      <c r="F236" s="12" t="s">
        <v>101</v>
      </c>
      <c r="G236" s="164"/>
      <c r="H236" s="8"/>
      <c r="I236" s="9"/>
      <c r="J236" s="9"/>
      <c r="K236" s="9"/>
      <c r="L236" s="9"/>
      <c r="M236" s="9"/>
      <c r="N236" s="9"/>
      <c r="O236" s="9"/>
      <c r="P236" s="9"/>
      <c r="Q236" s="9"/>
      <c r="R236" s="10"/>
    </row>
    <row r="237" spans="1:18" ht="15" customHeight="1" x14ac:dyDescent="0.3">
      <c r="A237" s="11" t="s">
        <v>80</v>
      </c>
      <c r="B237" s="11" t="s">
        <v>81</v>
      </c>
      <c r="C237" s="11">
        <v>0.60416666666666663</v>
      </c>
      <c r="D237" s="11" t="s">
        <v>85</v>
      </c>
      <c r="E237" s="11" t="s">
        <v>96</v>
      </c>
      <c r="F237" s="11" t="s">
        <v>102</v>
      </c>
      <c r="G237" s="164"/>
      <c r="H237" s="8"/>
      <c r="I237" s="9"/>
      <c r="J237" s="9"/>
      <c r="K237" s="9"/>
      <c r="L237" s="9"/>
      <c r="M237" s="9"/>
      <c r="N237" s="9"/>
      <c r="O237" s="9"/>
      <c r="P237" s="9"/>
      <c r="Q237" s="9"/>
      <c r="R237" s="10"/>
    </row>
    <row r="238" spans="1:18" ht="15" customHeight="1" x14ac:dyDescent="0.3">
      <c r="A238" s="31" t="s">
        <v>80</v>
      </c>
      <c r="B238" s="31" t="s">
        <v>95</v>
      </c>
      <c r="C238" s="31">
        <v>8.6805555555555566E-2</v>
      </c>
      <c r="D238" s="31" t="s">
        <v>82</v>
      </c>
      <c r="E238" s="31" t="s">
        <v>73</v>
      </c>
      <c r="F238" s="31" t="s">
        <v>101</v>
      </c>
      <c r="G238" s="164"/>
      <c r="H238" s="8"/>
      <c r="I238" s="9"/>
      <c r="J238" s="9"/>
      <c r="K238" s="9"/>
      <c r="L238" s="9"/>
      <c r="M238" s="9"/>
      <c r="N238" s="9"/>
      <c r="O238" s="9"/>
      <c r="P238" s="9"/>
      <c r="Q238" s="9"/>
      <c r="R238" s="10"/>
    </row>
    <row r="239" spans="1:18" ht="15" customHeight="1" x14ac:dyDescent="0.3">
      <c r="A239" s="11" t="s">
        <v>80</v>
      </c>
      <c r="B239" s="11" t="s">
        <v>95</v>
      </c>
      <c r="C239" s="11">
        <v>8.6805555555555566E-2</v>
      </c>
      <c r="D239" s="11" t="s">
        <v>85</v>
      </c>
      <c r="E239" s="11" t="s">
        <v>96</v>
      </c>
      <c r="F239" s="11" t="s">
        <v>102</v>
      </c>
      <c r="G239" s="164"/>
      <c r="H239" s="8"/>
      <c r="I239" s="9"/>
      <c r="J239" s="9"/>
      <c r="K239" s="9"/>
      <c r="L239" s="9"/>
      <c r="M239" s="9"/>
      <c r="N239" s="9"/>
      <c r="O239" s="9"/>
      <c r="P239" s="9"/>
      <c r="Q239" s="9"/>
      <c r="R239" s="10"/>
    </row>
    <row r="240" spans="1:18" ht="15" customHeight="1" x14ac:dyDescent="0.3">
      <c r="A240" s="31" t="s">
        <v>80</v>
      </c>
      <c r="B240" s="31" t="s">
        <v>91</v>
      </c>
      <c r="C240" s="31">
        <v>0.79513888888888884</v>
      </c>
      <c r="D240" s="31" t="s">
        <v>82</v>
      </c>
      <c r="E240" s="31" t="s">
        <v>73</v>
      </c>
      <c r="F240" s="31" t="s">
        <v>101</v>
      </c>
      <c r="G240" s="164"/>
      <c r="H240" s="8"/>
      <c r="I240" s="9"/>
      <c r="J240" s="9"/>
      <c r="K240" s="9"/>
      <c r="L240" s="9"/>
      <c r="M240" s="9"/>
      <c r="N240" s="9"/>
      <c r="O240" s="9"/>
      <c r="P240" s="9"/>
      <c r="Q240" s="9"/>
      <c r="R240" s="10"/>
    </row>
    <row r="241" spans="1:18" ht="15" customHeight="1" x14ac:dyDescent="0.3">
      <c r="A241" s="11" t="s">
        <v>80</v>
      </c>
      <c r="B241" s="11" t="s">
        <v>91</v>
      </c>
      <c r="C241" s="11">
        <v>0.79513888888888884</v>
      </c>
      <c r="D241" s="11" t="s">
        <v>85</v>
      </c>
      <c r="E241" s="11" t="s">
        <v>96</v>
      </c>
      <c r="F241" s="11" t="s">
        <v>102</v>
      </c>
      <c r="G241" s="164"/>
      <c r="H241" s="8"/>
      <c r="I241" s="9"/>
      <c r="J241" s="9"/>
      <c r="K241" s="9"/>
      <c r="L241" s="9"/>
      <c r="M241" s="9"/>
      <c r="N241" s="9"/>
      <c r="O241" s="9"/>
      <c r="P241" s="9"/>
      <c r="Q241" s="9"/>
      <c r="R241" s="10"/>
    </row>
    <row r="242" spans="1:18" ht="15" customHeight="1" x14ac:dyDescent="0.3">
      <c r="A242" s="36" t="s">
        <v>80</v>
      </c>
      <c r="B242" s="36" t="s">
        <v>88</v>
      </c>
      <c r="C242" s="36">
        <v>0.4201388888888889</v>
      </c>
      <c r="D242" s="36" t="s">
        <v>85</v>
      </c>
      <c r="E242" s="36" t="s">
        <v>89</v>
      </c>
      <c r="F242" s="36" t="s">
        <v>90</v>
      </c>
      <c r="G242" s="164"/>
      <c r="H242" s="33"/>
      <c r="I242" s="34"/>
      <c r="J242" s="34"/>
      <c r="K242" s="34"/>
      <c r="L242" s="34"/>
      <c r="M242" s="34"/>
      <c r="N242" s="34"/>
      <c r="O242" s="34"/>
      <c r="P242" s="34"/>
      <c r="Q242" s="34"/>
      <c r="R242" s="35"/>
    </row>
    <row r="243" spans="1:18" ht="17.399999999999999" customHeight="1" x14ac:dyDescent="0.3">
      <c r="A243" s="190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2"/>
    </row>
    <row r="244" spans="1:18" ht="22.05" customHeight="1" x14ac:dyDescent="0.3">
      <c r="A244" s="161" t="s">
        <v>6</v>
      </c>
      <c r="B244" s="162"/>
      <c r="C244" s="162"/>
      <c r="D244" s="162"/>
      <c r="E244" s="162"/>
      <c r="F244" s="163"/>
      <c r="G244" s="3">
        <v>46001</v>
      </c>
      <c r="H244" s="161" t="s">
        <v>7</v>
      </c>
      <c r="I244" s="162"/>
      <c r="J244" s="162"/>
      <c r="K244" s="162"/>
      <c r="L244" s="162"/>
      <c r="M244" s="162"/>
      <c r="N244" s="162"/>
      <c r="O244" s="162"/>
      <c r="P244" s="162"/>
      <c r="Q244" s="162"/>
      <c r="R244" s="163"/>
    </row>
    <row r="245" spans="1:18" ht="24" customHeight="1" x14ac:dyDescent="0.3">
      <c r="A245" s="4" t="s">
        <v>8</v>
      </c>
      <c r="B245" s="4" t="s">
        <v>9</v>
      </c>
      <c r="C245" s="4" t="s">
        <v>10</v>
      </c>
      <c r="D245" s="4" t="s">
        <v>11</v>
      </c>
      <c r="E245" s="4" t="s">
        <v>12</v>
      </c>
      <c r="F245" s="5" t="s">
        <v>13</v>
      </c>
      <c r="G245" s="6" t="s">
        <v>14</v>
      </c>
      <c r="H245" s="4" t="s">
        <v>15</v>
      </c>
      <c r="I245" s="4" t="s">
        <v>16</v>
      </c>
      <c r="J245" s="4" t="s">
        <v>17</v>
      </c>
      <c r="K245" s="4" t="s">
        <v>18</v>
      </c>
      <c r="L245" s="4" t="s">
        <v>19</v>
      </c>
      <c r="M245" s="4" t="s">
        <v>20</v>
      </c>
      <c r="N245" s="4" t="s">
        <v>21</v>
      </c>
      <c r="O245" s="4" t="s">
        <v>22</v>
      </c>
      <c r="P245" s="4" t="s">
        <v>23</v>
      </c>
      <c r="Q245" s="4" t="s">
        <v>24</v>
      </c>
      <c r="R245" s="4" t="s">
        <v>25</v>
      </c>
    </row>
    <row r="246" spans="1:18" ht="15" customHeight="1" x14ac:dyDescent="0.3">
      <c r="A246" s="7" t="s">
        <v>80</v>
      </c>
      <c r="B246" s="7" t="s">
        <v>95</v>
      </c>
      <c r="C246" s="7">
        <v>8.6805555555555566E-2</v>
      </c>
      <c r="D246" s="7" t="s">
        <v>82</v>
      </c>
      <c r="E246" s="7" t="s">
        <v>49</v>
      </c>
      <c r="F246" s="7" t="s">
        <v>84</v>
      </c>
      <c r="G246" s="164"/>
      <c r="H246" s="8"/>
      <c r="I246" s="9"/>
      <c r="J246" s="9"/>
      <c r="K246" s="9"/>
      <c r="L246" s="9"/>
      <c r="M246" s="9"/>
      <c r="N246" s="9"/>
      <c r="O246" s="9"/>
      <c r="P246" s="9"/>
      <c r="Q246" s="9"/>
      <c r="R246" s="10"/>
    </row>
    <row r="247" spans="1:18" ht="15" customHeight="1" x14ac:dyDescent="0.3">
      <c r="A247" s="11" t="s">
        <v>80</v>
      </c>
      <c r="B247" s="11" t="s">
        <v>95</v>
      </c>
      <c r="C247" s="11">
        <v>8.6805555555555566E-2</v>
      </c>
      <c r="D247" s="11" t="s">
        <v>85</v>
      </c>
      <c r="E247" s="11" t="s">
        <v>96</v>
      </c>
      <c r="F247" s="11" t="s">
        <v>87</v>
      </c>
      <c r="G247" s="164"/>
      <c r="H247" s="8"/>
      <c r="I247" s="9"/>
      <c r="J247" s="9"/>
      <c r="K247" s="9"/>
      <c r="L247" s="9"/>
      <c r="M247" s="9"/>
      <c r="N247" s="9"/>
      <c r="O247" s="9"/>
      <c r="P247" s="9"/>
      <c r="Q247" s="9"/>
      <c r="R247" s="10"/>
    </row>
    <row r="248" spans="1:18" ht="15" customHeight="1" x14ac:dyDescent="0.3">
      <c r="A248" s="31" t="s">
        <v>80</v>
      </c>
      <c r="B248" s="31" t="s">
        <v>81</v>
      </c>
      <c r="C248" s="31">
        <v>0.60416666666666663</v>
      </c>
      <c r="D248" s="31" t="s">
        <v>82</v>
      </c>
      <c r="E248" s="31" t="s">
        <v>89</v>
      </c>
      <c r="F248" s="31" t="s">
        <v>93</v>
      </c>
      <c r="G248" s="164"/>
      <c r="H248" s="8"/>
      <c r="I248" s="9"/>
      <c r="J248" s="9"/>
      <c r="K248" s="9"/>
      <c r="L248" s="9"/>
      <c r="M248" s="9"/>
      <c r="N248" s="9"/>
      <c r="O248" s="9"/>
      <c r="P248" s="9"/>
      <c r="Q248" s="9"/>
      <c r="R248" s="10"/>
    </row>
    <row r="249" spans="1:18" ht="15" customHeight="1" x14ac:dyDescent="0.3">
      <c r="A249" s="11" t="s">
        <v>80</v>
      </c>
      <c r="B249" s="11" t="s">
        <v>81</v>
      </c>
      <c r="C249" s="11">
        <v>0.60416666666666663</v>
      </c>
      <c r="D249" s="11" t="s">
        <v>85</v>
      </c>
      <c r="E249" s="11" t="s">
        <v>42</v>
      </c>
      <c r="F249" s="11" t="s">
        <v>94</v>
      </c>
      <c r="G249" s="164"/>
      <c r="H249" s="8"/>
      <c r="I249" s="9"/>
      <c r="J249" s="9"/>
      <c r="K249" s="9"/>
      <c r="L249" s="9"/>
      <c r="M249" s="9"/>
      <c r="N249" s="9"/>
      <c r="O249" s="9"/>
      <c r="P249" s="9"/>
      <c r="Q249" s="9"/>
      <c r="R249" s="10"/>
    </row>
    <row r="250" spans="1:18" ht="15" customHeight="1" x14ac:dyDescent="0.3">
      <c r="A250" s="31" t="s">
        <v>80</v>
      </c>
      <c r="B250" s="31" t="s">
        <v>91</v>
      </c>
      <c r="C250" s="31">
        <v>0.79513888888888884</v>
      </c>
      <c r="D250" s="31" t="s">
        <v>82</v>
      </c>
      <c r="E250" s="31" t="s">
        <v>98</v>
      </c>
      <c r="F250" s="31" t="s">
        <v>93</v>
      </c>
      <c r="G250" s="164"/>
      <c r="H250" s="8"/>
      <c r="I250" s="9"/>
      <c r="J250" s="9"/>
      <c r="K250" s="9"/>
      <c r="L250" s="9"/>
      <c r="M250" s="9"/>
      <c r="N250" s="9"/>
      <c r="O250" s="9"/>
      <c r="P250" s="9"/>
      <c r="Q250" s="9"/>
      <c r="R250" s="10"/>
    </row>
    <row r="251" spans="1:18" ht="15" customHeight="1" x14ac:dyDescent="0.3">
      <c r="A251" s="11" t="s">
        <v>80</v>
      </c>
      <c r="B251" s="11" t="s">
        <v>91</v>
      </c>
      <c r="C251" s="11">
        <v>0.79513888888888884</v>
      </c>
      <c r="D251" s="11" t="s">
        <v>85</v>
      </c>
      <c r="E251" s="11" t="s">
        <v>122</v>
      </c>
      <c r="F251" s="11" t="s">
        <v>94</v>
      </c>
      <c r="G251" s="164"/>
      <c r="H251" s="8"/>
      <c r="I251" s="9"/>
      <c r="J251" s="9"/>
      <c r="K251" s="9"/>
      <c r="L251" s="9"/>
      <c r="M251" s="9"/>
      <c r="N251" s="9"/>
      <c r="O251" s="9"/>
      <c r="P251" s="9"/>
      <c r="Q251" s="9"/>
      <c r="R251" s="10"/>
    </row>
    <row r="252" spans="1:18" ht="15" customHeight="1" x14ac:dyDescent="0.3">
      <c r="A252" s="31" t="s">
        <v>80</v>
      </c>
      <c r="B252" s="31" t="s">
        <v>88</v>
      </c>
      <c r="C252" s="31">
        <v>0.4201388888888889</v>
      </c>
      <c r="D252" s="31" t="s">
        <v>85</v>
      </c>
      <c r="E252" s="31" t="s">
        <v>89</v>
      </c>
      <c r="F252" s="31" t="s">
        <v>106</v>
      </c>
      <c r="G252" s="164"/>
      <c r="H252" s="8"/>
      <c r="I252" s="9"/>
      <c r="J252" s="9"/>
      <c r="K252" s="9"/>
      <c r="L252" s="9"/>
      <c r="M252" s="9"/>
      <c r="N252" s="9"/>
      <c r="O252" s="9"/>
      <c r="P252" s="9"/>
      <c r="Q252" s="9"/>
      <c r="R252" s="10"/>
    </row>
    <row r="253" spans="1:18" ht="15" customHeight="1" x14ac:dyDescent="0.3">
      <c r="A253" s="12" t="s">
        <v>68</v>
      </c>
      <c r="B253" s="12" t="s">
        <v>72</v>
      </c>
      <c r="C253" s="12">
        <v>0.22222222222222221</v>
      </c>
      <c r="D253" s="12" t="s">
        <v>70</v>
      </c>
      <c r="E253" s="12" t="s">
        <v>49</v>
      </c>
      <c r="F253" s="12" t="s">
        <v>149</v>
      </c>
      <c r="G253" s="164"/>
      <c r="H253" s="8"/>
      <c r="I253" s="9"/>
      <c r="J253" s="9"/>
      <c r="K253" s="9"/>
      <c r="L253" s="9"/>
      <c r="M253" s="9"/>
      <c r="N253" s="9"/>
      <c r="O253" s="9"/>
      <c r="P253" s="9"/>
      <c r="Q253" s="9"/>
      <c r="R253" s="10"/>
    </row>
    <row r="254" spans="1:18" ht="15" customHeight="1" x14ac:dyDescent="0.3">
      <c r="A254" s="31" t="s">
        <v>68</v>
      </c>
      <c r="B254" s="31" t="s">
        <v>78</v>
      </c>
      <c r="C254" s="31">
        <v>0.85416666666666663</v>
      </c>
      <c r="D254" s="31" t="s">
        <v>70</v>
      </c>
      <c r="E254" s="31" t="s">
        <v>89</v>
      </c>
      <c r="F254" s="31" t="s">
        <v>79</v>
      </c>
      <c r="G254" s="164"/>
      <c r="H254" s="8"/>
      <c r="I254" s="9"/>
      <c r="J254" s="9"/>
      <c r="K254" s="9"/>
      <c r="L254" s="9"/>
      <c r="M254" s="9"/>
      <c r="N254" s="9"/>
      <c r="O254" s="9"/>
      <c r="P254" s="9"/>
      <c r="Q254" s="9"/>
      <c r="R254" s="10"/>
    </row>
    <row r="255" spans="1:18" ht="15" customHeight="1" x14ac:dyDescent="0.3">
      <c r="A255" s="36" t="s">
        <v>68</v>
      </c>
      <c r="B255" s="36" t="s">
        <v>77</v>
      </c>
      <c r="C255" s="36">
        <v>0.49305555555555558</v>
      </c>
      <c r="D255" s="36" t="s">
        <v>70</v>
      </c>
      <c r="E255" s="36" t="s">
        <v>142</v>
      </c>
      <c r="F255" s="36" t="s">
        <v>79</v>
      </c>
      <c r="G255" s="164"/>
      <c r="H255" s="33"/>
      <c r="I255" s="34"/>
      <c r="J255" s="34"/>
      <c r="K255" s="34"/>
      <c r="L255" s="34"/>
      <c r="M255" s="34"/>
      <c r="N255" s="34"/>
      <c r="O255" s="34"/>
      <c r="P255" s="34"/>
      <c r="Q255" s="34"/>
      <c r="R255" s="35"/>
    </row>
  </sheetData>
  <mergeCells count="70">
    <mergeCell ref="G230:G242"/>
    <mergeCell ref="H28:R28"/>
    <mergeCell ref="A40:R40"/>
    <mergeCell ref="A166:F166"/>
    <mergeCell ref="G168:G180"/>
    <mergeCell ref="A182:F182"/>
    <mergeCell ref="A107:F107"/>
    <mergeCell ref="G30:G39"/>
    <mergeCell ref="G43:G55"/>
    <mergeCell ref="A70:F70"/>
    <mergeCell ref="H213:R213"/>
    <mergeCell ref="H151:R151"/>
    <mergeCell ref="G72:G88"/>
    <mergeCell ref="A228:F228"/>
    <mergeCell ref="H107:R107"/>
    <mergeCell ref="A196:F196"/>
    <mergeCell ref="N1:R1"/>
    <mergeCell ref="H70:R70"/>
    <mergeCell ref="A28:F28"/>
    <mergeCell ref="A165:R165"/>
    <mergeCell ref="H182:R182"/>
    <mergeCell ref="K2:R2"/>
    <mergeCell ref="H90:R90"/>
    <mergeCell ref="A117:R117"/>
    <mergeCell ref="G6:G26"/>
    <mergeCell ref="H57:R57"/>
    <mergeCell ref="G120:G135"/>
    <mergeCell ref="A2:F2"/>
    <mergeCell ref="A3:R3"/>
    <mergeCell ref="H118:R118"/>
    <mergeCell ref="G246:G255"/>
    <mergeCell ref="A213:F213"/>
    <mergeCell ref="A195:R195"/>
    <mergeCell ref="A151:F151"/>
    <mergeCell ref="G198:G211"/>
    <mergeCell ref="G139:G149"/>
    <mergeCell ref="G2:J2"/>
    <mergeCell ref="A181:R181"/>
    <mergeCell ref="A4:F4"/>
    <mergeCell ref="A150:R150"/>
    <mergeCell ref="A244:F244"/>
    <mergeCell ref="A106:R106"/>
    <mergeCell ref="H228:R228"/>
    <mergeCell ref="G215:G226"/>
    <mergeCell ref="A227:R227"/>
    <mergeCell ref="A243:R243"/>
    <mergeCell ref="H244:R244"/>
    <mergeCell ref="H1:L1"/>
    <mergeCell ref="A1:E1"/>
    <mergeCell ref="H196:R196"/>
    <mergeCell ref="H41:R41"/>
    <mergeCell ref="A27:R27"/>
    <mergeCell ref="A89:R89"/>
    <mergeCell ref="A136:R136"/>
    <mergeCell ref="H4:R4"/>
    <mergeCell ref="H137:R137"/>
    <mergeCell ref="A56:R56"/>
    <mergeCell ref="A57:F57"/>
    <mergeCell ref="G153:G164"/>
    <mergeCell ref="H166:R166"/>
    <mergeCell ref="G184:G194"/>
    <mergeCell ref="G109:G116"/>
    <mergeCell ref="A212:R212"/>
    <mergeCell ref="A118:F118"/>
    <mergeCell ref="A41:F41"/>
    <mergeCell ref="G59:G68"/>
    <mergeCell ref="G92:G105"/>
    <mergeCell ref="A69:R69"/>
    <mergeCell ref="A137:F137"/>
    <mergeCell ref="A90: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7"/>
  <sheetViews>
    <sheetView workbookViewId="0"/>
  </sheetViews>
  <sheetFormatPr defaultRowHeight="15.6" outlineLevelCol="1" x14ac:dyDescent="0.3"/>
  <cols>
    <col min="1" max="1" width="9.88671875" style="177" bestFit="1" customWidth="1"/>
    <col min="2" max="2" width="10.44140625" style="177" bestFit="1" customWidth="1"/>
    <col min="3" max="3" width="6.77734375" style="177" bestFit="1" customWidth="1"/>
    <col min="4" max="4" width="5.5546875" style="177" bestFit="1" customWidth="1"/>
    <col min="5" max="5" width="8.5546875" style="177" bestFit="1" customWidth="1"/>
    <col min="6" max="6" width="4.21875" style="177" bestFit="1" customWidth="1"/>
    <col min="7" max="7" width="10" style="177" bestFit="1" customWidth="1"/>
    <col min="8" max="10" width="8.5546875" style="177" bestFit="1" customWidth="1"/>
    <col min="11" max="11" width="10.5546875" style="177" bestFit="1" customWidth="1"/>
    <col min="12" max="12" width="18.109375" style="177" bestFit="1" customWidth="1"/>
    <col min="13" max="13" width="7.6640625" style="177" bestFit="1" customWidth="1" outlineLevel="1"/>
    <col min="14" max="14" width="6.33203125" style="177" bestFit="1" customWidth="1" outlineLevel="1"/>
    <col min="15" max="15" width="8" style="177" bestFit="1" customWidth="1" outlineLevel="1"/>
    <col min="16" max="16" width="13.6640625" style="177" bestFit="1" customWidth="1"/>
    <col min="17" max="23" width="3.88671875" style="177" bestFit="1" customWidth="1"/>
    <col min="24" max="24" width="4.109375" style="177" bestFit="1" customWidth="1"/>
    <col min="25" max="25" width="4.44140625" style="177" bestFit="1" customWidth="1"/>
    <col min="26" max="26" width="4.109375" style="177" bestFit="1" customWidth="1"/>
    <col min="27" max="27" width="5" style="177" bestFit="1" customWidth="1"/>
    <col min="28" max="29" width="4.21875" style="177" bestFit="1" customWidth="1"/>
    <col min="30" max="31" width="4.5546875" style="177" bestFit="1" customWidth="1"/>
    <col min="32" max="32" width="3.88671875" style="177" bestFit="1" customWidth="1"/>
    <col min="33" max="33" width="4.21875" style="177" bestFit="1" customWidth="1"/>
    <col min="34" max="34" width="3.88671875" style="177" bestFit="1" customWidth="1"/>
    <col min="35" max="35" width="5.21875" style="177" bestFit="1" customWidth="1"/>
    <col min="36" max="36" width="3.88671875" style="177" bestFit="1" customWidth="1"/>
    <col min="37" max="16384" width="8.88671875" style="177"/>
  </cols>
  <sheetData>
    <row r="1" spans="1:36" x14ac:dyDescent="0.3">
      <c r="A1" s="176" t="s">
        <v>169</v>
      </c>
      <c r="B1" s="176" t="s">
        <v>170</v>
      </c>
      <c r="C1" s="176" t="s">
        <v>171</v>
      </c>
      <c r="D1" s="176" t="s">
        <v>23</v>
      </c>
      <c r="E1" s="176" t="s">
        <v>172</v>
      </c>
      <c r="F1" s="176" t="s">
        <v>173</v>
      </c>
      <c r="G1" s="176" t="s">
        <v>16</v>
      </c>
      <c r="H1" s="176" t="s">
        <v>174</v>
      </c>
      <c r="I1" s="176" t="s">
        <v>175</v>
      </c>
      <c r="J1" s="176" t="s">
        <v>176</v>
      </c>
      <c r="K1" s="176" t="s">
        <v>177</v>
      </c>
      <c r="L1" s="176" t="s">
        <v>18</v>
      </c>
      <c r="M1" s="176" t="s">
        <v>20</v>
      </c>
      <c r="N1" s="176" t="s">
        <v>21</v>
      </c>
      <c r="O1" s="176" t="s">
        <v>19</v>
      </c>
      <c r="P1" s="176" t="s">
        <v>22</v>
      </c>
      <c r="Q1" s="176" t="s">
        <v>178</v>
      </c>
      <c r="R1" s="176" t="s">
        <v>179</v>
      </c>
      <c r="S1" s="176" t="s">
        <v>180</v>
      </c>
      <c r="T1" s="176" t="s">
        <v>181</v>
      </c>
      <c r="U1" s="176" t="s">
        <v>182</v>
      </c>
      <c r="V1" s="176" t="s">
        <v>183</v>
      </c>
      <c r="W1" s="176" t="s">
        <v>184</v>
      </c>
      <c r="X1" s="176" t="s">
        <v>185</v>
      </c>
      <c r="Y1" s="176" t="s">
        <v>186</v>
      </c>
      <c r="Z1" s="176" t="s">
        <v>187</v>
      </c>
      <c r="AA1" s="176" t="s">
        <v>188</v>
      </c>
      <c r="AB1" s="176" t="s">
        <v>189</v>
      </c>
      <c r="AC1" s="176" t="s">
        <v>190</v>
      </c>
      <c r="AD1" s="176" t="s">
        <v>191</v>
      </c>
      <c r="AE1" s="176" t="s">
        <v>192</v>
      </c>
      <c r="AF1" s="176" t="s">
        <v>193</v>
      </c>
      <c r="AG1" s="176" t="s">
        <v>194</v>
      </c>
      <c r="AH1" s="176" t="s">
        <v>195</v>
      </c>
      <c r="AI1" s="176" t="s">
        <v>196</v>
      </c>
      <c r="AJ1" s="176" t="s">
        <v>197</v>
      </c>
    </row>
    <row r="2" spans="1:36" x14ac:dyDescent="0.3">
      <c r="A2" s="178" t="s">
        <v>198</v>
      </c>
      <c r="B2" s="179">
        <v>45986</v>
      </c>
      <c r="C2" s="180" t="s">
        <v>58</v>
      </c>
      <c r="D2" s="181" t="s">
        <v>199</v>
      </c>
      <c r="E2" s="180" t="s">
        <v>1</v>
      </c>
      <c r="F2" s="180" t="s">
        <v>200</v>
      </c>
      <c r="G2" s="182">
        <v>0.91059999999999997</v>
      </c>
      <c r="H2" s="183">
        <v>179</v>
      </c>
      <c r="I2" s="183">
        <v>163</v>
      </c>
      <c r="J2" s="183">
        <v>158</v>
      </c>
      <c r="K2" s="180" t="s">
        <v>201</v>
      </c>
      <c r="L2" s="184" t="s">
        <v>59</v>
      </c>
      <c r="M2" s="183">
        <v>0</v>
      </c>
      <c r="N2" s="183">
        <v>0</v>
      </c>
      <c r="O2" s="183">
        <v>0</v>
      </c>
      <c r="P2" s="180" t="s">
        <v>60</v>
      </c>
      <c r="Q2" s="176"/>
      <c r="R2" s="176"/>
      <c r="S2" s="176"/>
      <c r="T2" s="176"/>
      <c r="U2" s="176"/>
      <c r="V2" s="176"/>
      <c r="W2" s="176"/>
      <c r="X2" s="183" t="s">
        <v>202</v>
      </c>
      <c r="Y2" s="176"/>
      <c r="Z2" s="176"/>
      <c r="AA2" s="176"/>
      <c r="AB2" s="176"/>
      <c r="AC2" s="176"/>
      <c r="AD2" s="176"/>
      <c r="AE2" s="176"/>
      <c r="AF2" s="183" t="s">
        <v>203</v>
      </c>
      <c r="AG2" s="183" t="s">
        <v>204</v>
      </c>
      <c r="AH2" s="176"/>
      <c r="AI2" s="183" t="s">
        <v>205</v>
      </c>
      <c r="AJ2" s="176"/>
    </row>
    <row r="3" spans="1:36" x14ac:dyDescent="0.3">
      <c r="A3" s="178" t="s">
        <v>198</v>
      </c>
      <c r="B3" s="179">
        <v>45986</v>
      </c>
      <c r="C3" s="180" t="s">
        <v>51</v>
      </c>
      <c r="D3" s="181" t="s">
        <v>206</v>
      </c>
      <c r="E3" s="180" t="s">
        <v>1</v>
      </c>
      <c r="F3" s="180" t="s">
        <v>200</v>
      </c>
      <c r="G3" s="182">
        <v>0.52980000000000005</v>
      </c>
      <c r="H3" s="183">
        <v>168</v>
      </c>
      <c r="I3" s="183">
        <v>89</v>
      </c>
      <c r="J3" s="183">
        <v>0</v>
      </c>
      <c r="K3" s="180" t="s">
        <v>201</v>
      </c>
      <c r="L3" s="184" t="s">
        <v>52</v>
      </c>
      <c r="M3" s="183">
        <v>0</v>
      </c>
      <c r="N3" s="183">
        <v>4</v>
      </c>
      <c r="O3" s="183">
        <v>20</v>
      </c>
      <c r="P3" s="180" t="s">
        <v>53</v>
      </c>
      <c r="Q3" s="176"/>
      <c r="R3" s="176"/>
      <c r="S3" s="176"/>
      <c r="T3" s="176"/>
      <c r="U3" s="176"/>
      <c r="V3" s="176"/>
      <c r="W3" s="176"/>
      <c r="X3" s="183" t="s">
        <v>207</v>
      </c>
      <c r="Y3" s="183" t="s">
        <v>208</v>
      </c>
      <c r="Z3" s="183" t="s">
        <v>209</v>
      </c>
      <c r="AA3" s="183" t="s">
        <v>210</v>
      </c>
      <c r="AB3" s="183" t="s">
        <v>211</v>
      </c>
      <c r="AC3" s="183" t="s">
        <v>212</v>
      </c>
      <c r="AD3" s="183" t="s">
        <v>213</v>
      </c>
      <c r="AE3" s="183" t="s">
        <v>214</v>
      </c>
      <c r="AF3" s="183" t="s">
        <v>215</v>
      </c>
      <c r="AG3" s="176"/>
      <c r="AH3" s="176"/>
      <c r="AI3" s="176"/>
      <c r="AJ3" s="176"/>
    </row>
    <row r="4" spans="1:36" x14ac:dyDescent="0.3">
      <c r="A4" s="178" t="s">
        <v>198</v>
      </c>
      <c r="B4" s="179">
        <v>45986</v>
      </c>
      <c r="C4" s="180" t="s">
        <v>62</v>
      </c>
      <c r="D4" s="181" t="s">
        <v>216</v>
      </c>
      <c r="E4" s="180" t="s">
        <v>1</v>
      </c>
      <c r="F4" s="180" t="s">
        <v>200</v>
      </c>
      <c r="G4" s="182">
        <v>1</v>
      </c>
      <c r="H4" s="183">
        <v>179</v>
      </c>
      <c r="I4" s="183">
        <v>179</v>
      </c>
      <c r="J4" s="183">
        <v>123</v>
      </c>
      <c r="K4" s="180" t="s">
        <v>201</v>
      </c>
      <c r="L4" s="184" t="s">
        <v>65</v>
      </c>
      <c r="M4" s="183">
        <v>0</v>
      </c>
      <c r="N4" s="183">
        <v>0</v>
      </c>
      <c r="O4" s="183">
        <v>6</v>
      </c>
      <c r="P4" s="180" t="s">
        <v>66</v>
      </c>
      <c r="Q4" s="176"/>
      <c r="R4" s="176"/>
      <c r="S4" s="176"/>
      <c r="T4" s="176"/>
      <c r="U4" s="183" t="s">
        <v>217</v>
      </c>
      <c r="V4" s="183" t="s">
        <v>218</v>
      </c>
      <c r="W4" s="183" t="s">
        <v>219</v>
      </c>
      <c r="X4" s="176"/>
      <c r="Y4" s="176"/>
      <c r="Z4" s="183" t="s">
        <v>220</v>
      </c>
      <c r="AA4" s="176"/>
      <c r="AB4" s="176"/>
      <c r="AC4" s="183" t="s">
        <v>221</v>
      </c>
      <c r="AD4" s="183" t="s">
        <v>222</v>
      </c>
      <c r="AE4" s="183" t="s">
        <v>223</v>
      </c>
      <c r="AF4" s="183" t="s">
        <v>224</v>
      </c>
      <c r="AG4" s="176"/>
      <c r="AH4" s="176"/>
      <c r="AI4" s="183" t="s">
        <v>225</v>
      </c>
      <c r="AJ4" s="176"/>
    </row>
    <row r="5" spans="1:36" x14ac:dyDescent="0.3">
      <c r="A5" s="178" t="s">
        <v>226</v>
      </c>
      <c r="B5" s="179">
        <v>45988</v>
      </c>
      <c r="C5" s="180" t="s">
        <v>62</v>
      </c>
      <c r="D5" s="181" t="s">
        <v>227</v>
      </c>
      <c r="E5" s="180" t="s">
        <v>1</v>
      </c>
      <c r="F5" s="180" t="s">
        <v>200</v>
      </c>
      <c r="G5" s="182">
        <v>0.98280000000000001</v>
      </c>
      <c r="H5" s="183">
        <v>174</v>
      </c>
      <c r="I5" s="183">
        <v>171</v>
      </c>
      <c r="J5" s="183">
        <v>128</v>
      </c>
      <c r="K5" s="180" t="s">
        <v>201</v>
      </c>
      <c r="L5" s="184" t="s">
        <v>52</v>
      </c>
      <c r="M5" s="183">
        <v>0</v>
      </c>
      <c r="N5" s="183">
        <v>1</v>
      </c>
      <c r="O5" s="183">
        <v>7</v>
      </c>
      <c r="P5" s="180" t="s">
        <v>109</v>
      </c>
      <c r="Q5" s="176"/>
      <c r="R5" s="176"/>
      <c r="S5" s="176"/>
      <c r="T5" s="176"/>
      <c r="U5" s="176"/>
      <c r="V5" s="176"/>
      <c r="W5" s="183" t="s">
        <v>228</v>
      </c>
      <c r="X5" s="183" t="s">
        <v>229</v>
      </c>
      <c r="Y5" s="176"/>
      <c r="Z5" s="183" t="s">
        <v>230</v>
      </c>
      <c r="AA5" s="176"/>
      <c r="AB5" s="176"/>
      <c r="AC5" s="176"/>
      <c r="AD5" s="183" t="s">
        <v>231</v>
      </c>
      <c r="AE5" s="183" t="s">
        <v>223</v>
      </c>
      <c r="AF5" s="183" t="s">
        <v>224</v>
      </c>
      <c r="AG5" s="176"/>
      <c r="AH5" s="176"/>
      <c r="AI5" s="183" t="s">
        <v>232</v>
      </c>
      <c r="AJ5" s="183" t="s">
        <v>233</v>
      </c>
    </row>
    <row r="6" spans="1:36" x14ac:dyDescent="0.3">
      <c r="A6" s="178" t="s">
        <v>234</v>
      </c>
      <c r="B6" s="179">
        <v>45990</v>
      </c>
      <c r="C6" s="180" t="s">
        <v>62</v>
      </c>
      <c r="D6" s="181" t="s">
        <v>235</v>
      </c>
      <c r="E6" s="180" t="s">
        <v>1</v>
      </c>
      <c r="F6" s="180" t="s">
        <v>200</v>
      </c>
      <c r="G6" s="182">
        <v>1.0298</v>
      </c>
      <c r="H6" s="183">
        <v>168</v>
      </c>
      <c r="I6" s="183">
        <v>173</v>
      </c>
      <c r="J6" s="183">
        <v>131</v>
      </c>
      <c r="K6" s="180" t="s">
        <v>201</v>
      </c>
      <c r="L6" s="184" t="s">
        <v>125</v>
      </c>
      <c r="M6" s="183">
        <v>0</v>
      </c>
      <c r="N6" s="183">
        <v>0</v>
      </c>
      <c r="O6" s="183">
        <v>0</v>
      </c>
      <c r="P6" s="180" t="s">
        <v>66</v>
      </c>
      <c r="Q6" s="176"/>
      <c r="R6" s="176"/>
      <c r="S6" s="176"/>
      <c r="T6" s="176"/>
      <c r="U6" s="176"/>
      <c r="V6" s="176"/>
      <c r="W6" s="176"/>
      <c r="X6" s="176"/>
      <c r="Y6" s="183" t="s">
        <v>165</v>
      </c>
      <c r="Z6" s="183" t="s">
        <v>236</v>
      </c>
      <c r="AA6" s="176"/>
      <c r="AB6" s="176"/>
      <c r="AC6" s="176"/>
      <c r="AD6" s="176"/>
      <c r="AE6" s="176"/>
      <c r="AF6" s="183" t="s">
        <v>237</v>
      </c>
      <c r="AG6" s="176"/>
      <c r="AH6" s="176"/>
      <c r="AI6" s="183" t="s">
        <v>238</v>
      </c>
      <c r="AJ6" s="183" t="s">
        <v>239</v>
      </c>
    </row>
    <row r="7" spans="1:36" x14ac:dyDescent="0.3">
      <c r="A7" s="178" t="s">
        <v>240</v>
      </c>
      <c r="B7" s="179">
        <v>45991</v>
      </c>
      <c r="C7" s="180" t="s">
        <v>62</v>
      </c>
      <c r="D7" s="181" t="s">
        <v>241</v>
      </c>
      <c r="E7" s="180" t="s">
        <v>1</v>
      </c>
      <c r="F7" s="180" t="s">
        <v>200</v>
      </c>
      <c r="G7" s="182">
        <v>0.96550000000000002</v>
      </c>
      <c r="H7" s="183">
        <v>174</v>
      </c>
      <c r="I7" s="183">
        <v>168</v>
      </c>
      <c r="J7" s="183">
        <v>133</v>
      </c>
      <c r="K7" s="180" t="s">
        <v>201</v>
      </c>
      <c r="L7" s="184" t="s">
        <v>135</v>
      </c>
      <c r="M7" s="183">
        <v>0</v>
      </c>
      <c r="N7" s="183">
        <v>0</v>
      </c>
      <c r="O7" s="183">
        <v>2</v>
      </c>
      <c r="P7" s="180" t="s">
        <v>136</v>
      </c>
      <c r="Q7" s="176"/>
      <c r="R7" s="176"/>
      <c r="S7" s="176"/>
      <c r="T7" s="176"/>
      <c r="U7" s="176"/>
      <c r="V7" s="176"/>
      <c r="W7" s="176"/>
      <c r="X7" s="183" t="s">
        <v>242</v>
      </c>
      <c r="Y7" s="183" t="s">
        <v>243</v>
      </c>
      <c r="Z7" s="183" t="s">
        <v>244</v>
      </c>
      <c r="AA7" s="183" t="s">
        <v>245</v>
      </c>
      <c r="AB7" s="183" t="s">
        <v>246</v>
      </c>
      <c r="AC7" s="183" t="s">
        <v>247</v>
      </c>
      <c r="AD7" s="183" t="s">
        <v>248</v>
      </c>
      <c r="AE7" s="183" t="s">
        <v>249</v>
      </c>
      <c r="AF7" s="183" t="s">
        <v>203</v>
      </c>
      <c r="AG7" s="176"/>
      <c r="AH7" s="176"/>
      <c r="AI7" s="183" t="s">
        <v>238</v>
      </c>
      <c r="AJ7" s="176"/>
    </row>
    <row r="8" spans="1:36" x14ac:dyDescent="0.3">
      <c r="A8" s="178" t="s">
        <v>198</v>
      </c>
      <c r="B8" s="179">
        <v>45993</v>
      </c>
      <c r="C8" s="180" t="s">
        <v>58</v>
      </c>
      <c r="D8" s="181" t="s">
        <v>199</v>
      </c>
      <c r="E8" s="180" t="s">
        <v>1</v>
      </c>
      <c r="F8" s="180" t="s">
        <v>200</v>
      </c>
      <c r="G8" s="182">
        <v>0.96</v>
      </c>
      <c r="H8" s="183">
        <v>175</v>
      </c>
      <c r="I8" s="183">
        <v>168</v>
      </c>
      <c r="J8" s="183">
        <v>120</v>
      </c>
      <c r="K8" s="180" t="s">
        <v>201</v>
      </c>
      <c r="L8" s="184" t="s">
        <v>144</v>
      </c>
      <c r="M8" s="183">
        <v>0</v>
      </c>
      <c r="N8" s="183">
        <v>0</v>
      </c>
      <c r="O8" s="183">
        <v>0</v>
      </c>
      <c r="P8" s="180" t="s">
        <v>145</v>
      </c>
      <c r="Q8" s="176"/>
      <c r="R8" s="176"/>
      <c r="S8" s="176"/>
      <c r="T8" s="176"/>
      <c r="U8" s="176"/>
      <c r="V8" s="176"/>
      <c r="W8" s="176"/>
      <c r="X8" s="176"/>
      <c r="Y8" s="176"/>
      <c r="Z8" s="183" t="s">
        <v>250</v>
      </c>
      <c r="AA8" s="176"/>
      <c r="AB8" s="176"/>
      <c r="AC8" s="183" t="s">
        <v>251</v>
      </c>
      <c r="AD8" s="183" t="s">
        <v>252</v>
      </c>
      <c r="AE8" s="183" t="s">
        <v>253</v>
      </c>
      <c r="AF8" s="183" t="s">
        <v>224</v>
      </c>
      <c r="AG8" s="183" t="s">
        <v>254</v>
      </c>
      <c r="AH8" s="176"/>
      <c r="AI8" s="183" t="s">
        <v>255</v>
      </c>
      <c r="AJ8" s="183" t="s">
        <v>233</v>
      </c>
    </row>
    <row r="9" spans="1:36" x14ac:dyDescent="0.3">
      <c r="A9" s="178" t="s">
        <v>198</v>
      </c>
      <c r="B9" s="179">
        <v>45993</v>
      </c>
      <c r="C9" s="180" t="s">
        <v>51</v>
      </c>
      <c r="D9" s="181" t="s">
        <v>206</v>
      </c>
      <c r="E9" s="180" t="s">
        <v>1</v>
      </c>
      <c r="F9" s="180" t="s">
        <v>200</v>
      </c>
      <c r="G9" s="182">
        <v>0.77980000000000005</v>
      </c>
      <c r="H9" s="183">
        <v>168</v>
      </c>
      <c r="I9" s="183">
        <v>131</v>
      </c>
      <c r="J9" s="183">
        <v>41</v>
      </c>
      <c r="K9" s="180" t="s">
        <v>201</v>
      </c>
      <c r="L9" s="184" t="s">
        <v>52</v>
      </c>
      <c r="M9" s="183">
        <v>0</v>
      </c>
      <c r="N9" s="183">
        <v>2</v>
      </c>
      <c r="O9" s="183">
        <v>75</v>
      </c>
      <c r="P9" s="180" t="s">
        <v>140</v>
      </c>
      <c r="Q9" s="176"/>
      <c r="R9" s="176"/>
      <c r="S9" s="176"/>
      <c r="T9" s="176"/>
      <c r="U9" s="176"/>
      <c r="V9" s="176"/>
      <c r="W9" s="176"/>
      <c r="X9" s="183" t="s">
        <v>256</v>
      </c>
      <c r="Y9" s="183" t="s">
        <v>257</v>
      </c>
      <c r="Z9" s="183" t="s">
        <v>209</v>
      </c>
      <c r="AA9" s="183" t="s">
        <v>210</v>
      </c>
      <c r="AB9" s="183" t="s">
        <v>211</v>
      </c>
      <c r="AC9" s="183" t="s">
        <v>212</v>
      </c>
      <c r="AD9" s="183" t="s">
        <v>213</v>
      </c>
      <c r="AE9" s="183" t="s">
        <v>214</v>
      </c>
      <c r="AF9" s="183" t="s">
        <v>215</v>
      </c>
      <c r="AG9" s="176"/>
      <c r="AH9" s="176"/>
      <c r="AI9" s="183" t="s">
        <v>258</v>
      </c>
      <c r="AJ9" s="176"/>
    </row>
    <row r="10" spans="1:36" x14ac:dyDescent="0.3">
      <c r="A10" s="178" t="s">
        <v>198</v>
      </c>
      <c r="B10" s="179">
        <v>45993</v>
      </c>
      <c r="C10" s="180" t="s">
        <v>62</v>
      </c>
      <c r="D10" s="181" t="s">
        <v>216</v>
      </c>
      <c r="E10" s="180" t="s">
        <v>1</v>
      </c>
      <c r="F10" s="180" t="s">
        <v>200</v>
      </c>
      <c r="G10" s="182">
        <v>1.006</v>
      </c>
      <c r="H10" s="183">
        <v>168</v>
      </c>
      <c r="I10" s="183">
        <v>169</v>
      </c>
      <c r="J10" s="183">
        <v>136</v>
      </c>
      <c r="K10" s="180" t="s">
        <v>201</v>
      </c>
      <c r="L10" s="184" t="s">
        <v>147</v>
      </c>
      <c r="M10" s="183">
        <v>0</v>
      </c>
      <c r="N10" s="183">
        <v>0</v>
      </c>
      <c r="O10" s="183">
        <v>0</v>
      </c>
      <c r="P10" s="180" t="s">
        <v>66</v>
      </c>
      <c r="Q10" s="176"/>
      <c r="R10" s="176"/>
      <c r="S10" s="176"/>
      <c r="T10" s="176"/>
      <c r="U10" s="176"/>
      <c r="V10" s="176"/>
      <c r="W10" s="176"/>
      <c r="X10" s="176"/>
      <c r="Y10" s="176"/>
      <c r="Z10" s="183" t="s">
        <v>259</v>
      </c>
      <c r="AA10" s="176"/>
      <c r="AB10" s="176"/>
      <c r="AC10" s="176"/>
      <c r="AD10" s="176"/>
      <c r="AE10" s="183" t="s">
        <v>223</v>
      </c>
      <c r="AF10" s="183" t="s">
        <v>224</v>
      </c>
      <c r="AG10" s="183" t="s">
        <v>260</v>
      </c>
      <c r="AH10" s="176"/>
      <c r="AI10" s="183" t="s">
        <v>255</v>
      </c>
      <c r="AJ10" s="183" t="s">
        <v>261</v>
      </c>
    </row>
    <row r="11" spans="1:36" x14ac:dyDescent="0.3">
      <c r="A11" s="178" t="s">
        <v>226</v>
      </c>
      <c r="B11" s="179">
        <v>45995</v>
      </c>
      <c r="C11" s="180" t="s">
        <v>62</v>
      </c>
      <c r="D11" s="181" t="s">
        <v>227</v>
      </c>
      <c r="E11" s="180" t="s">
        <v>1</v>
      </c>
      <c r="F11" s="180" t="s">
        <v>200</v>
      </c>
      <c r="G11" s="182">
        <v>1.006</v>
      </c>
      <c r="H11" s="183">
        <v>168</v>
      </c>
      <c r="I11" s="183">
        <v>169</v>
      </c>
      <c r="J11" s="183">
        <v>135</v>
      </c>
      <c r="K11" s="180" t="s">
        <v>201</v>
      </c>
      <c r="L11" s="184" t="s">
        <v>52</v>
      </c>
      <c r="M11" s="183">
        <v>0</v>
      </c>
      <c r="N11" s="183">
        <v>1</v>
      </c>
      <c r="O11" s="183">
        <v>1</v>
      </c>
      <c r="P11" s="180" t="s">
        <v>66</v>
      </c>
      <c r="Q11" s="183" t="s">
        <v>262</v>
      </c>
      <c r="R11" s="176"/>
      <c r="S11" s="176"/>
      <c r="T11" s="176"/>
      <c r="U11" s="176"/>
      <c r="V11" s="176"/>
      <c r="W11" s="176"/>
      <c r="X11" s="176"/>
      <c r="Y11" s="176"/>
      <c r="Z11" s="183" t="s">
        <v>244</v>
      </c>
      <c r="AA11" s="176"/>
      <c r="AB11" s="176"/>
      <c r="AC11" s="176"/>
      <c r="AD11" s="183" t="s">
        <v>163</v>
      </c>
      <c r="AE11" s="183" t="s">
        <v>223</v>
      </c>
      <c r="AF11" s="183" t="s">
        <v>224</v>
      </c>
      <c r="AG11" s="176"/>
      <c r="AH11" s="176"/>
      <c r="AI11" s="183" t="s">
        <v>263</v>
      </c>
      <c r="AJ11" s="176"/>
    </row>
    <row r="12" spans="1:36" x14ac:dyDescent="0.3">
      <c r="A12" s="178" t="s">
        <v>234</v>
      </c>
      <c r="B12" s="179">
        <v>45997</v>
      </c>
      <c r="C12" s="180" t="s">
        <v>62</v>
      </c>
      <c r="D12" s="181" t="s">
        <v>235</v>
      </c>
      <c r="E12" s="180" t="s">
        <v>1</v>
      </c>
      <c r="F12" s="180" t="s">
        <v>200</v>
      </c>
      <c r="G12" s="182">
        <v>1.0417000000000001</v>
      </c>
      <c r="H12" s="183">
        <v>168</v>
      </c>
      <c r="I12" s="183">
        <v>175</v>
      </c>
      <c r="J12" s="183">
        <v>137</v>
      </c>
      <c r="K12" s="180" t="s">
        <v>201</v>
      </c>
      <c r="L12" s="184" t="s">
        <v>65</v>
      </c>
      <c r="M12" s="183">
        <v>0</v>
      </c>
      <c r="N12" s="183">
        <v>0</v>
      </c>
      <c r="O12" s="183">
        <v>13</v>
      </c>
      <c r="P12" s="180" t="s">
        <v>66</v>
      </c>
      <c r="Q12" s="176"/>
      <c r="R12" s="176"/>
      <c r="S12" s="176"/>
      <c r="T12" s="176"/>
      <c r="U12" s="176"/>
      <c r="V12" s="176"/>
      <c r="W12" s="176"/>
      <c r="X12" s="176"/>
      <c r="Y12" s="176"/>
      <c r="Z12" s="183" t="s">
        <v>230</v>
      </c>
      <c r="AA12" s="176"/>
      <c r="AB12" s="176"/>
      <c r="AC12" s="183" t="s">
        <v>264</v>
      </c>
      <c r="AD12" s="183" t="s">
        <v>252</v>
      </c>
      <c r="AE12" s="183" t="s">
        <v>223</v>
      </c>
      <c r="AF12" s="183" t="s">
        <v>224</v>
      </c>
      <c r="AG12" s="176"/>
      <c r="AH12" s="176"/>
      <c r="AI12" s="183" t="s">
        <v>265</v>
      </c>
      <c r="AJ12" s="183" t="s">
        <v>261</v>
      </c>
    </row>
    <row r="13" spans="1:36" x14ac:dyDescent="0.3">
      <c r="A13" s="178" t="s">
        <v>240</v>
      </c>
      <c r="B13" s="179">
        <v>45998</v>
      </c>
      <c r="C13" s="180" t="s">
        <v>62</v>
      </c>
      <c r="D13" s="181" t="s">
        <v>241</v>
      </c>
      <c r="E13" s="180" t="s">
        <v>1</v>
      </c>
      <c r="F13" s="180" t="s">
        <v>200</v>
      </c>
      <c r="G13" s="182">
        <v>1.0595000000000001</v>
      </c>
      <c r="H13" s="183">
        <v>168</v>
      </c>
      <c r="I13" s="183">
        <v>178</v>
      </c>
      <c r="J13" s="183">
        <v>145</v>
      </c>
      <c r="K13" s="180" t="s">
        <v>201</v>
      </c>
      <c r="L13" s="184" t="s">
        <v>65</v>
      </c>
      <c r="M13" s="183">
        <v>0</v>
      </c>
      <c r="N13" s="183">
        <v>0</v>
      </c>
      <c r="O13" s="183">
        <v>11</v>
      </c>
      <c r="P13" s="180" t="s">
        <v>66</v>
      </c>
      <c r="Q13" s="176"/>
      <c r="R13" s="176"/>
      <c r="S13" s="176"/>
      <c r="T13" s="176"/>
      <c r="U13" s="176"/>
      <c r="V13" s="176"/>
      <c r="W13" s="176"/>
      <c r="X13" s="176"/>
      <c r="Y13" s="183" t="s">
        <v>243</v>
      </c>
      <c r="Z13" s="183" t="s">
        <v>244</v>
      </c>
      <c r="AA13" s="183" t="s">
        <v>245</v>
      </c>
      <c r="AB13" s="183" t="s">
        <v>246</v>
      </c>
      <c r="AC13" s="183" t="s">
        <v>247</v>
      </c>
      <c r="AD13" s="183" t="s">
        <v>231</v>
      </c>
      <c r="AE13" s="183" t="s">
        <v>249</v>
      </c>
      <c r="AF13" s="183" t="s">
        <v>203</v>
      </c>
      <c r="AG13" s="176"/>
      <c r="AH13" s="176"/>
      <c r="AI13" s="183" t="s">
        <v>266</v>
      </c>
      <c r="AJ13" s="176"/>
    </row>
    <row r="14" spans="1:36" x14ac:dyDescent="0.3">
      <c r="A14" s="178" t="s">
        <v>198</v>
      </c>
      <c r="B14" s="179">
        <v>46000</v>
      </c>
      <c r="C14" s="180" t="s">
        <v>58</v>
      </c>
      <c r="D14" s="181" t="s">
        <v>199</v>
      </c>
      <c r="E14" s="180" t="s">
        <v>1</v>
      </c>
      <c r="F14" s="180" t="s">
        <v>200</v>
      </c>
      <c r="G14" s="182">
        <v>0.99399999999999999</v>
      </c>
      <c r="H14" s="183">
        <v>168</v>
      </c>
      <c r="I14" s="183">
        <v>167</v>
      </c>
      <c r="J14" s="183">
        <v>132</v>
      </c>
      <c r="K14" s="180" t="s">
        <v>201</v>
      </c>
      <c r="L14" s="184" t="s">
        <v>162</v>
      </c>
      <c r="M14" s="183">
        <v>2</v>
      </c>
      <c r="N14" s="183">
        <v>0</v>
      </c>
      <c r="O14" s="183">
        <v>4</v>
      </c>
      <c r="P14" s="180" t="s">
        <v>163</v>
      </c>
      <c r="Q14" s="176"/>
      <c r="R14" s="176"/>
      <c r="S14" s="176"/>
      <c r="T14" s="176"/>
      <c r="U14" s="176"/>
      <c r="V14" s="176"/>
      <c r="W14" s="176"/>
      <c r="X14" s="176"/>
      <c r="Y14" s="176"/>
      <c r="Z14" s="183" t="s">
        <v>230</v>
      </c>
      <c r="AA14" s="176"/>
      <c r="AB14" s="176"/>
      <c r="AC14" s="183" t="s">
        <v>267</v>
      </c>
      <c r="AD14" s="183" t="s">
        <v>268</v>
      </c>
      <c r="AE14" s="183" t="s">
        <v>253</v>
      </c>
      <c r="AF14" s="183" t="s">
        <v>224</v>
      </c>
      <c r="AG14" s="176"/>
      <c r="AH14" s="176"/>
      <c r="AI14" s="183" t="s">
        <v>269</v>
      </c>
      <c r="AJ14" s="176"/>
    </row>
    <row r="15" spans="1:36" x14ac:dyDescent="0.3">
      <c r="A15" s="178" t="s">
        <v>198</v>
      </c>
      <c r="B15" s="179">
        <v>46000</v>
      </c>
      <c r="C15" s="180" t="s">
        <v>51</v>
      </c>
      <c r="D15" s="181" t="s">
        <v>206</v>
      </c>
      <c r="E15" s="180" t="s">
        <v>1</v>
      </c>
      <c r="F15" s="180" t="s">
        <v>200</v>
      </c>
      <c r="G15" s="182">
        <v>0.98809999999999998</v>
      </c>
      <c r="H15" s="183">
        <v>168</v>
      </c>
      <c r="I15" s="183">
        <v>166</v>
      </c>
      <c r="J15" s="183">
        <v>90</v>
      </c>
      <c r="K15" s="180" t="s">
        <v>201</v>
      </c>
      <c r="L15" s="184" t="s">
        <v>52</v>
      </c>
      <c r="M15" s="183">
        <v>0</v>
      </c>
      <c r="N15" s="183">
        <v>1</v>
      </c>
      <c r="O15" s="183">
        <v>40</v>
      </c>
      <c r="P15" s="180" t="s">
        <v>165</v>
      </c>
      <c r="Q15" s="176"/>
      <c r="R15" s="176"/>
      <c r="S15" s="176"/>
      <c r="T15" s="176"/>
      <c r="U15" s="176"/>
      <c r="V15" s="176"/>
      <c r="W15" s="176"/>
      <c r="X15" s="176"/>
      <c r="Y15" s="183" t="s">
        <v>270</v>
      </c>
      <c r="Z15" s="183" t="s">
        <v>271</v>
      </c>
      <c r="AA15" s="183" t="s">
        <v>245</v>
      </c>
      <c r="AB15" s="183" t="s">
        <v>211</v>
      </c>
      <c r="AC15" s="183" t="s">
        <v>212</v>
      </c>
      <c r="AD15" s="183" t="s">
        <v>213</v>
      </c>
      <c r="AE15" s="183" t="s">
        <v>214</v>
      </c>
      <c r="AF15" s="183" t="s">
        <v>215</v>
      </c>
      <c r="AG15" s="176"/>
      <c r="AH15" s="176"/>
      <c r="AI15" s="183" t="s">
        <v>255</v>
      </c>
      <c r="AJ15" s="176"/>
    </row>
    <row r="16" spans="1:36" x14ac:dyDescent="0.3">
      <c r="A16" s="178" t="s">
        <v>198</v>
      </c>
      <c r="B16" s="179">
        <v>46000</v>
      </c>
      <c r="C16" s="180" t="s">
        <v>62</v>
      </c>
      <c r="D16" s="181" t="s">
        <v>216</v>
      </c>
      <c r="E16" s="180" t="s">
        <v>1</v>
      </c>
      <c r="F16" s="180" t="s">
        <v>200</v>
      </c>
      <c r="G16" s="182">
        <v>1.0119</v>
      </c>
      <c r="H16" s="183">
        <v>168</v>
      </c>
      <c r="I16" s="183">
        <v>170</v>
      </c>
      <c r="J16" s="183">
        <v>129</v>
      </c>
      <c r="K16" s="180" t="s">
        <v>201</v>
      </c>
      <c r="L16" s="184" t="s">
        <v>65</v>
      </c>
      <c r="M16" s="183">
        <v>0</v>
      </c>
      <c r="N16" s="183">
        <v>0</v>
      </c>
      <c r="O16" s="183">
        <v>44</v>
      </c>
      <c r="P16" s="180" t="s">
        <v>66</v>
      </c>
      <c r="Q16" s="176"/>
      <c r="R16" s="176"/>
      <c r="S16" s="176"/>
      <c r="T16" s="176"/>
      <c r="U16" s="176"/>
      <c r="V16" s="176"/>
      <c r="W16" s="176"/>
      <c r="X16" s="176"/>
      <c r="Y16" s="176"/>
      <c r="Z16" s="183" t="s">
        <v>244</v>
      </c>
      <c r="AA16" s="176"/>
      <c r="AB16" s="176"/>
      <c r="AC16" s="176"/>
      <c r="AD16" s="183" t="s">
        <v>252</v>
      </c>
      <c r="AE16" s="183" t="s">
        <v>272</v>
      </c>
      <c r="AF16" s="183" t="s">
        <v>273</v>
      </c>
      <c r="AG16" s="183" t="s">
        <v>274</v>
      </c>
      <c r="AH16" s="176"/>
      <c r="AI16" s="183" t="s">
        <v>275</v>
      </c>
      <c r="AJ16" s="183" t="s">
        <v>239</v>
      </c>
    </row>
    <row r="17" spans="1:36" ht="21" x14ac:dyDescent="0.3">
      <c r="A17" s="185" t="s">
        <v>390</v>
      </c>
      <c r="B17" s="186"/>
      <c r="C17" s="185">
        <f>SUBTOTAL(103,MED_CAI_LF_LEGACY[Flt])</f>
        <v>15</v>
      </c>
      <c r="D17" s="185"/>
      <c r="E17" s="185">
        <f>SUBTOTAL(103,MED_CAI_LF_LEGACY[Brd-Off])</f>
        <v>15</v>
      </c>
      <c r="F17" s="185"/>
      <c r="G17" s="187">
        <f>SUBTOTAL(101,MED_CAI_LF_LEGACY[LF%])</f>
        <v>0.95103333333333329</v>
      </c>
      <c r="H17" s="188">
        <f>SUBTOTAL(109,MED_CAI_LF_LEGACY[CAP])</f>
        <v>2561</v>
      </c>
      <c r="I17" s="188">
        <f>SUBTOTAL(109,MED_CAI_LF_LEGACY[BKG(Y)])</f>
        <v>2436</v>
      </c>
      <c r="J17" s="188">
        <f>SUBTOTAL(109,MED_CAI_LF_LEGACY[GRP(Y)])</f>
        <v>1738</v>
      </c>
      <c r="K17" s="185"/>
      <c r="L17" s="186"/>
      <c r="M17" s="188">
        <f>SUBTOTAL(109,MED_CAI_LF_LEGACY[TO-DAY])</f>
        <v>2</v>
      </c>
      <c r="N17" s="188">
        <f>SUBTOTAL(109,MED_CAI_LF_LEGACY[Y-DAY])</f>
        <v>9</v>
      </c>
      <c r="O17" s="188">
        <f>SUBTOTAL(109,MED_CAI_LF_LEGACY[WEEKLY])</f>
        <v>223</v>
      </c>
      <c r="P17" s="189"/>
      <c r="Q17" s="188">
        <f>SUBTOTAL(109,MED_CAI_LF_LEGACY[Y])</f>
        <v>0</v>
      </c>
      <c r="R17" s="188">
        <f>SUBTOTAL(109,MED_CAI_LF_LEGACY[B])</f>
        <v>0</v>
      </c>
      <c r="S17" s="188">
        <f>SUBTOTAL(109,MED_CAI_LF_LEGACY[M])</f>
        <v>0</v>
      </c>
      <c r="T17" s="188">
        <f>SUBTOTAL(109,MED_CAI_LF_LEGACY[H])</f>
        <v>0</v>
      </c>
      <c r="U17" s="188">
        <f>SUBTOTAL(109,MED_CAI_LF_LEGACY[Q])</f>
        <v>0</v>
      </c>
      <c r="V17" s="188">
        <f>SUBTOTAL(109,MED_CAI_LF_LEGACY[K])</f>
        <v>0</v>
      </c>
      <c r="W17" s="188">
        <f>SUBTOTAL(109,MED_CAI_LF_LEGACY[V])</f>
        <v>0</v>
      </c>
      <c r="X17" s="188">
        <f>SUBTOTAL(109,MED_CAI_LF_LEGACY[L])</f>
        <v>0</v>
      </c>
      <c r="Y17" s="188">
        <f>SUBTOTAL(109,MED_CAI_LF_LEGACY[G])</f>
        <v>0</v>
      </c>
      <c r="Z17" s="188">
        <f>SUBTOTAL(109,MED_CAI_LF_LEGACY[S])</f>
        <v>0</v>
      </c>
      <c r="AA17" s="188">
        <f>SUBTOTAL(109,MED_CAI_LF_LEGACY[W])</f>
        <v>0</v>
      </c>
      <c r="AB17" s="188">
        <f>SUBTOTAL(109,MED_CAI_LF_LEGACY[T])</f>
        <v>0</v>
      </c>
      <c r="AC17" s="188">
        <f>SUBTOTAL(109,MED_CAI_LF_LEGACY[X])</f>
        <v>0</v>
      </c>
      <c r="AD17" s="188">
        <f>SUBTOTAL(109,MED_CAI_LF_LEGACY[U])</f>
        <v>0</v>
      </c>
      <c r="AE17" s="188">
        <f>SUBTOTAL(109,MED_CAI_LF_LEGACY[O])</f>
        <v>0</v>
      </c>
      <c r="AF17" s="188">
        <f>SUBTOTAL(109,MED_CAI_LF_LEGACY[I])</f>
        <v>0</v>
      </c>
      <c r="AG17" s="188">
        <f>SUBTOTAL(109,MED_CAI_LF_LEGACY[E])</f>
        <v>0</v>
      </c>
      <c r="AH17" s="188">
        <f>SUBTOTAL(109,MED_CAI_LF_LEGACY[A])</f>
        <v>0</v>
      </c>
      <c r="AI17" s="188">
        <f>SUBTOTAL(109,MED_CAI_LF_LEGACY[P])</f>
        <v>0</v>
      </c>
      <c r="AJ17" s="188">
        <f>SUBTOTAL(103,MED_CAI_LF_LEGACY[N])</f>
        <v>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99.88671875" hidden="1" customWidth="1"/>
  </cols>
  <sheetData>
    <row r="1" spans="1:8" ht="18" x14ac:dyDescent="0.3">
      <c r="A1" s="86" t="s">
        <v>276</v>
      </c>
      <c r="B1" s="87" t="s">
        <v>8</v>
      </c>
      <c r="C1" s="87" t="s">
        <v>9</v>
      </c>
      <c r="D1" s="87" t="s">
        <v>277</v>
      </c>
      <c r="E1" s="87" t="s">
        <v>10</v>
      </c>
      <c r="F1" s="87" t="s">
        <v>11</v>
      </c>
      <c r="G1" s="87" t="s">
        <v>12</v>
      </c>
      <c r="H1" s="88" t="s">
        <v>13</v>
      </c>
    </row>
    <row r="2" spans="1:8" ht="19.8" customHeight="1" x14ac:dyDescent="0.3">
      <c r="A2" s="89" t="s">
        <v>278</v>
      </c>
      <c r="B2" s="90" t="s">
        <v>26</v>
      </c>
      <c r="C2" s="91" t="s">
        <v>27</v>
      </c>
      <c r="D2" s="90" t="s">
        <v>1</v>
      </c>
      <c r="E2" s="90" t="s">
        <v>279</v>
      </c>
      <c r="F2" s="90" t="s">
        <v>28</v>
      </c>
      <c r="G2" s="92">
        <v>3</v>
      </c>
      <c r="H2" s="93">
        <v>559</v>
      </c>
    </row>
    <row r="3" spans="1:8" ht="19.8" customHeight="1" x14ac:dyDescent="0.3">
      <c r="A3" s="89" t="s">
        <v>278</v>
      </c>
      <c r="B3" s="90" t="s">
        <v>36</v>
      </c>
      <c r="C3" s="91" t="s">
        <v>37</v>
      </c>
      <c r="D3" s="90" t="s">
        <v>1</v>
      </c>
      <c r="E3" s="90" t="s">
        <v>280</v>
      </c>
      <c r="F3" s="90" t="s">
        <v>38</v>
      </c>
      <c r="G3" s="92">
        <v>4</v>
      </c>
      <c r="H3" s="93">
        <v>639</v>
      </c>
    </row>
    <row r="4" spans="1:8" ht="19.8" customHeight="1" x14ac:dyDescent="0.3">
      <c r="A4" s="89" t="s">
        <v>278</v>
      </c>
      <c r="B4" s="90" t="s">
        <v>26</v>
      </c>
      <c r="C4" s="91" t="s">
        <v>27</v>
      </c>
      <c r="D4" s="90" t="s">
        <v>1</v>
      </c>
      <c r="E4" s="90" t="s">
        <v>279</v>
      </c>
      <c r="F4" s="90" t="s">
        <v>31</v>
      </c>
      <c r="G4" s="92">
        <v>3</v>
      </c>
      <c r="H4" s="93">
        <v>709</v>
      </c>
    </row>
    <row r="5" spans="1:8" ht="19.8" customHeight="1" x14ac:dyDescent="0.3">
      <c r="A5" s="89" t="s">
        <v>278</v>
      </c>
      <c r="B5" s="90" t="s">
        <v>36</v>
      </c>
      <c r="C5" s="91" t="s">
        <v>37</v>
      </c>
      <c r="D5" s="90" t="s">
        <v>1</v>
      </c>
      <c r="E5" s="90" t="s">
        <v>280</v>
      </c>
      <c r="F5" s="90" t="s">
        <v>41</v>
      </c>
      <c r="G5" s="92">
        <v>4</v>
      </c>
      <c r="H5" s="93">
        <v>739</v>
      </c>
    </row>
    <row r="6" spans="1:8" ht="19.8" customHeight="1" x14ac:dyDescent="0.3">
      <c r="A6" s="94" t="s">
        <v>278</v>
      </c>
      <c r="B6" s="95" t="s">
        <v>46</v>
      </c>
      <c r="C6" s="96" t="s">
        <v>47</v>
      </c>
      <c r="D6" s="95" t="s">
        <v>1</v>
      </c>
      <c r="E6" s="95" t="s">
        <v>206</v>
      </c>
      <c r="F6" s="95" t="s">
        <v>48</v>
      </c>
      <c r="G6" s="97">
        <v>9</v>
      </c>
      <c r="H6" s="98">
        <v>758</v>
      </c>
    </row>
    <row r="7" spans="1:8" ht="19.8" customHeight="1" x14ac:dyDescent="0.3">
      <c r="A7" s="99">
        <v>45986</v>
      </c>
      <c r="B7" s="90" t="s">
        <v>36</v>
      </c>
      <c r="C7" s="91" t="s">
        <v>37</v>
      </c>
      <c r="D7" s="90" t="s">
        <v>1</v>
      </c>
      <c r="E7" s="100">
        <v>1.756944444444444</v>
      </c>
      <c r="F7" s="90" t="s">
        <v>44</v>
      </c>
      <c r="G7" s="92">
        <v>4</v>
      </c>
      <c r="H7" s="93">
        <v>829</v>
      </c>
    </row>
    <row r="8" spans="1:8" ht="19.8" customHeight="1" x14ac:dyDescent="0.3">
      <c r="A8" s="99">
        <v>45986</v>
      </c>
      <c r="B8" s="90" t="s">
        <v>68</v>
      </c>
      <c r="C8" s="91" t="s">
        <v>69</v>
      </c>
      <c r="D8" s="90" t="s">
        <v>1</v>
      </c>
      <c r="E8" s="100">
        <v>1.0972222222222221</v>
      </c>
      <c r="F8" s="90" t="s">
        <v>70</v>
      </c>
      <c r="G8" s="92">
        <v>9</v>
      </c>
      <c r="H8" s="93">
        <v>866</v>
      </c>
    </row>
    <row r="9" spans="1:8" ht="19.8" customHeight="1" x14ac:dyDescent="0.3">
      <c r="A9" s="101">
        <v>45986</v>
      </c>
      <c r="B9" s="95" t="s">
        <v>46</v>
      </c>
      <c r="C9" s="96" t="s">
        <v>55</v>
      </c>
      <c r="D9" s="95" t="s">
        <v>1</v>
      </c>
      <c r="E9" s="102">
        <v>1.0486111111111109</v>
      </c>
      <c r="F9" s="95" t="s">
        <v>48</v>
      </c>
      <c r="G9" s="97">
        <v>8</v>
      </c>
      <c r="H9" s="98">
        <v>914</v>
      </c>
    </row>
    <row r="10" spans="1:8" ht="19.8" customHeight="1" x14ac:dyDescent="0.3">
      <c r="A10" s="99">
        <v>45986</v>
      </c>
      <c r="B10" s="90" t="s">
        <v>68</v>
      </c>
      <c r="C10" s="91" t="s">
        <v>72</v>
      </c>
      <c r="D10" s="90" t="s">
        <v>1</v>
      </c>
      <c r="E10" s="100">
        <v>1.2222222222222221</v>
      </c>
      <c r="F10" s="90" t="s">
        <v>70</v>
      </c>
      <c r="G10" s="92">
        <v>9</v>
      </c>
      <c r="H10" s="93">
        <v>962</v>
      </c>
    </row>
    <row r="11" spans="1:8" ht="19.8" customHeight="1" x14ac:dyDescent="0.3">
      <c r="A11" s="99">
        <v>45986</v>
      </c>
      <c r="B11" s="90" t="s">
        <v>68</v>
      </c>
      <c r="C11" s="91" t="s">
        <v>75</v>
      </c>
      <c r="D11" s="90" t="s">
        <v>1</v>
      </c>
      <c r="E11" s="100">
        <v>1.444444444444444</v>
      </c>
      <c r="F11" s="90" t="s">
        <v>70</v>
      </c>
      <c r="G11" s="92">
        <v>5</v>
      </c>
      <c r="H11" s="93">
        <v>962</v>
      </c>
    </row>
    <row r="12" spans="1:8" ht="19.8" customHeight="1" x14ac:dyDescent="0.3">
      <c r="A12" s="99">
        <v>45986</v>
      </c>
      <c r="B12" s="90" t="s">
        <v>68</v>
      </c>
      <c r="C12" s="91" t="s">
        <v>77</v>
      </c>
      <c r="D12" s="90" t="s">
        <v>1</v>
      </c>
      <c r="E12" s="100">
        <v>1.493055555555556</v>
      </c>
      <c r="F12" s="90" t="s">
        <v>70</v>
      </c>
      <c r="G12" s="92">
        <v>9</v>
      </c>
      <c r="H12" s="93">
        <v>962</v>
      </c>
    </row>
    <row r="13" spans="1:8" ht="19.8" customHeight="1" x14ac:dyDescent="0.3">
      <c r="A13" s="99">
        <v>45986</v>
      </c>
      <c r="B13" s="90" t="s">
        <v>80</v>
      </c>
      <c r="C13" s="91" t="s">
        <v>81</v>
      </c>
      <c r="D13" s="90" t="s">
        <v>1</v>
      </c>
      <c r="E13" s="100">
        <v>1.604166666666667</v>
      </c>
      <c r="F13" s="90" t="s">
        <v>82</v>
      </c>
      <c r="G13" s="92">
        <v>6</v>
      </c>
      <c r="H13" s="103" t="s">
        <v>84</v>
      </c>
    </row>
    <row r="14" spans="1:8" ht="19.8" customHeight="1" x14ac:dyDescent="0.3">
      <c r="A14" s="99">
        <v>45986</v>
      </c>
      <c r="B14" s="90" t="s">
        <v>26</v>
      </c>
      <c r="C14" s="91" t="s">
        <v>27</v>
      </c>
      <c r="D14" s="90" t="s">
        <v>1</v>
      </c>
      <c r="E14" s="100">
        <v>1.4201388888888891</v>
      </c>
      <c r="F14" s="90" t="s">
        <v>34</v>
      </c>
      <c r="G14" s="92">
        <v>3</v>
      </c>
      <c r="H14" s="103" t="s">
        <v>35</v>
      </c>
    </row>
    <row r="15" spans="1:8" ht="19.8" customHeight="1" x14ac:dyDescent="0.3">
      <c r="A15" s="99">
        <v>45986</v>
      </c>
      <c r="B15" s="90" t="s">
        <v>80</v>
      </c>
      <c r="C15" s="91" t="s">
        <v>81</v>
      </c>
      <c r="D15" s="90" t="s">
        <v>1</v>
      </c>
      <c r="E15" s="100">
        <v>1.604166666666667</v>
      </c>
      <c r="F15" s="90" t="s">
        <v>85</v>
      </c>
      <c r="G15" s="92">
        <v>6</v>
      </c>
      <c r="H15" s="103" t="s">
        <v>87</v>
      </c>
    </row>
    <row r="16" spans="1:8" ht="19.8" customHeight="1" x14ac:dyDescent="0.3">
      <c r="A16" s="99">
        <v>45986</v>
      </c>
      <c r="B16" s="90" t="s">
        <v>80</v>
      </c>
      <c r="C16" s="91" t="s">
        <v>88</v>
      </c>
      <c r="D16" s="90" t="s">
        <v>1</v>
      </c>
      <c r="E16" s="100">
        <v>1.4201388888888891</v>
      </c>
      <c r="F16" s="90" t="s">
        <v>85</v>
      </c>
      <c r="G16" s="92">
        <v>4</v>
      </c>
      <c r="H16" s="103" t="s">
        <v>90</v>
      </c>
    </row>
    <row r="17" spans="1:8" ht="19.8" customHeight="1" x14ac:dyDescent="0.3">
      <c r="A17" s="99">
        <v>45986</v>
      </c>
      <c r="B17" s="90" t="s">
        <v>68</v>
      </c>
      <c r="C17" s="91" t="s">
        <v>78</v>
      </c>
      <c r="D17" s="90" t="s">
        <v>1</v>
      </c>
      <c r="E17" s="100">
        <v>1.854166666666667</v>
      </c>
      <c r="F17" s="90" t="s">
        <v>70</v>
      </c>
      <c r="G17" s="92">
        <v>9</v>
      </c>
      <c r="H17" s="103" t="s">
        <v>79</v>
      </c>
    </row>
    <row r="18" spans="1:8" ht="19.8" customHeight="1" x14ac:dyDescent="0.3">
      <c r="A18" s="99">
        <v>45986</v>
      </c>
      <c r="B18" s="90" t="s">
        <v>80</v>
      </c>
      <c r="C18" s="91" t="s">
        <v>91</v>
      </c>
      <c r="D18" s="90" t="s">
        <v>1</v>
      </c>
      <c r="E18" s="100">
        <v>1.7951388888888891</v>
      </c>
      <c r="F18" s="90" t="s">
        <v>82</v>
      </c>
      <c r="G18" s="92">
        <v>3</v>
      </c>
      <c r="H18" s="103" t="s">
        <v>93</v>
      </c>
    </row>
    <row r="19" spans="1:8" ht="19.8" customHeight="1" x14ac:dyDescent="0.3">
      <c r="A19" s="99">
        <v>45986</v>
      </c>
      <c r="B19" s="90" t="s">
        <v>80</v>
      </c>
      <c r="C19" s="91" t="s">
        <v>95</v>
      </c>
      <c r="D19" s="90" t="s">
        <v>1</v>
      </c>
      <c r="E19" s="100">
        <v>1.086805555555556</v>
      </c>
      <c r="F19" s="90" t="s">
        <v>82</v>
      </c>
      <c r="G19" s="92">
        <v>9</v>
      </c>
      <c r="H19" s="103" t="s">
        <v>93</v>
      </c>
    </row>
    <row r="20" spans="1:8" ht="19.8" customHeight="1" x14ac:dyDescent="0.3">
      <c r="A20" s="99">
        <v>45986</v>
      </c>
      <c r="B20" s="90" t="s">
        <v>80</v>
      </c>
      <c r="C20" s="91" t="s">
        <v>91</v>
      </c>
      <c r="D20" s="90" t="s">
        <v>1</v>
      </c>
      <c r="E20" s="100">
        <v>1.7951388888888891</v>
      </c>
      <c r="F20" s="90" t="s">
        <v>85</v>
      </c>
      <c r="G20" s="92">
        <v>3</v>
      </c>
      <c r="H20" s="103" t="s">
        <v>94</v>
      </c>
    </row>
    <row r="21" spans="1:8" ht="19.8" customHeight="1" x14ac:dyDescent="0.3">
      <c r="A21" s="99">
        <v>45986</v>
      </c>
      <c r="B21" s="90" t="s">
        <v>80</v>
      </c>
      <c r="C21" s="91" t="s">
        <v>95</v>
      </c>
      <c r="D21" s="90" t="s">
        <v>1</v>
      </c>
      <c r="E21" s="100">
        <v>1.086805555555556</v>
      </c>
      <c r="F21" s="90" t="s">
        <v>85</v>
      </c>
      <c r="G21" s="92">
        <v>9</v>
      </c>
      <c r="H21" s="103" t="s">
        <v>94</v>
      </c>
    </row>
    <row r="22" spans="1:8" ht="19.8" customHeight="1" x14ac:dyDescent="0.3">
      <c r="A22" s="104">
        <v>45986</v>
      </c>
      <c r="B22" s="105" t="s">
        <v>46</v>
      </c>
      <c r="C22" s="106" t="s">
        <v>62</v>
      </c>
      <c r="D22" s="105" t="s">
        <v>1</v>
      </c>
      <c r="E22" s="107">
        <v>1.979166666666667</v>
      </c>
      <c r="F22" s="105" t="s">
        <v>63</v>
      </c>
      <c r="G22" s="105"/>
      <c r="H22" s="108" t="s">
        <v>64</v>
      </c>
    </row>
    <row r="23" spans="1:8" ht="19.8" customHeight="1" x14ac:dyDescent="0.3">
      <c r="A23" s="99">
        <v>45987</v>
      </c>
      <c r="B23" s="90" t="s">
        <v>68</v>
      </c>
      <c r="C23" s="91" t="s">
        <v>75</v>
      </c>
      <c r="D23" s="90" t="s">
        <v>1</v>
      </c>
      <c r="E23" s="100">
        <v>1.444444444444444</v>
      </c>
      <c r="F23" s="90" t="s">
        <v>70</v>
      </c>
      <c r="G23" s="92">
        <v>9</v>
      </c>
      <c r="H23" s="93">
        <v>757</v>
      </c>
    </row>
    <row r="24" spans="1:8" ht="19.8" customHeight="1" x14ac:dyDescent="0.3">
      <c r="A24" s="99">
        <v>45987</v>
      </c>
      <c r="B24" s="90" t="s">
        <v>68</v>
      </c>
      <c r="C24" s="91" t="s">
        <v>78</v>
      </c>
      <c r="D24" s="90" t="s">
        <v>1</v>
      </c>
      <c r="E24" s="100">
        <v>1.8472222222222221</v>
      </c>
      <c r="F24" s="90" t="s">
        <v>70</v>
      </c>
      <c r="G24" s="92">
        <v>2</v>
      </c>
      <c r="H24" s="103" t="s">
        <v>99</v>
      </c>
    </row>
    <row r="25" spans="1:8" ht="19.8" customHeight="1" x14ac:dyDescent="0.3">
      <c r="A25" s="99">
        <v>45987</v>
      </c>
      <c r="B25" s="90" t="s">
        <v>80</v>
      </c>
      <c r="C25" s="91" t="s">
        <v>91</v>
      </c>
      <c r="D25" s="90" t="s">
        <v>1</v>
      </c>
      <c r="E25" s="100">
        <v>1.7951388888888891</v>
      </c>
      <c r="F25" s="90" t="s">
        <v>82</v>
      </c>
      <c r="G25" s="92">
        <v>9</v>
      </c>
      <c r="H25" s="103" t="s">
        <v>101</v>
      </c>
    </row>
    <row r="26" spans="1:8" ht="19.8" customHeight="1" x14ac:dyDescent="0.3">
      <c r="A26" s="99">
        <v>45987</v>
      </c>
      <c r="B26" s="90" t="s">
        <v>80</v>
      </c>
      <c r="C26" s="91" t="s">
        <v>81</v>
      </c>
      <c r="D26" s="90" t="s">
        <v>1</v>
      </c>
      <c r="E26" s="100">
        <v>1.604166666666667</v>
      </c>
      <c r="F26" s="90" t="s">
        <v>82</v>
      </c>
      <c r="G26" s="92">
        <v>9</v>
      </c>
      <c r="H26" s="103" t="s">
        <v>101</v>
      </c>
    </row>
    <row r="27" spans="1:8" ht="19.8" customHeight="1" x14ac:dyDescent="0.3">
      <c r="A27" s="99">
        <v>45987</v>
      </c>
      <c r="B27" s="90" t="s">
        <v>80</v>
      </c>
      <c r="C27" s="91" t="s">
        <v>95</v>
      </c>
      <c r="D27" s="90" t="s">
        <v>1</v>
      </c>
      <c r="E27" s="100">
        <v>1.086805555555556</v>
      </c>
      <c r="F27" s="90" t="s">
        <v>82</v>
      </c>
      <c r="G27" s="92">
        <v>9</v>
      </c>
      <c r="H27" s="103" t="s">
        <v>101</v>
      </c>
    </row>
    <row r="28" spans="1:8" ht="19.8" customHeight="1" x14ac:dyDescent="0.3">
      <c r="A28" s="99">
        <v>45987</v>
      </c>
      <c r="B28" s="90" t="s">
        <v>68</v>
      </c>
      <c r="C28" s="91" t="s">
        <v>72</v>
      </c>
      <c r="D28" s="90" t="s">
        <v>1</v>
      </c>
      <c r="E28" s="100">
        <v>1.2222222222222221</v>
      </c>
      <c r="F28" s="90" t="s">
        <v>70</v>
      </c>
      <c r="G28" s="92">
        <v>9</v>
      </c>
      <c r="H28" s="103" t="s">
        <v>100</v>
      </c>
    </row>
    <row r="29" spans="1:8" ht="19.8" customHeight="1" x14ac:dyDescent="0.3">
      <c r="A29" s="99">
        <v>45987</v>
      </c>
      <c r="B29" s="90" t="s">
        <v>80</v>
      </c>
      <c r="C29" s="91" t="s">
        <v>91</v>
      </c>
      <c r="D29" s="90" t="s">
        <v>1</v>
      </c>
      <c r="E29" s="100">
        <v>1.7951388888888891</v>
      </c>
      <c r="F29" s="90" t="s">
        <v>85</v>
      </c>
      <c r="G29" s="92">
        <v>9</v>
      </c>
      <c r="H29" s="103" t="s">
        <v>102</v>
      </c>
    </row>
    <row r="30" spans="1:8" ht="19.8" customHeight="1" x14ac:dyDescent="0.3">
      <c r="A30" s="99">
        <v>45987</v>
      </c>
      <c r="B30" s="90" t="s">
        <v>80</v>
      </c>
      <c r="C30" s="91" t="s">
        <v>81</v>
      </c>
      <c r="D30" s="90" t="s">
        <v>1</v>
      </c>
      <c r="E30" s="100">
        <v>1.604166666666667</v>
      </c>
      <c r="F30" s="90" t="s">
        <v>85</v>
      </c>
      <c r="G30" s="92">
        <v>9</v>
      </c>
      <c r="H30" s="103" t="s">
        <v>102</v>
      </c>
    </row>
    <row r="31" spans="1:8" ht="19.8" customHeight="1" x14ac:dyDescent="0.3">
      <c r="A31" s="99">
        <v>45987</v>
      </c>
      <c r="B31" s="90" t="s">
        <v>80</v>
      </c>
      <c r="C31" s="91" t="s">
        <v>95</v>
      </c>
      <c r="D31" s="90" t="s">
        <v>1</v>
      </c>
      <c r="E31" s="100">
        <v>1.086805555555556</v>
      </c>
      <c r="F31" s="90" t="s">
        <v>85</v>
      </c>
      <c r="G31" s="92">
        <v>9</v>
      </c>
      <c r="H31" s="103" t="s">
        <v>102</v>
      </c>
    </row>
    <row r="32" spans="1:8" ht="19.8" customHeight="1" x14ac:dyDescent="0.3">
      <c r="A32" s="109">
        <v>45987</v>
      </c>
      <c r="B32" s="110" t="s">
        <v>80</v>
      </c>
      <c r="C32" s="111" t="s">
        <v>88</v>
      </c>
      <c r="D32" s="110" t="s">
        <v>1</v>
      </c>
      <c r="E32" s="112">
        <v>1.4201388888888891</v>
      </c>
      <c r="F32" s="110" t="s">
        <v>85</v>
      </c>
      <c r="G32" s="113">
        <v>4</v>
      </c>
      <c r="H32" s="114" t="s">
        <v>90</v>
      </c>
    </row>
    <row r="33" spans="1:8" ht="19.8" customHeight="1" x14ac:dyDescent="0.3">
      <c r="A33" s="99">
        <v>45988</v>
      </c>
      <c r="B33" s="90" t="s">
        <v>68</v>
      </c>
      <c r="C33" s="91" t="s">
        <v>75</v>
      </c>
      <c r="D33" s="90" t="s">
        <v>1</v>
      </c>
      <c r="E33" s="100">
        <v>1.430555555555556</v>
      </c>
      <c r="F33" s="90" t="s">
        <v>70</v>
      </c>
      <c r="G33" s="92">
        <v>9</v>
      </c>
      <c r="H33" s="93">
        <v>866</v>
      </c>
    </row>
    <row r="34" spans="1:8" ht="19.8" customHeight="1" x14ac:dyDescent="0.3">
      <c r="A34" s="99">
        <v>45988</v>
      </c>
      <c r="B34" s="90" t="s">
        <v>68</v>
      </c>
      <c r="C34" s="91" t="s">
        <v>77</v>
      </c>
      <c r="D34" s="90" t="s">
        <v>1</v>
      </c>
      <c r="E34" s="100">
        <v>1.493055555555556</v>
      </c>
      <c r="F34" s="90" t="s">
        <v>70</v>
      </c>
      <c r="G34" s="92">
        <v>9</v>
      </c>
      <c r="H34" s="93">
        <v>962</v>
      </c>
    </row>
    <row r="35" spans="1:8" ht="19.8" customHeight="1" x14ac:dyDescent="0.3">
      <c r="A35" s="99">
        <v>45988</v>
      </c>
      <c r="B35" s="90" t="s">
        <v>68</v>
      </c>
      <c r="C35" s="91" t="s">
        <v>72</v>
      </c>
      <c r="D35" s="90" t="s">
        <v>1</v>
      </c>
      <c r="E35" s="100">
        <v>1.2222222222222221</v>
      </c>
      <c r="F35" s="90" t="s">
        <v>70</v>
      </c>
      <c r="G35" s="92">
        <v>9</v>
      </c>
      <c r="H35" s="93">
        <v>962</v>
      </c>
    </row>
    <row r="36" spans="1:8" ht="19.8" customHeight="1" x14ac:dyDescent="0.3">
      <c r="A36" s="99">
        <v>45988</v>
      </c>
      <c r="B36" s="90" t="s">
        <v>80</v>
      </c>
      <c r="C36" s="91" t="s">
        <v>81</v>
      </c>
      <c r="D36" s="90" t="s">
        <v>1</v>
      </c>
      <c r="E36" s="100">
        <v>1.604166666666667</v>
      </c>
      <c r="F36" s="90" t="s">
        <v>82</v>
      </c>
      <c r="G36" s="92">
        <v>9</v>
      </c>
      <c r="H36" s="103" t="s">
        <v>101</v>
      </c>
    </row>
    <row r="37" spans="1:8" ht="19.8" customHeight="1" x14ac:dyDescent="0.3">
      <c r="A37" s="99">
        <v>45988</v>
      </c>
      <c r="B37" s="90" t="s">
        <v>80</v>
      </c>
      <c r="C37" s="91" t="s">
        <v>95</v>
      </c>
      <c r="D37" s="90" t="s">
        <v>1</v>
      </c>
      <c r="E37" s="100">
        <v>1.086805555555556</v>
      </c>
      <c r="F37" s="90" t="s">
        <v>82</v>
      </c>
      <c r="G37" s="92">
        <v>9</v>
      </c>
      <c r="H37" s="103" t="s">
        <v>101</v>
      </c>
    </row>
    <row r="38" spans="1:8" ht="19.8" customHeight="1" x14ac:dyDescent="0.3">
      <c r="A38" s="99">
        <v>45988</v>
      </c>
      <c r="B38" s="90" t="s">
        <v>80</v>
      </c>
      <c r="C38" s="91" t="s">
        <v>91</v>
      </c>
      <c r="D38" s="90" t="s">
        <v>1</v>
      </c>
      <c r="E38" s="100">
        <v>1.7951388888888891</v>
      </c>
      <c r="F38" s="90" t="s">
        <v>82</v>
      </c>
      <c r="G38" s="92">
        <v>1</v>
      </c>
      <c r="H38" s="103" t="s">
        <v>101</v>
      </c>
    </row>
    <row r="39" spans="1:8" ht="19.8" customHeight="1" x14ac:dyDescent="0.3">
      <c r="A39" s="101">
        <v>45988</v>
      </c>
      <c r="B39" s="95" t="s">
        <v>46</v>
      </c>
      <c r="C39" s="96" t="s">
        <v>107</v>
      </c>
      <c r="D39" s="95" t="s">
        <v>1</v>
      </c>
      <c r="E39" s="102">
        <v>1.538194444444444</v>
      </c>
      <c r="F39" s="95" t="s">
        <v>48</v>
      </c>
      <c r="G39" s="97">
        <v>4</v>
      </c>
      <c r="H39" s="115" t="s">
        <v>108</v>
      </c>
    </row>
    <row r="40" spans="1:8" ht="19.8" customHeight="1" x14ac:dyDescent="0.3">
      <c r="A40" s="99">
        <v>45988</v>
      </c>
      <c r="B40" s="90" t="s">
        <v>80</v>
      </c>
      <c r="C40" s="91" t="s">
        <v>81</v>
      </c>
      <c r="D40" s="90" t="s">
        <v>1</v>
      </c>
      <c r="E40" s="100">
        <v>1.604166666666667</v>
      </c>
      <c r="F40" s="90" t="s">
        <v>85</v>
      </c>
      <c r="G40" s="92">
        <v>9</v>
      </c>
      <c r="H40" s="103" t="s">
        <v>102</v>
      </c>
    </row>
    <row r="41" spans="1:8" ht="19.8" customHeight="1" x14ac:dyDescent="0.3">
      <c r="A41" s="99">
        <v>45988</v>
      </c>
      <c r="B41" s="90" t="s">
        <v>80</v>
      </c>
      <c r="C41" s="91" t="s">
        <v>95</v>
      </c>
      <c r="D41" s="90" t="s">
        <v>1</v>
      </c>
      <c r="E41" s="100">
        <v>1.086805555555556</v>
      </c>
      <c r="F41" s="90" t="s">
        <v>85</v>
      </c>
      <c r="G41" s="92">
        <v>9</v>
      </c>
      <c r="H41" s="103" t="s">
        <v>102</v>
      </c>
    </row>
    <row r="42" spans="1:8" ht="19.8" customHeight="1" x14ac:dyDescent="0.3">
      <c r="A42" s="99">
        <v>45988</v>
      </c>
      <c r="B42" s="90" t="s">
        <v>80</v>
      </c>
      <c r="C42" s="91" t="s">
        <v>91</v>
      </c>
      <c r="D42" s="90" t="s">
        <v>1</v>
      </c>
      <c r="E42" s="100">
        <v>1.7951388888888891</v>
      </c>
      <c r="F42" s="90" t="s">
        <v>85</v>
      </c>
      <c r="G42" s="92">
        <v>1</v>
      </c>
      <c r="H42" s="103" t="s">
        <v>102</v>
      </c>
    </row>
    <row r="43" spans="1:8" ht="19.8" customHeight="1" x14ac:dyDescent="0.3">
      <c r="A43" s="99">
        <v>45988</v>
      </c>
      <c r="B43" s="90" t="s">
        <v>68</v>
      </c>
      <c r="C43" s="91" t="s">
        <v>69</v>
      </c>
      <c r="D43" s="90" t="s">
        <v>1</v>
      </c>
      <c r="E43" s="100">
        <v>1.1076388888888891</v>
      </c>
      <c r="F43" s="90" t="s">
        <v>70</v>
      </c>
      <c r="G43" s="92">
        <v>2</v>
      </c>
      <c r="H43" s="103" t="s">
        <v>79</v>
      </c>
    </row>
    <row r="44" spans="1:8" ht="19.8" customHeight="1" x14ac:dyDescent="0.3">
      <c r="A44" s="99">
        <v>45988</v>
      </c>
      <c r="B44" s="90" t="s">
        <v>68</v>
      </c>
      <c r="C44" s="91" t="s">
        <v>78</v>
      </c>
      <c r="D44" s="90" t="s">
        <v>1</v>
      </c>
      <c r="E44" s="100">
        <v>1.854166666666667</v>
      </c>
      <c r="F44" s="90" t="s">
        <v>70</v>
      </c>
      <c r="G44" s="92">
        <v>7</v>
      </c>
      <c r="H44" s="103" t="s">
        <v>79</v>
      </c>
    </row>
    <row r="45" spans="1:8" ht="19.8" customHeight="1" x14ac:dyDescent="0.3">
      <c r="A45" s="109">
        <v>45988</v>
      </c>
      <c r="B45" s="110" t="s">
        <v>80</v>
      </c>
      <c r="C45" s="111" t="s">
        <v>88</v>
      </c>
      <c r="D45" s="110" t="s">
        <v>1</v>
      </c>
      <c r="E45" s="112">
        <v>1.4201388888888891</v>
      </c>
      <c r="F45" s="110" t="s">
        <v>85</v>
      </c>
      <c r="G45" s="113">
        <v>4</v>
      </c>
      <c r="H45" s="114" t="s">
        <v>106</v>
      </c>
    </row>
    <row r="46" spans="1:8" ht="19.8" customHeight="1" x14ac:dyDescent="0.3">
      <c r="A46" s="99">
        <v>45989</v>
      </c>
      <c r="B46" s="90" t="s">
        <v>68</v>
      </c>
      <c r="C46" s="91" t="s">
        <v>69</v>
      </c>
      <c r="D46" s="90" t="s">
        <v>1</v>
      </c>
      <c r="E46" s="100">
        <v>1.1076388888888891</v>
      </c>
      <c r="F46" s="90" t="s">
        <v>70</v>
      </c>
      <c r="G46" s="92">
        <v>9</v>
      </c>
      <c r="H46" s="93">
        <v>866</v>
      </c>
    </row>
    <row r="47" spans="1:8" ht="19.8" customHeight="1" x14ac:dyDescent="0.3">
      <c r="A47" s="99">
        <v>45989</v>
      </c>
      <c r="B47" s="90" t="s">
        <v>68</v>
      </c>
      <c r="C47" s="91" t="s">
        <v>72</v>
      </c>
      <c r="D47" s="90" t="s">
        <v>1</v>
      </c>
      <c r="E47" s="100">
        <v>1.2222222222222221</v>
      </c>
      <c r="F47" s="90" t="s">
        <v>70</v>
      </c>
      <c r="G47" s="92">
        <v>9</v>
      </c>
      <c r="H47" s="93">
        <v>866</v>
      </c>
    </row>
    <row r="48" spans="1:8" ht="19.8" customHeight="1" x14ac:dyDescent="0.3">
      <c r="A48" s="99">
        <v>45989</v>
      </c>
      <c r="B48" s="90" t="s">
        <v>80</v>
      </c>
      <c r="C48" s="91" t="s">
        <v>81</v>
      </c>
      <c r="D48" s="90" t="s">
        <v>1</v>
      </c>
      <c r="E48" s="100">
        <v>1.604166666666667</v>
      </c>
      <c r="F48" s="90" t="s">
        <v>82</v>
      </c>
      <c r="G48" s="92">
        <v>9</v>
      </c>
      <c r="H48" s="103" t="s">
        <v>84</v>
      </c>
    </row>
    <row r="49" spans="1:8" ht="19.8" customHeight="1" x14ac:dyDescent="0.3">
      <c r="A49" s="99">
        <v>45989</v>
      </c>
      <c r="B49" s="90" t="s">
        <v>80</v>
      </c>
      <c r="C49" s="91" t="s">
        <v>81</v>
      </c>
      <c r="D49" s="90" t="s">
        <v>1</v>
      </c>
      <c r="E49" s="100">
        <v>1.604166666666667</v>
      </c>
      <c r="F49" s="90" t="s">
        <v>85</v>
      </c>
      <c r="G49" s="92">
        <v>9</v>
      </c>
      <c r="H49" s="103" t="s">
        <v>87</v>
      </c>
    </row>
    <row r="50" spans="1:8" ht="19.8" customHeight="1" x14ac:dyDescent="0.3">
      <c r="A50" s="99">
        <v>45989</v>
      </c>
      <c r="B50" s="90" t="s">
        <v>80</v>
      </c>
      <c r="C50" s="91" t="s">
        <v>95</v>
      </c>
      <c r="D50" s="90" t="s">
        <v>1</v>
      </c>
      <c r="E50" s="100">
        <v>1.086805555555556</v>
      </c>
      <c r="F50" s="90" t="s">
        <v>82</v>
      </c>
      <c r="G50" s="92">
        <v>9</v>
      </c>
      <c r="H50" s="103" t="s">
        <v>101</v>
      </c>
    </row>
    <row r="51" spans="1:8" ht="19.8" customHeight="1" x14ac:dyDescent="0.3">
      <c r="A51" s="99">
        <v>45989</v>
      </c>
      <c r="B51" s="90" t="s">
        <v>80</v>
      </c>
      <c r="C51" s="91" t="s">
        <v>95</v>
      </c>
      <c r="D51" s="90" t="s">
        <v>1</v>
      </c>
      <c r="E51" s="100">
        <v>1.086805555555556</v>
      </c>
      <c r="F51" s="90" t="s">
        <v>85</v>
      </c>
      <c r="G51" s="92">
        <v>9</v>
      </c>
      <c r="H51" s="103" t="s">
        <v>102</v>
      </c>
    </row>
    <row r="52" spans="1:8" ht="19.8" customHeight="1" x14ac:dyDescent="0.3">
      <c r="A52" s="99">
        <v>45989</v>
      </c>
      <c r="B52" s="90" t="s">
        <v>80</v>
      </c>
      <c r="C52" s="91" t="s">
        <v>88</v>
      </c>
      <c r="D52" s="90" t="s">
        <v>1</v>
      </c>
      <c r="E52" s="100">
        <v>1.4201388888888891</v>
      </c>
      <c r="F52" s="90" t="s">
        <v>85</v>
      </c>
      <c r="G52" s="92">
        <v>4</v>
      </c>
      <c r="H52" s="103" t="s">
        <v>90</v>
      </c>
    </row>
    <row r="53" spans="1:8" ht="19.8" customHeight="1" x14ac:dyDescent="0.3">
      <c r="A53" s="99">
        <v>45989</v>
      </c>
      <c r="B53" s="90" t="s">
        <v>68</v>
      </c>
      <c r="C53" s="91" t="s">
        <v>77</v>
      </c>
      <c r="D53" s="90" t="s">
        <v>1</v>
      </c>
      <c r="E53" s="100">
        <v>1.493055555555556</v>
      </c>
      <c r="F53" s="90" t="s">
        <v>70</v>
      </c>
      <c r="G53" s="92">
        <v>1</v>
      </c>
      <c r="H53" s="103" t="s">
        <v>79</v>
      </c>
    </row>
    <row r="54" spans="1:8" ht="19.8" customHeight="1" x14ac:dyDescent="0.3">
      <c r="A54" s="99">
        <v>45989</v>
      </c>
      <c r="B54" s="90" t="s">
        <v>80</v>
      </c>
      <c r="C54" s="91" t="s">
        <v>91</v>
      </c>
      <c r="D54" s="90" t="s">
        <v>1</v>
      </c>
      <c r="E54" s="100">
        <v>1.7951388888888891</v>
      </c>
      <c r="F54" s="90" t="s">
        <v>82</v>
      </c>
      <c r="G54" s="92">
        <v>1</v>
      </c>
      <c r="H54" s="103" t="s">
        <v>111</v>
      </c>
    </row>
    <row r="55" spans="1:8" ht="19.8" customHeight="1" x14ac:dyDescent="0.3">
      <c r="A55" s="109">
        <v>45989</v>
      </c>
      <c r="B55" s="110" t="s">
        <v>80</v>
      </c>
      <c r="C55" s="111" t="s">
        <v>91</v>
      </c>
      <c r="D55" s="110" t="s">
        <v>1</v>
      </c>
      <c r="E55" s="112">
        <v>1.7951388888888891</v>
      </c>
      <c r="F55" s="110" t="s">
        <v>85</v>
      </c>
      <c r="G55" s="113">
        <v>1</v>
      </c>
      <c r="H55" s="114" t="s">
        <v>112</v>
      </c>
    </row>
    <row r="56" spans="1:8" ht="19.8" customHeight="1" x14ac:dyDescent="0.3">
      <c r="A56" s="99">
        <v>45990</v>
      </c>
      <c r="B56" s="90" t="s">
        <v>26</v>
      </c>
      <c r="C56" s="91" t="s">
        <v>27</v>
      </c>
      <c r="D56" s="90" t="s">
        <v>1</v>
      </c>
      <c r="E56" s="100">
        <v>1.4201388888888891</v>
      </c>
      <c r="F56" s="90" t="s">
        <v>28</v>
      </c>
      <c r="G56" s="92">
        <v>6</v>
      </c>
      <c r="H56" s="93">
        <v>619</v>
      </c>
    </row>
    <row r="57" spans="1:8" ht="19.8" customHeight="1" x14ac:dyDescent="0.3">
      <c r="A57" s="99">
        <v>45990</v>
      </c>
      <c r="B57" s="90" t="s">
        <v>36</v>
      </c>
      <c r="C57" s="91" t="s">
        <v>115</v>
      </c>
      <c r="D57" s="90" t="s">
        <v>1</v>
      </c>
      <c r="E57" s="100">
        <v>1.354166666666667</v>
      </c>
      <c r="F57" s="90" t="s">
        <v>38</v>
      </c>
      <c r="G57" s="92">
        <v>9</v>
      </c>
      <c r="H57" s="93">
        <v>749</v>
      </c>
    </row>
    <row r="58" spans="1:8" ht="19.8" customHeight="1" x14ac:dyDescent="0.3">
      <c r="A58" s="99">
        <v>45990</v>
      </c>
      <c r="B58" s="90" t="s">
        <v>26</v>
      </c>
      <c r="C58" s="91" t="s">
        <v>27</v>
      </c>
      <c r="D58" s="90" t="s">
        <v>1</v>
      </c>
      <c r="E58" s="100">
        <v>1.4201388888888891</v>
      </c>
      <c r="F58" s="90" t="s">
        <v>31</v>
      </c>
      <c r="G58" s="92">
        <v>6</v>
      </c>
      <c r="H58" s="93">
        <v>769</v>
      </c>
    </row>
    <row r="59" spans="1:8" ht="19.8" customHeight="1" x14ac:dyDescent="0.3">
      <c r="A59" s="99">
        <v>45990</v>
      </c>
      <c r="B59" s="90" t="s">
        <v>36</v>
      </c>
      <c r="C59" s="91" t="s">
        <v>115</v>
      </c>
      <c r="D59" s="90" t="s">
        <v>1</v>
      </c>
      <c r="E59" s="100">
        <v>1.354166666666667</v>
      </c>
      <c r="F59" s="90" t="s">
        <v>41</v>
      </c>
      <c r="G59" s="92">
        <v>9</v>
      </c>
      <c r="H59" s="93">
        <v>849</v>
      </c>
    </row>
    <row r="60" spans="1:8" ht="19.8" customHeight="1" x14ac:dyDescent="0.3">
      <c r="A60" s="99">
        <v>45990</v>
      </c>
      <c r="B60" s="90" t="s">
        <v>36</v>
      </c>
      <c r="C60" s="91" t="s">
        <v>115</v>
      </c>
      <c r="D60" s="90" t="s">
        <v>1</v>
      </c>
      <c r="E60" s="100">
        <v>1.354166666666667</v>
      </c>
      <c r="F60" s="90" t="s">
        <v>44</v>
      </c>
      <c r="G60" s="92">
        <v>9</v>
      </c>
      <c r="H60" s="93">
        <v>939</v>
      </c>
    </row>
    <row r="61" spans="1:8" ht="19.8" customHeight="1" x14ac:dyDescent="0.3">
      <c r="A61" s="99">
        <v>45990</v>
      </c>
      <c r="B61" s="90" t="s">
        <v>26</v>
      </c>
      <c r="C61" s="91" t="s">
        <v>27</v>
      </c>
      <c r="D61" s="90" t="s">
        <v>1</v>
      </c>
      <c r="E61" s="100">
        <v>1.4201388888888891</v>
      </c>
      <c r="F61" s="90" t="s">
        <v>34</v>
      </c>
      <c r="G61" s="92">
        <v>6</v>
      </c>
      <c r="H61" s="103" t="s">
        <v>35</v>
      </c>
    </row>
    <row r="62" spans="1:8" ht="19.8" customHeight="1" x14ac:dyDescent="0.3">
      <c r="A62" s="99">
        <v>45990</v>
      </c>
      <c r="B62" s="90" t="s">
        <v>36</v>
      </c>
      <c r="C62" s="91" t="s">
        <v>37</v>
      </c>
      <c r="D62" s="90" t="s">
        <v>1</v>
      </c>
      <c r="E62" s="100">
        <v>1.756944444444444</v>
      </c>
      <c r="F62" s="90" t="s">
        <v>44</v>
      </c>
      <c r="G62" s="92">
        <v>2</v>
      </c>
      <c r="H62" s="103" t="s">
        <v>121</v>
      </c>
    </row>
    <row r="63" spans="1:8" ht="19.8" customHeight="1" x14ac:dyDescent="0.3">
      <c r="A63" s="99">
        <v>45990</v>
      </c>
      <c r="B63" s="90" t="s">
        <v>36</v>
      </c>
      <c r="C63" s="91" t="s">
        <v>37</v>
      </c>
      <c r="D63" s="90" t="s">
        <v>1</v>
      </c>
      <c r="E63" s="100">
        <v>1.756944444444444</v>
      </c>
      <c r="F63" s="90" t="s">
        <v>38</v>
      </c>
      <c r="G63" s="92">
        <v>2</v>
      </c>
      <c r="H63" s="103" t="s">
        <v>123</v>
      </c>
    </row>
    <row r="64" spans="1:8" ht="19.8" customHeight="1" x14ac:dyDescent="0.3">
      <c r="A64" s="99">
        <v>45990</v>
      </c>
      <c r="B64" s="90" t="s">
        <v>80</v>
      </c>
      <c r="C64" s="91" t="s">
        <v>91</v>
      </c>
      <c r="D64" s="90" t="s">
        <v>1</v>
      </c>
      <c r="E64" s="100">
        <v>1.7951388888888891</v>
      </c>
      <c r="F64" s="90" t="s">
        <v>82</v>
      </c>
      <c r="G64" s="92">
        <v>3</v>
      </c>
      <c r="H64" s="103" t="s">
        <v>101</v>
      </c>
    </row>
    <row r="65" spans="1:8" ht="19.8" customHeight="1" x14ac:dyDescent="0.3">
      <c r="A65" s="99">
        <v>45990</v>
      </c>
      <c r="B65" s="90" t="s">
        <v>36</v>
      </c>
      <c r="C65" s="91" t="s">
        <v>37</v>
      </c>
      <c r="D65" s="90" t="s">
        <v>1</v>
      </c>
      <c r="E65" s="100">
        <v>1.756944444444444</v>
      </c>
      <c r="F65" s="90" t="s">
        <v>41</v>
      </c>
      <c r="G65" s="92">
        <v>2</v>
      </c>
      <c r="H65" s="103" t="s">
        <v>124</v>
      </c>
    </row>
    <row r="66" spans="1:8" ht="19.8" customHeight="1" x14ac:dyDescent="0.3">
      <c r="A66" s="99">
        <v>45990</v>
      </c>
      <c r="B66" s="90" t="s">
        <v>80</v>
      </c>
      <c r="C66" s="91" t="s">
        <v>91</v>
      </c>
      <c r="D66" s="90" t="s">
        <v>1</v>
      </c>
      <c r="E66" s="100">
        <v>1.7951388888888891</v>
      </c>
      <c r="F66" s="90" t="s">
        <v>85</v>
      </c>
      <c r="G66" s="92">
        <v>3</v>
      </c>
      <c r="H66" s="103" t="s">
        <v>102</v>
      </c>
    </row>
    <row r="67" spans="1:8" ht="19.8" customHeight="1" x14ac:dyDescent="0.3">
      <c r="A67" s="99">
        <v>45990</v>
      </c>
      <c r="B67" s="90" t="s">
        <v>80</v>
      </c>
      <c r="C67" s="91" t="s">
        <v>81</v>
      </c>
      <c r="D67" s="90" t="s">
        <v>1</v>
      </c>
      <c r="E67" s="100">
        <v>1.604166666666667</v>
      </c>
      <c r="F67" s="90" t="s">
        <v>82</v>
      </c>
      <c r="G67" s="92">
        <v>1</v>
      </c>
      <c r="H67" s="103" t="s">
        <v>93</v>
      </c>
    </row>
    <row r="68" spans="1:8" ht="19.8" customHeight="1" x14ac:dyDescent="0.3">
      <c r="A68" s="99">
        <v>45990</v>
      </c>
      <c r="B68" s="90" t="s">
        <v>80</v>
      </c>
      <c r="C68" s="91" t="s">
        <v>95</v>
      </c>
      <c r="D68" s="90" t="s">
        <v>1</v>
      </c>
      <c r="E68" s="100">
        <v>1.086805555555556</v>
      </c>
      <c r="F68" s="90" t="s">
        <v>82</v>
      </c>
      <c r="G68" s="92">
        <v>9</v>
      </c>
      <c r="H68" s="103" t="s">
        <v>93</v>
      </c>
    </row>
    <row r="69" spans="1:8" ht="19.8" customHeight="1" x14ac:dyDescent="0.3">
      <c r="A69" s="99">
        <v>45990</v>
      </c>
      <c r="B69" s="90" t="s">
        <v>80</v>
      </c>
      <c r="C69" s="91" t="s">
        <v>88</v>
      </c>
      <c r="D69" s="90" t="s">
        <v>1</v>
      </c>
      <c r="E69" s="100">
        <v>1.4201388888888891</v>
      </c>
      <c r="F69" s="90" t="s">
        <v>85</v>
      </c>
      <c r="G69" s="92">
        <v>4</v>
      </c>
      <c r="H69" s="103" t="s">
        <v>106</v>
      </c>
    </row>
    <row r="70" spans="1:8" ht="19.8" customHeight="1" x14ac:dyDescent="0.3">
      <c r="A70" s="99">
        <v>45990</v>
      </c>
      <c r="B70" s="90" t="s">
        <v>80</v>
      </c>
      <c r="C70" s="91" t="s">
        <v>81</v>
      </c>
      <c r="D70" s="90" t="s">
        <v>1</v>
      </c>
      <c r="E70" s="100">
        <v>1.604166666666667</v>
      </c>
      <c r="F70" s="90" t="s">
        <v>85</v>
      </c>
      <c r="G70" s="92">
        <v>1</v>
      </c>
      <c r="H70" s="103" t="s">
        <v>94</v>
      </c>
    </row>
    <row r="71" spans="1:8" ht="19.8" customHeight="1" x14ac:dyDescent="0.3">
      <c r="A71" s="99">
        <v>45990</v>
      </c>
      <c r="B71" s="90" t="s">
        <v>80</v>
      </c>
      <c r="C71" s="91" t="s">
        <v>95</v>
      </c>
      <c r="D71" s="90" t="s">
        <v>1</v>
      </c>
      <c r="E71" s="100">
        <v>1.086805555555556</v>
      </c>
      <c r="F71" s="90" t="s">
        <v>85</v>
      </c>
      <c r="G71" s="92">
        <v>9</v>
      </c>
      <c r="H71" s="103" t="s">
        <v>94</v>
      </c>
    </row>
    <row r="72" spans="1:8" ht="19.8" customHeight="1" x14ac:dyDescent="0.3">
      <c r="A72" s="104">
        <v>45990</v>
      </c>
      <c r="B72" s="105" t="s">
        <v>46</v>
      </c>
      <c r="C72" s="106" t="s">
        <v>62</v>
      </c>
      <c r="D72" s="105" t="s">
        <v>1</v>
      </c>
      <c r="E72" s="107">
        <v>1.395833333333333</v>
      </c>
      <c r="F72" s="105" t="s">
        <v>63</v>
      </c>
      <c r="G72" s="105"/>
      <c r="H72" s="108" t="s">
        <v>64</v>
      </c>
    </row>
    <row r="73" spans="1:8" ht="19.8" customHeight="1" x14ac:dyDescent="0.3">
      <c r="A73" s="99">
        <v>45991</v>
      </c>
      <c r="B73" s="90" t="s">
        <v>26</v>
      </c>
      <c r="C73" s="91" t="s">
        <v>27</v>
      </c>
      <c r="D73" s="90" t="s">
        <v>1</v>
      </c>
      <c r="E73" s="100">
        <v>1.4201388888888891</v>
      </c>
      <c r="F73" s="90" t="s">
        <v>28</v>
      </c>
      <c r="G73" s="92">
        <v>2</v>
      </c>
      <c r="H73" s="93">
        <v>559</v>
      </c>
    </row>
    <row r="74" spans="1:8" ht="19.8" customHeight="1" x14ac:dyDescent="0.3">
      <c r="A74" s="99">
        <v>45991</v>
      </c>
      <c r="B74" s="90" t="s">
        <v>26</v>
      </c>
      <c r="C74" s="91" t="s">
        <v>27</v>
      </c>
      <c r="D74" s="90" t="s">
        <v>1</v>
      </c>
      <c r="E74" s="100">
        <v>1.4201388888888891</v>
      </c>
      <c r="F74" s="90" t="s">
        <v>31</v>
      </c>
      <c r="G74" s="92">
        <v>2</v>
      </c>
      <c r="H74" s="93">
        <v>709</v>
      </c>
    </row>
    <row r="75" spans="1:8" ht="19.8" customHeight="1" x14ac:dyDescent="0.3">
      <c r="A75" s="99">
        <v>45991</v>
      </c>
      <c r="B75" s="90" t="s">
        <v>36</v>
      </c>
      <c r="C75" s="91" t="s">
        <v>37</v>
      </c>
      <c r="D75" s="90" t="s">
        <v>1</v>
      </c>
      <c r="E75" s="100">
        <v>1.756944444444444</v>
      </c>
      <c r="F75" s="90" t="s">
        <v>38</v>
      </c>
      <c r="G75" s="92">
        <v>7</v>
      </c>
      <c r="H75" s="93">
        <v>889</v>
      </c>
    </row>
    <row r="76" spans="1:8" ht="19.8" customHeight="1" x14ac:dyDescent="0.3">
      <c r="A76" s="99">
        <v>45991</v>
      </c>
      <c r="B76" s="90" t="s">
        <v>36</v>
      </c>
      <c r="C76" s="91" t="s">
        <v>37</v>
      </c>
      <c r="D76" s="90" t="s">
        <v>1</v>
      </c>
      <c r="E76" s="100">
        <v>1.756944444444444</v>
      </c>
      <c r="F76" s="90" t="s">
        <v>41</v>
      </c>
      <c r="G76" s="92">
        <v>7</v>
      </c>
      <c r="H76" s="93">
        <v>989</v>
      </c>
    </row>
    <row r="77" spans="1:8" ht="19.8" customHeight="1" x14ac:dyDescent="0.3">
      <c r="A77" s="99">
        <v>45991</v>
      </c>
      <c r="B77" s="90" t="s">
        <v>36</v>
      </c>
      <c r="C77" s="91" t="s">
        <v>37</v>
      </c>
      <c r="D77" s="90" t="s">
        <v>1</v>
      </c>
      <c r="E77" s="100">
        <v>1.756944444444444</v>
      </c>
      <c r="F77" s="90" t="s">
        <v>44</v>
      </c>
      <c r="G77" s="92">
        <v>7</v>
      </c>
      <c r="H77" s="103" t="s">
        <v>132</v>
      </c>
    </row>
    <row r="78" spans="1:8" ht="19.8" customHeight="1" x14ac:dyDescent="0.3">
      <c r="A78" s="99">
        <v>45991</v>
      </c>
      <c r="B78" s="90" t="s">
        <v>26</v>
      </c>
      <c r="C78" s="91" t="s">
        <v>27</v>
      </c>
      <c r="D78" s="90" t="s">
        <v>1</v>
      </c>
      <c r="E78" s="100">
        <v>1.4201388888888891</v>
      </c>
      <c r="F78" s="90" t="s">
        <v>34</v>
      </c>
      <c r="G78" s="92">
        <v>2</v>
      </c>
      <c r="H78" s="103" t="s">
        <v>35</v>
      </c>
    </row>
    <row r="79" spans="1:8" ht="19.8" customHeight="1" x14ac:dyDescent="0.3">
      <c r="A79" s="101">
        <v>45991</v>
      </c>
      <c r="B79" s="95" t="s">
        <v>46</v>
      </c>
      <c r="C79" s="96" t="s">
        <v>107</v>
      </c>
      <c r="D79" s="95" t="s">
        <v>1</v>
      </c>
      <c r="E79" s="102">
        <v>1.9027777777777779</v>
      </c>
      <c r="F79" s="95" t="s">
        <v>48</v>
      </c>
      <c r="G79" s="97">
        <v>5</v>
      </c>
      <c r="H79" s="115" t="s">
        <v>134</v>
      </c>
    </row>
    <row r="80" spans="1:8" ht="19.8" customHeight="1" x14ac:dyDescent="0.3">
      <c r="A80" s="99">
        <v>45991</v>
      </c>
      <c r="B80" s="90" t="s">
        <v>80</v>
      </c>
      <c r="C80" s="91" t="s">
        <v>81</v>
      </c>
      <c r="D80" s="90" t="s">
        <v>1</v>
      </c>
      <c r="E80" s="100">
        <v>1.604166666666667</v>
      </c>
      <c r="F80" s="90" t="s">
        <v>82</v>
      </c>
      <c r="G80" s="92">
        <v>9</v>
      </c>
      <c r="H80" s="103" t="s">
        <v>101</v>
      </c>
    </row>
    <row r="81" spans="1:8" ht="19.8" customHeight="1" x14ac:dyDescent="0.3">
      <c r="A81" s="99">
        <v>45991</v>
      </c>
      <c r="B81" s="90" t="s">
        <v>80</v>
      </c>
      <c r="C81" s="91" t="s">
        <v>81</v>
      </c>
      <c r="D81" s="90" t="s">
        <v>1</v>
      </c>
      <c r="E81" s="100">
        <v>1.604166666666667</v>
      </c>
      <c r="F81" s="90" t="s">
        <v>85</v>
      </c>
      <c r="G81" s="92">
        <v>9</v>
      </c>
      <c r="H81" s="103" t="s">
        <v>102</v>
      </c>
    </row>
    <row r="82" spans="1:8" ht="19.8" customHeight="1" x14ac:dyDescent="0.3">
      <c r="A82" s="99">
        <v>45991</v>
      </c>
      <c r="B82" s="90" t="s">
        <v>80</v>
      </c>
      <c r="C82" s="91" t="s">
        <v>88</v>
      </c>
      <c r="D82" s="90" t="s">
        <v>1</v>
      </c>
      <c r="E82" s="100">
        <v>1.4201388888888891</v>
      </c>
      <c r="F82" s="90" t="s">
        <v>85</v>
      </c>
      <c r="G82" s="92">
        <v>4</v>
      </c>
      <c r="H82" s="103" t="s">
        <v>90</v>
      </c>
    </row>
    <row r="83" spans="1:8" ht="19.8" customHeight="1" x14ac:dyDescent="0.3">
      <c r="A83" s="99">
        <v>45991</v>
      </c>
      <c r="B83" s="90" t="s">
        <v>80</v>
      </c>
      <c r="C83" s="91" t="s">
        <v>91</v>
      </c>
      <c r="D83" s="90" t="s">
        <v>1</v>
      </c>
      <c r="E83" s="100">
        <v>1.7951388888888891</v>
      </c>
      <c r="F83" s="90" t="s">
        <v>82</v>
      </c>
      <c r="G83" s="92">
        <v>5</v>
      </c>
      <c r="H83" s="103" t="s">
        <v>93</v>
      </c>
    </row>
    <row r="84" spans="1:8" ht="19.8" customHeight="1" x14ac:dyDescent="0.3">
      <c r="A84" s="99">
        <v>45991</v>
      </c>
      <c r="B84" s="90" t="s">
        <v>80</v>
      </c>
      <c r="C84" s="91" t="s">
        <v>95</v>
      </c>
      <c r="D84" s="90" t="s">
        <v>1</v>
      </c>
      <c r="E84" s="100">
        <v>1.086805555555556</v>
      </c>
      <c r="F84" s="90" t="s">
        <v>82</v>
      </c>
      <c r="G84" s="92">
        <v>9</v>
      </c>
      <c r="H84" s="103" t="s">
        <v>93</v>
      </c>
    </row>
    <row r="85" spans="1:8" ht="19.8" customHeight="1" x14ac:dyDescent="0.3">
      <c r="A85" s="99">
        <v>45991</v>
      </c>
      <c r="B85" s="90" t="s">
        <v>80</v>
      </c>
      <c r="C85" s="91" t="s">
        <v>91</v>
      </c>
      <c r="D85" s="90" t="s">
        <v>1</v>
      </c>
      <c r="E85" s="100">
        <v>1.7951388888888891</v>
      </c>
      <c r="F85" s="90" t="s">
        <v>85</v>
      </c>
      <c r="G85" s="92">
        <v>5</v>
      </c>
      <c r="H85" s="103" t="s">
        <v>94</v>
      </c>
    </row>
    <row r="86" spans="1:8" ht="19.8" customHeight="1" x14ac:dyDescent="0.3">
      <c r="A86" s="109">
        <v>45991</v>
      </c>
      <c r="B86" s="110" t="s">
        <v>80</v>
      </c>
      <c r="C86" s="111" t="s">
        <v>95</v>
      </c>
      <c r="D86" s="110" t="s">
        <v>1</v>
      </c>
      <c r="E86" s="112">
        <v>1.086805555555556</v>
      </c>
      <c r="F86" s="110" t="s">
        <v>85</v>
      </c>
      <c r="G86" s="113">
        <v>9</v>
      </c>
      <c r="H86" s="114" t="s">
        <v>94</v>
      </c>
    </row>
    <row r="87" spans="1:8" ht="19.8" customHeight="1" x14ac:dyDescent="0.3">
      <c r="A87" s="99">
        <v>45992</v>
      </c>
      <c r="B87" s="90" t="s">
        <v>80</v>
      </c>
      <c r="C87" s="91" t="s">
        <v>91</v>
      </c>
      <c r="D87" s="90" t="s">
        <v>1</v>
      </c>
      <c r="E87" s="100">
        <v>1.7951388888888891</v>
      </c>
      <c r="F87" s="90" t="s">
        <v>82</v>
      </c>
      <c r="G87" s="92">
        <v>9</v>
      </c>
      <c r="H87" s="103" t="s">
        <v>101</v>
      </c>
    </row>
    <row r="88" spans="1:8" ht="19.8" customHeight="1" x14ac:dyDescent="0.3">
      <c r="A88" s="99">
        <v>45992</v>
      </c>
      <c r="B88" s="90" t="s">
        <v>80</v>
      </c>
      <c r="C88" s="91" t="s">
        <v>81</v>
      </c>
      <c r="D88" s="90" t="s">
        <v>1</v>
      </c>
      <c r="E88" s="100">
        <v>1.604166666666667</v>
      </c>
      <c r="F88" s="90" t="s">
        <v>82</v>
      </c>
      <c r="G88" s="92">
        <v>9</v>
      </c>
      <c r="H88" s="103" t="s">
        <v>101</v>
      </c>
    </row>
    <row r="89" spans="1:8" ht="19.8" customHeight="1" x14ac:dyDescent="0.3">
      <c r="A89" s="99">
        <v>45992</v>
      </c>
      <c r="B89" s="90" t="s">
        <v>80</v>
      </c>
      <c r="C89" s="91" t="s">
        <v>91</v>
      </c>
      <c r="D89" s="90" t="s">
        <v>1</v>
      </c>
      <c r="E89" s="100">
        <v>1.7951388888888891</v>
      </c>
      <c r="F89" s="90" t="s">
        <v>85</v>
      </c>
      <c r="G89" s="92">
        <v>9</v>
      </c>
      <c r="H89" s="103" t="s">
        <v>102</v>
      </c>
    </row>
    <row r="90" spans="1:8" ht="19.8" customHeight="1" x14ac:dyDescent="0.3">
      <c r="A90" s="99">
        <v>45992</v>
      </c>
      <c r="B90" s="90" t="s">
        <v>80</v>
      </c>
      <c r="C90" s="91" t="s">
        <v>81</v>
      </c>
      <c r="D90" s="90" t="s">
        <v>1</v>
      </c>
      <c r="E90" s="100">
        <v>1.604166666666667</v>
      </c>
      <c r="F90" s="90" t="s">
        <v>85</v>
      </c>
      <c r="G90" s="92">
        <v>9</v>
      </c>
      <c r="H90" s="103" t="s">
        <v>102</v>
      </c>
    </row>
    <row r="91" spans="1:8" ht="19.8" customHeight="1" x14ac:dyDescent="0.3">
      <c r="A91" s="99">
        <v>45992</v>
      </c>
      <c r="B91" s="90" t="s">
        <v>68</v>
      </c>
      <c r="C91" s="91" t="s">
        <v>77</v>
      </c>
      <c r="D91" s="90" t="s">
        <v>1</v>
      </c>
      <c r="E91" s="100">
        <v>1.489583333333333</v>
      </c>
      <c r="F91" s="90" t="s">
        <v>70</v>
      </c>
      <c r="G91" s="92">
        <v>7</v>
      </c>
      <c r="H91" s="103" t="s">
        <v>79</v>
      </c>
    </row>
    <row r="92" spans="1:8" ht="19.8" customHeight="1" x14ac:dyDescent="0.3">
      <c r="A92" s="99">
        <v>45992</v>
      </c>
      <c r="B92" s="90" t="s">
        <v>80</v>
      </c>
      <c r="C92" s="91" t="s">
        <v>95</v>
      </c>
      <c r="D92" s="90" t="s">
        <v>1</v>
      </c>
      <c r="E92" s="100">
        <v>1.086805555555556</v>
      </c>
      <c r="F92" s="90" t="s">
        <v>82</v>
      </c>
      <c r="G92" s="92">
        <v>1</v>
      </c>
      <c r="H92" s="103" t="s">
        <v>93</v>
      </c>
    </row>
    <row r="93" spans="1:8" ht="19.8" customHeight="1" x14ac:dyDescent="0.3">
      <c r="A93" s="99">
        <v>45992</v>
      </c>
      <c r="B93" s="90" t="s">
        <v>80</v>
      </c>
      <c r="C93" s="91" t="s">
        <v>88</v>
      </c>
      <c r="D93" s="90" t="s">
        <v>1</v>
      </c>
      <c r="E93" s="100">
        <v>1.4201388888888891</v>
      </c>
      <c r="F93" s="90" t="s">
        <v>85</v>
      </c>
      <c r="G93" s="92">
        <v>4</v>
      </c>
      <c r="H93" s="103" t="s">
        <v>106</v>
      </c>
    </row>
    <row r="94" spans="1:8" ht="19.8" customHeight="1" x14ac:dyDescent="0.3">
      <c r="A94" s="109">
        <v>45992</v>
      </c>
      <c r="B94" s="110" t="s">
        <v>80</v>
      </c>
      <c r="C94" s="111" t="s">
        <v>95</v>
      </c>
      <c r="D94" s="110" t="s">
        <v>1</v>
      </c>
      <c r="E94" s="112">
        <v>1.086805555555556</v>
      </c>
      <c r="F94" s="110" t="s">
        <v>85</v>
      </c>
      <c r="G94" s="113">
        <v>1</v>
      </c>
      <c r="H94" s="114" t="s">
        <v>94</v>
      </c>
    </row>
    <row r="95" spans="1:8" ht="19.8" customHeight="1" x14ac:dyDescent="0.3">
      <c r="A95" s="99">
        <v>45993</v>
      </c>
      <c r="B95" s="90" t="s">
        <v>26</v>
      </c>
      <c r="C95" s="91" t="s">
        <v>27</v>
      </c>
      <c r="D95" s="90" t="s">
        <v>1</v>
      </c>
      <c r="E95" s="100">
        <v>1.4201388888888891</v>
      </c>
      <c r="F95" s="90" t="s">
        <v>28</v>
      </c>
      <c r="G95" s="92">
        <v>9</v>
      </c>
      <c r="H95" s="93">
        <v>699</v>
      </c>
    </row>
    <row r="96" spans="1:8" ht="19.8" customHeight="1" x14ac:dyDescent="0.3">
      <c r="A96" s="99">
        <v>45993</v>
      </c>
      <c r="B96" s="90" t="s">
        <v>26</v>
      </c>
      <c r="C96" s="91" t="s">
        <v>27</v>
      </c>
      <c r="D96" s="90" t="s">
        <v>1</v>
      </c>
      <c r="E96" s="100">
        <v>1.4201388888888891</v>
      </c>
      <c r="F96" s="90" t="s">
        <v>31</v>
      </c>
      <c r="G96" s="92">
        <v>9</v>
      </c>
      <c r="H96" s="93">
        <v>849</v>
      </c>
    </row>
    <row r="97" spans="1:8" ht="19.8" customHeight="1" x14ac:dyDescent="0.3">
      <c r="A97" s="99">
        <v>45993</v>
      </c>
      <c r="B97" s="90" t="s">
        <v>36</v>
      </c>
      <c r="C97" s="91" t="s">
        <v>37</v>
      </c>
      <c r="D97" s="90" t="s">
        <v>1</v>
      </c>
      <c r="E97" s="100">
        <v>1.756944444444444</v>
      </c>
      <c r="F97" s="90" t="s">
        <v>38</v>
      </c>
      <c r="G97" s="92">
        <v>4</v>
      </c>
      <c r="H97" s="93">
        <v>889</v>
      </c>
    </row>
    <row r="98" spans="1:8" ht="19.8" customHeight="1" x14ac:dyDescent="0.3">
      <c r="A98" s="101">
        <v>45993</v>
      </c>
      <c r="B98" s="95" t="s">
        <v>46</v>
      </c>
      <c r="C98" s="96" t="s">
        <v>47</v>
      </c>
      <c r="D98" s="95" t="s">
        <v>1</v>
      </c>
      <c r="E98" s="102">
        <v>1.2777777777777779</v>
      </c>
      <c r="F98" s="95" t="s">
        <v>48</v>
      </c>
      <c r="G98" s="97">
        <v>9</v>
      </c>
      <c r="H98" s="98">
        <v>914</v>
      </c>
    </row>
    <row r="99" spans="1:8" ht="19.8" customHeight="1" x14ac:dyDescent="0.3">
      <c r="A99" s="99">
        <v>45993</v>
      </c>
      <c r="B99" s="90" t="s">
        <v>36</v>
      </c>
      <c r="C99" s="91" t="s">
        <v>37</v>
      </c>
      <c r="D99" s="90" t="s">
        <v>1</v>
      </c>
      <c r="E99" s="100">
        <v>1.756944444444444</v>
      </c>
      <c r="F99" s="90" t="s">
        <v>41</v>
      </c>
      <c r="G99" s="92">
        <v>4</v>
      </c>
      <c r="H99" s="93">
        <v>989</v>
      </c>
    </row>
    <row r="100" spans="1:8" ht="19.8" customHeight="1" x14ac:dyDescent="0.3">
      <c r="A100" s="101">
        <v>45993</v>
      </c>
      <c r="B100" s="95" t="s">
        <v>46</v>
      </c>
      <c r="C100" s="96" t="s">
        <v>55</v>
      </c>
      <c r="D100" s="95" t="s">
        <v>1</v>
      </c>
      <c r="E100" s="102">
        <v>1.0486111111111109</v>
      </c>
      <c r="F100" s="95" t="s">
        <v>48</v>
      </c>
      <c r="G100" s="97">
        <v>6</v>
      </c>
      <c r="H100" s="98">
        <v>992</v>
      </c>
    </row>
    <row r="101" spans="1:8" ht="19.8" customHeight="1" x14ac:dyDescent="0.3">
      <c r="A101" s="99">
        <v>45993</v>
      </c>
      <c r="B101" s="90" t="s">
        <v>36</v>
      </c>
      <c r="C101" s="91" t="s">
        <v>37</v>
      </c>
      <c r="D101" s="90" t="s">
        <v>1</v>
      </c>
      <c r="E101" s="100">
        <v>1.756944444444444</v>
      </c>
      <c r="F101" s="90" t="s">
        <v>44</v>
      </c>
      <c r="G101" s="92">
        <v>4</v>
      </c>
      <c r="H101" s="103" t="s">
        <v>132</v>
      </c>
    </row>
    <row r="102" spans="1:8" ht="19.8" customHeight="1" x14ac:dyDescent="0.3">
      <c r="A102" s="99">
        <v>45993</v>
      </c>
      <c r="B102" s="90" t="s">
        <v>26</v>
      </c>
      <c r="C102" s="91" t="s">
        <v>27</v>
      </c>
      <c r="D102" s="90" t="s">
        <v>1</v>
      </c>
      <c r="E102" s="100">
        <v>1.4201388888888891</v>
      </c>
      <c r="F102" s="90" t="s">
        <v>34</v>
      </c>
      <c r="G102" s="92">
        <v>9</v>
      </c>
      <c r="H102" s="103" t="s">
        <v>35</v>
      </c>
    </row>
    <row r="103" spans="1:8" ht="19.8" customHeight="1" x14ac:dyDescent="0.3">
      <c r="A103" s="99">
        <v>45993</v>
      </c>
      <c r="B103" s="90" t="s">
        <v>80</v>
      </c>
      <c r="C103" s="91" t="s">
        <v>91</v>
      </c>
      <c r="D103" s="90" t="s">
        <v>1</v>
      </c>
      <c r="E103" s="100">
        <v>1.7951388888888891</v>
      </c>
      <c r="F103" s="90" t="s">
        <v>82</v>
      </c>
      <c r="G103" s="92">
        <v>9</v>
      </c>
      <c r="H103" s="103" t="s">
        <v>101</v>
      </c>
    </row>
    <row r="104" spans="1:8" ht="19.8" customHeight="1" x14ac:dyDescent="0.3">
      <c r="A104" s="99">
        <v>45993</v>
      </c>
      <c r="B104" s="90" t="s">
        <v>80</v>
      </c>
      <c r="C104" s="91" t="s">
        <v>95</v>
      </c>
      <c r="D104" s="90" t="s">
        <v>1</v>
      </c>
      <c r="E104" s="100">
        <v>1.086805555555556</v>
      </c>
      <c r="F104" s="90" t="s">
        <v>82</v>
      </c>
      <c r="G104" s="92">
        <v>9</v>
      </c>
      <c r="H104" s="103" t="s">
        <v>101</v>
      </c>
    </row>
    <row r="105" spans="1:8" ht="19.8" customHeight="1" x14ac:dyDescent="0.3">
      <c r="A105" s="99">
        <v>45993</v>
      </c>
      <c r="B105" s="90" t="s">
        <v>80</v>
      </c>
      <c r="C105" s="91" t="s">
        <v>91</v>
      </c>
      <c r="D105" s="90" t="s">
        <v>1</v>
      </c>
      <c r="E105" s="100">
        <v>1.7951388888888891</v>
      </c>
      <c r="F105" s="90" t="s">
        <v>85</v>
      </c>
      <c r="G105" s="92">
        <v>9</v>
      </c>
      <c r="H105" s="103" t="s">
        <v>102</v>
      </c>
    </row>
    <row r="106" spans="1:8" ht="19.8" customHeight="1" x14ac:dyDescent="0.3">
      <c r="A106" s="99">
        <v>45993</v>
      </c>
      <c r="B106" s="90" t="s">
        <v>80</v>
      </c>
      <c r="C106" s="91" t="s">
        <v>95</v>
      </c>
      <c r="D106" s="90" t="s">
        <v>1</v>
      </c>
      <c r="E106" s="100">
        <v>1.086805555555556</v>
      </c>
      <c r="F106" s="90" t="s">
        <v>85</v>
      </c>
      <c r="G106" s="92">
        <v>9</v>
      </c>
      <c r="H106" s="103" t="s">
        <v>102</v>
      </c>
    </row>
    <row r="107" spans="1:8" ht="19.8" customHeight="1" x14ac:dyDescent="0.3">
      <c r="A107" s="99">
        <v>45993</v>
      </c>
      <c r="B107" s="90" t="s">
        <v>80</v>
      </c>
      <c r="C107" s="91" t="s">
        <v>81</v>
      </c>
      <c r="D107" s="90" t="s">
        <v>1</v>
      </c>
      <c r="E107" s="100">
        <v>1.604166666666667</v>
      </c>
      <c r="F107" s="90" t="s">
        <v>82</v>
      </c>
      <c r="G107" s="92">
        <v>5</v>
      </c>
      <c r="H107" s="103" t="s">
        <v>93</v>
      </c>
    </row>
    <row r="108" spans="1:8" ht="19.8" customHeight="1" x14ac:dyDescent="0.3">
      <c r="A108" s="99">
        <v>45993</v>
      </c>
      <c r="B108" s="90" t="s">
        <v>80</v>
      </c>
      <c r="C108" s="91" t="s">
        <v>88</v>
      </c>
      <c r="D108" s="90" t="s">
        <v>1</v>
      </c>
      <c r="E108" s="100">
        <v>1.4201388888888891</v>
      </c>
      <c r="F108" s="90" t="s">
        <v>85</v>
      </c>
      <c r="G108" s="92">
        <v>4</v>
      </c>
      <c r="H108" s="103" t="s">
        <v>106</v>
      </c>
    </row>
    <row r="109" spans="1:8" ht="19.8" customHeight="1" x14ac:dyDescent="0.3">
      <c r="A109" s="99">
        <v>45993</v>
      </c>
      <c r="B109" s="90" t="s">
        <v>80</v>
      </c>
      <c r="C109" s="91" t="s">
        <v>81</v>
      </c>
      <c r="D109" s="90" t="s">
        <v>1</v>
      </c>
      <c r="E109" s="100">
        <v>1.604166666666667</v>
      </c>
      <c r="F109" s="90" t="s">
        <v>85</v>
      </c>
      <c r="G109" s="92">
        <v>5</v>
      </c>
      <c r="H109" s="103" t="s">
        <v>94</v>
      </c>
    </row>
    <row r="110" spans="1:8" ht="19.8" customHeight="1" x14ac:dyDescent="0.3">
      <c r="A110" s="104">
        <v>45993</v>
      </c>
      <c r="B110" s="105" t="s">
        <v>46</v>
      </c>
      <c r="C110" s="106" t="s">
        <v>62</v>
      </c>
      <c r="D110" s="105" t="s">
        <v>1</v>
      </c>
      <c r="E110" s="107">
        <v>1.979166666666667</v>
      </c>
      <c r="F110" s="105" t="s">
        <v>63</v>
      </c>
      <c r="G110" s="105"/>
      <c r="H110" s="108" t="s">
        <v>64</v>
      </c>
    </row>
    <row r="111" spans="1:8" ht="19.8" customHeight="1" x14ac:dyDescent="0.3">
      <c r="A111" s="99">
        <v>45994</v>
      </c>
      <c r="B111" s="90" t="s">
        <v>80</v>
      </c>
      <c r="C111" s="91" t="s">
        <v>95</v>
      </c>
      <c r="D111" s="90" t="s">
        <v>1</v>
      </c>
      <c r="E111" s="100">
        <v>1.086805555555556</v>
      </c>
      <c r="F111" s="90" t="s">
        <v>82</v>
      </c>
      <c r="G111" s="92">
        <v>9</v>
      </c>
      <c r="H111" s="103" t="s">
        <v>84</v>
      </c>
    </row>
    <row r="112" spans="1:8" ht="19.8" customHeight="1" x14ac:dyDescent="0.3">
      <c r="A112" s="99">
        <v>45994</v>
      </c>
      <c r="B112" s="90" t="s">
        <v>80</v>
      </c>
      <c r="C112" s="91" t="s">
        <v>95</v>
      </c>
      <c r="D112" s="90" t="s">
        <v>1</v>
      </c>
      <c r="E112" s="100">
        <v>1.086805555555556</v>
      </c>
      <c r="F112" s="90" t="s">
        <v>85</v>
      </c>
      <c r="G112" s="92">
        <v>9</v>
      </c>
      <c r="H112" s="103" t="s">
        <v>87</v>
      </c>
    </row>
    <row r="113" spans="1:8" ht="19.8" customHeight="1" x14ac:dyDescent="0.3">
      <c r="A113" s="99">
        <v>45994</v>
      </c>
      <c r="B113" s="90" t="s">
        <v>68</v>
      </c>
      <c r="C113" s="91" t="s">
        <v>72</v>
      </c>
      <c r="D113" s="90" t="s">
        <v>1</v>
      </c>
      <c r="E113" s="100">
        <v>1.2222222222222221</v>
      </c>
      <c r="F113" s="90" t="s">
        <v>70</v>
      </c>
      <c r="G113" s="92">
        <v>9</v>
      </c>
      <c r="H113" s="103" t="s">
        <v>149</v>
      </c>
    </row>
    <row r="114" spans="1:8" ht="19.8" customHeight="1" x14ac:dyDescent="0.3">
      <c r="A114" s="99">
        <v>45994</v>
      </c>
      <c r="B114" s="90" t="s">
        <v>80</v>
      </c>
      <c r="C114" s="91" t="s">
        <v>91</v>
      </c>
      <c r="D114" s="90" t="s">
        <v>1</v>
      </c>
      <c r="E114" s="100">
        <v>1.7951388888888891</v>
      </c>
      <c r="F114" s="90" t="s">
        <v>82</v>
      </c>
      <c r="G114" s="92">
        <v>4</v>
      </c>
      <c r="H114" s="103" t="s">
        <v>101</v>
      </c>
    </row>
    <row r="115" spans="1:8" ht="19.8" customHeight="1" x14ac:dyDescent="0.3">
      <c r="A115" s="99">
        <v>45994</v>
      </c>
      <c r="B115" s="90" t="s">
        <v>80</v>
      </c>
      <c r="C115" s="91" t="s">
        <v>81</v>
      </c>
      <c r="D115" s="90" t="s">
        <v>1</v>
      </c>
      <c r="E115" s="100">
        <v>1.604166666666667</v>
      </c>
      <c r="F115" s="90" t="s">
        <v>82</v>
      </c>
      <c r="G115" s="92">
        <v>6</v>
      </c>
      <c r="H115" s="103" t="s">
        <v>101</v>
      </c>
    </row>
    <row r="116" spans="1:8" ht="19.8" customHeight="1" x14ac:dyDescent="0.3">
      <c r="A116" s="99">
        <v>45994</v>
      </c>
      <c r="B116" s="90" t="s">
        <v>80</v>
      </c>
      <c r="C116" s="91" t="s">
        <v>91</v>
      </c>
      <c r="D116" s="90" t="s">
        <v>1</v>
      </c>
      <c r="E116" s="100">
        <v>1.7951388888888891</v>
      </c>
      <c r="F116" s="90" t="s">
        <v>85</v>
      </c>
      <c r="G116" s="92">
        <v>4</v>
      </c>
      <c r="H116" s="103" t="s">
        <v>102</v>
      </c>
    </row>
    <row r="117" spans="1:8" ht="19.8" customHeight="1" x14ac:dyDescent="0.3">
      <c r="A117" s="99">
        <v>45994</v>
      </c>
      <c r="B117" s="90" t="s">
        <v>80</v>
      </c>
      <c r="C117" s="91" t="s">
        <v>81</v>
      </c>
      <c r="D117" s="90" t="s">
        <v>1</v>
      </c>
      <c r="E117" s="100">
        <v>1.604166666666667</v>
      </c>
      <c r="F117" s="90" t="s">
        <v>85</v>
      </c>
      <c r="G117" s="92">
        <v>6</v>
      </c>
      <c r="H117" s="103" t="s">
        <v>102</v>
      </c>
    </row>
    <row r="118" spans="1:8" ht="19.8" customHeight="1" x14ac:dyDescent="0.3">
      <c r="A118" s="99">
        <v>45994</v>
      </c>
      <c r="B118" s="90" t="s">
        <v>68</v>
      </c>
      <c r="C118" s="91" t="s">
        <v>69</v>
      </c>
      <c r="D118" s="90" t="s">
        <v>1</v>
      </c>
      <c r="E118" s="100">
        <v>1.0972222222222221</v>
      </c>
      <c r="F118" s="90" t="s">
        <v>70</v>
      </c>
      <c r="G118" s="92">
        <v>9</v>
      </c>
      <c r="H118" s="103" t="s">
        <v>79</v>
      </c>
    </row>
    <row r="119" spans="1:8" ht="19.8" customHeight="1" x14ac:dyDescent="0.3">
      <c r="A119" s="99">
        <v>45994</v>
      </c>
      <c r="B119" s="90" t="s">
        <v>68</v>
      </c>
      <c r="C119" s="91" t="s">
        <v>78</v>
      </c>
      <c r="D119" s="90" t="s">
        <v>1</v>
      </c>
      <c r="E119" s="100">
        <v>1.854166666666667</v>
      </c>
      <c r="F119" s="90" t="s">
        <v>70</v>
      </c>
      <c r="G119" s="92">
        <v>5</v>
      </c>
      <c r="H119" s="103" t="s">
        <v>79</v>
      </c>
    </row>
    <row r="120" spans="1:8" ht="19.8" customHeight="1" x14ac:dyDescent="0.3">
      <c r="A120" s="99">
        <v>45994</v>
      </c>
      <c r="B120" s="90" t="s">
        <v>68</v>
      </c>
      <c r="C120" s="91" t="s">
        <v>75</v>
      </c>
      <c r="D120" s="90" t="s">
        <v>1</v>
      </c>
      <c r="E120" s="100">
        <v>1.444444444444444</v>
      </c>
      <c r="F120" s="90" t="s">
        <v>70</v>
      </c>
      <c r="G120" s="92">
        <v>9</v>
      </c>
      <c r="H120" s="103" t="s">
        <v>79</v>
      </c>
    </row>
    <row r="121" spans="1:8" ht="19.8" customHeight="1" x14ac:dyDescent="0.3">
      <c r="A121" s="109">
        <v>45994</v>
      </c>
      <c r="B121" s="110" t="s">
        <v>80</v>
      </c>
      <c r="C121" s="111" t="s">
        <v>88</v>
      </c>
      <c r="D121" s="110" t="s">
        <v>1</v>
      </c>
      <c r="E121" s="112">
        <v>1.4201388888888891</v>
      </c>
      <c r="F121" s="110" t="s">
        <v>85</v>
      </c>
      <c r="G121" s="113">
        <v>4</v>
      </c>
      <c r="H121" s="114" t="s">
        <v>106</v>
      </c>
    </row>
    <row r="122" spans="1:8" ht="19.8" customHeight="1" x14ac:dyDescent="0.3">
      <c r="A122" s="99">
        <v>45995</v>
      </c>
      <c r="B122" s="90" t="s">
        <v>80</v>
      </c>
      <c r="C122" s="91" t="s">
        <v>81</v>
      </c>
      <c r="D122" s="90" t="s">
        <v>1</v>
      </c>
      <c r="E122" s="100">
        <v>1.604166666666667</v>
      </c>
      <c r="F122" s="90" t="s">
        <v>82</v>
      </c>
      <c r="G122" s="92">
        <v>9</v>
      </c>
      <c r="H122" s="93">
        <v>745</v>
      </c>
    </row>
    <row r="123" spans="1:8" ht="19.8" customHeight="1" x14ac:dyDescent="0.3">
      <c r="A123" s="99">
        <v>45995</v>
      </c>
      <c r="B123" s="90" t="s">
        <v>68</v>
      </c>
      <c r="C123" s="91" t="s">
        <v>69</v>
      </c>
      <c r="D123" s="90" t="s">
        <v>1</v>
      </c>
      <c r="E123" s="100">
        <v>1.0972222222222221</v>
      </c>
      <c r="F123" s="90" t="s">
        <v>70</v>
      </c>
      <c r="G123" s="92">
        <v>9</v>
      </c>
      <c r="H123" s="93">
        <v>757</v>
      </c>
    </row>
    <row r="124" spans="1:8" ht="19.8" customHeight="1" x14ac:dyDescent="0.3">
      <c r="A124" s="99">
        <v>45995</v>
      </c>
      <c r="B124" s="90" t="s">
        <v>68</v>
      </c>
      <c r="C124" s="91" t="s">
        <v>72</v>
      </c>
      <c r="D124" s="90" t="s">
        <v>1</v>
      </c>
      <c r="E124" s="100">
        <v>1.2222222222222221</v>
      </c>
      <c r="F124" s="90" t="s">
        <v>70</v>
      </c>
      <c r="G124" s="92">
        <v>9</v>
      </c>
      <c r="H124" s="93">
        <v>757</v>
      </c>
    </row>
    <row r="125" spans="1:8" ht="19.8" customHeight="1" x14ac:dyDescent="0.3">
      <c r="A125" s="99">
        <v>45995</v>
      </c>
      <c r="B125" s="90" t="s">
        <v>80</v>
      </c>
      <c r="C125" s="91" t="s">
        <v>81</v>
      </c>
      <c r="D125" s="90" t="s">
        <v>1</v>
      </c>
      <c r="E125" s="100">
        <v>1.604166666666667</v>
      </c>
      <c r="F125" s="90" t="s">
        <v>85</v>
      </c>
      <c r="G125" s="92">
        <v>9</v>
      </c>
      <c r="H125" s="93">
        <v>885</v>
      </c>
    </row>
    <row r="126" spans="1:8" ht="19.8" customHeight="1" x14ac:dyDescent="0.3">
      <c r="A126" s="99">
        <v>45995</v>
      </c>
      <c r="B126" s="90" t="s">
        <v>68</v>
      </c>
      <c r="C126" s="91" t="s">
        <v>75</v>
      </c>
      <c r="D126" s="90" t="s">
        <v>1</v>
      </c>
      <c r="E126" s="100">
        <v>1.444444444444444</v>
      </c>
      <c r="F126" s="90" t="s">
        <v>70</v>
      </c>
      <c r="G126" s="92">
        <v>9</v>
      </c>
      <c r="H126" s="93">
        <v>962</v>
      </c>
    </row>
    <row r="127" spans="1:8" ht="19.8" customHeight="1" x14ac:dyDescent="0.3">
      <c r="A127" s="99">
        <v>45995</v>
      </c>
      <c r="B127" s="90" t="s">
        <v>80</v>
      </c>
      <c r="C127" s="91" t="s">
        <v>95</v>
      </c>
      <c r="D127" s="90" t="s">
        <v>1</v>
      </c>
      <c r="E127" s="100">
        <v>1.086805555555556</v>
      </c>
      <c r="F127" s="90" t="s">
        <v>82</v>
      </c>
      <c r="G127" s="92">
        <v>9</v>
      </c>
      <c r="H127" s="103" t="s">
        <v>84</v>
      </c>
    </row>
    <row r="128" spans="1:8" ht="19.8" customHeight="1" x14ac:dyDescent="0.3">
      <c r="A128" s="99">
        <v>45995</v>
      </c>
      <c r="B128" s="90" t="s">
        <v>80</v>
      </c>
      <c r="C128" s="91" t="s">
        <v>95</v>
      </c>
      <c r="D128" s="90" t="s">
        <v>1</v>
      </c>
      <c r="E128" s="100">
        <v>1.086805555555556</v>
      </c>
      <c r="F128" s="90" t="s">
        <v>85</v>
      </c>
      <c r="G128" s="92">
        <v>9</v>
      </c>
      <c r="H128" s="103" t="s">
        <v>87</v>
      </c>
    </row>
    <row r="129" spans="1:8" ht="19.8" customHeight="1" x14ac:dyDescent="0.3">
      <c r="A129" s="99">
        <v>45995</v>
      </c>
      <c r="B129" s="90" t="s">
        <v>80</v>
      </c>
      <c r="C129" s="91" t="s">
        <v>91</v>
      </c>
      <c r="D129" s="90" t="s">
        <v>1</v>
      </c>
      <c r="E129" s="100">
        <v>1.7951388888888891</v>
      </c>
      <c r="F129" s="90" t="s">
        <v>82</v>
      </c>
      <c r="G129" s="92">
        <v>8</v>
      </c>
      <c r="H129" s="103" t="s">
        <v>101</v>
      </c>
    </row>
    <row r="130" spans="1:8" ht="19.8" customHeight="1" x14ac:dyDescent="0.3">
      <c r="A130" s="99">
        <v>45995</v>
      </c>
      <c r="B130" s="90" t="s">
        <v>68</v>
      </c>
      <c r="C130" s="91" t="s">
        <v>78</v>
      </c>
      <c r="D130" s="90" t="s">
        <v>1</v>
      </c>
      <c r="E130" s="100">
        <v>1.854166666666667</v>
      </c>
      <c r="F130" s="90" t="s">
        <v>70</v>
      </c>
      <c r="G130" s="92">
        <v>9</v>
      </c>
      <c r="H130" s="103" t="s">
        <v>100</v>
      </c>
    </row>
    <row r="131" spans="1:8" ht="19.8" customHeight="1" x14ac:dyDescent="0.3">
      <c r="A131" s="99">
        <v>45995</v>
      </c>
      <c r="B131" s="90" t="s">
        <v>80</v>
      </c>
      <c r="C131" s="91" t="s">
        <v>91</v>
      </c>
      <c r="D131" s="90" t="s">
        <v>1</v>
      </c>
      <c r="E131" s="100">
        <v>1.7951388888888891</v>
      </c>
      <c r="F131" s="90" t="s">
        <v>85</v>
      </c>
      <c r="G131" s="92">
        <v>8</v>
      </c>
      <c r="H131" s="103" t="s">
        <v>102</v>
      </c>
    </row>
    <row r="132" spans="1:8" ht="19.8" customHeight="1" x14ac:dyDescent="0.3">
      <c r="A132" s="99">
        <v>45995</v>
      </c>
      <c r="B132" s="90" t="s">
        <v>80</v>
      </c>
      <c r="C132" s="91" t="s">
        <v>88</v>
      </c>
      <c r="D132" s="90" t="s">
        <v>1</v>
      </c>
      <c r="E132" s="100">
        <v>1.4201388888888891</v>
      </c>
      <c r="F132" s="90" t="s">
        <v>85</v>
      </c>
      <c r="G132" s="92">
        <v>4</v>
      </c>
      <c r="H132" s="103" t="s">
        <v>106</v>
      </c>
    </row>
    <row r="133" spans="1:8" ht="19.8" customHeight="1" x14ac:dyDescent="0.3">
      <c r="A133" s="104">
        <v>45995</v>
      </c>
      <c r="B133" s="105" t="s">
        <v>46</v>
      </c>
      <c r="C133" s="106" t="s">
        <v>62</v>
      </c>
      <c r="D133" s="105" t="s">
        <v>1</v>
      </c>
      <c r="E133" s="107">
        <v>1.538194444444444</v>
      </c>
      <c r="F133" s="105" t="s">
        <v>63</v>
      </c>
      <c r="G133" s="105"/>
      <c r="H133" s="108" t="s">
        <v>64</v>
      </c>
    </row>
    <row r="134" spans="1:8" ht="19.8" customHeight="1" x14ac:dyDescent="0.3">
      <c r="A134" s="99">
        <v>45996</v>
      </c>
      <c r="B134" s="90" t="s">
        <v>26</v>
      </c>
      <c r="C134" s="91" t="s">
        <v>27</v>
      </c>
      <c r="D134" s="90" t="s">
        <v>1</v>
      </c>
      <c r="E134" s="100">
        <v>1.4201388888888891</v>
      </c>
      <c r="F134" s="90" t="s">
        <v>154</v>
      </c>
      <c r="G134" s="92">
        <v>5</v>
      </c>
      <c r="H134" s="93">
        <v>559</v>
      </c>
    </row>
    <row r="135" spans="1:8" ht="19.8" customHeight="1" x14ac:dyDescent="0.3">
      <c r="A135" s="99">
        <v>45996</v>
      </c>
      <c r="B135" s="90" t="s">
        <v>36</v>
      </c>
      <c r="C135" s="91" t="s">
        <v>37</v>
      </c>
      <c r="D135" s="90" t="s">
        <v>1</v>
      </c>
      <c r="E135" s="100">
        <v>1.756944444444444</v>
      </c>
      <c r="F135" s="90" t="s">
        <v>155</v>
      </c>
      <c r="G135" s="92">
        <v>5</v>
      </c>
      <c r="H135" s="93">
        <v>639</v>
      </c>
    </row>
    <row r="136" spans="1:8" ht="19.8" customHeight="1" x14ac:dyDescent="0.3">
      <c r="A136" s="99">
        <v>45996</v>
      </c>
      <c r="B136" s="90" t="s">
        <v>68</v>
      </c>
      <c r="C136" s="91" t="s">
        <v>69</v>
      </c>
      <c r="D136" s="90" t="s">
        <v>1</v>
      </c>
      <c r="E136" s="100">
        <v>1.0972222222222221</v>
      </c>
      <c r="F136" s="90" t="s">
        <v>70</v>
      </c>
      <c r="G136" s="92">
        <v>9</v>
      </c>
      <c r="H136" s="93">
        <v>682</v>
      </c>
    </row>
    <row r="137" spans="1:8" ht="19.8" customHeight="1" x14ac:dyDescent="0.3">
      <c r="A137" s="99">
        <v>45996</v>
      </c>
      <c r="B137" s="90" t="s">
        <v>68</v>
      </c>
      <c r="C137" s="91" t="s">
        <v>72</v>
      </c>
      <c r="D137" s="90" t="s">
        <v>1</v>
      </c>
      <c r="E137" s="100">
        <v>1.2222222222222221</v>
      </c>
      <c r="F137" s="90" t="s">
        <v>70</v>
      </c>
      <c r="G137" s="92">
        <v>9</v>
      </c>
      <c r="H137" s="93">
        <v>682</v>
      </c>
    </row>
    <row r="138" spans="1:8" ht="19.8" customHeight="1" x14ac:dyDescent="0.3">
      <c r="A138" s="99">
        <v>45996</v>
      </c>
      <c r="B138" s="90" t="s">
        <v>68</v>
      </c>
      <c r="C138" s="91" t="s">
        <v>75</v>
      </c>
      <c r="D138" s="90" t="s">
        <v>1</v>
      </c>
      <c r="E138" s="100">
        <v>1.444444444444444</v>
      </c>
      <c r="F138" s="90" t="s">
        <v>70</v>
      </c>
      <c r="G138" s="92">
        <v>9</v>
      </c>
      <c r="H138" s="93">
        <v>682</v>
      </c>
    </row>
    <row r="139" spans="1:8" ht="19.8" customHeight="1" x14ac:dyDescent="0.3">
      <c r="A139" s="99">
        <v>45996</v>
      </c>
      <c r="B139" s="90" t="s">
        <v>68</v>
      </c>
      <c r="C139" s="91" t="s">
        <v>77</v>
      </c>
      <c r="D139" s="90" t="s">
        <v>1</v>
      </c>
      <c r="E139" s="100">
        <v>1.493055555555556</v>
      </c>
      <c r="F139" s="90" t="s">
        <v>70</v>
      </c>
      <c r="G139" s="92">
        <v>9</v>
      </c>
      <c r="H139" s="93">
        <v>757</v>
      </c>
    </row>
    <row r="140" spans="1:8" ht="19.8" customHeight="1" x14ac:dyDescent="0.3">
      <c r="A140" s="99">
        <v>45996</v>
      </c>
      <c r="B140" s="90" t="s">
        <v>80</v>
      </c>
      <c r="C140" s="91" t="s">
        <v>81</v>
      </c>
      <c r="D140" s="90" t="s">
        <v>1</v>
      </c>
      <c r="E140" s="100">
        <v>1.604166666666667</v>
      </c>
      <c r="F140" s="90" t="s">
        <v>82</v>
      </c>
      <c r="G140" s="92">
        <v>2</v>
      </c>
      <c r="H140" s="103" t="s">
        <v>84</v>
      </c>
    </row>
    <row r="141" spans="1:8" ht="19.8" customHeight="1" x14ac:dyDescent="0.3">
      <c r="A141" s="99">
        <v>45996</v>
      </c>
      <c r="B141" s="90" t="s">
        <v>80</v>
      </c>
      <c r="C141" s="91" t="s">
        <v>81</v>
      </c>
      <c r="D141" s="90" t="s">
        <v>1</v>
      </c>
      <c r="E141" s="100">
        <v>1.604166666666667</v>
      </c>
      <c r="F141" s="90" t="s">
        <v>85</v>
      </c>
      <c r="G141" s="92">
        <v>2</v>
      </c>
      <c r="H141" s="103" t="s">
        <v>87</v>
      </c>
    </row>
    <row r="142" spans="1:8" ht="19.8" customHeight="1" x14ac:dyDescent="0.3">
      <c r="A142" s="99">
        <v>45996</v>
      </c>
      <c r="B142" s="90" t="s">
        <v>80</v>
      </c>
      <c r="C142" s="91" t="s">
        <v>95</v>
      </c>
      <c r="D142" s="90" t="s">
        <v>1</v>
      </c>
      <c r="E142" s="100">
        <v>1.086805555555556</v>
      </c>
      <c r="F142" s="90" t="s">
        <v>82</v>
      </c>
      <c r="G142" s="92">
        <v>9</v>
      </c>
      <c r="H142" s="103" t="s">
        <v>101</v>
      </c>
    </row>
    <row r="143" spans="1:8" ht="19.8" customHeight="1" x14ac:dyDescent="0.3">
      <c r="A143" s="99">
        <v>45996</v>
      </c>
      <c r="B143" s="90" t="s">
        <v>80</v>
      </c>
      <c r="C143" s="91" t="s">
        <v>95</v>
      </c>
      <c r="D143" s="90" t="s">
        <v>1</v>
      </c>
      <c r="E143" s="100">
        <v>1.086805555555556</v>
      </c>
      <c r="F143" s="90" t="s">
        <v>85</v>
      </c>
      <c r="G143" s="92">
        <v>9</v>
      </c>
      <c r="H143" s="103" t="s">
        <v>102</v>
      </c>
    </row>
    <row r="144" spans="1:8" ht="19.8" customHeight="1" x14ac:dyDescent="0.3">
      <c r="A144" s="99">
        <v>45996</v>
      </c>
      <c r="B144" s="90" t="s">
        <v>80</v>
      </c>
      <c r="C144" s="91" t="s">
        <v>88</v>
      </c>
      <c r="D144" s="90" t="s">
        <v>1</v>
      </c>
      <c r="E144" s="100">
        <v>1.4201388888888891</v>
      </c>
      <c r="F144" s="90" t="s">
        <v>85</v>
      </c>
      <c r="G144" s="92">
        <v>4</v>
      </c>
      <c r="H144" s="103" t="s">
        <v>90</v>
      </c>
    </row>
    <row r="145" spans="1:8" ht="19.8" customHeight="1" x14ac:dyDescent="0.3">
      <c r="A145" s="99">
        <v>45996</v>
      </c>
      <c r="B145" s="90" t="s">
        <v>80</v>
      </c>
      <c r="C145" s="91" t="s">
        <v>91</v>
      </c>
      <c r="D145" s="90" t="s">
        <v>1</v>
      </c>
      <c r="E145" s="100">
        <v>1.7951388888888891</v>
      </c>
      <c r="F145" s="90" t="s">
        <v>82</v>
      </c>
      <c r="G145" s="92">
        <v>5</v>
      </c>
      <c r="H145" s="103" t="s">
        <v>93</v>
      </c>
    </row>
    <row r="146" spans="1:8" ht="19.8" customHeight="1" x14ac:dyDescent="0.3">
      <c r="A146" s="109">
        <v>45996</v>
      </c>
      <c r="B146" s="110" t="s">
        <v>80</v>
      </c>
      <c r="C146" s="111" t="s">
        <v>91</v>
      </c>
      <c r="D146" s="110" t="s">
        <v>1</v>
      </c>
      <c r="E146" s="112">
        <v>1.7951388888888891</v>
      </c>
      <c r="F146" s="110" t="s">
        <v>85</v>
      </c>
      <c r="G146" s="113">
        <v>5</v>
      </c>
      <c r="H146" s="114" t="s">
        <v>94</v>
      </c>
    </row>
    <row r="147" spans="1:8" ht="19.8" customHeight="1" x14ac:dyDescent="0.3">
      <c r="A147" s="99">
        <v>45997</v>
      </c>
      <c r="B147" s="90" t="s">
        <v>68</v>
      </c>
      <c r="C147" s="91" t="s">
        <v>72</v>
      </c>
      <c r="D147" s="90" t="s">
        <v>1</v>
      </c>
      <c r="E147" s="100">
        <v>1.2222222222222221</v>
      </c>
      <c r="F147" s="90" t="s">
        <v>70</v>
      </c>
      <c r="G147" s="92">
        <v>9</v>
      </c>
      <c r="H147" s="103" t="s">
        <v>99</v>
      </c>
    </row>
    <row r="148" spans="1:8" ht="19.8" customHeight="1" x14ac:dyDescent="0.3">
      <c r="A148" s="99">
        <v>45997</v>
      </c>
      <c r="B148" s="90" t="s">
        <v>80</v>
      </c>
      <c r="C148" s="91" t="s">
        <v>88</v>
      </c>
      <c r="D148" s="90" t="s">
        <v>1</v>
      </c>
      <c r="E148" s="100">
        <v>1.4201388888888891</v>
      </c>
      <c r="F148" s="90" t="s">
        <v>85</v>
      </c>
      <c r="G148" s="92">
        <v>4</v>
      </c>
      <c r="H148" s="103" t="s">
        <v>90</v>
      </c>
    </row>
    <row r="149" spans="1:8" ht="19.8" customHeight="1" x14ac:dyDescent="0.3">
      <c r="A149" s="99">
        <v>45997</v>
      </c>
      <c r="B149" s="90" t="s">
        <v>68</v>
      </c>
      <c r="C149" s="91" t="s">
        <v>78</v>
      </c>
      <c r="D149" s="90" t="s">
        <v>1</v>
      </c>
      <c r="E149" s="100">
        <v>1.854166666666667</v>
      </c>
      <c r="F149" s="90" t="s">
        <v>70</v>
      </c>
      <c r="G149" s="92">
        <v>2</v>
      </c>
      <c r="H149" s="103" t="s">
        <v>79</v>
      </c>
    </row>
    <row r="150" spans="1:8" ht="19.8" customHeight="1" x14ac:dyDescent="0.3">
      <c r="A150" s="99">
        <v>45997</v>
      </c>
      <c r="B150" s="90" t="s">
        <v>68</v>
      </c>
      <c r="C150" s="91" t="s">
        <v>75</v>
      </c>
      <c r="D150" s="90" t="s">
        <v>1</v>
      </c>
      <c r="E150" s="100">
        <v>1.444444444444444</v>
      </c>
      <c r="F150" s="90" t="s">
        <v>70</v>
      </c>
      <c r="G150" s="92">
        <v>3</v>
      </c>
      <c r="H150" s="103" t="s">
        <v>79</v>
      </c>
    </row>
    <row r="151" spans="1:8" ht="19.8" customHeight="1" x14ac:dyDescent="0.3">
      <c r="A151" s="99">
        <v>45997</v>
      </c>
      <c r="B151" s="90" t="s">
        <v>80</v>
      </c>
      <c r="C151" s="91" t="s">
        <v>95</v>
      </c>
      <c r="D151" s="90" t="s">
        <v>1</v>
      </c>
      <c r="E151" s="100">
        <v>1.086805555555556</v>
      </c>
      <c r="F151" s="90" t="s">
        <v>82</v>
      </c>
      <c r="G151" s="92">
        <v>9</v>
      </c>
      <c r="H151" s="103" t="s">
        <v>93</v>
      </c>
    </row>
    <row r="152" spans="1:8" ht="19.8" customHeight="1" x14ac:dyDescent="0.3">
      <c r="A152" s="99">
        <v>45997</v>
      </c>
      <c r="B152" s="90" t="s">
        <v>80</v>
      </c>
      <c r="C152" s="91" t="s">
        <v>95</v>
      </c>
      <c r="D152" s="90" t="s">
        <v>1</v>
      </c>
      <c r="E152" s="100">
        <v>1.086805555555556</v>
      </c>
      <c r="F152" s="90" t="s">
        <v>85</v>
      </c>
      <c r="G152" s="92">
        <v>9</v>
      </c>
      <c r="H152" s="103" t="s">
        <v>94</v>
      </c>
    </row>
    <row r="153" spans="1:8" ht="19.8" customHeight="1" x14ac:dyDescent="0.3">
      <c r="A153" s="99">
        <v>45997</v>
      </c>
      <c r="B153" s="90" t="s">
        <v>80</v>
      </c>
      <c r="C153" s="91" t="s">
        <v>91</v>
      </c>
      <c r="D153" s="90" t="s">
        <v>1</v>
      </c>
      <c r="E153" s="100">
        <v>1.7951388888888891</v>
      </c>
      <c r="F153" s="90" t="s">
        <v>82</v>
      </c>
      <c r="G153" s="92">
        <v>1</v>
      </c>
      <c r="H153" s="103" t="s">
        <v>111</v>
      </c>
    </row>
    <row r="154" spans="1:8" ht="19.8" customHeight="1" x14ac:dyDescent="0.3">
      <c r="A154" s="99">
        <v>45997</v>
      </c>
      <c r="B154" s="90" t="s">
        <v>80</v>
      </c>
      <c r="C154" s="91" t="s">
        <v>81</v>
      </c>
      <c r="D154" s="90" t="s">
        <v>1</v>
      </c>
      <c r="E154" s="100">
        <v>1.604166666666667</v>
      </c>
      <c r="F154" s="90" t="s">
        <v>82</v>
      </c>
      <c r="G154" s="92">
        <v>1</v>
      </c>
      <c r="H154" s="103" t="s">
        <v>111</v>
      </c>
    </row>
    <row r="155" spans="1:8" ht="19.8" customHeight="1" x14ac:dyDescent="0.3">
      <c r="A155" s="99">
        <v>45997</v>
      </c>
      <c r="B155" s="90" t="s">
        <v>80</v>
      </c>
      <c r="C155" s="91" t="s">
        <v>91</v>
      </c>
      <c r="D155" s="90" t="s">
        <v>1</v>
      </c>
      <c r="E155" s="100">
        <v>1.7951388888888891</v>
      </c>
      <c r="F155" s="90" t="s">
        <v>85</v>
      </c>
      <c r="G155" s="92">
        <v>1</v>
      </c>
      <c r="H155" s="103" t="s">
        <v>112</v>
      </c>
    </row>
    <row r="156" spans="1:8" ht="19.8" customHeight="1" x14ac:dyDescent="0.3">
      <c r="A156" s="99">
        <v>45997</v>
      </c>
      <c r="B156" s="90" t="s">
        <v>80</v>
      </c>
      <c r="C156" s="91" t="s">
        <v>81</v>
      </c>
      <c r="D156" s="90" t="s">
        <v>1</v>
      </c>
      <c r="E156" s="100">
        <v>1.604166666666667</v>
      </c>
      <c r="F156" s="90" t="s">
        <v>85</v>
      </c>
      <c r="G156" s="92">
        <v>1</v>
      </c>
      <c r="H156" s="103" t="s">
        <v>112</v>
      </c>
    </row>
    <row r="157" spans="1:8" ht="19.8" customHeight="1" x14ac:dyDescent="0.3">
      <c r="A157" s="104">
        <v>45997</v>
      </c>
      <c r="B157" s="105" t="s">
        <v>46</v>
      </c>
      <c r="C157" s="106" t="s">
        <v>62</v>
      </c>
      <c r="D157" s="105" t="s">
        <v>1</v>
      </c>
      <c r="E157" s="107">
        <v>1.395833333333333</v>
      </c>
      <c r="F157" s="105" t="s">
        <v>63</v>
      </c>
      <c r="G157" s="105"/>
      <c r="H157" s="108" t="s">
        <v>64</v>
      </c>
    </row>
    <row r="158" spans="1:8" ht="19.8" customHeight="1" x14ac:dyDescent="0.3">
      <c r="A158" s="99">
        <v>45998</v>
      </c>
      <c r="B158" s="90" t="s">
        <v>26</v>
      </c>
      <c r="C158" s="91" t="s">
        <v>27</v>
      </c>
      <c r="D158" s="90" t="s">
        <v>1</v>
      </c>
      <c r="E158" s="100">
        <v>1.4201388888888891</v>
      </c>
      <c r="F158" s="90" t="s">
        <v>28</v>
      </c>
      <c r="G158" s="92">
        <v>4</v>
      </c>
      <c r="H158" s="93">
        <v>559</v>
      </c>
    </row>
    <row r="159" spans="1:8" ht="19.8" customHeight="1" x14ac:dyDescent="0.3">
      <c r="A159" s="99">
        <v>45998</v>
      </c>
      <c r="B159" s="90" t="s">
        <v>36</v>
      </c>
      <c r="C159" s="91" t="s">
        <v>37</v>
      </c>
      <c r="D159" s="90" t="s">
        <v>1</v>
      </c>
      <c r="E159" s="100">
        <v>1.756944444444444</v>
      </c>
      <c r="F159" s="90" t="s">
        <v>38</v>
      </c>
      <c r="G159" s="92">
        <v>2</v>
      </c>
      <c r="H159" s="93">
        <v>639</v>
      </c>
    </row>
    <row r="160" spans="1:8" ht="19.8" customHeight="1" x14ac:dyDescent="0.3">
      <c r="A160" s="99">
        <v>45998</v>
      </c>
      <c r="B160" s="90" t="s">
        <v>26</v>
      </c>
      <c r="C160" s="91" t="s">
        <v>27</v>
      </c>
      <c r="D160" s="90" t="s">
        <v>1</v>
      </c>
      <c r="E160" s="100">
        <v>1.4201388888888891</v>
      </c>
      <c r="F160" s="90" t="s">
        <v>31</v>
      </c>
      <c r="G160" s="92">
        <v>4</v>
      </c>
      <c r="H160" s="93">
        <v>709</v>
      </c>
    </row>
    <row r="161" spans="1:8" ht="19.8" customHeight="1" x14ac:dyDescent="0.3">
      <c r="A161" s="99">
        <v>45998</v>
      </c>
      <c r="B161" s="90" t="s">
        <v>36</v>
      </c>
      <c r="C161" s="91" t="s">
        <v>37</v>
      </c>
      <c r="D161" s="90" t="s">
        <v>1</v>
      </c>
      <c r="E161" s="100">
        <v>1.756944444444444</v>
      </c>
      <c r="F161" s="90" t="s">
        <v>41</v>
      </c>
      <c r="G161" s="92">
        <v>2</v>
      </c>
      <c r="H161" s="93">
        <v>739</v>
      </c>
    </row>
    <row r="162" spans="1:8" ht="19.8" customHeight="1" x14ac:dyDescent="0.3">
      <c r="A162" s="99">
        <v>45998</v>
      </c>
      <c r="B162" s="90" t="s">
        <v>80</v>
      </c>
      <c r="C162" s="91" t="s">
        <v>95</v>
      </c>
      <c r="D162" s="90" t="s">
        <v>1</v>
      </c>
      <c r="E162" s="100">
        <v>1.086805555555556</v>
      </c>
      <c r="F162" s="90" t="s">
        <v>82</v>
      </c>
      <c r="G162" s="92">
        <v>9</v>
      </c>
      <c r="H162" s="93">
        <v>745</v>
      </c>
    </row>
    <row r="163" spans="1:8" ht="19.8" customHeight="1" x14ac:dyDescent="0.3">
      <c r="A163" s="99">
        <v>45998</v>
      </c>
      <c r="B163" s="90" t="s">
        <v>26</v>
      </c>
      <c r="C163" s="91" t="s">
        <v>27</v>
      </c>
      <c r="D163" s="90" t="s">
        <v>1</v>
      </c>
      <c r="E163" s="100">
        <v>1.4201388888888891</v>
      </c>
      <c r="F163" s="90" t="s">
        <v>34</v>
      </c>
      <c r="G163" s="92">
        <v>4</v>
      </c>
      <c r="H163" s="93">
        <v>799</v>
      </c>
    </row>
    <row r="164" spans="1:8" ht="19.8" customHeight="1" x14ac:dyDescent="0.3">
      <c r="A164" s="99">
        <v>45998</v>
      </c>
      <c r="B164" s="90" t="s">
        <v>36</v>
      </c>
      <c r="C164" s="91" t="s">
        <v>37</v>
      </c>
      <c r="D164" s="90" t="s">
        <v>1</v>
      </c>
      <c r="E164" s="100">
        <v>1.756944444444444</v>
      </c>
      <c r="F164" s="90" t="s">
        <v>44</v>
      </c>
      <c r="G164" s="92">
        <v>2</v>
      </c>
      <c r="H164" s="93">
        <v>829</v>
      </c>
    </row>
    <row r="165" spans="1:8" ht="19.8" customHeight="1" x14ac:dyDescent="0.3">
      <c r="A165" s="99">
        <v>45998</v>
      </c>
      <c r="B165" s="90" t="s">
        <v>80</v>
      </c>
      <c r="C165" s="91" t="s">
        <v>95</v>
      </c>
      <c r="D165" s="90" t="s">
        <v>1</v>
      </c>
      <c r="E165" s="100">
        <v>1.086805555555556</v>
      </c>
      <c r="F165" s="90" t="s">
        <v>85</v>
      </c>
      <c r="G165" s="92">
        <v>9</v>
      </c>
      <c r="H165" s="93">
        <v>885</v>
      </c>
    </row>
    <row r="166" spans="1:8" ht="19.8" customHeight="1" x14ac:dyDescent="0.3">
      <c r="A166" s="99">
        <v>45998</v>
      </c>
      <c r="B166" s="90" t="s">
        <v>80</v>
      </c>
      <c r="C166" s="91" t="s">
        <v>91</v>
      </c>
      <c r="D166" s="90" t="s">
        <v>1</v>
      </c>
      <c r="E166" s="100">
        <v>1.7951388888888891</v>
      </c>
      <c r="F166" s="90" t="s">
        <v>82</v>
      </c>
      <c r="G166" s="92">
        <v>9</v>
      </c>
      <c r="H166" s="103" t="s">
        <v>101</v>
      </c>
    </row>
    <row r="167" spans="1:8" ht="19.8" customHeight="1" x14ac:dyDescent="0.3">
      <c r="A167" s="99">
        <v>45998</v>
      </c>
      <c r="B167" s="90" t="s">
        <v>80</v>
      </c>
      <c r="C167" s="91" t="s">
        <v>91</v>
      </c>
      <c r="D167" s="90" t="s">
        <v>1</v>
      </c>
      <c r="E167" s="100">
        <v>1.7951388888888891</v>
      </c>
      <c r="F167" s="90" t="s">
        <v>85</v>
      </c>
      <c r="G167" s="92">
        <v>9</v>
      </c>
      <c r="H167" s="103" t="s">
        <v>102</v>
      </c>
    </row>
    <row r="168" spans="1:8" ht="19.8" customHeight="1" x14ac:dyDescent="0.3">
      <c r="A168" s="99">
        <v>45998</v>
      </c>
      <c r="B168" s="90" t="s">
        <v>80</v>
      </c>
      <c r="C168" s="91" t="s">
        <v>88</v>
      </c>
      <c r="D168" s="90" t="s">
        <v>1</v>
      </c>
      <c r="E168" s="100">
        <v>1.4201388888888891</v>
      </c>
      <c r="F168" s="90" t="s">
        <v>85</v>
      </c>
      <c r="G168" s="92">
        <v>4</v>
      </c>
      <c r="H168" s="103" t="s">
        <v>90</v>
      </c>
    </row>
    <row r="169" spans="1:8" ht="19.8" customHeight="1" x14ac:dyDescent="0.3">
      <c r="A169" s="99">
        <v>45998</v>
      </c>
      <c r="B169" s="90" t="s">
        <v>80</v>
      </c>
      <c r="C169" s="91" t="s">
        <v>81</v>
      </c>
      <c r="D169" s="90" t="s">
        <v>1</v>
      </c>
      <c r="E169" s="100">
        <v>1.604166666666667</v>
      </c>
      <c r="F169" s="90" t="s">
        <v>82</v>
      </c>
      <c r="G169" s="92">
        <v>9</v>
      </c>
      <c r="H169" s="103" t="s">
        <v>93</v>
      </c>
    </row>
    <row r="170" spans="1:8" ht="19.8" customHeight="1" x14ac:dyDescent="0.3">
      <c r="A170" s="99">
        <v>45998</v>
      </c>
      <c r="B170" s="90" t="s">
        <v>80</v>
      </c>
      <c r="C170" s="91" t="s">
        <v>81</v>
      </c>
      <c r="D170" s="90" t="s">
        <v>1</v>
      </c>
      <c r="E170" s="100">
        <v>1.604166666666667</v>
      </c>
      <c r="F170" s="90" t="s">
        <v>85</v>
      </c>
      <c r="G170" s="92">
        <v>9</v>
      </c>
      <c r="H170" s="103" t="s">
        <v>94</v>
      </c>
    </row>
    <row r="171" spans="1:8" ht="19.8" customHeight="1" x14ac:dyDescent="0.3">
      <c r="A171" s="104">
        <v>45998</v>
      </c>
      <c r="B171" s="105" t="s">
        <v>46</v>
      </c>
      <c r="C171" s="106" t="s">
        <v>62</v>
      </c>
      <c r="D171" s="105" t="s">
        <v>1</v>
      </c>
      <c r="E171" s="107">
        <v>1.9027777777777779</v>
      </c>
      <c r="F171" s="105" t="s">
        <v>63</v>
      </c>
      <c r="G171" s="105"/>
      <c r="H171" s="108" t="s">
        <v>64</v>
      </c>
    </row>
    <row r="172" spans="1:8" ht="19.8" customHeight="1" x14ac:dyDescent="0.3">
      <c r="A172" s="99">
        <v>45999</v>
      </c>
      <c r="B172" s="90" t="s">
        <v>26</v>
      </c>
      <c r="C172" s="91" t="s">
        <v>27</v>
      </c>
      <c r="D172" s="90" t="s">
        <v>1</v>
      </c>
      <c r="E172" s="100">
        <v>1.4201388888888891</v>
      </c>
      <c r="F172" s="90" t="s">
        <v>28</v>
      </c>
      <c r="G172" s="92">
        <v>6</v>
      </c>
      <c r="H172" s="93">
        <v>619</v>
      </c>
    </row>
    <row r="173" spans="1:8" ht="19.8" customHeight="1" x14ac:dyDescent="0.3">
      <c r="A173" s="99">
        <v>45999</v>
      </c>
      <c r="B173" s="90" t="s">
        <v>26</v>
      </c>
      <c r="C173" s="91" t="s">
        <v>27</v>
      </c>
      <c r="D173" s="90" t="s">
        <v>1</v>
      </c>
      <c r="E173" s="100">
        <v>1.4201388888888891</v>
      </c>
      <c r="F173" s="90" t="s">
        <v>31</v>
      </c>
      <c r="G173" s="92">
        <v>6</v>
      </c>
      <c r="H173" s="93">
        <v>769</v>
      </c>
    </row>
    <row r="174" spans="1:8" ht="19.8" customHeight="1" x14ac:dyDescent="0.3">
      <c r="A174" s="99">
        <v>45999</v>
      </c>
      <c r="B174" s="90" t="s">
        <v>26</v>
      </c>
      <c r="C174" s="91" t="s">
        <v>27</v>
      </c>
      <c r="D174" s="90" t="s">
        <v>1</v>
      </c>
      <c r="E174" s="100">
        <v>1.4201388888888891</v>
      </c>
      <c r="F174" s="90" t="s">
        <v>34</v>
      </c>
      <c r="G174" s="92">
        <v>6</v>
      </c>
      <c r="H174" s="93">
        <v>799</v>
      </c>
    </row>
    <row r="175" spans="1:8" ht="19.8" customHeight="1" x14ac:dyDescent="0.3">
      <c r="A175" s="99">
        <v>45999</v>
      </c>
      <c r="B175" s="90" t="s">
        <v>80</v>
      </c>
      <c r="C175" s="91" t="s">
        <v>95</v>
      </c>
      <c r="D175" s="90" t="s">
        <v>1</v>
      </c>
      <c r="E175" s="100">
        <v>1.086805555555556</v>
      </c>
      <c r="F175" s="90" t="s">
        <v>82</v>
      </c>
      <c r="G175" s="92">
        <v>9</v>
      </c>
      <c r="H175" s="103" t="s">
        <v>84</v>
      </c>
    </row>
    <row r="176" spans="1:8" ht="19.8" customHeight="1" x14ac:dyDescent="0.3">
      <c r="A176" s="99">
        <v>45999</v>
      </c>
      <c r="B176" s="90" t="s">
        <v>68</v>
      </c>
      <c r="C176" s="91" t="s">
        <v>72</v>
      </c>
      <c r="D176" s="90" t="s">
        <v>1</v>
      </c>
      <c r="E176" s="100">
        <v>1.2222222222222221</v>
      </c>
      <c r="F176" s="90" t="s">
        <v>70</v>
      </c>
      <c r="G176" s="92">
        <v>9</v>
      </c>
      <c r="H176" s="103" t="s">
        <v>99</v>
      </c>
    </row>
    <row r="177" spans="1:8" ht="19.8" customHeight="1" x14ac:dyDescent="0.3">
      <c r="A177" s="99">
        <v>45999</v>
      </c>
      <c r="B177" s="90" t="s">
        <v>80</v>
      </c>
      <c r="C177" s="91" t="s">
        <v>95</v>
      </c>
      <c r="D177" s="90" t="s">
        <v>1</v>
      </c>
      <c r="E177" s="100">
        <v>1.086805555555556</v>
      </c>
      <c r="F177" s="90" t="s">
        <v>85</v>
      </c>
      <c r="G177" s="92">
        <v>9</v>
      </c>
      <c r="H177" s="103" t="s">
        <v>87</v>
      </c>
    </row>
    <row r="178" spans="1:8" ht="19.8" customHeight="1" x14ac:dyDescent="0.3">
      <c r="A178" s="99">
        <v>45999</v>
      </c>
      <c r="B178" s="90" t="s">
        <v>80</v>
      </c>
      <c r="C178" s="91" t="s">
        <v>91</v>
      </c>
      <c r="D178" s="90" t="s">
        <v>1</v>
      </c>
      <c r="E178" s="100">
        <v>1.7951388888888891</v>
      </c>
      <c r="F178" s="90" t="s">
        <v>82</v>
      </c>
      <c r="G178" s="92">
        <v>3</v>
      </c>
      <c r="H178" s="103" t="s">
        <v>101</v>
      </c>
    </row>
    <row r="179" spans="1:8" ht="19.8" customHeight="1" x14ac:dyDescent="0.3">
      <c r="A179" s="99">
        <v>45999</v>
      </c>
      <c r="B179" s="90" t="s">
        <v>80</v>
      </c>
      <c r="C179" s="91" t="s">
        <v>81</v>
      </c>
      <c r="D179" s="90" t="s">
        <v>1</v>
      </c>
      <c r="E179" s="100">
        <v>1.604166666666667</v>
      </c>
      <c r="F179" s="90" t="s">
        <v>82</v>
      </c>
      <c r="G179" s="92">
        <v>9</v>
      </c>
      <c r="H179" s="103" t="s">
        <v>101</v>
      </c>
    </row>
    <row r="180" spans="1:8" ht="19.8" customHeight="1" x14ac:dyDescent="0.3">
      <c r="A180" s="99">
        <v>45999</v>
      </c>
      <c r="B180" s="90" t="s">
        <v>80</v>
      </c>
      <c r="C180" s="91" t="s">
        <v>91</v>
      </c>
      <c r="D180" s="90" t="s">
        <v>1</v>
      </c>
      <c r="E180" s="100">
        <v>1.7951388888888891</v>
      </c>
      <c r="F180" s="90" t="s">
        <v>85</v>
      </c>
      <c r="G180" s="92">
        <v>3</v>
      </c>
      <c r="H180" s="103" t="s">
        <v>102</v>
      </c>
    </row>
    <row r="181" spans="1:8" ht="19.8" customHeight="1" x14ac:dyDescent="0.3">
      <c r="A181" s="99">
        <v>45999</v>
      </c>
      <c r="B181" s="90" t="s">
        <v>80</v>
      </c>
      <c r="C181" s="91" t="s">
        <v>81</v>
      </c>
      <c r="D181" s="90" t="s">
        <v>1</v>
      </c>
      <c r="E181" s="100">
        <v>1.604166666666667</v>
      </c>
      <c r="F181" s="90" t="s">
        <v>85</v>
      </c>
      <c r="G181" s="92">
        <v>9</v>
      </c>
      <c r="H181" s="103" t="s">
        <v>102</v>
      </c>
    </row>
    <row r="182" spans="1:8" ht="19.8" customHeight="1" x14ac:dyDescent="0.3">
      <c r="A182" s="99">
        <v>45999</v>
      </c>
      <c r="B182" s="90" t="s">
        <v>80</v>
      </c>
      <c r="C182" s="91" t="s">
        <v>88</v>
      </c>
      <c r="D182" s="90" t="s">
        <v>1</v>
      </c>
      <c r="E182" s="100">
        <v>1.4201388888888891</v>
      </c>
      <c r="F182" s="90" t="s">
        <v>85</v>
      </c>
      <c r="G182" s="92">
        <v>4</v>
      </c>
      <c r="H182" s="103" t="s">
        <v>90</v>
      </c>
    </row>
    <row r="183" spans="1:8" ht="19.8" customHeight="1" x14ac:dyDescent="0.3">
      <c r="A183" s="109">
        <v>45999</v>
      </c>
      <c r="B183" s="110" t="s">
        <v>68</v>
      </c>
      <c r="C183" s="111" t="s">
        <v>77</v>
      </c>
      <c r="D183" s="110" t="s">
        <v>1</v>
      </c>
      <c r="E183" s="112">
        <v>1.493055555555556</v>
      </c>
      <c r="F183" s="110" t="s">
        <v>70</v>
      </c>
      <c r="G183" s="113">
        <v>2</v>
      </c>
      <c r="H183" s="114" t="s">
        <v>79</v>
      </c>
    </row>
    <row r="184" spans="1:8" ht="19.8" customHeight="1" x14ac:dyDescent="0.3">
      <c r="A184" s="101">
        <v>46000</v>
      </c>
      <c r="B184" s="95" t="s">
        <v>46</v>
      </c>
      <c r="C184" s="96" t="s">
        <v>55</v>
      </c>
      <c r="D184" s="95" t="s">
        <v>1</v>
      </c>
      <c r="E184" s="102">
        <v>1.0486111111111109</v>
      </c>
      <c r="F184" s="95" t="s">
        <v>48</v>
      </c>
      <c r="G184" s="97">
        <v>1</v>
      </c>
      <c r="H184" s="98">
        <v>455</v>
      </c>
    </row>
    <row r="185" spans="1:8" ht="19.8" customHeight="1" x14ac:dyDescent="0.3">
      <c r="A185" s="101">
        <v>46000</v>
      </c>
      <c r="B185" s="95" t="s">
        <v>46</v>
      </c>
      <c r="C185" s="96" t="s">
        <v>47</v>
      </c>
      <c r="D185" s="95" t="s">
        <v>1</v>
      </c>
      <c r="E185" s="102">
        <v>1.2777777777777779</v>
      </c>
      <c r="F185" s="95" t="s">
        <v>48</v>
      </c>
      <c r="G185" s="97">
        <v>2</v>
      </c>
      <c r="H185" s="98">
        <v>758</v>
      </c>
    </row>
    <row r="186" spans="1:8" ht="19.8" customHeight="1" x14ac:dyDescent="0.3">
      <c r="A186" s="99">
        <v>46000</v>
      </c>
      <c r="B186" s="90" t="s">
        <v>68</v>
      </c>
      <c r="C186" s="91" t="s">
        <v>72</v>
      </c>
      <c r="D186" s="90" t="s">
        <v>1</v>
      </c>
      <c r="E186" s="100">
        <v>1.2222222222222221</v>
      </c>
      <c r="F186" s="90" t="s">
        <v>70</v>
      </c>
      <c r="G186" s="92">
        <v>9</v>
      </c>
      <c r="H186" s="93">
        <v>870</v>
      </c>
    </row>
    <row r="187" spans="1:8" ht="19.8" customHeight="1" x14ac:dyDescent="0.3">
      <c r="A187" s="99">
        <v>46000</v>
      </c>
      <c r="B187" s="90" t="s">
        <v>80</v>
      </c>
      <c r="C187" s="91" t="s">
        <v>81</v>
      </c>
      <c r="D187" s="90" t="s">
        <v>1</v>
      </c>
      <c r="E187" s="100">
        <v>1.604166666666667</v>
      </c>
      <c r="F187" s="90" t="s">
        <v>82</v>
      </c>
      <c r="G187" s="92">
        <v>9</v>
      </c>
      <c r="H187" s="103" t="s">
        <v>101</v>
      </c>
    </row>
    <row r="188" spans="1:8" ht="19.8" customHeight="1" x14ac:dyDescent="0.3">
      <c r="A188" s="99">
        <v>46000</v>
      </c>
      <c r="B188" s="90" t="s">
        <v>80</v>
      </c>
      <c r="C188" s="91" t="s">
        <v>95</v>
      </c>
      <c r="D188" s="90" t="s">
        <v>1</v>
      </c>
      <c r="E188" s="100">
        <v>1.086805555555556</v>
      </c>
      <c r="F188" s="90" t="s">
        <v>82</v>
      </c>
      <c r="G188" s="92">
        <v>9</v>
      </c>
      <c r="H188" s="103" t="s">
        <v>101</v>
      </c>
    </row>
    <row r="189" spans="1:8" ht="19.8" customHeight="1" x14ac:dyDescent="0.3">
      <c r="A189" s="99">
        <v>46000</v>
      </c>
      <c r="B189" s="90" t="s">
        <v>80</v>
      </c>
      <c r="C189" s="91" t="s">
        <v>91</v>
      </c>
      <c r="D189" s="90" t="s">
        <v>1</v>
      </c>
      <c r="E189" s="100">
        <v>1.7951388888888891</v>
      </c>
      <c r="F189" s="90" t="s">
        <v>82</v>
      </c>
      <c r="G189" s="92">
        <v>9</v>
      </c>
      <c r="H189" s="103" t="s">
        <v>101</v>
      </c>
    </row>
    <row r="190" spans="1:8" ht="19.8" customHeight="1" x14ac:dyDescent="0.3">
      <c r="A190" s="99">
        <v>46000</v>
      </c>
      <c r="B190" s="90" t="s">
        <v>68</v>
      </c>
      <c r="C190" s="91" t="s">
        <v>69</v>
      </c>
      <c r="D190" s="90" t="s">
        <v>1</v>
      </c>
      <c r="E190" s="100">
        <v>1.0972222222222221</v>
      </c>
      <c r="F190" s="90" t="s">
        <v>70</v>
      </c>
      <c r="G190" s="92">
        <v>9</v>
      </c>
      <c r="H190" s="103" t="s">
        <v>100</v>
      </c>
    </row>
    <row r="191" spans="1:8" ht="19.8" customHeight="1" x14ac:dyDescent="0.3">
      <c r="A191" s="99">
        <v>46000</v>
      </c>
      <c r="B191" s="90" t="s">
        <v>80</v>
      </c>
      <c r="C191" s="91" t="s">
        <v>81</v>
      </c>
      <c r="D191" s="90" t="s">
        <v>1</v>
      </c>
      <c r="E191" s="100">
        <v>1.604166666666667</v>
      </c>
      <c r="F191" s="90" t="s">
        <v>85</v>
      </c>
      <c r="G191" s="92">
        <v>9</v>
      </c>
      <c r="H191" s="103" t="s">
        <v>102</v>
      </c>
    </row>
    <row r="192" spans="1:8" ht="19.8" customHeight="1" x14ac:dyDescent="0.3">
      <c r="A192" s="99">
        <v>46000</v>
      </c>
      <c r="B192" s="90" t="s">
        <v>80</v>
      </c>
      <c r="C192" s="91" t="s">
        <v>95</v>
      </c>
      <c r="D192" s="90" t="s">
        <v>1</v>
      </c>
      <c r="E192" s="100">
        <v>1.086805555555556</v>
      </c>
      <c r="F192" s="90" t="s">
        <v>85</v>
      </c>
      <c r="G192" s="92">
        <v>9</v>
      </c>
      <c r="H192" s="103" t="s">
        <v>102</v>
      </c>
    </row>
    <row r="193" spans="1:8" ht="19.8" customHeight="1" x14ac:dyDescent="0.3">
      <c r="A193" s="99">
        <v>46000</v>
      </c>
      <c r="B193" s="90" t="s">
        <v>80</v>
      </c>
      <c r="C193" s="91" t="s">
        <v>91</v>
      </c>
      <c r="D193" s="90" t="s">
        <v>1</v>
      </c>
      <c r="E193" s="100">
        <v>1.7951388888888891</v>
      </c>
      <c r="F193" s="90" t="s">
        <v>85</v>
      </c>
      <c r="G193" s="92">
        <v>9</v>
      </c>
      <c r="H193" s="103" t="s">
        <v>102</v>
      </c>
    </row>
    <row r="194" spans="1:8" ht="19.8" customHeight="1" x14ac:dyDescent="0.3">
      <c r="A194" s="99">
        <v>46000</v>
      </c>
      <c r="B194" s="90" t="s">
        <v>80</v>
      </c>
      <c r="C194" s="91" t="s">
        <v>88</v>
      </c>
      <c r="D194" s="90" t="s">
        <v>1</v>
      </c>
      <c r="E194" s="100">
        <v>1.4201388888888891</v>
      </c>
      <c r="F194" s="90" t="s">
        <v>85</v>
      </c>
      <c r="G194" s="92">
        <v>4</v>
      </c>
      <c r="H194" s="103" t="s">
        <v>90</v>
      </c>
    </row>
    <row r="195" spans="1:8" ht="19.8" customHeight="1" x14ac:dyDescent="0.3">
      <c r="A195" s="99">
        <v>46000</v>
      </c>
      <c r="B195" s="90" t="s">
        <v>68</v>
      </c>
      <c r="C195" s="91" t="s">
        <v>77</v>
      </c>
      <c r="D195" s="90" t="s">
        <v>1</v>
      </c>
      <c r="E195" s="100">
        <v>1.493055555555556</v>
      </c>
      <c r="F195" s="90" t="s">
        <v>70</v>
      </c>
      <c r="G195" s="92">
        <v>1</v>
      </c>
      <c r="H195" s="103" t="s">
        <v>79</v>
      </c>
    </row>
    <row r="196" spans="1:8" ht="19.8" customHeight="1" x14ac:dyDescent="0.3">
      <c r="A196" s="104">
        <v>46000</v>
      </c>
      <c r="B196" s="105" t="s">
        <v>46</v>
      </c>
      <c r="C196" s="106" t="s">
        <v>62</v>
      </c>
      <c r="D196" s="105" t="s">
        <v>1</v>
      </c>
      <c r="E196" s="107">
        <v>1.979166666666667</v>
      </c>
      <c r="F196" s="105" t="s">
        <v>63</v>
      </c>
      <c r="G196" s="105"/>
      <c r="H196" s="108" t="s">
        <v>64</v>
      </c>
    </row>
    <row r="197" spans="1:8" ht="19.8" customHeight="1" x14ac:dyDescent="0.3">
      <c r="A197" s="99">
        <v>46001</v>
      </c>
      <c r="B197" s="90" t="s">
        <v>80</v>
      </c>
      <c r="C197" s="91" t="s">
        <v>95</v>
      </c>
      <c r="D197" s="90" t="s">
        <v>1</v>
      </c>
      <c r="E197" s="100">
        <v>1.086805555555556</v>
      </c>
      <c r="F197" s="90" t="s">
        <v>82</v>
      </c>
      <c r="G197" s="92">
        <v>9</v>
      </c>
      <c r="H197" s="103" t="s">
        <v>84</v>
      </c>
    </row>
    <row r="198" spans="1:8" ht="19.8" customHeight="1" x14ac:dyDescent="0.3">
      <c r="A198" s="99">
        <v>46001</v>
      </c>
      <c r="B198" s="90" t="s">
        <v>80</v>
      </c>
      <c r="C198" s="91" t="s">
        <v>95</v>
      </c>
      <c r="D198" s="90" t="s">
        <v>1</v>
      </c>
      <c r="E198" s="100">
        <v>1.086805555555556</v>
      </c>
      <c r="F198" s="90" t="s">
        <v>85</v>
      </c>
      <c r="G198" s="92">
        <v>9</v>
      </c>
      <c r="H198" s="103" t="s">
        <v>87</v>
      </c>
    </row>
    <row r="199" spans="1:8" ht="19.8" customHeight="1" x14ac:dyDescent="0.3">
      <c r="A199" s="99">
        <v>46001</v>
      </c>
      <c r="B199" s="90" t="s">
        <v>68</v>
      </c>
      <c r="C199" s="91" t="s">
        <v>72</v>
      </c>
      <c r="D199" s="90" t="s">
        <v>1</v>
      </c>
      <c r="E199" s="100">
        <v>1.2222222222222221</v>
      </c>
      <c r="F199" s="90" t="s">
        <v>70</v>
      </c>
      <c r="G199" s="92">
        <v>9</v>
      </c>
      <c r="H199" s="103" t="s">
        <v>149</v>
      </c>
    </row>
    <row r="200" spans="1:8" ht="19.8" customHeight="1" x14ac:dyDescent="0.3">
      <c r="A200" s="99">
        <v>46001</v>
      </c>
      <c r="B200" s="90" t="s">
        <v>68</v>
      </c>
      <c r="C200" s="91" t="s">
        <v>78</v>
      </c>
      <c r="D200" s="90" t="s">
        <v>1</v>
      </c>
      <c r="E200" s="100">
        <v>1.854166666666667</v>
      </c>
      <c r="F200" s="90" t="s">
        <v>70</v>
      </c>
      <c r="G200" s="92">
        <v>4</v>
      </c>
      <c r="H200" s="103" t="s">
        <v>79</v>
      </c>
    </row>
    <row r="201" spans="1:8" ht="19.8" customHeight="1" x14ac:dyDescent="0.3">
      <c r="A201" s="99">
        <v>46001</v>
      </c>
      <c r="B201" s="90" t="s">
        <v>68</v>
      </c>
      <c r="C201" s="91" t="s">
        <v>77</v>
      </c>
      <c r="D201" s="90" t="s">
        <v>1</v>
      </c>
      <c r="E201" s="100">
        <v>1.493055555555556</v>
      </c>
      <c r="F201" s="90" t="s">
        <v>70</v>
      </c>
      <c r="G201" s="92">
        <v>6</v>
      </c>
      <c r="H201" s="103" t="s">
        <v>79</v>
      </c>
    </row>
    <row r="202" spans="1:8" ht="19.8" customHeight="1" x14ac:dyDescent="0.3">
      <c r="A202" s="99">
        <v>46001</v>
      </c>
      <c r="B202" s="90" t="s">
        <v>80</v>
      </c>
      <c r="C202" s="91" t="s">
        <v>81</v>
      </c>
      <c r="D202" s="90" t="s">
        <v>1</v>
      </c>
      <c r="E202" s="100">
        <v>1.604166666666667</v>
      </c>
      <c r="F202" s="90" t="s">
        <v>82</v>
      </c>
      <c r="G202" s="92">
        <v>4</v>
      </c>
      <c r="H202" s="103" t="s">
        <v>93</v>
      </c>
    </row>
    <row r="203" spans="1:8" ht="19.8" customHeight="1" x14ac:dyDescent="0.3">
      <c r="A203" s="99">
        <v>46001</v>
      </c>
      <c r="B203" s="90" t="s">
        <v>80</v>
      </c>
      <c r="C203" s="91" t="s">
        <v>91</v>
      </c>
      <c r="D203" s="90" t="s">
        <v>1</v>
      </c>
      <c r="E203" s="100">
        <v>1.7951388888888891</v>
      </c>
      <c r="F203" s="90" t="s">
        <v>82</v>
      </c>
      <c r="G203" s="92">
        <v>2</v>
      </c>
      <c r="H203" s="103" t="s">
        <v>93</v>
      </c>
    </row>
    <row r="204" spans="1:8" ht="19.8" customHeight="1" x14ac:dyDescent="0.3">
      <c r="A204" s="99">
        <v>46001</v>
      </c>
      <c r="B204" s="90" t="s">
        <v>80</v>
      </c>
      <c r="C204" s="91" t="s">
        <v>88</v>
      </c>
      <c r="D204" s="90" t="s">
        <v>1</v>
      </c>
      <c r="E204" s="100">
        <v>1.4201388888888891</v>
      </c>
      <c r="F204" s="90" t="s">
        <v>85</v>
      </c>
      <c r="G204" s="92">
        <v>4</v>
      </c>
      <c r="H204" s="103" t="s">
        <v>106</v>
      </c>
    </row>
    <row r="205" spans="1:8" ht="19.8" customHeight="1" x14ac:dyDescent="0.3">
      <c r="A205" s="99">
        <v>46001</v>
      </c>
      <c r="B205" s="90" t="s">
        <v>80</v>
      </c>
      <c r="C205" s="91" t="s">
        <v>81</v>
      </c>
      <c r="D205" s="90" t="s">
        <v>1</v>
      </c>
      <c r="E205" s="100">
        <v>1.604166666666667</v>
      </c>
      <c r="F205" s="90" t="s">
        <v>85</v>
      </c>
      <c r="G205" s="92">
        <v>4</v>
      </c>
      <c r="H205" s="103" t="s">
        <v>94</v>
      </c>
    </row>
    <row r="206" spans="1:8" ht="19.8" customHeight="1" x14ac:dyDescent="0.3">
      <c r="A206" s="109">
        <v>46001</v>
      </c>
      <c r="B206" s="110" t="s">
        <v>80</v>
      </c>
      <c r="C206" s="111" t="s">
        <v>91</v>
      </c>
      <c r="D206" s="110" t="s">
        <v>1</v>
      </c>
      <c r="E206" s="112">
        <v>1.7951388888888891</v>
      </c>
      <c r="F206" s="110" t="s">
        <v>85</v>
      </c>
      <c r="G206" s="113">
        <v>2</v>
      </c>
      <c r="H206" s="114" t="s">
        <v>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2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4.886718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7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2.77734375" bestFit="1" customWidth="1"/>
  </cols>
  <sheetData>
    <row r="1" spans="1:18" ht="25.05" customHeight="1" x14ac:dyDescent="0.3">
      <c r="A1" s="166" t="s">
        <v>0</v>
      </c>
      <c r="B1" s="164"/>
      <c r="C1" s="164"/>
      <c r="D1" s="164"/>
      <c r="E1" s="164"/>
      <c r="F1" s="1" t="s">
        <v>281</v>
      </c>
      <c r="G1" s="2" t="s">
        <v>2</v>
      </c>
      <c r="H1" s="165">
        <v>45986</v>
      </c>
      <c r="I1" s="164"/>
      <c r="J1" s="164"/>
      <c r="K1" s="164"/>
      <c r="L1" s="164"/>
      <c r="M1" s="1" t="s">
        <v>3</v>
      </c>
      <c r="N1" s="170">
        <v>46001</v>
      </c>
      <c r="O1" s="164"/>
      <c r="P1" s="164"/>
      <c r="Q1" s="164"/>
      <c r="R1" s="164"/>
    </row>
    <row r="2" spans="1:18" ht="18" customHeight="1" x14ac:dyDescent="0.3">
      <c r="A2" s="167" t="s">
        <v>4</v>
      </c>
      <c r="B2" s="164"/>
      <c r="C2" s="164"/>
      <c r="D2" s="164"/>
      <c r="E2" s="164"/>
      <c r="F2" s="164"/>
      <c r="G2" s="169">
        <v>45982.825423508788</v>
      </c>
      <c r="H2" s="164"/>
      <c r="I2" s="164"/>
      <c r="J2" s="164"/>
      <c r="K2" s="171">
        <v>45982.825423509792</v>
      </c>
      <c r="L2" s="164"/>
      <c r="M2" s="164"/>
      <c r="N2" s="164"/>
      <c r="O2" s="164"/>
      <c r="P2" s="164"/>
      <c r="Q2" s="164"/>
      <c r="R2" s="164"/>
    </row>
    <row r="3" spans="1:18" ht="24" customHeight="1" x14ac:dyDescent="0.3">
      <c r="A3" s="168" t="s">
        <v>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</row>
    <row r="4" spans="1:18" ht="22.05" customHeight="1" x14ac:dyDescent="0.3">
      <c r="A4" s="161" t="s">
        <v>6</v>
      </c>
      <c r="B4" s="162"/>
      <c r="C4" s="162"/>
      <c r="D4" s="162"/>
      <c r="E4" s="162"/>
      <c r="F4" s="163"/>
      <c r="G4" s="3">
        <v>45986</v>
      </c>
      <c r="H4" s="161" t="s">
        <v>7</v>
      </c>
      <c r="I4" s="162"/>
      <c r="J4" s="162"/>
      <c r="K4" s="162"/>
      <c r="L4" s="162"/>
      <c r="M4" s="162"/>
      <c r="N4" s="162"/>
      <c r="O4" s="162"/>
      <c r="P4" s="162"/>
      <c r="Q4" s="162"/>
      <c r="R4" s="163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13" t="s">
        <v>46</v>
      </c>
      <c r="B6" s="13" t="s">
        <v>282</v>
      </c>
      <c r="C6" s="13">
        <v>0.3263888888888889</v>
      </c>
      <c r="D6" s="13" t="s">
        <v>63</v>
      </c>
      <c r="E6" s="13"/>
      <c r="F6" s="13" t="s">
        <v>283</v>
      </c>
      <c r="G6" s="164"/>
      <c r="H6" s="66" t="s">
        <v>282</v>
      </c>
      <c r="I6" s="67">
        <v>0.97209999999999996</v>
      </c>
      <c r="J6" s="68">
        <v>174</v>
      </c>
      <c r="K6" s="69" t="s">
        <v>162</v>
      </c>
      <c r="L6" s="68">
        <v>11</v>
      </c>
      <c r="M6" s="68">
        <v>4</v>
      </c>
      <c r="N6" s="68">
        <v>1</v>
      </c>
      <c r="O6" s="69" t="s">
        <v>217</v>
      </c>
      <c r="P6" s="69">
        <v>0.3263888888888889</v>
      </c>
      <c r="Q6" s="68">
        <v>179</v>
      </c>
      <c r="R6" s="70" t="s">
        <v>284</v>
      </c>
    </row>
    <row r="7" spans="1:18" ht="17.399999999999999" customHeight="1" x14ac:dyDescent="0.3">
      <c r="A7" s="190"/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2"/>
    </row>
    <row r="8" spans="1:18" ht="22.05" customHeight="1" x14ac:dyDescent="0.3">
      <c r="A8" s="161" t="s">
        <v>6</v>
      </c>
      <c r="B8" s="162"/>
      <c r="C8" s="162"/>
      <c r="D8" s="162"/>
      <c r="E8" s="162"/>
      <c r="F8" s="163"/>
      <c r="G8" s="3">
        <v>45987</v>
      </c>
      <c r="H8" s="161" t="s">
        <v>7</v>
      </c>
      <c r="I8" s="162"/>
      <c r="J8" s="162"/>
      <c r="K8" s="162"/>
      <c r="L8" s="162"/>
      <c r="M8" s="162"/>
      <c r="N8" s="162"/>
      <c r="O8" s="162"/>
      <c r="P8" s="162"/>
      <c r="Q8" s="162"/>
      <c r="R8" s="163"/>
    </row>
    <row r="9" spans="1:18" ht="24" customHeight="1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5" t="s">
        <v>13</v>
      </c>
      <c r="G9" s="6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  <c r="Q9" s="4" t="s">
        <v>24</v>
      </c>
      <c r="R9" s="4" t="s">
        <v>25</v>
      </c>
    </row>
    <row r="10" spans="1:18" ht="49.95" customHeight="1" x14ac:dyDescent="0.3">
      <c r="A10" s="116" t="s">
        <v>46</v>
      </c>
      <c r="B10" s="116" t="s">
        <v>285</v>
      </c>
      <c r="C10" s="116">
        <v>0.94444444444444453</v>
      </c>
      <c r="D10" s="116" t="s">
        <v>48</v>
      </c>
      <c r="E10" s="116" t="s">
        <v>133</v>
      </c>
      <c r="F10" s="116" t="s">
        <v>286</v>
      </c>
      <c r="G10" s="164"/>
      <c r="H10" s="117" t="s">
        <v>282</v>
      </c>
      <c r="I10" s="118">
        <v>0.94410000000000005</v>
      </c>
      <c r="J10" s="119">
        <v>169</v>
      </c>
      <c r="K10" s="120" t="s">
        <v>52</v>
      </c>
      <c r="L10" s="119">
        <v>2</v>
      </c>
      <c r="M10" s="119">
        <v>0</v>
      </c>
      <c r="N10" s="119">
        <v>2</v>
      </c>
      <c r="O10" s="120" t="s">
        <v>287</v>
      </c>
      <c r="P10" s="120">
        <v>0.94444444444444453</v>
      </c>
      <c r="Q10" s="119">
        <v>179</v>
      </c>
      <c r="R10" s="121" t="s">
        <v>288</v>
      </c>
    </row>
    <row r="11" spans="1:18" ht="17.399999999999999" customHeigh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1"/>
      <c r="N11" s="191"/>
      <c r="O11" s="191"/>
      <c r="P11" s="191"/>
      <c r="Q11" s="191"/>
      <c r="R11" s="192"/>
    </row>
    <row r="12" spans="1:18" ht="22.05" customHeight="1" x14ac:dyDescent="0.3">
      <c r="A12" s="161" t="s">
        <v>6</v>
      </c>
      <c r="B12" s="162"/>
      <c r="C12" s="162"/>
      <c r="D12" s="162"/>
      <c r="E12" s="162"/>
      <c r="F12" s="163"/>
      <c r="G12" s="3">
        <v>45988</v>
      </c>
      <c r="H12" s="161" t="s">
        <v>7</v>
      </c>
      <c r="I12" s="162"/>
      <c r="J12" s="162"/>
      <c r="K12" s="162"/>
      <c r="L12" s="162"/>
      <c r="M12" s="162"/>
      <c r="N12" s="162"/>
      <c r="O12" s="162"/>
      <c r="P12" s="162"/>
      <c r="Q12" s="162"/>
      <c r="R12" s="163"/>
    </row>
    <row r="13" spans="1:18" ht="24" customHeight="1" x14ac:dyDescent="0.3">
      <c r="A13" s="4" t="s">
        <v>8</v>
      </c>
      <c r="B13" s="4" t="s">
        <v>9</v>
      </c>
      <c r="C13" s="4" t="s">
        <v>10</v>
      </c>
      <c r="D13" s="4" t="s">
        <v>11</v>
      </c>
      <c r="E13" s="4" t="s">
        <v>12</v>
      </c>
      <c r="F13" s="5" t="s">
        <v>13</v>
      </c>
      <c r="G13" s="6" t="s">
        <v>14</v>
      </c>
      <c r="H13" s="4" t="s">
        <v>15</v>
      </c>
      <c r="I13" s="4" t="s">
        <v>16</v>
      </c>
      <c r="J13" s="4" t="s">
        <v>17</v>
      </c>
      <c r="K13" s="4" t="s">
        <v>18</v>
      </c>
      <c r="L13" s="4" t="s">
        <v>19</v>
      </c>
      <c r="M13" s="4" t="s">
        <v>20</v>
      </c>
      <c r="N13" s="4" t="s">
        <v>21</v>
      </c>
      <c r="O13" s="4" t="s">
        <v>22</v>
      </c>
      <c r="P13" s="4" t="s">
        <v>23</v>
      </c>
      <c r="Q13" s="4" t="s">
        <v>24</v>
      </c>
      <c r="R13" s="4" t="s">
        <v>25</v>
      </c>
    </row>
    <row r="14" spans="1:18" ht="49.95" customHeight="1" x14ac:dyDescent="0.3">
      <c r="A14" s="51" t="s">
        <v>46</v>
      </c>
      <c r="B14" s="51" t="s">
        <v>285</v>
      </c>
      <c r="C14" s="51">
        <v>0.64583333333333337</v>
      </c>
      <c r="D14" s="51" t="s">
        <v>48</v>
      </c>
      <c r="E14" s="51" t="s">
        <v>39</v>
      </c>
      <c r="F14" s="51" t="s">
        <v>134</v>
      </c>
      <c r="G14" s="164"/>
      <c r="H14" s="122" t="s">
        <v>282</v>
      </c>
      <c r="I14" s="123">
        <v>0.97770000000000001</v>
      </c>
      <c r="J14" s="124">
        <v>175</v>
      </c>
      <c r="K14" s="125" t="s">
        <v>52</v>
      </c>
      <c r="L14" s="124">
        <v>7</v>
      </c>
      <c r="M14" s="124">
        <v>0</v>
      </c>
      <c r="N14" s="124">
        <v>2</v>
      </c>
      <c r="O14" s="125" t="s">
        <v>289</v>
      </c>
      <c r="P14" s="125">
        <v>0.64583333333333337</v>
      </c>
      <c r="Q14" s="124">
        <v>179</v>
      </c>
      <c r="R14" s="126" t="s">
        <v>290</v>
      </c>
    </row>
    <row r="15" spans="1:18" ht="17.399999999999999" customHeight="1" x14ac:dyDescent="0.3">
      <c r="A15" s="190"/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2"/>
    </row>
    <row r="16" spans="1:18" ht="17.399999999999999" customHeight="1" x14ac:dyDescent="0.3">
      <c r="A16" s="190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2"/>
    </row>
    <row r="17" spans="1:18" ht="17.399999999999999" customHeight="1" x14ac:dyDescent="0.3">
      <c r="A17" s="190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2"/>
    </row>
    <row r="18" spans="1:18" ht="22.05" customHeight="1" x14ac:dyDescent="0.3">
      <c r="A18" s="161" t="s">
        <v>6</v>
      </c>
      <c r="B18" s="162"/>
      <c r="C18" s="162"/>
      <c r="D18" s="162"/>
      <c r="E18" s="162"/>
      <c r="F18" s="163"/>
      <c r="G18" s="3">
        <v>45991</v>
      </c>
      <c r="H18" s="161" t="s">
        <v>7</v>
      </c>
      <c r="I18" s="162"/>
      <c r="J18" s="162"/>
      <c r="K18" s="162"/>
      <c r="L18" s="162"/>
      <c r="M18" s="162"/>
      <c r="N18" s="162"/>
      <c r="O18" s="162"/>
      <c r="P18" s="162"/>
      <c r="Q18" s="162"/>
      <c r="R18" s="163"/>
    </row>
    <row r="19" spans="1:18" ht="24" customHeight="1" x14ac:dyDescent="0.3">
      <c r="A19" s="4" t="s">
        <v>8</v>
      </c>
      <c r="B19" s="4" t="s">
        <v>9</v>
      </c>
      <c r="C19" s="4" t="s">
        <v>10</v>
      </c>
      <c r="D19" s="4" t="s">
        <v>11</v>
      </c>
      <c r="E19" s="4" t="s">
        <v>12</v>
      </c>
      <c r="F19" s="5" t="s">
        <v>13</v>
      </c>
      <c r="G19" s="6" t="s">
        <v>14</v>
      </c>
      <c r="H19" s="4" t="s">
        <v>15</v>
      </c>
      <c r="I19" s="4" t="s">
        <v>16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  <c r="Q19" s="4" t="s">
        <v>24</v>
      </c>
      <c r="R19" s="4" t="s">
        <v>25</v>
      </c>
    </row>
    <row r="20" spans="1:18" ht="49.95" customHeight="1" x14ac:dyDescent="0.3">
      <c r="A20" s="116" t="s">
        <v>46</v>
      </c>
      <c r="B20" s="116" t="s">
        <v>282</v>
      </c>
      <c r="C20" s="116">
        <v>0.40277777777777768</v>
      </c>
      <c r="D20" s="116" t="s">
        <v>63</v>
      </c>
      <c r="E20" s="116"/>
      <c r="F20" s="116" t="s">
        <v>291</v>
      </c>
      <c r="G20" s="164"/>
      <c r="H20" s="117" t="s">
        <v>282</v>
      </c>
      <c r="I20" s="118">
        <v>0.94969999999999999</v>
      </c>
      <c r="J20" s="119">
        <v>170</v>
      </c>
      <c r="K20" s="120" t="s">
        <v>52</v>
      </c>
      <c r="L20" s="119">
        <v>6</v>
      </c>
      <c r="M20" s="119">
        <v>0</v>
      </c>
      <c r="N20" s="119">
        <v>2</v>
      </c>
      <c r="O20" s="120" t="s">
        <v>292</v>
      </c>
      <c r="P20" s="120">
        <v>0.40277777777777768</v>
      </c>
      <c r="Q20" s="119">
        <v>179</v>
      </c>
      <c r="R20" s="121" t="s">
        <v>293</v>
      </c>
    </row>
    <row r="21" spans="1:18" ht="17.399999999999999" customHeight="1" x14ac:dyDescent="0.3">
      <c r="A21" s="190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2"/>
    </row>
    <row r="22" spans="1:18" ht="17.399999999999999" customHeight="1" x14ac:dyDescent="0.3">
      <c r="A22" s="190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2"/>
    </row>
    <row r="23" spans="1:18" ht="22.05" customHeight="1" x14ac:dyDescent="0.3">
      <c r="A23" s="161" t="s">
        <v>6</v>
      </c>
      <c r="B23" s="162"/>
      <c r="C23" s="162"/>
      <c r="D23" s="162"/>
      <c r="E23" s="162"/>
      <c r="F23" s="163"/>
      <c r="G23" s="3">
        <v>45993</v>
      </c>
      <c r="H23" s="161" t="s">
        <v>7</v>
      </c>
      <c r="I23" s="162"/>
      <c r="J23" s="162"/>
      <c r="K23" s="162"/>
      <c r="L23" s="162"/>
      <c r="M23" s="162"/>
      <c r="N23" s="162"/>
      <c r="O23" s="162"/>
      <c r="P23" s="162"/>
      <c r="Q23" s="162"/>
      <c r="R23" s="163"/>
    </row>
    <row r="24" spans="1:18" ht="24" customHeight="1" x14ac:dyDescent="0.3">
      <c r="A24" s="4" t="s">
        <v>8</v>
      </c>
      <c r="B24" s="4" t="s">
        <v>9</v>
      </c>
      <c r="C24" s="4" t="s">
        <v>10</v>
      </c>
      <c r="D24" s="4" t="s">
        <v>11</v>
      </c>
      <c r="E24" s="4" t="s">
        <v>12</v>
      </c>
      <c r="F24" s="5" t="s">
        <v>13</v>
      </c>
      <c r="G24" s="6" t="s">
        <v>14</v>
      </c>
      <c r="H24" s="4" t="s">
        <v>15</v>
      </c>
      <c r="I24" s="4" t="s">
        <v>16</v>
      </c>
      <c r="J24" s="4" t="s">
        <v>17</v>
      </c>
      <c r="K24" s="4" t="s">
        <v>18</v>
      </c>
      <c r="L24" s="4" t="s">
        <v>19</v>
      </c>
      <c r="M24" s="4" t="s">
        <v>20</v>
      </c>
      <c r="N24" s="4" t="s">
        <v>21</v>
      </c>
      <c r="O24" s="4" t="s">
        <v>22</v>
      </c>
      <c r="P24" s="4" t="s">
        <v>23</v>
      </c>
      <c r="Q24" s="4" t="s">
        <v>24</v>
      </c>
      <c r="R24" s="4" t="s">
        <v>25</v>
      </c>
    </row>
    <row r="25" spans="1:18" ht="49.95" customHeight="1" x14ac:dyDescent="0.3">
      <c r="A25" s="51" t="s">
        <v>46</v>
      </c>
      <c r="B25" s="51" t="s">
        <v>282</v>
      </c>
      <c r="C25" s="51">
        <v>0.3263888888888889</v>
      </c>
      <c r="D25" s="51" t="s">
        <v>63</v>
      </c>
      <c r="E25" s="51"/>
      <c r="F25" s="51" t="s">
        <v>64</v>
      </c>
      <c r="G25" s="164"/>
      <c r="H25" s="122" t="s">
        <v>282</v>
      </c>
      <c r="I25" s="123">
        <v>1</v>
      </c>
      <c r="J25" s="124">
        <v>179</v>
      </c>
      <c r="K25" s="125" t="s">
        <v>294</v>
      </c>
      <c r="L25" s="124">
        <v>3</v>
      </c>
      <c r="M25" s="124">
        <v>0</v>
      </c>
      <c r="N25" s="124">
        <v>0</v>
      </c>
      <c r="O25" s="125" t="s">
        <v>66</v>
      </c>
      <c r="P25" s="125">
        <v>0.3263888888888889</v>
      </c>
      <c r="Q25" s="124">
        <v>179</v>
      </c>
      <c r="R25" s="126" t="s">
        <v>295</v>
      </c>
    </row>
    <row r="26" spans="1:18" ht="17.399999999999999" customHeight="1" x14ac:dyDescent="0.3">
      <c r="A26" s="190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2"/>
    </row>
    <row r="27" spans="1:18" ht="22.05" customHeight="1" x14ac:dyDescent="0.3">
      <c r="A27" s="161" t="s">
        <v>6</v>
      </c>
      <c r="B27" s="162"/>
      <c r="C27" s="162"/>
      <c r="D27" s="162"/>
      <c r="E27" s="162"/>
      <c r="F27" s="163"/>
      <c r="G27" s="3">
        <v>45994</v>
      </c>
      <c r="H27" s="161" t="s">
        <v>7</v>
      </c>
      <c r="I27" s="162"/>
      <c r="J27" s="162"/>
      <c r="K27" s="162"/>
      <c r="L27" s="162"/>
      <c r="M27" s="162"/>
      <c r="N27" s="162"/>
      <c r="O27" s="162"/>
      <c r="P27" s="162"/>
      <c r="Q27" s="162"/>
      <c r="R27" s="163"/>
    </row>
    <row r="28" spans="1:18" ht="24" customHeight="1" x14ac:dyDescent="0.3">
      <c r="A28" s="4" t="s">
        <v>8</v>
      </c>
      <c r="B28" s="4" t="s">
        <v>9</v>
      </c>
      <c r="C28" s="4" t="s">
        <v>10</v>
      </c>
      <c r="D28" s="4" t="s">
        <v>11</v>
      </c>
      <c r="E28" s="4" t="s">
        <v>12</v>
      </c>
      <c r="F28" s="5" t="s">
        <v>13</v>
      </c>
      <c r="G28" s="6" t="s">
        <v>14</v>
      </c>
      <c r="H28" s="4" t="s">
        <v>15</v>
      </c>
      <c r="I28" s="4" t="s">
        <v>16</v>
      </c>
      <c r="J28" s="4" t="s">
        <v>17</v>
      </c>
      <c r="K28" s="4" t="s">
        <v>18</v>
      </c>
      <c r="L28" s="4" t="s">
        <v>19</v>
      </c>
      <c r="M28" s="4" t="s">
        <v>20</v>
      </c>
      <c r="N28" s="4" t="s">
        <v>21</v>
      </c>
      <c r="O28" s="4" t="s">
        <v>22</v>
      </c>
      <c r="P28" s="4" t="s">
        <v>23</v>
      </c>
      <c r="Q28" s="4" t="s">
        <v>24</v>
      </c>
      <c r="R28" s="4" t="s">
        <v>25</v>
      </c>
    </row>
    <row r="29" spans="1:18" ht="49.95" customHeight="1" x14ac:dyDescent="0.3">
      <c r="A29" s="49" t="s">
        <v>46</v>
      </c>
      <c r="B29" s="49" t="s">
        <v>282</v>
      </c>
      <c r="C29" s="49">
        <v>0.94444444444444453</v>
      </c>
      <c r="D29" s="49" t="s">
        <v>63</v>
      </c>
      <c r="E29" s="49"/>
      <c r="F29" s="49" t="s">
        <v>64</v>
      </c>
      <c r="G29" s="164"/>
      <c r="H29" s="127" t="s">
        <v>282</v>
      </c>
      <c r="I29" s="128">
        <v>1</v>
      </c>
      <c r="J29" s="129">
        <v>179</v>
      </c>
      <c r="K29" s="130" t="s">
        <v>294</v>
      </c>
      <c r="L29" s="129">
        <v>2</v>
      </c>
      <c r="M29" s="129">
        <v>0</v>
      </c>
      <c r="N29" s="129">
        <v>0</v>
      </c>
      <c r="O29" s="130" t="s">
        <v>66</v>
      </c>
      <c r="P29" s="130">
        <v>0.94444444444444453</v>
      </c>
      <c r="Q29" s="129">
        <v>179</v>
      </c>
      <c r="R29" s="131" t="s">
        <v>296</v>
      </c>
    </row>
    <row r="30" spans="1:18" ht="17.399999999999999" customHeight="1" x14ac:dyDescent="0.3">
      <c r="A30" s="190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2"/>
    </row>
    <row r="31" spans="1:18" ht="22.05" customHeight="1" x14ac:dyDescent="0.3">
      <c r="A31" s="161" t="s">
        <v>6</v>
      </c>
      <c r="B31" s="162"/>
      <c r="C31" s="162"/>
      <c r="D31" s="162"/>
      <c r="E31" s="162"/>
      <c r="F31" s="163"/>
      <c r="G31" s="3">
        <v>45995</v>
      </c>
      <c r="H31" s="161" t="s">
        <v>7</v>
      </c>
      <c r="I31" s="162"/>
      <c r="J31" s="162"/>
      <c r="K31" s="162"/>
      <c r="L31" s="162"/>
      <c r="M31" s="162"/>
      <c r="N31" s="162"/>
      <c r="O31" s="162"/>
      <c r="P31" s="162"/>
      <c r="Q31" s="162"/>
      <c r="R31" s="163"/>
    </row>
    <row r="32" spans="1:18" ht="24" customHeight="1" x14ac:dyDescent="0.3">
      <c r="A32" s="4" t="s">
        <v>8</v>
      </c>
      <c r="B32" s="4" t="s">
        <v>9</v>
      </c>
      <c r="C32" s="4" t="s">
        <v>10</v>
      </c>
      <c r="D32" s="4" t="s">
        <v>11</v>
      </c>
      <c r="E32" s="4" t="s">
        <v>12</v>
      </c>
      <c r="F32" s="5" t="s">
        <v>13</v>
      </c>
      <c r="G32" s="6" t="s">
        <v>14</v>
      </c>
      <c r="H32" s="4" t="s">
        <v>15</v>
      </c>
      <c r="I32" s="4" t="s">
        <v>16</v>
      </c>
      <c r="J32" s="4" t="s">
        <v>17</v>
      </c>
      <c r="K32" s="4" t="s">
        <v>18</v>
      </c>
      <c r="L32" s="4" t="s">
        <v>19</v>
      </c>
      <c r="M32" s="4" t="s">
        <v>20</v>
      </c>
      <c r="N32" s="4" t="s">
        <v>21</v>
      </c>
      <c r="O32" s="4" t="s">
        <v>22</v>
      </c>
      <c r="P32" s="4" t="s">
        <v>23</v>
      </c>
      <c r="Q32" s="4" t="s">
        <v>24</v>
      </c>
      <c r="R32" s="4" t="s">
        <v>25</v>
      </c>
    </row>
    <row r="33" spans="1:18" ht="49.95" customHeight="1" x14ac:dyDescent="0.3">
      <c r="A33" s="7" t="s">
        <v>68</v>
      </c>
      <c r="B33" s="7" t="s">
        <v>297</v>
      </c>
      <c r="C33" s="7">
        <v>0.52083333333333337</v>
      </c>
      <c r="D33" s="7" t="s">
        <v>70</v>
      </c>
      <c r="E33" s="7" t="s">
        <v>298</v>
      </c>
      <c r="F33" s="7" t="s">
        <v>299</v>
      </c>
      <c r="G33" s="164"/>
      <c r="H33" s="8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49.95" customHeight="1" x14ac:dyDescent="0.3">
      <c r="A34" s="59" t="s">
        <v>46</v>
      </c>
      <c r="B34" s="59" t="s">
        <v>285</v>
      </c>
      <c r="C34" s="59">
        <v>0.64583333333333337</v>
      </c>
      <c r="D34" s="59" t="s">
        <v>48</v>
      </c>
      <c r="E34" s="59" t="s">
        <v>133</v>
      </c>
      <c r="F34" s="59" t="s">
        <v>300</v>
      </c>
      <c r="G34" s="164"/>
      <c r="H34" s="60" t="s">
        <v>282</v>
      </c>
      <c r="I34" s="61">
        <v>0.94969999999999999</v>
      </c>
      <c r="J34" s="62">
        <v>170</v>
      </c>
      <c r="K34" s="63" t="s">
        <v>52</v>
      </c>
      <c r="L34" s="62">
        <v>10</v>
      </c>
      <c r="M34" s="62">
        <v>0</v>
      </c>
      <c r="N34" s="62">
        <v>1</v>
      </c>
      <c r="O34" s="63" t="s">
        <v>301</v>
      </c>
      <c r="P34" s="63">
        <v>0.64583333333333337</v>
      </c>
      <c r="Q34" s="62">
        <v>179</v>
      </c>
      <c r="R34" s="64" t="s">
        <v>302</v>
      </c>
    </row>
    <row r="35" spans="1:18" ht="17.399999999999999" customHeight="1" x14ac:dyDescent="0.3">
      <c r="A35" s="190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2"/>
    </row>
    <row r="36" spans="1:18" ht="22.05" customHeight="1" x14ac:dyDescent="0.3">
      <c r="A36" s="161" t="s">
        <v>6</v>
      </c>
      <c r="B36" s="162"/>
      <c r="C36" s="162"/>
      <c r="D36" s="162"/>
      <c r="E36" s="162"/>
      <c r="F36" s="163"/>
      <c r="G36" s="3">
        <v>45996</v>
      </c>
      <c r="H36" s="161" t="s">
        <v>7</v>
      </c>
      <c r="I36" s="162"/>
      <c r="J36" s="162"/>
      <c r="K36" s="162"/>
      <c r="L36" s="162"/>
      <c r="M36" s="162"/>
      <c r="N36" s="162"/>
      <c r="O36" s="162"/>
      <c r="P36" s="162"/>
      <c r="Q36" s="162"/>
      <c r="R36" s="163"/>
    </row>
    <row r="37" spans="1:18" ht="24" customHeight="1" x14ac:dyDescent="0.3">
      <c r="A37" s="4" t="s">
        <v>8</v>
      </c>
      <c r="B37" s="4" t="s">
        <v>9</v>
      </c>
      <c r="C37" s="4" t="s">
        <v>10</v>
      </c>
      <c r="D37" s="4" t="s">
        <v>11</v>
      </c>
      <c r="E37" s="4" t="s">
        <v>12</v>
      </c>
      <c r="F37" s="5" t="s">
        <v>13</v>
      </c>
      <c r="G37" s="6" t="s">
        <v>14</v>
      </c>
      <c r="H37" s="4" t="s">
        <v>15</v>
      </c>
      <c r="I37" s="4" t="s">
        <v>16</v>
      </c>
      <c r="J37" s="4" t="s">
        <v>17</v>
      </c>
      <c r="K37" s="4" t="s">
        <v>18</v>
      </c>
      <c r="L37" s="4" t="s">
        <v>19</v>
      </c>
      <c r="M37" s="4" t="s">
        <v>20</v>
      </c>
      <c r="N37" s="4" t="s">
        <v>21</v>
      </c>
      <c r="O37" s="4" t="s">
        <v>22</v>
      </c>
      <c r="P37" s="4" t="s">
        <v>23</v>
      </c>
      <c r="Q37" s="4" t="s">
        <v>24</v>
      </c>
      <c r="R37" s="4" t="s">
        <v>25</v>
      </c>
    </row>
    <row r="38" spans="1:18" ht="49.95" customHeight="1" x14ac:dyDescent="0.3">
      <c r="A38" s="132" t="s">
        <v>68</v>
      </c>
      <c r="B38" s="132" t="s">
        <v>297</v>
      </c>
      <c r="C38" s="132">
        <v>0.52083333333333337</v>
      </c>
      <c r="D38" s="132" t="s">
        <v>70</v>
      </c>
      <c r="E38" s="132" t="s">
        <v>49</v>
      </c>
      <c r="F38" s="132" t="s">
        <v>303</v>
      </c>
      <c r="G38" s="164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5"/>
    </row>
    <row r="39" spans="1:18" ht="17.399999999999999" customHeight="1" x14ac:dyDescent="0.3">
      <c r="A39" s="190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2"/>
    </row>
    <row r="40" spans="1:18" ht="17.399999999999999" customHeight="1" x14ac:dyDescent="0.3">
      <c r="A40" s="190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2"/>
    </row>
    <row r="41" spans="1:18" ht="22.05" customHeight="1" x14ac:dyDescent="0.3">
      <c r="A41" s="161" t="s">
        <v>6</v>
      </c>
      <c r="B41" s="162"/>
      <c r="C41" s="162"/>
      <c r="D41" s="162"/>
      <c r="E41" s="162"/>
      <c r="F41" s="163"/>
      <c r="G41" s="3">
        <v>45998</v>
      </c>
      <c r="H41" s="161" t="s">
        <v>7</v>
      </c>
      <c r="I41" s="162"/>
      <c r="J41" s="162"/>
      <c r="K41" s="162"/>
      <c r="L41" s="162"/>
      <c r="M41" s="162"/>
      <c r="N41" s="162"/>
      <c r="O41" s="162"/>
      <c r="P41" s="162"/>
      <c r="Q41" s="162"/>
      <c r="R41" s="163"/>
    </row>
    <row r="42" spans="1:18" ht="24" customHeight="1" x14ac:dyDescent="0.3">
      <c r="A42" s="4" t="s">
        <v>8</v>
      </c>
      <c r="B42" s="4" t="s">
        <v>9</v>
      </c>
      <c r="C42" s="4" t="s">
        <v>10</v>
      </c>
      <c r="D42" s="4" t="s">
        <v>11</v>
      </c>
      <c r="E42" s="4" t="s">
        <v>12</v>
      </c>
      <c r="F42" s="5" t="s">
        <v>13</v>
      </c>
      <c r="G42" s="6" t="s">
        <v>14</v>
      </c>
      <c r="H42" s="4" t="s">
        <v>15</v>
      </c>
      <c r="I42" s="4" t="s">
        <v>16</v>
      </c>
      <c r="J42" s="4" t="s">
        <v>17</v>
      </c>
      <c r="K42" s="4" t="s">
        <v>18</v>
      </c>
      <c r="L42" s="4" t="s">
        <v>19</v>
      </c>
      <c r="M42" s="4" t="s">
        <v>20</v>
      </c>
      <c r="N42" s="4" t="s">
        <v>21</v>
      </c>
      <c r="O42" s="4" t="s">
        <v>22</v>
      </c>
      <c r="P42" s="4" t="s">
        <v>23</v>
      </c>
      <c r="Q42" s="4" t="s">
        <v>24</v>
      </c>
      <c r="R42" s="4" t="s">
        <v>25</v>
      </c>
    </row>
    <row r="43" spans="1:18" ht="49.95" customHeight="1" x14ac:dyDescent="0.3">
      <c r="A43" s="116" t="s">
        <v>46</v>
      </c>
      <c r="B43" s="116" t="s">
        <v>285</v>
      </c>
      <c r="C43" s="116">
        <v>0.40277777777777768</v>
      </c>
      <c r="D43" s="116" t="s">
        <v>48</v>
      </c>
      <c r="E43" s="116" t="s">
        <v>39</v>
      </c>
      <c r="F43" s="116" t="s">
        <v>50</v>
      </c>
      <c r="G43" s="164"/>
      <c r="H43" s="117" t="s">
        <v>282</v>
      </c>
      <c r="I43" s="118">
        <v>0.95530000000000004</v>
      </c>
      <c r="J43" s="119">
        <v>171</v>
      </c>
      <c r="K43" s="120" t="s">
        <v>52</v>
      </c>
      <c r="L43" s="119">
        <v>6</v>
      </c>
      <c r="M43" s="119">
        <v>0</v>
      </c>
      <c r="N43" s="119">
        <v>4</v>
      </c>
      <c r="O43" s="120" t="s">
        <v>304</v>
      </c>
      <c r="P43" s="120">
        <v>0.40277777777777768</v>
      </c>
      <c r="Q43" s="119">
        <v>179</v>
      </c>
      <c r="R43" s="121" t="s">
        <v>305</v>
      </c>
    </row>
    <row r="44" spans="1:18" ht="17.399999999999999" customHeight="1" x14ac:dyDescent="0.3">
      <c r="A44" s="190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2"/>
    </row>
    <row r="45" spans="1:18" ht="17.399999999999999" customHeight="1" x14ac:dyDescent="0.3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2"/>
    </row>
    <row r="46" spans="1:18" ht="22.05" customHeight="1" x14ac:dyDescent="0.3">
      <c r="A46" s="161" t="s">
        <v>6</v>
      </c>
      <c r="B46" s="162"/>
      <c r="C46" s="162"/>
      <c r="D46" s="162"/>
      <c r="E46" s="162"/>
      <c r="F46" s="163"/>
      <c r="G46" s="3">
        <v>46000</v>
      </c>
      <c r="H46" s="161" t="s">
        <v>7</v>
      </c>
      <c r="I46" s="162"/>
      <c r="J46" s="162"/>
      <c r="K46" s="162"/>
      <c r="L46" s="162"/>
      <c r="M46" s="162"/>
      <c r="N46" s="162"/>
      <c r="O46" s="162"/>
      <c r="P46" s="162"/>
      <c r="Q46" s="162"/>
      <c r="R46" s="163"/>
    </row>
    <row r="47" spans="1:18" ht="24" customHeight="1" x14ac:dyDescent="0.3">
      <c r="A47" s="4" t="s">
        <v>8</v>
      </c>
      <c r="B47" s="4" t="s">
        <v>9</v>
      </c>
      <c r="C47" s="4" t="s">
        <v>10</v>
      </c>
      <c r="D47" s="4" t="s">
        <v>11</v>
      </c>
      <c r="E47" s="4" t="s">
        <v>12</v>
      </c>
      <c r="F47" s="5" t="s">
        <v>13</v>
      </c>
      <c r="G47" s="6" t="s">
        <v>14</v>
      </c>
      <c r="H47" s="4" t="s">
        <v>15</v>
      </c>
      <c r="I47" s="4" t="s">
        <v>16</v>
      </c>
      <c r="J47" s="4" t="s">
        <v>17</v>
      </c>
      <c r="K47" s="4" t="s">
        <v>18</v>
      </c>
      <c r="L47" s="4" t="s">
        <v>19</v>
      </c>
      <c r="M47" s="4" t="s">
        <v>20</v>
      </c>
      <c r="N47" s="4" t="s">
        <v>21</v>
      </c>
      <c r="O47" s="4" t="s">
        <v>22</v>
      </c>
      <c r="P47" s="4" t="s">
        <v>23</v>
      </c>
      <c r="Q47" s="4" t="s">
        <v>24</v>
      </c>
      <c r="R47" s="4" t="s">
        <v>25</v>
      </c>
    </row>
    <row r="48" spans="1:18" ht="49.95" customHeight="1" x14ac:dyDescent="0.3">
      <c r="A48" s="133" t="s">
        <v>46</v>
      </c>
      <c r="B48" s="133" t="s">
        <v>285</v>
      </c>
      <c r="C48" s="133">
        <v>0.3263888888888889</v>
      </c>
      <c r="D48" s="133" t="s">
        <v>48</v>
      </c>
      <c r="E48" s="133" t="s">
        <v>127</v>
      </c>
      <c r="F48" s="133" t="s">
        <v>50</v>
      </c>
      <c r="G48" s="164"/>
      <c r="H48" s="44" t="s">
        <v>282</v>
      </c>
      <c r="I48" s="45">
        <v>0.98880000000000001</v>
      </c>
      <c r="J48" s="46">
        <v>177</v>
      </c>
      <c r="K48" s="47" t="s">
        <v>162</v>
      </c>
      <c r="L48" s="46">
        <v>9</v>
      </c>
      <c r="M48" s="46">
        <v>4</v>
      </c>
      <c r="N48" s="46">
        <v>0</v>
      </c>
      <c r="O48" s="47" t="s">
        <v>165</v>
      </c>
      <c r="P48" s="47">
        <v>0.3263888888888889</v>
      </c>
      <c r="Q48" s="46">
        <v>179</v>
      </c>
      <c r="R48" s="48" t="s">
        <v>306</v>
      </c>
    </row>
    <row r="49" spans="1:18" ht="17.399999999999999" customHeight="1" x14ac:dyDescent="0.3">
      <c r="A49" s="190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</row>
    <row r="50" spans="1:18" ht="22.05" customHeight="1" x14ac:dyDescent="0.3">
      <c r="A50" s="161" t="s">
        <v>6</v>
      </c>
      <c r="B50" s="162"/>
      <c r="C50" s="162"/>
      <c r="D50" s="162"/>
      <c r="E50" s="162"/>
      <c r="F50" s="163"/>
      <c r="G50" s="3">
        <v>46001</v>
      </c>
      <c r="H50" s="161" t="s">
        <v>7</v>
      </c>
      <c r="I50" s="162"/>
      <c r="J50" s="162"/>
      <c r="K50" s="162"/>
      <c r="L50" s="162"/>
      <c r="M50" s="162"/>
      <c r="N50" s="162"/>
      <c r="O50" s="162"/>
      <c r="P50" s="162"/>
      <c r="Q50" s="162"/>
      <c r="R50" s="163"/>
    </row>
    <row r="51" spans="1:18" ht="24" customHeight="1" x14ac:dyDescent="0.3">
      <c r="A51" s="4" t="s">
        <v>8</v>
      </c>
      <c r="B51" s="4" t="s">
        <v>9</v>
      </c>
      <c r="C51" s="4" t="s">
        <v>10</v>
      </c>
      <c r="D51" s="4" t="s">
        <v>11</v>
      </c>
      <c r="E51" s="4" t="s">
        <v>12</v>
      </c>
      <c r="F51" s="5" t="s">
        <v>13</v>
      </c>
      <c r="G51" s="6" t="s">
        <v>14</v>
      </c>
      <c r="H51" s="4" t="s">
        <v>15</v>
      </c>
      <c r="I51" s="4" t="s">
        <v>16</v>
      </c>
      <c r="J51" s="4" t="s">
        <v>17</v>
      </c>
      <c r="K51" s="4" t="s">
        <v>18</v>
      </c>
      <c r="L51" s="4" t="s">
        <v>19</v>
      </c>
      <c r="M51" s="4" t="s">
        <v>20</v>
      </c>
      <c r="N51" s="4" t="s">
        <v>21</v>
      </c>
      <c r="O51" s="4" t="s">
        <v>22</v>
      </c>
      <c r="P51" s="4" t="s">
        <v>23</v>
      </c>
      <c r="Q51" s="4" t="s">
        <v>24</v>
      </c>
      <c r="R51" s="4" t="s">
        <v>25</v>
      </c>
    </row>
    <row r="52" spans="1:18" ht="49.95" customHeight="1" x14ac:dyDescent="0.3">
      <c r="A52" s="71" t="s">
        <v>46</v>
      </c>
      <c r="B52" s="71" t="s">
        <v>285</v>
      </c>
      <c r="C52" s="71">
        <v>0.94444444444444453</v>
      </c>
      <c r="D52" s="71" t="s">
        <v>48</v>
      </c>
      <c r="E52" s="71" t="s">
        <v>160</v>
      </c>
      <c r="F52" s="71" t="s">
        <v>307</v>
      </c>
      <c r="G52" s="164"/>
      <c r="H52" s="134" t="s">
        <v>282</v>
      </c>
      <c r="I52" s="135">
        <v>0.91620000000000001</v>
      </c>
      <c r="J52" s="136">
        <v>164</v>
      </c>
      <c r="K52" s="137" t="s">
        <v>294</v>
      </c>
      <c r="L52" s="136">
        <v>20</v>
      </c>
      <c r="M52" s="136">
        <v>0</v>
      </c>
      <c r="N52" s="136">
        <v>0</v>
      </c>
      <c r="O52" s="137" t="s">
        <v>308</v>
      </c>
      <c r="P52" s="137">
        <v>0.94444444444444453</v>
      </c>
      <c r="Q52" s="136">
        <v>179</v>
      </c>
      <c r="R52" s="138" t="s">
        <v>309</v>
      </c>
    </row>
  </sheetData>
  <mergeCells count="55">
    <mergeCell ref="N1:R1"/>
    <mergeCell ref="G33:G34"/>
    <mergeCell ref="G48"/>
    <mergeCell ref="A31:F31"/>
    <mergeCell ref="K2:R2"/>
    <mergeCell ref="A44:R44"/>
    <mergeCell ref="G38"/>
    <mergeCell ref="G10"/>
    <mergeCell ref="G6"/>
    <mergeCell ref="A40:R40"/>
    <mergeCell ref="H27:R27"/>
    <mergeCell ref="A30:R30"/>
    <mergeCell ref="A39:R39"/>
    <mergeCell ref="A15:R15"/>
    <mergeCell ref="H12:R12"/>
    <mergeCell ref="A36:F36"/>
    <mergeCell ref="G52"/>
    <mergeCell ref="H46:R46"/>
    <mergeCell ref="A8:F8"/>
    <mergeCell ref="G2:J2"/>
    <mergeCell ref="A4:F4"/>
    <mergeCell ref="A17:R17"/>
    <mergeCell ref="H36:R36"/>
    <mergeCell ref="A22:R22"/>
    <mergeCell ref="A35:R35"/>
    <mergeCell ref="A11:R11"/>
    <mergeCell ref="A49:R49"/>
    <mergeCell ref="A45:R45"/>
    <mergeCell ref="H18:R18"/>
    <mergeCell ref="G14"/>
    <mergeCell ref="A50:F50"/>
    <mergeCell ref="H4:R4"/>
    <mergeCell ref="H50:R50"/>
    <mergeCell ref="A2:F2"/>
    <mergeCell ref="A3:R3"/>
    <mergeCell ref="A21:R21"/>
    <mergeCell ref="A26:R26"/>
    <mergeCell ref="H31:R31"/>
    <mergeCell ref="G43"/>
    <mergeCell ref="A23:F23"/>
    <mergeCell ref="H1:L1"/>
    <mergeCell ref="A1:E1"/>
    <mergeCell ref="G25"/>
    <mergeCell ref="A12:F12"/>
    <mergeCell ref="A18:F18"/>
    <mergeCell ref="H23:R23"/>
    <mergeCell ref="A41:F41"/>
    <mergeCell ref="H8:R8"/>
    <mergeCell ref="A7:R7"/>
    <mergeCell ref="A46:F46"/>
    <mergeCell ref="A16:R16"/>
    <mergeCell ref="G20"/>
    <mergeCell ref="G29"/>
    <mergeCell ref="A27:F27"/>
    <mergeCell ref="H41:R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2"/>
  <sheetViews>
    <sheetView workbookViewId="0"/>
  </sheetViews>
  <sheetFormatPr defaultRowHeight="15.6" outlineLevelCol="1" x14ac:dyDescent="0.3"/>
  <cols>
    <col min="1" max="1" width="11.5546875" style="177" bestFit="1" customWidth="1"/>
    <col min="2" max="2" width="10.44140625" style="177" bestFit="1" customWidth="1"/>
    <col min="3" max="3" width="6.77734375" style="177" bestFit="1" customWidth="1"/>
    <col min="4" max="4" width="5.5546875" style="177" bestFit="1" customWidth="1"/>
    <col min="5" max="5" width="9.109375" style="177" bestFit="1" customWidth="1"/>
    <col min="6" max="6" width="4.21875" style="177" bestFit="1" customWidth="1"/>
    <col min="7" max="7" width="10" style="177" bestFit="1" customWidth="1"/>
    <col min="8" max="10" width="8.5546875" style="177" bestFit="1" customWidth="1"/>
    <col min="11" max="11" width="10.5546875" style="177" bestFit="1" customWidth="1"/>
    <col min="12" max="12" width="18.109375" style="177" bestFit="1" customWidth="1"/>
    <col min="13" max="13" width="7.6640625" style="177" bestFit="1" customWidth="1" outlineLevel="1"/>
    <col min="14" max="14" width="6.33203125" style="177" bestFit="1" customWidth="1" outlineLevel="1"/>
    <col min="15" max="15" width="8" style="177" bestFit="1" customWidth="1" outlineLevel="1"/>
    <col min="16" max="16" width="13.6640625" style="177" bestFit="1" customWidth="1"/>
    <col min="17" max="25" width="3.88671875" style="177" bestFit="1" customWidth="1"/>
    <col min="26" max="26" width="4.109375" style="177" bestFit="1" customWidth="1"/>
    <col min="27" max="27" width="4" style="177" bestFit="1" customWidth="1"/>
    <col min="28" max="28" width="3.88671875" style="177" bestFit="1" customWidth="1"/>
    <col min="29" max="29" width="4.21875" style="177" bestFit="1" customWidth="1"/>
    <col min="30" max="30" width="3.88671875" style="177" bestFit="1" customWidth="1"/>
    <col min="31" max="31" width="4.5546875" style="177" bestFit="1" customWidth="1"/>
    <col min="32" max="34" width="3.88671875" style="177" bestFit="1" customWidth="1"/>
    <col min="35" max="35" width="5.21875" style="177" bestFit="1" customWidth="1"/>
    <col min="36" max="36" width="3.88671875" style="177" bestFit="1" customWidth="1"/>
    <col min="37" max="16384" width="8.88671875" style="177"/>
  </cols>
  <sheetData>
    <row r="1" spans="1:36" x14ac:dyDescent="0.3">
      <c r="A1" s="176" t="s">
        <v>169</v>
      </c>
      <c r="B1" s="176" t="s">
        <v>170</v>
      </c>
      <c r="C1" s="176" t="s">
        <v>171</v>
      </c>
      <c r="D1" s="176" t="s">
        <v>23</v>
      </c>
      <c r="E1" s="176" t="s">
        <v>172</v>
      </c>
      <c r="F1" s="176" t="s">
        <v>173</v>
      </c>
      <c r="G1" s="176" t="s">
        <v>16</v>
      </c>
      <c r="H1" s="176" t="s">
        <v>174</v>
      </c>
      <c r="I1" s="176" t="s">
        <v>175</v>
      </c>
      <c r="J1" s="176" t="s">
        <v>176</v>
      </c>
      <c r="K1" s="176" t="s">
        <v>177</v>
      </c>
      <c r="L1" s="176" t="s">
        <v>18</v>
      </c>
      <c r="M1" s="176" t="s">
        <v>20</v>
      </c>
      <c r="N1" s="176" t="s">
        <v>21</v>
      </c>
      <c r="O1" s="176" t="s">
        <v>19</v>
      </c>
      <c r="P1" s="176" t="s">
        <v>22</v>
      </c>
      <c r="Q1" s="176" t="s">
        <v>178</v>
      </c>
      <c r="R1" s="176" t="s">
        <v>179</v>
      </c>
      <c r="S1" s="176" t="s">
        <v>180</v>
      </c>
      <c r="T1" s="176" t="s">
        <v>181</v>
      </c>
      <c r="U1" s="176" t="s">
        <v>182</v>
      </c>
      <c r="V1" s="176" t="s">
        <v>183</v>
      </c>
      <c r="W1" s="176" t="s">
        <v>184</v>
      </c>
      <c r="X1" s="176" t="s">
        <v>185</v>
      </c>
      <c r="Y1" s="176" t="s">
        <v>186</v>
      </c>
      <c r="Z1" s="176" t="s">
        <v>187</v>
      </c>
      <c r="AA1" s="176" t="s">
        <v>188</v>
      </c>
      <c r="AB1" s="176" t="s">
        <v>189</v>
      </c>
      <c r="AC1" s="176" t="s">
        <v>190</v>
      </c>
      <c r="AD1" s="176" t="s">
        <v>191</v>
      </c>
      <c r="AE1" s="176" t="s">
        <v>192</v>
      </c>
      <c r="AF1" s="176" t="s">
        <v>193</v>
      </c>
      <c r="AG1" s="176" t="s">
        <v>194</v>
      </c>
      <c r="AH1" s="176" t="s">
        <v>195</v>
      </c>
      <c r="AI1" s="176" t="s">
        <v>196</v>
      </c>
      <c r="AJ1" s="176" t="s">
        <v>197</v>
      </c>
    </row>
    <row r="2" spans="1:36" x14ac:dyDescent="0.3">
      <c r="A2" s="178" t="s">
        <v>198</v>
      </c>
      <c r="B2" s="179">
        <v>45986</v>
      </c>
      <c r="C2" s="180" t="s">
        <v>282</v>
      </c>
      <c r="D2" s="181" t="s">
        <v>310</v>
      </c>
      <c r="E2" s="180" t="s">
        <v>281</v>
      </c>
      <c r="F2" s="180" t="s">
        <v>200</v>
      </c>
      <c r="G2" s="182">
        <v>0.97209999999999996</v>
      </c>
      <c r="H2" s="183">
        <v>179</v>
      </c>
      <c r="I2" s="183">
        <v>174</v>
      </c>
      <c r="J2" s="183">
        <v>153</v>
      </c>
      <c r="K2" s="180" t="s">
        <v>201</v>
      </c>
      <c r="L2" s="184" t="s">
        <v>162</v>
      </c>
      <c r="M2" s="183">
        <v>4</v>
      </c>
      <c r="N2" s="183">
        <v>1</v>
      </c>
      <c r="O2" s="183">
        <v>11</v>
      </c>
      <c r="P2" s="180" t="s">
        <v>217</v>
      </c>
      <c r="Q2" s="176"/>
      <c r="R2" s="176"/>
      <c r="S2" s="176"/>
      <c r="T2" s="176"/>
      <c r="U2" s="183" t="s">
        <v>311</v>
      </c>
      <c r="V2" s="183" t="s">
        <v>312</v>
      </c>
      <c r="W2" s="183" t="s">
        <v>313</v>
      </c>
      <c r="X2" s="183" t="s">
        <v>314</v>
      </c>
      <c r="Y2" s="176"/>
      <c r="Z2" s="176"/>
      <c r="AA2" s="176"/>
      <c r="AB2" s="176"/>
      <c r="AC2" s="183" t="s">
        <v>315</v>
      </c>
      <c r="AD2" s="176"/>
      <c r="AE2" s="176"/>
      <c r="AF2" s="176"/>
      <c r="AG2" s="176"/>
      <c r="AH2" s="176"/>
      <c r="AI2" s="183" t="s">
        <v>316</v>
      </c>
      <c r="AJ2" s="176"/>
    </row>
    <row r="3" spans="1:36" x14ac:dyDescent="0.3">
      <c r="A3" s="178" t="s">
        <v>317</v>
      </c>
      <c r="B3" s="179">
        <v>45987</v>
      </c>
      <c r="C3" s="180" t="s">
        <v>282</v>
      </c>
      <c r="D3" s="181" t="s">
        <v>318</v>
      </c>
      <c r="E3" s="180" t="s">
        <v>281</v>
      </c>
      <c r="F3" s="180" t="s">
        <v>200</v>
      </c>
      <c r="G3" s="182">
        <v>0.94410000000000005</v>
      </c>
      <c r="H3" s="183">
        <v>179</v>
      </c>
      <c r="I3" s="183">
        <v>169</v>
      </c>
      <c r="J3" s="183">
        <v>135</v>
      </c>
      <c r="K3" s="180" t="s">
        <v>201</v>
      </c>
      <c r="L3" s="184" t="s">
        <v>52</v>
      </c>
      <c r="M3" s="183">
        <v>0</v>
      </c>
      <c r="N3" s="183">
        <v>2</v>
      </c>
      <c r="O3" s="183">
        <v>2</v>
      </c>
      <c r="P3" s="180" t="s">
        <v>287</v>
      </c>
      <c r="Q3" s="176"/>
      <c r="R3" s="176"/>
      <c r="S3" s="176"/>
      <c r="T3" s="176"/>
      <c r="U3" s="183" t="s">
        <v>319</v>
      </c>
      <c r="V3" s="176"/>
      <c r="W3" s="176"/>
      <c r="X3" s="176"/>
      <c r="Y3" s="176"/>
      <c r="Z3" s="183" t="s">
        <v>320</v>
      </c>
      <c r="AA3" s="176"/>
      <c r="AB3" s="176"/>
      <c r="AC3" s="183" t="s">
        <v>321</v>
      </c>
      <c r="AD3" s="183" t="s">
        <v>252</v>
      </c>
      <c r="AE3" s="183" t="s">
        <v>253</v>
      </c>
      <c r="AF3" s="183" t="s">
        <v>322</v>
      </c>
      <c r="AG3" s="176"/>
      <c r="AH3" s="176"/>
      <c r="AI3" s="183" t="s">
        <v>263</v>
      </c>
      <c r="AJ3" s="176"/>
    </row>
    <row r="4" spans="1:36" x14ac:dyDescent="0.3">
      <c r="A4" s="178" t="s">
        <v>226</v>
      </c>
      <c r="B4" s="179">
        <v>45988</v>
      </c>
      <c r="C4" s="180" t="s">
        <v>282</v>
      </c>
      <c r="D4" s="181" t="s">
        <v>323</v>
      </c>
      <c r="E4" s="180" t="s">
        <v>281</v>
      </c>
      <c r="F4" s="180" t="s">
        <v>200</v>
      </c>
      <c r="G4" s="182">
        <v>0.97770000000000001</v>
      </c>
      <c r="H4" s="183">
        <v>179</v>
      </c>
      <c r="I4" s="183">
        <v>175</v>
      </c>
      <c r="J4" s="183">
        <v>121</v>
      </c>
      <c r="K4" s="180" t="s">
        <v>201</v>
      </c>
      <c r="L4" s="184" t="s">
        <v>52</v>
      </c>
      <c r="M4" s="183">
        <v>0</v>
      </c>
      <c r="N4" s="183">
        <v>2</v>
      </c>
      <c r="O4" s="183">
        <v>7</v>
      </c>
      <c r="P4" s="180" t="s">
        <v>289</v>
      </c>
      <c r="Q4" s="176"/>
      <c r="R4" s="176"/>
      <c r="S4" s="176"/>
      <c r="T4" s="176"/>
      <c r="U4" s="176"/>
      <c r="V4" s="176"/>
      <c r="W4" s="183" t="s">
        <v>324</v>
      </c>
      <c r="X4" s="183" t="s">
        <v>314</v>
      </c>
      <c r="Y4" s="176"/>
      <c r="Z4" s="183" t="s">
        <v>325</v>
      </c>
      <c r="AA4" s="176"/>
      <c r="AB4" s="183" t="s">
        <v>326</v>
      </c>
      <c r="AC4" s="183" t="s">
        <v>212</v>
      </c>
      <c r="AD4" s="176"/>
      <c r="AE4" s="176"/>
      <c r="AF4" s="176"/>
      <c r="AG4" s="176"/>
      <c r="AH4" s="176"/>
      <c r="AI4" s="183" t="s">
        <v>327</v>
      </c>
      <c r="AJ4" s="176"/>
    </row>
    <row r="5" spans="1:36" x14ac:dyDescent="0.3">
      <c r="A5" s="178" t="s">
        <v>240</v>
      </c>
      <c r="B5" s="179">
        <v>45991</v>
      </c>
      <c r="C5" s="180" t="s">
        <v>282</v>
      </c>
      <c r="D5" s="181" t="s">
        <v>328</v>
      </c>
      <c r="E5" s="180" t="s">
        <v>281</v>
      </c>
      <c r="F5" s="180" t="s">
        <v>200</v>
      </c>
      <c r="G5" s="182">
        <v>0.94969999999999999</v>
      </c>
      <c r="H5" s="183">
        <v>179</v>
      </c>
      <c r="I5" s="183">
        <v>170</v>
      </c>
      <c r="J5" s="183">
        <v>144</v>
      </c>
      <c r="K5" s="180" t="s">
        <v>201</v>
      </c>
      <c r="L5" s="184" t="s">
        <v>52</v>
      </c>
      <c r="M5" s="183">
        <v>0</v>
      </c>
      <c r="N5" s="183">
        <v>2</v>
      </c>
      <c r="O5" s="183">
        <v>6</v>
      </c>
      <c r="P5" s="180" t="s">
        <v>292</v>
      </c>
      <c r="Q5" s="176"/>
      <c r="R5" s="176"/>
      <c r="S5" s="176"/>
      <c r="T5" s="183" t="s">
        <v>329</v>
      </c>
      <c r="U5" s="176"/>
      <c r="V5" s="176"/>
      <c r="W5" s="176"/>
      <c r="X5" s="176"/>
      <c r="Y5" s="176"/>
      <c r="Z5" s="183" t="s">
        <v>330</v>
      </c>
      <c r="AA5" s="176"/>
      <c r="AB5" s="176"/>
      <c r="AC5" s="183" t="s">
        <v>251</v>
      </c>
      <c r="AD5" s="176"/>
      <c r="AE5" s="176"/>
      <c r="AF5" s="176"/>
      <c r="AG5" s="176"/>
      <c r="AH5" s="176"/>
      <c r="AI5" s="183" t="s">
        <v>331</v>
      </c>
      <c r="AJ5" s="176"/>
    </row>
    <row r="6" spans="1:36" x14ac:dyDescent="0.3">
      <c r="A6" s="178" t="s">
        <v>198</v>
      </c>
      <c r="B6" s="179">
        <v>45993</v>
      </c>
      <c r="C6" s="180" t="s">
        <v>282</v>
      </c>
      <c r="D6" s="181" t="s">
        <v>310</v>
      </c>
      <c r="E6" s="180" t="s">
        <v>281</v>
      </c>
      <c r="F6" s="180" t="s">
        <v>200</v>
      </c>
      <c r="G6" s="182">
        <v>1</v>
      </c>
      <c r="H6" s="183">
        <v>179</v>
      </c>
      <c r="I6" s="183">
        <v>179</v>
      </c>
      <c r="J6" s="183">
        <v>161</v>
      </c>
      <c r="K6" s="180" t="s">
        <v>201</v>
      </c>
      <c r="L6" s="184" t="s">
        <v>294</v>
      </c>
      <c r="M6" s="183">
        <v>0</v>
      </c>
      <c r="N6" s="183">
        <v>0</v>
      </c>
      <c r="O6" s="183">
        <v>3</v>
      </c>
      <c r="P6" s="180" t="s">
        <v>66</v>
      </c>
      <c r="Q6" s="176"/>
      <c r="R6" s="176"/>
      <c r="S6" s="176"/>
      <c r="T6" s="176"/>
      <c r="U6" s="176"/>
      <c r="V6" s="176"/>
      <c r="W6" s="176"/>
      <c r="X6" s="176"/>
      <c r="Y6" s="176"/>
      <c r="Z6" s="183" t="s">
        <v>332</v>
      </c>
      <c r="AA6" s="176"/>
      <c r="AB6" s="176"/>
      <c r="AC6" s="176"/>
      <c r="AD6" s="176"/>
      <c r="AE6" s="183" t="s">
        <v>333</v>
      </c>
      <c r="AF6" s="183" t="s">
        <v>334</v>
      </c>
      <c r="AG6" s="176"/>
      <c r="AH6" s="176"/>
      <c r="AI6" s="183" t="s">
        <v>335</v>
      </c>
      <c r="AJ6" s="176"/>
    </row>
    <row r="7" spans="1:36" x14ac:dyDescent="0.3">
      <c r="A7" s="178" t="s">
        <v>317</v>
      </c>
      <c r="B7" s="179">
        <v>45994</v>
      </c>
      <c r="C7" s="180" t="s">
        <v>282</v>
      </c>
      <c r="D7" s="181" t="s">
        <v>318</v>
      </c>
      <c r="E7" s="180" t="s">
        <v>281</v>
      </c>
      <c r="F7" s="180" t="s">
        <v>200</v>
      </c>
      <c r="G7" s="182">
        <v>1</v>
      </c>
      <c r="H7" s="183">
        <v>179</v>
      </c>
      <c r="I7" s="183">
        <v>179</v>
      </c>
      <c r="J7" s="183">
        <v>173</v>
      </c>
      <c r="K7" s="180" t="s">
        <v>201</v>
      </c>
      <c r="L7" s="184" t="s">
        <v>294</v>
      </c>
      <c r="M7" s="183">
        <v>0</v>
      </c>
      <c r="N7" s="183">
        <v>0</v>
      </c>
      <c r="O7" s="183">
        <v>2</v>
      </c>
      <c r="P7" s="180" t="s">
        <v>66</v>
      </c>
      <c r="Q7" s="176"/>
      <c r="R7" s="176"/>
      <c r="S7" s="176"/>
      <c r="T7" s="176"/>
      <c r="U7" s="176"/>
      <c r="V7" s="176"/>
      <c r="W7" s="176"/>
      <c r="X7" s="176"/>
      <c r="Y7" s="176"/>
      <c r="Z7" s="183" t="s">
        <v>320</v>
      </c>
      <c r="AA7" s="176"/>
      <c r="AB7" s="176"/>
      <c r="AC7" s="176"/>
      <c r="AD7" s="176"/>
      <c r="AE7" s="176"/>
      <c r="AF7" s="183" t="s">
        <v>203</v>
      </c>
      <c r="AG7" s="176"/>
      <c r="AH7" s="176"/>
      <c r="AI7" s="183" t="s">
        <v>336</v>
      </c>
      <c r="AJ7" s="176"/>
    </row>
    <row r="8" spans="1:36" x14ac:dyDescent="0.3">
      <c r="A8" s="178" t="s">
        <v>226</v>
      </c>
      <c r="B8" s="179">
        <v>45995</v>
      </c>
      <c r="C8" s="180" t="s">
        <v>282</v>
      </c>
      <c r="D8" s="181" t="s">
        <v>323</v>
      </c>
      <c r="E8" s="180" t="s">
        <v>281</v>
      </c>
      <c r="F8" s="180" t="s">
        <v>200</v>
      </c>
      <c r="G8" s="182">
        <v>0.94969999999999999</v>
      </c>
      <c r="H8" s="183">
        <v>179</v>
      </c>
      <c r="I8" s="183">
        <v>170</v>
      </c>
      <c r="J8" s="183">
        <v>130</v>
      </c>
      <c r="K8" s="180" t="s">
        <v>201</v>
      </c>
      <c r="L8" s="184" t="s">
        <v>52</v>
      </c>
      <c r="M8" s="183">
        <v>0</v>
      </c>
      <c r="N8" s="183">
        <v>1</v>
      </c>
      <c r="O8" s="183">
        <v>10</v>
      </c>
      <c r="P8" s="180" t="s">
        <v>301</v>
      </c>
      <c r="Q8" s="183" t="s">
        <v>337</v>
      </c>
      <c r="R8" s="176"/>
      <c r="S8" s="176"/>
      <c r="T8" s="176"/>
      <c r="U8" s="176"/>
      <c r="V8" s="176"/>
      <c r="W8" s="176"/>
      <c r="X8" s="183" t="s">
        <v>338</v>
      </c>
      <c r="Y8" s="176"/>
      <c r="Z8" s="183" t="s">
        <v>339</v>
      </c>
      <c r="AA8" s="176"/>
      <c r="AB8" s="176"/>
      <c r="AC8" s="176"/>
      <c r="AD8" s="183" t="s">
        <v>248</v>
      </c>
      <c r="AE8" s="183" t="s">
        <v>214</v>
      </c>
      <c r="AF8" s="183" t="s">
        <v>340</v>
      </c>
      <c r="AG8" s="176"/>
      <c r="AH8" s="176"/>
      <c r="AI8" s="183" t="s">
        <v>341</v>
      </c>
      <c r="AJ8" s="176"/>
    </row>
    <row r="9" spans="1:36" x14ac:dyDescent="0.3">
      <c r="A9" s="178" t="s">
        <v>240</v>
      </c>
      <c r="B9" s="179">
        <v>45998</v>
      </c>
      <c r="C9" s="180" t="s">
        <v>282</v>
      </c>
      <c r="D9" s="181" t="s">
        <v>328</v>
      </c>
      <c r="E9" s="180" t="s">
        <v>281</v>
      </c>
      <c r="F9" s="180" t="s">
        <v>200</v>
      </c>
      <c r="G9" s="182">
        <v>0.95530000000000004</v>
      </c>
      <c r="H9" s="183">
        <v>179</v>
      </c>
      <c r="I9" s="183">
        <v>171</v>
      </c>
      <c r="J9" s="183">
        <v>134</v>
      </c>
      <c r="K9" s="180" t="s">
        <v>201</v>
      </c>
      <c r="L9" s="184" t="s">
        <v>52</v>
      </c>
      <c r="M9" s="183">
        <v>0</v>
      </c>
      <c r="N9" s="183">
        <v>4</v>
      </c>
      <c r="O9" s="183">
        <v>6</v>
      </c>
      <c r="P9" s="180" t="s">
        <v>304</v>
      </c>
      <c r="Q9" s="176"/>
      <c r="R9" s="176"/>
      <c r="S9" s="176"/>
      <c r="T9" s="176"/>
      <c r="U9" s="176"/>
      <c r="V9" s="176"/>
      <c r="W9" s="176"/>
      <c r="X9" s="176"/>
      <c r="Y9" s="183" t="s">
        <v>304</v>
      </c>
      <c r="Z9" s="183" t="s">
        <v>250</v>
      </c>
      <c r="AA9" s="176"/>
      <c r="AB9" s="176"/>
      <c r="AC9" s="183" t="s">
        <v>264</v>
      </c>
      <c r="AD9" s="183" t="s">
        <v>231</v>
      </c>
      <c r="AE9" s="183" t="s">
        <v>214</v>
      </c>
      <c r="AF9" s="183" t="s">
        <v>215</v>
      </c>
      <c r="AG9" s="176"/>
      <c r="AH9" s="176"/>
      <c r="AI9" s="183" t="s">
        <v>342</v>
      </c>
      <c r="AJ9" s="176"/>
    </row>
    <row r="10" spans="1:36" x14ac:dyDescent="0.3">
      <c r="A10" s="178" t="s">
        <v>198</v>
      </c>
      <c r="B10" s="179">
        <v>46000</v>
      </c>
      <c r="C10" s="180" t="s">
        <v>282</v>
      </c>
      <c r="D10" s="181" t="s">
        <v>310</v>
      </c>
      <c r="E10" s="180" t="s">
        <v>281</v>
      </c>
      <c r="F10" s="180" t="s">
        <v>200</v>
      </c>
      <c r="G10" s="182">
        <v>0.98880000000000001</v>
      </c>
      <c r="H10" s="183">
        <v>179</v>
      </c>
      <c r="I10" s="183">
        <v>177</v>
      </c>
      <c r="J10" s="183">
        <v>161</v>
      </c>
      <c r="K10" s="180" t="s">
        <v>201</v>
      </c>
      <c r="L10" s="184" t="s">
        <v>162</v>
      </c>
      <c r="M10" s="183">
        <v>4</v>
      </c>
      <c r="N10" s="183">
        <v>0</v>
      </c>
      <c r="O10" s="183">
        <v>9</v>
      </c>
      <c r="P10" s="180" t="s">
        <v>165</v>
      </c>
      <c r="Q10" s="176"/>
      <c r="R10" s="176"/>
      <c r="S10" s="176"/>
      <c r="T10" s="176"/>
      <c r="U10" s="176"/>
      <c r="V10" s="176"/>
      <c r="W10" s="176"/>
      <c r="X10" s="176"/>
      <c r="Y10" s="183" t="s">
        <v>53</v>
      </c>
      <c r="Z10" s="183" t="s">
        <v>320</v>
      </c>
      <c r="AA10" s="176"/>
      <c r="AB10" s="176"/>
      <c r="AC10" s="176"/>
      <c r="AD10" s="176"/>
      <c r="AE10" s="176"/>
      <c r="AF10" s="183" t="s">
        <v>343</v>
      </c>
      <c r="AG10" s="176"/>
      <c r="AH10" s="176"/>
      <c r="AI10" s="183" t="s">
        <v>335</v>
      </c>
      <c r="AJ10" s="176"/>
    </row>
    <row r="11" spans="1:36" x14ac:dyDescent="0.3">
      <c r="A11" s="178" t="s">
        <v>317</v>
      </c>
      <c r="B11" s="179">
        <v>46001</v>
      </c>
      <c r="C11" s="180" t="s">
        <v>282</v>
      </c>
      <c r="D11" s="181" t="s">
        <v>318</v>
      </c>
      <c r="E11" s="180" t="s">
        <v>281</v>
      </c>
      <c r="F11" s="180" t="s">
        <v>200</v>
      </c>
      <c r="G11" s="182">
        <v>0.91620000000000001</v>
      </c>
      <c r="H11" s="183">
        <v>179</v>
      </c>
      <c r="I11" s="183">
        <v>164</v>
      </c>
      <c r="J11" s="183">
        <v>133</v>
      </c>
      <c r="K11" s="180" t="s">
        <v>201</v>
      </c>
      <c r="L11" s="184" t="s">
        <v>294</v>
      </c>
      <c r="M11" s="183">
        <v>0</v>
      </c>
      <c r="N11" s="183">
        <v>0</v>
      </c>
      <c r="O11" s="183">
        <v>20</v>
      </c>
      <c r="P11" s="180" t="s">
        <v>308</v>
      </c>
      <c r="Q11" s="176"/>
      <c r="R11" s="176"/>
      <c r="S11" s="176"/>
      <c r="T11" s="176"/>
      <c r="U11" s="176"/>
      <c r="V11" s="176"/>
      <c r="W11" s="176"/>
      <c r="X11" s="183" t="s">
        <v>344</v>
      </c>
      <c r="Y11" s="183" t="s">
        <v>304</v>
      </c>
      <c r="Z11" s="183" t="s">
        <v>244</v>
      </c>
      <c r="AA11" s="183" t="s">
        <v>245</v>
      </c>
      <c r="AB11" s="183" t="s">
        <v>326</v>
      </c>
      <c r="AC11" s="183" t="s">
        <v>315</v>
      </c>
      <c r="AD11" s="176"/>
      <c r="AE11" s="176"/>
      <c r="AF11" s="176"/>
      <c r="AG11" s="176"/>
      <c r="AH11" s="176"/>
      <c r="AI11" s="183" t="s">
        <v>238</v>
      </c>
      <c r="AJ11" s="176"/>
    </row>
    <row r="12" spans="1:36" ht="21" x14ac:dyDescent="0.3">
      <c r="A12" s="185" t="s">
        <v>390</v>
      </c>
      <c r="B12" s="186"/>
      <c r="C12" s="185">
        <f>SUBTOTAL(103,MED_HBE_LF_LEGACY[Flt])</f>
        <v>10</v>
      </c>
      <c r="D12" s="185"/>
      <c r="E12" s="185">
        <f>SUBTOTAL(103,MED_HBE_LF_LEGACY[Brd-Off])</f>
        <v>10</v>
      </c>
      <c r="F12" s="185"/>
      <c r="G12" s="187">
        <f>SUBTOTAL(101,MED_HBE_LF_LEGACY[LF%])</f>
        <v>0.96536000000000011</v>
      </c>
      <c r="H12" s="188">
        <f>SUBTOTAL(109,MED_HBE_LF_LEGACY[CAP])</f>
        <v>1790</v>
      </c>
      <c r="I12" s="188">
        <f>SUBTOTAL(109,MED_HBE_LF_LEGACY[BKG(Y)])</f>
        <v>1728</v>
      </c>
      <c r="J12" s="188">
        <f>SUBTOTAL(109,MED_HBE_LF_LEGACY[GRP(Y)])</f>
        <v>1445</v>
      </c>
      <c r="K12" s="185"/>
      <c r="L12" s="186"/>
      <c r="M12" s="188">
        <f>SUBTOTAL(109,MED_HBE_LF_LEGACY[TO-DAY])</f>
        <v>8</v>
      </c>
      <c r="N12" s="188">
        <f>SUBTOTAL(109,MED_HBE_LF_LEGACY[Y-DAY])</f>
        <v>12</v>
      </c>
      <c r="O12" s="188">
        <f>SUBTOTAL(109,MED_HBE_LF_LEGACY[WEEKLY])</f>
        <v>76</v>
      </c>
      <c r="P12" s="189"/>
      <c r="Q12" s="188">
        <f>SUBTOTAL(109,MED_HBE_LF_LEGACY[Y])</f>
        <v>0</v>
      </c>
      <c r="R12" s="188">
        <f>SUBTOTAL(109,MED_HBE_LF_LEGACY[B])</f>
        <v>0</v>
      </c>
      <c r="S12" s="188">
        <f>SUBTOTAL(109,MED_HBE_LF_LEGACY[M])</f>
        <v>0</v>
      </c>
      <c r="T12" s="188">
        <f>SUBTOTAL(109,MED_HBE_LF_LEGACY[H])</f>
        <v>0</v>
      </c>
      <c r="U12" s="188">
        <f>SUBTOTAL(109,MED_HBE_LF_LEGACY[Q])</f>
        <v>0</v>
      </c>
      <c r="V12" s="188">
        <f>SUBTOTAL(109,MED_HBE_LF_LEGACY[K])</f>
        <v>0</v>
      </c>
      <c r="W12" s="188">
        <f>SUBTOTAL(109,MED_HBE_LF_LEGACY[V])</f>
        <v>0</v>
      </c>
      <c r="X12" s="188">
        <f>SUBTOTAL(109,MED_HBE_LF_LEGACY[L])</f>
        <v>0</v>
      </c>
      <c r="Y12" s="188">
        <f>SUBTOTAL(109,MED_HBE_LF_LEGACY[G])</f>
        <v>0</v>
      </c>
      <c r="Z12" s="188">
        <f>SUBTOTAL(109,MED_HBE_LF_LEGACY[S])</f>
        <v>0</v>
      </c>
      <c r="AA12" s="188">
        <f>SUBTOTAL(109,MED_HBE_LF_LEGACY[W])</f>
        <v>0</v>
      </c>
      <c r="AB12" s="188">
        <f>SUBTOTAL(109,MED_HBE_LF_LEGACY[T])</f>
        <v>0</v>
      </c>
      <c r="AC12" s="188">
        <f>SUBTOTAL(109,MED_HBE_LF_LEGACY[X])</f>
        <v>0</v>
      </c>
      <c r="AD12" s="188">
        <f>SUBTOTAL(109,MED_HBE_LF_LEGACY[U])</f>
        <v>0</v>
      </c>
      <c r="AE12" s="188">
        <f>SUBTOTAL(109,MED_HBE_LF_LEGACY[O])</f>
        <v>0</v>
      </c>
      <c r="AF12" s="188">
        <f>SUBTOTAL(109,MED_HBE_LF_LEGACY[I])</f>
        <v>0</v>
      </c>
      <c r="AG12" s="188">
        <f>SUBTOTAL(109,MED_HBE_LF_LEGACY[E])</f>
        <v>0</v>
      </c>
      <c r="AH12" s="188">
        <f>SUBTOTAL(109,MED_HBE_LF_LEGACY[A])</f>
        <v>0</v>
      </c>
      <c r="AI12" s="188">
        <f>SUBTOTAL(109,MED_HBE_LF_LEGACY[P])</f>
        <v>0</v>
      </c>
      <c r="AJ12" s="188">
        <f>SUBTOTAL(103,MED_HBE_LF_LEGACY[N])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180.109375" hidden="1" customWidth="1"/>
  </cols>
  <sheetData>
    <row r="1" spans="1:8" ht="18" x14ac:dyDescent="0.3">
      <c r="A1" s="86" t="s">
        <v>276</v>
      </c>
      <c r="B1" s="87" t="s">
        <v>8</v>
      </c>
      <c r="C1" s="87" t="s">
        <v>9</v>
      </c>
      <c r="D1" s="87" t="s">
        <v>277</v>
      </c>
      <c r="E1" s="87" t="s">
        <v>10</v>
      </c>
      <c r="F1" s="87" t="s">
        <v>11</v>
      </c>
      <c r="G1" s="87" t="s">
        <v>12</v>
      </c>
      <c r="H1" s="88" t="s">
        <v>13</v>
      </c>
    </row>
    <row r="2" spans="1:8" ht="19.8" customHeight="1" x14ac:dyDescent="0.3">
      <c r="A2" s="139" t="s">
        <v>278</v>
      </c>
      <c r="B2" s="105" t="s">
        <v>46</v>
      </c>
      <c r="C2" s="106" t="s">
        <v>285</v>
      </c>
      <c r="D2" s="105" t="s">
        <v>281</v>
      </c>
      <c r="E2" s="105" t="s">
        <v>310</v>
      </c>
      <c r="F2" s="105"/>
      <c r="G2" s="105"/>
      <c r="H2" s="108" t="s">
        <v>283</v>
      </c>
    </row>
    <row r="3" spans="1:8" ht="19.8" customHeight="1" x14ac:dyDescent="0.3">
      <c r="A3" s="104">
        <v>45987</v>
      </c>
      <c r="B3" s="105" t="s">
        <v>46</v>
      </c>
      <c r="C3" s="106" t="s">
        <v>285</v>
      </c>
      <c r="D3" s="105" t="s">
        <v>281</v>
      </c>
      <c r="E3" s="107">
        <v>1.944444444444444</v>
      </c>
      <c r="F3" s="105" t="s">
        <v>48</v>
      </c>
      <c r="G3" s="140">
        <v>5</v>
      </c>
      <c r="H3" s="108" t="s">
        <v>286</v>
      </c>
    </row>
    <row r="4" spans="1:8" ht="19.8" customHeight="1" x14ac:dyDescent="0.3">
      <c r="A4" s="104">
        <v>45988</v>
      </c>
      <c r="B4" s="105" t="s">
        <v>46</v>
      </c>
      <c r="C4" s="106" t="s">
        <v>285</v>
      </c>
      <c r="D4" s="105" t="s">
        <v>281</v>
      </c>
      <c r="E4" s="107">
        <v>1.645833333333333</v>
      </c>
      <c r="F4" s="105" t="s">
        <v>48</v>
      </c>
      <c r="G4" s="140">
        <v>4</v>
      </c>
      <c r="H4" s="108" t="s">
        <v>134</v>
      </c>
    </row>
    <row r="5" spans="1:8" ht="19.8" customHeight="1" x14ac:dyDescent="0.3">
      <c r="A5" s="104">
        <v>45991</v>
      </c>
      <c r="B5" s="105" t="s">
        <v>46</v>
      </c>
      <c r="C5" s="106" t="s">
        <v>285</v>
      </c>
      <c r="D5" s="105" t="s">
        <v>281</v>
      </c>
      <c r="E5" s="107">
        <v>1.4027777777777779</v>
      </c>
      <c r="F5" s="105"/>
      <c r="G5" s="105"/>
      <c r="H5" s="108" t="s">
        <v>291</v>
      </c>
    </row>
    <row r="6" spans="1:8" ht="19.8" customHeight="1" x14ac:dyDescent="0.3">
      <c r="A6" s="104">
        <v>45993</v>
      </c>
      <c r="B6" s="105" t="s">
        <v>46</v>
      </c>
      <c r="C6" s="106" t="s">
        <v>285</v>
      </c>
      <c r="D6" s="105" t="s">
        <v>281</v>
      </c>
      <c r="E6" s="107">
        <v>1.3263888888888891</v>
      </c>
      <c r="F6" s="105"/>
      <c r="G6" s="105"/>
      <c r="H6" s="108" t="s">
        <v>64</v>
      </c>
    </row>
    <row r="7" spans="1:8" ht="19.8" customHeight="1" x14ac:dyDescent="0.3">
      <c r="A7" s="104">
        <v>45994</v>
      </c>
      <c r="B7" s="105" t="s">
        <v>46</v>
      </c>
      <c r="C7" s="106" t="s">
        <v>285</v>
      </c>
      <c r="D7" s="105" t="s">
        <v>281</v>
      </c>
      <c r="E7" s="107">
        <v>1.944444444444444</v>
      </c>
      <c r="F7" s="105"/>
      <c r="G7" s="105"/>
      <c r="H7" s="108" t="s">
        <v>64</v>
      </c>
    </row>
    <row r="8" spans="1:8" ht="19.8" customHeight="1" x14ac:dyDescent="0.3">
      <c r="A8" s="99">
        <v>45995</v>
      </c>
      <c r="B8" s="90" t="s">
        <v>68</v>
      </c>
      <c r="C8" s="91" t="s">
        <v>297</v>
      </c>
      <c r="D8" s="90" t="s">
        <v>281</v>
      </c>
      <c r="E8" s="100">
        <v>1.520833333333333</v>
      </c>
      <c r="F8" s="90" t="s">
        <v>70</v>
      </c>
      <c r="G8" s="92">
        <v>8</v>
      </c>
      <c r="H8" s="103" t="s">
        <v>299</v>
      </c>
    </row>
    <row r="9" spans="1:8" ht="19.8" customHeight="1" x14ac:dyDescent="0.3">
      <c r="A9" s="104">
        <v>45995</v>
      </c>
      <c r="B9" s="105" t="s">
        <v>46</v>
      </c>
      <c r="C9" s="106" t="s">
        <v>285</v>
      </c>
      <c r="D9" s="105" t="s">
        <v>281</v>
      </c>
      <c r="E9" s="107">
        <v>1.645833333333333</v>
      </c>
      <c r="F9" s="105" t="s">
        <v>48</v>
      </c>
      <c r="G9" s="140">
        <v>5</v>
      </c>
      <c r="H9" s="108" t="s">
        <v>300</v>
      </c>
    </row>
    <row r="10" spans="1:8" ht="19.8" customHeight="1" x14ac:dyDescent="0.3">
      <c r="A10" s="109">
        <v>45996</v>
      </c>
      <c r="B10" s="110" t="s">
        <v>68</v>
      </c>
      <c r="C10" s="111" t="s">
        <v>297</v>
      </c>
      <c r="D10" s="110" t="s">
        <v>281</v>
      </c>
      <c r="E10" s="112">
        <v>1.520833333333333</v>
      </c>
      <c r="F10" s="110" t="s">
        <v>70</v>
      </c>
      <c r="G10" s="113">
        <v>9</v>
      </c>
      <c r="H10" s="141">
        <v>941</v>
      </c>
    </row>
    <row r="11" spans="1:8" ht="19.8" customHeight="1" x14ac:dyDescent="0.3">
      <c r="A11" s="104">
        <v>45998</v>
      </c>
      <c r="B11" s="105" t="s">
        <v>46</v>
      </c>
      <c r="C11" s="106" t="s">
        <v>285</v>
      </c>
      <c r="D11" s="105" t="s">
        <v>281</v>
      </c>
      <c r="E11" s="107">
        <v>1.4027777777777779</v>
      </c>
      <c r="F11" s="105" t="s">
        <v>48</v>
      </c>
      <c r="G11" s="140">
        <v>4</v>
      </c>
      <c r="H11" s="142">
        <v>758</v>
      </c>
    </row>
    <row r="12" spans="1:8" ht="19.8" customHeight="1" x14ac:dyDescent="0.3">
      <c r="A12" s="104">
        <v>46000</v>
      </c>
      <c r="B12" s="105" t="s">
        <v>46</v>
      </c>
      <c r="C12" s="106" t="s">
        <v>285</v>
      </c>
      <c r="D12" s="105" t="s">
        <v>281</v>
      </c>
      <c r="E12" s="107">
        <v>1.3263888888888891</v>
      </c>
      <c r="F12" s="105" t="s">
        <v>48</v>
      </c>
      <c r="G12" s="140">
        <v>2</v>
      </c>
      <c r="H12" s="142">
        <v>758</v>
      </c>
    </row>
    <row r="13" spans="1:8" ht="19.8" customHeight="1" x14ac:dyDescent="0.3">
      <c r="A13" s="104">
        <v>46001</v>
      </c>
      <c r="B13" s="105" t="s">
        <v>46</v>
      </c>
      <c r="C13" s="106" t="s">
        <v>285</v>
      </c>
      <c r="D13" s="105" t="s">
        <v>281</v>
      </c>
      <c r="E13" s="107">
        <v>1.944444444444444</v>
      </c>
      <c r="F13" s="105" t="s">
        <v>48</v>
      </c>
      <c r="G13" s="140">
        <v>1</v>
      </c>
      <c r="H13" s="142">
        <v>836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332031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11.1093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38.21875" bestFit="1" customWidth="1"/>
  </cols>
  <sheetData>
    <row r="1" spans="1:18" ht="25.05" customHeight="1" x14ac:dyDescent="0.3">
      <c r="A1" s="166" t="s">
        <v>0</v>
      </c>
      <c r="B1" s="164"/>
      <c r="C1" s="164"/>
      <c r="D1" s="164"/>
      <c r="E1" s="164"/>
      <c r="F1" s="1" t="s">
        <v>345</v>
      </c>
      <c r="G1" s="2" t="s">
        <v>2</v>
      </c>
      <c r="H1" s="165">
        <v>45986</v>
      </c>
      <c r="I1" s="164"/>
      <c r="J1" s="164"/>
      <c r="K1" s="164"/>
      <c r="L1" s="164"/>
      <c r="M1" s="1" t="s">
        <v>3</v>
      </c>
      <c r="N1" s="170">
        <v>46001</v>
      </c>
      <c r="O1" s="164"/>
      <c r="P1" s="164"/>
      <c r="Q1" s="164"/>
      <c r="R1" s="164"/>
    </row>
    <row r="2" spans="1:18" ht="18" customHeight="1" x14ac:dyDescent="0.3">
      <c r="A2" s="167" t="s">
        <v>4</v>
      </c>
      <c r="B2" s="164"/>
      <c r="C2" s="164"/>
      <c r="D2" s="164"/>
      <c r="E2" s="164"/>
      <c r="F2" s="164"/>
      <c r="G2" s="169">
        <v>45982.825425144663</v>
      </c>
      <c r="H2" s="164"/>
      <c r="I2" s="164"/>
      <c r="J2" s="164"/>
      <c r="K2" s="171">
        <v>45982.825425144969</v>
      </c>
      <c r="L2" s="164"/>
      <c r="M2" s="164"/>
      <c r="N2" s="164"/>
      <c r="O2" s="164"/>
      <c r="P2" s="164"/>
      <c r="Q2" s="164"/>
      <c r="R2" s="164"/>
    </row>
    <row r="3" spans="1:18" ht="24" customHeight="1" x14ac:dyDescent="0.3">
      <c r="A3" s="168" t="s">
        <v>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</row>
    <row r="4" spans="1:18" ht="17.399999999999999" customHeight="1" x14ac:dyDescent="0.3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5"/>
    </row>
    <row r="5" spans="1:18" ht="22.05" customHeight="1" x14ac:dyDescent="0.3">
      <c r="A5" s="161" t="s">
        <v>6</v>
      </c>
      <c r="B5" s="162"/>
      <c r="C5" s="162"/>
      <c r="D5" s="162"/>
      <c r="E5" s="162"/>
      <c r="F5" s="163"/>
      <c r="G5" s="3">
        <v>45987</v>
      </c>
      <c r="H5" s="161" t="s">
        <v>7</v>
      </c>
      <c r="I5" s="162"/>
      <c r="J5" s="162"/>
      <c r="K5" s="162"/>
      <c r="L5" s="162"/>
      <c r="M5" s="162"/>
      <c r="N5" s="162"/>
      <c r="O5" s="162"/>
      <c r="P5" s="162"/>
      <c r="Q5" s="162"/>
      <c r="R5" s="163"/>
    </row>
    <row r="6" spans="1:18" ht="24" customHeight="1" x14ac:dyDescent="0.3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5" t="s">
        <v>13</v>
      </c>
      <c r="G6" s="6" t="s">
        <v>14</v>
      </c>
      <c r="H6" s="4" t="s">
        <v>15</v>
      </c>
      <c r="I6" s="4" t="s">
        <v>16</v>
      </c>
      <c r="J6" s="4" t="s">
        <v>17</v>
      </c>
      <c r="K6" s="4" t="s">
        <v>18</v>
      </c>
      <c r="L6" s="4" t="s">
        <v>19</v>
      </c>
      <c r="M6" s="4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R6" s="4" t="s">
        <v>25</v>
      </c>
    </row>
    <row r="7" spans="1:18" ht="49.95" customHeight="1" x14ac:dyDescent="0.3">
      <c r="A7" s="143" t="s">
        <v>46</v>
      </c>
      <c r="B7" s="143" t="s">
        <v>346</v>
      </c>
      <c r="C7" s="143">
        <v>0.61805555555555558</v>
      </c>
      <c r="D7" s="143" t="s">
        <v>63</v>
      </c>
      <c r="E7" s="143"/>
      <c r="F7" s="143" t="s">
        <v>347</v>
      </c>
      <c r="G7" s="164"/>
      <c r="H7" s="60" t="s">
        <v>346</v>
      </c>
      <c r="I7" s="144">
        <v>0.77380000000000004</v>
      </c>
      <c r="J7" s="62">
        <v>130</v>
      </c>
      <c r="K7" s="63" t="s">
        <v>162</v>
      </c>
      <c r="L7" s="62">
        <v>36</v>
      </c>
      <c r="M7" s="62">
        <v>1</v>
      </c>
      <c r="N7" s="62">
        <v>15</v>
      </c>
      <c r="O7" s="63" t="s">
        <v>231</v>
      </c>
      <c r="P7" s="63">
        <v>0.61805555555555558</v>
      </c>
      <c r="Q7" s="62">
        <v>168</v>
      </c>
      <c r="R7" s="64" t="s">
        <v>348</v>
      </c>
    </row>
    <row r="8" spans="1:18" ht="17.399999999999999" customHeight="1" x14ac:dyDescent="0.3">
      <c r="A8" s="190"/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2"/>
    </row>
    <row r="9" spans="1:18" ht="17.399999999999999" customHeight="1" x14ac:dyDescent="0.3">
      <c r="A9" s="190"/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2"/>
    </row>
    <row r="10" spans="1:18" ht="17.399999999999999" customHeight="1" x14ac:dyDescent="0.3">
      <c r="A10" s="190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2"/>
    </row>
    <row r="11" spans="1:18" ht="22.05" customHeight="1" x14ac:dyDescent="0.3">
      <c r="A11" s="161" t="s">
        <v>6</v>
      </c>
      <c r="B11" s="162"/>
      <c r="C11" s="162"/>
      <c r="D11" s="162"/>
      <c r="E11" s="162"/>
      <c r="F11" s="163"/>
      <c r="G11" s="3">
        <v>45990</v>
      </c>
      <c r="H11" s="161" t="s">
        <v>7</v>
      </c>
      <c r="I11" s="162"/>
      <c r="J11" s="162"/>
      <c r="K11" s="162"/>
      <c r="L11" s="162"/>
      <c r="M11" s="162"/>
      <c r="N11" s="162"/>
      <c r="O11" s="162"/>
      <c r="P11" s="162"/>
      <c r="Q11" s="162"/>
      <c r="R11" s="163"/>
    </row>
    <row r="12" spans="1:18" ht="24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  <c r="F12" s="5" t="s">
        <v>13</v>
      </c>
      <c r="G12" s="6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  <c r="N12" s="4" t="s">
        <v>21</v>
      </c>
      <c r="O12" s="4" t="s">
        <v>22</v>
      </c>
      <c r="P12" s="4" t="s">
        <v>23</v>
      </c>
      <c r="Q12" s="4" t="s">
        <v>24</v>
      </c>
      <c r="R12" s="4" t="s">
        <v>25</v>
      </c>
    </row>
    <row r="13" spans="1:18" ht="49.95" customHeight="1" x14ac:dyDescent="0.3">
      <c r="A13" s="71" t="s">
        <v>46</v>
      </c>
      <c r="B13" s="71" t="s">
        <v>51</v>
      </c>
      <c r="C13" s="71">
        <v>0.95486111111111116</v>
      </c>
      <c r="D13" s="71" t="s">
        <v>63</v>
      </c>
      <c r="E13" s="71"/>
      <c r="F13" s="71" t="s">
        <v>347</v>
      </c>
      <c r="G13" s="172"/>
      <c r="H13" s="72" t="s">
        <v>51</v>
      </c>
      <c r="I13" s="145">
        <v>0.48809999999999998</v>
      </c>
      <c r="J13" s="74">
        <v>82</v>
      </c>
      <c r="K13" s="75" t="s">
        <v>162</v>
      </c>
      <c r="L13" s="74">
        <v>43</v>
      </c>
      <c r="M13" s="74">
        <v>1</v>
      </c>
      <c r="N13" s="74">
        <v>0</v>
      </c>
      <c r="O13" s="75" t="s">
        <v>349</v>
      </c>
      <c r="P13" s="75">
        <v>0.95486111111111116</v>
      </c>
      <c r="Q13" s="74">
        <v>168</v>
      </c>
      <c r="R13" s="76" t="s">
        <v>350</v>
      </c>
    </row>
    <row r="14" spans="1:18" ht="15.6" x14ac:dyDescent="0.3">
      <c r="A14" s="173" t="s">
        <v>351</v>
      </c>
      <c r="B14" s="174"/>
      <c r="C14" s="174"/>
      <c r="D14" s="174"/>
      <c r="E14" s="174"/>
      <c r="F14" s="175"/>
      <c r="G14" s="164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</row>
    <row r="15" spans="1:18" ht="49.95" customHeight="1" x14ac:dyDescent="0.3">
      <c r="A15" s="146" t="s">
        <v>46</v>
      </c>
      <c r="B15" s="146" t="s">
        <v>352</v>
      </c>
      <c r="C15" s="146" t="s">
        <v>353</v>
      </c>
      <c r="D15" s="146" t="s">
        <v>354</v>
      </c>
      <c r="E15" s="146" t="s">
        <v>355</v>
      </c>
      <c r="F15" s="146" t="s">
        <v>356</v>
      </c>
      <c r="G15" s="172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</row>
    <row r="16" spans="1:18" ht="17.399999999999999" customHeight="1" x14ac:dyDescent="0.3">
      <c r="A16" s="190"/>
      <c r="B16" s="191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2"/>
    </row>
    <row r="17" spans="1:18" ht="17.399999999999999" customHeight="1" x14ac:dyDescent="0.3">
      <c r="A17" s="190"/>
      <c r="B17" s="191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2"/>
    </row>
    <row r="18" spans="1:18" ht="22.05" customHeight="1" x14ac:dyDescent="0.3">
      <c r="A18" s="161" t="s">
        <v>6</v>
      </c>
      <c r="B18" s="162"/>
      <c r="C18" s="162"/>
      <c r="D18" s="162"/>
      <c r="E18" s="162"/>
      <c r="F18" s="163"/>
      <c r="G18" s="3">
        <v>45992</v>
      </c>
      <c r="H18" s="161" t="s">
        <v>7</v>
      </c>
      <c r="I18" s="162"/>
      <c r="J18" s="162"/>
      <c r="K18" s="162"/>
      <c r="L18" s="162"/>
      <c r="M18" s="162"/>
      <c r="N18" s="162"/>
      <c r="O18" s="162"/>
      <c r="P18" s="162"/>
      <c r="Q18" s="162"/>
      <c r="R18" s="163"/>
    </row>
    <row r="19" spans="1:18" ht="24" customHeight="1" x14ac:dyDescent="0.3">
      <c r="A19" s="4" t="s">
        <v>8</v>
      </c>
      <c r="B19" s="4" t="s">
        <v>9</v>
      </c>
      <c r="C19" s="4" t="s">
        <v>10</v>
      </c>
      <c r="D19" s="4" t="s">
        <v>11</v>
      </c>
      <c r="E19" s="4" t="s">
        <v>12</v>
      </c>
      <c r="F19" s="5" t="s">
        <v>13</v>
      </c>
      <c r="G19" s="6" t="s">
        <v>14</v>
      </c>
      <c r="H19" s="4" t="s">
        <v>15</v>
      </c>
      <c r="I19" s="4" t="s">
        <v>16</v>
      </c>
      <c r="J19" s="4" t="s">
        <v>17</v>
      </c>
      <c r="K19" s="4" t="s">
        <v>18</v>
      </c>
      <c r="L19" s="4" t="s">
        <v>19</v>
      </c>
      <c r="M19" s="4" t="s">
        <v>20</v>
      </c>
      <c r="N19" s="4" t="s">
        <v>21</v>
      </c>
      <c r="O19" s="4" t="s">
        <v>22</v>
      </c>
      <c r="P19" s="4" t="s">
        <v>23</v>
      </c>
      <c r="Q19" s="4" t="s">
        <v>24</v>
      </c>
      <c r="R19" s="4" t="s">
        <v>25</v>
      </c>
    </row>
    <row r="20" spans="1:18" ht="49.95" customHeight="1" x14ac:dyDescent="0.3">
      <c r="A20" s="71" t="s">
        <v>46</v>
      </c>
      <c r="B20" s="71" t="s">
        <v>51</v>
      </c>
      <c r="C20" s="71">
        <v>0.80555555555555547</v>
      </c>
      <c r="D20" s="71" t="s">
        <v>63</v>
      </c>
      <c r="E20" s="71"/>
      <c r="F20" s="71" t="s">
        <v>347</v>
      </c>
      <c r="G20" s="164"/>
      <c r="H20" s="134" t="s">
        <v>51</v>
      </c>
      <c r="I20" s="148">
        <v>0.73809999999999998</v>
      </c>
      <c r="J20" s="136">
        <v>124</v>
      </c>
      <c r="K20" s="137" t="s">
        <v>162</v>
      </c>
      <c r="L20" s="136">
        <v>11</v>
      </c>
      <c r="M20" s="136">
        <v>1</v>
      </c>
      <c r="N20" s="136">
        <v>2</v>
      </c>
      <c r="O20" s="137" t="s">
        <v>264</v>
      </c>
      <c r="P20" s="137">
        <v>0.80555555555555547</v>
      </c>
      <c r="Q20" s="136">
        <v>168</v>
      </c>
      <c r="R20" s="138" t="s">
        <v>357</v>
      </c>
    </row>
    <row r="21" spans="1:18" ht="17.399999999999999" customHeight="1" x14ac:dyDescent="0.3">
      <c r="A21" s="190"/>
      <c r="B21" s="191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2"/>
    </row>
    <row r="22" spans="1:18" ht="17.399999999999999" customHeight="1" x14ac:dyDescent="0.3">
      <c r="A22" s="190"/>
      <c r="B22" s="191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2"/>
    </row>
    <row r="23" spans="1:18" ht="22.05" customHeight="1" x14ac:dyDescent="0.3">
      <c r="A23" s="161" t="s">
        <v>6</v>
      </c>
      <c r="B23" s="162"/>
      <c r="C23" s="162"/>
      <c r="D23" s="162"/>
      <c r="E23" s="162"/>
      <c r="F23" s="163"/>
      <c r="G23" s="3">
        <v>45994</v>
      </c>
      <c r="H23" s="161" t="s">
        <v>7</v>
      </c>
      <c r="I23" s="162"/>
      <c r="J23" s="162"/>
      <c r="K23" s="162"/>
      <c r="L23" s="162"/>
      <c r="M23" s="162"/>
      <c r="N23" s="162"/>
      <c r="O23" s="162"/>
      <c r="P23" s="162"/>
      <c r="Q23" s="162"/>
      <c r="R23" s="163"/>
    </row>
    <row r="24" spans="1:18" ht="24" customHeight="1" x14ac:dyDescent="0.3">
      <c r="A24" s="4" t="s">
        <v>8</v>
      </c>
      <c r="B24" s="4" t="s">
        <v>9</v>
      </c>
      <c r="C24" s="4" t="s">
        <v>10</v>
      </c>
      <c r="D24" s="4" t="s">
        <v>11</v>
      </c>
      <c r="E24" s="4" t="s">
        <v>12</v>
      </c>
      <c r="F24" s="5" t="s">
        <v>13</v>
      </c>
      <c r="G24" s="6" t="s">
        <v>14</v>
      </c>
      <c r="H24" s="4" t="s">
        <v>15</v>
      </c>
      <c r="I24" s="4" t="s">
        <v>16</v>
      </c>
      <c r="J24" s="4" t="s">
        <v>17</v>
      </c>
      <c r="K24" s="4" t="s">
        <v>18</v>
      </c>
      <c r="L24" s="4" t="s">
        <v>19</v>
      </c>
      <c r="M24" s="4" t="s">
        <v>20</v>
      </c>
      <c r="N24" s="4" t="s">
        <v>21</v>
      </c>
      <c r="O24" s="4" t="s">
        <v>22</v>
      </c>
      <c r="P24" s="4" t="s">
        <v>23</v>
      </c>
      <c r="Q24" s="4" t="s">
        <v>24</v>
      </c>
      <c r="R24" s="4" t="s">
        <v>25</v>
      </c>
    </row>
    <row r="25" spans="1:18" ht="49.95" customHeight="1" x14ac:dyDescent="0.3">
      <c r="A25" s="133" t="s">
        <v>46</v>
      </c>
      <c r="B25" s="133" t="s">
        <v>358</v>
      </c>
      <c r="C25" s="133">
        <v>0.61805555555555558</v>
      </c>
      <c r="D25" s="133" t="s">
        <v>48</v>
      </c>
      <c r="E25" s="133" t="s">
        <v>128</v>
      </c>
      <c r="F25" s="133" t="s">
        <v>359</v>
      </c>
      <c r="G25" s="164"/>
      <c r="H25" s="44" t="s">
        <v>346</v>
      </c>
      <c r="I25" s="149">
        <v>0.75</v>
      </c>
      <c r="J25" s="46">
        <v>126</v>
      </c>
      <c r="K25" s="47" t="s">
        <v>162</v>
      </c>
      <c r="L25" s="46">
        <v>11</v>
      </c>
      <c r="M25" s="46">
        <v>2</v>
      </c>
      <c r="N25" s="46">
        <v>2</v>
      </c>
      <c r="O25" s="47" t="s">
        <v>321</v>
      </c>
      <c r="P25" s="47">
        <v>0.61805555555555558</v>
      </c>
      <c r="Q25" s="46">
        <v>168</v>
      </c>
      <c r="R25" s="48" t="s">
        <v>360</v>
      </c>
    </row>
    <row r="26" spans="1:18" ht="17.399999999999999" customHeight="1" x14ac:dyDescent="0.3">
      <c r="A26" s="190"/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2"/>
    </row>
    <row r="27" spans="1:18" ht="17.399999999999999" customHeight="1" x14ac:dyDescent="0.3">
      <c r="A27" s="190"/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2"/>
    </row>
    <row r="28" spans="1:18" ht="17.399999999999999" customHeight="1" x14ac:dyDescent="0.3">
      <c r="A28" s="190"/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2"/>
    </row>
    <row r="29" spans="1:18" ht="22.05" customHeight="1" x14ac:dyDescent="0.3">
      <c r="A29" s="161" t="s">
        <v>6</v>
      </c>
      <c r="B29" s="162"/>
      <c r="C29" s="162"/>
      <c r="D29" s="162"/>
      <c r="E29" s="162"/>
      <c r="F29" s="163"/>
      <c r="G29" s="3">
        <v>45997</v>
      </c>
      <c r="H29" s="161" t="s">
        <v>7</v>
      </c>
      <c r="I29" s="162"/>
      <c r="J29" s="162"/>
      <c r="K29" s="162"/>
      <c r="L29" s="162"/>
      <c r="M29" s="162"/>
      <c r="N29" s="162"/>
      <c r="O29" s="162"/>
      <c r="P29" s="162"/>
      <c r="Q29" s="162"/>
      <c r="R29" s="163"/>
    </row>
    <row r="30" spans="1:18" ht="24" customHeight="1" x14ac:dyDescent="0.3">
      <c r="A30" s="4" t="s">
        <v>8</v>
      </c>
      <c r="B30" s="4" t="s">
        <v>9</v>
      </c>
      <c r="C30" s="4" t="s">
        <v>10</v>
      </c>
      <c r="D30" s="4" t="s">
        <v>11</v>
      </c>
      <c r="E30" s="4" t="s">
        <v>12</v>
      </c>
      <c r="F30" s="5" t="s">
        <v>13</v>
      </c>
      <c r="G30" s="6" t="s">
        <v>14</v>
      </c>
      <c r="H30" s="4" t="s">
        <v>15</v>
      </c>
      <c r="I30" s="4" t="s">
        <v>16</v>
      </c>
      <c r="J30" s="4" t="s">
        <v>17</v>
      </c>
      <c r="K30" s="4" t="s">
        <v>18</v>
      </c>
      <c r="L30" s="4" t="s">
        <v>19</v>
      </c>
      <c r="M30" s="4" t="s">
        <v>20</v>
      </c>
      <c r="N30" s="4" t="s">
        <v>21</v>
      </c>
      <c r="O30" s="4" t="s">
        <v>22</v>
      </c>
      <c r="P30" s="4" t="s">
        <v>23</v>
      </c>
      <c r="Q30" s="4" t="s">
        <v>24</v>
      </c>
      <c r="R30" s="4" t="s">
        <v>25</v>
      </c>
    </row>
    <row r="31" spans="1:18" ht="49.95" customHeight="1" x14ac:dyDescent="0.3">
      <c r="A31" s="116" t="s">
        <v>46</v>
      </c>
      <c r="B31" s="116" t="s">
        <v>47</v>
      </c>
      <c r="C31" s="116">
        <v>0.95486111111111116</v>
      </c>
      <c r="D31" s="116" t="s">
        <v>48</v>
      </c>
      <c r="E31" s="116" t="s">
        <v>160</v>
      </c>
      <c r="F31" s="116" t="s">
        <v>361</v>
      </c>
      <c r="G31" s="172"/>
      <c r="H31" s="150" t="s">
        <v>51</v>
      </c>
      <c r="I31" s="151">
        <v>0.16070000000000001</v>
      </c>
      <c r="J31" s="152">
        <v>27</v>
      </c>
      <c r="K31" s="153" t="s">
        <v>162</v>
      </c>
      <c r="L31" s="152">
        <v>15</v>
      </c>
      <c r="M31" s="152">
        <v>1</v>
      </c>
      <c r="N31" s="152">
        <v>3</v>
      </c>
      <c r="O31" s="153" t="s">
        <v>362</v>
      </c>
      <c r="P31" s="153">
        <v>0.95486111111111116</v>
      </c>
      <c r="Q31" s="152">
        <v>168</v>
      </c>
      <c r="R31" s="154" t="s">
        <v>363</v>
      </c>
    </row>
    <row r="32" spans="1:18" ht="15.6" x14ac:dyDescent="0.3">
      <c r="A32" s="173" t="s">
        <v>351</v>
      </c>
      <c r="B32" s="174"/>
      <c r="C32" s="174"/>
      <c r="D32" s="174"/>
      <c r="E32" s="174"/>
      <c r="F32" s="175"/>
      <c r="G32" s="164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</row>
    <row r="33" spans="1:18" ht="49.95" customHeight="1" x14ac:dyDescent="0.3">
      <c r="A33" s="146" t="s">
        <v>46</v>
      </c>
      <c r="B33" s="146" t="s">
        <v>352</v>
      </c>
      <c r="C33" s="146" t="s">
        <v>353</v>
      </c>
      <c r="D33" s="146" t="s">
        <v>354</v>
      </c>
      <c r="E33" s="146" t="s">
        <v>364</v>
      </c>
      <c r="F33" s="146" t="s">
        <v>356</v>
      </c>
      <c r="G33" s="172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</row>
    <row r="34" spans="1:18" ht="17.399999999999999" customHeight="1" x14ac:dyDescent="0.3">
      <c r="A34" s="190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2"/>
    </row>
    <row r="35" spans="1:18" ht="17.399999999999999" customHeight="1" x14ac:dyDescent="0.3">
      <c r="A35" s="190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2"/>
    </row>
    <row r="36" spans="1:18" ht="22.05" customHeight="1" x14ac:dyDescent="0.3">
      <c r="A36" s="161" t="s">
        <v>6</v>
      </c>
      <c r="B36" s="162"/>
      <c r="C36" s="162"/>
      <c r="D36" s="162"/>
      <c r="E36" s="162"/>
      <c r="F36" s="163"/>
      <c r="G36" s="3">
        <v>45999</v>
      </c>
      <c r="H36" s="161" t="s">
        <v>7</v>
      </c>
      <c r="I36" s="162"/>
      <c r="J36" s="162"/>
      <c r="K36" s="162"/>
      <c r="L36" s="162"/>
      <c r="M36" s="162"/>
      <c r="N36" s="162"/>
      <c r="O36" s="162"/>
      <c r="P36" s="162"/>
      <c r="Q36" s="162"/>
      <c r="R36" s="163"/>
    </row>
    <row r="37" spans="1:18" ht="24" customHeight="1" x14ac:dyDescent="0.3">
      <c r="A37" s="4" t="s">
        <v>8</v>
      </c>
      <c r="B37" s="4" t="s">
        <v>9</v>
      </c>
      <c r="C37" s="4" t="s">
        <v>10</v>
      </c>
      <c r="D37" s="4" t="s">
        <v>11</v>
      </c>
      <c r="E37" s="4" t="s">
        <v>12</v>
      </c>
      <c r="F37" s="5" t="s">
        <v>13</v>
      </c>
      <c r="G37" s="6" t="s">
        <v>14</v>
      </c>
      <c r="H37" s="4" t="s">
        <v>15</v>
      </c>
      <c r="I37" s="4" t="s">
        <v>16</v>
      </c>
      <c r="J37" s="4" t="s">
        <v>17</v>
      </c>
      <c r="K37" s="4" t="s">
        <v>18</v>
      </c>
      <c r="L37" s="4" t="s">
        <v>19</v>
      </c>
      <c r="M37" s="4" t="s">
        <v>20</v>
      </c>
      <c r="N37" s="4" t="s">
        <v>21</v>
      </c>
      <c r="O37" s="4" t="s">
        <v>22</v>
      </c>
      <c r="P37" s="4" t="s">
        <v>23</v>
      </c>
      <c r="Q37" s="4" t="s">
        <v>24</v>
      </c>
      <c r="R37" s="4" t="s">
        <v>25</v>
      </c>
    </row>
    <row r="38" spans="1:18" ht="49.95" customHeight="1" x14ac:dyDescent="0.3">
      <c r="A38" s="133" t="s">
        <v>46</v>
      </c>
      <c r="B38" s="133" t="s">
        <v>51</v>
      </c>
      <c r="C38" s="133">
        <v>0.80555555555555547</v>
      </c>
      <c r="D38" s="133" t="s">
        <v>63</v>
      </c>
      <c r="E38" s="133"/>
      <c r="F38" s="133" t="s">
        <v>347</v>
      </c>
      <c r="G38" s="164"/>
      <c r="H38" s="44" t="s">
        <v>51</v>
      </c>
      <c r="I38" s="155">
        <v>0.47020000000000001</v>
      </c>
      <c r="J38" s="46">
        <v>79</v>
      </c>
      <c r="K38" s="47" t="s">
        <v>365</v>
      </c>
      <c r="L38" s="46">
        <v>7</v>
      </c>
      <c r="M38" s="46">
        <v>0</v>
      </c>
      <c r="N38" s="46">
        <v>0</v>
      </c>
      <c r="O38" s="47" t="s">
        <v>251</v>
      </c>
      <c r="P38" s="47">
        <v>0.80555555555555547</v>
      </c>
      <c r="Q38" s="46">
        <v>168</v>
      </c>
      <c r="R38" s="48" t="s">
        <v>366</v>
      </c>
    </row>
    <row r="39" spans="1:18" ht="17.399999999999999" customHeight="1" x14ac:dyDescent="0.3">
      <c r="A39" s="190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2"/>
    </row>
    <row r="40" spans="1:18" ht="17.399999999999999" customHeight="1" x14ac:dyDescent="0.3">
      <c r="A40" s="190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2"/>
    </row>
    <row r="41" spans="1:18" ht="22.05" customHeight="1" x14ac:dyDescent="0.3">
      <c r="A41" s="161" t="s">
        <v>6</v>
      </c>
      <c r="B41" s="162"/>
      <c r="C41" s="162"/>
      <c r="D41" s="162"/>
      <c r="E41" s="162"/>
      <c r="F41" s="163"/>
      <c r="G41" s="3">
        <v>46001</v>
      </c>
      <c r="H41" s="161" t="s">
        <v>7</v>
      </c>
      <c r="I41" s="162"/>
      <c r="J41" s="162"/>
      <c r="K41" s="162"/>
      <c r="L41" s="162"/>
      <c r="M41" s="162"/>
      <c r="N41" s="162"/>
      <c r="O41" s="162"/>
      <c r="P41" s="162"/>
      <c r="Q41" s="162"/>
      <c r="R41" s="163"/>
    </row>
    <row r="42" spans="1:18" ht="24" customHeight="1" x14ac:dyDescent="0.3">
      <c r="A42" s="4" t="s">
        <v>8</v>
      </c>
      <c r="B42" s="4" t="s">
        <v>9</v>
      </c>
      <c r="C42" s="4" t="s">
        <v>10</v>
      </c>
      <c r="D42" s="4" t="s">
        <v>11</v>
      </c>
      <c r="E42" s="4" t="s">
        <v>12</v>
      </c>
      <c r="F42" s="5" t="s">
        <v>13</v>
      </c>
      <c r="G42" s="6" t="s">
        <v>14</v>
      </c>
      <c r="H42" s="4" t="s">
        <v>15</v>
      </c>
      <c r="I42" s="4" t="s">
        <v>16</v>
      </c>
      <c r="J42" s="4" t="s">
        <v>17</v>
      </c>
      <c r="K42" s="4" t="s">
        <v>18</v>
      </c>
      <c r="L42" s="4" t="s">
        <v>19</v>
      </c>
      <c r="M42" s="4" t="s">
        <v>20</v>
      </c>
      <c r="N42" s="4" t="s">
        <v>21</v>
      </c>
      <c r="O42" s="4" t="s">
        <v>22</v>
      </c>
      <c r="P42" s="4" t="s">
        <v>23</v>
      </c>
      <c r="Q42" s="4" t="s">
        <v>24</v>
      </c>
      <c r="R42" s="4" t="s">
        <v>25</v>
      </c>
    </row>
    <row r="43" spans="1:18" ht="49.95" customHeight="1" x14ac:dyDescent="0.3">
      <c r="A43" s="71" t="s">
        <v>46</v>
      </c>
      <c r="B43" s="71" t="s">
        <v>346</v>
      </c>
      <c r="C43" s="71">
        <v>0.61805555555555558</v>
      </c>
      <c r="D43" s="71" t="s">
        <v>63</v>
      </c>
      <c r="E43" s="71"/>
      <c r="F43" s="71" t="s">
        <v>347</v>
      </c>
      <c r="G43" s="164"/>
      <c r="H43" s="134" t="s">
        <v>346</v>
      </c>
      <c r="I43" s="156">
        <v>0.51790000000000003</v>
      </c>
      <c r="J43" s="136">
        <v>87</v>
      </c>
      <c r="K43" s="137" t="s">
        <v>162</v>
      </c>
      <c r="L43" s="136">
        <v>14</v>
      </c>
      <c r="M43" s="136">
        <v>1</v>
      </c>
      <c r="N43" s="136">
        <v>0</v>
      </c>
      <c r="O43" s="137" t="s">
        <v>349</v>
      </c>
      <c r="P43" s="137">
        <v>0.61805555555555558</v>
      </c>
      <c r="Q43" s="136">
        <v>168</v>
      </c>
      <c r="R43" s="138" t="s">
        <v>367</v>
      </c>
    </row>
  </sheetData>
  <mergeCells count="45">
    <mergeCell ref="H5:R5"/>
    <mergeCell ref="H18:R18"/>
    <mergeCell ref="A9:R9"/>
    <mergeCell ref="A34:R34"/>
    <mergeCell ref="A40:R40"/>
    <mergeCell ref="A11:F11"/>
    <mergeCell ref="A39:R39"/>
    <mergeCell ref="A36:F36"/>
    <mergeCell ref="G43"/>
    <mergeCell ref="A5:F5"/>
    <mergeCell ref="A23:F23"/>
    <mergeCell ref="A32:F32"/>
    <mergeCell ref="G2:J2"/>
    <mergeCell ref="A17:R17"/>
    <mergeCell ref="A8:R8"/>
    <mergeCell ref="H36:R36"/>
    <mergeCell ref="A22:R22"/>
    <mergeCell ref="A29:F29"/>
    <mergeCell ref="A35:R35"/>
    <mergeCell ref="A4:R4"/>
    <mergeCell ref="H11:R11"/>
    <mergeCell ref="A10:R10"/>
    <mergeCell ref="A28:R28"/>
    <mergeCell ref="G7"/>
    <mergeCell ref="H1:L1"/>
    <mergeCell ref="A1:E1"/>
    <mergeCell ref="G25"/>
    <mergeCell ref="A18:F18"/>
    <mergeCell ref="H41:R41"/>
    <mergeCell ref="A27:R27"/>
    <mergeCell ref="A2:F2"/>
    <mergeCell ref="A3:R3"/>
    <mergeCell ref="A21:R21"/>
    <mergeCell ref="A26:R26"/>
    <mergeCell ref="G31:G33"/>
    <mergeCell ref="A14:F14"/>
    <mergeCell ref="N1:R1"/>
    <mergeCell ref="G13:G15"/>
    <mergeCell ref="K2:R2"/>
    <mergeCell ref="G38"/>
    <mergeCell ref="H23:R23"/>
    <mergeCell ref="A41:F41"/>
    <mergeCell ref="A16:R16"/>
    <mergeCell ref="G20"/>
    <mergeCell ref="H29:R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9"/>
  <sheetViews>
    <sheetView workbookViewId="0"/>
  </sheetViews>
  <sheetFormatPr defaultRowHeight="15.6" outlineLevelCol="1" x14ac:dyDescent="0.3"/>
  <cols>
    <col min="1" max="1" width="11.5546875" style="177" bestFit="1" customWidth="1"/>
    <col min="2" max="2" width="10.44140625" style="177" bestFit="1" customWidth="1"/>
    <col min="3" max="3" width="6.77734375" style="177" bestFit="1" customWidth="1"/>
    <col min="4" max="4" width="5.5546875" style="177" bestFit="1" customWidth="1"/>
    <col min="5" max="5" width="8.77734375" style="177" bestFit="1" customWidth="1"/>
    <col min="6" max="6" width="4.21875" style="177" bestFit="1" customWidth="1"/>
    <col min="7" max="7" width="10" style="177" bestFit="1" customWidth="1"/>
    <col min="8" max="8" width="8.5546875" style="177" bestFit="1" customWidth="1"/>
    <col min="9" max="10" width="7" style="177" bestFit="1" customWidth="1"/>
    <col min="11" max="11" width="10.5546875" style="177" bestFit="1" customWidth="1"/>
    <col min="12" max="12" width="18.109375" style="177" bestFit="1" customWidth="1"/>
    <col min="13" max="13" width="7.6640625" style="177" bestFit="1" customWidth="1" outlineLevel="1"/>
    <col min="14" max="14" width="6.33203125" style="177" bestFit="1" customWidth="1" outlineLevel="1"/>
    <col min="15" max="15" width="8" style="177" bestFit="1" customWidth="1" outlineLevel="1"/>
    <col min="16" max="16" width="13.6640625" style="177" bestFit="1" customWidth="1"/>
    <col min="17" max="25" width="3.88671875" style="177" bestFit="1" customWidth="1"/>
    <col min="26" max="26" width="4.109375" style="177" bestFit="1" customWidth="1"/>
    <col min="27" max="28" width="3.88671875" style="177" bestFit="1" customWidth="1"/>
    <col min="29" max="29" width="4.21875" style="177" bestFit="1" customWidth="1"/>
    <col min="30" max="31" width="4.5546875" style="177" bestFit="1" customWidth="1"/>
    <col min="32" max="34" width="3.88671875" style="177" bestFit="1" customWidth="1"/>
    <col min="35" max="35" width="4.21875" style="177" bestFit="1" customWidth="1"/>
    <col min="36" max="36" width="3.88671875" style="177" bestFit="1" customWidth="1"/>
    <col min="37" max="16384" width="8.88671875" style="177"/>
  </cols>
  <sheetData>
    <row r="1" spans="1:36" x14ac:dyDescent="0.3">
      <c r="A1" s="176" t="s">
        <v>169</v>
      </c>
      <c r="B1" s="176" t="s">
        <v>170</v>
      </c>
      <c r="C1" s="176" t="s">
        <v>171</v>
      </c>
      <c r="D1" s="176" t="s">
        <v>23</v>
      </c>
      <c r="E1" s="176" t="s">
        <v>172</v>
      </c>
      <c r="F1" s="176" t="s">
        <v>173</v>
      </c>
      <c r="G1" s="176" t="s">
        <v>16</v>
      </c>
      <c r="H1" s="176" t="s">
        <v>174</v>
      </c>
      <c r="I1" s="176" t="s">
        <v>175</v>
      </c>
      <c r="J1" s="176" t="s">
        <v>176</v>
      </c>
      <c r="K1" s="176" t="s">
        <v>177</v>
      </c>
      <c r="L1" s="176" t="s">
        <v>18</v>
      </c>
      <c r="M1" s="176" t="s">
        <v>20</v>
      </c>
      <c r="N1" s="176" t="s">
        <v>21</v>
      </c>
      <c r="O1" s="176" t="s">
        <v>19</v>
      </c>
      <c r="P1" s="176" t="s">
        <v>22</v>
      </c>
      <c r="Q1" s="176" t="s">
        <v>178</v>
      </c>
      <c r="R1" s="176" t="s">
        <v>179</v>
      </c>
      <c r="S1" s="176" t="s">
        <v>180</v>
      </c>
      <c r="T1" s="176" t="s">
        <v>181</v>
      </c>
      <c r="U1" s="176" t="s">
        <v>182</v>
      </c>
      <c r="V1" s="176" t="s">
        <v>183</v>
      </c>
      <c r="W1" s="176" t="s">
        <v>184</v>
      </c>
      <c r="X1" s="176" t="s">
        <v>185</v>
      </c>
      <c r="Y1" s="176" t="s">
        <v>186</v>
      </c>
      <c r="Z1" s="176" t="s">
        <v>187</v>
      </c>
      <c r="AA1" s="176" t="s">
        <v>188</v>
      </c>
      <c r="AB1" s="176" t="s">
        <v>189</v>
      </c>
      <c r="AC1" s="176" t="s">
        <v>190</v>
      </c>
      <c r="AD1" s="176" t="s">
        <v>191</v>
      </c>
      <c r="AE1" s="176" t="s">
        <v>192</v>
      </c>
      <c r="AF1" s="176" t="s">
        <v>193</v>
      </c>
      <c r="AG1" s="176" t="s">
        <v>194</v>
      </c>
      <c r="AH1" s="176" t="s">
        <v>195</v>
      </c>
      <c r="AI1" s="176" t="s">
        <v>196</v>
      </c>
      <c r="AJ1" s="176" t="s">
        <v>197</v>
      </c>
    </row>
    <row r="2" spans="1:36" x14ac:dyDescent="0.3">
      <c r="A2" s="178" t="s">
        <v>317</v>
      </c>
      <c r="B2" s="179">
        <v>45987</v>
      </c>
      <c r="C2" s="180" t="s">
        <v>346</v>
      </c>
      <c r="D2" s="181" t="s">
        <v>368</v>
      </c>
      <c r="E2" s="180" t="s">
        <v>345</v>
      </c>
      <c r="F2" s="180" t="s">
        <v>200</v>
      </c>
      <c r="G2" s="182">
        <v>0.77380000000000004</v>
      </c>
      <c r="H2" s="183">
        <v>168</v>
      </c>
      <c r="I2" s="183">
        <v>130</v>
      </c>
      <c r="J2" s="183">
        <v>50</v>
      </c>
      <c r="K2" s="180" t="s">
        <v>201</v>
      </c>
      <c r="L2" s="184" t="s">
        <v>162</v>
      </c>
      <c r="M2" s="183">
        <v>1</v>
      </c>
      <c r="N2" s="183">
        <v>15</v>
      </c>
      <c r="O2" s="183">
        <v>36</v>
      </c>
      <c r="P2" s="180" t="s">
        <v>231</v>
      </c>
      <c r="Q2" s="176"/>
      <c r="R2" s="176"/>
      <c r="S2" s="176"/>
      <c r="T2" s="176"/>
      <c r="U2" s="176"/>
      <c r="V2" s="176"/>
      <c r="W2" s="176"/>
      <c r="X2" s="176"/>
      <c r="Y2" s="176"/>
      <c r="Z2" s="183" t="s">
        <v>236</v>
      </c>
      <c r="AA2" s="176"/>
      <c r="AB2" s="176"/>
      <c r="AC2" s="183" t="s">
        <v>247</v>
      </c>
      <c r="AD2" s="183" t="s">
        <v>369</v>
      </c>
      <c r="AE2" s="183" t="s">
        <v>370</v>
      </c>
      <c r="AF2" s="183" t="s">
        <v>371</v>
      </c>
      <c r="AG2" s="176"/>
      <c r="AH2" s="176"/>
      <c r="AI2" s="183" t="s">
        <v>372</v>
      </c>
      <c r="AJ2" s="176"/>
    </row>
    <row r="3" spans="1:36" x14ac:dyDescent="0.3">
      <c r="A3" s="178" t="s">
        <v>234</v>
      </c>
      <c r="B3" s="179">
        <v>45990</v>
      </c>
      <c r="C3" s="180" t="s">
        <v>51</v>
      </c>
      <c r="D3" s="181" t="s">
        <v>373</v>
      </c>
      <c r="E3" s="180" t="s">
        <v>345</v>
      </c>
      <c r="F3" s="180" t="s">
        <v>200</v>
      </c>
      <c r="G3" s="182">
        <v>0.48809999999999998</v>
      </c>
      <c r="H3" s="183">
        <v>168</v>
      </c>
      <c r="I3" s="183">
        <v>82</v>
      </c>
      <c r="J3" s="183">
        <v>0</v>
      </c>
      <c r="K3" s="180" t="s">
        <v>201</v>
      </c>
      <c r="L3" s="184" t="s">
        <v>162</v>
      </c>
      <c r="M3" s="183">
        <v>1</v>
      </c>
      <c r="N3" s="183">
        <v>0</v>
      </c>
      <c r="O3" s="183">
        <v>43</v>
      </c>
      <c r="P3" s="180" t="s">
        <v>349</v>
      </c>
      <c r="Q3" s="176"/>
      <c r="R3" s="176"/>
      <c r="S3" s="176"/>
      <c r="T3" s="176"/>
      <c r="U3" s="176"/>
      <c r="V3" s="176"/>
      <c r="W3" s="176"/>
      <c r="X3" s="176"/>
      <c r="Y3" s="176"/>
      <c r="Z3" s="183" t="s">
        <v>250</v>
      </c>
      <c r="AA3" s="176"/>
      <c r="AB3" s="176"/>
      <c r="AC3" s="183" t="s">
        <v>374</v>
      </c>
      <c r="AD3" s="183" t="s">
        <v>375</v>
      </c>
      <c r="AE3" s="183" t="s">
        <v>376</v>
      </c>
      <c r="AF3" s="183" t="s">
        <v>377</v>
      </c>
      <c r="AG3" s="176"/>
      <c r="AH3" s="176"/>
      <c r="AI3" s="176"/>
      <c r="AJ3" s="176"/>
    </row>
    <row r="4" spans="1:36" x14ac:dyDescent="0.3">
      <c r="A4" s="178" t="s">
        <v>378</v>
      </c>
      <c r="B4" s="179">
        <v>45992</v>
      </c>
      <c r="C4" s="180" t="s">
        <v>51</v>
      </c>
      <c r="D4" s="181" t="s">
        <v>379</v>
      </c>
      <c r="E4" s="180" t="s">
        <v>345</v>
      </c>
      <c r="F4" s="180" t="s">
        <v>200</v>
      </c>
      <c r="G4" s="182">
        <v>0.73809999999999998</v>
      </c>
      <c r="H4" s="183">
        <v>168</v>
      </c>
      <c r="I4" s="183">
        <v>124</v>
      </c>
      <c r="J4" s="183">
        <v>86</v>
      </c>
      <c r="K4" s="180" t="s">
        <v>201</v>
      </c>
      <c r="L4" s="184" t="s">
        <v>162</v>
      </c>
      <c r="M4" s="183">
        <v>1</v>
      </c>
      <c r="N4" s="183">
        <v>2</v>
      </c>
      <c r="O4" s="183">
        <v>11</v>
      </c>
      <c r="P4" s="180" t="s">
        <v>264</v>
      </c>
      <c r="Q4" s="176"/>
      <c r="R4" s="176"/>
      <c r="S4" s="176"/>
      <c r="T4" s="176"/>
      <c r="U4" s="176"/>
      <c r="V4" s="176"/>
      <c r="W4" s="176"/>
      <c r="X4" s="176"/>
      <c r="Y4" s="176"/>
      <c r="Z4" s="183" t="s">
        <v>332</v>
      </c>
      <c r="AA4" s="176"/>
      <c r="AB4" s="176"/>
      <c r="AC4" s="183" t="s">
        <v>380</v>
      </c>
      <c r="AD4" s="183" t="s">
        <v>222</v>
      </c>
      <c r="AE4" s="183" t="s">
        <v>381</v>
      </c>
      <c r="AF4" s="183" t="s">
        <v>340</v>
      </c>
      <c r="AG4" s="176"/>
      <c r="AH4" s="176"/>
      <c r="AI4" s="183" t="s">
        <v>382</v>
      </c>
      <c r="AJ4" s="176"/>
    </row>
    <row r="5" spans="1:36" x14ac:dyDescent="0.3">
      <c r="A5" s="178" t="s">
        <v>317</v>
      </c>
      <c r="B5" s="179">
        <v>45994</v>
      </c>
      <c r="C5" s="180" t="s">
        <v>346</v>
      </c>
      <c r="D5" s="181" t="s">
        <v>368</v>
      </c>
      <c r="E5" s="180" t="s">
        <v>345</v>
      </c>
      <c r="F5" s="180" t="s">
        <v>200</v>
      </c>
      <c r="G5" s="182">
        <v>0.75</v>
      </c>
      <c r="H5" s="183">
        <v>168</v>
      </c>
      <c r="I5" s="183">
        <v>126</v>
      </c>
      <c r="J5" s="183">
        <v>79</v>
      </c>
      <c r="K5" s="180" t="s">
        <v>201</v>
      </c>
      <c r="L5" s="184" t="s">
        <v>162</v>
      </c>
      <c r="M5" s="183">
        <v>2</v>
      </c>
      <c r="N5" s="183">
        <v>2</v>
      </c>
      <c r="O5" s="183">
        <v>11</v>
      </c>
      <c r="P5" s="180" t="s">
        <v>321</v>
      </c>
      <c r="Q5" s="176"/>
      <c r="R5" s="176"/>
      <c r="S5" s="176"/>
      <c r="T5" s="176"/>
      <c r="U5" s="176"/>
      <c r="V5" s="176"/>
      <c r="W5" s="176"/>
      <c r="X5" s="176"/>
      <c r="Y5" s="176"/>
      <c r="Z5" s="183" t="s">
        <v>244</v>
      </c>
      <c r="AA5" s="176"/>
      <c r="AB5" s="176"/>
      <c r="AC5" s="183" t="s">
        <v>221</v>
      </c>
      <c r="AD5" s="183" t="s">
        <v>252</v>
      </c>
      <c r="AE5" s="183" t="s">
        <v>223</v>
      </c>
      <c r="AF5" s="183" t="s">
        <v>383</v>
      </c>
      <c r="AG5" s="176"/>
      <c r="AH5" s="176"/>
      <c r="AI5" s="183" t="s">
        <v>384</v>
      </c>
      <c r="AJ5" s="176"/>
    </row>
    <row r="6" spans="1:36" x14ac:dyDescent="0.3">
      <c r="A6" s="178" t="s">
        <v>234</v>
      </c>
      <c r="B6" s="179">
        <v>45997</v>
      </c>
      <c r="C6" s="180" t="s">
        <v>51</v>
      </c>
      <c r="D6" s="181" t="s">
        <v>373</v>
      </c>
      <c r="E6" s="180" t="s">
        <v>345</v>
      </c>
      <c r="F6" s="180" t="s">
        <v>200</v>
      </c>
      <c r="G6" s="182">
        <v>0.16070000000000001</v>
      </c>
      <c r="H6" s="183">
        <v>168</v>
      </c>
      <c r="I6" s="183">
        <v>27</v>
      </c>
      <c r="J6" s="183">
        <v>0</v>
      </c>
      <c r="K6" s="180" t="s">
        <v>201</v>
      </c>
      <c r="L6" s="184" t="s">
        <v>162</v>
      </c>
      <c r="M6" s="183">
        <v>1</v>
      </c>
      <c r="N6" s="183">
        <v>3</v>
      </c>
      <c r="O6" s="183">
        <v>15</v>
      </c>
      <c r="P6" s="180" t="s">
        <v>362</v>
      </c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83" t="s">
        <v>264</v>
      </c>
      <c r="AD6" s="183" t="s">
        <v>163</v>
      </c>
      <c r="AE6" s="183" t="s">
        <v>272</v>
      </c>
      <c r="AF6" s="183" t="s">
        <v>273</v>
      </c>
      <c r="AG6" s="176"/>
      <c r="AH6" s="176"/>
      <c r="AI6" s="176"/>
      <c r="AJ6" s="176"/>
    </row>
    <row r="7" spans="1:36" x14ac:dyDescent="0.3">
      <c r="A7" s="178" t="s">
        <v>378</v>
      </c>
      <c r="B7" s="179">
        <v>45999</v>
      </c>
      <c r="C7" s="180" t="s">
        <v>51</v>
      </c>
      <c r="D7" s="181" t="s">
        <v>379</v>
      </c>
      <c r="E7" s="180" t="s">
        <v>345</v>
      </c>
      <c r="F7" s="180" t="s">
        <v>200</v>
      </c>
      <c r="G7" s="182">
        <v>0.47020000000000001</v>
      </c>
      <c r="H7" s="183">
        <v>168</v>
      </c>
      <c r="I7" s="183">
        <v>79</v>
      </c>
      <c r="J7" s="183">
        <v>52</v>
      </c>
      <c r="K7" s="180" t="s">
        <v>201</v>
      </c>
      <c r="L7" s="184" t="s">
        <v>365</v>
      </c>
      <c r="M7" s="183">
        <v>0</v>
      </c>
      <c r="N7" s="183">
        <v>0</v>
      </c>
      <c r="O7" s="183">
        <v>7</v>
      </c>
      <c r="P7" s="180" t="s">
        <v>251</v>
      </c>
      <c r="Q7" s="176"/>
      <c r="R7" s="176"/>
      <c r="S7" s="176"/>
      <c r="T7" s="176"/>
      <c r="U7" s="176"/>
      <c r="V7" s="176"/>
      <c r="W7" s="176"/>
      <c r="X7" s="176"/>
      <c r="Y7" s="176"/>
      <c r="Z7" s="183" t="s">
        <v>332</v>
      </c>
      <c r="AA7" s="176"/>
      <c r="AB7" s="176"/>
      <c r="AC7" s="183" t="s">
        <v>321</v>
      </c>
      <c r="AD7" s="183" t="s">
        <v>222</v>
      </c>
      <c r="AE7" s="183" t="s">
        <v>381</v>
      </c>
      <c r="AF7" s="183" t="s">
        <v>340</v>
      </c>
      <c r="AG7" s="176"/>
      <c r="AH7" s="176"/>
      <c r="AI7" s="183" t="s">
        <v>385</v>
      </c>
      <c r="AJ7" s="176"/>
    </row>
    <row r="8" spans="1:36" x14ac:dyDescent="0.3">
      <c r="A8" s="178" t="s">
        <v>317</v>
      </c>
      <c r="B8" s="179">
        <v>46001</v>
      </c>
      <c r="C8" s="180" t="s">
        <v>346</v>
      </c>
      <c r="D8" s="181" t="s">
        <v>368</v>
      </c>
      <c r="E8" s="180" t="s">
        <v>345</v>
      </c>
      <c r="F8" s="180" t="s">
        <v>200</v>
      </c>
      <c r="G8" s="182">
        <v>0.51790000000000003</v>
      </c>
      <c r="H8" s="183">
        <v>168</v>
      </c>
      <c r="I8" s="183">
        <v>87</v>
      </c>
      <c r="J8" s="183">
        <v>49</v>
      </c>
      <c r="K8" s="180" t="s">
        <v>201</v>
      </c>
      <c r="L8" s="184" t="s">
        <v>162</v>
      </c>
      <c r="M8" s="183">
        <v>1</v>
      </c>
      <c r="N8" s="183">
        <v>0</v>
      </c>
      <c r="O8" s="183">
        <v>14</v>
      </c>
      <c r="P8" s="180" t="s">
        <v>349</v>
      </c>
      <c r="Q8" s="176"/>
      <c r="R8" s="176"/>
      <c r="S8" s="176"/>
      <c r="T8" s="176"/>
      <c r="U8" s="176"/>
      <c r="V8" s="176"/>
      <c r="W8" s="176"/>
      <c r="X8" s="176"/>
      <c r="Y8" s="176"/>
      <c r="Z8" s="183" t="s">
        <v>320</v>
      </c>
      <c r="AA8" s="176"/>
      <c r="AB8" s="176"/>
      <c r="AC8" s="183" t="s">
        <v>264</v>
      </c>
      <c r="AD8" s="183" t="s">
        <v>222</v>
      </c>
      <c r="AE8" s="183" t="s">
        <v>386</v>
      </c>
      <c r="AF8" s="183" t="s">
        <v>224</v>
      </c>
      <c r="AG8" s="176"/>
      <c r="AH8" s="176"/>
      <c r="AI8" s="183" t="s">
        <v>387</v>
      </c>
      <c r="AJ8" s="176"/>
    </row>
    <row r="9" spans="1:36" ht="21" x14ac:dyDescent="0.3">
      <c r="A9" s="185" t="s">
        <v>390</v>
      </c>
      <c r="B9" s="186"/>
      <c r="C9" s="185">
        <f>SUBTOTAL(103,MED_ATZ_LF_LEGACY[Flt])</f>
        <v>7</v>
      </c>
      <c r="D9" s="185"/>
      <c r="E9" s="185">
        <f>SUBTOTAL(103,MED_ATZ_LF_LEGACY[Brd-Off])</f>
        <v>7</v>
      </c>
      <c r="F9" s="185"/>
      <c r="G9" s="187">
        <f>SUBTOTAL(101,MED_ATZ_LF_LEGACY[LF%])</f>
        <v>0.55697142857142856</v>
      </c>
      <c r="H9" s="188">
        <f>SUBTOTAL(109,MED_ATZ_LF_LEGACY[CAP])</f>
        <v>1176</v>
      </c>
      <c r="I9" s="188">
        <f>SUBTOTAL(109,MED_ATZ_LF_LEGACY[BKG(Y)])</f>
        <v>655</v>
      </c>
      <c r="J9" s="188">
        <f>SUBTOTAL(109,MED_ATZ_LF_LEGACY[GRP(Y)])</f>
        <v>316</v>
      </c>
      <c r="K9" s="185"/>
      <c r="L9" s="186"/>
      <c r="M9" s="188">
        <f>SUBTOTAL(109,MED_ATZ_LF_LEGACY[TO-DAY])</f>
        <v>7</v>
      </c>
      <c r="N9" s="188">
        <f>SUBTOTAL(109,MED_ATZ_LF_LEGACY[Y-DAY])</f>
        <v>22</v>
      </c>
      <c r="O9" s="188">
        <f>SUBTOTAL(109,MED_ATZ_LF_LEGACY[WEEKLY])</f>
        <v>137</v>
      </c>
      <c r="P9" s="189"/>
      <c r="Q9" s="188">
        <f>SUBTOTAL(109,MED_ATZ_LF_LEGACY[Y])</f>
        <v>0</v>
      </c>
      <c r="R9" s="188">
        <f>SUBTOTAL(109,MED_ATZ_LF_LEGACY[B])</f>
        <v>0</v>
      </c>
      <c r="S9" s="188">
        <f>SUBTOTAL(109,MED_ATZ_LF_LEGACY[M])</f>
        <v>0</v>
      </c>
      <c r="T9" s="188">
        <f>SUBTOTAL(109,MED_ATZ_LF_LEGACY[H])</f>
        <v>0</v>
      </c>
      <c r="U9" s="188">
        <f>SUBTOTAL(109,MED_ATZ_LF_LEGACY[Q])</f>
        <v>0</v>
      </c>
      <c r="V9" s="188">
        <f>SUBTOTAL(109,MED_ATZ_LF_LEGACY[K])</f>
        <v>0</v>
      </c>
      <c r="W9" s="188">
        <f>SUBTOTAL(109,MED_ATZ_LF_LEGACY[V])</f>
        <v>0</v>
      </c>
      <c r="X9" s="188">
        <f>SUBTOTAL(109,MED_ATZ_LF_LEGACY[L])</f>
        <v>0</v>
      </c>
      <c r="Y9" s="188">
        <f>SUBTOTAL(109,MED_ATZ_LF_LEGACY[G])</f>
        <v>0</v>
      </c>
      <c r="Z9" s="188">
        <f>SUBTOTAL(109,MED_ATZ_LF_LEGACY[S])</f>
        <v>0</v>
      </c>
      <c r="AA9" s="188">
        <f>SUBTOTAL(109,MED_ATZ_LF_LEGACY[W])</f>
        <v>0</v>
      </c>
      <c r="AB9" s="188">
        <f>SUBTOTAL(109,MED_ATZ_LF_LEGACY[T])</f>
        <v>0</v>
      </c>
      <c r="AC9" s="188">
        <f>SUBTOTAL(109,MED_ATZ_LF_LEGACY[X])</f>
        <v>0</v>
      </c>
      <c r="AD9" s="188">
        <f>SUBTOTAL(109,MED_ATZ_LF_LEGACY[U])</f>
        <v>0</v>
      </c>
      <c r="AE9" s="188">
        <f>SUBTOTAL(109,MED_ATZ_LF_LEGACY[O])</f>
        <v>0</v>
      </c>
      <c r="AF9" s="188">
        <f>SUBTOTAL(109,MED_ATZ_LF_LEGACY[I])</f>
        <v>0</v>
      </c>
      <c r="AG9" s="188">
        <f>SUBTOTAL(109,MED_ATZ_LF_LEGACY[E])</f>
        <v>0</v>
      </c>
      <c r="AH9" s="188">
        <f>SUBTOTAL(109,MED_ATZ_LF_LEGACY[A])</f>
        <v>0</v>
      </c>
      <c r="AI9" s="188">
        <f>SUBTOTAL(109,MED_ATZ_LF_LEGACY[P])</f>
        <v>0</v>
      </c>
      <c r="AJ9" s="188">
        <f>SUBTOTAL(103,MED_ATZ_LF_LEGACY[N])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  <col min="9" max="9" width="179.44140625" hidden="1" customWidth="1"/>
  </cols>
  <sheetData>
    <row r="1" spans="1:8" ht="18" x14ac:dyDescent="0.3">
      <c r="A1" s="86" t="s">
        <v>276</v>
      </c>
      <c r="B1" s="87" t="s">
        <v>8</v>
      </c>
      <c r="C1" s="87" t="s">
        <v>9</v>
      </c>
      <c r="D1" s="87" t="s">
        <v>277</v>
      </c>
      <c r="E1" s="87" t="s">
        <v>10</v>
      </c>
      <c r="F1" s="87" t="s">
        <v>11</v>
      </c>
      <c r="G1" s="87" t="s">
        <v>12</v>
      </c>
      <c r="H1" s="88" t="s">
        <v>13</v>
      </c>
    </row>
    <row r="2" spans="1:8" ht="19.8" customHeight="1" x14ac:dyDescent="0.3">
      <c r="A2" s="139" t="s">
        <v>388</v>
      </c>
      <c r="B2" s="105" t="s">
        <v>46</v>
      </c>
      <c r="C2" s="106" t="s">
        <v>358</v>
      </c>
      <c r="D2" s="105" t="s">
        <v>345</v>
      </c>
      <c r="E2" s="105" t="s">
        <v>368</v>
      </c>
      <c r="F2" s="105"/>
      <c r="G2" s="105"/>
      <c r="H2" s="108" t="s">
        <v>347</v>
      </c>
    </row>
    <row r="3" spans="1:8" ht="19.8" customHeight="1" x14ac:dyDescent="0.3">
      <c r="A3" s="101">
        <v>45990</v>
      </c>
      <c r="B3" s="95" t="s">
        <v>46</v>
      </c>
      <c r="C3" s="96" t="s">
        <v>47</v>
      </c>
      <c r="D3" s="95" t="s">
        <v>345</v>
      </c>
      <c r="E3" s="102">
        <v>1.9548611111111109</v>
      </c>
      <c r="F3" s="95"/>
      <c r="G3" s="95"/>
      <c r="H3" s="115" t="s">
        <v>347</v>
      </c>
    </row>
    <row r="4" spans="1:8" ht="19.8" customHeight="1" x14ac:dyDescent="0.3">
      <c r="A4" s="157"/>
      <c r="B4" s="158"/>
      <c r="C4" s="158"/>
      <c r="D4" s="158"/>
      <c r="E4" s="158"/>
      <c r="F4" s="159" t="s">
        <v>389</v>
      </c>
      <c r="G4" s="158"/>
      <c r="H4" s="160"/>
    </row>
    <row r="5" spans="1:8" ht="19.8" customHeight="1" x14ac:dyDescent="0.3">
      <c r="A5" s="109">
        <v>45990</v>
      </c>
      <c r="B5" s="110" t="s">
        <v>46</v>
      </c>
      <c r="C5" s="111" t="s">
        <v>352</v>
      </c>
      <c r="D5" s="110" t="s">
        <v>1</v>
      </c>
      <c r="E5" s="112">
        <v>1.9375</v>
      </c>
      <c r="F5" s="110" t="s">
        <v>354</v>
      </c>
      <c r="G5" s="113">
        <v>2</v>
      </c>
      <c r="H5" s="114" t="s">
        <v>356</v>
      </c>
    </row>
    <row r="6" spans="1:8" ht="19.8" customHeight="1" x14ac:dyDescent="0.3">
      <c r="A6" s="104">
        <v>45992</v>
      </c>
      <c r="B6" s="105" t="s">
        <v>46</v>
      </c>
      <c r="C6" s="106" t="s">
        <v>47</v>
      </c>
      <c r="D6" s="105" t="s">
        <v>345</v>
      </c>
      <c r="E6" s="107">
        <v>1.805555555555556</v>
      </c>
      <c r="F6" s="105"/>
      <c r="G6" s="105"/>
      <c r="H6" s="108" t="s">
        <v>347</v>
      </c>
    </row>
    <row r="7" spans="1:8" ht="19.8" customHeight="1" x14ac:dyDescent="0.3">
      <c r="A7" s="104">
        <v>45994</v>
      </c>
      <c r="B7" s="105" t="s">
        <v>46</v>
      </c>
      <c r="C7" s="106" t="s">
        <v>358</v>
      </c>
      <c r="D7" s="105" t="s">
        <v>345</v>
      </c>
      <c r="E7" s="107">
        <v>1.618055555555556</v>
      </c>
      <c r="F7" s="105" t="s">
        <v>48</v>
      </c>
      <c r="G7" s="140">
        <v>7</v>
      </c>
      <c r="H7" s="142">
        <v>500</v>
      </c>
    </row>
    <row r="8" spans="1:8" ht="19.8" customHeight="1" x14ac:dyDescent="0.3">
      <c r="A8" s="101">
        <v>45997</v>
      </c>
      <c r="B8" s="95" t="s">
        <v>46</v>
      </c>
      <c r="C8" s="96" t="s">
        <v>47</v>
      </c>
      <c r="D8" s="95" t="s">
        <v>345</v>
      </c>
      <c r="E8" s="102">
        <v>1.9548611111111109</v>
      </c>
      <c r="F8" s="95" t="s">
        <v>48</v>
      </c>
      <c r="G8" s="97">
        <v>1</v>
      </c>
      <c r="H8" s="98">
        <v>401</v>
      </c>
    </row>
    <row r="9" spans="1:8" ht="19.8" customHeight="1" x14ac:dyDescent="0.3">
      <c r="A9" s="157"/>
      <c r="B9" s="158"/>
      <c r="C9" s="158"/>
      <c r="D9" s="158"/>
      <c r="E9" s="158"/>
      <c r="F9" s="159" t="s">
        <v>389</v>
      </c>
      <c r="G9" s="158"/>
      <c r="H9" s="160"/>
    </row>
    <row r="10" spans="1:8" ht="19.8" customHeight="1" x14ac:dyDescent="0.3">
      <c r="A10" s="109">
        <v>45997</v>
      </c>
      <c r="B10" s="110" t="s">
        <v>46</v>
      </c>
      <c r="C10" s="111" t="s">
        <v>352</v>
      </c>
      <c r="D10" s="110" t="s">
        <v>1</v>
      </c>
      <c r="E10" s="112">
        <v>1.9375</v>
      </c>
      <c r="F10" s="110" t="s">
        <v>354</v>
      </c>
      <c r="G10" s="113">
        <v>9</v>
      </c>
      <c r="H10" s="114" t="s">
        <v>356</v>
      </c>
    </row>
    <row r="11" spans="1:8" ht="19.8" customHeight="1" x14ac:dyDescent="0.3">
      <c r="A11" s="104">
        <v>45999</v>
      </c>
      <c r="B11" s="105" t="s">
        <v>46</v>
      </c>
      <c r="C11" s="106" t="s">
        <v>47</v>
      </c>
      <c r="D11" s="105" t="s">
        <v>345</v>
      </c>
      <c r="E11" s="107">
        <v>1.805555555555556</v>
      </c>
      <c r="F11" s="105"/>
      <c r="G11" s="105"/>
      <c r="H11" s="108" t="s">
        <v>347</v>
      </c>
    </row>
    <row r="12" spans="1:8" ht="19.8" customHeight="1" x14ac:dyDescent="0.3">
      <c r="A12" s="104">
        <v>46001</v>
      </c>
      <c r="B12" s="105" t="s">
        <v>46</v>
      </c>
      <c r="C12" s="106" t="s">
        <v>358</v>
      </c>
      <c r="D12" s="105" t="s">
        <v>345</v>
      </c>
      <c r="E12" s="107">
        <v>1.618055555555556</v>
      </c>
      <c r="F12" s="105"/>
      <c r="G12" s="105"/>
      <c r="H12" s="108" t="s">
        <v>347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MED-CAI</vt:lpstr>
      <vt:lpstr>MED-CAI LF LEGACY</vt:lpstr>
      <vt:lpstr>MED-CAI - FOCUS MODE</vt:lpstr>
      <vt:lpstr>MED-HBE</vt:lpstr>
      <vt:lpstr>MED-HBE LF LEGACY</vt:lpstr>
      <vt:lpstr>MED-HBE - FOCUS MODE</vt:lpstr>
      <vt:lpstr>MED-ATZ</vt:lpstr>
      <vt:lpstr>MED-ATZ LF LEGACY</vt:lpstr>
      <vt:lpstr>MED-ATZ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2025-11-21T16:48:44Z</dcterms:created>
  <dcterms:modified xsi:type="dcterms:W3CDTF">2025-11-21T16:49:02Z</dcterms:modified>
</cp:coreProperties>
</file>